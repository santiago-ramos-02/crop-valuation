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omments4.xml" ContentType="application/vnd.openxmlformats-officedocument.spreadsheetml.comments+xml"/>
  <Override PartName="/xl/tables/table14.xml" ContentType="application/vnd.openxmlformats-officedocument.spreadsheetml.table+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tables/table1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updateLinks="always" codeName="ThisWorkbook"/>
  <mc:AlternateContent xmlns:mc="http://schemas.openxmlformats.org/markup-compatibility/2006">
    <mc:Choice Requires="x15">
      <x15ac:absPath xmlns:x15ac="http://schemas.microsoft.com/office/spreadsheetml/2010/11/ac" url="C:\Users\usuario\Downloads\prototipos de aplicativo\"/>
    </mc:Choice>
  </mc:AlternateContent>
  <xr:revisionPtr revIDLastSave="0" documentId="13_ncr:1_{AD1F6ADE-BE1E-4933-8DA9-42E8E9FA6F26}" xr6:coauthVersionLast="47" xr6:coauthVersionMax="47" xr10:uidLastSave="{00000000-0000-0000-0000-000000000000}"/>
  <bookViews>
    <workbookView xWindow="-28920" yWindow="-120" windowWidth="29040" windowHeight="15720" firstSheet="19" activeTab="22" xr2:uid="{49C4EC63-E5C6-4BFE-AD0E-CCD04EEE15BE}"/>
    <workbookView minimized="1" xWindow="15" yWindow="15" windowWidth="20460" windowHeight="10770" firstSheet="9" activeTab="10" xr2:uid="{FBC853E3-C54E-471C-89F3-29F3DF1D9F8B}"/>
  </bookViews>
  <sheets>
    <sheet name="Instrucciones" sheetId="39" r:id="rId1"/>
    <sheet name="Formulario" sheetId="2" r:id="rId2"/>
    <sheet name="PERITO" sheetId="34" r:id="rId3"/>
    <sheet name="Entradas_Tasas" sheetId="31" r:id="rId4"/>
    <sheet name="Entradas_calculos" sheetId="19" r:id="rId5"/>
    <sheet name="Calculos_generales" sheetId="32" r:id="rId6"/>
    <sheet name="Amortización" sheetId="21" r:id="rId7"/>
    <sheet name="calculo_etapa_vegetativa" sheetId="22" r:id="rId8"/>
    <sheet name="Calculo_etapa_productiva" sheetId="20" r:id="rId9"/>
    <sheet name="escenario de negociación" sheetId="26" r:id="rId10"/>
    <sheet name="Precio_Final_Cultivo" sheetId="40" r:id="rId11"/>
    <sheet name="Grafico_Flujos" sheetId="42" r:id="rId12"/>
    <sheet name="PreciosRef. por Mercado" sheetId="30" r:id="rId13"/>
    <sheet name="Tabla_Costos_Insumos" sheetId="24" r:id="rId14"/>
    <sheet name="departamento" sheetId="8" r:id="rId15"/>
    <sheet name="Base_datActividades_priorFIN" sheetId="10" r:id="rId16"/>
    <sheet name="Caracteristicas" sheetId="7" r:id="rId17"/>
    <sheet name="Caracteristicas_agronomicas" sheetId="25" r:id="rId18"/>
    <sheet name="Rendimientos estandar_" sheetId="36" r:id="rId19"/>
    <sheet name="Tiempos de cosecha_" sheetId="35" r:id="rId20"/>
    <sheet name="mecanización_ pendiente" sheetId="9" r:id="rId21"/>
    <sheet name="Jornalesdeppto" sheetId="12" r:id="rId22"/>
    <sheet name="Limites_agroecologicos" sheetId="33" r:id="rId23"/>
  </sheets>
  <definedNames>
    <definedName name="_xlnm._FilterDatabase" localSheetId="15" hidden="1">Base_datActividades_priorFIN!$A$16:$X$1215</definedName>
    <definedName name="_xlnm._FilterDatabase" localSheetId="13" hidden="1">Tabla_Costos_Insumos!$A$1:$F$2928</definedName>
    <definedName name="Aguacate">Caracteristicas!$A$39</definedName>
    <definedName name="AMAZONAS">departamento!$F$3:$F$13</definedName>
    <definedName name="ANTIOQUIA">departamento!$G$3:$G$127</definedName>
    <definedName name="ARAUCA">departamento!$H$3:$H$9</definedName>
    <definedName name="ATLÁNTICO">departamento!$I$3:$I$25</definedName>
    <definedName name="BOLÍVAR">departamento!$J$3:$J$48</definedName>
    <definedName name="BOYACÁ">departamento!$K$3:$K$125</definedName>
    <definedName name="Cacao">Caracteristicas!$B$39</definedName>
    <definedName name="Café">Caracteristicas!$C$39</definedName>
    <definedName name="CALDAS">departamento!$L$3:$L$29</definedName>
    <definedName name="Caña_Azucar">Caracteristicas!$L$39:$L$41</definedName>
    <definedName name="CAQUETÁ">departamento!$M$3:$M$18</definedName>
    <definedName name="CASANARE">departamento!$N$3:$N$21</definedName>
    <definedName name="CAUCA">departamento!$O$3:$O$44</definedName>
    <definedName name="CESAR">departamento!$P$3:$P$27</definedName>
    <definedName name="CHOCÓ">departamento!$Q$3:$Q$33</definedName>
    <definedName name="CÓRDOBA">departamento!$R$3:$R$32</definedName>
    <definedName name="CUNDINAMARCA">departamento!$S$3:$S$118</definedName>
    <definedName name="Eucalipto">Caracteristicas!$D$39</definedName>
    <definedName name="GUAINÍA">departamento!$T$3:$T$10</definedName>
    <definedName name="GUAVIARE">departamento!$U$3:$U$6</definedName>
    <definedName name="HUILA">departamento!$V$3:$V$39</definedName>
    <definedName name="Limón">Caracteristicas!$E$39:$E$41</definedName>
    <definedName name="MAGDALENA">departamento!$X$3:$X$32</definedName>
    <definedName name="Mandarina">Caracteristicas!$F$39</definedName>
    <definedName name="Mango">Caracteristicas!$G$39</definedName>
    <definedName name="META">departamento!$Y$3:$Y$31</definedName>
    <definedName name="Naranja">Caracteristicas!$K$39:$K$40</definedName>
    <definedName name="NARIÑO">departamento!$Z$3:$Z$66</definedName>
    <definedName name="NORTE_DE_SANTANDER">departamento!$AA$3:$AA$42</definedName>
    <definedName name="Palma_Aceite">Caracteristicas!$H$39:$H$40</definedName>
    <definedName name="Plátano">Caracteristicas!$I$39</definedName>
    <definedName name="PUTUMAYO">departamento!$AB$3:$AB$15</definedName>
    <definedName name="QUINDÍO">departamento!$AC$3:$AC$14</definedName>
    <definedName name="RISARALDA">departamento!$AD$3:$AD$16</definedName>
    <definedName name="SANTANDER">departamento!$AE$3:$AE$89</definedName>
    <definedName name="SUCRE">departamento!$AF$3:$AF$28</definedName>
    <definedName name="TOLIMA">departamento!$AG$3:$AG$49</definedName>
    <definedName name="VALLE_DEL_CAUCA">departamento!$AH$3:$AH$44</definedName>
    <definedName name="VICHADA">departamento!$AJ$3:$AJ$6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032" i="24" l="1"/>
  <c r="H3033" i="24"/>
  <c r="H3034" i="24"/>
  <c r="H3035" i="24"/>
  <c r="H3036" i="24"/>
  <c r="H3037" i="24"/>
  <c r="H3038" i="24"/>
  <c r="H3039" i="24"/>
  <c r="H3040" i="24"/>
  <c r="H3041" i="24"/>
  <c r="H3042" i="24"/>
  <c r="H3043" i="24"/>
  <c r="H3044" i="24"/>
  <c r="H3045" i="24"/>
  <c r="H3046" i="24"/>
  <c r="H3047" i="24"/>
  <c r="H3048" i="24"/>
  <c r="H3049" i="24"/>
  <c r="H3050" i="24"/>
  <c r="H3051" i="24"/>
  <c r="H3052" i="24"/>
  <c r="H3053" i="24"/>
  <c r="H3054" i="24"/>
  <c r="H3055" i="24"/>
  <c r="H3056" i="24"/>
  <c r="H3057" i="24"/>
  <c r="H3058" i="24"/>
  <c r="H3059" i="24"/>
  <c r="I3059" i="24" s="1"/>
  <c r="J3059" i="24" s="1"/>
  <c r="H3060" i="24"/>
  <c r="I3060" i="24" s="1"/>
  <c r="J3060" i="24" s="1"/>
  <c r="H3061" i="24"/>
  <c r="H3062" i="24"/>
  <c r="H3063" i="24"/>
  <c r="H3064" i="24"/>
  <c r="H3065" i="24"/>
  <c r="H3066" i="24"/>
  <c r="H3067" i="24"/>
  <c r="H3068" i="24"/>
  <c r="H3069" i="24"/>
  <c r="H3070" i="24"/>
  <c r="H3071" i="24"/>
  <c r="H3072" i="24"/>
  <c r="H3073" i="24"/>
  <c r="H3074" i="24"/>
  <c r="H3075" i="24"/>
  <c r="H3076" i="24"/>
  <c r="H3077" i="24"/>
  <c r="H3078" i="24"/>
  <c r="H3079" i="24"/>
  <c r="H3080" i="24"/>
  <c r="H3081" i="24"/>
  <c r="H3082" i="24"/>
  <c r="H3083" i="24"/>
  <c r="H3084" i="24"/>
  <c r="H3085" i="24"/>
  <c r="H3086" i="24"/>
  <c r="H3087" i="24"/>
  <c r="H3088" i="24"/>
  <c r="H3089" i="24"/>
  <c r="H3090" i="24"/>
  <c r="H3091" i="24"/>
  <c r="I3091" i="24" s="1"/>
  <c r="J3091" i="24" s="1"/>
  <c r="H3092" i="24"/>
  <c r="I3092" i="24" s="1"/>
  <c r="J3092" i="24" s="1"/>
  <c r="H3093" i="24"/>
  <c r="H3094" i="24"/>
  <c r="H3095" i="24"/>
  <c r="H3096" i="24"/>
  <c r="H3097" i="24"/>
  <c r="H3098" i="24"/>
  <c r="H3099" i="24"/>
  <c r="H3100" i="24"/>
  <c r="H3101" i="24"/>
  <c r="H3102" i="24"/>
  <c r="H3103" i="24"/>
  <c r="H3104" i="24"/>
  <c r="H3105" i="24"/>
  <c r="H3106" i="24"/>
  <c r="H3107" i="24"/>
  <c r="H3108" i="24"/>
  <c r="H3109" i="24"/>
  <c r="H3110" i="24"/>
  <c r="H3111" i="24"/>
  <c r="H3112" i="24"/>
  <c r="H3113" i="24"/>
  <c r="H3114" i="24"/>
  <c r="H3115" i="24"/>
  <c r="H3116" i="24"/>
  <c r="H3117" i="24"/>
  <c r="H3118" i="24"/>
  <c r="H3119" i="24"/>
  <c r="H3120" i="24"/>
  <c r="H3121" i="24"/>
  <c r="H3122" i="24"/>
  <c r="H3123" i="24"/>
  <c r="H3124" i="24"/>
  <c r="H3125" i="24"/>
  <c r="H3126" i="24"/>
  <c r="H3127" i="24"/>
  <c r="H3128" i="24"/>
  <c r="H3129" i="24"/>
  <c r="H3130" i="24"/>
  <c r="H3131" i="24"/>
  <c r="H3132" i="24"/>
  <c r="H3133" i="24"/>
  <c r="H3134" i="24"/>
  <c r="H3135" i="24"/>
  <c r="H3136" i="24"/>
  <c r="H3137" i="24"/>
  <c r="H3138" i="24"/>
  <c r="H3139" i="24"/>
  <c r="H3140" i="24"/>
  <c r="H3141" i="24"/>
  <c r="H3142" i="24"/>
  <c r="H3143" i="24"/>
  <c r="H3144" i="24"/>
  <c r="H3145" i="24"/>
  <c r="I3145" i="24" s="1"/>
  <c r="J3145" i="24" s="1"/>
  <c r="H3146" i="24"/>
  <c r="H3147" i="24"/>
  <c r="H3148" i="24"/>
  <c r="H3149" i="24"/>
  <c r="H3150" i="24"/>
  <c r="H3151" i="24"/>
  <c r="H3152" i="24"/>
  <c r="H3153" i="24"/>
  <c r="H3154" i="24"/>
  <c r="H3155" i="24"/>
  <c r="H3156" i="24"/>
  <c r="H3157" i="24"/>
  <c r="H3158" i="24"/>
  <c r="H3159" i="24"/>
  <c r="H3160" i="24"/>
  <c r="H3161" i="24"/>
  <c r="H3162" i="24"/>
  <c r="H3163" i="24"/>
  <c r="H3164" i="24"/>
  <c r="H3165" i="24"/>
  <c r="H3166" i="24"/>
  <c r="H3167" i="24"/>
  <c r="H3168" i="24"/>
  <c r="H3169" i="24"/>
  <c r="H3170" i="24"/>
  <c r="H3171" i="24"/>
  <c r="H3172" i="24"/>
  <c r="H3173" i="24"/>
  <c r="H3174" i="24"/>
  <c r="H3175" i="24"/>
  <c r="H3176" i="24"/>
  <c r="H3177" i="24"/>
  <c r="H3178" i="24"/>
  <c r="H3179" i="24"/>
  <c r="H3180" i="24"/>
  <c r="H3181" i="24"/>
  <c r="H3182" i="24"/>
  <c r="H3183" i="24"/>
  <c r="H3184" i="24"/>
  <c r="H3185" i="24"/>
  <c r="I3185" i="24" s="1"/>
  <c r="J3185" i="24" s="1"/>
  <c r="H3186" i="24"/>
  <c r="H3187" i="24"/>
  <c r="H3188" i="24"/>
  <c r="H3189" i="24"/>
  <c r="H3190" i="24"/>
  <c r="H3191" i="24"/>
  <c r="H3192" i="24"/>
  <c r="H3193" i="24"/>
  <c r="H3194" i="24"/>
  <c r="H3195" i="24"/>
  <c r="H3196" i="24"/>
  <c r="H3197" i="24"/>
  <c r="H3198" i="24"/>
  <c r="H3199" i="24"/>
  <c r="P8" i="2"/>
  <c r="E3011" i="24"/>
  <c r="E3012" i="24"/>
  <c r="E3013" i="24"/>
  <c r="E3014" i="24"/>
  <c r="E3015" i="24"/>
  <c r="E3016" i="24"/>
  <c r="E3017" i="24"/>
  <c r="E3018" i="24"/>
  <c r="E3019" i="24"/>
  <c r="E3020" i="24"/>
  <c r="E3021" i="24"/>
  <c r="E3022" i="24"/>
  <c r="E3023" i="24"/>
  <c r="E3024" i="24"/>
  <c r="E3025" i="24"/>
  <c r="E2947" i="24"/>
  <c r="E2948" i="24"/>
  <c r="E2949" i="24"/>
  <c r="E2950" i="24"/>
  <c r="E2951" i="24"/>
  <c r="E2952" i="24"/>
  <c r="E2953" i="24"/>
  <c r="E2954" i="24"/>
  <c r="E2955" i="24"/>
  <c r="E2956" i="24"/>
  <c r="E2957" i="24"/>
  <c r="E2958" i="24"/>
  <c r="E2959" i="24"/>
  <c r="E2960" i="24"/>
  <c r="E2961" i="24"/>
  <c r="E2962" i="24"/>
  <c r="E2963" i="24"/>
  <c r="E2964" i="24"/>
  <c r="E2965" i="24"/>
  <c r="E2966" i="24"/>
  <c r="E2967" i="24"/>
  <c r="E2968" i="24"/>
  <c r="E2969" i="24"/>
  <c r="E2970" i="24"/>
  <c r="E2971" i="24"/>
  <c r="E2972" i="24"/>
  <c r="E2973" i="24"/>
  <c r="E2974" i="24"/>
  <c r="E2975" i="24"/>
  <c r="E2976" i="24"/>
  <c r="E2977" i="24"/>
  <c r="E2978" i="24"/>
  <c r="E2979" i="24"/>
  <c r="E2980" i="24"/>
  <c r="E2981" i="24"/>
  <c r="E2982" i="24"/>
  <c r="E2983" i="24"/>
  <c r="E2984" i="24"/>
  <c r="E2985" i="24"/>
  <c r="E2986" i="24"/>
  <c r="E2987" i="24"/>
  <c r="E2988" i="24"/>
  <c r="E2989" i="24"/>
  <c r="E2990" i="24"/>
  <c r="E2991" i="24"/>
  <c r="E2992" i="24"/>
  <c r="E2993" i="24"/>
  <c r="E2994" i="24"/>
  <c r="E2995" i="24"/>
  <c r="E2996" i="24"/>
  <c r="E2997" i="24"/>
  <c r="E2998" i="24"/>
  <c r="E2999" i="24"/>
  <c r="E3000" i="24"/>
  <c r="E3001" i="24"/>
  <c r="E3002" i="24"/>
  <c r="E3003" i="24"/>
  <c r="E3004" i="24"/>
  <c r="E3005" i="24"/>
  <c r="E3006" i="24"/>
  <c r="E3007" i="24"/>
  <c r="E3008" i="24"/>
  <c r="E3009" i="24"/>
  <c r="E3010" i="24"/>
  <c r="E2946" i="24"/>
  <c r="E2945" i="24"/>
  <c r="E2944" i="24"/>
  <c r="E2943" i="24"/>
  <c r="E2942" i="24"/>
  <c r="E2941" i="24"/>
  <c r="E2940" i="24"/>
  <c r="E2939" i="24"/>
  <c r="E2938" i="24"/>
  <c r="E2937" i="24"/>
  <c r="E2936" i="24"/>
  <c r="E2935" i="24"/>
  <c r="E2934" i="24"/>
  <c r="E2933" i="24"/>
  <c r="E2932" i="24"/>
  <c r="E2931" i="24"/>
  <c r="E2930" i="24"/>
  <c r="E2929" i="24"/>
  <c r="U104" i="2"/>
  <c r="V104" i="2" s="1"/>
  <c r="B24" i="2" a="1"/>
  <c r="B24" i="2" s="1"/>
  <c r="H2" i="36" s="1"/>
  <c r="W611" i="10"/>
  <c r="I3177" i="24" l="1"/>
  <c r="J3177" i="24" s="1"/>
  <c r="I3169" i="24"/>
  <c r="J3169" i="24" s="1"/>
  <c r="I3161" i="24"/>
  <c r="J3161" i="24" s="1"/>
  <c r="I3137" i="24"/>
  <c r="J3137" i="24" s="1"/>
  <c r="I3129" i="24"/>
  <c r="J3129" i="24" s="1"/>
  <c r="I3121" i="24"/>
  <c r="J3121" i="24" s="1"/>
  <c r="I3184" i="24"/>
  <c r="J3184" i="24" s="1"/>
  <c r="I3176" i="24"/>
  <c r="J3176" i="24" s="1"/>
  <c r="I3168" i="24"/>
  <c r="J3168" i="24" s="1"/>
  <c r="I3160" i="24"/>
  <c r="J3160" i="24" s="1"/>
  <c r="I3144" i="24"/>
  <c r="J3144" i="24" s="1"/>
  <c r="I3136" i="24"/>
  <c r="J3136" i="24" s="1"/>
  <c r="I3128" i="24"/>
  <c r="J3128" i="24" s="1"/>
  <c r="I3120" i="24"/>
  <c r="J3120" i="24" s="1"/>
  <c r="I3183" i="24"/>
  <c r="J3183" i="24" s="1"/>
  <c r="I3182" i="24"/>
  <c r="J3182" i="24" s="1"/>
  <c r="I3174" i="24"/>
  <c r="J3174" i="24" s="1"/>
  <c r="I3166" i="24"/>
  <c r="J3166" i="24" s="1"/>
  <c r="I3158" i="24"/>
  <c r="J3158" i="24" s="1"/>
  <c r="I3150" i="24"/>
  <c r="J3150" i="24" s="1"/>
  <c r="I3142" i="24"/>
  <c r="J3142" i="24" s="1"/>
  <c r="I3134" i="24"/>
  <c r="J3134" i="24" s="1"/>
  <c r="I3126" i="24"/>
  <c r="J3126" i="24" s="1"/>
  <c r="I3094" i="24"/>
  <c r="J3094" i="24" s="1"/>
  <c r="I3086" i="24"/>
  <c r="J3086" i="24" s="1"/>
  <c r="I3180" i="24"/>
  <c r="J3180" i="24" s="1"/>
  <c r="I3172" i="24"/>
  <c r="J3172" i="24" s="1"/>
  <c r="I3164" i="24"/>
  <c r="J3164" i="24" s="1"/>
  <c r="I3156" i="24"/>
  <c r="J3156" i="24" s="1"/>
  <c r="I3148" i="24"/>
  <c r="J3148" i="24" s="1"/>
  <c r="I3140" i="24"/>
  <c r="J3140" i="24" s="1"/>
  <c r="I3132" i="24"/>
  <c r="J3132" i="24" s="1"/>
  <c r="I3124" i="24"/>
  <c r="J3124" i="24" s="1"/>
  <c r="I3084" i="24"/>
  <c r="J3084" i="24" s="1"/>
  <c r="I3076" i="24"/>
  <c r="J3076" i="24" s="1"/>
  <c r="I3068" i="24"/>
  <c r="J3068" i="24" s="1"/>
  <c r="I3052" i="24"/>
  <c r="J3052" i="24" s="1"/>
  <c r="I3044" i="24"/>
  <c r="J3044" i="24" s="1"/>
  <c r="I3036" i="24"/>
  <c r="J3036" i="24" s="1"/>
  <c r="I3187" i="24"/>
  <c r="J3187" i="24" s="1"/>
  <c r="I3179" i="24"/>
  <c r="J3179" i="24" s="1"/>
  <c r="I3171" i="24"/>
  <c r="J3171" i="24" s="1"/>
  <c r="I3163" i="24"/>
  <c r="J3163" i="24" s="1"/>
  <c r="I3147" i="24"/>
  <c r="J3147" i="24" s="1"/>
  <c r="I3139" i="24"/>
  <c r="J3139" i="24" s="1"/>
  <c r="I3131" i="24"/>
  <c r="J3131" i="24" s="1"/>
  <c r="I3123" i="24"/>
  <c r="J3123" i="24" s="1"/>
  <c r="I3083" i="24"/>
  <c r="J3083" i="24" s="1"/>
  <c r="I3075" i="24"/>
  <c r="J3075" i="24" s="1"/>
  <c r="I3067" i="24"/>
  <c r="J3067" i="24" s="1"/>
  <c r="I3051" i="24"/>
  <c r="J3051" i="24" s="1"/>
  <c r="I3043" i="24"/>
  <c r="J3043" i="24" s="1"/>
  <c r="I3035" i="24"/>
  <c r="J3035" i="24" s="1"/>
  <c r="I3186" i="24"/>
  <c r="J3186" i="24" s="1"/>
  <c r="I3178" i="24"/>
  <c r="J3178" i="24" s="1"/>
  <c r="I3170" i="24"/>
  <c r="J3170" i="24" s="1"/>
  <c r="I3162" i="24"/>
  <c r="J3162" i="24" s="1"/>
  <c r="I3146" i="24"/>
  <c r="J3146" i="24" s="1"/>
  <c r="I3138" i="24"/>
  <c r="J3138" i="24" s="1"/>
  <c r="I3130" i="24"/>
  <c r="J3130" i="24" s="1"/>
  <c r="I3122" i="24"/>
  <c r="J3122" i="24" s="1"/>
  <c r="I3090" i="24"/>
  <c r="J3090" i="24" s="1"/>
  <c r="I3082" i="24"/>
  <c r="J3082" i="24" s="1"/>
  <c r="I3074" i="24"/>
  <c r="J3074" i="24" s="1"/>
  <c r="I3066" i="24"/>
  <c r="J3066" i="24" s="1"/>
  <c r="I3058" i="24"/>
  <c r="J3058" i="24" s="1"/>
  <c r="I3050" i="24"/>
  <c r="J3050" i="24" s="1"/>
  <c r="I3042" i="24"/>
  <c r="J3042" i="24" s="1"/>
  <c r="I3034" i="24"/>
  <c r="J3034" i="24" s="1"/>
  <c r="I3089" i="24"/>
  <c r="J3089" i="24" s="1"/>
  <c r="I3081" i="24"/>
  <c r="J3081" i="24" s="1"/>
  <c r="I3073" i="24"/>
  <c r="J3073" i="24" s="1"/>
  <c r="I3065" i="24"/>
  <c r="J3065" i="24" s="1"/>
  <c r="I3057" i="24"/>
  <c r="J3057" i="24" s="1"/>
  <c r="I3049" i="24"/>
  <c r="J3049" i="24" s="1"/>
  <c r="I3041" i="24"/>
  <c r="J3041" i="24" s="1"/>
  <c r="I3033" i="24"/>
  <c r="J3033" i="24" s="1"/>
  <c r="I3088" i="24"/>
  <c r="J3088" i="24" s="1"/>
  <c r="I3080" i="24"/>
  <c r="J3080" i="24" s="1"/>
  <c r="I3072" i="24"/>
  <c r="J3072" i="24" s="1"/>
  <c r="I3064" i="24"/>
  <c r="J3064" i="24" s="1"/>
  <c r="I3056" i="24"/>
  <c r="J3056" i="24" s="1"/>
  <c r="I3048" i="24"/>
  <c r="J3048" i="24" s="1"/>
  <c r="I3040" i="24"/>
  <c r="J3040" i="24" s="1"/>
  <c r="I3032" i="24"/>
  <c r="J3032" i="24" s="1"/>
  <c r="I3175" i="24"/>
  <c r="J3175" i="24" s="1"/>
  <c r="I3167" i="24"/>
  <c r="J3167" i="24" s="1"/>
  <c r="I3159" i="24"/>
  <c r="J3159" i="24" s="1"/>
  <c r="I3151" i="24"/>
  <c r="J3151" i="24" s="1"/>
  <c r="I3143" i="24"/>
  <c r="J3143" i="24" s="1"/>
  <c r="I3135" i="24"/>
  <c r="J3135" i="24" s="1"/>
  <c r="I3127" i="24"/>
  <c r="J3127" i="24" s="1"/>
  <c r="I3095" i="24"/>
  <c r="J3095" i="24" s="1"/>
  <c r="I3087" i="24"/>
  <c r="J3087" i="24" s="1"/>
  <c r="I3079" i="24"/>
  <c r="J3079" i="24" s="1"/>
  <c r="I3071" i="24"/>
  <c r="J3071" i="24" s="1"/>
  <c r="I3063" i="24"/>
  <c r="J3063" i="24" s="1"/>
  <c r="I3055" i="24"/>
  <c r="J3055" i="24" s="1"/>
  <c r="I3047" i="24"/>
  <c r="J3047" i="24" s="1"/>
  <c r="I3039" i="24"/>
  <c r="J3039" i="24" s="1"/>
  <c r="I3078" i="24"/>
  <c r="J3078" i="24" s="1"/>
  <c r="I3070" i="24"/>
  <c r="J3070" i="24" s="1"/>
  <c r="I3062" i="24"/>
  <c r="J3062" i="24" s="1"/>
  <c r="I3054" i="24"/>
  <c r="J3054" i="24" s="1"/>
  <c r="I3046" i="24"/>
  <c r="J3046" i="24" s="1"/>
  <c r="I3038" i="24"/>
  <c r="J3038" i="24" s="1"/>
  <c r="I3181" i="24"/>
  <c r="J3181" i="24" s="1"/>
  <c r="I3173" i="24"/>
  <c r="J3173" i="24" s="1"/>
  <c r="I3165" i="24"/>
  <c r="J3165" i="24" s="1"/>
  <c r="I3157" i="24"/>
  <c r="J3157" i="24" s="1"/>
  <c r="I3149" i="24"/>
  <c r="J3149" i="24" s="1"/>
  <c r="I3141" i="24"/>
  <c r="J3141" i="24" s="1"/>
  <c r="I3133" i="24"/>
  <c r="J3133" i="24" s="1"/>
  <c r="I3125" i="24"/>
  <c r="J3125" i="24" s="1"/>
  <c r="I3093" i="24"/>
  <c r="J3093" i="24" s="1"/>
  <c r="I3085" i="24"/>
  <c r="J3085" i="24" s="1"/>
  <c r="I3077" i="24"/>
  <c r="J3077" i="24" s="1"/>
  <c r="I3069" i="24"/>
  <c r="J3069" i="24" s="1"/>
  <c r="I3061" i="24"/>
  <c r="J3061" i="24" s="1"/>
  <c r="I3053" i="24"/>
  <c r="J3053" i="24" s="1"/>
  <c r="I3045" i="24"/>
  <c r="J3045" i="24" s="1"/>
  <c r="I3037" i="24"/>
  <c r="J3037" i="24" s="1"/>
  <c r="H99" i="36"/>
  <c r="H71" i="36"/>
  <c r="H247" i="36"/>
  <c r="H11" i="36"/>
  <c r="H216" i="36"/>
  <c r="H41" i="36"/>
  <c r="H187" i="36"/>
  <c r="H159" i="36"/>
  <c r="H129" i="36"/>
  <c r="H264" i="36"/>
  <c r="H207" i="36"/>
  <c r="H176" i="36"/>
  <c r="H147" i="36"/>
  <c r="H119" i="36"/>
  <c r="H88" i="36"/>
  <c r="H59" i="36"/>
  <c r="H31" i="36"/>
  <c r="H233" i="36"/>
  <c r="H203" i="36"/>
  <c r="H145" i="36"/>
  <c r="H118" i="36"/>
  <c r="H87" i="36"/>
  <c r="H30" i="36"/>
  <c r="H262" i="36"/>
  <c r="H232" i="36"/>
  <c r="H201" i="36"/>
  <c r="H174" i="36"/>
  <c r="H144" i="36"/>
  <c r="H113" i="36"/>
  <c r="H86" i="36"/>
  <c r="H56" i="36"/>
  <c r="H27" i="36"/>
  <c r="H235" i="36"/>
  <c r="H257" i="36"/>
  <c r="H227" i="36"/>
  <c r="H199" i="36"/>
  <c r="H169" i="36"/>
  <c r="H139" i="36"/>
  <c r="H111" i="36"/>
  <c r="H81" i="36"/>
  <c r="H54" i="36"/>
  <c r="H23" i="36"/>
  <c r="H241" i="36"/>
  <c r="H214" i="36"/>
  <c r="H184" i="36"/>
  <c r="H155" i="36"/>
  <c r="H126" i="36"/>
  <c r="H96" i="36"/>
  <c r="H67" i="36"/>
  <c r="H38" i="36"/>
  <c r="H8" i="36"/>
  <c r="H263" i="36"/>
  <c r="H175" i="36"/>
  <c r="H57" i="36"/>
  <c r="H249" i="36"/>
  <c r="H222" i="36"/>
  <c r="H191" i="36"/>
  <c r="H161" i="36"/>
  <c r="H134" i="36"/>
  <c r="H104" i="36"/>
  <c r="H73" i="36"/>
  <c r="H46" i="36"/>
  <c r="H16" i="36"/>
  <c r="H248" i="36"/>
  <c r="H219" i="36"/>
  <c r="H190" i="36"/>
  <c r="H160" i="36"/>
  <c r="H131" i="36"/>
  <c r="H102" i="36"/>
  <c r="H72" i="36"/>
  <c r="H43" i="36"/>
  <c r="H15" i="36"/>
  <c r="H240" i="36"/>
  <c r="H211" i="36"/>
  <c r="H183" i="36"/>
  <c r="H152" i="36"/>
  <c r="H123" i="36"/>
  <c r="H80" i="36"/>
  <c r="H49" i="36"/>
  <c r="H7" i="36"/>
  <c r="H267" i="36"/>
  <c r="H254" i="36"/>
  <c r="H239" i="36"/>
  <c r="H224" i="36"/>
  <c r="H209" i="36"/>
  <c r="H195" i="36"/>
  <c r="H182" i="36"/>
  <c r="H166" i="36"/>
  <c r="H151" i="36"/>
  <c r="H136" i="36"/>
  <c r="H121" i="36"/>
  <c r="H107" i="36"/>
  <c r="H94" i="36"/>
  <c r="H79" i="36"/>
  <c r="H63" i="36"/>
  <c r="H48" i="36"/>
  <c r="H33" i="36"/>
  <c r="H19" i="36"/>
  <c r="H6" i="36"/>
  <c r="H255" i="36"/>
  <c r="H225" i="36"/>
  <c r="H198" i="36"/>
  <c r="H168" i="36"/>
  <c r="H137" i="36"/>
  <c r="H110" i="36"/>
  <c r="H95" i="36"/>
  <c r="H65" i="36"/>
  <c r="H35" i="36"/>
  <c r="H22" i="36"/>
  <c r="H265" i="36"/>
  <c r="H251" i="36"/>
  <c r="H238" i="36"/>
  <c r="H223" i="36"/>
  <c r="H208" i="36"/>
  <c r="H193" i="36"/>
  <c r="H177" i="36"/>
  <c r="H163" i="36"/>
  <c r="H150" i="36"/>
  <c r="H135" i="36"/>
  <c r="H120" i="36"/>
  <c r="H105" i="36"/>
  <c r="H91" i="36"/>
  <c r="H75" i="36"/>
  <c r="H62" i="36"/>
  <c r="H47" i="36"/>
  <c r="H32" i="36"/>
  <c r="H17" i="36"/>
  <c r="H3" i="36"/>
  <c r="H259" i="36"/>
  <c r="H246" i="36"/>
  <c r="H230" i="36"/>
  <c r="H215" i="36"/>
  <c r="H200" i="36"/>
  <c r="H185" i="36"/>
  <c r="H171" i="36"/>
  <c r="H158" i="36"/>
  <c r="H143" i="36"/>
  <c r="H127" i="36"/>
  <c r="H112" i="36"/>
  <c r="H97" i="36"/>
  <c r="H83" i="36"/>
  <c r="H70" i="36"/>
  <c r="H55" i="36"/>
  <c r="H40" i="36"/>
  <c r="H24" i="36"/>
  <c r="H9" i="36"/>
  <c r="H256" i="36"/>
  <c r="H243" i="36"/>
  <c r="H231" i="36"/>
  <c r="H217" i="36"/>
  <c r="H206" i="36"/>
  <c r="H192" i="36"/>
  <c r="H179" i="36"/>
  <c r="H167" i="36"/>
  <c r="H153" i="36"/>
  <c r="H142" i="36"/>
  <c r="H128" i="36"/>
  <c r="H115" i="36"/>
  <c r="H103" i="36"/>
  <c r="H89" i="36"/>
  <c r="H78" i="36"/>
  <c r="H64" i="36"/>
  <c r="H51" i="36"/>
  <c r="H39" i="36"/>
  <c r="H25" i="36"/>
  <c r="H14" i="36"/>
  <c r="H261" i="36"/>
  <c r="H253" i="36"/>
  <c r="H245" i="36"/>
  <c r="H237" i="36"/>
  <c r="H229" i="36"/>
  <c r="H221" i="36"/>
  <c r="H213" i="36"/>
  <c r="H205" i="36"/>
  <c r="H197" i="36"/>
  <c r="H189" i="36"/>
  <c r="H181" i="36"/>
  <c r="H173" i="36"/>
  <c r="H165" i="36"/>
  <c r="H157" i="36"/>
  <c r="H149" i="36"/>
  <c r="H141" i="36"/>
  <c r="H133" i="36"/>
  <c r="H125" i="36"/>
  <c r="H117" i="36"/>
  <c r="H109" i="36"/>
  <c r="H101" i="36"/>
  <c r="H93" i="36"/>
  <c r="H85" i="36"/>
  <c r="H77" i="36"/>
  <c r="H69" i="36"/>
  <c r="H61" i="36"/>
  <c r="H53" i="36"/>
  <c r="H45" i="36"/>
  <c r="H37" i="36"/>
  <c r="H29" i="36"/>
  <c r="H21" i="36"/>
  <c r="H13" i="36"/>
  <c r="H5" i="36"/>
  <c r="H268" i="36"/>
  <c r="H260" i="36"/>
  <c r="H252" i="36"/>
  <c r="H244" i="36"/>
  <c r="H236" i="36"/>
  <c r="H228" i="36"/>
  <c r="H220" i="36"/>
  <c r="H212" i="36"/>
  <c r="H204" i="36"/>
  <c r="H196" i="36"/>
  <c r="H188" i="36"/>
  <c r="H180" i="36"/>
  <c r="H172" i="36"/>
  <c r="H164" i="36"/>
  <c r="H156" i="36"/>
  <c r="H148" i="36"/>
  <c r="H140" i="36"/>
  <c r="H132" i="36"/>
  <c r="H124" i="36"/>
  <c r="H116" i="36"/>
  <c r="H108" i="36"/>
  <c r="H100" i="36"/>
  <c r="H92" i="36"/>
  <c r="H84" i="36"/>
  <c r="H76" i="36"/>
  <c r="H68" i="36"/>
  <c r="H60" i="36"/>
  <c r="H52" i="36"/>
  <c r="H44" i="36"/>
  <c r="H36" i="36"/>
  <c r="H28" i="36"/>
  <c r="H20" i="36"/>
  <c r="H12" i="36"/>
  <c r="H4" i="36"/>
  <c r="H266" i="36"/>
  <c r="H258" i="36"/>
  <c r="H250" i="36"/>
  <c r="H242" i="36"/>
  <c r="H234" i="36"/>
  <c r="H226" i="36"/>
  <c r="H218" i="36"/>
  <c r="H210" i="36"/>
  <c r="H202" i="36"/>
  <c r="H194" i="36"/>
  <c r="H186" i="36"/>
  <c r="H178" i="36"/>
  <c r="H170" i="36"/>
  <c r="H162" i="36"/>
  <c r="H154" i="36"/>
  <c r="H146" i="36"/>
  <c r="H138" i="36"/>
  <c r="H130" i="36"/>
  <c r="H122" i="36"/>
  <c r="H114" i="36"/>
  <c r="H106" i="36"/>
  <c r="H98" i="36"/>
  <c r="H90" i="36"/>
  <c r="H82" i="36"/>
  <c r="H74" i="36"/>
  <c r="H66" i="36"/>
  <c r="H58" i="36"/>
  <c r="H50" i="36"/>
  <c r="H42" i="36"/>
  <c r="H34" i="36"/>
  <c r="H26" i="36"/>
  <c r="H18" i="36"/>
  <c r="H10" i="36"/>
  <c r="B11" i="40"/>
  <c r="P914" i="10"/>
  <c r="P915" i="10"/>
  <c r="P916" i="10"/>
  <c r="P917" i="10"/>
  <c r="P918" i="10"/>
  <c r="P919" i="10"/>
  <c r="P920" i="10"/>
  <c r="P921" i="10"/>
  <c r="P922" i="10"/>
  <c r="P923" i="10"/>
  <c r="P924" i="10"/>
  <c r="P925" i="10"/>
  <c r="P926" i="10"/>
  <c r="P927" i="10"/>
  <c r="P928" i="10"/>
  <c r="P929" i="10"/>
  <c r="P930" i="10"/>
  <c r="P931" i="10"/>
  <c r="P932" i="10"/>
  <c r="P933" i="10"/>
  <c r="P934" i="10"/>
  <c r="P935" i="10"/>
  <c r="P936" i="10"/>
  <c r="P937" i="10"/>
  <c r="P938" i="10"/>
  <c r="P939" i="10"/>
  <c r="P940" i="10"/>
  <c r="P941" i="10"/>
  <c r="P942" i="10"/>
  <c r="P943" i="10"/>
  <c r="P944" i="10"/>
  <c r="P945" i="10"/>
  <c r="P946" i="10"/>
  <c r="P947" i="10"/>
  <c r="P948" i="10"/>
  <c r="P949" i="10"/>
  <c r="P950" i="10"/>
  <c r="P951" i="10"/>
  <c r="P952" i="10"/>
  <c r="P953" i="10"/>
  <c r="P954" i="10"/>
  <c r="P955" i="10"/>
  <c r="P956" i="10"/>
  <c r="P957" i="10"/>
  <c r="P958" i="10"/>
  <c r="P959" i="10"/>
  <c r="P960" i="10"/>
  <c r="P961" i="10"/>
  <c r="P962" i="10"/>
  <c r="P963" i="10"/>
  <c r="P964" i="10"/>
  <c r="P965" i="10"/>
  <c r="P966" i="10"/>
  <c r="P967" i="10"/>
  <c r="P968" i="10"/>
  <c r="P969" i="10"/>
  <c r="P970" i="10"/>
  <c r="P971" i="10"/>
  <c r="P972" i="10"/>
  <c r="P973" i="10"/>
  <c r="P974" i="10"/>
  <c r="P975" i="10"/>
  <c r="P976" i="10"/>
  <c r="P977" i="10"/>
  <c r="P978" i="10"/>
  <c r="P979" i="10"/>
  <c r="P980" i="10"/>
  <c r="P981" i="10"/>
  <c r="P982" i="10"/>
  <c r="P983" i="10"/>
  <c r="P984" i="10"/>
  <c r="P985" i="10"/>
  <c r="P986" i="10"/>
  <c r="P987" i="10"/>
  <c r="P988" i="10"/>
  <c r="P989" i="10"/>
  <c r="P990" i="10"/>
  <c r="P991" i="10"/>
  <c r="P992" i="10"/>
  <c r="P993" i="10"/>
  <c r="P994" i="10"/>
  <c r="P995" i="10"/>
  <c r="P996" i="10"/>
  <c r="P997" i="10"/>
  <c r="P998" i="10"/>
  <c r="P999" i="10"/>
  <c r="P1000" i="10"/>
  <c r="P1001" i="10"/>
  <c r="P1002" i="10"/>
  <c r="P1003" i="10"/>
  <c r="P1004" i="10"/>
  <c r="P1005" i="10"/>
  <c r="P1006" i="10"/>
  <c r="P1007" i="10"/>
  <c r="P1008" i="10"/>
  <c r="P1009" i="10"/>
  <c r="P1010" i="10"/>
  <c r="P1011" i="10"/>
  <c r="P1012" i="10"/>
  <c r="P1013" i="10"/>
  <c r="P1014" i="10"/>
  <c r="P1015" i="10"/>
  <c r="P1016" i="10"/>
  <c r="P1017" i="10"/>
  <c r="P1018" i="10"/>
  <c r="P1019" i="10"/>
  <c r="P1020" i="10"/>
  <c r="P1021" i="10"/>
  <c r="P1022" i="10"/>
  <c r="P1023" i="10"/>
  <c r="P1024" i="10"/>
  <c r="P1025" i="10"/>
  <c r="P1026" i="10"/>
  <c r="P1027" i="10"/>
  <c r="P1028" i="10"/>
  <c r="P1029" i="10"/>
  <c r="P1030" i="10"/>
  <c r="P1031" i="10"/>
  <c r="P1032" i="10"/>
  <c r="P1033" i="10"/>
  <c r="P1034" i="10"/>
  <c r="P1035" i="10"/>
  <c r="P1036" i="10"/>
  <c r="P1037" i="10"/>
  <c r="P1038" i="10"/>
  <c r="P1039" i="10"/>
  <c r="P1040" i="10"/>
  <c r="P1041" i="10"/>
  <c r="P1042" i="10"/>
  <c r="P1043" i="10"/>
  <c r="P1044" i="10"/>
  <c r="P1045" i="10"/>
  <c r="P1046" i="10"/>
  <c r="P1047" i="10"/>
  <c r="P1048" i="10"/>
  <c r="P1049" i="10"/>
  <c r="P1050" i="10"/>
  <c r="P1051" i="10"/>
  <c r="P1052" i="10"/>
  <c r="P1053" i="10"/>
  <c r="P1054" i="10"/>
  <c r="P1055" i="10"/>
  <c r="P1056" i="10"/>
  <c r="P1057" i="10"/>
  <c r="P1058" i="10"/>
  <c r="P1059" i="10"/>
  <c r="P1060" i="10"/>
  <c r="P1061" i="10"/>
  <c r="P1062" i="10"/>
  <c r="P1063" i="10"/>
  <c r="P1064" i="10"/>
  <c r="P1065" i="10"/>
  <c r="P1066" i="10"/>
  <c r="P1067" i="10"/>
  <c r="P1068" i="10"/>
  <c r="P1069" i="10"/>
  <c r="P1070" i="10"/>
  <c r="P1071" i="10"/>
  <c r="P1072" i="10"/>
  <c r="P1073" i="10"/>
  <c r="P1074" i="10"/>
  <c r="P1075" i="10"/>
  <c r="P1076" i="10"/>
  <c r="P1077" i="10"/>
  <c r="P1078" i="10"/>
  <c r="P1079" i="10"/>
  <c r="P1080" i="10"/>
  <c r="P1081" i="10"/>
  <c r="P1082" i="10"/>
  <c r="P1083" i="10"/>
  <c r="P1084" i="10"/>
  <c r="P1085" i="10"/>
  <c r="P1086" i="10"/>
  <c r="P1087" i="10"/>
  <c r="P1088" i="10"/>
  <c r="P1089" i="10"/>
  <c r="P1090" i="10"/>
  <c r="P1091" i="10"/>
  <c r="P1092" i="10"/>
  <c r="P1093" i="10"/>
  <c r="P1094" i="10"/>
  <c r="P1095" i="10"/>
  <c r="P1096" i="10"/>
  <c r="P1097" i="10"/>
  <c r="P1098" i="10"/>
  <c r="P1099" i="10"/>
  <c r="P1100" i="10"/>
  <c r="P1101" i="10"/>
  <c r="P1102" i="10"/>
  <c r="P1103" i="10"/>
  <c r="P1104" i="10"/>
  <c r="P1105" i="10"/>
  <c r="P1106" i="10"/>
  <c r="P1107" i="10"/>
  <c r="P1108" i="10"/>
  <c r="P1109" i="10"/>
  <c r="P1110" i="10"/>
  <c r="P1111" i="10"/>
  <c r="P1112" i="10"/>
  <c r="P1113" i="10"/>
  <c r="P1114" i="10"/>
  <c r="P1115" i="10"/>
  <c r="P1116" i="10"/>
  <c r="P1117" i="10"/>
  <c r="P1118" i="10"/>
  <c r="P1119" i="10"/>
  <c r="P1120" i="10"/>
  <c r="P1121" i="10"/>
  <c r="P1122" i="10"/>
  <c r="P1123" i="10"/>
  <c r="P1124" i="10"/>
  <c r="P1125" i="10"/>
  <c r="P1126" i="10"/>
  <c r="P1127" i="10"/>
  <c r="P1128" i="10"/>
  <c r="P1129" i="10"/>
  <c r="P1130" i="10"/>
  <c r="P1131" i="10"/>
  <c r="P1132" i="10"/>
  <c r="P1133" i="10"/>
  <c r="P1134" i="10"/>
  <c r="P1135" i="10"/>
  <c r="P1136" i="10"/>
  <c r="P1137" i="10"/>
  <c r="P1138" i="10"/>
  <c r="P1139" i="10"/>
  <c r="P1140" i="10"/>
  <c r="P1141" i="10"/>
  <c r="P1142" i="10"/>
  <c r="P1143" i="10"/>
  <c r="P1144" i="10"/>
  <c r="P1145" i="10"/>
  <c r="P1146" i="10"/>
  <c r="P1147" i="10"/>
  <c r="P1148" i="10"/>
  <c r="P1149" i="10"/>
  <c r="P1150" i="10"/>
  <c r="P1151" i="10"/>
  <c r="P1152" i="10"/>
  <c r="P1153" i="10"/>
  <c r="P1154" i="10"/>
  <c r="P1155" i="10"/>
  <c r="P1156" i="10"/>
  <c r="P1157" i="10"/>
  <c r="P1158" i="10"/>
  <c r="P1159" i="10"/>
  <c r="P1160" i="10"/>
  <c r="P1161" i="10"/>
  <c r="P1162" i="10"/>
  <c r="P1163" i="10"/>
  <c r="P1164" i="10"/>
  <c r="P1165" i="10"/>
  <c r="P1166" i="10"/>
  <c r="P1167" i="10"/>
  <c r="P1168" i="10"/>
  <c r="P1169" i="10"/>
  <c r="P1170" i="10"/>
  <c r="P1171" i="10"/>
  <c r="P1172" i="10"/>
  <c r="P1173" i="10"/>
  <c r="P1174" i="10"/>
  <c r="P1175" i="10"/>
  <c r="P1176" i="10"/>
  <c r="P1177" i="10"/>
  <c r="P1178" i="10"/>
  <c r="P1179" i="10"/>
  <c r="P1180" i="10"/>
  <c r="P1181" i="10"/>
  <c r="P1182" i="10"/>
  <c r="P1183" i="10"/>
  <c r="P1184" i="10"/>
  <c r="P1185" i="10"/>
  <c r="P1186" i="10"/>
  <c r="P1187" i="10"/>
  <c r="P1188" i="10"/>
  <c r="P1189" i="10"/>
  <c r="P1190" i="10"/>
  <c r="P1191" i="10"/>
  <c r="P1192" i="10"/>
  <c r="P1193" i="10"/>
  <c r="P1194" i="10"/>
  <c r="P1195" i="10"/>
  <c r="P1196" i="10"/>
  <c r="P1197" i="10"/>
  <c r="P1198" i="10"/>
  <c r="P1199" i="10"/>
  <c r="P1200" i="10"/>
  <c r="P1201" i="10"/>
  <c r="P1202" i="10"/>
  <c r="P1203" i="10"/>
  <c r="P1204" i="10"/>
  <c r="P1205" i="10"/>
  <c r="P1206" i="10"/>
  <c r="P1207" i="10"/>
  <c r="P1208" i="10"/>
  <c r="P1209" i="10"/>
  <c r="P1210" i="10"/>
  <c r="P1211" i="10"/>
  <c r="P1212" i="10"/>
  <c r="P1213" i="10"/>
  <c r="P1214" i="10"/>
  <c r="P1215" i="10"/>
  <c r="P831" i="10"/>
  <c r="P832" i="10"/>
  <c r="P833" i="10"/>
  <c r="P834" i="10"/>
  <c r="P835" i="10"/>
  <c r="P836" i="10"/>
  <c r="P837" i="10"/>
  <c r="P838" i="10"/>
  <c r="P839" i="10"/>
  <c r="P840" i="10"/>
  <c r="P841" i="10"/>
  <c r="P842" i="10"/>
  <c r="P843" i="10"/>
  <c r="P844" i="10"/>
  <c r="P845" i="10"/>
  <c r="P846" i="10"/>
  <c r="P847" i="10"/>
  <c r="P848" i="10"/>
  <c r="P849" i="10"/>
  <c r="P850" i="10"/>
  <c r="P851" i="10"/>
  <c r="P852" i="10"/>
  <c r="P853" i="10"/>
  <c r="P854" i="10"/>
  <c r="P855" i="10"/>
  <c r="P856" i="10"/>
  <c r="P857" i="10"/>
  <c r="P858" i="10"/>
  <c r="P859" i="10"/>
  <c r="P860" i="10"/>
  <c r="P861" i="10"/>
  <c r="P862" i="10"/>
  <c r="P863" i="10"/>
  <c r="P864" i="10"/>
  <c r="P865" i="10"/>
  <c r="P866" i="10"/>
  <c r="P867" i="10"/>
  <c r="P868" i="10"/>
  <c r="P869" i="10"/>
  <c r="P870" i="10"/>
  <c r="P871" i="10"/>
  <c r="P872" i="10"/>
  <c r="P873" i="10"/>
  <c r="P874" i="10"/>
  <c r="P875" i="10"/>
  <c r="P876" i="10"/>
  <c r="P877" i="10"/>
  <c r="P878" i="10"/>
  <c r="P879" i="10"/>
  <c r="P880" i="10"/>
  <c r="P881" i="10"/>
  <c r="P882" i="10"/>
  <c r="P883" i="10"/>
  <c r="P884" i="10"/>
  <c r="P885" i="10"/>
  <c r="P886" i="10"/>
  <c r="P887" i="10"/>
  <c r="P888" i="10"/>
  <c r="P889" i="10"/>
  <c r="P890" i="10"/>
  <c r="P891" i="10"/>
  <c r="P892" i="10"/>
  <c r="P893" i="10"/>
  <c r="P894" i="10"/>
  <c r="P895" i="10"/>
  <c r="P896" i="10"/>
  <c r="P897" i="10"/>
  <c r="P898" i="10"/>
  <c r="P899" i="10"/>
  <c r="P900" i="10"/>
  <c r="P901" i="10"/>
  <c r="P902" i="10"/>
  <c r="P903" i="10"/>
  <c r="P904" i="10"/>
  <c r="P905" i="10"/>
  <c r="P906" i="10"/>
  <c r="P907" i="10"/>
  <c r="P908" i="10"/>
  <c r="P909" i="10"/>
  <c r="P910" i="10"/>
  <c r="P911" i="10"/>
  <c r="P912" i="10"/>
  <c r="P913" i="10"/>
  <c r="G22" i="2" a="1"/>
  <c r="G22" i="2" s="1"/>
  <c r="O1203" i="10" l="1"/>
  <c r="O1197" i="10"/>
  <c r="O1191" i="10"/>
  <c r="W1161" i="10"/>
  <c r="W1157" i="10"/>
  <c r="E251" i="36" l="1"/>
  <c r="E252" i="36"/>
  <c r="E253" i="36"/>
  <c r="E254" i="36"/>
  <c r="E255" i="36"/>
  <c r="E256" i="36"/>
  <c r="E257" i="36"/>
  <c r="E258" i="36"/>
  <c r="E259" i="36"/>
  <c r="E260" i="36"/>
  <c r="E261" i="36"/>
  <c r="E262" i="36"/>
  <c r="E263" i="36"/>
  <c r="E264" i="36"/>
  <c r="E265" i="36"/>
  <c r="E266" i="36"/>
  <c r="E267" i="36"/>
  <c r="E268" i="36"/>
  <c r="E126" i="36"/>
  <c r="E127" i="36"/>
  <c r="E128" i="36"/>
  <c r="E129" i="36"/>
  <c r="E130" i="36"/>
  <c r="E131" i="36"/>
  <c r="E132" i="36"/>
  <c r="E133" i="36"/>
  <c r="E134" i="36"/>
  <c r="E135" i="36"/>
  <c r="E136" i="36"/>
  <c r="E137" i="36"/>
  <c r="E138" i="36"/>
  <c r="E139" i="36"/>
  <c r="E140" i="36"/>
  <c r="E141" i="36"/>
  <c r="E142" i="36"/>
  <c r="E143" i="36"/>
  <c r="E144" i="36"/>
  <c r="E145" i="36"/>
  <c r="E146" i="36"/>
  <c r="E147" i="36"/>
  <c r="E148" i="36"/>
  <c r="E149" i="36"/>
  <c r="E150" i="36"/>
  <c r="E151" i="36"/>
  <c r="E152" i="36"/>
  <c r="E153" i="36"/>
  <c r="E154" i="36"/>
  <c r="E155" i="36"/>
  <c r="E156" i="36"/>
  <c r="E157" i="36"/>
  <c r="E158" i="36"/>
  <c r="E159" i="36"/>
  <c r="E160" i="36"/>
  <c r="E161" i="36"/>
  <c r="E162" i="36"/>
  <c r="E163" i="36"/>
  <c r="E164" i="36"/>
  <c r="E165" i="36"/>
  <c r="E166" i="36"/>
  <c r="E167" i="36"/>
  <c r="E168" i="36"/>
  <c r="E169" i="36"/>
  <c r="E170" i="36"/>
  <c r="E171" i="36"/>
  <c r="E172" i="36"/>
  <c r="E173" i="36"/>
  <c r="E174" i="36"/>
  <c r="E175" i="36"/>
  <c r="E176" i="36"/>
  <c r="E177" i="36"/>
  <c r="E178" i="36"/>
  <c r="E179" i="36"/>
  <c r="E180" i="36"/>
  <c r="E181" i="36"/>
  <c r="E182" i="36"/>
  <c r="E183" i="36"/>
  <c r="E184" i="36"/>
  <c r="E185" i="36"/>
  <c r="E186" i="36"/>
  <c r="E187" i="36"/>
  <c r="E188" i="36"/>
  <c r="E189" i="36"/>
  <c r="E190" i="36"/>
  <c r="E191" i="36"/>
  <c r="E192" i="36"/>
  <c r="E193" i="36"/>
  <c r="E194" i="36"/>
  <c r="E195" i="36"/>
  <c r="E196" i="36"/>
  <c r="E197" i="36"/>
  <c r="E198" i="36"/>
  <c r="E199" i="36"/>
  <c r="E200" i="36"/>
  <c r="E201" i="36"/>
  <c r="E202" i="36"/>
  <c r="E203" i="36"/>
  <c r="E204" i="36"/>
  <c r="E205" i="36"/>
  <c r="E206" i="36"/>
  <c r="E207" i="36"/>
  <c r="E208" i="36"/>
  <c r="E209" i="36"/>
  <c r="E210" i="36"/>
  <c r="E211" i="36"/>
  <c r="E212" i="36"/>
  <c r="E213" i="36"/>
  <c r="E214" i="36"/>
  <c r="E215" i="36"/>
  <c r="E216" i="36"/>
  <c r="E217" i="36"/>
  <c r="E218" i="36"/>
  <c r="E219" i="36"/>
  <c r="E220" i="36"/>
  <c r="E221" i="36"/>
  <c r="E222" i="36"/>
  <c r="E223" i="36"/>
  <c r="E224" i="36"/>
  <c r="E225" i="36"/>
  <c r="E226" i="36"/>
  <c r="E227" i="36"/>
  <c r="E228" i="36"/>
  <c r="E229" i="36"/>
  <c r="E230" i="36"/>
  <c r="E231" i="36"/>
  <c r="E232" i="36"/>
  <c r="E233" i="36"/>
  <c r="E234" i="36"/>
  <c r="E235" i="36"/>
  <c r="E236" i="36"/>
  <c r="E237" i="36"/>
  <c r="E238" i="36"/>
  <c r="E239" i="36"/>
  <c r="E240" i="36"/>
  <c r="E241" i="36"/>
  <c r="E242" i="36"/>
  <c r="E243" i="36"/>
  <c r="E244" i="36"/>
  <c r="E245" i="36"/>
  <c r="E246" i="36"/>
  <c r="E247" i="36"/>
  <c r="E248" i="36"/>
  <c r="E249" i="36"/>
  <c r="E250" i="36"/>
  <c r="E2" i="36"/>
  <c r="E3" i="36"/>
  <c r="E4" i="36"/>
  <c r="E5" i="36"/>
  <c r="E6" i="36"/>
  <c r="E7" i="36"/>
  <c r="E8" i="36"/>
  <c r="E9" i="36"/>
  <c r="E10" i="36"/>
  <c r="E11" i="36"/>
  <c r="E12" i="36"/>
  <c r="E13" i="36"/>
  <c r="E14" i="36"/>
  <c r="E15" i="36"/>
  <c r="E16" i="36"/>
  <c r="E17" i="36"/>
  <c r="E18" i="36"/>
  <c r="E19" i="36"/>
  <c r="E20" i="36"/>
  <c r="E21" i="36"/>
  <c r="E22" i="36"/>
  <c r="E23" i="36"/>
  <c r="E24" i="36"/>
  <c r="E25" i="36"/>
  <c r="E26" i="36"/>
  <c r="E27" i="36"/>
  <c r="E28" i="36"/>
  <c r="E29" i="36"/>
  <c r="E30" i="36"/>
  <c r="E31" i="36"/>
  <c r="E32" i="36"/>
  <c r="E33" i="36"/>
  <c r="E34" i="36"/>
  <c r="E35" i="36"/>
  <c r="E36" i="36"/>
  <c r="E37" i="36"/>
  <c r="E38" i="36"/>
  <c r="E39" i="36"/>
  <c r="E40" i="36"/>
  <c r="E41" i="36"/>
  <c r="E42" i="36"/>
  <c r="E43" i="36"/>
  <c r="E44" i="36"/>
  <c r="E45" i="36"/>
  <c r="E46" i="36"/>
  <c r="E47" i="36"/>
  <c r="E48" i="36"/>
  <c r="E49" i="36"/>
  <c r="E50" i="36"/>
  <c r="E51" i="36"/>
  <c r="E52" i="36"/>
  <c r="E53" i="36"/>
  <c r="E54" i="36"/>
  <c r="E55" i="36"/>
  <c r="E56" i="36"/>
  <c r="E57" i="36"/>
  <c r="E58" i="36"/>
  <c r="E59" i="36"/>
  <c r="E60" i="36"/>
  <c r="E61" i="36"/>
  <c r="E62" i="36"/>
  <c r="E63" i="36"/>
  <c r="E64" i="36"/>
  <c r="E65" i="36"/>
  <c r="E66" i="36"/>
  <c r="E67" i="36"/>
  <c r="E68" i="36"/>
  <c r="E69" i="36"/>
  <c r="E70" i="36"/>
  <c r="E71" i="36"/>
  <c r="E72" i="36"/>
  <c r="E73" i="36"/>
  <c r="E74" i="36"/>
  <c r="E75" i="36"/>
  <c r="E76" i="36"/>
  <c r="E77" i="36"/>
  <c r="E78" i="36"/>
  <c r="E79" i="36"/>
  <c r="E80" i="36"/>
  <c r="E81" i="36"/>
  <c r="E82" i="36"/>
  <c r="E83" i="36"/>
  <c r="E84" i="36"/>
  <c r="E85" i="36"/>
  <c r="E86" i="36"/>
  <c r="E87" i="36"/>
  <c r="E88" i="36"/>
  <c r="E89" i="36"/>
  <c r="E90" i="36"/>
  <c r="E91" i="36"/>
  <c r="E92" i="36"/>
  <c r="E93" i="36"/>
  <c r="E94" i="36"/>
  <c r="E95" i="36"/>
  <c r="E96" i="36"/>
  <c r="E97" i="36"/>
  <c r="E98" i="36"/>
  <c r="E99" i="36"/>
  <c r="E100" i="36"/>
  <c r="E101" i="36"/>
  <c r="E102" i="36"/>
  <c r="E103" i="36"/>
  <c r="E104" i="36"/>
  <c r="E105" i="36"/>
  <c r="E106" i="36"/>
  <c r="E107" i="36"/>
  <c r="E108" i="36"/>
  <c r="E109" i="36"/>
  <c r="E110" i="36"/>
  <c r="E111" i="36"/>
  <c r="E112" i="36"/>
  <c r="E113" i="36"/>
  <c r="E114" i="36"/>
  <c r="E115" i="36"/>
  <c r="E116" i="36"/>
  <c r="E117" i="36"/>
  <c r="E118" i="36"/>
  <c r="E119" i="36"/>
  <c r="E120" i="36"/>
  <c r="E121" i="36"/>
  <c r="E122" i="36"/>
  <c r="E123" i="36"/>
  <c r="E124" i="36"/>
  <c r="E125" i="36"/>
  <c r="K2" i="19" l="1"/>
  <c r="K3" i="19"/>
  <c r="B9" i="40" s="1"/>
  <c r="B7" i="40" l="1"/>
  <c r="B3" i="42"/>
  <c r="M16" i="35"/>
  <c r="K16" i="35"/>
  <c r="H16" i="35"/>
  <c r="L16" i="35" s="1"/>
  <c r="M15" i="35"/>
  <c r="K15" i="35"/>
  <c r="H15" i="35"/>
  <c r="L15" i="35" s="1"/>
  <c r="M14" i="35"/>
  <c r="K14" i="35"/>
  <c r="H14" i="35"/>
  <c r="L14" i="35" s="1"/>
  <c r="M13" i="35"/>
  <c r="K13" i="35"/>
  <c r="H13" i="35"/>
  <c r="L13" i="35" s="1"/>
  <c r="M12" i="35"/>
  <c r="K12" i="35"/>
  <c r="H12" i="35"/>
  <c r="L12" i="35" s="1"/>
  <c r="M11" i="35"/>
  <c r="K11" i="35"/>
  <c r="H11" i="35"/>
  <c r="L11" i="35" s="1"/>
  <c r="M10" i="35"/>
  <c r="K10" i="35"/>
  <c r="H10" i="35"/>
  <c r="L10" i="35" s="1"/>
  <c r="M9" i="35"/>
  <c r="K9" i="35"/>
  <c r="H9" i="35"/>
  <c r="L9" i="35" s="1"/>
  <c r="M8" i="35"/>
  <c r="K8" i="35"/>
  <c r="H8" i="35"/>
  <c r="L8" i="35" s="1"/>
  <c r="G7" i="35"/>
  <c r="K7" i="35" s="1"/>
  <c r="F7" i="35"/>
  <c r="M7" i="35" s="1"/>
  <c r="G6" i="35"/>
  <c r="K6" i="35" s="1"/>
  <c r="F6" i="35"/>
  <c r="M6" i="35" s="1"/>
  <c r="G5" i="35"/>
  <c r="K5" i="35" s="1"/>
  <c r="F5" i="35"/>
  <c r="M5" i="35" s="1"/>
  <c r="G4" i="35"/>
  <c r="K4" i="35" s="1"/>
  <c r="F4" i="35"/>
  <c r="M4" i="35" s="1"/>
  <c r="G3" i="35"/>
  <c r="K3" i="35" s="1"/>
  <c r="F3" i="35"/>
  <c r="M3" i="35" s="1"/>
  <c r="G2" i="35"/>
  <c r="K2" i="35" s="1"/>
  <c r="F2" i="35"/>
  <c r="M2" i="35" s="1"/>
  <c r="B5" i="21"/>
  <c r="B32" i="21" s="1"/>
  <c r="B4" i="21"/>
  <c r="B3" i="21"/>
  <c r="B2" i="21"/>
  <c r="B1" i="21"/>
  <c r="H3" i="32"/>
  <c r="H4" i="32"/>
  <c r="H5" i="32"/>
  <c r="H6" i="32"/>
  <c r="H7" i="32"/>
  <c r="H8" i="32"/>
  <c r="H9" i="32"/>
  <c r="H10" i="32"/>
  <c r="H11" i="32"/>
  <c r="H12" i="32"/>
  <c r="H13" i="32"/>
  <c r="H14" i="32"/>
  <c r="H15" i="32"/>
  <c r="H16" i="32"/>
  <c r="H17" i="32"/>
  <c r="H18" i="32"/>
  <c r="H19" i="32"/>
  <c r="H20" i="32"/>
  <c r="H21" i="32"/>
  <c r="H22" i="32"/>
  <c r="H23" i="32"/>
  <c r="H24" i="32"/>
  <c r="H25" i="32"/>
  <c r="H26" i="32"/>
  <c r="H27" i="32"/>
  <c r="H28" i="32"/>
  <c r="H29" i="32"/>
  <c r="H30" i="32"/>
  <c r="H31" i="32"/>
  <c r="H2" i="32"/>
  <c r="E20" i="21" l="1"/>
  <c r="C22" i="21"/>
  <c r="C24" i="21"/>
  <c r="C32" i="21"/>
  <c r="D10" i="21"/>
  <c r="D32" i="21"/>
  <c r="E10" i="21"/>
  <c r="E12" i="21"/>
  <c r="E14" i="21"/>
  <c r="C26" i="21"/>
  <c r="C16" i="21"/>
  <c r="D26" i="21"/>
  <c r="D16" i="21"/>
  <c r="E26" i="21"/>
  <c r="C8" i="21"/>
  <c r="D18" i="21"/>
  <c r="E28" i="21"/>
  <c r="H3" i="35"/>
  <c r="L3" i="35" s="1"/>
  <c r="H7" i="35"/>
  <c r="L7" i="35" s="1"/>
  <c r="C10" i="21"/>
  <c r="D20" i="21"/>
  <c r="E30" i="21"/>
  <c r="C12" i="21"/>
  <c r="E16" i="21"/>
  <c r="D22" i="21"/>
  <c r="C28" i="21"/>
  <c r="E32" i="21"/>
  <c r="D12" i="21"/>
  <c r="C18" i="21"/>
  <c r="E22" i="21"/>
  <c r="D28" i="21"/>
  <c r="H4" i="35"/>
  <c r="L4" i="35" s="1"/>
  <c r="D8" i="21"/>
  <c r="C14" i="21"/>
  <c r="E18" i="21"/>
  <c r="D24" i="21"/>
  <c r="C30" i="21"/>
  <c r="E8" i="21"/>
  <c r="D14" i="21"/>
  <c r="C20" i="21"/>
  <c r="E24" i="21"/>
  <c r="D30" i="21"/>
  <c r="H2" i="35"/>
  <c r="L2" i="35" s="1"/>
  <c r="H6" i="35"/>
  <c r="L6" i="35" s="1"/>
  <c r="H5" i="35"/>
  <c r="L5" i="35" s="1"/>
  <c r="B9" i="21"/>
  <c r="B11" i="21"/>
  <c r="B13" i="21"/>
  <c r="B15" i="21"/>
  <c r="B17" i="21"/>
  <c r="B19" i="21"/>
  <c r="B21" i="21"/>
  <c r="B23" i="21"/>
  <c r="B25" i="21"/>
  <c r="B27" i="21"/>
  <c r="B29" i="21"/>
  <c r="B31" i="21"/>
  <c r="C9" i="21"/>
  <c r="C11" i="21"/>
  <c r="C13" i="21"/>
  <c r="C15" i="21"/>
  <c r="C17" i="21"/>
  <c r="C19" i="21"/>
  <c r="C21" i="21"/>
  <c r="C23" i="21"/>
  <c r="C25" i="21"/>
  <c r="C27" i="21"/>
  <c r="C29" i="21"/>
  <c r="C31" i="21"/>
  <c r="B7" i="21"/>
  <c r="D9" i="21"/>
  <c r="D11" i="21"/>
  <c r="D13" i="21"/>
  <c r="D15" i="21"/>
  <c r="D17" i="21"/>
  <c r="D19" i="21"/>
  <c r="D21" i="21"/>
  <c r="D23" i="21"/>
  <c r="D25" i="21"/>
  <c r="D27" i="21"/>
  <c r="D29" i="21"/>
  <c r="D31" i="21"/>
  <c r="E7" i="21"/>
  <c r="E9" i="21"/>
  <c r="E11" i="21"/>
  <c r="E13" i="21"/>
  <c r="E15" i="21"/>
  <c r="E17" i="21"/>
  <c r="E19" i="21"/>
  <c r="E21" i="21"/>
  <c r="E23" i="21"/>
  <c r="E25" i="21"/>
  <c r="E27" i="21"/>
  <c r="E29" i="21"/>
  <c r="E31" i="21"/>
  <c r="B8" i="21"/>
  <c r="B10" i="21"/>
  <c r="B12" i="21"/>
  <c r="B14" i="21"/>
  <c r="B16" i="21"/>
  <c r="B18" i="21"/>
  <c r="B20" i="21"/>
  <c r="B22" i="21"/>
  <c r="B24" i="21"/>
  <c r="B26" i="21"/>
  <c r="B28" i="21"/>
  <c r="B30" i="21"/>
  <c r="M4" i="10" l="1"/>
  <c r="N17" i="10" l="1" a="1"/>
  <c r="N17" i="10" s="1"/>
  <c r="N23" i="10" a="1"/>
  <c r="N23" i="10" s="1"/>
  <c r="N36" i="10" a="1"/>
  <c r="N36" i="10" s="1"/>
  <c r="N44" i="10" a="1"/>
  <c r="N44" i="10" s="1"/>
  <c r="N52" i="10" a="1"/>
  <c r="N52" i="10" s="1"/>
  <c r="N61" i="10" a="1"/>
  <c r="N61" i="10" s="1"/>
  <c r="N69" i="10" a="1"/>
  <c r="N69" i="10" s="1"/>
  <c r="N77" i="10" a="1"/>
  <c r="N77" i="10" s="1"/>
  <c r="N84" i="10" a="1"/>
  <c r="N84" i="10" s="1"/>
  <c r="N92" i="10" a="1"/>
  <c r="N92" i="10" s="1"/>
  <c r="N99" i="10" a="1"/>
  <c r="N99" i="10" s="1"/>
  <c r="N114" i="10" a="1"/>
  <c r="N114" i="10" s="1"/>
  <c r="N122" i="10" a="1"/>
  <c r="N122" i="10" s="1"/>
  <c r="N129" i="10" a="1"/>
  <c r="N129" i="10" s="1"/>
  <c r="N135" i="10" a="1"/>
  <c r="N135" i="10" s="1"/>
  <c r="N141" i="10" a="1"/>
  <c r="N141" i="10" s="1"/>
  <c r="N149" i="10" a="1"/>
  <c r="N149" i="10" s="1"/>
  <c r="N155" i="10" a="1"/>
  <c r="N155" i="10" s="1"/>
  <c r="N163" i="10" a="1"/>
  <c r="N163" i="10" s="1"/>
  <c r="N172" i="10" a="1"/>
  <c r="N172" i="10" s="1"/>
  <c r="N178" i="10" a="1"/>
  <c r="N178" i="10" s="1"/>
  <c r="N185" i="10" a="1"/>
  <c r="N185" i="10" s="1"/>
  <c r="N191" i="10" a="1"/>
  <c r="N191" i="10" s="1"/>
  <c r="N198" i="10" a="1"/>
  <c r="N198" i="10" s="1"/>
  <c r="N205" i="10" a="1"/>
  <c r="N205" i="10" s="1"/>
  <c r="N220" i="10" a="1"/>
  <c r="N220" i="10" s="1"/>
  <c r="N226" i="10" a="1"/>
  <c r="N226" i="10" s="1"/>
  <c r="N233" i="10" a="1"/>
  <c r="N233" i="10" s="1"/>
  <c r="N239" i="10" a="1"/>
  <c r="N239" i="10" s="1"/>
  <c r="N246" i="10" a="1"/>
  <c r="N246" i="10" s="1"/>
  <c r="N260" i="10" a="1"/>
  <c r="N260" i="10" s="1"/>
  <c r="N274" i="10" a="1"/>
  <c r="N274" i="10" s="1"/>
  <c r="N280" i="10" a="1"/>
  <c r="N280" i="10" s="1"/>
  <c r="N286" i="10" a="1"/>
  <c r="N286" i="10" s="1"/>
  <c r="N292" i="10" a="1"/>
  <c r="N292" i="10" s="1"/>
  <c r="N302" i="10" a="1"/>
  <c r="N302" i="10" s="1"/>
  <c r="N313" i="10" a="1"/>
  <c r="N313" i="10" s="1"/>
  <c r="N320" i="10" a="1"/>
  <c r="N320" i="10" s="1"/>
  <c r="N325" i="10" a="1"/>
  <c r="N325" i="10" s="1"/>
  <c r="N332" i="10" a="1"/>
  <c r="N332" i="10" s="1"/>
  <c r="N343" i="10" a="1"/>
  <c r="N343" i="10" s="1"/>
  <c r="N349" i="10" a="1"/>
  <c r="N349" i="10" s="1"/>
  <c r="N367" i="10" a="1"/>
  <c r="N367" i="10" s="1"/>
  <c r="N379" i="10" a="1"/>
  <c r="N379" i="10" s="1"/>
  <c r="N386" i="10" a="1"/>
  <c r="N386" i="10" s="1"/>
  <c r="N392" i="10" a="1"/>
  <c r="N392" i="10" s="1"/>
  <c r="N403" i="10" a="1"/>
  <c r="N403" i="10" s="1"/>
  <c r="N421" i="10" a="1"/>
  <c r="N421" i="10" s="1"/>
  <c r="N427" i="10" a="1"/>
  <c r="N427" i="10" s="1"/>
  <c r="N432" i="10" a="1"/>
  <c r="N432" i="10" s="1"/>
  <c r="N445" i="10" a="1"/>
  <c r="N445" i="10" s="1"/>
  <c r="N451" i="10" a="1"/>
  <c r="N451" i="10" s="1"/>
  <c r="N456" i="10" a="1"/>
  <c r="N456" i="10" s="1"/>
  <c r="N470" i="10" a="1"/>
  <c r="N470" i="10" s="1"/>
  <c r="N496" i="10" a="1"/>
  <c r="N496" i="10" s="1"/>
  <c r="N503" i="10" a="1"/>
  <c r="N503" i="10" s="1"/>
  <c r="N509" i="10" a="1"/>
  <c r="N509" i="10" s="1"/>
  <c r="N522" i="10" a="1"/>
  <c r="N522" i="10" s="1"/>
  <c r="N528" i="10" a="1"/>
  <c r="N528" i="10" s="1"/>
  <c r="N534" i="10" a="1"/>
  <c r="N534" i="10" s="1"/>
  <c r="N18" i="10" a="1"/>
  <c r="N18" i="10" s="1"/>
  <c r="N29" i="10" a="1"/>
  <c r="N29" i="10" s="1"/>
  <c r="N37" i="10" a="1"/>
  <c r="N37" i="10" s="1"/>
  <c r="N45" i="10" a="1"/>
  <c r="N45" i="10" s="1"/>
  <c r="N53" i="10" a="1"/>
  <c r="N53" i="10" s="1"/>
  <c r="N62" i="10" a="1"/>
  <c r="N62" i="10" s="1"/>
  <c r="N70" i="10" a="1"/>
  <c r="N70" i="10" s="1"/>
  <c r="N78" i="10" a="1"/>
  <c r="N78" i="10" s="1"/>
  <c r="N85" i="10" a="1"/>
  <c r="N85" i="10" s="1"/>
  <c r="N93" i="10" a="1"/>
  <c r="N93" i="10" s="1"/>
  <c r="N100" i="10" a="1"/>
  <c r="N100" i="10" s="1"/>
  <c r="N106" i="10" a="1"/>
  <c r="N106" i="10" s="1"/>
  <c r="N115" i="10" a="1"/>
  <c r="N115" i="10" s="1"/>
  <c r="N124" i="10" a="1"/>
  <c r="N124" i="10" s="1"/>
  <c r="N130" i="10" a="1"/>
  <c r="N130" i="10" s="1"/>
  <c r="N136" i="10" a="1"/>
  <c r="N136" i="10" s="1"/>
  <c r="N142" i="10" a="1"/>
  <c r="N142" i="10" s="1"/>
  <c r="N150" i="10" a="1"/>
  <c r="N150" i="10" s="1"/>
  <c r="N156" i="10" a="1"/>
  <c r="N156" i="10" s="1"/>
  <c r="N164" i="10" a="1"/>
  <c r="N164" i="10" s="1"/>
  <c r="N173" i="10" a="1"/>
  <c r="N173" i="10" s="1"/>
  <c r="N179" i="10" a="1"/>
  <c r="N179" i="10" s="1"/>
  <c r="N193" i="10" a="1"/>
  <c r="N193" i="10" s="1"/>
  <c r="N206" i="10" a="1"/>
  <c r="N206" i="10" s="1"/>
  <c r="N212" i="10" a="1"/>
  <c r="N212" i="10" s="1"/>
  <c r="N221" i="10" a="1"/>
  <c r="N221" i="10" s="1"/>
  <c r="N227" i="10" a="1"/>
  <c r="N227" i="10" s="1"/>
  <c r="N247" i="10" a="1"/>
  <c r="N247" i="10" s="1"/>
  <c r="N253" i="10" a="1"/>
  <c r="N253" i="10" s="1"/>
  <c r="N261" i="10" a="1"/>
  <c r="N261" i="10" s="1"/>
  <c r="N266" i="10" a="1"/>
  <c r="N266" i="10" s="1"/>
  <c r="N275" i="10" a="1"/>
  <c r="N275" i="10" s="1"/>
  <c r="N298" i="10" a="1"/>
  <c r="N298" i="10" s="1"/>
  <c r="N303" i="10" a="1"/>
  <c r="N303" i="10" s="1"/>
  <c r="N309" i="10" a="1"/>
  <c r="N309" i="10" s="1"/>
  <c r="N314" i="10" a="1"/>
  <c r="N314" i="10" s="1"/>
  <c r="N321" i="10" a="1"/>
  <c r="N321" i="10" s="1"/>
  <c r="N333" i="10" a="1"/>
  <c r="N333" i="10" s="1"/>
  <c r="N338" i="10" a="1"/>
  <c r="N338" i="10" s="1"/>
  <c r="N344" i="10" a="1"/>
  <c r="N344" i="10" s="1"/>
  <c r="N356" i="10" a="1"/>
  <c r="N356" i="10" s="1"/>
  <c r="N361" i="10" a="1"/>
  <c r="N361" i="10" s="1"/>
  <c r="N374" i="10" a="1"/>
  <c r="N374" i="10" s="1"/>
  <c r="N380" i="10" a="1"/>
  <c r="N380" i="10" s="1"/>
  <c r="N398" i="10" a="1"/>
  <c r="N398" i="10" s="1"/>
  <c r="N404" i="10" a="1"/>
  <c r="N404" i="10" s="1"/>
  <c r="N409" i="10" a="1"/>
  <c r="N409" i="10" s="1"/>
  <c r="N416" i="10" a="1"/>
  <c r="N416" i="10" s="1"/>
  <c r="N422" i="10" a="1"/>
  <c r="N422" i="10" s="1"/>
  <c r="N428" i="10" a="1"/>
  <c r="N428" i="10" s="1"/>
  <c r="N433" i="10" a="1"/>
  <c r="N433" i="10" s="1"/>
  <c r="N440" i="10" a="1"/>
  <c r="N440" i="10" s="1"/>
  <c r="N446" i="10" a="1"/>
  <c r="N446" i="10" s="1"/>
  <c r="N457" i="10" a="1"/>
  <c r="N457" i="10" s="1"/>
  <c r="N465" i="10" a="1"/>
  <c r="N465" i="10" s="1"/>
  <c r="N471" i="10" a="1"/>
  <c r="N471" i="10" s="1"/>
  <c r="N478" i="10" a="1"/>
  <c r="N478" i="10" s="1"/>
  <c r="N483" i="10" a="1"/>
  <c r="N483" i="10" s="1"/>
  <c r="N19" i="10" a="1"/>
  <c r="N19" i="10" s="1"/>
  <c r="N24" i="10" a="1"/>
  <c r="N24" i="10" s="1"/>
  <c r="N30" i="10" a="1"/>
  <c r="N30" i="10" s="1"/>
  <c r="N38" i="10" a="1"/>
  <c r="N38" i="10" s="1"/>
  <c r="N46" i="10" a="1"/>
  <c r="N46" i="10" s="1"/>
  <c r="N54" i="10" a="1"/>
  <c r="N54" i="10" s="1"/>
  <c r="N63" i="10" a="1"/>
  <c r="N63" i="10" s="1"/>
  <c r="N71" i="10" a="1"/>
  <c r="N71" i="10" s="1"/>
  <c r="N79" i="10" a="1"/>
  <c r="N79" i="10" s="1"/>
  <c r="N86" i="10" a="1"/>
  <c r="N86" i="10" s="1"/>
  <c r="N101" i="10" a="1"/>
  <c r="N101" i="10" s="1"/>
  <c r="N107" i="10" a="1"/>
  <c r="N107" i="10" s="1"/>
  <c r="N116" i="10" a="1"/>
  <c r="N116" i="10" s="1"/>
  <c r="N131" i="10" a="1"/>
  <c r="N131" i="10" s="1"/>
  <c r="N143" i="10" a="1"/>
  <c r="N143" i="10" s="1"/>
  <c r="N151" i="10" a="1"/>
  <c r="N151" i="10" s="1"/>
  <c r="N157" i="10" a="1"/>
  <c r="N157" i="10" s="1"/>
  <c r="N165" i="10" a="1"/>
  <c r="N165" i="10" s="1"/>
  <c r="N174" i="10" a="1"/>
  <c r="N174" i="10" s="1"/>
  <c r="N180" i="10" a="1"/>
  <c r="N180" i="10" s="1"/>
  <c r="N186" i="10" a="1"/>
  <c r="N186" i="10" s="1"/>
  <c r="N199" i="10" a="1"/>
  <c r="N199" i="10" s="1"/>
  <c r="N207" i="10" a="1"/>
  <c r="N207" i="10" s="1"/>
  <c r="N213" i="10" a="1"/>
  <c r="N213" i="10" s="1"/>
  <c r="N222" i="10" a="1"/>
  <c r="N222" i="10" s="1"/>
  <c r="N234" i="10" a="1"/>
  <c r="N234" i="10" s="1"/>
  <c r="N240" i="10" a="1"/>
  <c r="N240" i="10" s="1"/>
  <c r="N248" i="10" a="1"/>
  <c r="N248" i="10" s="1"/>
  <c r="N262" i="10" a="1"/>
  <c r="N262" i="10" s="1"/>
  <c r="N267" i="10" a="1"/>
  <c r="N267" i="10" s="1"/>
  <c r="N281" i="10" a="1"/>
  <c r="N281" i="10" s="1"/>
  <c r="N287" i="10" a="1"/>
  <c r="N287" i="10" s="1"/>
  <c r="N293" i="10" a="1"/>
  <c r="N293" i="10" s="1"/>
  <c r="N316" i="10" a="1"/>
  <c r="N316" i="10" s="1"/>
  <c r="N326" i="10" a="1"/>
  <c r="N326" i="10" s="1"/>
  <c r="N339" i="10" a="1"/>
  <c r="N339" i="10" s="1"/>
  <c r="N345" i="10" a="1"/>
  <c r="N345" i="10" s="1"/>
  <c r="N350" i="10" a="1"/>
  <c r="N350" i="10" s="1"/>
  <c r="N362" i="10" a="1"/>
  <c r="N362" i="10" s="1"/>
  <c r="N368" i="10" a="1"/>
  <c r="N368" i="10" s="1"/>
  <c r="N375" i="10" a="1"/>
  <c r="N375" i="10" s="1"/>
  <c r="N381" i="10" a="1"/>
  <c r="N381" i="10" s="1"/>
  <c r="N388" i="10" a="1"/>
  <c r="N388" i="10" s="1"/>
  <c r="N393" i="10" a="1"/>
  <c r="N393" i="10" s="1"/>
  <c r="N405" i="10" a="1"/>
  <c r="N405" i="10" s="1"/>
  <c r="N411" i="10" a="1"/>
  <c r="N411" i="10" s="1"/>
  <c r="N417" i="10" a="1"/>
  <c r="N417" i="10" s="1"/>
  <c r="N434" i="10" a="1"/>
  <c r="N434" i="10" s="1"/>
  <c r="N31" i="10" a="1"/>
  <c r="N31" i="10" s="1"/>
  <c r="N39" i="10" a="1"/>
  <c r="N39" i="10" s="1"/>
  <c r="N47" i="10" a="1"/>
  <c r="N47" i="10" s="1"/>
  <c r="N55" i="10" a="1"/>
  <c r="N55" i="10" s="1"/>
  <c r="N64" i="10" a="1"/>
  <c r="N64" i="10" s="1"/>
  <c r="N73" i="10" a="1"/>
  <c r="N73" i="10" s="1"/>
  <c r="N80" i="10" a="1"/>
  <c r="N80" i="10" s="1"/>
  <c r="N87" i="10" a="1"/>
  <c r="N87" i="10" s="1"/>
  <c r="N94" i="10" a="1"/>
  <c r="N94" i="10" s="1"/>
  <c r="N102" i="10" a="1"/>
  <c r="N102" i="10" s="1"/>
  <c r="N108" i="10" a="1"/>
  <c r="N108" i="10" s="1"/>
  <c r="N117" i="10" a="1"/>
  <c r="N117" i="10" s="1"/>
  <c r="N126" i="10" a="1"/>
  <c r="N126" i="10" s="1"/>
  <c r="N137" i="10" a="1"/>
  <c r="N137" i="10" s="1"/>
  <c r="N145" i="10" a="1"/>
  <c r="N145" i="10" s="1"/>
  <c r="N152" i="10" a="1"/>
  <c r="N152" i="10" s="1"/>
  <c r="N158" i="10" a="1"/>
  <c r="N158" i="10" s="1"/>
  <c r="N166" i="10" a="1"/>
  <c r="N166" i="10" s="1"/>
  <c r="N181" i="10" a="1"/>
  <c r="N181" i="10" s="1"/>
  <c r="N187" i="10" a="1"/>
  <c r="N187" i="10" s="1"/>
  <c r="N200" i="10" a="1"/>
  <c r="N200" i="10" s="1"/>
  <c r="N208" i="10" a="1"/>
  <c r="N208" i="10" s="1"/>
  <c r="N214" i="10" a="1"/>
  <c r="N214" i="10" s="1"/>
  <c r="N223" i="10" a="1"/>
  <c r="N223" i="10" s="1"/>
  <c r="N228" i="10" a="1"/>
  <c r="N228" i="10" s="1"/>
  <c r="N235" i="10" a="1"/>
  <c r="N235" i="10" s="1"/>
  <c r="N242" i="10" a="1"/>
  <c r="N242" i="10" s="1"/>
  <c r="N249" i="10" a="1"/>
  <c r="N249" i="10" s="1"/>
  <c r="N254" i="10" a="1"/>
  <c r="N254" i="10" s="1"/>
  <c r="N268" i="10" a="1"/>
  <c r="N268" i="10" s="1"/>
  <c r="N276" i="10" a="1"/>
  <c r="N276" i="10" s="1"/>
  <c r="N282" i="10" a="1"/>
  <c r="N282" i="10" s="1"/>
  <c r="N294" i="10" a="1"/>
  <c r="N294" i="10" s="1"/>
  <c r="N304" i="10" a="1"/>
  <c r="N304" i="10" s="1"/>
  <c r="N310" i="10" a="1"/>
  <c r="N310" i="10" s="1"/>
  <c r="N322" i="10" a="1"/>
  <c r="N322" i="10" s="1"/>
  <c r="N327" i="10" a="1"/>
  <c r="N327" i="10" s="1"/>
  <c r="N334" i="10" a="1"/>
  <c r="N334" i="10" s="1"/>
  <c r="N351" i="10" a="1"/>
  <c r="N351" i="10" s="1"/>
  <c r="N358" i="10" a="1"/>
  <c r="N358" i="10" s="1"/>
  <c r="N363" i="10" a="1"/>
  <c r="N363" i="10" s="1"/>
  <c r="N382" i="10" a="1"/>
  <c r="N382" i="10" s="1"/>
  <c r="N394" i="10" a="1"/>
  <c r="N394" i="10" s="1"/>
  <c r="N399" i="10" a="1"/>
  <c r="N399" i="10" s="1"/>
  <c r="N423" i="10" a="1"/>
  <c r="N423" i="10" s="1"/>
  <c r="N429" i="10" a="1"/>
  <c r="N429" i="10" s="1"/>
  <c r="N442" i="10" a="1"/>
  <c r="N442" i="10" s="1"/>
  <c r="N460" i="10" a="1"/>
  <c r="N460" i="10" s="1"/>
  <c r="N466" i="10" a="1"/>
  <c r="N466" i="10" s="1"/>
  <c r="N479" i="10" a="1"/>
  <c r="N479" i="10" s="1"/>
  <c r="N485" i="10" a="1"/>
  <c r="N485" i="10" s="1"/>
  <c r="N492" i="10" a="1"/>
  <c r="N492" i="10" s="1"/>
  <c r="N499" i="10" a="1"/>
  <c r="N499" i="10" s="1"/>
  <c r="N506" i="10" a="1"/>
  <c r="N506" i="10" s="1"/>
  <c r="N519" i="10" a="1"/>
  <c r="N519" i="10" s="1"/>
  <c r="N531" i="10" a="1"/>
  <c r="N531" i="10" s="1"/>
  <c r="N538" i="10" a="1"/>
  <c r="N538" i="10" s="1"/>
  <c r="N550" i="10" a="1"/>
  <c r="N550" i="10" s="1"/>
  <c r="N557" i="10" a="1"/>
  <c r="N557" i="10" s="1"/>
  <c r="N565" i="10" a="1"/>
  <c r="N565" i="10" s="1"/>
  <c r="N572" i="10" a="1"/>
  <c r="N572" i="10" s="1"/>
  <c r="N20" i="10" a="1"/>
  <c r="N20" i="10" s="1"/>
  <c r="N25" i="10" a="1"/>
  <c r="N25" i="10" s="1"/>
  <c r="N32" i="10" a="1"/>
  <c r="N32" i="10" s="1"/>
  <c r="N40" i="10" a="1"/>
  <c r="N40" i="10" s="1"/>
  <c r="N48" i="10" a="1"/>
  <c r="N48" i="10" s="1"/>
  <c r="N56" i="10" a="1"/>
  <c r="N56" i="10" s="1"/>
  <c r="N65" i="10" a="1"/>
  <c r="N65" i="10" s="1"/>
  <c r="N81" i="10" a="1"/>
  <c r="N81" i="10" s="1"/>
  <c r="N88" i="10" a="1"/>
  <c r="N88" i="10" s="1"/>
  <c r="N95" i="10" a="1"/>
  <c r="N95" i="10" s="1"/>
  <c r="N109" i="10" a="1"/>
  <c r="N109" i="10" s="1"/>
  <c r="N118" i="10" a="1"/>
  <c r="N118" i="10" s="1"/>
  <c r="N127" i="10" a="1"/>
  <c r="N127" i="10" s="1"/>
  <c r="N132" i="10" a="1"/>
  <c r="N132" i="10" s="1"/>
  <c r="N138" i="10" a="1"/>
  <c r="N138" i="10" s="1"/>
  <c r="N159" i="10" a="1"/>
  <c r="N159" i="10" s="1"/>
  <c r="N167" i="10" a="1"/>
  <c r="N167" i="10" s="1"/>
  <c r="N175" i="10" a="1"/>
  <c r="N175" i="10" s="1"/>
  <c r="N182" i="10" a="1"/>
  <c r="N182" i="10" s="1"/>
  <c r="N188" i="10" a="1"/>
  <c r="N188" i="10" s="1"/>
  <c r="N195" i="10" a="1"/>
  <c r="N195" i="10" s="1"/>
  <c r="N201" i="10" a="1"/>
  <c r="N201" i="10" s="1"/>
  <c r="N215" i="10" a="1"/>
  <c r="N215" i="10" s="1"/>
  <c r="N224" i="10" a="1"/>
  <c r="N224" i="10" s="1"/>
  <c r="N229" i="10" a="1"/>
  <c r="N229" i="10" s="1"/>
  <c r="N236" i="10" a="1"/>
  <c r="N236" i="10" s="1"/>
  <c r="N250" i="10" a="1"/>
  <c r="N250" i="10" s="1"/>
  <c r="N255" i="10" a="1"/>
  <c r="N255" i="10" s="1"/>
  <c r="N263" i="10" a="1"/>
  <c r="N263" i="10" s="1"/>
  <c r="N269" i="10" a="1"/>
  <c r="N269" i="10" s="1"/>
  <c r="N277" i="10" a="1"/>
  <c r="N277" i="10" s="1"/>
  <c r="N283" i="10" a="1"/>
  <c r="N283" i="10" s="1"/>
  <c r="N288" i="10" a="1"/>
  <c r="N288" i="10" s="1"/>
  <c r="N300" i="10" a="1"/>
  <c r="N300" i="10" s="1"/>
  <c r="N305" i="10" a="1"/>
  <c r="N305" i="10" s="1"/>
  <c r="N311" i="10" a="1"/>
  <c r="N311" i="10" s="1"/>
  <c r="N317" i="10" a="1"/>
  <c r="N317" i="10" s="1"/>
  <c r="N329" i="10" a="1"/>
  <c r="N329" i="10" s="1"/>
  <c r="N335" i="10" a="1"/>
  <c r="N335" i="10" s="1"/>
  <c r="N340" i="10" a="1"/>
  <c r="N340" i="10" s="1"/>
  <c r="N346" i="10" a="1"/>
  <c r="N346" i="10" s="1"/>
  <c r="N352" i="10" a="1"/>
  <c r="N352" i="10" s="1"/>
  <c r="N369" i="10" a="1"/>
  <c r="N369" i="10" s="1"/>
  <c r="N376" i="10" a="1"/>
  <c r="N376" i="10" s="1"/>
  <c r="N383" i="10" a="1"/>
  <c r="N383" i="10" s="1"/>
  <c r="N389" i="10" a="1"/>
  <c r="N389" i="10" s="1"/>
  <c r="N395" i="10" a="1"/>
  <c r="N395" i="10" s="1"/>
  <c r="N400" i="10" a="1"/>
  <c r="N400" i="10" s="1"/>
  <c r="N406" i="10" a="1"/>
  <c r="N406" i="10" s="1"/>
  <c r="N413" i="10" a="1"/>
  <c r="N413" i="10" s="1"/>
  <c r="N418" i="10" a="1"/>
  <c r="N418" i="10" s="1"/>
  <c r="N424" i="10" a="1"/>
  <c r="N424" i="10" s="1"/>
  <c r="N430" i="10" a="1"/>
  <c r="N430" i="10" s="1"/>
  <c r="N436" i="10" a="1"/>
  <c r="N436" i="10" s="1"/>
  <c r="N443" i="10" a="1"/>
  <c r="N443" i="10" s="1"/>
  <c r="N448" i="10" a="1"/>
  <c r="N448" i="10" s="1"/>
  <c r="N453" i="10" a="1"/>
  <c r="N453" i="10" s="1"/>
  <c r="N26" i="10" a="1"/>
  <c r="N26" i="10" s="1"/>
  <c r="N33" i="10" a="1"/>
  <c r="N33" i="10" s="1"/>
  <c r="N42" i="10" a="1"/>
  <c r="N42" i="10" s="1"/>
  <c r="N49" i="10" a="1"/>
  <c r="N49" i="10" s="1"/>
  <c r="N57" i="10" a="1"/>
  <c r="N57" i="10" s="1"/>
  <c r="N66" i="10" a="1"/>
  <c r="N66" i="10" s="1"/>
  <c r="N89" i="10" a="1"/>
  <c r="N89" i="10" s="1"/>
  <c r="N97" i="10" a="1"/>
  <c r="N97" i="10" s="1"/>
  <c r="N103" i="10" a="1"/>
  <c r="N103" i="10" s="1"/>
  <c r="N111" i="10" a="1"/>
  <c r="N111" i="10" s="1"/>
  <c r="N119" i="10" a="1"/>
  <c r="N119" i="10" s="1"/>
  <c r="N139" i="10" a="1"/>
  <c r="N139" i="10" s="1"/>
  <c r="N147" i="10" a="1"/>
  <c r="N147" i="10" s="1"/>
  <c r="N153" i="10" a="1"/>
  <c r="N153" i="10" s="1"/>
  <c r="N160" i="10" a="1"/>
  <c r="N160" i="10" s="1"/>
  <c r="N168" i="10" a="1"/>
  <c r="N168" i="10" s="1"/>
  <c r="N176" i="10" a="1"/>
  <c r="N176" i="10" s="1"/>
  <c r="N189" i="10" a="1"/>
  <c r="N189" i="10" s="1"/>
  <c r="N209" i="10" a="1"/>
  <c r="N209" i="10" s="1"/>
  <c r="N217" i="10" a="1"/>
  <c r="N217" i="10" s="1"/>
  <c r="N230" i="10" a="1"/>
  <c r="N230" i="10" s="1"/>
  <c r="N244" i="10" a="1"/>
  <c r="N244" i="10" s="1"/>
  <c r="N256" i="10" a="1"/>
  <c r="N256" i="10" s="1"/>
  <c r="N271" i="10" a="1"/>
  <c r="N271" i="10" s="1"/>
  <c r="N278" i="10" a="1"/>
  <c r="N278" i="10" s="1"/>
  <c r="N284" i="10" a="1"/>
  <c r="N284" i="10" s="1"/>
  <c r="N289" i="10" a="1"/>
  <c r="N289" i="10" s="1"/>
  <c r="N295" i="10" a="1"/>
  <c r="N295" i="10" s="1"/>
  <c r="N306" i="10" a="1"/>
  <c r="N306" i="10" s="1"/>
  <c r="N318" i="10" a="1"/>
  <c r="N318" i="10" s="1"/>
  <c r="N323" i="10" a="1"/>
  <c r="N323" i="10" s="1"/>
  <c r="N341" i="10" a="1"/>
  <c r="N341" i="10" s="1"/>
  <c r="N353" i="10" a="1"/>
  <c r="N353" i="10" s="1"/>
  <c r="N359" i="10" a="1"/>
  <c r="N359" i="10" s="1"/>
  <c r="N364" i="10" a="1"/>
  <c r="N364" i="10" s="1"/>
  <c r="N370" i="10" a="1"/>
  <c r="N370" i="10" s="1"/>
  <c r="N377" i="10" a="1"/>
  <c r="N377" i="10" s="1"/>
  <c r="N396" i="10" a="1"/>
  <c r="N396" i="10" s="1"/>
  <c r="N401" i="10" a="1"/>
  <c r="N401" i="10" s="1"/>
  <c r="N419" i="10" a="1"/>
  <c r="N419" i="10" s="1"/>
  <c r="N425" i="10" a="1"/>
  <c r="N425" i="10" s="1"/>
  <c r="N21" i="10" a="1"/>
  <c r="N21" i="10" s="1"/>
  <c r="N50" i="10" a="1"/>
  <c r="N50" i="10" s="1"/>
  <c r="N82" i="10" a="1"/>
  <c r="N82" i="10" s="1"/>
  <c r="N112" i="10" a="1"/>
  <c r="N112" i="10" s="1"/>
  <c r="N170" i="10" a="1"/>
  <c r="N170" i="10" s="1"/>
  <c r="N196" i="10" a="1"/>
  <c r="N196" i="10" s="1"/>
  <c r="N225" i="10" a="1"/>
  <c r="N225" i="10" s="1"/>
  <c r="N251" i="10" a="1"/>
  <c r="N251" i="10" s="1"/>
  <c r="N301" i="10" a="1"/>
  <c r="N301" i="10" s="1"/>
  <c r="N324" i="10" a="1"/>
  <c r="N324" i="10" s="1"/>
  <c r="N347" i="10" a="1"/>
  <c r="N347" i="10" s="1"/>
  <c r="N371" i="10" a="1"/>
  <c r="N371" i="10" s="1"/>
  <c r="N438" i="10" a="1"/>
  <c r="N438" i="10" s="1"/>
  <c r="N449" i="10" a="1"/>
  <c r="N449" i="10" s="1"/>
  <c r="N462" i="10" a="1"/>
  <c r="N462" i="10" s="1"/>
  <c r="N472" i="10" a="1"/>
  <c r="N472" i="10" s="1"/>
  <c r="N501" i="10" a="1"/>
  <c r="N501" i="10" s="1"/>
  <c r="N508" i="10" a="1"/>
  <c r="N508" i="10" s="1"/>
  <c r="N518" i="10" a="1"/>
  <c r="N518" i="10" s="1"/>
  <c r="N526" i="10" a="1"/>
  <c r="N526" i="10" s="1"/>
  <c r="N533" i="10" a="1"/>
  <c r="N533" i="10" s="1"/>
  <c r="N543" i="10" a="1"/>
  <c r="N543" i="10" s="1"/>
  <c r="N567" i="10" a="1"/>
  <c r="N567" i="10" s="1"/>
  <c r="N575" i="10" a="1"/>
  <c r="N575" i="10" s="1"/>
  <c r="N582" i="10" a="1"/>
  <c r="N582" i="10" s="1"/>
  <c r="N590" i="10" a="1"/>
  <c r="N590" i="10" s="1"/>
  <c r="N596" i="10" a="1"/>
  <c r="N596" i="10" s="1"/>
  <c r="N607" i="10" a="1"/>
  <c r="N607" i="10" s="1"/>
  <c r="N615" i="10" a="1"/>
  <c r="N615" i="10" s="1"/>
  <c r="N620" i="10" a="1"/>
  <c r="N620" i="10" s="1"/>
  <c r="N633" i="10" a="1"/>
  <c r="N633" i="10" s="1"/>
  <c r="N639" i="10" a="1"/>
  <c r="N639" i="10" s="1"/>
  <c r="N651" i="10" a="1"/>
  <c r="N651" i="10" s="1"/>
  <c r="N657" i="10" a="1"/>
  <c r="N657" i="10" s="1"/>
  <c r="N664" i="10" a="1"/>
  <c r="N664" i="10" s="1"/>
  <c r="N671" i="10" a="1"/>
  <c r="N671" i="10" s="1"/>
  <c r="N677" i="10" a="1"/>
  <c r="N677" i="10" s="1"/>
  <c r="N684" i="10" a="1"/>
  <c r="N684" i="10" s="1"/>
  <c r="N689" i="10" a="1"/>
  <c r="N689" i="10" s="1"/>
  <c r="N699" i="10" a="1"/>
  <c r="N699" i="10" s="1"/>
  <c r="N729" i="10" a="1"/>
  <c r="N729" i="10" s="1"/>
  <c r="N735" i="10" a="1"/>
  <c r="N735" i="10" s="1"/>
  <c r="N741" i="10" a="1"/>
  <c r="N741" i="10" s="1"/>
  <c r="N753" i="10" a="1"/>
  <c r="N753" i="10" s="1"/>
  <c r="N760" i="10" a="1"/>
  <c r="N760" i="10" s="1"/>
  <c r="N766" i="10" a="1"/>
  <c r="N766" i="10" s="1"/>
  <c r="N793" i="10" a="1"/>
  <c r="N793" i="10" s="1"/>
  <c r="N801" i="10" a="1"/>
  <c r="N801" i="10" s="1"/>
  <c r="N809" i="10" a="1"/>
  <c r="N809" i="10" s="1"/>
  <c r="N817" i="10" a="1"/>
  <c r="N817" i="10" s="1"/>
  <c r="N825" i="10" a="1"/>
  <c r="N825" i="10" s="1"/>
  <c r="N835" i="10" a="1"/>
  <c r="N835" i="10" s="1"/>
  <c r="N844" i="10" a="1"/>
  <c r="N844" i="10" s="1"/>
  <c r="N853" i="10" a="1"/>
  <c r="N853" i="10" s="1"/>
  <c r="N864" i="10" a="1"/>
  <c r="N864" i="10" s="1"/>
  <c r="N873" i="10" a="1"/>
  <c r="N873" i="10" s="1"/>
  <c r="N882" i="10" a="1"/>
  <c r="N882" i="10" s="1"/>
  <c r="N893" i="10" a="1"/>
  <c r="N893" i="10" s="1"/>
  <c r="N902" i="10" a="1"/>
  <c r="N902" i="10" s="1"/>
  <c r="N910" i="10" a="1"/>
  <c r="N910" i="10" s="1"/>
  <c r="N918" i="10" a="1"/>
  <c r="N918" i="10" s="1"/>
  <c r="N926" i="10" a="1"/>
  <c r="N926" i="10" s="1"/>
  <c r="N935" i="10" a="1"/>
  <c r="N935" i="10" s="1"/>
  <c r="N943" i="10" a="1"/>
  <c r="N943" i="10" s="1"/>
  <c r="N951" i="10" a="1"/>
  <c r="N951" i="10" s="1"/>
  <c r="N959" i="10" a="1"/>
  <c r="N959" i="10" s="1"/>
  <c r="N22" i="10" a="1"/>
  <c r="N22" i="10" s="1"/>
  <c r="N51" i="10" a="1"/>
  <c r="N51" i="10" s="1"/>
  <c r="N83" i="10" a="1"/>
  <c r="N83" i="10" s="1"/>
  <c r="N113" i="10" a="1"/>
  <c r="N113" i="10" s="1"/>
  <c r="N140" i="10" a="1"/>
  <c r="N140" i="10" s="1"/>
  <c r="N197" i="10" a="1"/>
  <c r="N197" i="10" s="1"/>
  <c r="N252" i="10" a="1"/>
  <c r="N252" i="10" s="1"/>
  <c r="N279" i="10" a="1"/>
  <c r="N279" i="10" s="1"/>
  <c r="N348" i="10" a="1"/>
  <c r="N348" i="10" s="1"/>
  <c r="N373" i="10" a="1"/>
  <c r="N373" i="10" s="1"/>
  <c r="N397" i="10" a="1"/>
  <c r="N397" i="10" s="1"/>
  <c r="N420" i="10" a="1"/>
  <c r="N420" i="10" s="1"/>
  <c r="N439" i="10" a="1"/>
  <c r="N439" i="10" s="1"/>
  <c r="N450" i="10" a="1"/>
  <c r="N450" i="10" s="1"/>
  <c r="N463" i="10" a="1"/>
  <c r="N463" i="10" s="1"/>
  <c r="N474" i="10" a="1"/>
  <c r="N474" i="10" s="1"/>
  <c r="N482" i="10" a="1"/>
  <c r="N482" i="10" s="1"/>
  <c r="N493" i="10" a="1"/>
  <c r="N493" i="10" s="1"/>
  <c r="N502" i="10" a="1"/>
  <c r="N502" i="10" s="1"/>
  <c r="N510" i="10" a="1"/>
  <c r="N510" i="10" s="1"/>
  <c r="N527" i="10" a="1"/>
  <c r="N527" i="10" s="1"/>
  <c r="N536" i="10" a="1"/>
  <c r="N536" i="10" s="1"/>
  <c r="N544" i="10" a="1"/>
  <c r="N544" i="10" s="1"/>
  <c r="N551" i="10" a="1"/>
  <c r="N551" i="10" s="1"/>
  <c r="N559" i="10" a="1"/>
  <c r="N559" i="10" s="1"/>
  <c r="N576" i="10" a="1"/>
  <c r="N576" i="10" s="1"/>
  <c r="N583" i="10" a="1"/>
  <c r="N583" i="10" s="1"/>
  <c r="N597" i="10" a="1"/>
  <c r="N597" i="10" s="1"/>
  <c r="N602" i="10" a="1"/>
  <c r="N602" i="10" s="1"/>
  <c r="N608" i="10" a="1"/>
  <c r="N608" i="10" s="1"/>
  <c r="N621" i="10" a="1"/>
  <c r="N621" i="10" s="1"/>
  <c r="N627" i="10" a="1"/>
  <c r="N627" i="10" s="1"/>
  <c r="N634" i="10" a="1"/>
  <c r="N634" i="10" s="1"/>
  <c r="N645" i="10" a="1"/>
  <c r="N645" i="10" s="1"/>
  <c r="N665" i="10" a="1"/>
  <c r="N665" i="10" s="1"/>
  <c r="N672" i="10" a="1"/>
  <c r="N672" i="10" s="1"/>
  <c r="N678" i="10" a="1"/>
  <c r="N678" i="10" s="1"/>
  <c r="N690" i="10" a="1"/>
  <c r="N690" i="10" s="1"/>
  <c r="N704" i="10" a="1"/>
  <c r="N704" i="10" s="1"/>
  <c r="N711" i="10" a="1"/>
  <c r="N711" i="10" s="1"/>
  <c r="N717" i="10" a="1"/>
  <c r="N717" i="10" s="1"/>
  <c r="N724" i="10" a="1"/>
  <c r="N724" i="10" s="1"/>
  <c r="N730" i="10" a="1"/>
  <c r="N730" i="10" s="1"/>
  <c r="N742" i="10" a="1"/>
  <c r="N742" i="10" s="1"/>
  <c r="N748" i="10" a="1"/>
  <c r="N748" i="10" s="1"/>
  <c r="N754" i="10" a="1"/>
  <c r="N754" i="10" s="1"/>
  <c r="N761" i="10" a="1"/>
  <c r="N761" i="10" s="1"/>
  <c r="N767" i="10" a="1"/>
  <c r="N767" i="10" s="1"/>
  <c r="N773" i="10" a="1"/>
  <c r="N773" i="10" s="1"/>
  <c r="N786" i="10" a="1"/>
  <c r="N786" i="10" s="1"/>
  <c r="N794" i="10" a="1"/>
  <c r="N794" i="10" s="1"/>
  <c r="N802" i="10" a="1"/>
  <c r="N802" i="10" s="1"/>
  <c r="N810" i="10" a="1"/>
  <c r="N810" i="10" s="1"/>
  <c r="N818" i="10" a="1"/>
  <c r="N818" i="10" s="1"/>
  <c r="N826" i="10" a="1"/>
  <c r="N826" i="10" s="1"/>
  <c r="N836" i="10" a="1"/>
  <c r="N836" i="10" s="1"/>
  <c r="N27" i="10" a="1"/>
  <c r="N27" i="10" s="1"/>
  <c r="N58" i="10" a="1"/>
  <c r="N58" i="10" s="1"/>
  <c r="N90" i="10" a="1"/>
  <c r="N90" i="10" s="1"/>
  <c r="N120" i="10" a="1"/>
  <c r="N120" i="10" s="1"/>
  <c r="N148" i="10" a="1"/>
  <c r="N148" i="10" s="1"/>
  <c r="N177" i="10" a="1"/>
  <c r="N177" i="10" s="1"/>
  <c r="N202" i="10" a="1"/>
  <c r="N202" i="10" s="1"/>
  <c r="N231" i="10" a="1"/>
  <c r="N231" i="10" s="1"/>
  <c r="N258" i="10" a="1"/>
  <c r="N258" i="10" s="1"/>
  <c r="N307" i="10" a="1"/>
  <c r="N307" i="10" s="1"/>
  <c r="N331" i="10" a="1"/>
  <c r="N331" i="10" s="1"/>
  <c r="N426" i="10" a="1"/>
  <c r="N426" i="10" s="1"/>
  <c r="N441" i="10" a="1"/>
  <c r="N441" i="10" s="1"/>
  <c r="N452" i="10" a="1"/>
  <c r="N452" i="10" s="1"/>
  <c r="N464" i="10" a="1"/>
  <c r="N464" i="10" s="1"/>
  <c r="N475" i="10" a="1"/>
  <c r="N475" i="10" s="1"/>
  <c r="N484" i="10" a="1"/>
  <c r="N484" i="10" s="1"/>
  <c r="N494" i="10" a="1"/>
  <c r="N494" i="10" s="1"/>
  <c r="N512" i="10" a="1"/>
  <c r="N512" i="10" s="1"/>
  <c r="N520" i="10" a="1"/>
  <c r="N520" i="10" s="1"/>
  <c r="N545" i="10" a="1"/>
  <c r="N545" i="10" s="1"/>
  <c r="N552" i="10" a="1"/>
  <c r="N552" i="10" s="1"/>
  <c r="N568" i="10" a="1"/>
  <c r="N568" i="10" s="1"/>
  <c r="N584" i="10" a="1"/>
  <c r="N584" i="10" s="1"/>
  <c r="N591" i="10" a="1"/>
  <c r="N591" i="10" s="1"/>
  <c r="N610" i="10" a="1"/>
  <c r="N610" i="10" s="1"/>
  <c r="N616" i="10" a="1"/>
  <c r="N616" i="10" s="1"/>
  <c r="N622" i="10" a="1"/>
  <c r="N622" i="10" s="1"/>
  <c r="N628" i="10" a="1"/>
  <c r="N628" i="10" s="1"/>
  <c r="N640" i="10" a="1"/>
  <c r="N640" i="10" s="1"/>
  <c r="N646" i="10" a="1"/>
  <c r="N646" i="10" s="1"/>
  <c r="N652" i="10" a="1"/>
  <c r="N652" i="10" s="1"/>
  <c r="N658" i="10" a="1"/>
  <c r="N658" i="10" s="1"/>
  <c r="N666" i="10" a="1"/>
  <c r="N666" i="10" s="1"/>
  <c r="N673" i="10" a="1"/>
  <c r="N673" i="10" s="1"/>
  <c r="N679" i="10" a="1"/>
  <c r="N679" i="10" s="1"/>
  <c r="N685" i="10" a="1"/>
  <c r="N685" i="10" s="1"/>
  <c r="N692" i="10" a="1"/>
  <c r="N692" i="10" s="1"/>
  <c r="N700" i="10" a="1"/>
  <c r="N700" i="10" s="1"/>
  <c r="N705" i="10" a="1"/>
  <c r="N705" i="10" s="1"/>
  <c r="N712" i="10" a="1"/>
  <c r="N712" i="10" s="1"/>
  <c r="N725" i="10" a="1"/>
  <c r="N725" i="10" s="1"/>
  <c r="N731" i="10" a="1"/>
  <c r="N731" i="10" s="1"/>
  <c r="N736" i="10" a="1"/>
  <c r="N736" i="10" s="1"/>
  <c r="N768" i="10" a="1"/>
  <c r="N768" i="10" s="1"/>
  <c r="N774" i="10" a="1"/>
  <c r="N774" i="10" s="1"/>
  <c r="N781" i="10" a="1"/>
  <c r="N781" i="10" s="1"/>
  <c r="N787" i="10" a="1"/>
  <c r="N787" i="10" s="1"/>
  <c r="N795" i="10" a="1"/>
  <c r="N795" i="10" s="1"/>
  <c r="N803" i="10" a="1"/>
  <c r="N803" i="10" s="1"/>
  <c r="N811" i="10" a="1"/>
  <c r="N811" i="10" s="1"/>
  <c r="N819" i="10" a="1"/>
  <c r="N819" i="10" s="1"/>
  <c r="N827" i="10" a="1"/>
  <c r="N827" i="10" s="1"/>
  <c r="N837" i="10" a="1"/>
  <c r="N837" i="10" s="1"/>
  <c r="N847" i="10" a="1"/>
  <c r="N847" i="10" s="1"/>
  <c r="N855" i="10" a="1"/>
  <c r="N855" i="10" s="1"/>
  <c r="N866" i="10" a="1"/>
  <c r="N866" i="10" s="1"/>
  <c r="N875" i="10" a="1"/>
  <c r="N875" i="10" s="1"/>
  <c r="N884" i="10" a="1"/>
  <c r="N884" i="10" s="1"/>
  <c r="N28" i="10" a="1"/>
  <c r="N28" i="10" s="1"/>
  <c r="N60" i="10" a="1"/>
  <c r="N60" i="10" s="1"/>
  <c r="N91" i="10" a="1"/>
  <c r="N91" i="10" s="1"/>
  <c r="N121" i="10" a="1"/>
  <c r="N121" i="10" s="1"/>
  <c r="N204" i="10" a="1"/>
  <c r="N204" i="10" s="1"/>
  <c r="N232" i="10" a="1"/>
  <c r="N232" i="10" s="1"/>
  <c r="N259" i="10" a="1"/>
  <c r="N259" i="10" s="1"/>
  <c r="N285" i="10" a="1"/>
  <c r="N285" i="10" s="1"/>
  <c r="N308" i="10" a="1"/>
  <c r="N308" i="10" s="1"/>
  <c r="N354" i="10" a="1"/>
  <c r="N354" i="10" s="1"/>
  <c r="N378" i="10" a="1"/>
  <c r="N378" i="10" s="1"/>
  <c r="N402" i="10" a="1"/>
  <c r="N402" i="10" s="1"/>
  <c r="N454" i="10" a="1"/>
  <c r="N454" i="10" s="1"/>
  <c r="N476" i="10" a="1"/>
  <c r="N476" i="10" s="1"/>
  <c r="N487" i="10" a="1"/>
  <c r="N487" i="10" s="1"/>
  <c r="N495" i="10" a="1"/>
  <c r="N495" i="10" s="1"/>
  <c r="N504" i="10" a="1"/>
  <c r="N504" i="10" s="1"/>
  <c r="N514" i="10" a="1"/>
  <c r="N514" i="10" s="1"/>
  <c r="N529" i="10" a="1"/>
  <c r="N529" i="10" s="1"/>
  <c r="N539" i="10" a="1"/>
  <c r="N539" i="10" s="1"/>
  <c r="N546" i="10" a="1"/>
  <c r="N546" i="10" s="1"/>
  <c r="N569" i="10" a="1"/>
  <c r="N569" i="10" s="1"/>
  <c r="N577" i="10" a="1"/>
  <c r="N577" i="10" s="1"/>
  <c r="N585" i="10" a="1"/>
  <c r="N585" i="10" s="1"/>
  <c r="N592" i="10" a="1"/>
  <c r="N592" i="10" s="1"/>
  <c r="N598" i="10" a="1"/>
  <c r="N598" i="10" s="1"/>
  <c r="N603" i="10" a="1"/>
  <c r="N603" i="10" s="1"/>
  <c r="N617" i="10" a="1"/>
  <c r="N617" i="10" s="1"/>
  <c r="N623" i="10" a="1"/>
  <c r="N623" i="10" s="1"/>
  <c r="N629" i="10" a="1"/>
  <c r="N629" i="10" s="1"/>
  <c r="N34" i="10" a="1"/>
  <c r="N34" i="10" s="1"/>
  <c r="N67" i="10" a="1"/>
  <c r="N67" i="10" s="1"/>
  <c r="N128" i="10" a="1"/>
  <c r="N128" i="10" s="1"/>
  <c r="N183" i="10" a="1"/>
  <c r="N183" i="10" s="1"/>
  <c r="N210" i="10" a="1"/>
  <c r="N210" i="10" s="1"/>
  <c r="N237" i="10" a="1"/>
  <c r="N237" i="10" s="1"/>
  <c r="N264" i="10" a="1"/>
  <c r="N264" i="10" s="1"/>
  <c r="N290" i="10" a="1"/>
  <c r="N290" i="10" s="1"/>
  <c r="N312" i="10" a="1"/>
  <c r="N312" i="10" s="1"/>
  <c r="N336" i="10" a="1"/>
  <c r="N336" i="10" s="1"/>
  <c r="N384" i="10" a="1"/>
  <c r="N384" i="10" s="1"/>
  <c r="N407" i="10" a="1"/>
  <c r="N407" i="10" s="1"/>
  <c r="N444" i="10" a="1"/>
  <c r="N444" i="10" s="1"/>
  <c r="N455" i="10" a="1"/>
  <c r="N455" i="10" s="1"/>
  <c r="N467" i="10" a="1"/>
  <c r="N467" i="10" s="1"/>
  <c r="N477" i="10" a="1"/>
  <c r="N477" i="10" s="1"/>
  <c r="N505" i="10" a="1"/>
  <c r="N505" i="10" s="1"/>
  <c r="N515" i="10" a="1"/>
  <c r="N515" i="10" s="1"/>
  <c r="N521" i="10" a="1"/>
  <c r="N521" i="10" s="1"/>
  <c r="N530" i="10" a="1"/>
  <c r="N530" i="10" s="1"/>
  <c r="N540" i="10" a="1"/>
  <c r="N540" i="10" s="1"/>
  <c r="N547" i="10" a="1"/>
  <c r="N547" i="10" s="1"/>
  <c r="N553" i="10" a="1"/>
  <c r="N553" i="10" s="1"/>
  <c r="N562" i="10" a="1"/>
  <c r="N562" i="10" s="1"/>
  <c r="N570" i="10" a="1"/>
  <c r="N570" i="10" s="1"/>
  <c r="N578" i="10" a="1"/>
  <c r="N578" i="10" s="1"/>
  <c r="N586" i="10" a="1"/>
  <c r="N586" i="10" s="1"/>
  <c r="N593" i="10" a="1"/>
  <c r="N593" i="10" s="1"/>
  <c r="N604" i="10" a="1"/>
  <c r="N604" i="10" s="1"/>
  <c r="N612" i="10" a="1"/>
  <c r="N612" i="10" s="1"/>
  <c r="N618" i="10" a="1"/>
  <c r="N618" i="10" s="1"/>
  <c r="N630" i="10" a="1"/>
  <c r="N630" i="10" s="1"/>
  <c r="N641" i="10" a="1"/>
  <c r="N641" i="10" s="1"/>
  <c r="N653" i="10" a="1"/>
  <c r="N653" i="10" s="1"/>
  <c r="N660" i="10" a="1"/>
  <c r="N660" i="10" s="1"/>
  <c r="N674" i="10" a="1"/>
  <c r="N674" i="10" s="1"/>
  <c r="N681" i="10" a="1"/>
  <c r="N681" i="10" s="1"/>
  <c r="N686" i="10" a="1"/>
  <c r="N686" i="10" s="1"/>
  <c r="N701" i="10" a="1"/>
  <c r="N701" i="10" s="1"/>
  <c r="N707" i="10" a="1"/>
  <c r="N707" i="10" s="1"/>
  <c r="N726" i="10" a="1"/>
  <c r="N726" i="10" s="1"/>
  <c r="N733" i="10" a="1"/>
  <c r="N733" i="10" s="1"/>
  <c r="N751" i="10" a="1"/>
  <c r="N751" i="10" s="1"/>
  <c r="N757" i="10" a="1"/>
  <c r="N757" i="10" s="1"/>
  <c r="N763" i="10" a="1"/>
  <c r="N763" i="10" s="1"/>
  <c r="N769" i="10" a="1"/>
  <c r="N769" i="10" s="1"/>
  <c r="N776" i="10" a="1"/>
  <c r="N776" i="10" s="1"/>
  <c r="N782" i="10" a="1"/>
  <c r="N782" i="10" s="1"/>
  <c r="N789" i="10" a="1"/>
  <c r="N789" i="10" s="1"/>
  <c r="N797" i="10" a="1"/>
  <c r="N797" i="10" s="1"/>
  <c r="N813" i="10" a="1"/>
  <c r="N813" i="10" s="1"/>
  <c r="N821" i="10" a="1"/>
  <c r="N821" i="10" s="1"/>
  <c r="N840" i="10" a="1"/>
  <c r="N840" i="10" s="1"/>
  <c r="N849" i="10" a="1"/>
  <c r="N849" i="10" s="1"/>
  <c r="N858" i="10" a="1"/>
  <c r="N858" i="10" s="1"/>
  <c r="O858" i="10" s="1"/>
  <c r="N868" i="10" a="1"/>
  <c r="N868" i="10" s="1"/>
  <c r="N877" i="10" a="1"/>
  <c r="N877" i="10" s="1"/>
  <c r="N897" i="10" a="1"/>
  <c r="N897" i="10" s="1"/>
  <c r="N906" i="10" a="1"/>
  <c r="N906" i="10" s="1"/>
  <c r="N914" i="10" a="1"/>
  <c r="N914" i="10" s="1"/>
  <c r="N922" i="10" a="1"/>
  <c r="N922" i="10" s="1"/>
  <c r="N931" i="10" a="1"/>
  <c r="N931" i="10" s="1"/>
  <c r="N939" i="10" a="1"/>
  <c r="N939" i="10" s="1"/>
  <c r="N947" i="10" a="1"/>
  <c r="N947" i="10" s="1"/>
  <c r="N955" i="10" a="1"/>
  <c r="N955" i="10" s="1"/>
  <c r="N35" i="10" a="1"/>
  <c r="N35" i="10" s="1"/>
  <c r="N68" i="10" a="1"/>
  <c r="N68" i="10" s="1"/>
  <c r="N154" i="10" a="1"/>
  <c r="N154" i="10" s="1"/>
  <c r="N184" i="10" a="1"/>
  <c r="N184" i="10" s="1"/>
  <c r="N211" i="10" a="1"/>
  <c r="N211" i="10" s="1"/>
  <c r="N238" i="10" a="1"/>
  <c r="N238" i="10" s="1"/>
  <c r="N265" i="10" a="1"/>
  <c r="N265" i="10" s="1"/>
  <c r="N291" i="10" a="1"/>
  <c r="N291" i="10" s="1"/>
  <c r="N337" i="10" a="1"/>
  <c r="N337" i="10" s="1"/>
  <c r="N360" i="10" a="1"/>
  <c r="N360" i="10" s="1"/>
  <c r="N408" i="10" a="1"/>
  <c r="N408" i="10" s="1"/>
  <c r="N431" i="10" a="1"/>
  <c r="N431" i="10" s="1"/>
  <c r="N468" i="10" a="1"/>
  <c r="N468" i="10" s="1"/>
  <c r="N489" i="10" a="1"/>
  <c r="N489" i="10" s="1"/>
  <c r="N497" i="10" a="1"/>
  <c r="N497" i="10" s="1"/>
  <c r="N523" i="10" a="1"/>
  <c r="N523" i="10" s="1"/>
  <c r="N541" i="10" a="1"/>
  <c r="N541" i="10" s="1"/>
  <c r="N548" i="10" a="1"/>
  <c r="N548" i="10" s="1"/>
  <c r="N554" i="10" a="1"/>
  <c r="N554" i="10" s="1"/>
  <c r="N564" i="10" a="1"/>
  <c r="N564" i="10" s="1"/>
  <c r="N571" i="10" a="1"/>
  <c r="N571" i="10" s="1"/>
  <c r="N579" i="10" a="1"/>
  <c r="N579" i="10" s="1"/>
  <c r="N588" i="10" a="1"/>
  <c r="N588" i="10" s="1"/>
  <c r="N599" i="10" a="1"/>
  <c r="N599" i="10" s="1"/>
  <c r="N605" i="10" a="1"/>
  <c r="N605" i="10" s="1"/>
  <c r="N613" i="10" a="1"/>
  <c r="N613" i="10" s="1"/>
  <c r="N624" i="10" a="1"/>
  <c r="N624" i="10" s="1"/>
  <c r="N637" i="10" a="1"/>
  <c r="N637" i="10" s="1"/>
  <c r="N642" i="10" a="1"/>
  <c r="N642" i="10" s="1"/>
  <c r="N648" i="10" a="1"/>
  <c r="N648" i="10" s="1"/>
  <c r="N655" i="10" a="1"/>
  <c r="N655" i="10" s="1"/>
  <c r="N661" i="10" a="1"/>
  <c r="N661" i="10" s="1"/>
  <c r="N675" i="10" a="1"/>
  <c r="N675" i="10" s="1"/>
  <c r="N682" i="10" a="1"/>
  <c r="N682" i="10" s="1"/>
  <c r="N695" i="10" a="1"/>
  <c r="N695" i="10" s="1"/>
  <c r="N714" i="10" a="1"/>
  <c r="N714" i="10" s="1"/>
  <c r="N719" i="10" a="1"/>
  <c r="N719" i="10" s="1"/>
  <c r="N738" i="10" a="1"/>
  <c r="N738" i="10" s="1"/>
  <c r="N744" i="10" a="1"/>
  <c r="N744" i="10" s="1"/>
  <c r="N764" i="10" a="1"/>
  <c r="N764" i="10" s="1"/>
  <c r="N770" i="10" a="1"/>
  <c r="N770" i="10" s="1"/>
  <c r="N783" i="10" a="1"/>
  <c r="N783" i="10" s="1"/>
  <c r="N798" i="10" a="1"/>
  <c r="N798" i="10" s="1"/>
  <c r="N814" i="10" a="1"/>
  <c r="N814" i="10" s="1"/>
  <c r="N822" i="10" a="1"/>
  <c r="N822" i="10" s="1"/>
  <c r="N841" i="10" a="1"/>
  <c r="N841" i="10" s="1"/>
  <c r="N850" i="10" a="1"/>
  <c r="N850" i="10" s="1"/>
  <c r="N869" i="10" a="1"/>
  <c r="N869" i="10" s="1"/>
  <c r="N879" i="10" a="1"/>
  <c r="N879" i="10" s="1"/>
  <c r="N899" i="10" a="1"/>
  <c r="N899" i="10" s="1"/>
  <c r="N161" i="10" a="1"/>
  <c r="N161" i="10" s="1"/>
  <c r="N365" i="10" a="1"/>
  <c r="N365" i="10" s="1"/>
  <c r="N447" i="10" a="1"/>
  <c r="N447" i="10" s="1"/>
  <c r="N490" i="10" a="1"/>
  <c r="N490" i="10" s="1"/>
  <c r="N524" i="10" a="1"/>
  <c r="N524" i="10" s="1"/>
  <c r="N555" i="10" a="1"/>
  <c r="N555" i="10" s="1"/>
  <c r="N614" i="10" a="1"/>
  <c r="N614" i="10" s="1"/>
  <c r="N635" i="10" a="1"/>
  <c r="N635" i="10" s="1"/>
  <c r="N650" i="10" a="1"/>
  <c r="N650" i="10" s="1"/>
  <c r="N670" i="10" a="1"/>
  <c r="N670" i="10" s="1"/>
  <c r="N703" i="10" a="1"/>
  <c r="N703" i="10" s="1"/>
  <c r="N720" i="10" a="1"/>
  <c r="N720" i="10" s="1"/>
  <c r="N737" i="10" a="1"/>
  <c r="N737" i="10" s="1"/>
  <c r="N771" i="10" a="1"/>
  <c r="N771" i="10" s="1"/>
  <c r="N788" i="10" a="1"/>
  <c r="N788" i="10" s="1"/>
  <c r="N808" i="10" a="1"/>
  <c r="N808" i="10" s="1"/>
  <c r="N832" i="10" a="1"/>
  <c r="N832" i="10" s="1"/>
  <c r="N852" i="10" a="1"/>
  <c r="N852" i="10" s="1"/>
  <c r="N872" i="10" a="1"/>
  <c r="N872" i="10" s="1"/>
  <c r="N892" i="10" a="1"/>
  <c r="N892" i="10" s="1"/>
  <c r="N905" i="10" a="1"/>
  <c r="N905" i="10" s="1"/>
  <c r="N916" i="10" a="1"/>
  <c r="N916" i="10" s="1"/>
  <c r="N928" i="10" a="1"/>
  <c r="N928" i="10" s="1"/>
  <c r="N938" i="10" a="1"/>
  <c r="N938" i="10" s="1"/>
  <c r="N949" i="10" a="1"/>
  <c r="N949" i="10" s="1"/>
  <c r="N960" i="10" a="1"/>
  <c r="N960" i="10" s="1"/>
  <c r="N968" i="10" a="1"/>
  <c r="N968" i="10" s="1"/>
  <c r="N975" i="10" a="1"/>
  <c r="N975" i="10" s="1"/>
  <c r="N982" i="10" a="1"/>
  <c r="N982" i="10" s="1"/>
  <c r="N991" i="10" a="1"/>
  <c r="N991" i="10" s="1"/>
  <c r="N999" i="10" a="1"/>
  <c r="N999" i="10" s="1"/>
  <c r="N1007" i="10" a="1"/>
  <c r="N1007" i="10" s="1"/>
  <c r="N1014" i="10" a="1"/>
  <c r="N1014" i="10" s="1"/>
  <c r="N1021" i="10" a="1"/>
  <c r="N1021" i="10" s="1"/>
  <c r="N1027" i="10" a="1"/>
  <c r="N1027" i="10" s="1"/>
  <c r="N1035" i="10" a="1"/>
  <c r="N1035" i="10" s="1"/>
  <c r="N1041" i="10" a="1"/>
  <c r="N1041" i="10" s="1"/>
  <c r="O1041" i="10" s="1"/>
  <c r="N1050" i="10" a="1"/>
  <c r="N1050" i="10" s="1"/>
  <c r="N1056" i="10" a="1"/>
  <c r="N1056" i="10" s="1"/>
  <c r="N1063" i="10" a="1"/>
  <c r="N1063" i="10" s="1"/>
  <c r="N1084" i="10" a="1"/>
  <c r="N1084" i="10" s="1"/>
  <c r="N1091" i="10" a="1"/>
  <c r="N1091" i="10" s="1"/>
  <c r="N1111" i="10" a="1"/>
  <c r="N1111" i="10" s="1"/>
  <c r="N1118" i="10" a="1"/>
  <c r="N1118" i="10" s="1"/>
  <c r="N1126" i="10" a="1"/>
  <c r="N1126" i="10" s="1"/>
  <c r="N1133" i="10" a="1"/>
  <c r="N1133" i="10" s="1"/>
  <c r="N1139" i="10" a="1"/>
  <c r="N1139" i="10" s="1"/>
  <c r="N1147" i="10" a="1"/>
  <c r="N1147" i="10" s="1"/>
  <c r="N1152" i="10" a="1"/>
  <c r="N1152" i="10" s="1"/>
  <c r="N1160" i="10" a="1"/>
  <c r="N1160" i="10" s="1"/>
  <c r="N1167" i="10" a="1"/>
  <c r="N1167" i="10" s="1"/>
  <c r="N1174" i="10" a="1"/>
  <c r="N1174" i="10" s="1"/>
  <c r="N1180" i="10" a="1"/>
  <c r="N1180" i="10" s="1"/>
  <c r="N1193" i="10" a="1"/>
  <c r="N1193" i="10" s="1"/>
  <c r="N1200" i="10" a="1"/>
  <c r="N1200" i="10" s="1"/>
  <c r="N162" i="10" a="1"/>
  <c r="N162" i="10" s="1"/>
  <c r="N273" i="10" a="1"/>
  <c r="N273" i="10" s="1"/>
  <c r="N366" i="10" a="1"/>
  <c r="N366" i="10" s="1"/>
  <c r="N491" i="10" a="1"/>
  <c r="N491" i="10" s="1"/>
  <c r="N525" i="10" a="1"/>
  <c r="N525" i="10" s="1"/>
  <c r="N556" i="10" a="1"/>
  <c r="N556" i="10" s="1"/>
  <c r="N687" i="10" a="1"/>
  <c r="N687" i="10" s="1"/>
  <c r="N706" i="10" a="1"/>
  <c r="N706" i="10" s="1"/>
  <c r="N722" i="10" a="1"/>
  <c r="N722" i="10" s="1"/>
  <c r="O722" i="10" s="1"/>
  <c r="N739" i="10" a="1"/>
  <c r="N739" i="10" s="1"/>
  <c r="N756" i="10" a="1"/>
  <c r="N756" i="10" s="1"/>
  <c r="N772" i="10" a="1"/>
  <c r="N772" i="10" s="1"/>
  <c r="N790" i="10" a="1"/>
  <c r="N790" i="10" s="1"/>
  <c r="N812" i="10" a="1"/>
  <c r="N812" i="10" s="1"/>
  <c r="N834" i="10" a="1"/>
  <c r="N834" i="10" s="1"/>
  <c r="N854" i="10" a="1"/>
  <c r="N854" i="10" s="1"/>
  <c r="N874" i="10" a="1"/>
  <c r="N874" i="10" s="1"/>
  <c r="N894" i="10" a="1"/>
  <c r="N894" i="10" s="1"/>
  <c r="N907" i="10" a="1"/>
  <c r="N907" i="10" s="1"/>
  <c r="N917" i="10" a="1"/>
  <c r="N917" i="10" s="1"/>
  <c r="N929" i="10" a="1"/>
  <c r="N929" i="10" s="1"/>
  <c r="N941" i="10" a="1"/>
  <c r="N941" i="10" s="1"/>
  <c r="N950" i="10" a="1"/>
  <c r="N950" i="10" s="1"/>
  <c r="N961" i="10" a="1"/>
  <c r="N961" i="10" s="1"/>
  <c r="N969" i="10" a="1"/>
  <c r="N969" i="10" s="1"/>
  <c r="N983" i="10" a="1"/>
  <c r="N983" i="10" s="1"/>
  <c r="N992" i="10" a="1"/>
  <c r="N992" i="10" s="1"/>
  <c r="N1000" i="10" a="1"/>
  <c r="N1000" i="10" s="1"/>
  <c r="N1008" i="10" a="1"/>
  <c r="N1008" i="10" s="1"/>
  <c r="O1008" i="10" s="1"/>
  <c r="N1016" i="10" a="1"/>
  <c r="N1016" i="10" s="1"/>
  <c r="N1022" i="10" a="1"/>
  <c r="N1022" i="10" s="1"/>
  <c r="N1028" i="10" a="1"/>
  <c r="N1028" i="10" s="1"/>
  <c r="N1042" i="10" a="1"/>
  <c r="N1042" i="10" s="1"/>
  <c r="O1042" i="10" s="1"/>
  <c r="N1057" i="10" a="1"/>
  <c r="N1057" i="10" s="1"/>
  <c r="N1064" i="10" a="1"/>
  <c r="N1064" i="10" s="1"/>
  <c r="N1071" i="10" a="1"/>
  <c r="N1071" i="10" s="1"/>
  <c r="N1078" i="10" a="1"/>
  <c r="N1078" i="10" s="1"/>
  <c r="N1085" i="10" a="1"/>
  <c r="N1085" i="10" s="1"/>
  <c r="N1092" i="10" a="1"/>
  <c r="N1092" i="10" s="1"/>
  <c r="N1099" i="10" a="1"/>
  <c r="N1099" i="10" s="1"/>
  <c r="N1106" i="10" a="1"/>
  <c r="N1106" i="10" s="1"/>
  <c r="N1112" i="10" a="1"/>
  <c r="N1112" i="10" s="1"/>
  <c r="N1119" i="10" a="1"/>
  <c r="N1119" i="10" s="1"/>
  <c r="N1127" i="10" a="1"/>
  <c r="N1127" i="10" s="1"/>
  <c r="N1134" i="10" a="1"/>
  <c r="N1134" i="10" s="1"/>
  <c r="N1140" i="10" a="1"/>
  <c r="N1140" i="10" s="1"/>
  <c r="N1154" i="10" a="1"/>
  <c r="N1154" i="10" s="1"/>
  <c r="N1168" i="10" a="1"/>
  <c r="N1168" i="10" s="1"/>
  <c r="N1187" i="10" a="1"/>
  <c r="N1187" i="10" s="1"/>
  <c r="N1202" i="10" a="1"/>
  <c r="N1202" i="10" s="1"/>
  <c r="N1208" i="10" a="1"/>
  <c r="N1208" i="10" s="1"/>
  <c r="N1214" i="10" a="1"/>
  <c r="N1214" i="10" s="1"/>
  <c r="N75" i="10" a="1"/>
  <c r="N75" i="10" s="1"/>
  <c r="N190" i="10" a="1"/>
  <c r="N190" i="10" s="1"/>
  <c r="N390" i="10" a="1"/>
  <c r="N390" i="10" s="1"/>
  <c r="N458" i="10" a="1"/>
  <c r="N458" i="10" s="1"/>
  <c r="N498" i="10" a="1"/>
  <c r="N498" i="10" s="1"/>
  <c r="N532" i="10" a="1"/>
  <c r="N532" i="10" s="1"/>
  <c r="N594" i="10" a="1"/>
  <c r="N594" i="10" s="1"/>
  <c r="N619" i="10" a="1"/>
  <c r="N619" i="10" s="1"/>
  <c r="N656" i="10" a="1"/>
  <c r="N656" i="10" s="1"/>
  <c r="N688" i="10" a="1"/>
  <c r="N688" i="10" s="1"/>
  <c r="N709" i="10" a="1"/>
  <c r="N709" i="10" s="1"/>
  <c r="N740" i="10" a="1"/>
  <c r="N740" i="10" s="1"/>
  <c r="N758" i="10" a="1"/>
  <c r="N758" i="10" s="1"/>
  <c r="N775" i="10" a="1"/>
  <c r="N775" i="10" s="1"/>
  <c r="N792" i="10" a="1"/>
  <c r="N792" i="10" s="1"/>
  <c r="N815" i="10" a="1"/>
  <c r="N815" i="10" s="1"/>
  <c r="N838" i="10" a="1"/>
  <c r="N838" i="10" s="1"/>
  <c r="N856" i="10" a="1"/>
  <c r="N856" i="10" s="1"/>
  <c r="O856" i="10" s="1"/>
  <c r="N876" i="10" a="1"/>
  <c r="N876" i="10" s="1"/>
  <c r="N895" i="10" a="1"/>
  <c r="N895" i="10" s="1"/>
  <c r="N908" i="10" a="1"/>
  <c r="N908" i="10" s="1"/>
  <c r="N919" i="10" a="1"/>
  <c r="N919" i="10" s="1"/>
  <c r="N930" i="10" a="1"/>
  <c r="N930" i="10" s="1"/>
  <c r="N952" i="10" a="1"/>
  <c r="N952" i="10" s="1"/>
  <c r="N963" i="10" a="1"/>
  <c r="N963" i="10" s="1"/>
  <c r="O963" i="10" s="1"/>
  <c r="N970" i="10" a="1"/>
  <c r="N970" i="10" s="1"/>
  <c r="N976" i="10" a="1"/>
  <c r="N976" i="10" s="1"/>
  <c r="N984" i="10" a="1"/>
  <c r="N984" i="10" s="1"/>
  <c r="N993" i="10" a="1"/>
  <c r="N993" i="10" s="1"/>
  <c r="N1009" i="10" a="1"/>
  <c r="N1009" i="10" s="1"/>
  <c r="N1030" i="10" a="1"/>
  <c r="N1030" i="10" s="1"/>
  <c r="N1036" i="10" a="1"/>
  <c r="N1036" i="10" s="1"/>
  <c r="N1044" i="10" a="1"/>
  <c r="N1044" i="10" s="1"/>
  <c r="O1044" i="10" s="1"/>
  <c r="N1051" i="10" a="1"/>
  <c r="N1051" i="10" s="1"/>
  <c r="N1058" i="10" a="1"/>
  <c r="N1058" i="10" s="1"/>
  <c r="N1065" i="10" a="1"/>
  <c r="N1065" i="10" s="1"/>
  <c r="N1072" i="10" a="1"/>
  <c r="N1072" i="10" s="1"/>
  <c r="N1079" i="10" a="1"/>
  <c r="N1079" i="10" s="1"/>
  <c r="N1086" i="10" a="1"/>
  <c r="N1086" i="10" s="1"/>
  <c r="N1093" i="10" a="1"/>
  <c r="N1093" i="10" s="1"/>
  <c r="N1100" i="10" a="1"/>
  <c r="N1100" i="10" s="1"/>
  <c r="N1107" i="10" a="1"/>
  <c r="N1107" i="10" s="1"/>
  <c r="N1113" i="10" a="1"/>
  <c r="N1113" i="10" s="1"/>
  <c r="N1120" i="10" a="1"/>
  <c r="N1120" i="10" s="1"/>
  <c r="N1128" i="10" a="1"/>
  <c r="N1128" i="10" s="1"/>
  <c r="N1148" i="10" a="1"/>
  <c r="N1148" i="10" s="1"/>
  <c r="N1155" i="10" a="1"/>
  <c r="N1155" i="10" s="1"/>
  <c r="N1162" i="10" a="1"/>
  <c r="N1162" i="10" s="1"/>
  <c r="N1175" i="10" a="1"/>
  <c r="N1175" i="10" s="1"/>
  <c r="N1182" i="10" a="1"/>
  <c r="N1182" i="10" s="1"/>
  <c r="N1188" i="10" a="1"/>
  <c r="N1188" i="10" s="1"/>
  <c r="N1194" i="10" a="1"/>
  <c r="N1194" i="10" s="1"/>
  <c r="N1209" i="10" a="1"/>
  <c r="N1209" i="10" s="1"/>
  <c r="N76" i="10" a="1"/>
  <c r="N76" i="10" s="1"/>
  <c r="N296" i="10" a="1"/>
  <c r="N296" i="10" s="1"/>
  <c r="N391" i="10" a="1"/>
  <c r="N391" i="10" s="1"/>
  <c r="N500" i="10" a="1"/>
  <c r="N500" i="10" s="1"/>
  <c r="N566" i="10" a="1"/>
  <c r="N566" i="10" s="1"/>
  <c r="N595" i="10" a="1"/>
  <c r="N595" i="10" s="1"/>
  <c r="N676" i="10" a="1"/>
  <c r="N676" i="10" s="1"/>
  <c r="N710" i="10" a="1"/>
  <c r="N710" i="10" s="1"/>
  <c r="N727" i="10" a="1"/>
  <c r="N727" i="10" s="1"/>
  <c r="N743" i="10" a="1"/>
  <c r="N743" i="10" s="1"/>
  <c r="N759" i="10" a="1"/>
  <c r="N759" i="10" s="1"/>
  <c r="N777" i="10" a="1"/>
  <c r="N777" i="10" s="1"/>
  <c r="O777" i="10" s="1"/>
  <c r="N796" i="10" a="1"/>
  <c r="N796" i="10" s="1"/>
  <c r="N816" i="10" a="1"/>
  <c r="N816" i="10" s="1"/>
  <c r="N842" i="10" a="1"/>
  <c r="N842" i="10" s="1"/>
  <c r="N880" i="10" a="1"/>
  <c r="N880" i="10" s="1"/>
  <c r="N896" i="10" a="1"/>
  <c r="N896" i="10" s="1"/>
  <c r="N909" i="10" a="1"/>
  <c r="N909" i="10" s="1"/>
  <c r="N920" i="10" a="1"/>
  <c r="N920" i="10" s="1"/>
  <c r="N932" i="10" a="1"/>
  <c r="N932" i="10" s="1"/>
  <c r="N953" i="10" a="1"/>
  <c r="N953" i="10" s="1"/>
  <c r="N971" i="10" a="1"/>
  <c r="N971" i="10" s="1"/>
  <c r="N977" i="10" a="1"/>
  <c r="N977" i="10" s="1"/>
  <c r="N985" i="10" a="1"/>
  <c r="N985" i="10" s="1"/>
  <c r="N994" i="10" a="1"/>
  <c r="N994" i="10" s="1"/>
  <c r="N1002" i="10" a="1"/>
  <c r="N1002" i="10" s="1"/>
  <c r="N1023" i="10" a="1"/>
  <c r="N1023" i="10" s="1"/>
  <c r="N1031" i="10" a="1"/>
  <c r="N1031" i="10" s="1"/>
  <c r="N1037" i="10" a="1"/>
  <c r="N1037" i="10" s="1"/>
  <c r="N1052" i="10" a="1"/>
  <c r="N1052" i="10" s="1"/>
  <c r="N1066" i="10" a="1"/>
  <c r="N1066" i="10" s="1"/>
  <c r="N1073" i="10" a="1"/>
  <c r="N1073" i="10" s="1"/>
  <c r="N1094" i="10" a="1"/>
  <c r="N1094" i="10" s="1"/>
  <c r="N1101" i="10" a="1"/>
  <c r="N1101" i="10" s="1"/>
  <c r="N1122" i="10" a="1"/>
  <c r="N1122" i="10" s="1"/>
  <c r="N1129" i="10" a="1"/>
  <c r="N1129" i="10" s="1"/>
  <c r="N1135" i="10" a="1"/>
  <c r="N1135" i="10" s="1"/>
  <c r="N1141" i="10" a="1"/>
  <c r="N1141" i="10" s="1"/>
  <c r="N1156" i="10" a="1"/>
  <c r="N1156" i="10" s="1"/>
  <c r="N1163" i="10" a="1"/>
  <c r="N1163" i="10" s="1"/>
  <c r="N1170" i="10" a="1"/>
  <c r="N1170" i="10" s="1"/>
  <c r="N1183" i="10" a="1"/>
  <c r="N1183" i="10" s="1"/>
  <c r="N1196" i="10" a="1"/>
  <c r="N1196" i="10" s="1"/>
  <c r="N1204" i="10" a="1"/>
  <c r="N1204" i="10" s="1"/>
  <c r="N1210" i="10" a="1"/>
  <c r="N1210" i="10" s="1"/>
  <c r="N104" i="10" a="1"/>
  <c r="N104" i="10" s="1"/>
  <c r="N414" i="10" a="1"/>
  <c r="N414" i="10" s="1"/>
  <c r="N469" i="10" a="1"/>
  <c r="N469" i="10" s="1"/>
  <c r="N507" i="10" a="1"/>
  <c r="N507" i="10" s="1"/>
  <c r="N600" i="10" a="1"/>
  <c r="N600" i="10" s="1"/>
  <c r="N625" i="10" a="1"/>
  <c r="N625" i="10" s="1"/>
  <c r="N643" i="10" a="1"/>
  <c r="N643" i="10" s="1"/>
  <c r="N659" i="10" a="1"/>
  <c r="N659" i="10" s="1"/>
  <c r="N696" i="10" a="1"/>
  <c r="N696" i="10" s="1"/>
  <c r="N713" i="10" a="1"/>
  <c r="N713" i="10" s="1"/>
  <c r="N728" i="10" a="1"/>
  <c r="N728" i="10" s="1"/>
  <c r="N745" i="10" a="1"/>
  <c r="N745" i="10" s="1"/>
  <c r="N762" i="10" a="1"/>
  <c r="N762" i="10" s="1"/>
  <c r="N779" i="10" a="1"/>
  <c r="N779" i="10" s="1"/>
  <c r="N799" i="10" a="1"/>
  <c r="N799" i="10" s="1"/>
  <c r="N820" i="10" a="1"/>
  <c r="N820" i="10" s="1"/>
  <c r="N843" i="10" a="1"/>
  <c r="N843" i="10" s="1"/>
  <c r="N862" i="10" a="1"/>
  <c r="N862" i="10" s="1"/>
  <c r="N881" i="10" a="1"/>
  <c r="N881" i="10" s="1"/>
  <c r="O881" i="10" s="1"/>
  <c r="N900" i="10" a="1"/>
  <c r="N900" i="10" s="1"/>
  <c r="N912" i="10" a="1"/>
  <c r="N912" i="10" s="1"/>
  <c r="N921" i="10" a="1"/>
  <c r="N921" i="10" s="1"/>
  <c r="N933" i="10" a="1"/>
  <c r="N933" i="10" s="1"/>
  <c r="N944" i="10" a="1"/>
  <c r="N944" i="10" s="1"/>
  <c r="N954" i="10" a="1"/>
  <c r="N954" i="10" s="1"/>
  <c r="N965" i="10" a="1"/>
  <c r="N965" i="10" s="1"/>
  <c r="N978" i="10" a="1"/>
  <c r="N978" i="10" s="1"/>
  <c r="N986" i="10" a="1"/>
  <c r="N986" i="10" s="1"/>
  <c r="O986" i="10" s="1"/>
  <c r="N995" i="10" a="1"/>
  <c r="N995" i="10" s="1"/>
  <c r="N1003" i="10" a="1"/>
  <c r="N1003" i="10" s="1"/>
  <c r="N1010" i="10" a="1"/>
  <c r="N1010" i="10" s="1"/>
  <c r="N1018" i="10" a="1"/>
  <c r="N1018" i="10" s="1"/>
  <c r="N1024" i="10" a="1"/>
  <c r="N1024" i="10" s="1"/>
  <c r="N1038" i="10" a="1"/>
  <c r="N1038" i="10" s="1"/>
  <c r="N1046" i="10" a="1"/>
  <c r="N1046" i="10" s="1"/>
  <c r="N1053" i="10" a="1"/>
  <c r="N1053" i="10" s="1"/>
  <c r="N1059" i="10" a="1"/>
  <c r="N1059" i="10" s="1"/>
  <c r="N1074" i="10" a="1"/>
  <c r="N1074" i="10" s="1"/>
  <c r="N1080" i="10" a="1"/>
  <c r="N1080" i="10" s="1"/>
  <c r="N1087" i="10" a="1"/>
  <c r="N1087" i="10" s="1"/>
  <c r="N1102" i="10" a="1"/>
  <c r="N1102" i="10" s="1"/>
  <c r="N1108" i="10" a="1"/>
  <c r="N1108" i="10" s="1"/>
  <c r="N1114" i="10" a="1"/>
  <c r="N1114" i="10" s="1"/>
  <c r="N1130" i="10" a="1"/>
  <c r="N1130" i="10" s="1"/>
  <c r="N1136" i="10" a="1"/>
  <c r="N1136" i="10" s="1"/>
  <c r="N1142" i="10" a="1"/>
  <c r="N1142" i="10" s="1"/>
  <c r="N1150" i="10" a="1"/>
  <c r="N1150" i="10" s="1"/>
  <c r="N1176" i="10" a="1"/>
  <c r="N1176" i="10" s="1"/>
  <c r="O1176" i="10" s="1"/>
  <c r="N1190" i="10" a="1"/>
  <c r="N1190" i="10" s="1"/>
  <c r="N105" i="10" a="1"/>
  <c r="N105" i="10" s="1"/>
  <c r="N219" i="10" a="1"/>
  <c r="N219" i="10" s="1"/>
  <c r="N319" i="10" a="1"/>
  <c r="N319" i="10" s="1"/>
  <c r="N415" i="10" a="1"/>
  <c r="N415" i="10" s="1"/>
  <c r="N542" i="10" a="1"/>
  <c r="N542" i="10" s="1"/>
  <c r="N573" i="10" a="1"/>
  <c r="N573" i="10" s="1"/>
  <c r="N601" i="10" a="1"/>
  <c r="N601" i="10" s="1"/>
  <c r="N626" i="10" a="1"/>
  <c r="N626" i="10" s="1"/>
  <c r="N644" i="10" a="1"/>
  <c r="N644" i="10" s="1"/>
  <c r="N662" i="10" a="1"/>
  <c r="N662" i="10" s="1"/>
  <c r="N680" i="10" a="1"/>
  <c r="N680" i="10" s="1"/>
  <c r="N698" i="10" a="1"/>
  <c r="N698" i="10" s="1"/>
  <c r="N715" i="10" a="1"/>
  <c r="N715" i="10" s="1"/>
  <c r="N732" i="10" a="1"/>
  <c r="N732" i="10" s="1"/>
  <c r="N746" i="10" a="1"/>
  <c r="N746" i="10" s="1"/>
  <c r="O746" i="10" s="1"/>
  <c r="N800" i="10" a="1"/>
  <c r="N800" i="10" s="1"/>
  <c r="N823" i="10" a="1"/>
  <c r="N823" i="10" s="1"/>
  <c r="N846" i="10" a="1"/>
  <c r="N846" i="10" s="1"/>
  <c r="N865" i="10" a="1"/>
  <c r="N865" i="10" s="1"/>
  <c r="N883" i="10" a="1"/>
  <c r="N883" i="10" s="1"/>
  <c r="N901" i="10" a="1"/>
  <c r="N901" i="10" s="1"/>
  <c r="N923" i="10" a="1"/>
  <c r="N923" i="10" s="1"/>
  <c r="N934" i="10" a="1"/>
  <c r="N934" i="10" s="1"/>
  <c r="O934" i="10" s="1"/>
  <c r="N945" i="10" a="1"/>
  <c r="N945" i="10" s="1"/>
  <c r="N956" i="10" a="1"/>
  <c r="N956" i="10" s="1"/>
  <c r="O956" i="10" s="1"/>
  <c r="N966" i="10" a="1"/>
  <c r="N966" i="10" s="1"/>
  <c r="N972" i="10" a="1"/>
  <c r="N972" i="10" s="1"/>
  <c r="N979" i="10" a="1"/>
  <c r="N979" i="10" s="1"/>
  <c r="N988" i="10" a="1"/>
  <c r="N988" i="10" s="1"/>
  <c r="N996" i="10" a="1"/>
  <c r="N996" i="10" s="1"/>
  <c r="N1004" i="10" a="1"/>
  <c r="N1004" i="10" s="1"/>
  <c r="N1011" i="10" a="1"/>
  <c r="N1011" i="10" s="1"/>
  <c r="N1025" i="10" a="1"/>
  <c r="N1025" i="10" s="1"/>
  <c r="N1032" i="10" a="1"/>
  <c r="N1032" i="10" s="1"/>
  <c r="N1039" i="10" a="1"/>
  <c r="N1039" i="10" s="1"/>
  <c r="O1039" i="10" s="1"/>
  <c r="N1047" i="10" a="1"/>
  <c r="N1047" i="10" s="1"/>
  <c r="N1054" i="10" a="1"/>
  <c r="N1054" i="10" s="1"/>
  <c r="N1060" i="10" a="1"/>
  <c r="N1060" i="10" s="1"/>
  <c r="N1067" i="10" a="1"/>
  <c r="N1067" i="10" s="1"/>
  <c r="O1067" i="10" s="1"/>
  <c r="N1075" i="10" a="1"/>
  <c r="N1075" i="10" s="1"/>
  <c r="N1081" i="10" a="1"/>
  <c r="N1081" i="10" s="1"/>
  <c r="N1088" i="10" a="1"/>
  <c r="N1088" i="10" s="1"/>
  <c r="N1095" i="10" a="1"/>
  <c r="N1095" i="10" s="1"/>
  <c r="O1095" i="10" s="1"/>
  <c r="N1103" i="10" a="1"/>
  <c r="N1103" i="10" s="1"/>
  <c r="N1109" i="10" a="1"/>
  <c r="N1109" i="10" s="1"/>
  <c r="N1115" i="10" a="1"/>
  <c r="N1115" i="10" s="1"/>
  <c r="O1115" i="10" s="1"/>
  <c r="N1124" i="10" a="1"/>
  <c r="N1124" i="10" s="1"/>
  <c r="N1131" i="10" a="1"/>
  <c r="N1131" i="10" s="1"/>
  <c r="N1144" i="10" a="1"/>
  <c r="N1144" i="10" s="1"/>
  <c r="N1158" i="10" a="1"/>
  <c r="N1158" i="10" s="1"/>
  <c r="N1164" i="10" a="1"/>
  <c r="N1164" i="10" s="1"/>
  <c r="N1171" i="10" a="1"/>
  <c r="N1171" i="10" s="1"/>
  <c r="N1184" i="10" a="1"/>
  <c r="N1184" i="10" s="1"/>
  <c r="N1198" i="10" a="1"/>
  <c r="N1198" i="10" s="1"/>
  <c r="N1205" i="10" a="1"/>
  <c r="N1205" i="10" s="1"/>
  <c r="N1212" i="10" a="1"/>
  <c r="N1212" i="10" s="1"/>
  <c r="N133" i="10" a="1"/>
  <c r="N133" i="10" s="1"/>
  <c r="N342" i="10" a="1"/>
  <c r="N342" i="10" s="1"/>
  <c r="N480" i="10" a="1"/>
  <c r="N480" i="10" s="1"/>
  <c r="O480" i="10" s="1"/>
  <c r="N516" i="10" a="1"/>
  <c r="N516" i="10" s="1"/>
  <c r="N580" i="10" a="1"/>
  <c r="N580" i="10" s="1"/>
  <c r="N606" i="10" a="1"/>
  <c r="N606" i="10" s="1"/>
  <c r="N631" i="10" a="1"/>
  <c r="N631" i="10" s="1"/>
  <c r="N647" i="10" a="1"/>
  <c r="N647" i="10" s="1"/>
  <c r="N663" i="10" a="1"/>
  <c r="N663" i="10" s="1"/>
  <c r="N716" i="10" a="1"/>
  <c r="N716" i="10" s="1"/>
  <c r="N734" i="10" a="1"/>
  <c r="N734" i="10" s="1"/>
  <c r="N750" i="10" a="1"/>
  <c r="N750" i="10" s="1"/>
  <c r="N765" i="10" a="1"/>
  <c r="N765" i="10" s="1"/>
  <c r="N784" i="10" a="1"/>
  <c r="N784" i="10" s="1"/>
  <c r="N805" i="10" a="1"/>
  <c r="N805" i="10" s="1"/>
  <c r="O805" i="10" s="1"/>
  <c r="N824" i="10" a="1"/>
  <c r="N824" i="10" s="1"/>
  <c r="N848" i="10" a="1"/>
  <c r="N848" i="10" s="1"/>
  <c r="N134" i="10" a="1"/>
  <c r="N134" i="10" s="1"/>
  <c r="N752" i="10" a="1"/>
  <c r="N752" i="10" s="1"/>
  <c r="N886" i="10" a="1"/>
  <c r="N886" i="10" s="1"/>
  <c r="O886" i="10" s="1"/>
  <c r="N936" i="10" a="1"/>
  <c r="N936" i="10" s="1"/>
  <c r="N973" i="10" a="1"/>
  <c r="N973" i="10" s="1"/>
  <c r="N1005" i="10" a="1"/>
  <c r="N1005" i="10" s="1"/>
  <c r="N1033" i="10" a="1"/>
  <c r="N1033" i="10" s="1"/>
  <c r="N1061" i="10" a="1"/>
  <c r="N1061" i="10" s="1"/>
  <c r="N1089" i="10" a="1"/>
  <c r="N1089" i="10" s="1"/>
  <c r="N1116" i="10" a="1"/>
  <c r="N1116" i="10" s="1"/>
  <c r="N1199" i="10" a="1"/>
  <c r="N1199" i="10" s="1"/>
  <c r="N245" i="10" a="1"/>
  <c r="N245" i="10" s="1"/>
  <c r="N632" i="10" a="1"/>
  <c r="N632" i="10" s="1"/>
  <c r="N890" i="10" a="1"/>
  <c r="N890" i="10" s="1"/>
  <c r="N937" i="10" a="1"/>
  <c r="N937" i="10" s="1"/>
  <c r="N974" i="10" a="1"/>
  <c r="N974" i="10" s="1"/>
  <c r="N1006" i="10" a="1"/>
  <c r="N1006" i="10" s="1"/>
  <c r="N1034" i="10" a="1"/>
  <c r="N1034" i="10" s="1"/>
  <c r="N1062" i="10" a="1"/>
  <c r="N1062" i="10" s="1"/>
  <c r="N1090" i="10" a="1"/>
  <c r="N1090" i="10" s="1"/>
  <c r="N1117" i="10" a="1"/>
  <c r="N1117" i="10" s="1"/>
  <c r="N1146" i="10" a="1"/>
  <c r="N1146" i="10" s="1"/>
  <c r="N1172" i="10" a="1"/>
  <c r="N1172" i="10" s="1"/>
  <c r="N649" i="10" a="1"/>
  <c r="N649" i="10" s="1"/>
  <c r="N785" i="10" a="1"/>
  <c r="N785" i="10" s="1"/>
  <c r="N903" i="10" a="1"/>
  <c r="N903" i="10" s="1"/>
  <c r="N946" i="10" a="1"/>
  <c r="N946" i="10" s="1"/>
  <c r="N980" i="10" a="1"/>
  <c r="N980" i="10" s="1"/>
  <c r="N1012" i="10" a="1"/>
  <c r="N1012" i="10" s="1"/>
  <c r="N1069" i="10" a="1"/>
  <c r="N1069" i="10" s="1"/>
  <c r="O1069" i="10" s="1"/>
  <c r="N1097" i="10" a="1"/>
  <c r="N1097" i="10" s="1"/>
  <c r="N1151" i="10" a="1"/>
  <c r="N1151" i="10" s="1"/>
  <c r="N1178" i="10" a="1"/>
  <c r="N1178" i="10" s="1"/>
  <c r="N668" i="10" a="1"/>
  <c r="N668" i="10" s="1"/>
  <c r="O668" i="10" s="1"/>
  <c r="N807" i="10" a="1"/>
  <c r="N807" i="10" s="1"/>
  <c r="N904" i="10" a="1"/>
  <c r="N904" i="10" s="1"/>
  <c r="N948" i="10" a="1"/>
  <c r="N948" i="10" s="1"/>
  <c r="N981" i="10" a="1"/>
  <c r="N981" i="10" s="1"/>
  <c r="N1013" i="10" a="1"/>
  <c r="N1013" i="10" s="1"/>
  <c r="O1013" i="10" s="1"/>
  <c r="N1040" i="10" a="1"/>
  <c r="N1040" i="10" s="1"/>
  <c r="N1125" i="10" a="1"/>
  <c r="N1125" i="10" s="1"/>
  <c r="N1179" i="10" a="1"/>
  <c r="N1179" i="10" s="1"/>
  <c r="N1206" i="10" a="1"/>
  <c r="N1206" i="10" s="1"/>
  <c r="O1206" i="10" s="1"/>
  <c r="N481" i="10" a="1"/>
  <c r="N481" i="10" s="1"/>
  <c r="N683" i="10" a="1"/>
  <c r="N683" i="10" s="1"/>
  <c r="N829" i="10" a="1"/>
  <c r="N829" i="10" s="1"/>
  <c r="O829" i="10" s="1"/>
  <c r="N957" i="10" a="1"/>
  <c r="N957" i="10" s="1"/>
  <c r="N1019" i="10" a="1"/>
  <c r="N1019" i="10" s="1"/>
  <c r="N1048" i="10" a="1"/>
  <c r="N1048" i="10" s="1"/>
  <c r="N1076" i="10" a="1"/>
  <c r="N1076" i="10" s="1"/>
  <c r="N1104" i="10" a="1"/>
  <c r="N1104" i="10" s="1"/>
  <c r="N1132" i="10" a="1"/>
  <c r="N1132" i="10" s="1"/>
  <c r="N517" i="10" a="1"/>
  <c r="N517" i="10" s="1"/>
  <c r="N702" i="10" a="1"/>
  <c r="N702" i="10" s="1"/>
  <c r="N851" i="10" a="1"/>
  <c r="N851" i="10" s="1"/>
  <c r="N915" i="10" a="1"/>
  <c r="N915" i="10" s="1"/>
  <c r="N958" i="10" a="1"/>
  <c r="N958" i="10" s="1"/>
  <c r="N990" i="10" a="1"/>
  <c r="N990" i="10" s="1"/>
  <c r="N1020" i="10" a="1"/>
  <c r="N1020" i="10" s="1"/>
  <c r="N1049" i="10" a="1"/>
  <c r="N1049" i="10" s="1"/>
  <c r="N1077" i="10" a="1"/>
  <c r="N1077" i="10" s="1"/>
  <c r="N1105" i="10" a="1"/>
  <c r="N1105" i="10" s="1"/>
  <c r="N1159" i="10" a="1"/>
  <c r="N1159" i="10" s="1"/>
  <c r="N1186" i="10" a="1"/>
  <c r="N1186" i="10" s="1"/>
  <c r="N1213" i="10" a="1"/>
  <c r="N1213" i="10" s="1"/>
  <c r="N549" i="10" a="1"/>
  <c r="N549" i="10" s="1"/>
  <c r="N718" i="10" a="1"/>
  <c r="N718" i="10" s="1"/>
  <c r="N867" i="10" a="1"/>
  <c r="N867" i="10" s="1"/>
  <c r="N924" i="10" a="1"/>
  <c r="N924" i="10" s="1"/>
  <c r="N967" i="10" a="1"/>
  <c r="N967" i="10" s="1"/>
  <c r="N997" i="10" a="1"/>
  <c r="N997" i="10" s="1"/>
  <c r="N1026" i="10" a="1"/>
  <c r="N1026" i="10" s="1"/>
  <c r="N1137" i="10" a="1"/>
  <c r="N1137" i="10" s="1"/>
  <c r="N1166" i="10" a="1"/>
  <c r="N1166" i="10" s="1"/>
  <c r="N1192" i="10" a="1"/>
  <c r="N1192" i="10" s="1"/>
  <c r="N581" i="10" a="1"/>
  <c r="N581" i="10" s="1"/>
  <c r="N870" i="10" a="1"/>
  <c r="N870" i="10" s="1"/>
  <c r="N925" i="10" a="1"/>
  <c r="N925" i="10" s="1"/>
  <c r="N998" i="10" a="1"/>
  <c r="N998" i="10" s="1"/>
  <c r="N1055" i="10" a="1"/>
  <c r="N1055" i="10" s="1"/>
  <c r="N1082" i="10" a="1"/>
  <c r="N1082" i="10" s="1"/>
  <c r="N1110" i="10" a="1"/>
  <c r="N1110" i="10" s="1"/>
  <c r="N1138" i="10" a="1"/>
  <c r="N1138" i="10" s="1"/>
  <c r="O1016" i="10"/>
  <c r="O1097" i="10"/>
  <c r="O661" i="10"/>
  <c r="O684" i="10"/>
  <c r="O779" i="10"/>
  <c r="O912" i="10"/>
  <c r="O988" i="10"/>
  <c r="O1120" i="10"/>
  <c r="O485" i="10"/>
  <c r="O666" i="10"/>
  <c r="O798" i="10"/>
  <c r="O853" i="10"/>
  <c r="O939" i="10"/>
  <c r="O982" i="10"/>
  <c r="O1011" i="10"/>
  <c r="O1122" i="10"/>
  <c r="O608" i="10"/>
  <c r="O692" i="10"/>
  <c r="O883" i="10"/>
  <c r="O907" i="10"/>
  <c r="O941" i="10"/>
  <c r="O827" i="10"/>
  <c r="O884" i="10"/>
  <c r="O1036" i="10"/>
  <c r="O1142" i="10"/>
  <c r="O1200" i="10"/>
  <c r="O354" i="10"/>
  <c r="O185" i="10"/>
  <c r="O909" i="10"/>
  <c r="O610" i="10"/>
  <c r="O910" i="10"/>
  <c r="O1144" i="10"/>
  <c r="O411" i="10"/>
  <c r="O904" i="10"/>
  <c r="O771" i="10"/>
  <c r="O529" i="10"/>
  <c r="O1014" i="10"/>
  <c r="O384" i="10"/>
  <c r="O961" i="10"/>
  <c r="O512" i="10"/>
  <c r="O386" i="10"/>
  <c r="O980" i="10"/>
  <c r="O1194" i="10"/>
  <c r="O120" i="10"/>
  <c r="N2" i="10" a="1"/>
  <c r="N2" i="10" s="1"/>
  <c r="O269" i="10"/>
  <c r="O215" i="10"/>
  <c r="O487" i="10"/>
  <c r="O143" i="10"/>
  <c r="O117" i="10"/>
  <c r="O90" i="10"/>
  <c r="O73" i="10"/>
  <c r="O168" i="10"/>
  <c r="O458" i="10"/>
  <c r="O380" i="10"/>
  <c r="O327" i="10"/>
  <c r="O292" i="10"/>
  <c r="O510" i="10"/>
  <c r="O350" i="10"/>
  <c r="O95" i="10"/>
  <c r="O63" i="10"/>
  <c r="O557" i="10"/>
  <c r="O122" i="10"/>
  <c r="O559" i="10"/>
  <c r="O298" i="10"/>
  <c r="O97" i="10"/>
  <c r="O588" i="10"/>
  <c r="O405" i="10"/>
  <c r="O265" i="10"/>
  <c r="O42" i="10"/>
  <c r="O191" i="10"/>
  <c r="O166" i="10"/>
  <c r="O715" i="10"/>
  <c r="O193" i="10"/>
  <c r="O71" i="10"/>
  <c r="O141" i="10"/>
  <c r="O124" i="10"/>
  <c r="O236" i="10"/>
  <c r="K2" i="33"/>
  <c r="H9" i="33" s="1"/>
  <c r="J3" i="36"/>
  <c r="F2" i="33"/>
  <c r="G2" i="33"/>
  <c r="F3" i="33"/>
  <c r="G3" i="33"/>
  <c r="F4" i="33"/>
  <c r="G4" i="33"/>
  <c r="F5" i="33"/>
  <c r="G5" i="33"/>
  <c r="F6" i="33"/>
  <c r="G6" i="33"/>
  <c r="F7" i="33"/>
  <c r="G7" i="33"/>
  <c r="F8" i="33"/>
  <c r="G8" i="33"/>
  <c r="F9" i="33"/>
  <c r="G9" i="33"/>
  <c r="F10" i="33"/>
  <c r="G10" i="33"/>
  <c r="F11" i="33"/>
  <c r="G11" i="33"/>
  <c r="F12" i="33"/>
  <c r="G12" i="33"/>
  <c r="F13" i="33"/>
  <c r="G13" i="33"/>
  <c r="F14" i="33"/>
  <c r="G14" i="33"/>
  <c r="F15" i="33"/>
  <c r="G15" i="33"/>
  <c r="F16" i="33"/>
  <c r="G16" i="33"/>
  <c r="F17" i="33"/>
  <c r="G17" i="33"/>
  <c r="B28" i="2"/>
  <c r="O32" i="10"/>
  <c r="O40" i="10"/>
  <c r="O59" i="10"/>
  <c r="O138" i="10"/>
  <c r="O145" i="10"/>
  <c r="O163" i="10"/>
  <c r="O170" i="10"/>
  <c r="O217" i="10"/>
  <c r="O240" i="10"/>
  <c r="O242" i="10"/>
  <c r="O271" i="10"/>
  <c r="O296" i="10"/>
  <c r="O323" i="10"/>
  <c r="O329" i="10"/>
  <c r="O356" i="10"/>
  <c r="O409" i="10"/>
  <c r="O430" i="10"/>
  <c r="O434" i="10"/>
  <c r="O436" i="10"/>
  <c r="O454" i="10"/>
  <c r="O460" i="10"/>
  <c r="O505" i="10"/>
  <c r="O534" i="10"/>
  <c r="O536" i="10"/>
  <c r="O561" i="10"/>
  <c r="O563" i="10"/>
  <c r="O586" i="10"/>
  <c r="O629" i="10"/>
  <c r="O630" i="10"/>
  <c r="O635" i="10"/>
  <c r="O637" i="10"/>
  <c r="O685" i="10"/>
  <c r="O690" i="10"/>
  <c r="O694" i="10"/>
  <c r="O697" i="10"/>
  <c r="O720" i="10"/>
  <c r="O740" i="10"/>
  <c r="O741" i="10"/>
  <c r="O748" i="10"/>
  <c r="O755" i="10"/>
  <c r="O772" i="10"/>
  <c r="O803" i="10"/>
  <c r="O822" i="10"/>
  <c r="O831" i="10"/>
  <c r="O833" i="10"/>
  <c r="O839" i="10"/>
  <c r="O845" i="10"/>
  <c r="O860" i="10"/>
  <c r="O861" i="10"/>
  <c r="O863" i="10"/>
  <c r="O871" i="10"/>
  <c r="O878" i="10"/>
  <c r="O888" i="10"/>
  <c r="O889" i="10"/>
  <c r="O891" i="10"/>
  <c r="O898" i="10"/>
  <c r="O927" i="10"/>
  <c r="O1001" i="10"/>
  <c r="O1029" i="10"/>
  <c r="O1083" i="10"/>
  <c r="B71" i="2" l="1"/>
  <c r="A25" i="19" a="1"/>
  <c r="A25" i="19" s="1"/>
  <c r="C25" i="19" s="1" a="1"/>
  <c r="C25" i="19" s="1"/>
  <c r="A17" i="19" a="1"/>
  <c r="A17" i="19" s="1"/>
  <c r="A9" i="19" a="1"/>
  <c r="A9" i="19" s="1"/>
  <c r="A20" i="19" a="1"/>
  <c r="A20" i="19" s="1"/>
  <c r="A11" i="19" a="1"/>
  <c r="A11" i="19" s="1"/>
  <c r="A32" i="19" a="1"/>
  <c r="A32" i="19" s="1"/>
  <c r="C32" i="19" s="1" a="1"/>
  <c r="C32" i="19" s="1"/>
  <c r="A24" i="19" a="1"/>
  <c r="A24" i="19" s="1"/>
  <c r="C24" i="19" s="1" a="1"/>
  <c r="C24" i="19" s="1"/>
  <c r="A16" i="19" a="1"/>
  <c r="A16" i="19" s="1"/>
  <c r="A8" i="19" a="1"/>
  <c r="A8" i="19" s="1"/>
  <c r="A7" i="19" a="1"/>
  <c r="A7" i="19" s="1"/>
  <c r="A27" i="19" a="1"/>
  <c r="A27" i="19" s="1"/>
  <c r="C27" i="19" s="1" a="1"/>
  <c r="C27" i="19" s="1"/>
  <c r="A26" i="19" a="1"/>
  <c r="A26" i="19" s="1"/>
  <c r="C26" i="19" s="1" a="1"/>
  <c r="C26" i="19" s="1"/>
  <c r="A31" i="19" a="1"/>
  <c r="A31" i="19" s="1"/>
  <c r="C31" i="19" s="1" a="1"/>
  <c r="C31" i="19" s="1"/>
  <c r="A23" i="19" a="1"/>
  <c r="A23" i="19" s="1"/>
  <c r="C23" i="19" s="1" a="1"/>
  <c r="C23" i="19" s="1"/>
  <c r="A15" i="19" a="1"/>
  <c r="A15" i="19" s="1"/>
  <c r="A12" i="19" a="1"/>
  <c r="A12" i="19" s="1"/>
  <c r="A18" i="19" a="1"/>
  <c r="A18" i="19" s="1"/>
  <c r="A30" i="19" a="1"/>
  <c r="A30" i="19" s="1"/>
  <c r="C30" i="19" s="1" a="1"/>
  <c r="C30" i="19" s="1"/>
  <c r="A22" i="19" a="1"/>
  <c r="A22" i="19" s="1"/>
  <c r="A14" i="19" a="1"/>
  <c r="A14" i="19" s="1"/>
  <c r="A6" i="19" a="1"/>
  <c r="A6" i="19" s="1"/>
  <c r="A19" i="19" a="1"/>
  <c r="A19" i="19" s="1"/>
  <c r="A10" i="19" a="1"/>
  <c r="A10" i="19" s="1"/>
  <c r="A29" i="19" a="1"/>
  <c r="A29" i="19" s="1"/>
  <c r="C29" i="19" s="1" a="1"/>
  <c r="C29" i="19" s="1"/>
  <c r="A21" i="19" a="1"/>
  <c r="A21" i="19" s="1"/>
  <c r="A13" i="19" a="1"/>
  <c r="A13" i="19" s="1"/>
  <c r="A5" i="19" a="1"/>
  <c r="A5" i="19" s="1"/>
  <c r="A28" i="19" a="1"/>
  <c r="A28" i="19" s="1"/>
  <c r="C28" i="19" s="1" a="1"/>
  <c r="C28" i="19" s="1"/>
  <c r="A4" i="19" a="1"/>
  <c r="A4" i="19" s="1"/>
  <c r="A3" i="19" a="1"/>
  <c r="A3" i="19" s="1"/>
  <c r="B149" i="2"/>
  <c r="J1" i="36"/>
  <c r="A1" i="19"/>
  <c r="I9" i="33"/>
  <c r="H7" i="33"/>
  <c r="H2" i="33"/>
  <c r="H12" i="33"/>
  <c r="H11" i="33"/>
  <c r="H13" i="33"/>
  <c r="H10" i="33"/>
  <c r="H6" i="33"/>
  <c r="H5" i="33"/>
  <c r="H4" i="33"/>
  <c r="H3" i="33"/>
  <c r="H14" i="33"/>
  <c r="H17" i="33"/>
  <c r="H16" i="33"/>
  <c r="H15" i="33"/>
  <c r="H8" i="33"/>
  <c r="F9" i="19" l="1" a="1"/>
  <c r="F9" i="19" s="1"/>
  <c r="F17" i="19" a="1"/>
  <c r="F17" i="19" s="1"/>
  <c r="F10" i="19" a="1"/>
  <c r="F10" i="19" s="1"/>
  <c r="F18" i="19" a="1"/>
  <c r="F18" i="19" s="1"/>
  <c r="F26" i="19" a="1"/>
  <c r="F26" i="19" s="1"/>
  <c r="F11" i="19" a="1"/>
  <c r="F11" i="19" s="1"/>
  <c r="F19" i="19" a="1"/>
  <c r="F19" i="19" s="1"/>
  <c r="F27" i="19" a="1"/>
  <c r="F27" i="19" s="1"/>
  <c r="F25" i="19" a="1"/>
  <c r="F25" i="19" s="1"/>
  <c r="F4" i="19" a="1"/>
  <c r="F4" i="19" s="1"/>
  <c r="F12" i="19" a="1"/>
  <c r="F12" i="19" s="1"/>
  <c r="F20" i="19" a="1"/>
  <c r="F20" i="19" s="1"/>
  <c r="F28" i="19" a="1"/>
  <c r="F28" i="19" s="1"/>
  <c r="F32" i="19" a="1"/>
  <c r="F32" i="19" s="1"/>
  <c r="F5" i="19" a="1"/>
  <c r="F5" i="19" s="1"/>
  <c r="F13" i="19" a="1"/>
  <c r="F13" i="19" s="1"/>
  <c r="F21" i="19" a="1"/>
  <c r="F21" i="19" s="1"/>
  <c r="F29" i="19" a="1"/>
  <c r="F29" i="19" s="1"/>
  <c r="F3" i="19" a="1"/>
  <c r="F3" i="19" s="1"/>
  <c r="F6" i="19" a="1"/>
  <c r="F6" i="19" s="1"/>
  <c r="F14" i="19" a="1"/>
  <c r="F14" i="19" s="1"/>
  <c r="F22" i="19" a="1"/>
  <c r="F22" i="19" s="1"/>
  <c r="F30" i="19" a="1"/>
  <c r="F30" i="19" s="1"/>
  <c r="F7" i="19" a="1"/>
  <c r="F7" i="19" s="1"/>
  <c r="F15" i="19" a="1"/>
  <c r="F15" i="19" s="1"/>
  <c r="F23" i="19" a="1"/>
  <c r="F23" i="19" s="1"/>
  <c r="F31" i="19" a="1"/>
  <c r="F31" i="19" s="1"/>
  <c r="F24" i="19" a="1"/>
  <c r="F24" i="19" s="1"/>
  <c r="F8" i="19" a="1"/>
  <c r="F8" i="19" s="1"/>
  <c r="F16" i="19" a="1"/>
  <c r="F16" i="19" s="1"/>
  <c r="B8" i="40"/>
  <c r="B6" i="40"/>
  <c r="B2" i="42" s="1"/>
  <c r="G97" i="36"/>
  <c r="G105" i="36"/>
  <c r="G95" i="36"/>
  <c r="G93" i="36"/>
  <c r="G101" i="36"/>
  <c r="G109" i="36"/>
  <c r="G111" i="36"/>
  <c r="G94" i="36"/>
  <c r="G102" i="36"/>
  <c r="G110" i="36"/>
  <c r="G99" i="36"/>
  <c r="G98" i="36"/>
  <c r="G106" i="36"/>
  <c r="G103" i="36"/>
  <c r="G107" i="36"/>
  <c r="G104" i="36"/>
  <c r="G112" i="36"/>
  <c r="G100" i="36"/>
  <c r="G96" i="36"/>
  <c r="G108" i="36"/>
  <c r="I5" i="33"/>
  <c r="I2" i="33"/>
  <c r="I7" i="33"/>
  <c r="I10" i="33"/>
  <c r="I12" i="33"/>
  <c r="I3" i="33"/>
  <c r="I4" i="33"/>
  <c r="I6" i="33"/>
  <c r="I13" i="33"/>
  <c r="I11" i="33"/>
  <c r="I8" i="33"/>
  <c r="I15" i="33"/>
  <c r="I16" i="33"/>
  <c r="I17" i="33"/>
  <c r="I14" i="33"/>
  <c r="G267" i="36" l="1"/>
  <c r="G265" i="36"/>
  <c r="G268" i="36"/>
  <c r="G263" i="36"/>
  <c r="G266" i="36"/>
  <c r="G264" i="36"/>
  <c r="G25" i="36"/>
  <c r="G33" i="36"/>
  <c r="G37" i="36"/>
  <c r="G23" i="36"/>
  <c r="G29" i="36"/>
  <c r="G41" i="36"/>
  <c r="G35" i="36"/>
  <c r="G26" i="36"/>
  <c r="G34" i="36"/>
  <c r="G39" i="36"/>
  <c r="G22" i="36"/>
  <c r="G30" i="36"/>
  <c r="G38" i="36"/>
  <c r="G27" i="36"/>
  <c r="G31" i="36"/>
  <c r="G40" i="36"/>
  <c r="G28" i="36"/>
  <c r="G32" i="36"/>
  <c r="G36" i="36"/>
  <c r="G24" i="36"/>
  <c r="G240" i="36"/>
  <c r="G248" i="36"/>
  <c r="G250" i="36"/>
  <c r="G251" i="36"/>
  <c r="G255" i="36"/>
  <c r="G262" i="36"/>
  <c r="G244" i="36"/>
  <c r="G259" i="36"/>
  <c r="G245" i="36"/>
  <c r="G238" i="36"/>
  <c r="G252" i="36"/>
  <c r="G256" i="36"/>
  <c r="G241" i="36"/>
  <c r="G249" i="36"/>
  <c r="G242" i="36"/>
  <c r="G260" i="36"/>
  <c r="G253" i="36"/>
  <c r="G257" i="36"/>
  <c r="G246" i="36"/>
  <c r="G258" i="36"/>
  <c r="G247" i="36"/>
  <c r="G261" i="36"/>
  <c r="G254" i="36"/>
  <c r="G243" i="36"/>
  <c r="G239" i="36"/>
  <c r="G73" i="36"/>
  <c r="G81" i="36"/>
  <c r="G89" i="36"/>
  <c r="G75" i="36"/>
  <c r="G77" i="36"/>
  <c r="G85" i="36"/>
  <c r="G91" i="36"/>
  <c r="G78" i="36"/>
  <c r="G86" i="36"/>
  <c r="G79" i="36"/>
  <c r="G74" i="36"/>
  <c r="G82" i="36"/>
  <c r="G90" i="36"/>
  <c r="G83" i="36"/>
  <c r="G87" i="36"/>
  <c r="G84" i="36"/>
  <c r="G92" i="36"/>
  <c r="G80" i="36"/>
  <c r="G76" i="36"/>
  <c r="G88" i="36"/>
  <c r="G65" i="36"/>
  <c r="G69" i="36"/>
  <c r="G71" i="36"/>
  <c r="G70" i="36"/>
  <c r="G66" i="36"/>
  <c r="G67" i="36"/>
  <c r="G72" i="36"/>
  <c r="G68" i="36"/>
  <c r="G148" i="36"/>
  <c r="G156" i="36"/>
  <c r="G164" i="36"/>
  <c r="G152" i="36"/>
  <c r="G160" i="36"/>
  <c r="G149" i="36"/>
  <c r="G161" i="36"/>
  <c r="G153" i="36"/>
  <c r="G157" i="36"/>
  <c r="G165" i="36"/>
  <c r="G150" i="36"/>
  <c r="G154" i="36"/>
  <c r="G158" i="36"/>
  <c r="G162" i="36"/>
  <c r="G166" i="36"/>
  <c r="G163" i="36"/>
  <c r="G151" i="36"/>
  <c r="G159" i="36"/>
  <c r="G167" i="36"/>
  <c r="G155" i="36"/>
  <c r="G45" i="36"/>
  <c r="G42" i="36"/>
  <c r="G46" i="36"/>
  <c r="G47" i="36"/>
  <c r="G43" i="36"/>
  <c r="G48" i="36"/>
  <c r="G44" i="36"/>
  <c r="G2" i="36"/>
  <c r="G5" i="36"/>
  <c r="G9" i="36"/>
  <c r="G13" i="36"/>
  <c r="G17" i="36"/>
  <c r="G21" i="36"/>
  <c r="G15" i="36"/>
  <c r="G6" i="36"/>
  <c r="G10" i="36"/>
  <c r="G18" i="36"/>
  <c r="G19" i="36"/>
  <c r="G14" i="36"/>
  <c r="G7" i="36"/>
  <c r="G3" i="36"/>
  <c r="G11" i="36"/>
  <c r="G8" i="36"/>
  <c r="G16" i="36"/>
  <c r="G4" i="36"/>
  <c r="G12" i="36"/>
  <c r="G20" i="36"/>
  <c r="G172" i="36"/>
  <c r="G180" i="36"/>
  <c r="G168" i="36"/>
  <c r="G176" i="36"/>
  <c r="G184" i="36"/>
  <c r="G169" i="36"/>
  <c r="G177" i="36"/>
  <c r="G173" i="36"/>
  <c r="G181" i="36"/>
  <c r="G185" i="36"/>
  <c r="G170" i="36"/>
  <c r="G174" i="36"/>
  <c r="G178" i="36"/>
  <c r="G182" i="36"/>
  <c r="G186" i="36"/>
  <c r="G183" i="36"/>
  <c r="G171" i="36"/>
  <c r="G187" i="36"/>
  <c r="G175" i="36"/>
  <c r="G179" i="36"/>
  <c r="G51" i="36"/>
  <c r="G49" i="36"/>
  <c r="G53" i="36"/>
  <c r="G55" i="36"/>
  <c r="G50" i="36"/>
  <c r="G54" i="36"/>
  <c r="G52" i="36"/>
  <c r="G56" i="36"/>
  <c r="G188" i="36"/>
  <c r="G196" i="36"/>
  <c r="G204" i="36"/>
  <c r="G192" i="36"/>
  <c r="G200" i="36"/>
  <c r="G189" i="36"/>
  <c r="G197" i="36"/>
  <c r="G205" i="36"/>
  <c r="G193" i="36"/>
  <c r="G201" i="36"/>
  <c r="G190" i="36"/>
  <c r="G194" i="36"/>
  <c r="G198" i="36"/>
  <c r="G202" i="36"/>
  <c r="G206" i="36"/>
  <c r="G195" i="36"/>
  <c r="G203" i="36"/>
  <c r="G207" i="36"/>
  <c r="G191" i="36"/>
  <c r="G199" i="36"/>
  <c r="G212" i="36"/>
  <c r="G220" i="36"/>
  <c r="G232" i="36"/>
  <c r="G208" i="36"/>
  <c r="G216" i="36"/>
  <c r="G224" i="36"/>
  <c r="G228" i="36"/>
  <c r="G236" i="36"/>
  <c r="G213" i="36"/>
  <c r="G221" i="36"/>
  <c r="G229" i="36"/>
  <c r="G237" i="36"/>
  <c r="G222" i="36"/>
  <c r="G209" i="36"/>
  <c r="G217" i="36"/>
  <c r="G225" i="36"/>
  <c r="G233" i="36"/>
  <c r="G230" i="36"/>
  <c r="G210" i="36"/>
  <c r="G214" i="36"/>
  <c r="G218" i="36"/>
  <c r="G226" i="36"/>
  <c r="G234" i="36"/>
  <c r="G227" i="36"/>
  <c r="G215" i="36"/>
  <c r="G235" i="36"/>
  <c r="G223" i="36"/>
  <c r="G219" i="36"/>
  <c r="G211" i="36"/>
  <c r="G231" i="36"/>
  <c r="G113" i="36"/>
  <c r="G121" i="36"/>
  <c r="G115" i="36"/>
  <c r="G128" i="36"/>
  <c r="G132" i="36"/>
  <c r="G117" i="36"/>
  <c r="G125" i="36"/>
  <c r="G118" i="36"/>
  <c r="G119" i="36"/>
  <c r="G129" i="36"/>
  <c r="G114" i="36"/>
  <c r="G122" i="36"/>
  <c r="G123" i="36"/>
  <c r="G126" i="36"/>
  <c r="G130" i="36"/>
  <c r="G131" i="36"/>
  <c r="G124" i="36"/>
  <c r="G127" i="36"/>
  <c r="G116" i="36"/>
  <c r="G120" i="36"/>
  <c r="G136" i="36"/>
  <c r="G140" i="36"/>
  <c r="G144" i="36"/>
  <c r="G133" i="36"/>
  <c r="G137" i="36"/>
  <c r="G141" i="36"/>
  <c r="G145" i="36"/>
  <c r="G134" i="36"/>
  <c r="G138" i="36"/>
  <c r="G142" i="36"/>
  <c r="G146" i="36"/>
  <c r="G139" i="36"/>
  <c r="G135" i="36"/>
  <c r="G147" i="36"/>
  <c r="G143" i="36"/>
  <c r="G57" i="36"/>
  <c r="G61" i="36"/>
  <c r="G62" i="36"/>
  <c r="G59" i="36"/>
  <c r="G58" i="36"/>
  <c r="G63" i="36"/>
  <c r="G60" i="36"/>
  <c r="G64" i="36"/>
  <c r="O30" i="10"/>
  <c r="O31" i="10"/>
  <c r="O33" i="10"/>
  <c r="O34" i="10"/>
  <c r="O35" i="10"/>
  <c r="O36" i="10"/>
  <c r="O37" i="10"/>
  <c r="O38" i="10"/>
  <c r="O39" i="10"/>
  <c r="O60" i="10"/>
  <c r="O61" i="10"/>
  <c r="O62" i="10"/>
  <c r="O64" i="10"/>
  <c r="O65" i="10"/>
  <c r="O66" i="10"/>
  <c r="O67" i="10"/>
  <c r="O68" i="10"/>
  <c r="O69" i="10"/>
  <c r="O70" i="10"/>
  <c r="O85" i="10"/>
  <c r="O86" i="10"/>
  <c r="O87" i="10"/>
  <c r="O88" i="10"/>
  <c r="O89" i="10"/>
  <c r="O91" i="10"/>
  <c r="O92" i="10"/>
  <c r="O93" i="10"/>
  <c r="O94" i="10"/>
  <c r="O111" i="10"/>
  <c r="O112" i="10"/>
  <c r="O113" i="10"/>
  <c r="O114" i="10"/>
  <c r="O115" i="10"/>
  <c r="O116" i="10"/>
  <c r="O118" i="10"/>
  <c r="O119" i="10"/>
  <c r="O121" i="10"/>
  <c r="O132" i="10"/>
  <c r="O133" i="10"/>
  <c r="O134" i="10"/>
  <c r="O135" i="10"/>
  <c r="O136" i="10"/>
  <c r="O137" i="10"/>
  <c r="O139" i="10"/>
  <c r="O140" i="10"/>
  <c r="O142" i="10"/>
  <c r="O846" i="10"/>
  <c r="O847" i="10"/>
  <c r="O848" i="10"/>
  <c r="O849" i="10"/>
  <c r="O850" i="10"/>
  <c r="O851" i="10"/>
  <c r="O852" i="10"/>
  <c r="O854" i="10"/>
  <c r="O855" i="10"/>
  <c r="O872" i="10"/>
  <c r="O873" i="10"/>
  <c r="O874" i="10"/>
  <c r="O875" i="10"/>
  <c r="O876" i="10"/>
  <c r="O877" i="10"/>
  <c r="O879" i="10"/>
  <c r="O880" i="10"/>
  <c r="O882" i="10"/>
  <c r="O899" i="10"/>
  <c r="O900" i="10"/>
  <c r="O901" i="10"/>
  <c r="O902" i="10"/>
  <c r="O903" i="10"/>
  <c r="O905" i="10"/>
  <c r="O906" i="10"/>
  <c r="O908" i="10"/>
  <c r="O928" i="10"/>
  <c r="O929" i="10"/>
  <c r="O930" i="10"/>
  <c r="O931" i="10"/>
  <c r="O932" i="10"/>
  <c r="O933" i="10"/>
  <c r="O935" i="10"/>
  <c r="O936" i="10"/>
  <c r="O937" i="10"/>
  <c r="O938" i="10"/>
  <c r="O950" i="10"/>
  <c r="O951" i="10"/>
  <c r="O952" i="10"/>
  <c r="O953" i="10"/>
  <c r="O954" i="10"/>
  <c r="O955" i="10"/>
  <c r="O957" i="10"/>
  <c r="O958" i="10"/>
  <c r="O959" i="10"/>
  <c r="O960" i="10"/>
  <c r="O974" i="10"/>
  <c r="O975" i="10"/>
  <c r="O976" i="10"/>
  <c r="O977" i="10"/>
  <c r="O978" i="10"/>
  <c r="O979" i="10"/>
  <c r="O981" i="10"/>
  <c r="O983" i="10"/>
  <c r="O984" i="10"/>
  <c r="O985" i="10"/>
  <c r="O1002" i="10"/>
  <c r="O1003" i="10"/>
  <c r="O1004" i="10"/>
  <c r="O1005" i="10"/>
  <c r="O1006" i="10"/>
  <c r="O1007" i="10"/>
  <c r="O1009" i="10"/>
  <c r="O1010" i="10"/>
  <c r="O1012" i="10"/>
  <c r="O1030" i="10"/>
  <c r="O1031" i="10"/>
  <c r="O1032" i="10"/>
  <c r="O1033" i="10"/>
  <c r="O1034" i="10"/>
  <c r="O1035" i="10"/>
  <c r="O1037" i="10"/>
  <c r="O1038" i="10"/>
  <c r="O1040" i="10"/>
  <c r="O1056" i="10"/>
  <c r="O1057" i="10"/>
  <c r="O1058" i="10"/>
  <c r="O1059" i="10"/>
  <c r="O1060" i="10"/>
  <c r="O1061" i="10"/>
  <c r="O1062" i="10"/>
  <c r="O1063" i="10"/>
  <c r="O1064" i="10"/>
  <c r="O1065" i="10"/>
  <c r="O1066" i="10"/>
  <c r="O1084" i="10"/>
  <c r="O1085" i="10"/>
  <c r="O1086" i="10"/>
  <c r="O1087" i="10"/>
  <c r="O1088" i="10"/>
  <c r="O1089" i="10"/>
  <c r="O1090" i="10"/>
  <c r="O1091" i="10"/>
  <c r="O1092" i="10"/>
  <c r="O1093" i="10"/>
  <c r="O1094" i="10"/>
  <c r="O1109" i="10"/>
  <c r="O1110" i="10"/>
  <c r="O1111" i="10"/>
  <c r="O1112" i="10"/>
  <c r="O1113" i="10"/>
  <c r="O1114" i="10"/>
  <c r="O1116" i="10"/>
  <c r="O1117" i="10"/>
  <c r="O1118" i="10"/>
  <c r="O1119" i="10"/>
  <c r="O1131" i="10"/>
  <c r="O1132" i="10"/>
  <c r="O1133" i="10"/>
  <c r="O1134" i="10"/>
  <c r="O1135" i="10"/>
  <c r="O1136" i="10"/>
  <c r="O1137" i="10"/>
  <c r="O1138" i="10"/>
  <c r="O1139" i="10"/>
  <c r="O1140" i="10"/>
  <c r="O1141" i="10"/>
  <c r="I4" i="24" l="1"/>
  <c r="J4" i="24" s="1"/>
  <c r="I5" i="24"/>
  <c r="J5" i="24" s="1"/>
  <c r="I6" i="24"/>
  <c r="J6" i="24" s="1"/>
  <c r="I7" i="24"/>
  <c r="J7" i="24" s="1"/>
  <c r="I8" i="24"/>
  <c r="J8" i="24" s="1"/>
  <c r="I9" i="24"/>
  <c r="J9" i="24" s="1"/>
  <c r="I10" i="24"/>
  <c r="J10" i="24" s="1"/>
  <c r="I11" i="24"/>
  <c r="J11" i="24" s="1"/>
  <c r="I12" i="24"/>
  <c r="J12" i="24" s="1"/>
  <c r="I13" i="24"/>
  <c r="J13" i="24" s="1"/>
  <c r="I14" i="24"/>
  <c r="J14" i="24" s="1"/>
  <c r="I16" i="24"/>
  <c r="J16" i="24" s="1"/>
  <c r="I17" i="24"/>
  <c r="J17" i="24" s="1"/>
  <c r="I18" i="24"/>
  <c r="J18" i="24" s="1"/>
  <c r="I20" i="24"/>
  <c r="J20" i="24" s="1"/>
  <c r="I21" i="24"/>
  <c r="J21" i="24" s="1"/>
  <c r="I23" i="24"/>
  <c r="J23" i="24" s="1"/>
  <c r="I25" i="24"/>
  <c r="J25" i="24" s="1"/>
  <c r="I26" i="24"/>
  <c r="J26" i="24" s="1"/>
  <c r="I27" i="24"/>
  <c r="J27" i="24" s="1"/>
  <c r="I28" i="24"/>
  <c r="J28" i="24" s="1"/>
  <c r="I29" i="24"/>
  <c r="J29" i="24" s="1"/>
  <c r="I30" i="24"/>
  <c r="J30" i="24" s="1"/>
  <c r="I31" i="24"/>
  <c r="J31" i="24" s="1"/>
  <c r="I38" i="24"/>
  <c r="J38" i="24" s="1"/>
  <c r="I45" i="24"/>
  <c r="J45" i="24" s="1"/>
  <c r="I48" i="24"/>
  <c r="J48" i="24" s="1"/>
  <c r="I50" i="24"/>
  <c r="J50" i="24" s="1"/>
  <c r="I60" i="24"/>
  <c r="J60" i="24" s="1"/>
  <c r="I78" i="24"/>
  <c r="J78" i="24" s="1"/>
  <c r="I80" i="24"/>
  <c r="J80" i="24" s="1"/>
  <c r="I86" i="24"/>
  <c r="J86" i="24" s="1"/>
  <c r="I88" i="24"/>
  <c r="J88" i="24" s="1"/>
  <c r="I92" i="24"/>
  <c r="J92" i="24" s="1"/>
  <c r="I93" i="24"/>
  <c r="J93" i="24" s="1"/>
  <c r="I94" i="24"/>
  <c r="J94" i="24" s="1"/>
  <c r="I95" i="24"/>
  <c r="J95" i="24" s="1"/>
  <c r="I96" i="24"/>
  <c r="J96" i="24" s="1"/>
  <c r="I97" i="24"/>
  <c r="J97" i="24" s="1"/>
  <c r="I101" i="24"/>
  <c r="J101" i="24" s="1"/>
  <c r="I102" i="24"/>
  <c r="J102" i="24" s="1"/>
  <c r="I104" i="24"/>
  <c r="J104" i="24" s="1"/>
  <c r="I106" i="24"/>
  <c r="J106" i="24" s="1"/>
  <c r="I107" i="24"/>
  <c r="J107" i="24" s="1"/>
  <c r="I108" i="24"/>
  <c r="J108" i="24" s="1"/>
  <c r="I110" i="24"/>
  <c r="J110" i="24" s="1"/>
  <c r="I111" i="24"/>
  <c r="J111" i="24" s="1"/>
  <c r="I113" i="24"/>
  <c r="J113" i="24" s="1"/>
  <c r="I114" i="24"/>
  <c r="J114" i="24" s="1"/>
  <c r="I115" i="24"/>
  <c r="J115" i="24" s="1"/>
  <c r="I116" i="24"/>
  <c r="J116" i="24" s="1"/>
  <c r="I117" i="24"/>
  <c r="J117" i="24" s="1"/>
  <c r="I118" i="24"/>
  <c r="J118" i="24" s="1"/>
  <c r="I120" i="24"/>
  <c r="J120" i="24" s="1"/>
  <c r="I121" i="24"/>
  <c r="J121" i="24" s="1"/>
  <c r="I125" i="24"/>
  <c r="J125" i="24" s="1"/>
  <c r="I138" i="24"/>
  <c r="J138" i="24" s="1"/>
  <c r="I140" i="24"/>
  <c r="J140" i="24" s="1"/>
  <c r="I146" i="24"/>
  <c r="J146" i="24" s="1"/>
  <c r="I152" i="24"/>
  <c r="J152" i="24" s="1"/>
  <c r="I153" i="24"/>
  <c r="J153" i="24" s="1"/>
  <c r="I154" i="24"/>
  <c r="J154" i="24" s="1"/>
  <c r="I155" i="24"/>
  <c r="J155" i="24" s="1"/>
  <c r="I156" i="24"/>
  <c r="J156" i="24" s="1"/>
  <c r="I157" i="24"/>
  <c r="J157" i="24" s="1"/>
  <c r="I159" i="24"/>
  <c r="J159" i="24" s="1"/>
  <c r="I161" i="24"/>
  <c r="J161" i="24" s="1"/>
  <c r="I162" i="24"/>
  <c r="J162" i="24" s="1"/>
  <c r="I163" i="24"/>
  <c r="J163" i="24" s="1"/>
  <c r="I164" i="24"/>
  <c r="J164" i="24" s="1"/>
  <c r="I165" i="24"/>
  <c r="J165" i="24" s="1"/>
  <c r="I166" i="24"/>
  <c r="J166" i="24" s="1"/>
  <c r="I168" i="24"/>
  <c r="J168" i="24" s="1"/>
  <c r="I169" i="24"/>
  <c r="J169" i="24" s="1"/>
  <c r="I170" i="24"/>
  <c r="J170" i="24" s="1"/>
  <c r="I171" i="24"/>
  <c r="J171" i="24" s="1"/>
  <c r="I173" i="24"/>
  <c r="J173" i="24" s="1"/>
  <c r="I174" i="24"/>
  <c r="J174" i="24" s="1"/>
  <c r="I176" i="24"/>
  <c r="J176" i="24" s="1"/>
  <c r="I177" i="24"/>
  <c r="J177" i="24" s="1"/>
  <c r="I178" i="24"/>
  <c r="J178" i="24" s="1"/>
  <c r="I179" i="24"/>
  <c r="J179" i="24" s="1"/>
  <c r="I181" i="24"/>
  <c r="J181" i="24" s="1"/>
  <c r="I184" i="24"/>
  <c r="J184" i="24" s="1"/>
  <c r="I186" i="24"/>
  <c r="J186" i="24" s="1"/>
  <c r="I187" i="24"/>
  <c r="J187" i="24" s="1"/>
  <c r="I190" i="24"/>
  <c r="J190" i="24" s="1"/>
  <c r="I195" i="24"/>
  <c r="J195" i="24" s="1"/>
  <c r="I198" i="24"/>
  <c r="J198" i="24" s="1"/>
  <c r="I200" i="24"/>
  <c r="J200" i="24" s="1"/>
  <c r="I201" i="24"/>
  <c r="J201" i="24" s="1"/>
  <c r="I203" i="24"/>
  <c r="J203" i="24" s="1"/>
  <c r="I206" i="24"/>
  <c r="J206" i="24" s="1"/>
  <c r="I210" i="24"/>
  <c r="J210" i="24" s="1"/>
  <c r="I211" i="24"/>
  <c r="J211" i="24" s="1"/>
  <c r="I224" i="24"/>
  <c r="J224" i="24" s="1"/>
  <c r="I230" i="24"/>
  <c r="J230" i="24" s="1"/>
  <c r="I231" i="24"/>
  <c r="J231" i="24" s="1"/>
  <c r="I256" i="24"/>
  <c r="J256" i="24" s="1"/>
  <c r="I258" i="24"/>
  <c r="J258" i="24" s="1"/>
  <c r="I260" i="24"/>
  <c r="J260" i="24" s="1"/>
  <c r="I261" i="24"/>
  <c r="J261" i="24" s="1"/>
  <c r="I266" i="24"/>
  <c r="J266" i="24" s="1"/>
  <c r="I270" i="24"/>
  <c r="J270" i="24" s="1"/>
  <c r="I274" i="24"/>
  <c r="J274" i="24" s="1"/>
  <c r="I275" i="24"/>
  <c r="J275" i="24" s="1"/>
  <c r="I281" i="24"/>
  <c r="J281" i="24" s="1"/>
  <c r="I282" i="24"/>
  <c r="J282" i="24" s="1"/>
  <c r="I284" i="24"/>
  <c r="J284" i="24" s="1"/>
  <c r="I288" i="24"/>
  <c r="J288" i="24" s="1"/>
  <c r="I291" i="24"/>
  <c r="J291" i="24" s="1"/>
  <c r="I293" i="24"/>
  <c r="J293" i="24" s="1"/>
  <c r="I300" i="24"/>
  <c r="J300" i="24" s="1"/>
  <c r="I305" i="24"/>
  <c r="J305" i="24" s="1"/>
  <c r="I307" i="24"/>
  <c r="J307" i="24" s="1"/>
  <c r="I311" i="24"/>
  <c r="J311" i="24" s="1"/>
  <c r="I312" i="24"/>
  <c r="J312" i="24" s="1"/>
  <c r="I318" i="24"/>
  <c r="J318" i="24" s="1"/>
  <c r="I319" i="24"/>
  <c r="J319" i="24" s="1"/>
  <c r="I320" i="24"/>
  <c r="J320" i="24" s="1"/>
  <c r="I321" i="24"/>
  <c r="J321" i="24" s="1"/>
  <c r="I323" i="24"/>
  <c r="J323" i="24" s="1"/>
  <c r="I326" i="24"/>
  <c r="J326" i="24" s="1"/>
  <c r="I333" i="24"/>
  <c r="J333" i="24" s="1"/>
  <c r="I334" i="24"/>
  <c r="J334" i="24" s="1"/>
  <c r="I335" i="24"/>
  <c r="J335" i="24" s="1"/>
  <c r="I336" i="24"/>
  <c r="J336" i="24" s="1"/>
  <c r="I337" i="24"/>
  <c r="J337" i="24" s="1"/>
  <c r="I339" i="24"/>
  <c r="J339" i="24" s="1"/>
  <c r="I341" i="24"/>
  <c r="J341" i="24" s="1"/>
  <c r="I342" i="24"/>
  <c r="J342" i="24" s="1"/>
  <c r="I343" i="24"/>
  <c r="J343" i="24" s="1"/>
  <c r="I344" i="24"/>
  <c r="J344" i="24" s="1"/>
  <c r="I345" i="24"/>
  <c r="J345" i="24" s="1"/>
  <c r="I346" i="24"/>
  <c r="J346" i="24" s="1"/>
  <c r="I348" i="24"/>
  <c r="J348" i="24" s="1"/>
  <c r="I349" i="24"/>
  <c r="J349" i="24" s="1"/>
  <c r="I350" i="24"/>
  <c r="J350" i="24" s="1"/>
  <c r="I351" i="24"/>
  <c r="J351" i="24" s="1"/>
  <c r="I352" i="24"/>
  <c r="J352" i="24" s="1"/>
  <c r="I353" i="24"/>
  <c r="J353" i="24" s="1"/>
  <c r="I354" i="24"/>
  <c r="J354" i="24" s="1"/>
  <c r="I355" i="24"/>
  <c r="J355" i="24" s="1"/>
  <c r="I356" i="24"/>
  <c r="J356" i="24" s="1"/>
  <c r="I357" i="24"/>
  <c r="J357" i="24" s="1"/>
  <c r="I358" i="24"/>
  <c r="J358" i="24" s="1"/>
  <c r="I359" i="24"/>
  <c r="J359" i="24" s="1"/>
  <c r="I360" i="24"/>
  <c r="J360" i="24" s="1"/>
  <c r="I361" i="24"/>
  <c r="J361" i="24" s="1"/>
  <c r="I365" i="24"/>
  <c r="J365" i="24" s="1"/>
  <c r="I371" i="24"/>
  <c r="J371" i="24" s="1"/>
  <c r="I376" i="24"/>
  <c r="J376" i="24" s="1"/>
  <c r="I378" i="24"/>
  <c r="J378" i="24" s="1"/>
  <c r="I380" i="24"/>
  <c r="J380" i="24" s="1"/>
  <c r="I381" i="24"/>
  <c r="J381" i="24" s="1"/>
  <c r="I385" i="24"/>
  <c r="J385" i="24" s="1"/>
  <c r="I386" i="24"/>
  <c r="J386" i="24" s="1"/>
  <c r="I395" i="24"/>
  <c r="J395" i="24" s="1"/>
  <c r="I397" i="24"/>
  <c r="J397" i="24" s="1"/>
  <c r="I399" i="24"/>
  <c r="J399" i="24" s="1"/>
  <c r="I401" i="24"/>
  <c r="J401" i="24" s="1"/>
  <c r="I402" i="24"/>
  <c r="J402" i="24" s="1"/>
  <c r="I403" i="24"/>
  <c r="J403" i="24" s="1"/>
  <c r="I404" i="24"/>
  <c r="J404" i="24" s="1"/>
  <c r="I405" i="24"/>
  <c r="J405" i="24" s="1"/>
  <c r="I406" i="24"/>
  <c r="J406" i="24" s="1"/>
  <c r="I408" i="24"/>
  <c r="J408" i="24" s="1"/>
  <c r="I410" i="24"/>
  <c r="J410" i="24" s="1"/>
  <c r="I411" i="24"/>
  <c r="J411" i="24" s="1"/>
  <c r="I412" i="24"/>
  <c r="J412" i="24" s="1"/>
  <c r="I413" i="24"/>
  <c r="J413" i="24" s="1"/>
  <c r="I416" i="24"/>
  <c r="J416" i="24" s="1"/>
  <c r="I417" i="24"/>
  <c r="J417" i="24" s="1"/>
  <c r="I425" i="24"/>
  <c r="J425" i="24" s="1"/>
  <c r="I438" i="24"/>
  <c r="J438" i="24" s="1"/>
  <c r="I440" i="24"/>
  <c r="J440" i="24" s="1"/>
  <c r="I441" i="24"/>
  <c r="J441" i="24" s="1"/>
  <c r="I443" i="24"/>
  <c r="J443" i="24" s="1"/>
  <c r="I446" i="24"/>
  <c r="J446" i="24" s="1"/>
  <c r="I464" i="24"/>
  <c r="J464" i="24" s="1"/>
  <c r="I466" i="24"/>
  <c r="J466" i="24" s="1"/>
  <c r="I467" i="24"/>
  <c r="J467" i="24" s="1"/>
  <c r="I468" i="24"/>
  <c r="J468" i="24" s="1"/>
  <c r="I470" i="24"/>
  <c r="J470" i="24" s="1"/>
  <c r="I471" i="24"/>
  <c r="J471" i="24" s="1"/>
  <c r="I476" i="24"/>
  <c r="J476" i="24" s="1"/>
  <c r="I480" i="24"/>
  <c r="J480" i="24" s="1"/>
  <c r="I485" i="24"/>
  <c r="J485" i="24" s="1"/>
  <c r="I487" i="24"/>
  <c r="J487" i="24" s="1"/>
  <c r="I489" i="24"/>
  <c r="J489" i="24" s="1"/>
  <c r="I491" i="24"/>
  <c r="J491" i="24" s="1"/>
  <c r="I492" i="24"/>
  <c r="J492" i="24" s="1"/>
  <c r="I493" i="24"/>
  <c r="J493" i="24" s="1"/>
  <c r="I494" i="24"/>
  <c r="J494" i="24" s="1"/>
  <c r="I495" i="24"/>
  <c r="J495" i="24" s="1"/>
  <c r="I496" i="24"/>
  <c r="J496" i="24" s="1"/>
  <c r="I498" i="24"/>
  <c r="J498" i="24" s="1"/>
  <c r="I500" i="24"/>
  <c r="J500" i="24" s="1"/>
  <c r="I501" i="24"/>
  <c r="J501" i="24" s="1"/>
  <c r="I503" i="24"/>
  <c r="J503" i="24" s="1"/>
  <c r="I506" i="24"/>
  <c r="J506" i="24" s="1"/>
  <c r="I514" i="24"/>
  <c r="J514" i="24" s="1"/>
  <c r="I515" i="24"/>
  <c r="J515" i="24" s="1"/>
  <c r="I517" i="24"/>
  <c r="J517" i="24" s="1"/>
  <c r="I520" i="24"/>
  <c r="J520" i="24" s="1"/>
  <c r="I521" i="24"/>
  <c r="J521" i="24" s="1"/>
  <c r="I522" i="24"/>
  <c r="J522" i="24" s="1"/>
  <c r="I524" i="24"/>
  <c r="J524" i="24" s="1"/>
  <c r="I526" i="24"/>
  <c r="J526" i="24" s="1"/>
  <c r="I528" i="24"/>
  <c r="J528" i="24" s="1"/>
  <c r="I530" i="24"/>
  <c r="J530" i="24" s="1"/>
  <c r="I531" i="24"/>
  <c r="J531" i="24" s="1"/>
  <c r="I533" i="24"/>
  <c r="J533" i="24" s="1"/>
  <c r="I534" i="24"/>
  <c r="J534" i="24" s="1"/>
  <c r="I536" i="24"/>
  <c r="J536" i="24" s="1"/>
  <c r="I551" i="24"/>
  <c r="J551" i="24" s="1"/>
  <c r="I552" i="24"/>
  <c r="J552" i="24" s="1"/>
  <c r="I556" i="24"/>
  <c r="J556" i="24" s="1"/>
  <c r="I572" i="24"/>
  <c r="J572" i="24" s="1"/>
  <c r="I577" i="24"/>
  <c r="J577" i="24" s="1"/>
  <c r="I580" i="24"/>
  <c r="J580" i="24" s="1"/>
  <c r="I582" i="24"/>
  <c r="J582" i="24" s="1"/>
  <c r="I586" i="24"/>
  <c r="J586" i="24" s="1"/>
  <c r="I588" i="24"/>
  <c r="J588" i="24" s="1"/>
  <c r="I591" i="24"/>
  <c r="J591" i="24" s="1"/>
  <c r="I593" i="24"/>
  <c r="J593" i="24" s="1"/>
  <c r="I598" i="24"/>
  <c r="J598" i="24" s="1"/>
  <c r="I600" i="24"/>
  <c r="J600" i="24" s="1"/>
  <c r="I601" i="24"/>
  <c r="J601" i="24" s="1"/>
  <c r="I604" i="24"/>
  <c r="J604" i="24" s="1"/>
  <c r="I605" i="24"/>
  <c r="J605" i="24" s="1"/>
  <c r="I606" i="24"/>
  <c r="J606" i="24" s="1"/>
  <c r="I607" i="24"/>
  <c r="J607" i="24" s="1"/>
  <c r="I611" i="24"/>
  <c r="J611" i="24" s="1"/>
  <c r="I612" i="24"/>
  <c r="J612" i="24" s="1"/>
  <c r="I613" i="24"/>
  <c r="J613" i="24" s="1"/>
  <c r="I615" i="24"/>
  <c r="J615" i="24" s="1"/>
  <c r="I616" i="24"/>
  <c r="J616" i="24" s="1"/>
  <c r="I618" i="24"/>
  <c r="J618" i="24" s="1"/>
  <c r="I621" i="24"/>
  <c r="J621" i="24" s="1"/>
  <c r="I623" i="24"/>
  <c r="J623" i="24" s="1"/>
  <c r="I627" i="24"/>
  <c r="J627" i="24" s="1"/>
  <c r="I628" i="24"/>
  <c r="J628" i="24" s="1"/>
  <c r="I630" i="24"/>
  <c r="J630" i="24" s="1"/>
  <c r="I631" i="24"/>
  <c r="J631" i="24" s="1"/>
  <c r="I633" i="24"/>
  <c r="J633" i="24" s="1"/>
  <c r="I634" i="24"/>
  <c r="J634" i="24" s="1"/>
  <c r="I635" i="24"/>
  <c r="J635" i="24" s="1"/>
  <c r="I637" i="24"/>
  <c r="J637" i="24" s="1"/>
  <c r="I639" i="24"/>
  <c r="J639" i="24" s="1"/>
  <c r="I641" i="24"/>
  <c r="J641" i="24" s="1"/>
  <c r="I642" i="24"/>
  <c r="J642" i="24" s="1"/>
  <c r="I645" i="24"/>
  <c r="J645" i="24" s="1"/>
  <c r="I646" i="24"/>
  <c r="J646" i="24" s="1"/>
  <c r="I650" i="24"/>
  <c r="J650" i="24" s="1"/>
  <c r="I651" i="24"/>
  <c r="J651" i="24" s="1"/>
  <c r="I653" i="24"/>
  <c r="J653" i="24" s="1"/>
  <c r="I656" i="24"/>
  <c r="J656" i="24" s="1"/>
  <c r="I657" i="24"/>
  <c r="J657" i="24" s="1"/>
  <c r="I660" i="24"/>
  <c r="J660" i="24" s="1"/>
  <c r="I661" i="24"/>
  <c r="J661" i="24" s="1"/>
  <c r="I678" i="24"/>
  <c r="J678" i="24" s="1"/>
  <c r="I680" i="24"/>
  <c r="J680" i="24" s="1"/>
  <c r="I686" i="24"/>
  <c r="J686" i="24" s="1"/>
  <c r="I693" i="24"/>
  <c r="J693" i="24" s="1"/>
  <c r="I695" i="24"/>
  <c r="J695" i="24" s="1"/>
  <c r="I697" i="24"/>
  <c r="J697" i="24" s="1"/>
  <c r="I701" i="24"/>
  <c r="J701" i="24" s="1"/>
  <c r="I702" i="24"/>
  <c r="J702" i="24" s="1"/>
  <c r="I704" i="24"/>
  <c r="J704" i="24" s="1"/>
  <c r="I706" i="24"/>
  <c r="J706" i="24" s="1"/>
  <c r="I708" i="24"/>
  <c r="J708" i="24" s="1"/>
  <c r="I710" i="24"/>
  <c r="J710" i="24" s="1"/>
  <c r="I711" i="24"/>
  <c r="J711" i="24" s="1"/>
  <c r="I713" i="24"/>
  <c r="J713" i="24" s="1"/>
  <c r="I716" i="24"/>
  <c r="J716" i="24" s="1"/>
  <c r="I717" i="24"/>
  <c r="J717" i="24" s="1"/>
  <c r="I719" i="24"/>
  <c r="J719" i="24" s="1"/>
  <c r="I720" i="24"/>
  <c r="J720" i="24" s="1"/>
  <c r="I721" i="24"/>
  <c r="J721" i="24" s="1"/>
  <c r="I722" i="24"/>
  <c r="J722" i="24" s="1"/>
  <c r="I725" i="24"/>
  <c r="J725" i="24" s="1"/>
  <c r="I727" i="24"/>
  <c r="J727" i="24" s="1"/>
  <c r="I731" i="24"/>
  <c r="J731" i="24" s="1"/>
  <c r="I732" i="24"/>
  <c r="J732" i="24" s="1"/>
  <c r="I734" i="24"/>
  <c r="J734" i="24" s="1"/>
  <c r="I736" i="24"/>
  <c r="J736" i="24" s="1"/>
  <c r="I737" i="24"/>
  <c r="J737" i="24" s="1"/>
  <c r="I738" i="24"/>
  <c r="J738" i="24" s="1"/>
  <c r="I741" i="24"/>
  <c r="J741" i="24" s="1"/>
  <c r="I743" i="24"/>
  <c r="J743" i="24" s="1"/>
  <c r="I746" i="24"/>
  <c r="J746" i="24" s="1"/>
  <c r="I747" i="24"/>
  <c r="J747" i="24" s="1"/>
  <c r="I748" i="24"/>
  <c r="J748" i="24" s="1"/>
  <c r="I750" i="24"/>
  <c r="J750" i="24" s="1"/>
  <c r="I751" i="24"/>
  <c r="J751" i="24" s="1"/>
  <c r="I752" i="24"/>
  <c r="J752" i="24" s="1"/>
  <c r="I753" i="24"/>
  <c r="J753" i="24" s="1"/>
  <c r="I754" i="24"/>
  <c r="J754" i="24" s="1"/>
  <c r="I755" i="24"/>
  <c r="J755" i="24" s="1"/>
  <c r="I756" i="24"/>
  <c r="J756" i="24" s="1"/>
  <c r="I757" i="24"/>
  <c r="J757" i="24" s="1"/>
  <c r="I758" i="24"/>
  <c r="J758" i="24" s="1"/>
  <c r="I759" i="24"/>
  <c r="J759" i="24" s="1"/>
  <c r="I760" i="24"/>
  <c r="J760" i="24" s="1"/>
  <c r="I761" i="24"/>
  <c r="J761" i="24" s="1"/>
  <c r="I762" i="24"/>
  <c r="J762" i="24" s="1"/>
  <c r="I763" i="24"/>
  <c r="J763" i="24" s="1"/>
  <c r="I764" i="24"/>
  <c r="J764" i="24" s="1"/>
  <c r="I765" i="24"/>
  <c r="J765" i="24" s="1"/>
  <c r="I766" i="24"/>
  <c r="J766" i="24" s="1"/>
  <c r="I767" i="24"/>
  <c r="J767" i="24" s="1"/>
  <c r="I768" i="24"/>
  <c r="J768" i="24" s="1"/>
  <c r="I769" i="24"/>
  <c r="J769" i="24" s="1"/>
  <c r="I770" i="24"/>
  <c r="J770" i="24" s="1"/>
  <c r="I772" i="24"/>
  <c r="J772" i="24" s="1"/>
  <c r="I773" i="24"/>
  <c r="J773" i="24" s="1"/>
  <c r="I777" i="24"/>
  <c r="J777" i="24" s="1"/>
  <c r="I778" i="24"/>
  <c r="J778" i="24" s="1"/>
  <c r="I779" i="24"/>
  <c r="J779" i="24" s="1"/>
  <c r="I780" i="24"/>
  <c r="J780" i="24" s="1"/>
  <c r="I781" i="24"/>
  <c r="J781" i="24" s="1"/>
  <c r="I786" i="24"/>
  <c r="J786" i="24" s="1"/>
  <c r="I788" i="24"/>
  <c r="J788" i="24" s="1"/>
  <c r="I789" i="24"/>
  <c r="J789" i="24" s="1"/>
  <c r="I790" i="24"/>
  <c r="J790" i="24" s="1"/>
  <c r="I792" i="24"/>
  <c r="J792" i="24" s="1"/>
  <c r="I793" i="24"/>
  <c r="J793" i="24" s="1"/>
  <c r="I795" i="24"/>
  <c r="J795" i="24" s="1"/>
  <c r="I796" i="24"/>
  <c r="J796" i="24" s="1"/>
  <c r="I797" i="24"/>
  <c r="J797" i="24" s="1"/>
  <c r="I800" i="24"/>
  <c r="J800" i="24" s="1"/>
  <c r="I801" i="24"/>
  <c r="J801" i="24" s="1"/>
  <c r="I802" i="24"/>
  <c r="J802" i="24" s="1"/>
  <c r="I803" i="24"/>
  <c r="J803" i="24" s="1"/>
  <c r="I806" i="24"/>
  <c r="J806" i="24" s="1"/>
  <c r="I807" i="24"/>
  <c r="J807" i="24" s="1"/>
  <c r="I809" i="24"/>
  <c r="J809" i="24" s="1"/>
  <c r="I810" i="24"/>
  <c r="J810" i="24" s="1"/>
  <c r="I812" i="24"/>
  <c r="J812" i="24" s="1"/>
  <c r="I813" i="24"/>
  <c r="J813" i="24" s="1"/>
  <c r="I815" i="24"/>
  <c r="J815" i="24" s="1"/>
  <c r="I816" i="24"/>
  <c r="J816" i="24" s="1"/>
  <c r="I817" i="24"/>
  <c r="J817" i="24" s="1"/>
  <c r="I818" i="24"/>
  <c r="J818" i="24" s="1"/>
  <c r="I820" i="24"/>
  <c r="J820" i="24" s="1"/>
  <c r="I821" i="24"/>
  <c r="J821" i="24" s="1"/>
  <c r="I823" i="24"/>
  <c r="J823" i="24" s="1"/>
  <c r="I824" i="24"/>
  <c r="J824" i="24" s="1"/>
  <c r="I825" i="24"/>
  <c r="J825" i="24" s="1"/>
  <c r="I826" i="24"/>
  <c r="J826" i="24" s="1"/>
  <c r="I827" i="24"/>
  <c r="J827" i="24" s="1"/>
  <c r="I828" i="24"/>
  <c r="J828" i="24" s="1"/>
  <c r="I829" i="24"/>
  <c r="J829" i="24" s="1"/>
  <c r="I830" i="24"/>
  <c r="J830" i="24" s="1"/>
  <c r="I832" i="24"/>
  <c r="J832" i="24" s="1"/>
  <c r="I835" i="24"/>
  <c r="J835" i="24" s="1"/>
  <c r="I836" i="24"/>
  <c r="J836" i="24" s="1"/>
  <c r="I837" i="24"/>
  <c r="J837" i="24" s="1"/>
  <c r="I840" i="24"/>
  <c r="J840" i="24" s="1"/>
  <c r="I841" i="24"/>
  <c r="J841" i="24" s="1"/>
  <c r="I842" i="24"/>
  <c r="J842" i="24" s="1"/>
  <c r="I846" i="24"/>
  <c r="J846" i="24" s="1"/>
  <c r="I847" i="24"/>
  <c r="J847" i="24" s="1"/>
  <c r="I849" i="24"/>
  <c r="J849" i="24" s="1"/>
  <c r="I850" i="24"/>
  <c r="J850" i="24" s="1"/>
  <c r="I854" i="24"/>
  <c r="J854" i="24" s="1"/>
  <c r="I861" i="24"/>
  <c r="J861" i="24" s="1"/>
  <c r="I873" i="24"/>
  <c r="J873" i="24" s="1"/>
  <c r="I874" i="24"/>
  <c r="J874" i="24" s="1"/>
  <c r="I875" i="24"/>
  <c r="J875" i="24" s="1"/>
  <c r="I876" i="24"/>
  <c r="J876" i="24" s="1"/>
  <c r="I877" i="24"/>
  <c r="J877" i="24" s="1"/>
  <c r="I878" i="24"/>
  <c r="J878" i="24" s="1"/>
  <c r="I879" i="24"/>
  <c r="J879" i="24" s="1"/>
  <c r="I882" i="24"/>
  <c r="J882" i="24" s="1"/>
  <c r="I883" i="24"/>
  <c r="J883" i="24" s="1"/>
  <c r="I884" i="24"/>
  <c r="J884" i="24" s="1"/>
  <c r="I885" i="24"/>
  <c r="J885" i="24" s="1"/>
  <c r="I886" i="24"/>
  <c r="J886" i="24" s="1"/>
  <c r="I887" i="24"/>
  <c r="J887" i="24" s="1"/>
  <c r="I888" i="24"/>
  <c r="J888" i="24" s="1"/>
  <c r="I889" i="24"/>
  <c r="J889" i="24" s="1"/>
  <c r="I890" i="24"/>
  <c r="J890" i="24" s="1"/>
  <c r="I891" i="24"/>
  <c r="J891" i="24" s="1"/>
  <c r="I892" i="24"/>
  <c r="J892" i="24" s="1"/>
  <c r="I895" i="24"/>
  <c r="J895" i="24" s="1"/>
  <c r="I911" i="24"/>
  <c r="J911" i="24" s="1"/>
  <c r="I915" i="24"/>
  <c r="J915" i="24" s="1"/>
  <c r="I916" i="24"/>
  <c r="J916" i="24" s="1"/>
  <c r="I918" i="24"/>
  <c r="J918" i="24" s="1"/>
  <c r="I921" i="24"/>
  <c r="J921" i="24" s="1"/>
  <c r="I922" i="24"/>
  <c r="J922" i="24" s="1"/>
  <c r="I923" i="24"/>
  <c r="J923" i="24" s="1"/>
  <c r="I924" i="24"/>
  <c r="J924" i="24" s="1"/>
  <c r="I930" i="24"/>
  <c r="J930" i="24" s="1"/>
  <c r="I932" i="24"/>
  <c r="J932" i="24" s="1"/>
  <c r="I933" i="24"/>
  <c r="J933" i="24" s="1"/>
  <c r="I934" i="24"/>
  <c r="J934" i="24" s="1"/>
  <c r="I938" i="24"/>
  <c r="J938" i="24" s="1"/>
  <c r="I939" i="24"/>
  <c r="J939" i="24" s="1"/>
  <c r="I945" i="24"/>
  <c r="J945" i="24" s="1"/>
  <c r="I957" i="24"/>
  <c r="J957" i="24" s="1"/>
  <c r="I958" i="24"/>
  <c r="J958" i="24" s="1"/>
  <c r="I959" i="24"/>
  <c r="J959" i="24" s="1"/>
  <c r="I960" i="24"/>
  <c r="J960" i="24" s="1"/>
  <c r="I963" i="24"/>
  <c r="J963" i="24" s="1"/>
  <c r="I966" i="24"/>
  <c r="J966" i="24" s="1"/>
  <c r="I967" i="24"/>
  <c r="J967" i="24" s="1"/>
  <c r="I969" i="24"/>
  <c r="J969" i="24" s="1"/>
  <c r="I970" i="24"/>
  <c r="J970" i="24" s="1"/>
  <c r="I971" i="24"/>
  <c r="J971" i="24" s="1"/>
  <c r="I972" i="24"/>
  <c r="J972" i="24" s="1"/>
  <c r="I973" i="24"/>
  <c r="J973" i="24" s="1"/>
  <c r="I974" i="24"/>
  <c r="J974" i="24" s="1"/>
  <c r="I975" i="24"/>
  <c r="J975" i="24" s="1"/>
  <c r="I976" i="24"/>
  <c r="J976" i="24" s="1"/>
  <c r="I978" i="24"/>
  <c r="J978" i="24" s="1"/>
  <c r="I979" i="24"/>
  <c r="J979" i="24" s="1"/>
  <c r="I980" i="24"/>
  <c r="J980" i="24" s="1"/>
  <c r="I981" i="24"/>
  <c r="J981" i="24" s="1"/>
  <c r="I985" i="24"/>
  <c r="J985" i="24" s="1"/>
  <c r="I987" i="24"/>
  <c r="J987" i="24" s="1"/>
  <c r="I988" i="24"/>
  <c r="J988" i="24" s="1"/>
  <c r="I993" i="24"/>
  <c r="J993" i="24" s="1"/>
  <c r="I994" i="24"/>
  <c r="J994" i="24" s="1"/>
  <c r="I995" i="24"/>
  <c r="J995" i="24" s="1"/>
  <c r="I996" i="24"/>
  <c r="J996" i="24" s="1"/>
  <c r="I997" i="24"/>
  <c r="J997" i="24" s="1"/>
  <c r="I999" i="24"/>
  <c r="J999" i="24" s="1"/>
  <c r="I1008" i="24"/>
  <c r="J1008" i="24" s="1"/>
  <c r="I1020" i="24"/>
  <c r="J1020" i="24" s="1"/>
  <c r="I1021" i="24"/>
  <c r="J1021" i="24" s="1"/>
  <c r="I1022" i="24"/>
  <c r="J1022" i="24" s="1"/>
  <c r="I1029" i="24"/>
  <c r="J1029" i="24" s="1"/>
  <c r="I1038" i="24"/>
  <c r="J1038" i="24" s="1"/>
  <c r="I1084" i="24"/>
  <c r="J1084" i="24" s="1"/>
  <c r="I1085" i="24"/>
  <c r="J1085" i="24" s="1"/>
  <c r="I1098" i="24"/>
  <c r="J1098" i="24" s="1"/>
  <c r="I1102" i="24"/>
  <c r="J1102" i="24" s="1"/>
  <c r="I1125" i="24"/>
  <c r="J1125" i="24" s="1"/>
  <c r="I1126" i="24"/>
  <c r="J1126" i="24" s="1"/>
  <c r="I1127" i="24"/>
  <c r="J1127" i="24" s="1"/>
  <c r="I1128" i="24"/>
  <c r="J1128" i="24" s="1"/>
  <c r="I1134" i="24"/>
  <c r="J1134" i="24" s="1"/>
  <c r="I1137" i="24"/>
  <c r="J1137" i="24" s="1"/>
  <c r="I1140" i="24"/>
  <c r="J1140" i="24" s="1"/>
  <c r="I1141" i="24"/>
  <c r="J1141" i="24" s="1"/>
  <c r="I1142" i="24"/>
  <c r="J1142" i="24" s="1"/>
  <c r="I1143" i="24"/>
  <c r="J1143" i="24" s="1"/>
  <c r="I1144" i="24"/>
  <c r="J1144" i="24" s="1"/>
  <c r="I1147" i="24"/>
  <c r="J1147" i="24" s="1"/>
  <c r="I1148" i="24"/>
  <c r="J1148" i="24" s="1"/>
  <c r="I1155" i="24"/>
  <c r="J1155" i="24" s="1"/>
  <c r="I1163" i="24"/>
  <c r="J1163" i="24" s="1"/>
  <c r="I1167" i="24"/>
  <c r="J1167" i="24" s="1"/>
  <c r="I1168" i="24"/>
  <c r="J1168" i="24" s="1"/>
  <c r="I1176" i="24"/>
  <c r="J1176" i="24" s="1"/>
  <c r="I1188" i="24"/>
  <c r="J1188" i="24" s="1"/>
  <c r="I1210" i="24"/>
  <c r="J1210" i="24" s="1"/>
  <c r="I1218" i="24"/>
  <c r="J1218" i="24" s="1"/>
  <c r="I1252" i="24"/>
  <c r="J1252" i="24" s="1"/>
  <c r="I1260" i="24"/>
  <c r="J1260" i="24" s="1"/>
  <c r="I1273" i="24"/>
  <c r="J1273" i="24" s="1"/>
  <c r="I1293" i="24"/>
  <c r="J1293" i="24" s="1"/>
  <c r="I1294" i="24"/>
  <c r="J1294" i="24" s="1"/>
  <c r="I1295" i="24"/>
  <c r="J1295" i="24" s="1"/>
  <c r="I1296" i="24"/>
  <c r="J1296" i="24" s="1"/>
  <c r="I1300" i="24"/>
  <c r="J1300" i="24" s="1"/>
  <c r="I1302" i="24"/>
  <c r="J1302" i="24" s="1"/>
  <c r="I1303" i="24"/>
  <c r="J1303" i="24" s="1"/>
  <c r="I1304" i="24"/>
  <c r="J1304" i="24" s="1"/>
  <c r="I1305" i="24"/>
  <c r="J1305" i="24" s="1"/>
  <c r="I1308" i="24"/>
  <c r="J1308" i="24" s="1"/>
  <c r="I1309" i="24"/>
  <c r="J1309" i="24" s="1"/>
  <c r="I1310" i="24"/>
  <c r="J1310" i="24" s="1"/>
  <c r="I1311" i="24"/>
  <c r="J1311" i="24" s="1"/>
  <c r="I1312" i="24"/>
  <c r="J1312" i="24" s="1"/>
  <c r="I1314" i="24"/>
  <c r="J1314" i="24" s="1"/>
  <c r="I1315" i="24"/>
  <c r="J1315" i="24" s="1"/>
  <c r="I1316" i="24"/>
  <c r="J1316" i="24" s="1"/>
  <c r="I1317" i="24"/>
  <c r="J1317" i="24" s="1"/>
  <c r="I1321" i="24"/>
  <c r="J1321" i="24" s="1"/>
  <c r="I1323" i="24"/>
  <c r="J1323" i="24" s="1"/>
  <c r="I1324" i="24"/>
  <c r="J1324" i="24" s="1"/>
  <c r="I1329" i="24"/>
  <c r="J1329" i="24" s="1"/>
  <c r="I1330" i="24"/>
  <c r="J1330" i="24" s="1"/>
  <c r="I1331" i="24"/>
  <c r="J1331" i="24" s="1"/>
  <c r="I1332" i="24"/>
  <c r="J1332" i="24" s="1"/>
  <c r="I1333" i="24"/>
  <c r="J1333" i="24" s="1"/>
  <c r="I1344" i="24"/>
  <c r="J1344" i="24" s="1"/>
  <c r="I1347" i="24"/>
  <c r="J1347" i="24" s="1"/>
  <c r="I1358" i="24"/>
  <c r="J1358" i="24" s="1"/>
  <c r="I1361" i="24"/>
  <c r="J1361" i="24" s="1"/>
  <c r="I1362" i="24"/>
  <c r="J1362" i="24" s="1"/>
  <c r="I1363" i="24"/>
  <c r="J1363" i="24" s="1"/>
  <c r="I1364" i="24"/>
  <c r="J1364" i="24" s="1"/>
  <c r="I1367" i="24"/>
  <c r="J1367" i="24" s="1"/>
  <c r="I1368" i="24"/>
  <c r="J1368" i="24" s="1"/>
  <c r="I1369" i="24"/>
  <c r="J1369" i="24" s="1"/>
  <c r="I1373" i="24"/>
  <c r="J1373" i="24" s="1"/>
  <c r="I1374" i="24"/>
  <c r="J1374" i="24" s="1"/>
  <c r="I1375" i="24"/>
  <c r="J1375" i="24" s="1"/>
  <c r="I1398" i="24"/>
  <c r="J1398" i="24" s="1"/>
  <c r="I1399" i="24"/>
  <c r="J1399" i="24" s="1"/>
  <c r="I1400" i="24"/>
  <c r="J1400" i="24" s="1"/>
  <c r="I1403" i="24"/>
  <c r="J1403" i="24" s="1"/>
  <c r="I1404" i="24"/>
  <c r="J1404" i="24" s="1"/>
  <c r="I1405" i="24"/>
  <c r="J1405" i="24" s="1"/>
  <c r="I1407" i="24"/>
  <c r="J1407" i="24" s="1"/>
  <c r="I1408" i="24"/>
  <c r="J1408" i="24" s="1"/>
  <c r="I1409" i="24"/>
  <c r="J1409" i="24" s="1"/>
  <c r="I1410" i="24"/>
  <c r="J1410" i="24" s="1"/>
  <c r="I1411" i="24"/>
  <c r="J1411" i="24" s="1"/>
  <c r="I1414" i="24"/>
  <c r="J1414" i="24" s="1"/>
  <c r="I1415" i="24"/>
  <c r="J1415" i="24" s="1"/>
  <c r="I1416" i="24"/>
  <c r="J1416" i="24" s="1"/>
  <c r="I1417" i="24"/>
  <c r="J1417" i="24" s="1"/>
  <c r="I1422" i="24"/>
  <c r="J1422" i="24" s="1"/>
  <c r="I1426" i="24"/>
  <c r="J1426" i="24" s="1"/>
  <c r="I1428" i="24"/>
  <c r="J1428" i="24" s="1"/>
  <c r="I1441" i="24"/>
  <c r="J1441" i="24" s="1"/>
  <c r="I1445" i="24"/>
  <c r="J1445" i="24" s="1"/>
  <c r="I1449" i="24"/>
  <c r="J1449" i="24" s="1"/>
  <c r="I1450" i="24"/>
  <c r="J1450" i="24" s="1"/>
  <c r="I1451" i="24"/>
  <c r="J1451" i="24" s="1"/>
  <c r="I1457" i="24"/>
  <c r="J1457" i="24" s="1"/>
  <c r="H3" i="24"/>
  <c r="H4" i="24"/>
  <c r="H5" i="24"/>
  <c r="H6" i="24"/>
  <c r="H7" i="24"/>
  <c r="H8" i="24"/>
  <c r="H9" i="24"/>
  <c r="H10" i="24"/>
  <c r="H11" i="24"/>
  <c r="H12" i="24"/>
  <c r="H13" i="24"/>
  <c r="H14" i="24"/>
  <c r="H15" i="24"/>
  <c r="H16" i="24"/>
  <c r="H17" i="24"/>
  <c r="H18" i="24"/>
  <c r="H19" i="24"/>
  <c r="H20" i="24"/>
  <c r="H21" i="24"/>
  <c r="H22" i="24"/>
  <c r="H23" i="24"/>
  <c r="H24" i="24"/>
  <c r="H25" i="24"/>
  <c r="H26" i="24"/>
  <c r="H27" i="24"/>
  <c r="H28" i="24"/>
  <c r="H29" i="24"/>
  <c r="H30" i="24"/>
  <c r="H31" i="24"/>
  <c r="H32" i="24"/>
  <c r="H33" i="24"/>
  <c r="H34" i="24"/>
  <c r="H35" i="24"/>
  <c r="H36" i="24"/>
  <c r="H37" i="24"/>
  <c r="H38" i="24"/>
  <c r="H39" i="24"/>
  <c r="H40" i="24"/>
  <c r="H41" i="24"/>
  <c r="H42" i="24"/>
  <c r="H43" i="24"/>
  <c r="H44" i="24"/>
  <c r="H45" i="24"/>
  <c r="H46" i="24"/>
  <c r="H47" i="24"/>
  <c r="H48" i="24"/>
  <c r="H49" i="24"/>
  <c r="H50" i="24"/>
  <c r="H51" i="24"/>
  <c r="H52" i="24"/>
  <c r="H53" i="24"/>
  <c r="H54" i="24"/>
  <c r="H55" i="24"/>
  <c r="H56" i="24"/>
  <c r="H57" i="24"/>
  <c r="H58" i="24"/>
  <c r="H59" i="24"/>
  <c r="H60" i="24"/>
  <c r="H61" i="24"/>
  <c r="H62" i="24"/>
  <c r="H63" i="24"/>
  <c r="H64" i="24"/>
  <c r="H65" i="24"/>
  <c r="H66" i="24"/>
  <c r="H67" i="24"/>
  <c r="H68" i="24"/>
  <c r="H69" i="24"/>
  <c r="H70" i="24"/>
  <c r="H71" i="24"/>
  <c r="H72" i="24"/>
  <c r="H73" i="24"/>
  <c r="H74" i="24"/>
  <c r="H75" i="24"/>
  <c r="H76" i="24"/>
  <c r="H77" i="24"/>
  <c r="H78" i="24"/>
  <c r="H79" i="24"/>
  <c r="H80" i="24"/>
  <c r="H81" i="24"/>
  <c r="H82" i="24"/>
  <c r="H83" i="24"/>
  <c r="H84" i="24"/>
  <c r="H85" i="24"/>
  <c r="H86" i="24"/>
  <c r="H87" i="24"/>
  <c r="H88" i="24"/>
  <c r="H89" i="24"/>
  <c r="H90" i="24"/>
  <c r="H91" i="24"/>
  <c r="H92" i="24"/>
  <c r="H93" i="24"/>
  <c r="H94" i="24"/>
  <c r="H95" i="24"/>
  <c r="H96" i="24"/>
  <c r="H97" i="24"/>
  <c r="H98" i="24"/>
  <c r="H99" i="24"/>
  <c r="H100" i="24"/>
  <c r="H101" i="24"/>
  <c r="H102" i="24"/>
  <c r="H103" i="24"/>
  <c r="H104" i="24"/>
  <c r="H105" i="24"/>
  <c r="H106" i="24"/>
  <c r="H107" i="24"/>
  <c r="H108" i="24"/>
  <c r="H109" i="24"/>
  <c r="H110" i="24"/>
  <c r="H111" i="24"/>
  <c r="H112" i="24"/>
  <c r="H113" i="24"/>
  <c r="H114" i="24"/>
  <c r="H115" i="24"/>
  <c r="H116" i="24"/>
  <c r="H117" i="24"/>
  <c r="H118" i="24"/>
  <c r="H119" i="24"/>
  <c r="H120" i="24"/>
  <c r="H121" i="24"/>
  <c r="H122" i="24"/>
  <c r="H123" i="24"/>
  <c r="H124" i="24"/>
  <c r="H125" i="24"/>
  <c r="H126" i="24"/>
  <c r="H127" i="24"/>
  <c r="H128" i="24"/>
  <c r="H129" i="24"/>
  <c r="H130" i="24"/>
  <c r="H131" i="24"/>
  <c r="H132" i="24"/>
  <c r="H133" i="24"/>
  <c r="H134" i="24"/>
  <c r="H135" i="24"/>
  <c r="H136" i="24"/>
  <c r="H137" i="24"/>
  <c r="H138" i="24"/>
  <c r="H139" i="24"/>
  <c r="H140" i="24"/>
  <c r="H141" i="24"/>
  <c r="H142" i="24"/>
  <c r="H143" i="24"/>
  <c r="H144" i="24"/>
  <c r="H145" i="24"/>
  <c r="H146" i="24"/>
  <c r="H147" i="24"/>
  <c r="H148" i="24"/>
  <c r="H149" i="24"/>
  <c r="H150" i="24"/>
  <c r="H151" i="24"/>
  <c r="H152" i="24"/>
  <c r="H153" i="24"/>
  <c r="H154" i="24"/>
  <c r="H155" i="24"/>
  <c r="H156" i="24"/>
  <c r="H157" i="24"/>
  <c r="H158" i="24"/>
  <c r="H159" i="24"/>
  <c r="H160" i="24"/>
  <c r="H161" i="24"/>
  <c r="H162" i="24"/>
  <c r="H163" i="24"/>
  <c r="H164" i="24"/>
  <c r="H165" i="24"/>
  <c r="H166" i="24"/>
  <c r="H167" i="24"/>
  <c r="H168" i="24"/>
  <c r="H169" i="24"/>
  <c r="H170" i="24"/>
  <c r="H171" i="24"/>
  <c r="H172" i="24"/>
  <c r="H173" i="24"/>
  <c r="H174" i="24"/>
  <c r="H175" i="24"/>
  <c r="H176" i="24"/>
  <c r="H177" i="24"/>
  <c r="H178" i="24"/>
  <c r="H179" i="24"/>
  <c r="H180" i="24"/>
  <c r="H181" i="24"/>
  <c r="H182" i="24"/>
  <c r="H183" i="24"/>
  <c r="H184" i="24"/>
  <c r="H185" i="24"/>
  <c r="H186" i="24"/>
  <c r="H187" i="24"/>
  <c r="H188" i="24"/>
  <c r="H189" i="24"/>
  <c r="H190" i="24"/>
  <c r="H191" i="24"/>
  <c r="H192" i="24"/>
  <c r="H193" i="24"/>
  <c r="H194" i="24"/>
  <c r="H195" i="24"/>
  <c r="H196" i="24"/>
  <c r="H197" i="24"/>
  <c r="H198" i="24"/>
  <c r="H199" i="24"/>
  <c r="H200" i="24"/>
  <c r="H201" i="24"/>
  <c r="H202" i="24"/>
  <c r="H203" i="24"/>
  <c r="H204" i="24"/>
  <c r="H205" i="24"/>
  <c r="H206" i="24"/>
  <c r="H207" i="24"/>
  <c r="H208" i="24"/>
  <c r="H209" i="24"/>
  <c r="H210" i="24"/>
  <c r="H211" i="24"/>
  <c r="H212" i="24"/>
  <c r="H213" i="24"/>
  <c r="H214" i="24"/>
  <c r="H215" i="24"/>
  <c r="H216" i="24"/>
  <c r="H217" i="24"/>
  <c r="H218" i="24"/>
  <c r="H219" i="24"/>
  <c r="H220" i="24"/>
  <c r="H221" i="24"/>
  <c r="H222" i="24"/>
  <c r="H223" i="24"/>
  <c r="H224" i="24"/>
  <c r="H225" i="24"/>
  <c r="H226" i="24"/>
  <c r="H227" i="24"/>
  <c r="H228" i="24"/>
  <c r="H229" i="24"/>
  <c r="H230" i="24"/>
  <c r="H231" i="24"/>
  <c r="H232" i="24"/>
  <c r="H233" i="24"/>
  <c r="H234" i="24"/>
  <c r="H235" i="24"/>
  <c r="H236" i="24"/>
  <c r="H237" i="24"/>
  <c r="H238" i="24"/>
  <c r="H239" i="24"/>
  <c r="H240" i="24"/>
  <c r="H241" i="24"/>
  <c r="H242" i="24"/>
  <c r="H243" i="24"/>
  <c r="H244" i="24"/>
  <c r="H245" i="24"/>
  <c r="H246" i="24"/>
  <c r="H247" i="24"/>
  <c r="H248" i="24"/>
  <c r="H249" i="24"/>
  <c r="H250" i="24"/>
  <c r="H251" i="24"/>
  <c r="H252" i="24"/>
  <c r="H253" i="24"/>
  <c r="H254" i="24"/>
  <c r="H255" i="24"/>
  <c r="H256" i="24"/>
  <c r="H257" i="24"/>
  <c r="H258" i="24"/>
  <c r="H259" i="24"/>
  <c r="H260" i="24"/>
  <c r="H261" i="24"/>
  <c r="H262" i="24"/>
  <c r="H263" i="24"/>
  <c r="H264" i="24"/>
  <c r="H265" i="24"/>
  <c r="H266" i="24"/>
  <c r="H267" i="24"/>
  <c r="H268" i="24"/>
  <c r="H269" i="24"/>
  <c r="H270" i="24"/>
  <c r="H271" i="24"/>
  <c r="H272" i="24"/>
  <c r="H273" i="24"/>
  <c r="H274" i="24"/>
  <c r="H275" i="24"/>
  <c r="H276" i="24"/>
  <c r="H277" i="24"/>
  <c r="H278" i="24"/>
  <c r="H279" i="24"/>
  <c r="H280" i="24"/>
  <c r="H281" i="24"/>
  <c r="H282" i="24"/>
  <c r="H283" i="24"/>
  <c r="H284" i="24"/>
  <c r="H285" i="24"/>
  <c r="H286" i="24"/>
  <c r="H287" i="24"/>
  <c r="H288" i="24"/>
  <c r="H289" i="24"/>
  <c r="H290" i="24"/>
  <c r="H291" i="24"/>
  <c r="H292" i="24"/>
  <c r="H293" i="24"/>
  <c r="H294" i="24"/>
  <c r="H295" i="24"/>
  <c r="H296" i="24"/>
  <c r="H297" i="24"/>
  <c r="H298" i="24"/>
  <c r="H299" i="24"/>
  <c r="H300" i="24"/>
  <c r="H301" i="24"/>
  <c r="H302" i="24"/>
  <c r="H303" i="24"/>
  <c r="H304" i="24"/>
  <c r="H305" i="24"/>
  <c r="H306" i="24"/>
  <c r="H307" i="24"/>
  <c r="H308" i="24"/>
  <c r="H309" i="24"/>
  <c r="H310" i="24"/>
  <c r="H311" i="24"/>
  <c r="H312" i="24"/>
  <c r="H313" i="24"/>
  <c r="H314" i="24"/>
  <c r="H315" i="24"/>
  <c r="H316" i="24"/>
  <c r="H317" i="24"/>
  <c r="H318" i="24"/>
  <c r="H319" i="24"/>
  <c r="H320" i="24"/>
  <c r="H321" i="24"/>
  <c r="H322" i="24"/>
  <c r="H323" i="24"/>
  <c r="H324" i="24"/>
  <c r="H325" i="24"/>
  <c r="H326" i="24"/>
  <c r="H327" i="24"/>
  <c r="H328" i="24"/>
  <c r="H329" i="24"/>
  <c r="H330" i="24"/>
  <c r="H331" i="24"/>
  <c r="H332" i="24"/>
  <c r="H333" i="24"/>
  <c r="H334" i="24"/>
  <c r="H335" i="24"/>
  <c r="H336" i="24"/>
  <c r="H337" i="24"/>
  <c r="H338" i="24"/>
  <c r="H339" i="24"/>
  <c r="H340" i="24"/>
  <c r="H341" i="24"/>
  <c r="H342" i="24"/>
  <c r="H343" i="24"/>
  <c r="H344" i="24"/>
  <c r="H345" i="24"/>
  <c r="H346" i="24"/>
  <c r="H347" i="24"/>
  <c r="H348" i="24"/>
  <c r="H349" i="24"/>
  <c r="H350" i="24"/>
  <c r="H351" i="24"/>
  <c r="H352" i="24"/>
  <c r="H353" i="24"/>
  <c r="H354" i="24"/>
  <c r="H355" i="24"/>
  <c r="H356" i="24"/>
  <c r="H357" i="24"/>
  <c r="H358" i="24"/>
  <c r="H359" i="24"/>
  <c r="H360" i="24"/>
  <c r="H361" i="24"/>
  <c r="H362" i="24"/>
  <c r="H363" i="24"/>
  <c r="H364" i="24"/>
  <c r="H365" i="24"/>
  <c r="H366" i="24"/>
  <c r="H367" i="24"/>
  <c r="H368" i="24"/>
  <c r="H369" i="24"/>
  <c r="H370" i="24"/>
  <c r="H371" i="24"/>
  <c r="H372" i="24"/>
  <c r="H373" i="24"/>
  <c r="H374" i="24"/>
  <c r="H375" i="24"/>
  <c r="H376" i="24"/>
  <c r="H377" i="24"/>
  <c r="H378" i="24"/>
  <c r="H379" i="24"/>
  <c r="H380" i="24"/>
  <c r="H381" i="24"/>
  <c r="H382" i="24"/>
  <c r="H383" i="24"/>
  <c r="H384" i="24"/>
  <c r="H385" i="24"/>
  <c r="H386" i="24"/>
  <c r="H387" i="24"/>
  <c r="H388" i="24"/>
  <c r="H389" i="24"/>
  <c r="H390" i="24"/>
  <c r="H391" i="24"/>
  <c r="H392" i="24"/>
  <c r="H393" i="24"/>
  <c r="H394" i="24"/>
  <c r="H395" i="24"/>
  <c r="H396" i="24"/>
  <c r="H397" i="24"/>
  <c r="H398" i="24"/>
  <c r="H399" i="24"/>
  <c r="H400" i="24"/>
  <c r="H401" i="24"/>
  <c r="H402" i="24"/>
  <c r="H403" i="24"/>
  <c r="H404" i="24"/>
  <c r="H405" i="24"/>
  <c r="H406" i="24"/>
  <c r="H407" i="24"/>
  <c r="H408" i="24"/>
  <c r="H409" i="24"/>
  <c r="H410" i="24"/>
  <c r="H411" i="24"/>
  <c r="H412" i="24"/>
  <c r="H413" i="24"/>
  <c r="H414" i="24"/>
  <c r="H415" i="24"/>
  <c r="H416" i="24"/>
  <c r="H417" i="24"/>
  <c r="H418" i="24"/>
  <c r="H419" i="24"/>
  <c r="H420" i="24"/>
  <c r="H421" i="24"/>
  <c r="H422" i="24"/>
  <c r="H423" i="24"/>
  <c r="H424" i="24"/>
  <c r="H425" i="24"/>
  <c r="H426" i="24"/>
  <c r="H427" i="24"/>
  <c r="H428" i="24"/>
  <c r="H429" i="24"/>
  <c r="H430" i="24"/>
  <c r="H431" i="24"/>
  <c r="H432" i="24"/>
  <c r="H433" i="24"/>
  <c r="H434" i="24"/>
  <c r="H435" i="24"/>
  <c r="H436" i="24"/>
  <c r="H437" i="24"/>
  <c r="H438" i="24"/>
  <c r="H439" i="24"/>
  <c r="H440" i="24"/>
  <c r="H441" i="24"/>
  <c r="H442" i="24"/>
  <c r="H443" i="24"/>
  <c r="H444" i="24"/>
  <c r="H445" i="24"/>
  <c r="H446" i="24"/>
  <c r="H447" i="24"/>
  <c r="H448" i="24"/>
  <c r="H449" i="24"/>
  <c r="H450" i="24"/>
  <c r="H451" i="24"/>
  <c r="H452" i="24"/>
  <c r="H453" i="24"/>
  <c r="H454" i="24"/>
  <c r="H455" i="24"/>
  <c r="H456" i="24"/>
  <c r="H457" i="24"/>
  <c r="H458" i="24"/>
  <c r="H459" i="24"/>
  <c r="H460" i="24"/>
  <c r="H461" i="24"/>
  <c r="H462" i="24"/>
  <c r="H463" i="24"/>
  <c r="H464" i="24"/>
  <c r="H465" i="24"/>
  <c r="H466" i="24"/>
  <c r="H467" i="24"/>
  <c r="H468" i="24"/>
  <c r="H469" i="24"/>
  <c r="H470" i="24"/>
  <c r="H471" i="24"/>
  <c r="H472" i="24"/>
  <c r="H473" i="24"/>
  <c r="H474" i="24"/>
  <c r="H475" i="24"/>
  <c r="H476" i="24"/>
  <c r="H477" i="24"/>
  <c r="H478" i="24"/>
  <c r="H479" i="24"/>
  <c r="H480" i="24"/>
  <c r="H481" i="24"/>
  <c r="H482" i="24"/>
  <c r="H483" i="24"/>
  <c r="H484" i="24"/>
  <c r="H485" i="24"/>
  <c r="H486" i="24"/>
  <c r="H487" i="24"/>
  <c r="H488" i="24"/>
  <c r="H489" i="24"/>
  <c r="H490" i="24"/>
  <c r="H491" i="24"/>
  <c r="H492" i="24"/>
  <c r="H493" i="24"/>
  <c r="H494" i="24"/>
  <c r="H495" i="24"/>
  <c r="H496" i="24"/>
  <c r="H497" i="24"/>
  <c r="H498" i="24"/>
  <c r="H499" i="24"/>
  <c r="H500" i="24"/>
  <c r="H501" i="24"/>
  <c r="H502" i="24"/>
  <c r="H503" i="24"/>
  <c r="H504" i="24"/>
  <c r="H505" i="24"/>
  <c r="H506" i="24"/>
  <c r="H507" i="24"/>
  <c r="H508" i="24"/>
  <c r="H509" i="24"/>
  <c r="H510" i="24"/>
  <c r="H511" i="24"/>
  <c r="H512" i="24"/>
  <c r="H513" i="24"/>
  <c r="H514" i="24"/>
  <c r="H515" i="24"/>
  <c r="H516" i="24"/>
  <c r="H517" i="24"/>
  <c r="H518" i="24"/>
  <c r="H519" i="24"/>
  <c r="H520" i="24"/>
  <c r="H521" i="24"/>
  <c r="H522" i="24"/>
  <c r="H523" i="24"/>
  <c r="H524" i="24"/>
  <c r="H525" i="24"/>
  <c r="H526" i="24"/>
  <c r="H527" i="24"/>
  <c r="H528" i="24"/>
  <c r="H529" i="24"/>
  <c r="H530" i="24"/>
  <c r="H531" i="24"/>
  <c r="H532" i="24"/>
  <c r="H533" i="24"/>
  <c r="H534" i="24"/>
  <c r="H535" i="24"/>
  <c r="H536" i="24"/>
  <c r="H537" i="24"/>
  <c r="H538" i="24"/>
  <c r="H539" i="24"/>
  <c r="H540" i="24"/>
  <c r="H541" i="24"/>
  <c r="H542" i="24"/>
  <c r="H543" i="24"/>
  <c r="H544" i="24"/>
  <c r="H545" i="24"/>
  <c r="H546" i="24"/>
  <c r="H547" i="24"/>
  <c r="H548" i="24"/>
  <c r="H549" i="24"/>
  <c r="H550" i="24"/>
  <c r="H551" i="24"/>
  <c r="H552" i="24"/>
  <c r="H553" i="24"/>
  <c r="H554" i="24"/>
  <c r="H555" i="24"/>
  <c r="H556" i="24"/>
  <c r="H557" i="24"/>
  <c r="H558" i="24"/>
  <c r="H559" i="24"/>
  <c r="H560" i="24"/>
  <c r="H561" i="24"/>
  <c r="H562" i="24"/>
  <c r="H563" i="24"/>
  <c r="H564" i="24"/>
  <c r="H565" i="24"/>
  <c r="H566" i="24"/>
  <c r="H567" i="24"/>
  <c r="H568" i="24"/>
  <c r="H569" i="24"/>
  <c r="H570" i="24"/>
  <c r="H571" i="24"/>
  <c r="H572" i="24"/>
  <c r="H573" i="24"/>
  <c r="H574" i="24"/>
  <c r="H575" i="24"/>
  <c r="H576" i="24"/>
  <c r="H577" i="24"/>
  <c r="H578" i="24"/>
  <c r="H579" i="24"/>
  <c r="H580" i="24"/>
  <c r="H581" i="24"/>
  <c r="H582" i="24"/>
  <c r="H583" i="24"/>
  <c r="H584" i="24"/>
  <c r="H585" i="24"/>
  <c r="H586" i="24"/>
  <c r="H587" i="24"/>
  <c r="H588" i="24"/>
  <c r="H589" i="24"/>
  <c r="H590" i="24"/>
  <c r="H591" i="24"/>
  <c r="H592" i="24"/>
  <c r="H593" i="24"/>
  <c r="H594" i="24"/>
  <c r="H595" i="24"/>
  <c r="H596" i="24"/>
  <c r="H597" i="24"/>
  <c r="H598" i="24"/>
  <c r="H599" i="24"/>
  <c r="H600" i="24"/>
  <c r="H601" i="24"/>
  <c r="H602" i="24"/>
  <c r="H603" i="24"/>
  <c r="H604" i="24"/>
  <c r="H605" i="24"/>
  <c r="H606" i="24"/>
  <c r="H607" i="24"/>
  <c r="H608" i="24"/>
  <c r="H609" i="24"/>
  <c r="H610" i="24"/>
  <c r="H611" i="24"/>
  <c r="H612" i="24"/>
  <c r="H613" i="24"/>
  <c r="H614" i="24"/>
  <c r="H615" i="24"/>
  <c r="H616" i="24"/>
  <c r="H617" i="24"/>
  <c r="H618" i="24"/>
  <c r="H619" i="24"/>
  <c r="H620" i="24"/>
  <c r="H621" i="24"/>
  <c r="H622" i="24"/>
  <c r="H623" i="24"/>
  <c r="H624" i="24"/>
  <c r="H625" i="24"/>
  <c r="H626" i="24"/>
  <c r="H627" i="24"/>
  <c r="H628" i="24"/>
  <c r="H629" i="24"/>
  <c r="H630" i="24"/>
  <c r="H631" i="24"/>
  <c r="H632" i="24"/>
  <c r="H633" i="24"/>
  <c r="H634" i="24"/>
  <c r="H635" i="24"/>
  <c r="H636" i="24"/>
  <c r="H637" i="24"/>
  <c r="H638" i="24"/>
  <c r="H639" i="24"/>
  <c r="H640" i="24"/>
  <c r="H641" i="24"/>
  <c r="H642" i="24"/>
  <c r="H643" i="24"/>
  <c r="H644" i="24"/>
  <c r="H645" i="24"/>
  <c r="H646" i="24"/>
  <c r="H647" i="24"/>
  <c r="H648" i="24"/>
  <c r="H649" i="24"/>
  <c r="H650" i="24"/>
  <c r="H651" i="24"/>
  <c r="H652" i="24"/>
  <c r="H653" i="24"/>
  <c r="H654" i="24"/>
  <c r="H655" i="24"/>
  <c r="H656" i="24"/>
  <c r="H657" i="24"/>
  <c r="H658" i="24"/>
  <c r="H659" i="24"/>
  <c r="H660" i="24"/>
  <c r="H661" i="24"/>
  <c r="H662" i="24"/>
  <c r="H663" i="24"/>
  <c r="H664" i="24"/>
  <c r="H665" i="24"/>
  <c r="H666" i="24"/>
  <c r="H667" i="24"/>
  <c r="H668" i="24"/>
  <c r="H669" i="24"/>
  <c r="H670" i="24"/>
  <c r="H671" i="24"/>
  <c r="H672" i="24"/>
  <c r="H673" i="24"/>
  <c r="H674" i="24"/>
  <c r="H675" i="24"/>
  <c r="H676" i="24"/>
  <c r="H677" i="24"/>
  <c r="H678" i="24"/>
  <c r="H679" i="24"/>
  <c r="H680" i="24"/>
  <c r="H681" i="24"/>
  <c r="H682" i="24"/>
  <c r="H683" i="24"/>
  <c r="H684" i="24"/>
  <c r="H685" i="24"/>
  <c r="H686" i="24"/>
  <c r="H687" i="24"/>
  <c r="H688" i="24"/>
  <c r="H689" i="24"/>
  <c r="H690" i="24"/>
  <c r="H691" i="24"/>
  <c r="H692" i="24"/>
  <c r="H693" i="24"/>
  <c r="H694" i="24"/>
  <c r="H695" i="24"/>
  <c r="H696" i="24"/>
  <c r="H697" i="24"/>
  <c r="H698" i="24"/>
  <c r="H699" i="24"/>
  <c r="H700" i="24"/>
  <c r="H701" i="24"/>
  <c r="H702" i="24"/>
  <c r="H703" i="24"/>
  <c r="H704" i="24"/>
  <c r="H705" i="24"/>
  <c r="H706" i="24"/>
  <c r="H707" i="24"/>
  <c r="H708" i="24"/>
  <c r="H709" i="24"/>
  <c r="H710" i="24"/>
  <c r="H711" i="24"/>
  <c r="H712" i="24"/>
  <c r="H713" i="24"/>
  <c r="H714" i="24"/>
  <c r="H715" i="24"/>
  <c r="H716" i="24"/>
  <c r="H717" i="24"/>
  <c r="H718" i="24"/>
  <c r="H719" i="24"/>
  <c r="H720" i="24"/>
  <c r="H721" i="24"/>
  <c r="H722" i="24"/>
  <c r="H723" i="24"/>
  <c r="H724" i="24"/>
  <c r="H725" i="24"/>
  <c r="H726" i="24"/>
  <c r="H727" i="24"/>
  <c r="H728" i="24"/>
  <c r="H729" i="24"/>
  <c r="H730" i="24"/>
  <c r="H731" i="24"/>
  <c r="H732" i="24"/>
  <c r="H733" i="24"/>
  <c r="H734" i="24"/>
  <c r="H735" i="24"/>
  <c r="H736" i="24"/>
  <c r="H737" i="24"/>
  <c r="H738" i="24"/>
  <c r="H739" i="24"/>
  <c r="H740" i="24"/>
  <c r="H741" i="24"/>
  <c r="H742" i="24"/>
  <c r="H743" i="24"/>
  <c r="H744" i="24"/>
  <c r="H745" i="24"/>
  <c r="H746" i="24"/>
  <c r="H747" i="24"/>
  <c r="H748" i="24"/>
  <c r="H749" i="24"/>
  <c r="H750" i="24"/>
  <c r="H751" i="24"/>
  <c r="H752" i="24"/>
  <c r="H753" i="24"/>
  <c r="H754" i="24"/>
  <c r="H755" i="24"/>
  <c r="H756" i="24"/>
  <c r="H757" i="24"/>
  <c r="H758" i="24"/>
  <c r="H759" i="24"/>
  <c r="H760" i="24"/>
  <c r="H761" i="24"/>
  <c r="H762" i="24"/>
  <c r="H763" i="24"/>
  <c r="H764" i="24"/>
  <c r="H765" i="24"/>
  <c r="H766" i="24"/>
  <c r="H767" i="24"/>
  <c r="H768" i="24"/>
  <c r="H769" i="24"/>
  <c r="H770" i="24"/>
  <c r="H771" i="24"/>
  <c r="H772" i="24"/>
  <c r="H773" i="24"/>
  <c r="H774" i="24"/>
  <c r="H775" i="24"/>
  <c r="H776" i="24"/>
  <c r="H777" i="24"/>
  <c r="H778" i="24"/>
  <c r="H779" i="24"/>
  <c r="H780" i="24"/>
  <c r="H781" i="24"/>
  <c r="H782" i="24"/>
  <c r="H783" i="24"/>
  <c r="H784" i="24"/>
  <c r="H785" i="24"/>
  <c r="H786" i="24"/>
  <c r="H787" i="24"/>
  <c r="H788" i="24"/>
  <c r="H789" i="24"/>
  <c r="H790" i="24"/>
  <c r="H791" i="24"/>
  <c r="H792" i="24"/>
  <c r="H793" i="24"/>
  <c r="H794" i="24"/>
  <c r="H795" i="24"/>
  <c r="H796" i="24"/>
  <c r="H797" i="24"/>
  <c r="H798" i="24"/>
  <c r="H799" i="24"/>
  <c r="H800" i="24"/>
  <c r="H801" i="24"/>
  <c r="H802" i="24"/>
  <c r="H803" i="24"/>
  <c r="H804" i="24"/>
  <c r="H805" i="24"/>
  <c r="H806" i="24"/>
  <c r="H807" i="24"/>
  <c r="H808" i="24"/>
  <c r="H809" i="24"/>
  <c r="H810" i="24"/>
  <c r="H811" i="24"/>
  <c r="H812" i="24"/>
  <c r="H813" i="24"/>
  <c r="H814" i="24"/>
  <c r="H815" i="24"/>
  <c r="H816" i="24"/>
  <c r="H817" i="24"/>
  <c r="H818" i="24"/>
  <c r="H819" i="24"/>
  <c r="H820" i="24"/>
  <c r="H821" i="24"/>
  <c r="H822" i="24"/>
  <c r="H823" i="24"/>
  <c r="H824" i="24"/>
  <c r="H825" i="24"/>
  <c r="H826" i="24"/>
  <c r="H827" i="24"/>
  <c r="H828" i="24"/>
  <c r="H829" i="24"/>
  <c r="H830" i="24"/>
  <c r="H831" i="24"/>
  <c r="H832" i="24"/>
  <c r="H833" i="24"/>
  <c r="H834" i="24"/>
  <c r="H835" i="24"/>
  <c r="H836" i="24"/>
  <c r="H837" i="24"/>
  <c r="H838" i="24"/>
  <c r="H839" i="24"/>
  <c r="H840" i="24"/>
  <c r="H841" i="24"/>
  <c r="H842" i="24"/>
  <c r="H843" i="24"/>
  <c r="H844" i="24"/>
  <c r="H845" i="24"/>
  <c r="H846" i="24"/>
  <c r="H847" i="24"/>
  <c r="H848" i="24"/>
  <c r="H849" i="24"/>
  <c r="H850" i="24"/>
  <c r="H851" i="24"/>
  <c r="H852" i="24"/>
  <c r="H853" i="24"/>
  <c r="H854" i="24"/>
  <c r="H855" i="24"/>
  <c r="H856" i="24"/>
  <c r="H857" i="24"/>
  <c r="H858" i="24"/>
  <c r="H859" i="24"/>
  <c r="H860" i="24"/>
  <c r="H861" i="24"/>
  <c r="H862" i="24"/>
  <c r="H863" i="24"/>
  <c r="H864" i="24"/>
  <c r="H865" i="24"/>
  <c r="H866" i="24"/>
  <c r="H867" i="24"/>
  <c r="H868" i="24"/>
  <c r="H869" i="24"/>
  <c r="H870" i="24"/>
  <c r="H871" i="24"/>
  <c r="H872" i="24"/>
  <c r="H873" i="24"/>
  <c r="H874" i="24"/>
  <c r="H875" i="24"/>
  <c r="H876" i="24"/>
  <c r="H877" i="24"/>
  <c r="H878" i="24"/>
  <c r="H879" i="24"/>
  <c r="H880" i="24"/>
  <c r="H881" i="24"/>
  <c r="H882" i="24"/>
  <c r="H883" i="24"/>
  <c r="H884" i="24"/>
  <c r="H885" i="24"/>
  <c r="H886" i="24"/>
  <c r="H887" i="24"/>
  <c r="H888" i="24"/>
  <c r="H889" i="24"/>
  <c r="H890" i="24"/>
  <c r="H891" i="24"/>
  <c r="H892" i="24"/>
  <c r="H893" i="24"/>
  <c r="H894" i="24"/>
  <c r="H895" i="24"/>
  <c r="H896" i="24"/>
  <c r="H897" i="24"/>
  <c r="H898" i="24"/>
  <c r="H899" i="24"/>
  <c r="H900" i="24"/>
  <c r="H901" i="24"/>
  <c r="H902" i="24"/>
  <c r="H903" i="24"/>
  <c r="H904" i="24"/>
  <c r="H905" i="24"/>
  <c r="H906" i="24"/>
  <c r="H907" i="24"/>
  <c r="H908" i="24"/>
  <c r="H909" i="24"/>
  <c r="H910" i="24"/>
  <c r="H911" i="24"/>
  <c r="H912" i="24"/>
  <c r="H913" i="24"/>
  <c r="H914" i="24"/>
  <c r="H915" i="24"/>
  <c r="H916" i="24"/>
  <c r="H917" i="24"/>
  <c r="H918" i="24"/>
  <c r="H919" i="24"/>
  <c r="H920" i="24"/>
  <c r="H921" i="24"/>
  <c r="H922" i="24"/>
  <c r="H923" i="24"/>
  <c r="H924" i="24"/>
  <c r="H925" i="24"/>
  <c r="H926" i="24"/>
  <c r="H927" i="24"/>
  <c r="H928" i="24"/>
  <c r="H929" i="24"/>
  <c r="H930" i="24"/>
  <c r="H931" i="24"/>
  <c r="H932" i="24"/>
  <c r="H933" i="24"/>
  <c r="H934" i="24"/>
  <c r="H935" i="24"/>
  <c r="H936" i="24"/>
  <c r="H937" i="24"/>
  <c r="H938" i="24"/>
  <c r="H939" i="24"/>
  <c r="H940" i="24"/>
  <c r="H941" i="24"/>
  <c r="H942" i="24"/>
  <c r="H943" i="24"/>
  <c r="H944" i="24"/>
  <c r="H945" i="24"/>
  <c r="H946" i="24"/>
  <c r="H947" i="24"/>
  <c r="H948" i="24"/>
  <c r="H949" i="24"/>
  <c r="H950" i="24"/>
  <c r="H951" i="24"/>
  <c r="H952" i="24"/>
  <c r="H953" i="24"/>
  <c r="H954" i="24"/>
  <c r="H955" i="24"/>
  <c r="H956" i="24"/>
  <c r="H957" i="24"/>
  <c r="H958" i="24"/>
  <c r="H959" i="24"/>
  <c r="H960" i="24"/>
  <c r="H961" i="24"/>
  <c r="H962" i="24"/>
  <c r="H963" i="24"/>
  <c r="H964" i="24"/>
  <c r="H965" i="24"/>
  <c r="H966" i="24"/>
  <c r="H967" i="24"/>
  <c r="H968" i="24"/>
  <c r="H969" i="24"/>
  <c r="H970" i="24"/>
  <c r="H971" i="24"/>
  <c r="H972" i="24"/>
  <c r="H973" i="24"/>
  <c r="H974" i="24"/>
  <c r="H975" i="24"/>
  <c r="H976" i="24"/>
  <c r="H977" i="24"/>
  <c r="H978" i="24"/>
  <c r="H979" i="24"/>
  <c r="H980" i="24"/>
  <c r="H981" i="24"/>
  <c r="H982" i="24"/>
  <c r="H983" i="24"/>
  <c r="H984" i="24"/>
  <c r="H985" i="24"/>
  <c r="H986" i="24"/>
  <c r="H987" i="24"/>
  <c r="H988" i="24"/>
  <c r="H989" i="24"/>
  <c r="H990" i="24"/>
  <c r="H991" i="24"/>
  <c r="H992" i="24"/>
  <c r="H993" i="24"/>
  <c r="H994" i="24"/>
  <c r="H995" i="24"/>
  <c r="H996" i="24"/>
  <c r="H997" i="24"/>
  <c r="H998" i="24"/>
  <c r="H999" i="24"/>
  <c r="H1000" i="24"/>
  <c r="H1001" i="24"/>
  <c r="H1002" i="24"/>
  <c r="H1003" i="24"/>
  <c r="H1004" i="24"/>
  <c r="H1005" i="24"/>
  <c r="H1006" i="24"/>
  <c r="H1007" i="24"/>
  <c r="H1008" i="24"/>
  <c r="H1009" i="24"/>
  <c r="H1010" i="24"/>
  <c r="H1011" i="24"/>
  <c r="H1012" i="24"/>
  <c r="H1013" i="24"/>
  <c r="H1014" i="24"/>
  <c r="H1015" i="24"/>
  <c r="H1016" i="24"/>
  <c r="H1017" i="24"/>
  <c r="H1018" i="24"/>
  <c r="H1019" i="24"/>
  <c r="H1020" i="24"/>
  <c r="H1021" i="24"/>
  <c r="H1022" i="24"/>
  <c r="H1023" i="24"/>
  <c r="H1024" i="24"/>
  <c r="H1025" i="24"/>
  <c r="H1026" i="24"/>
  <c r="H1027" i="24"/>
  <c r="H1028" i="24"/>
  <c r="H1029" i="24"/>
  <c r="H1030" i="24"/>
  <c r="H1031" i="24"/>
  <c r="H1032" i="24"/>
  <c r="H1033" i="24"/>
  <c r="H1034" i="24"/>
  <c r="H1035" i="24"/>
  <c r="H1036" i="24"/>
  <c r="H1037" i="24"/>
  <c r="H1038" i="24"/>
  <c r="H1039" i="24"/>
  <c r="H1040" i="24"/>
  <c r="H1041" i="24"/>
  <c r="H1042" i="24"/>
  <c r="H1043" i="24"/>
  <c r="H1044" i="24"/>
  <c r="H1045" i="24"/>
  <c r="H1046" i="24"/>
  <c r="H1047" i="24"/>
  <c r="H1048" i="24"/>
  <c r="H1049" i="24"/>
  <c r="H1050" i="24"/>
  <c r="H1051" i="24"/>
  <c r="H1052" i="24"/>
  <c r="H1053" i="24"/>
  <c r="H1054" i="24"/>
  <c r="H1055" i="24"/>
  <c r="H1056" i="24"/>
  <c r="H1057" i="24"/>
  <c r="H1058" i="24"/>
  <c r="H1059" i="24"/>
  <c r="H1060" i="24"/>
  <c r="H1061" i="24"/>
  <c r="H1062" i="24"/>
  <c r="H1063" i="24"/>
  <c r="H1064" i="24"/>
  <c r="H1065" i="24"/>
  <c r="H1066" i="24"/>
  <c r="H1067" i="24"/>
  <c r="H1068" i="24"/>
  <c r="H1069" i="24"/>
  <c r="H1070" i="24"/>
  <c r="H1071" i="24"/>
  <c r="H1072" i="24"/>
  <c r="H1073" i="24"/>
  <c r="H1074" i="24"/>
  <c r="H1075" i="24"/>
  <c r="H1076" i="24"/>
  <c r="H1077" i="24"/>
  <c r="H1078" i="24"/>
  <c r="H1079" i="24"/>
  <c r="H1080" i="24"/>
  <c r="H1081" i="24"/>
  <c r="H1082" i="24"/>
  <c r="H1083" i="24"/>
  <c r="H1084" i="24"/>
  <c r="H1085" i="24"/>
  <c r="H1086" i="24"/>
  <c r="H1087" i="24"/>
  <c r="H1088" i="24"/>
  <c r="H1089" i="24"/>
  <c r="H1090" i="24"/>
  <c r="H1091" i="24"/>
  <c r="H1092" i="24"/>
  <c r="H1093" i="24"/>
  <c r="H1094" i="24"/>
  <c r="H1095" i="24"/>
  <c r="H1096" i="24"/>
  <c r="H1097" i="24"/>
  <c r="H1098" i="24"/>
  <c r="H1099" i="24"/>
  <c r="H1100" i="24"/>
  <c r="H1101" i="24"/>
  <c r="H1102" i="24"/>
  <c r="H1103" i="24"/>
  <c r="H1104" i="24"/>
  <c r="H1105" i="24"/>
  <c r="H1106" i="24"/>
  <c r="H1107" i="24"/>
  <c r="H1108" i="24"/>
  <c r="H1109" i="24"/>
  <c r="H1110" i="24"/>
  <c r="H1111" i="24"/>
  <c r="H1112" i="24"/>
  <c r="H1113" i="24"/>
  <c r="H1114" i="24"/>
  <c r="H1115" i="24"/>
  <c r="H1116" i="24"/>
  <c r="H1117" i="24"/>
  <c r="H1118" i="24"/>
  <c r="H1119" i="24"/>
  <c r="H1120" i="24"/>
  <c r="H1121" i="24"/>
  <c r="H1122" i="24"/>
  <c r="H1123" i="24"/>
  <c r="H1124" i="24"/>
  <c r="H1125" i="24"/>
  <c r="H1126" i="24"/>
  <c r="H1127" i="24"/>
  <c r="H1128" i="24"/>
  <c r="H1129" i="24"/>
  <c r="H1130" i="24"/>
  <c r="H1131" i="24"/>
  <c r="H1132" i="24"/>
  <c r="H1133" i="24"/>
  <c r="H1134" i="24"/>
  <c r="H1135" i="24"/>
  <c r="H1136" i="24"/>
  <c r="H1137" i="24"/>
  <c r="H1138" i="24"/>
  <c r="H1139" i="24"/>
  <c r="H1140" i="24"/>
  <c r="H1141" i="24"/>
  <c r="H1142" i="24"/>
  <c r="H1143" i="24"/>
  <c r="H1144" i="24"/>
  <c r="H1145" i="24"/>
  <c r="H1146" i="24"/>
  <c r="H1147" i="24"/>
  <c r="H1148" i="24"/>
  <c r="H1149" i="24"/>
  <c r="H1150" i="24"/>
  <c r="H1151" i="24"/>
  <c r="H1152" i="24"/>
  <c r="H1153" i="24"/>
  <c r="H1154" i="24"/>
  <c r="H1155" i="24"/>
  <c r="H1156" i="24"/>
  <c r="H1157" i="24"/>
  <c r="H1158" i="24"/>
  <c r="H1159" i="24"/>
  <c r="H1160" i="24"/>
  <c r="H1161" i="24"/>
  <c r="H1162" i="24"/>
  <c r="H1163" i="24"/>
  <c r="H1164" i="24"/>
  <c r="H1165" i="24"/>
  <c r="H1166" i="24"/>
  <c r="H1167" i="24"/>
  <c r="H1168" i="24"/>
  <c r="H1169" i="24"/>
  <c r="H1170" i="24"/>
  <c r="H1171" i="24"/>
  <c r="H1172" i="24"/>
  <c r="H1173" i="24"/>
  <c r="H1174" i="24"/>
  <c r="H1175" i="24"/>
  <c r="H1176" i="24"/>
  <c r="H1177" i="24"/>
  <c r="H1178" i="24"/>
  <c r="H1179" i="24"/>
  <c r="H1180" i="24"/>
  <c r="H1181" i="24"/>
  <c r="H1182" i="24"/>
  <c r="H1183" i="24"/>
  <c r="H1184" i="24"/>
  <c r="H1185" i="24"/>
  <c r="H1186" i="24"/>
  <c r="H1187" i="24"/>
  <c r="H1188" i="24"/>
  <c r="H1189" i="24"/>
  <c r="H1190" i="24"/>
  <c r="H1191" i="24"/>
  <c r="H1192" i="24"/>
  <c r="H1193" i="24"/>
  <c r="H1194" i="24"/>
  <c r="H1195" i="24"/>
  <c r="H1196" i="24"/>
  <c r="H1197" i="24"/>
  <c r="H1198" i="24"/>
  <c r="H1199" i="24"/>
  <c r="H1200" i="24"/>
  <c r="H1201" i="24"/>
  <c r="H1202" i="24"/>
  <c r="H1203" i="24"/>
  <c r="H1204" i="24"/>
  <c r="H1205" i="24"/>
  <c r="H1206" i="24"/>
  <c r="H1207" i="24"/>
  <c r="H1208" i="24"/>
  <c r="H1209" i="24"/>
  <c r="H1210" i="24"/>
  <c r="H1211" i="24"/>
  <c r="H1212" i="24"/>
  <c r="H1213" i="24"/>
  <c r="H1214" i="24"/>
  <c r="H1215" i="24"/>
  <c r="H1216" i="24"/>
  <c r="H1217" i="24"/>
  <c r="H1218" i="24"/>
  <c r="H1219" i="24"/>
  <c r="H1220" i="24"/>
  <c r="H1221" i="24"/>
  <c r="H1222" i="24"/>
  <c r="H1223" i="24"/>
  <c r="H1224" i="24"/>
  <c r="H1225" i="24"/>
  <c r="H1226" i="24"/>
  <c r="H1227" i="24"/>
  <c r="H1228" i="24"/>
  <c r="H1229" i="24"/>
  <c r="H1230" i="24"/>
  <c r="H1231" i="24"/>
  <c r="H1232" i="24"/>
  <c r="H1233" i="24"/>
  <c r="H1234" i="24"/>
  <c r="H1235" i="24"/>
  <c r="H1236" i="24"/>
  <c r="H1237" i="24"/>
  <c r="H1238" i="24"/>
  <c r="H1239" i="24"/>
  <c r="H1240" i="24"/>
  <c r="H1241" i="24"/>
  <c r="H1242" i="24"/>
  <c r="H1243" i="24"/>
  <c r="H1244" i="24"/>
  <c r="H1245" i="24"/>
  <c r="H1246" i="24"/>
  <c r="H1247" i="24"/>
  <c r="H1248" i="24"/>
  <c r="H1249" i="24"/>
  <c r="H1250" i="24"/>
  <c r="H1251" i="24"/>
  <c r="H1252" i="24"/>
  <c r="H1253" i="24"/>
  <c r="H1254" i="24"/>
  <c r="H1255" i="24"/>
  <c r="H1256" i="24"/>
  <c r="H1257" i="24"/>
  <c r="H1258" i="24"/>
  <c r="H1259" i="24"/>
  <c r="H1260" i="24"/>
  <c r="H1261" i="24"/>
  <c r="H1262" i="24"/>
  <c r="H1263" i="24"/>
  <c r="H1264" i="24"/>
  <c r="H1265" i="24"/>
  <c r="H1266" i="24"/>
  <c r="H1267" i="24"/>
  <c r="H1268" i="24"/>
  <c r="H1269" i="24"/>
  <c r="H1270" i="24"/>
  <c r="H1271" i="24"/>
  <c r="H1272" i="24"/>
  <c r="H1273" i="24"/>
  <c r="H1274" i="24"/>
  <c r="H1275" i="24"/>
  <c r="H1276" i="24"/>
  <c r="H1277" i="24"/>
  <c r="H1278" i="24"/>
  <c r="H1279" i="24"/>
  <c r="H1280" i="24"/>
  <c r="H1281" i="24"/>
  <c r="H1282" i="24"/>
  <c r="H1283" i="24"/>
  <c r="H1284" i="24"/>
  <c r="H1285" i="24"/>
  <c r="H1286" i="24"/>
  <c r="H1287" i="24"/>
  <c r="H1288" i="24"/>
  <c r="H1289" i="24"/>
  <c r="H1290" i="24"/>
  <c r="H1291" i="24"/>
  <c r="H1292" i="24"/>
  <c r="H1293" i="24"/>
  <c r="H1294" i="24"/>
  <c r="H1295" i="24"/>
  <c r="H1296" i="24"/>
  <c r="H1297" i="24"/>
  <c r="H1298" i="24"/>
  <c r="H1299" i="24"/>
  <c r="H1300" i="24"/>
  <c r="H1301" i="24"/>
  <c r="H1302" i="24"/>
  <c r="H1303" i="24"/>
  <c r="H1304" i="24"/>
  <c r="H1305" i="24"/>
  <c r="H1306" i="24"/>
  <c r="H1307" i="24"/>
  <c r="H1308" i="24"/>
  <c r="H1309" i="24"/>
  <c r="H1310" i="24"/>
  <c r="H1311" i="24"/>
  <c r="H1312" i="24"/>
  <c r="H1313" i="24"/>
  <c r="H1314" i="24"/>
  <c r="H1315" i="24"/>
  <c r="H1316" i="24"/>
  <c r="H1317" i="24"/>
  <c r="H1318" i="24"/>
  <c r="H1319" i="24"/>
  <c r="H1320" i="24"/>
  <c r="H1321" i="24"/>
  <c r="H1322" i="24"/>
  <c r="H1323" i="24"/>
  <c r="H1324" i="24"/>
  <c r="H1325" i="24"/>
  <c r="H1326" i="24"/>
  <c r="H1327" i="24"/>
  <c r="H1328" i="24"/>
  <c r="H1329" i="24"/>
  <c r="H1330" i="24"/>
  <c r="H1331" i="24"/>
  <c r="H1332" i="24"/>
  <c r="H1333" i="24"/>
  <c r="H1334" i="24"/>
  <c r="H1335" i="24"/>
  <c r="H1336" i="24"/>
  <c r="H1337" i="24"/>
  <c r="H1338" i="24"/>
  <c r="H1339" i="24"/>
  <c r="H1340" i="24"/>
  <c r="H1341" i="24"/>
  <c r="H1342" i="24"/>
  <c r="H1343" i="24"/>
  <c r="H1344" i="24"/>
  <c r="H1345" i="24"/>
  <c r="H1346" i="24"/>
  <c r="H1347" i="24"/>
  <c r="H1348" i="24"/>
  <c r="H1349" i="24"/>
  <c r="H1350" i="24"/>
  <c r="H1351" i="24"/>
  <c r="H1352" i="24"/>
  <c r="H1353" i="24"/>
  <c r="H1354" i="24"/>
  <c r="H1355" i="24"/>
  <c r="H1356" i="24"/>
  <c r="H1357" i="24"/>
  <c r="H1358" i="24"/>
  <c r="H1359" i="24"/>
  <c r="H1360" i="24"/>
  <c r="H1361" i="24"/>
  <c r="H1362" i="24"/>
  <c r="H1363" i="24"/>
  <c r="H1364" i="24"/>
  <c r="H1365" i="24"/>
  <c r="H1366" i="24"/>
  <c r="H1367" i="24"/>
  <c r="H1368" i="24"/>
  <c r="H1369" i="24"/>
  <c r="H1370" i="24"/>
  <c r="H1371" i="24"/>
  <c r="H1372" i="24"/>
  <c r="H1373" i="24"/>
  <c r="H1374" i="24"/>
  <c r="H1375" i="24"/>
  <c r="H1376" i="24"/>
  <c r="H1377" i="24"/>
  <c r="H1378" i="24"/>
  <c r="H1379" i="24"/>
  <c r="H1380" i="24"/>
  <c r="H1381" i="24"/>
  <c r="H1382" i="24"/>
  <c r="H1383" i="24"/>
  <c r="H1384" i="24"/>
  <c r="H1385" i="24"/>
  <c r="H1386" i="24"/>
  <c r="H1387" i="24"/>
  <c r="H1388" i="24"/>
  <c r="H1389" i="24"/>
  <c r="H1390" i="24"/>
  <c r="H1391" i="24"/>
  <c r="H1392" i="24"/>
  <c r="H1393" i="24"/>
  <c r="H1394" i="24"/>
  <c r="H1395" i="24"/>
  <c r="H1396" i="24"/>
  <c r="H1397" i="24"/>
  <c r="H1398" i="24"/>
  <c r="H1399" i="24"/>
  <c r="H1400" i="24"/>
  <c r="H1401" i="24"/>
  <c r="H1402" i="24"/>
  <c r="H1403" i="24"/>
  <c r="H1404" i="24"/>
  <c r="H1405" i="24"/>
  <c r="H1406" i="24"/>
  <c r="H1407" i="24"/>
  <c r="H1408" i="24"/>
  <c r="H1409" i="24"/>
  <c r="H1410" i="24"/>
  <c r="H1411" i="24"/>
  <c r="H1412" i="24"/>
  <c r="H1413" i="24"/>
  <c r="H1414" i="24"/>
  <c r="H1415" i="24"/>
  <c r="H1416" i="24"/>
  <c r="H1417" i="24"/>
  <c r="H1418" i="24"/>
  <c r="H1419" i="24"/>
  <c r="H1420" i="24"/>
  <c r="H1421" i="24"/>
  <c r="H1422" i="24"/>
  <c r="H1423" i="24"/>
  <c r="H1424" i="24"/>
  <c r="H1425" i="24"/>
  <c r="H1426" i="24"/>
  <c r="H1427" i="24"/>
  <c r="H1428" i="24"/>
  <c r="H1429" i="24"/>
  <c r="H1430" i="24"/>
  <c r="H1431" i="24"/>
  <c r="H1432" i="24"/>
  <c r="H1433" i="24"/>
  <c r="H1434" i="24"/>
  <c r="H1435" i="24"/>
  <c r="H1436" i="24"/>
  <c r="H1437" i="24"/>
  <c r="H1438" i="24"/>
  <c r="H1439" i="24"/>
  <c r="H1440" i="24"/>
  <c r="H1441" i="24"/>
  <c r="H1442" i="24"/>
  <c r="H1443" i="24"/>
  <c r="H1444" i="24"/>
  <c r="H1445" i="24"/>
  <c r="H1446" i="24"/>
  <c r="H1447" i="24"/>
  <c r="H1448" i="24"/>
  <c r="H1449" i="24"/>
  <c r="H1450" i="24"/>
  <c r="H1451" i="24"/>
  <c r="H1452" i="24"/>
  <c r="H1453" i="24"/>
  <c r="H1454" i="24"/>
  <c r="H1455" i="24"/>
  <c r="H1456" i="24"/>
  <c r="H1457" i="24"/>
  <c r="H1458" i="24"/>
  <c r="H1459" i="24"/>
  <c r="H1460" i="24"/>
  <c r="H2" i="24"/>
  <c r="N3" i="30"/>
  <c r="O3" i="30" s="1"/>
  <c r="N4" i="30"/>
  <c r="O4" i="30" s="1"/>
  <c r="N5" i="30"/>
  <c r="O5" i="30" s="1"/>
  <c r="N6" i="30"/>
  <c r="O6" i="30" s="1"/>
  <c r="N7" i="30"/>
  <c r="O7" i="30" s="1"/>
  <c r="N8" i="30"/>
  <c r="O8" i="30" s="1"/>
  <c r="N9" i="30"/>
  <c r="O9" i="30" s="1"/>
  <c r="N10" i="30"/>
  <c r="O10" i="30" s="1"/>
  <c r="N11" i="30"/>
  <c r="O11" i="30" s="1"/>
  <c r="N12" i="30"/>
  <c r="O12" i="30" s="1"/>
  <c r="N13" i="30"/>
  <c r="O13" i="30" s="1"/>
  <c r="N14" i="30"/>
  <c r="O14" i="30" s="1"/>
  <c r="N15" i="30"/>
  <c r="O15" i="30" s="1"/>
  <c r="N16" i="30"/>
  <c r="O16" i="30" s="1"/>
  <c r="N17" i="30"/>
  <c r="O17" i="30" s="1"/>
  <c r="N18" i="30"/>
  <c r="O18" i="30" s="1"/>
  <c r="N19" i="30"/>
  <c r="O19" i="30" s="1"/>
  <c r="N20" i="30"/>
  <c r="O20" i="30" s="1"/>
  <c r="N21" i="30"/>
  <c r="O21" i="30" s="1"/>
  <c r="N22" i="30"/>
  <c r="O22" i="30" s="1"/>
  <c r="N23" i="30"/>
  <c r="O23" i="30" s="1"/>
  <c r="N24" i="30"/>
  <c r="O24" i="30" s="1"/>
  <c r="N25" i="30"/>
  <c r="O25" i="30" s="1"/>
  <c r="N26" i="30"/>
  <c r="O26" i="30" s="1"/>
  <c r="N27" i="30"/>
  <c r="O27" i="30" s="1"/>
  <c r="N28" i="30"/>
  <c r="O28" i="30" s="1"/>
  <c r="N29" i="30"/>
  <c r="O29" i="30" s="1"/>
  <c r="N30" i="30"/>
  <c r="O30" i="30" s="1"/>
  <c r="N31" i="30"/>
  <c r="O31" i="30" s="1"/>
  <c r="N32" i="30"/>
  <c r="O32" i="30" s="1"/>
  <c r="N33" i="30"/>
  <c r="O33" i="30" s="1"/>
  <c r="N34" i="30"/>
  <c r="O34" i="30" s="1"/>
  <c r="N35" i="30"/>
  <c r="O35" i="30" s="1"/>
  <c r="N36" i="30"/>
  <c r="O36" i="30" s="1"/>
  <c r="N37" i="30"/>
  <c r="O37" i="30" s="1"/>
  <c r="N38" i="30"/>
  <c r="O38" i="30" s="1"/>
  <c r="N39" i="30"/>
  <c r="O39" i="30" s="1"/>
  <c r="N40" i="30"/>
  <c r="O40" i="30" s="1"/>
  <c r="N41" i="30"/>
  <c r="O41" i="30" s="1"/>
  <c r="N42" i="30"/>
  <c r="O42" i="30" s="1"/>
  <c r="N43" i="30"/>
  <c r="O43" i="30" s="1"/>
  <c r="N44" i="30"/>
  <c r="O44" i="30" s="1"/>
  <c r="N45" i="30"/>
  <c r="O45" i="30" s="1"/>
  <c r="N46" i="30"/>
  <c r="O46" i="30" s="1"/>
  <c r="N47" i="30"/>
  <c r="O47" i="30" s="1"/>
  <c r="N48" i="30"/>
  <c r="O48" i="30" s="1"/>
  <c r="N49" i="30"/>
  <c r="O49" i="30" s="1"/>
  <c r="N50" i="30"/>
  <c r="O50" i="30" s="1"/>
  <c r="N51" i="30"/>
  <c r="O51" i="30" s="1"/>
  <c r="N52" i="30"/>
  <c r="O52" i="30" s="1"/>
  <c r="N53" i="30"/>
  <c r="O53" i="30" s="1"/>
  <c r="N54" i="30"/>
  <c r="O54" i="30" s="1"/>
  <c r="N55" i="30"/>
  <c r="O55" i="30" s="1"/>
  <c r="N56" i="30"/>
  <c r="O56" i="30" s="1"/>
  <c r="N57" i="30"/>
  <c r="O57" i="30" s="1"/>
  <c r="N58" i="30"/>
  <c r="O58" i="30" s="1"/>
  <c r="N59" i="30"/>
  <c r="O59" i="30" s="1"/>
  <c r="N60" i="30"/>
  <c r="O60" i="30" s="1"/>
  <c r="N61" i="30"/>
  <c r="O61" i="30" s="1"/>
  <c r="N62" i="30"/>
  <c r="O62" i="30" s="1"/>
  <c r="N63" i="30"/>
  <c r="O63" i="30" s="1"/>
  <c r="N64" i="30"/>
  <c r="O64" i="30" s="1"/>
  <c r="N65" i="30"/>
  <c r="O65" i="30" s="1"/>
  <c r="N66" i="30"/>
  <c r="O66" i="30" s="1"/>
  <c r="N67" i="30"/>
  <c r="O67" i="30" s="1"/>
  <c r="N68" i="30"/>
  <c r="O68" i="30" s="1"/>
  <c r="N69" i="30"/>
  <c r="O69" i="30" s="1"/>
  <c r="N70" i="30"/>
  <c r="O70" i="30" s="1"/>
  <c r="N71" i="30"/>
  <c r="O71" i="30" s="1"/>
  <c r="N72" i="30"/>
  <c r="O72" i="30" s="1"/>
  <c r="N73" i="30"/>
  <c r="O73" i="30" s="1"/>
  <c r="N74" i="30"/>
  <c r="O74" i="30" s="1"/>
  <c r="N75" i="30"/>
  <c r="O75" i="30" s="1"/>
  <c r="N76" i="30"/>
  <c r="O76" i="30" s="1"/>
  <c r="N77" i="30"/>
  <c r="O77" i="30" s="1"/>
  <c r="N78" i="30"/>
  <c r="O78" i="30" s="1"/>
  <c r="N79" i="30"/>
  <c r="O79" i="30" s="1"/>
  <c r="N80" i="30"/>
  <c r="O80" i="30" s="1"/>
  <c r="N81" i="30"/>
  <c r="O81" i="30" s="1"/>
  <c r="N82" i="30"/>
  <c r="O82" i="30" s="1"/>
  <c r="N83" i="30"/>
  <c r="O83" i="30" s="1"/>
  <c r="N84" i="30"/>
  <c r="O84" i="30" s="1"/>
  <c r="N85" i="30"/>
  <c r="O85" i="30" s="1"/>
  <c r="N86" i="30"/>
  <c r="O86" i="30" s="1"/>
  <c r="N87" i="30"/>
  <c r="O87" i="30" s="1"/>
  <c r="N88" i="30"/>
  <c r="O88" i="30" s="1"/>
  <c r="N89" i="30"/>
  <c r="O89" i="30" s="1"/>
  <c r="N90" i="30"/>
  <c r="O90" i="30" s="1"/>
  <c r="N91" i="30"/>
  <c r="O91" i="30" s="1"/>
  <c r="N92" i="30"/>
  <c r="O92" i="30" s="1"/>
  <c r="N93" i="30"/>
  <c r="O93" i="30" s="1"/>
  <c r="N94" i="30"/>
  <c r="O94" i="30" s="1"/>
  <c r="N95" i="30"/>
  <c r="O95" i="30" s="1"/>
  <c r="N96" i="30"/>
  <c r="O96" i="30" s="1"/>
  <c r="N97" i="30"/>
  <c r="O97" i="30" s="1"/>
  <c r="N98" i="30"/>
  <c r="O98" i="30" s="1"/>
  <c r="N99" i="30"/>
  <c r="O99" i="30" s="1"/>
  <c r="N100" i="30"/>
  <c r="O100" i="30" s="1"/>
  <c r="N101" i="30"/>
  <c r="O101" i="30" s="1"/>
  <c r="N102" i="30"/>
  <c r="O102" i="30" s="1"/>
  <c r="N103" i="30"/>
  <c r="O103" i="30" s="1"/>
  <c r="N104" i="30"/>
  <c r="O104" i="30" s="1"/>
  <c r="N105" i="30"/>
  <c r="O105" i="30" s="1"/>
  <c r="N106" i="30"/>
  <c r="O106" i="30" s="1"/>
  <c r="N107" i="30"/>
  <c r="O107" i="30" s="1"/>
  <c r="N108" i="30"/>
  <c r="O108" i="30" s="1"/>
  <c r="N109" i="30"/>
  <c r="O109" i="30" s="1"/>
  <c r="N110" i="30"/>
  <c r="O110" i="30" s="1"/>
  <c r="N111" i="30"/>
  <c r="O111" i="30" s="1"/>
  <c r="N112" i="30"/>
  <c r="O112" i="30" s="1"/>
  <c r="N113" i="30"/>
  <c r="O113" i="30" s="1"/>
  <c r="N114" i="30"/>
  <c r="O114" i="30" s="1"/>
  <c r="N115" i="30"/>
  <c r="O115" i="30" s="1"/>
  <c r="N116" i="30"/>
  <c r="O116" i="30" s="1"/>
  <c r="N117" i="30"/>
  <c r="O117" i="30" s="1"/>
  <c r="N118" i="30"/>
  <c r="O118" i="30" s="1"/>
  <c r="N119" i="30"/>
  <c r="O119" i="30" s="1"/>
  <c r="N120" i="30"/>
  <c r="O120" i="30" s="1"/>
  <c r="N121" i="30"/>
  <c r="O121" i="30" s="1"/>
  <c r="N122" i="30"/>
  <c r="O122" i="30" s="1"/>
  <c r="N123" i="30"/>
  <c r="O123" i="30" s="1"/>
  <c r="N124" i="30"/>
  <c r="O124" i="30" s="1"/>
  <c r="N125" i="30"/>
  <c r="O125" i="30" s="1"/>
  <c r="N126" i="30"/>
  <c r="O126" i="30" s="1"/>
  <c r="N127" i="30"/>
  <c r="O127" i="30" s="1"/>
  <c r="N128" i="30"/>
  <c r="O128" i="30" s="1"/>
  <c r="N129" i="30"/>
  <c r="O129" i="30" s="1"/>
  <c r="N130" i="30"/>
  <c r="O130" i="30" s="1"/>
  <c r="N131" i="30"/>
  <c r="O131" i="30" s="1"/>
  <c r="N132" i="30"/>
  <c r="O132" i="30" s="1"/>
  <c r="N133" i="30"/>
  <c r="O133" i="30" s="1"/>
  <c r="N134" i="30"/>
  <c r="O134" i="30" s="1"/>
  <c r="N135" i="30"/>
  <c r="O135" i="30" s="1"/>
  <c r="N136" i="30"/>
  <c r="O136" i="30" s="1"/>
  <c r="N137" i="30"/>
  <c r="O137" i="30" s="1"/>
  <c r="N138" i="30"/>
  <c r="O138" i="30" s="1"/>
  <c r="N139" i="30"/>
  <c r="O139" i="30" s="1"/>
  <c r="N140" i="30"/>
  <c r="O140" i="30" s="1"/>
  <c r="N141" i="30"/>
  <c r="O141" i="30" s="1"/>
  <c r="N142" i="30"/>
  <c r="O142" i="30" s="1"/>
  <c r="N143" i="30"/>
  <c r="O143" i="30" s="1"/>
  <c r="N144" i="30"/>
  <c r="O144" i="30" s="1"/>
  <c r="N145" i="30"/>
  <c r="O145" i="30" s="1"/>
  <c r="N146" i="30"/>
  <c r="O146" i="30" s="1"/>
  <c r="N147" i="30"/>
  <c r="O147" i="30" s="1"/>
  <c r="N148" i="30"/>
  <c r="O148" i="30" s="1"/>
  <c r="N149" i="30"/>
  <c r="O149" i="30" s="1"/>
  <c r="N150" i="30"/>
  <c r="O150" i="30" s="1"/>
  <c r="N151" i="30"/>
  <c r="O151" i="30" s="1"/>
  <c r="N152" i="30"/>
  <c r="O152" i="30" s="1"/>
  <c r="N153" i="30"/>
  <c r="O153" i="30" s="1"/>
  <c r="N154" i="30"/>
  <c r="O154" i="30" s="1"/>
  <c r="N155" i="30"/>
  <c r="O155" i="30" s="1"/>
  <c r="N156" i="30"/>
  <c r="O156" i="30" s="1"/>
  <c r="N157" i="30"/>
  <c r="O157" i="30" s="1"/>
  <c r="N158" i="30"/>
  <c r="O158" i="30" s="1"/>
  <c r="N159" i="30"/>
  <c r="O159" i="30" s="1"/>
  <c r="N160" i="30"/>
  <c r="O160" i="30" s="1"/>
  <c r="N161" i="30"/>
  <c r="O161" i="30" s="1"/>
  <c r="N162" i="30"/>
  <c r="O162" i="30" s="1"/>
  <c r="N163" i="30"/>
  <c r="O163" i="30" s="1"/>
  <c r="N164" i="30"/>
  <c r="O164" i="30" s="1"/>
  <c r="N165" i="30"/>
  <c r="O165" i="30" s="1"/>
  <c r="N166" i="30"/>
  <c r="O166" i="30" s="1"/>
  <c r="N167" i="30"/>
  <c r="O167" i="30" s="1"/>
  <c r="N168" i="30"/>
  <c r="O168" i="30" s="1"/>
  <c r="N169" i="30"/>
  <c r="O169" i="30" s="1"/>
  <c r="N170" i="30"/>
  <c r="O170" i="30" s="1"/>
  <c r="N171" i="30"/>
  <c r="O171" i="30" s="1"/>
  <c r="N172" i="30"/>
  <c r="O172" i="30" s="1"/>
  <c r="N173" i="30"/>
  <c r="O173" i="30" s="1"/>
  <c r="N174" i="30"/>
  <c r="O174" i="30" s="1"/>
  <c r="N175" i="30"/>
  <c r="O175" i="30" s="1"/>
  <c r="N176" i="30"/>
  <c r="O176" i="30" s="1"/>
  <c r="N177" i="30"/>
  <c r="O177" i="30" s="1"/>
  <c r="N178" i="30"/>
  <c r="O178" i="30" s="1"/>
  <c r="N179" i="30"/>
  <c r="O179" i="30" s="1"/>
  <c r="N180" i="30"/>
  <c r="O180" i="30" s="1"/>
  <c r="N181" i="30"/>
  <c r="O181" i="30" s="1"/>
  <c r="N182" i="30"/>
  <c r="O182" i="30" s="1"/>
  <c r="N183" i="30"/>
  <c r="O183" i="30" s="1"/>
  <c r="N184" i="30"/>
  <c r="O184" i="30" s="1"/>
  <c r="N185" i="30"/>
  <c r="O185" i="30" s="1"/>
  <c r="N186" i="30"/>
  <c r="O186" i="30" s="1"/>
  <c r="N187" i="30"/>
  <c r="O187" i="30" s="1"/>
  <c r="N188" i="30"/>
  <c r="O188" i="30" s="1"/>
  <c r="N189" i="30"/>
  <c r="O189" i="30" s="1"/>
  <c r="N190" i="30"/>
  <c r="O190" i="30" s="1"/>
  <c r="N191" i="30"/>
  <c r="O191" i="30" s="1"/>
  <c r="N192" i="30"/>
  <c r="O192" i="30" s="1"/>
  <c r="N193" i="30"/>
  <c r="O193" i="30" s="1"/>
  <c r="N2" i="30"/>
  <c r="O2" i="30" s="1"/>
  <c r="H22" i="2" a="1"/>
  <c r="H22" i="2" s="1"/>
  <c r="I22" i="2" a="1"/>
  <c r="I22" i="2" s="1"/>
  <c r="J2" i="36" s="1"/>
  <c r="P98" i="10"/>
  <c r="P18" i="10"/>
  <c r="P19" i="10"/>
  <c r="P20" i="10"/>
  <c r="P21" i="10"/>
  <c r="P22" i="10"/>
  <c r="P23" i="10"/>
  <c r="P24" i="10"/>
  <c r="P25" i="10"/>
  <c r="P26" i="10"/>
  <c r="P27" i="10"/>
  <c r="P28" i="10"/>
  <c r="P29"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5" i="10"/>
  <c r="P56" i="10"/>
  <c r="P57" i="10"/>
  <c r="P58" i="10"/>
  <c r="P59" i="10"/>
  <c r="P60" i="10"/>
  <c r="P61" i="10"/>
  <c r="P62" i="10"/>
  <c r="P63" i="10"/>
  <c r="P64" i="10"/>
  <c r="P65" i="10"/>
  <c r="P66" i="10"/>
  <c r="P67" i="10"/>
  <c r="P68" i="10"/>
  <c r="P69" i="10"/>
  <c r="P70" i="10"/>
  <c r="P71" i="10"/>
  <c r="P72" i="10"/>
  <c r="P73" i="10"/>
  <c r="P74" i="10"/>
  <c r="P75" i="10"/>
  <c r="P76" i="10"/>
  <c r="P77" i="10"/>
  <c r="P78" i="10"/>
  <c r="P79" i="10"/>
  <c r="P80" i="10"/>
  <c r="P81" i="10"/>
  <c r="P82" i="10"/>
  <c r="P83" i="10"/>
  <c r="P84" i="10"/>
  <c r="P85" i="10"/>
  <c r="P86" i="10"/>
  <c r="P87" i="10"/>
  <c r="P88" i="10"/>
  <c r="P89" i="10"/>
  <c r="P90" i="10"/>
  <c r="P91" i="10"/>
  <c r="P92" i="10"/>
  <c r="P93" i="10"/>
  <c r="P94" i="10"/>
  <c r="P95" i="10"/>
  <c r="P96" i="10"/>
  <c r="P97" i="10"/>
  <c r="P17" i="10"/>
  <c r="I3109" i="24" l="1"/>
  <c r="J3109" i="24" s="1"/>
  <c r="I3110" i="24"/>
  <c r="J3110" i="24" s="1"/>
  <c r="I3108" i="24"/>
  <c r="J3108" i="24" s="1"/>
  <c r="I3111" i="24"/>
  <c r="J3111" i="24" s="1"/>
  <c r="I3101" i="24"/>
  <c r="J3101" i="24" s="1"/>
  <c r="I3100" i="24"/>
  <c r="J3100" i="24" s="1"/>
  <c r="I3102" i="24"/>
  <c r="J3102" i="24" s="1"/>
  <c r="I3103" i="24"/>
  <c r="J3103" i="24" s="1"/>
  <c r="I3113" i="24"/>
  <c r="J3113" i="24" s="1"/>
  <c r="I3114" i="24"/>
  <c r="J3114" i="24" s="1"/>
  <c r="I3115" i="24"/>
  <c r="J3115" i="24" s="1"/>
  <c r="I3112" i="24"/>
  <c r="J3112" i="24" s="1"/>
  <c r="I3107" i="24"/>
  <c r="J3107" i="24" s="1"/>
  <c r="I3105" i="24"/>
  <c r="J3105" i="24" s="1"/>
  <c r="I3106" i="24"/>
  <c r="J3106" i="24" s="1"/>
  <c r="I3104" i="24"/>
  <c r="J3104" i="24" s="1"/>
  <c r="I3116" i="24"/>
  <c r="J3116" i="24" s="1"/>
  <c r="I3119" i="24"/>
  <c r="J3119" i="24" s="1"/>
  <c r="I3118" i="24"/>
  <c r="J3118" i="24" s="1"/>
  <c r="I3117" i="24"/>
  <c r="J3117" i="24" s="1"/>
  <c r="I3193" i="24"/>
  <c r="J3193" i="24" s="1"/>
  <c r="I3194" i="24"/>
  <c r="J3194" i="24" s="1"/>
  <c r="I3192" i="24"/>
  <c r="J3192" i="24" s="1"/>
  <c r="I3195" i="24"/>
  <c r="J3195" i="24" s="1"/>
  <c r="I3199" i="24"/>
  <c r="J3199" i="24" s="1"/>
  <c r="I3196" i="24"/>
  <c r="J3196" i="24" s="1"/>
  <c r="I3198" i="24"/>
  <c r="J3198" i="24" s="1"/>
  <c r="I3197" i="24"/>
  <c r="J3197" i="24" s="1"/>
  <c r="I3152" i="24"/>
  <c r="J3152" i="24" s="1"/>
  <c r="I3155" i="24"/>
  <c r="J3155" i="24" s="1"/>
  <c r="I3153" i="24"/>
  <c r="J3153" i="24" s="1"/>
  <c r="I3154" i="24"/>
  <c r="J3154" i="24" s="1"/>
  <c r="I3191" i="24"/>
  <c r="J3191" i="24" s="1"/>
  <c r="I3189" i="24"/>
  <c r="J3189" i="24" s="1"/>
  <c r="I3188" i="24"/>
  <c r="J3188" i="24" s="1"/>
  <c r="I3190" i="24"/>
  <c r="J3190" i="24" s="1"/>
  <c r="I3099" i="24"/>
  <c r="J3099" i="24" s="1"/>
  <c r="I3097" i="24"/>
  <c r="J3097" i="24" s="1"/>
  <c r="I3096" i="24"/>
  <c r="J3096" i="24" s="1"/>
  <c r="I3098" i="24"/>
  <c r="J3098" i="24" s="1"/>
  <c r="I3017" i="24"/>
  <c r="J3017" i="24" s="1"/>
  <c r="I3012" i="24"/>
  <c r="J3012" i="24" s="1"/>
  <c r="I3022" i="24"/>
  <c r="J3022" i="24" s="1"/>
  <c r="I3025" i="24"/>
  <c r="J3025" i="24" s="1"/>
  <c r="I3020" i="24"/>
  <c r="J3020" i="24" s="1"/>
  <c r="I3015" i="24"/>
  <c r="J3015" i="24" s="1"/>
  <c r="I3014" i="24"/>
  <c r="J3014" i="24" s="1"/>
  <c r="I3024" i="24"/>
  <c r="J3024" i="24" s="1"/>
  <c r="I3011" i="24"/>
  <c r="J3011" i="24" s="1"/>
  <c r="I3019" i="24"/>
  <c r="J3019" i="24" s="1"/>
  <c r="I3016" i="24"/>
  <c r="J3016" i="24" s="1"/>
  <c r="I3021" i="24"/>
  <c r="J3021" i="24" s="1"/>
  <c r="I3018" i="24"/>
  <c r="J3018" i="24" s="1"/>
  <c r="I3013" i="24"/>
  <c r="J3013" i="24" s="1"/>
  <c r="I3023" i="24"/>
  <c r="J3023" i="24" s="1"/>
  <c r="I2977" i="24"/>
  <c r="J2977" i="24" s="1"/>
  <c r="I2975" i="24"/>
  <c r="J2975" i="24" s="1"/>
  <c r="I2959" i="24"/>
  <c r="J2959" i="24" s="1"/>
  <c r="I2991" i="24"/>
  <c r="J2991" i="24" s="1"/>
  <c r="I2983" i="24"/>
  <c r="J2983" i="24" s="1"/>
  <c r="I2967" i="24"/>
  <c r="J2967" i="24" s="1"/>
  <c r="I2951" i="24"/>
  <c r="J2951" i="24" s="1"/>
  <c r="I2999" i="24"/>
  <c r="J2999" i="24" s="1"/>
  <c r="I2970" i="24"/>
  <c r="J2970" i="24" s="1"/>
  <c r="I2954" i="24"/>
  <c r="J2954" i="24" s="1"/>
  <c r="I2998" i="24"/>
  <c r="J2998" i="24" s="1"/>
  <c r="I2947" i="24"/>
  <c r="J2947" i="24" s="1"/>
  <c r="I2973" i="24"/>
  <c r="J2973" i="24" s="1"/>
  <c r="I2957" i="24"/>
  <c r="J2957" i="24" s="1"/>
  <c r="I2989" i="24"/>
  <c r="J2989" i="24" s="1"/>
  <c r="I2978" i="24"/>
  <c r="J2978" i="24" s="1"/>
  <c r="I2962" i="24"/>
  <c r="J2962" i="24" s="1"/>
  <c r="I2976" i="24"/>
  <c r="J2976" i="24" s="1"/>
  <c r="I2960" i="24"/>
  <c r="J2960" i="24" s="1"/>
  <c r="I3008" i="24"/>
  <c r="J3008" i="24" s="1"/>
  <c r="I2992" i="24"/>
  <c r="J2992" i="24" s="1"/>
  <c r="I2968" i="24"/>
  <c r="J2968" i="24" s="1"/>
  <c r="I2952" i="24"/>
  <c r="J2952" i="24" s="1"/>
  <c r="I3000" i="24"/>
  <c r="J3000" i="24" s="1"/>
  <c r="I2984" i="24"/>
  <c r="J2984" i="24" s="1"/>
  <c r="I2965" i="24"/>
  <c r="J2965" i="24" s="1"/>
  <c r="I2997" i="24"/>
  <c r="J2997" i="24" s="1"/>
  <c r="I2949" i="24"/>
  <c r="J2949" i="24" s="1"/>
  <c r="I2981" i="24"/>
  <c r="J2981" i="24" s="1"/>
  <c r="I2955" i="24"/>
  <c r="J2955" i="24" s="1"/>
  <c r="I2971" i="24"/>
  <c r="J2971" i="24" s="1"/>
  <c r="I2964" i="24"/>
  <c r="J2964" i="24" s="1"/>
  <c r="I2996" i="24"/>
  <c r="J2996" i="24" s="1"/>
  <c r="I2948" i="24"/>
  <c r="J2948" i="24" s="1"/>
  <c r="I2980" i="24"/>
  <c r="J2980" i="24" s="1"/>
  <c r="I2958" i="24"/>
  <c r="J2958" i="24" s="1"/>
  <c r="I2990" i="24"/>
  <c r="J2990" i="24" s="1"/>
  <c r="I2974" i="24"/>
  <c r="J2974" i="24" s="1"/>
  <c r="I2966" i="24"/>
  <c r="J2966" i="24" s="1"/>
  <c r="I2950" i="24"/>
  <c r="J2950" i="24" s="1"/>
  <c r="I2982" i="24"/>
  <c r="J2982" i="24" s="1"/>
  <c r="I2961" i="24"/>
  <c r="J2961" i="24" s="1"/>
  <c r="I2995" i="24"/>
  <c r="J2995" i="24" s="1"/>
  <c r="I3009" i="24"/>
  <c r="J3009" i="24" s="1"/>
  <c r="I3010" i="24"/>
  <c r="J3010" i="24" s="1"/>
  <c r="I2963" i="24"/>
  <c r="J2963" i="24" s="1"/>
  <c r="I2979" i="24"/>
  <c r="J2979" i="24" s="1"/>
  <c r="I3001" i="24"/>
  <c r="J3001" i="24" s="1"/>
  <c r="I2987" i="24"/>
  <c r="J2987" i="24" s="1"/>
  <c r="I2985" i="24"/>
  <c r="J2985" i="24" s="1"/>
  <c r="I3002" i="24"/>
  <c r="J3002" i="24" s="1"/>
  <c r="I2986" i="24"/>
  <c r="J2986" i="24" s="1"/>
  <c r="I3003" i="24"/>
  <c r="J3003" i="24" s="1"/>
  <c r="I3005" i="24"/>
  <c r="J3005" i="24" s="1"/>
  <c r="I2993" i="24"/>
  <c r="J2993" i="24" s="1"/>
  <c r="I3006" i="24"/>
  <c r="J3006" i="24" s="1"/>
  <c r="I2994" i="24"/>
  <c r="J2994" i="24" s="1"/>
  <c r="I3007" i="24"/>
  <c r="J3007" i="24" s="1"/>
  <c r="I2969" i="24"/>
  <c r="J2969" i="24" s="1"/>
  <c r="I2953" i="24"/>
  <c r="J2953" i="24" s="1"/>
  <c r="I2972" i="24"/>
  <c r="J2972" i="24" s="1"/>
  <c r="I2988" i="24"/>
  <c r="J2988" i="24" s="1"/>
  <c r="I2956" i="24"/>
  <c r="J2956" i="24" s="1"/>
  <c r="I3004" i="24"/>
  <c r="J3004" i="24" s="1"/>
  <c r="F5" i="36"/>
  <c r="F215" i="36"/>
  <c r="F191" i="36"/>
  <c r="F135" i="36"/>
  <c r="F211" i="36"/>
  <c r="F147" i="36"/>
  <c r="F107" i="36"/>
  <c r="F242" i="36"/>
  <c r="F210" i="36"/>
  <c r="F178" i="36"/>
  <c r="F146" i="36"/>
  <c r="F253" i="36"/>
  <c r="F233" i="36"/>
  <c r="F201" i="36"/>
  <c r="F169" i="36"/>
  <c r="F137" i="36"/>
  <c r="F125" i="36"/>
  <c r="F93" i="36"/>
  <c r="F224" i="36"/>
  <c r="F192" i="36"/>
  <c r="F160" i="36"/>
  <c r="F128" i="36"/>
  <c r="F116" i="36"/>
  <c r="F100" i="36"/>
  <c r="F84" i="36"/>
  <c r="F68" i="36"/>
  <c r="F52" i="36"/>
  <c r="F36" i="36"/>
  <c r="F20" i="36"/>
  <c r="F4" i="36"/>
  <c r="F73" i="36"/>
  <c r="F57" i="36"/>
  <c r="F41" i="36"/>
  <c r="F25" i="36"/>
  <c r="F9" i="36"/>
  <c r="F183" i="36"/>
  <c r="F127" i="36"/>
  <c r="F203" i="36"/>
  <c r="F139" i="36"/>
  <c r="F103" i="36"/>
  <c r="F238" i="36"/>
  <c r="F206" i="36"/>
  <c r="F174" i="36"/>
  <c r="F142" i="36"/>
  <c r="F263" i="36"/>
  <c r="F229" i="36"/>
  <c r="F197" i="36"/>
  <c r="F165" i="36"/>
  <c r="F133" i="36"/>
  <c r="F121" i="36"/>
  <c r="F89" i="36"/>
  <c r="F220" i="36"/>
  <c r="F188" i="36"/>
  <c r="F156" i="36"/>
  <c r="F262" i="36"/>
  <c r="F114" i="36"/>
  <c r="F98" i="36"/>
  <c r="F82" i="36"/>
  <c r="F66" i="36"/>
  <c r="F50" i="36"/>
  <c r="F34" i="36"/>
  <c r="F18" i="36"/>
  <c r="F2" i="36"/>
  <c r="F71" i="36"/>
  <c r="F55" i="36"/>
  <c r="F39" i="36"/>
  <c r="F23" i="36"/>
  <c r="F7" i="36"/>
  <c r="F247" i="36"/>
  <c r="F231" i="36"/>
  <c r="F175" i="36"/>
  <c r="F267" i="36"/>
  <c r="F195" i="36"/>
  <c r="F131" i="36"/>
  <c r="F99" i="36"/>
  <c r="F234" i="36"/>
  <c r="F202" i="36"/>
  <c r="F170" i="36"/>
  <c r="F138" i="36"/>
  <c r="F260" i="36"/>
  <c r="F225" i="36"/>
  <c r="F193" i="36"/>
  <c r="F161" i="36"/>
  <c r="F129" i="36"/>
  <c r="F117" i="36"/>
  <c r="F248" i="36"/>
  <c r="F216" i="36"/>
  <c r="F184" i="36"/>
  <c r="F152" i="36"/>
  <c r="F255" i="36"/>
  <c r="F112" i="36"/>
  <c r="F96" i="36"/>
  <c r="F80" i="36"/>
  <c r="F64" i="36"/>
  <c r="F48" i="36"/>
  <c r="F32" i="36"/>
  <c r="F16" i="36"/>
  <c r="F85" i="36"/>
  <c r="F69" i="36"/>
  <c r="F53" i="36"/>
  <c r="F37" i="36"/>
  <c r="F21" i="36"/>
  <c r="F199" i="36"/>
  <c r="F264" i="36"/>
  <c r="F261" i="36"/>
  <c r="F187" i="36"/>
  <c r="F227" i="36"/>
  <c r="F95" i="36"/>
  <c r="F230" i="36"/>
  <c r="F198" i="36"/>
  <c r="F166" i="36"/>
  <c r="F134" i="36"/>
  <c r="F3" i="36"/>
  <c r="F221" i="36"/>
  <c r="F189" i="36"/>
  <c r="F157" i="36"/>
  <c r="F268" i="36"/>
  <c r="F113" i="36"/>
  <c r="F244" i="36"/>
  <c r="F212" i="36"/>
  <c r="F180" i="36"/>
  <c r="F148" i="36"/>
  <c r="F251" i="36"/>
  <c r="F110" i="36"/>
  <c r="F94" i="36"/>
  <c r="F78" i="36"/>
  <c r="F62" i="36"/>
  <c r="F46" i="36"/>
  <c r="F30" i="36"/>
  <c r="F14" i="36"/>
  <c r="F83" i="36"/>
  <c r="F67" i="36"/>
  <c r="F51" i="36"/>
  <c r="F35" i="36"/>
  <c r="F19" i="36"/>
  <c r="F223" i="36"/>
  <c r="F235" i="36"/>
  <c r="F163" i="36"/>
  <c r="F115" i="36"/>
  <c r="F250" i="36"/>
  <c r="F218" i="36"/>
  <c r="F186" i="36"/>
  <c r="F154" i="36"/>
  <c r="F266" i="36"/>
  <c r="F241" i="36"/>
  <c r="F209" i="36"/>
  <c r="F145" i="36"/>
  <c r="F265" i="36"/>
  <c r="F101" i="36"/>
  <c r="F232" i="36"/>
  <c r="F200" i="36"/>
  <c r="F168" i="36"/>
  <c r="F136" i="36"/>
  <c r="F120" i="36"/>
  <c r="F104" i="36"/>
  <c r="F88" i="36"/>
  <c r="F72" i="36"/>
  <c r="F56" i="36"/>
  <c r="F24" i="36"/>
  <c r="F8" i="36"/>
  <c r="F77" i="36"/>
  <c r="F61" i="36"/>
  <c r="F45" i="36"/>
  <c r="F29" i="36"/>
  <c r="F111" i="36"/>
  <c r="F97" i="36"/>
  <c r="F118" i="36"/>
  <c r="F167" i="36"/>
  <c r="F258" i="36"/>
  <c r="F254" i="36"/>
  <c r="F179" i="36"/>
  <c r="F123" i="36"/>
  <c r="F91" i="36"/>
  <c r="F226" i="36"/>
  <c r="F194" i="36"/>
  <c r="F162" i="36"/>
  <c r="F130" i="36"/>
  <c r="F249" i="36"/>
  <c r="F217" i="36"/>
  <c r="F185" i="36"/>
  <c r="F153" i="36"/>
  <c r="F256" i="36"/>
  <c r="F109" i="36"/>
  <c r="F240" i="36"/>
  <c r="F208" i="36"/>
  <c r="F176" i="36"/>
  <c r="F144" i="36"/>
  <c r="F124" i="36"/>
  <c r="F108" i="36"/>
  <c r="F92" i="36"/>
  <c r="F76" i="36"/>
  <c r="F60" i="36"/>
  <c r="F44" i="36"/>
  <c r="F28" i="36"/>
  <c r="F12" i="36"/>
  <c r="F81" i="36"/>
  <c r="F65" i="36"/>
  <c r="F49" i="36"/>
  <c r="F33" i="36"/>
  <c r="F17" i="36"/>
  <c r="F151" i="36"/>
  <c r="F40" i="36"/>
  <c r="F13" i="36"/>
  <c r="F207" i="36"/>
  <c r="F219" i="36"/>
  <c r="F155" i="36"/>
  <c r="F246" i="36"/>
  <c r="F214" i="36"/>
  <c r="F182" i="36"/>
  <c r="F150" i="36"/>
  <c r="F257" i="36"/>
  <c r="F237" i="36"/>
  <c r="F205" i="36"/>
  <c r="F141" i="36"/>
  <c r="F259" i="36"/>
  <c r="F228" i="36"/>
  <c r="F164" i="36"/>
  <c r="F132" i="36"/>
  <c r="F102" i="36"/>
  <c r="F70" i="36"/>
  <c r="F38" i="36"/>
  <c r="F6" i="36"/>
  <c r="F59" i="36"/>
  <c r="F27" i="36"/>
  <c r="F11" i="36"/>
  <c r="F239" i="36"/>
  <c r="F159" i="36"/>
  <c r="F243" i="36"/>
  <c r="F171" i="36"/>
  <c r="F119" i="36"/>
  <c r="F87" i="36"/>
  <c r="F222" i="36"/>
  <c r="F190" i="36"/>
  <c r="F158" i="36"/>
  <c r="F126" i="36"/>
  <c r="F245" i="36"/>
  <c r="F213" i="36"/>
  <c r="F181" i="36"/>
  <c r="F149" i="36"/>
  <c r="F252" i="36"/>
  <c r="F105" i="36"/>
  <c r="F236" i="36"/>
  <c r="F204" i="36"/>
  <c r="F172" i="36"/>
  <c r="F140" i="36"/>
  <c r="F122" i="36"/>
  <c r="F106" i="36"/>
  <c r="F90" i="36"/>
  <c r="F74" i="36"/>
  <c r="F58" i="36"/>
  <c r="F42" i="36"/>
  <c r="F26" i="36"/>
  <c r="F10" i="36"/>
  <c r="F79" i="36"/>
  <c r="F63" i="36"/>
  <c r="F47" i="36"/>
  <c r="F31" i="36"/>
  <c r="F15" i="36"/>
  <c r="F177" i="36"/>
  <c r="F143" i="36"/>
  <c r="F173" i="36"/>
  <c r="F196" i="36"/>
  <c r="F86" i="36"/>
  <c r="F54" i="36"/>
  <c r="F22" i="36"/>
  <c r="F75" i="36"/>
  <c r="F43" i="36"/>
  <c r="I2" i="24"/>
  <c r="J2" i="24" s="1"/>
  <c r="I3" i="24"/>
  <c r="J3" i="24" s="1"/>
  <c r="I1455" i="24"/>
  <c r="J1455" i="24" s="1"/>
  <c r="I1435" i="24"/>
  <c r="J1435" i="24" s="1"/>
  <c r="I1395" i="24"/>
  <c r="J1395" i="24" s="1"/>
  <c r="I745" i="24"/>
  <c r="J745" i="24" s="1"/>
  <c r="I735" i="24"/>
  <c r="J735" i="24" s="1"/>
  <c r="I715" i="24"/>
  <c r="J715" i="24" s="1"/>
  <c r="I705" i="24"/>
  <c r="J705" i="24" s="1"/>
  <c r="I655" i="24"/>
  <c r="J655" i="24" s="1"/>
  <c r="I205" i="24"/>
  <c r="J205" i="24" s="1"/>
  <c r="I280" i="24"/>
  <c r="J280" i="24" s="1"/>
  <c r="I185" i="24"/>
  <c r="J185" i="24" s="1"/>
  <c r="I175" i="24"/>
  <c r="J175" i="24" s="1"/>
  <c r="I145" i="24"/>
  <c r="J145" i="24" s="1"/>
  <c r="I135" i="24"/>
  <c r="J135" i="24" s="1"/>
  <c r="I105" i="24"/>
  <c r="J105" i="24" s="1"/>
  <c r="I85" i="24"/>
  <c r="J85" i="24" s="1"/>
  <c r="I75" i="24"/>
  <c r="J75" i="24" s="1"/>
  <c r="I65" i="24"/>
  <c r="J65" i="24" s="1"/>
  <c r="I55" i="24"/>
  <c r="J55" i="24" s="1"/>
  <c r="I35" i="24"/>
  <c r="J35" i="24" s="1"/>
  <c r="I15" i="24"/>
  <c r="J15" i="24" s="1"/>
  <c r="I625" i="24"/>
  <c r="J625" i="24" s="1"/>
  <c r="I525" i="24"/>
  <c r="J525" i="24" s="1"/>
  <c r="I445" i="24"/>
  <c r="J445" i="24" s="1"/>
  <c r="I325" i="24"/>
  <c r="J325" i="24" s="1"/>
  <c r="I315" i="24"/>
  <c r="J315" i="24" s="1"/>
  <c r="I295" i="24"/>
  <c r="J295" i="24" s="1"/>
  <c r="I285" i="24"/>
  <c r="J285" i="24" s="1"/>
  <c r="I265" i="24"/>
  <c r="J265" i="24" s="1"/>
  <c r="I255" i="24"/>
  <c r="J255" i="24" s="1"/>
  <c r="I245" i="24"/>
  <c r="J245" i="24" s="1"/>
  <c r="I235" i="24"/>
  <c r="J235" i="24" s="1"/>
  <c r="I225" i="24"/>
  <c r="J225" i="24" s="1"/>
  <c r="I215" i="24"/>
  <c r="J215" i="24" s="1"/>
  <c r="I744" i="24"/>
  <c r="J744" i="24" s="1"/>
  <c r="I724" i="24"/>
  <c r="J724" i="24" s="1"/>
  <c r="I535" i="24"/>
  <c r="J535" i="24" s="1"/>
  <c r="I1443" i="24"/>
  <c r="J1443" i="24" s="1"/>
  <c r="I1343" i="24"/>
  <c r="J1343" i="24" s="1"/>
  <c r="I1313" i="24"/>
  <c r="J1313" i="24" s="1"/>
  <c r="I1263" i="24"/>
  <c r="J1263" i="24" s="1"/>
  <c r="I1243" i="24"/>
  <c r="J1243" i="24" s="1"/>
  <c r="I1223" i="24"/>
  <c r="J1223" i="24" s="1"/>
  <c r="I1203" i="24"/>
  <c r="J1203" i="24" s="1"/>
  <c r="I1183" i="24"/>
  <c r="J1183" i="24" s="1"/>
  <c r="I1173" i="24"/>
  <c r="J1173" i="24" s="1"/>
  <c r="I1153" i="24"/>
  <c r="J1153" i="24" s="1"/>
  <c r="I1133" i="24"/>
  <c r="J1133" i="24" s="1"/>
  <c r="I1123" i="24"/>
  <c r="J1123" i="24" s="1"/>
  <c r="I1113" i="24"/>
  <c r="J1113" i="24" s="1"/>
  <c r="I1103" i="24"/>
  <c r="J1103" i="24" s="1"/>
  <c r="I1093" i="24"/>
  <c r="J1093" i="24" s="1"/>
  <c r="I1083" i="24"/>
  <c r="J1083" i="24" s="1"/>
  <c r="I1073" i="24"/>
  <c r="J1073" i="24" s="1"/>
  <c r="I1063" i="24"/>
  <c r="J1063" i="24" s="1"/>
  <c r="I1053" i="24"/>
  <c r="J1053" i="24" s="1"/>
  <c r="I733" i="24"/>
  <c r="J733" i="24" s="1"/>
  <c r="I723" i="24"/>
  <c r="J723" i="24" s="1"/>
  <c r="I545" i="24"/>
  <c r="J545" i="24" s="1"/>
  <c r="I1453" i="24"/>
  <c r="J1453" i="24" s="1"/>
  <c r="I1353" i="24"/>
  <c r="J1353" i="24" s="1"/>
  <c r="I1283" i="24"/>
  <c r="J1283" i="24" s="1"/>
  <c r="I1253" i="24"/>
  <c r="J1253" i="24" s="1"/>
  <c r="I1233" i="24"/>
  <c r="J1233" i="24" s="1"/>
  <c r="I1193" i="24"/>
  <c r="J1193" i="24" s="1"/>
  <c r="I742" i="24"/>
  <c r="J742" i="24" s="1"/>
  <c r="I685" i="24"/>
  <c r="J685" i="24" s="1"/>
  <c r="I595" i="24"/>
  <c r="J595" i="24" s="1"/>
  <c r="I455" i="24"/>
  <c r="J455" i="24" s="1"/>
  <c r="I435" i="24"/>
  <c r="J435" i="24" s="1"/>
  <c r="I1433" i="24"/>
  <c r="J1433" i="24" s="1"/>
  <c r="I691" i="24"/>
  <c r="J691" i="24" s="1"/>
  <c r="I681" i="24"/>
  <c r="J681" i="24" s="1"/>
  <c r="I671" i="24"/>
  <c r="J671" i="24" s="1"/>
  <c r="I581" i="24"/>
  <c r="J581" i="24" s="1"/>
  <c r="I571" i="24"/>
  <c r="J571" i="24" s="1"/>
  <c r="I561" i="24"/>
  <c r="J561" i="24" s="1"/>
  <c r="I541" i="24"/>
  <c r="J541" i="24" s="1"/>
  <c r="I511" i="24"/>
  <c r="J511" i="24" s="1"/>
  <c r="I481" i="24"/>
  <c r="J481" i="24" s="1"/>
  <c r="I461" i="24"/>
  <c r="J461" i="24" s="1"/>
  <c r="I451" i="24"/>
  <c r="J451" i="24" s="1"/>
  <c r="I431" i="24"/>
  <c r="J431" i="24" s="1"/>
  <c r="I421" i="24"/>
  <c r="J421" i="24" s="1"/>
  <c r="I391" i="24"/>
  <c r="J391" i="24" s="1"/>
  <c r="I331" i="24"/>
  <c r="J331" i="24" s="1"/>
  <c r="I301" i="24"/>
  <c r="J301" i="24" s="1"/>
  <c r="I271" i="24"/>
  <c r="J271" i="24" s="1"/>
  <c r="I251" i="24"/>
  <c r="J251" i="24" s="1"/>
  <c r="I241" i="24"/>
  <c r="J241" i="24" s="1"/>
  <c r="I555" i="24"/>
  <c r="J555" i="24" s="1"/>
  <c r="I465" i="24"/>
  <c r="J465" i="24" s="1"/>
  <c r="I375" i="24"/>
  <c r="J375" i="24" s="1"/>
  <c r="I1393" i="24"/>
  <c r="J1393" i="24" s="1"/>
  <c r="I690" i="24"/>
  <c r="J690" i="24" s="1"/>
  <c r="I640" i="24"/>
  <c r="J640" i="24" s="1"/>
  <c r="I570" i="24"/>
  <c r="J570" i="24" s="1"/>
  <c r="I540" i="24"/>
  <c r="J540" i="24" s="1"/>
  <c r="I460" i="24"/>
  <c r="J460" i="24" s="1"/>
  <c r="I390" i="24"/>
  <c r="J390" i="24" s="1"/>
  <c r="I340" i="24"/>
  <c r="J340" i="24" s="1"/>
  <c r="I1229" i="24"/>
  <c r="J1229" i="24" s="1"/>
  <c r="I1199" i="24"/>
  <c r="J1199" i="24" s="1"/>
  <c r="I1129" i="24"/>
  <c r="J1129" i="24" s="1"/>
  <c r="I1079" i="24"/>
  <c r="J1079" i="24" s="1"/>
  <c r="I1019" i="24"/>
  <c r="J1019" i="24" s="1"/>
  <c r="I949" i="24"/>
  <c r="J949" i="24" s="1"/>
  <c r="I929" i="24"/>
  <c r="J929" i="24" s="1"/>
  <c r="I909" i="24"/>
  <c r="J909" i="24" s="1"/>
  <c r="I869" i="24"/>
  <c r="J869" i="24" s="1"/>
  <c r="I749" i="24"/>
  <c r="J749" i="24" s="1"/>
  <c r="I739" i="24"/>
  <c r="J739" i="24" s="1"/>
  <c r="I729" i="24"/>
  <c r="J729" i="24" s="1"/>
  <c r="I665" i="24"/>
  <c r="J665" i="24" s="1"/>
  <c r="I565" i="24"/>
  <c r="J565" i="24" s="1"/>
  <c r="I475" i="24"/>
  <c r="J475" i="24" s="1"/>
  <c r="I1423" i="24"/>
  <c r="J1423" i="24" s="1"/>
  <c r="I730" i="24"/>
  <c r="J730" i="24" s="1"/>
  <c r="I620" i="24"/>
  <c r="J620" i="24" s="1"/>
  <c r="I510" i="24"/>
  <c r="J510" i="24" s="1"/>
  <c r="I450" i="24"/>
  <c r="J450" i="24" s="1"/>
  <c r="I400" i="24"/>
  <c r="J400" i="24" s="1"/>
  <c r="I330" i="24"/>
  <c r="J330" i="24" s="1"/>
  <c r="I1439" i="24"/>
  <c r="J1439" i="24" s="1"/>
  <c r="I1289" i="24"/>
  <c r="J1289" i="24" s="1"/>
  <c r="I1259" i="24"/>
  <c r="J1259" i="24" s="1"/>
  <c r="I1219" i="24"/>
  <c r="J1219" i="24" s="1"/>
  <c r="I1189" i="24"/>
  <c r="J1189" i="24" s="1"/>
  <c r="I1149" i="24"/>
  <c r="J1149" i="24" s="1"/>
  <c r="I1119" i="24"/>
  <c r="J1119" i="24" s="1"/>
  <c r="I1039" i="24"/>
  <c r="J1039" i="24" s="1"/>
  <c r="I728" i="24"/>
  <c r="J728" i="24" s="1"/>
  <c r="I675" i="24"/>
  <c r="J675" i="24" s="1"/>
  <c r="I575" i="24"/>
  <c r="J575" i="24" s="1"/>
  <c r="I415" i="24"/>
  <c r="J415" i="24" s="1"/>
  <c r="I1413" i="24"/>
  <c r="J1413" i="24" s="1"/>
  <c r="I740" i="24"/>
  <c r="J740" i="24" s="1"/>
  <c r="I670" i="24"/>
  <c r="J670" i="24" s="1"/>
  <c r="I610" i="24"/>
  <c r="J610" i="24" s="1"/>
  <c r="I560" i="24"/>
  <c r="J560" i="24" s="1"/>
  <c r="I490" i="24"/>
  <c r="J490" i="24" s="1"/>
  <c r="I420" i="24"/>
  <c r="J420" i="24" s="1"/>
  <c r="I290" i="24"/>
  <c r="J290" i="24" s="1"/>
  <c r="I1299" i="24"/>
  <c r="J1299" i="24" s="1"/>
  <c r="I1249" i="24"/>
  <c r="J1249" i="24" s="1"/>
  <c r="I1209" i="24"/>
  <c r="J1209" i="24" s="1"/>
  <c r="I1169" i="24"/>
  <c r="J1169" i="24" s="1"/>
  <c r="I1139" i="24"/>
  <c r="J1139" i="24" s="1"/>
  <c r="I1099" i="24"/>
  <c r="J1099" i="24" s="1"/>
  <c r="I989" i="24"/>
  <c r="J989" i="24" s="1"/>
  <c r="I585" i="24"/>
  <c r="J585" i="24" s="1"/>
  <c r="I505" i="24"/>
  <c r="J505" i="24" s="1"/>
  <c r="I1383" i="24"/>
  <c r="J1383" i="24" s="1"/>
  <c r="I700" i="24"/>
  <c r="J700" i="24" s="1"/>
  <c r="I590" i="24"/>
  <c r="J590" i="24" s="1"/>
  <c r="I550" i="24"/>
  <c r="J550" i="24" s="1"/>
  <c r="I430" i="24"/>
  <c r="J430" i="24" s="1"/>
  <c r="I370" i="24"/>
  <c r="J370" i="24" s="1"/>
  <c r="I310" i="24"/>
  <c r="J310" i="24" s="1"/>
  <c r="I1349" i="24"/>
  <c r="J1349" i="24" s="1"/>
  <c r="I1269" i="24"/>
  <c r="J1269" i="24" s="1"/>
  <c r="I1239" i="24"/>
  <c r="J1239" i="24" s="1"/>
  <c r="I1179" i="24"/>
  <c r="J1179" i="24" s="1"/>
  <c r="I1159" i="24"/>
  <c r="J1159" i="24" s="1"/>
  <c r="I1109" i="24"/>
  <c r="J1109" i="24" s="1"/>
  <c r="I1069" i="24"/>
  <c r="J1069" i="24" s="1"/>
  <c r="I1059" i="24"/>
  <c r="J1059" i="24" s="1"/>
  <c r="I1049" i="24"/>
  <c r="J1049" i="24" s="1"/>
  <c r="I1009" i="24"/>
  <c r="J1009" i="24" s="1"/>
  <c r="I726" i="24"/>
  <c r="J726" i="24" s="1"/>
  <c r="I1425" i="24"/>
  <c r="J1425" i="24" s="1"/>
  <c r="I1385" i="24"/>
  <c r="J1385" i="24" s="1"/>
  <c r="I1355" i="24"/>
  <c r="J1355" i="24" s="1"/>
  <c r="I1335" i="24"/>
  <c r="J1335" i="24" s="1"/>
  <c r="I1285" i="24"/>
  <c r="J1285" i="24" s="1"/>
  <c r="I1245" i="24"/>
  <c r="J1245" i="24" s="1"/>
  <c r="I1225" i="24"/>
  <c r="J1225" i="24" s="1"/>
  <c r="I1205" i="24"/>
  <c r="J1205" i="24" s="1"/>
  <c r="I1185" i="24"/>
  <c r="J1185" i="24" s="1"/>
  <c r="I1165" i="24"/>
  <c r="J1165" i="24" s="1"/>
  <c r="I1145" i="24"/>
  <c r="J1145" i="24" s="1"/>
  <c r="I1135" i="24"/>
  <c r="J1135" i="24" s="1"/>
  <c r="I1115" i="24"/>
  <c r="J1115" i="24" s="1"/>
  <c r="I1105" i="24"/>
  <c r="J1105" i="24" s="1"/>
  <c r="I1095" i="24"/>
  <c r="J1095" i="24" s="1"/>
  <c r="I1075" i="24"/>
  <c r="J1075" i="24" s="1"/>
  <c r="I1065" i="24"/>
  <c r="J1065" i="24" s="1"/>
  <c r="I1055" i="24"/>
  <c r="J1055" i="24" s="1"/>
  <c r="I1045" i="24"/>
  <c r="J1045" i="24" s="1"/>
  <c r="I1035" i="24"/>
  <c r="J1035" i="24" s="1"/>
  <c r="I1025" i="24"/>
  <c r="J1025" i="24" s="1"/>
  <c r="I1015" i="24"/>
  <c r="J1015" i="24" s="1"/>
  <c r="I1005" i="24"/>
  <c r="J1005" i="24" s="1"/>
  <c r="I965" i="24"/>
  <c r="J965" i="24" s="1"/>
  <c r="I955" i="24"/>
  <c r="J955" i="24" s="1"/>
  <c r="I935" i="24"/>
  <c r="J935" i="24" s="1"/>
  <c r="I925" i="24"/>
  <c r="J925" i="24" s="1"/>
  <c r="I905" i="24"/>
  <c r="J905" i="24" s="1"/>
  <c r="I865" i="24"/>
  <c r="J865" i="24" s="1"/>
  <c r="I855" i="24"/>
  <c r="J855" i="24" s="1"/>
  <c r="I845" i="24"/>
  <c r="J845" i="24" s="1"/>
  <c r="I805" i="24"/>
  <c r="J805" i="24" s="1"/>
  <c r="I785" i="24"/>
  <c r="J785" i="24" s="1"/>
  <c r="I775" i="24"/>
  <c r="J775" i="24" s="1"/>
  <c r="I1365" i="24"/>
  <c r="J1365" i="24" s="1"/>
  <c r="I1345" i="24"/>
  <c r="J1345" i="24" s="1"/>
  <c r="I1325" i="24"/>
  <c r="J1325" i="24" s="1"/>
  <c r="I1275" i="24"/>
  <c r="J1275" i="24" s="1"/>
  <c r="I1265" i="24"/>
  <c r="J1265" i="24" s="1"/>
  <c r="I1255" i="24"/>
  <c r="J1255" i="24" s="1"/>
  <c r="I1235" i="24"/>
  <c r="J1235" i="24" s="1"/>
  <c r="I1215" i="24"/>
  <c r="J1215" i="24" s="1"/>
  <c r="I1195" i="24"/>
  <c r="J1195" i="24" s="1"/>
  <c r="I1175" i="24"/>
  <c r="J1175" i="24" s="1"/>
  <c r="I1454" i="24"/>
  <c r="J1454" i="24" s="1"/>
  <c r="I1444" i="24"/>
  <c r="J1444" i="24" s="1"/>
  <c r="I1434" i="24"/>
  <c r="J1434" i="24" s="1"/>
  <c r="I1424" i="24"/>
  <c r="J1424" i="24" s="1"/>
  <c r="I1394" i="24"/>
  <c r="J1394" i="24" s="1"/>
  <c r="I1384" i="24"/>
  <c r="J1384" i="24" s="1"/>
  <c r="I1354" i="24"/>
  <c r="J1354" i="24" s="1"/>
  <c r="I1334" i="24"/>
  <c r="J1334" i="24" s="1"/>
  <c r="I1284" i="24"/>
  <c r="J1284" i="24" s="1"/>
  <c r="I1274" i="24"/>
  <c r="J1274" i="24" s="1"/>
  <c r="I1264" i="24"/>
  <c r="J1264" i="24" s="1"/>
  <c r="I1254" i="24"/>
  <c r="J1254" i="24" s="1"/>
  <c r="I1244" i="24"/>
  <c r="J1244" i="24" s="1"/>
  <c r="I1234" i="24"/>
  <c r="J1234" i="24" s="1"/>
  <c r="I1224" i="24"/>
  <c r="J1224" i="24" s="1"/>
  <c r="I1214" i="24"/>
  <c r="J1214" i="24" s="1"/>
  <c r="I1204" i="24"/>
  <c r="J1204" i="24" s="1"/>
  <c r="I1194" i="24"/>
  <c r="J1194" i="24" s="1"/>
  <c r="I1184" i="24"/>
  <c r="J1184" i="24" s="1"/>
  <c r="I1174" i="24"/>
  <c r="J1174" i="24" s="1"/>
  <c r="I1164" i="24"/>
  <c r="J1164" i="24" s="1"/>
  <c r="I1154" i="24"/>
  <c r="J1154" i="24" s="1"/>
  <c r="I1124" i="24"/>
  <c r="J1124" i="24" s="1"/>
  <c r="I1114" i="24"/>
  <c r="J1114" i="24" s="1"/>
  <c r="I1104" i="24"/>
  <c r="J1104" i="24" s="1"/>
  <c r="I1094" i="24"/>
  <c r="J1094" i="24" s="1"/>
  <c r="I1074" i="24"/>
  <c r="J1074" i="24" s="1"/>
  <c r="I1064" i="24"/>
  <c r="J1064" i="24" s="1"/>
  <c r="I1054" i="24"/>
  <c r="J1054" i="24" s="1"/>
  <c r="I1044" i="24"/>
  <c r="J1044" i="24" s="1"/>
  <c r="I1034" i="24"/>
  <c r="J1034" i="24" s="1"/>
  <c r="I1024" i="24"/>
  <c r="J1024" i="24" s="1"/>
  <c r="I1014" i="24"/>
  <c r="J1014" i="24" s="1"/>
  <c r="I1004" i="24"/>
  <c r="J1004" i="24" s="1"/>
  <c r="I984" i="24"/>
  <c r="J984" i="24" s="1"/>
  <c r="I964" i="24"/>
  <c r="J964" i="24" s="1"/>
  <c r="I954" i="24"/>
  <c r="J954" i="24" s="1"/>
  <c r="I944" i="24"/>
  <c r="J944" i="24" s="1"/>
  <c r="I914" i="24"/>
  <c r="J914" i="24" s="1"/>
  <c r="I904" i="24"/>
  <c r="J904" i="24" s="1"/>
  <c r="I894" i="24"/>
  <c r="J894" i="24" s="1"/>
  <c r="I864" i="24"/>
  <c r="J864" i="24" s="1"/>
  <c r="I844" i="24"/>
  <c r="J844" i="24" s="1"/>
  <c r="I834" i="24"/>
  <c r="J834" i="24" s="1"/>
  <c r="I814" i="24"/>
  <c r="J814" i="24" s="1"/>
  <c r="I804" i="24"/>
  <c r="J804" i="24" s="1"/>
  <c r="I794" i="24"/>
  <c r="J794" i="24" s="1"/>
  <c r="I784" i="24"/>
  <c r="J784" i="24" s="1"/>
  <c r="I774" i="24"/>
  <c r="J774" i="24" s="1"/>
  <c r="I714" i="24"/>
  <c r="J714" i="24" s="1"/>
  <c r="I694" i="24"/>
  <c r="J694" i="24" s="1"/>
  <c r="I684" i="24"/>
  <c r="J684" i="24" s="1"/>
  <c r="I674" i="24"/>
  <c r="J674" i="24" s="1"/>
  <c r="I664" i="24"/>
  <c r="J664" i="24" s="1"/>
  <c r="I654" i="24"/>
  <c r="J654" i="24" s="1"/>
  <c r="I644" i="24"/>
  <c r="J644" i="24" s="1"/>
  <c r="I624" i="24"/>
  <c r="J624" i="24" s="1"/>
  <c r="I614" i="24"/>
  <c r="J614" i="24" s="1"/>
  <c r="I594" i="24"/>
  <c r="J594" i="24" s="1"/>
  <c r="I584" i="24"/>
  <c r="J584" i="24" s="1"/>
  <c r="I574" i="24"/>
  <c r="J574" i="24" s="1"/>
  <c r="I564" i="24"/>
  <c r="J564" i="24" s="1"/>
  <c r="I554" i="24"/>
  <c r="J554" i="24" s="1"/>
  <c r="I544" i="24"/>
  <c r="J544" i="24" s="1"/>
  <c r="I504" i="24"/>
  <c r="J504" i="24" s="1"/>
  <c r="I484" i="24"/>
  <c r="J484" i="24" s="1"/>
  <c r="I474" i="24"/>
  <c r="J474" i="24" s="1"/>
  <c r="I454" i="24"/>
  <c r="J454" i="24" s="1"/>
  <c r="I1043" i="24"/>
  <c r="J1043" i="24" s="1"/>
  <c r="I1033" i="24"/>
  <c r="J1033" i="24" s="1"/>
  <c r="I1023" i="24"/>
  <c r="J1023" i="24" s="1"/>
  <c r="I1013" i="24"/>
  <c r="J1013" i="24" s="1"/>
  <c r="I1003" i="24"/>
  <c r="J1003" i="24" s="1"/>
  <c r="I983" i="24"/>
  <c r="J983" i="24" s="1"/>
  <c r="I953" i="24"/>
  <c r="J953" i="24" s="1"/>
  <c r="I943" i="24"/>
  <c r="J943" i="24" s="1"/>
  <c r="I913" i="24"/>
  <c r="J913" i="24" s="1"/>
  <c r="I903" i="24"/>
  <c r="J903" i="24" s="1"/>
  <c r="I893" i="24"/>
  <c r="J893" i="24" s="1"/>
  <c r="I863" i="24"/>
  <c r="J863" i="24" s="1"/>
  <c r="I853" i="24"/>
  <c r="J853" i="24" s="1"/>
  <c r="I843" i="24"/>
  <c r="J843" i="24" s="1"/>
  <c r="I833" i="24"/>
  <c r="J833" i="24" s="1"/>
  <c r="I783" i="24"/>
  <c r="J783" i="24" s="1"/>
  <c r="I703" i="24"/>
  <c r="J703" i="24" s="1"/>
  <c r="I683" i="24"/>
  <c r="J683" i="24" s="1"/>
  <c r="I673" i="24"/>
  <c r="J673" i="24" s="1"/>
  <c r="I663" i="24"/>
  <c r="J663" i="24" s="1"/>
  <c r="I643" i="24"/>
  <c r="J643" i="24" s="1"/>
  <c r="I603" i="24"/>
  <c r="J603" i="24" s="1"/>
  <c r="I583" i="24"/>
  <c r="J583" i="24" s="1"/>
  <c r="I573" i="24"/>
  <c r="J573" i="24" s="1"/>
  <c r="I563" i="24"/>
  <c r="J563" i="24" s="1"/>
  <c r="I553" i="24"/>
  <c r="J553" i="24" s="1"/>
  <c r="I543" i="24"/>
  <c r="J543" i="24" s="1"/>
  <c r="I523" i="24"/>
  <c r="J523" i="24" s="1"/>
  <c r="I513" i="24"/>
  <c r="J513" i="24" s="1"/>
  <c r="I483" i="24"/>
  <c r="J483" i="24" s="1"/>
  <c r="I473" i="24"/>
  <c r="J473" i="24" s="1"/>
  <c r="I463" i="24"/>
  <c r="J463" i="24" s="1"/>
  <c r="I453" i="24"/>
  <c r="J453" i="24" s="1"/>
  <c r="I433" i="24"/>
  <c r="J433" i="24" s="1"/>
  <c r="I423" i="24"/>
  <c r="J423" i="24" s="1"/>
  <c r="I393" i="24"/>
  <c r="J393" i="24" s="1"/>
  <c r="I383" i="24"/>
  <c r="J383" i="24" s="1"/>
  <c r="I373" i="24"/>
  <c r="J373" i="24" s="1"/>
  <c r="I363" i="24"/>
  <c r="J363" i="24" s="1"/>
  <c r="I313" i="24"/>
  <c r="J313" i="24" s="1"/>
  <c r="I303" i="24"/>
  <c r="J303" i="24" s="1"/>
  <c r="I283" i="24"/>
  <c r="J283" i="24" s="1"/>
  <c r="I273" i="24"/>
  <c r="J273" i="24" s="1"/>
  <c r="I263" i="24"/>
  <c r="J263" i="24" s="1"/>
  <c r="I253" i="24"/>
  <c r="J253" i="24" s="1"/>
  <c r="I243" i="24"/>
  <c r="J243" i="24" s="1"/>
  <c r="I233" i="24"/>
  <c r="J233" i="24" s="1"/>
  <c r="I223" i="24"/>
  <c r="J223" i="24" s="1"/>
  <c r="I213" i="24"/>
  <c r="J213" i="24" s="1"/>
  <c r="I193" i="24"/>
  <c r="J193" i="24" s="1"/>
  <c r="I183" i="24"/>
  <c r="J183" i="24" s="1"/>
  <c r="I143" i="24"/>
  <c r="J143" i="24" s="1"/>
  <c r="I133" i="24"/>
  <c r="J133" i="24" s="1"/>
  <c r="I123" i="24"/>
  <c r="J123" i="24" s="1"/>
  <c r="I103" i="24"/>
  <c r="J103" i="24" s="1"/>
  <c r="I83" i="24"/>
  <c r="J83" i="24" s="1"/>
  <c r="I73" i="24"/>
  <c r="J73" i="24" s="1"/>
  <c r="I1442" i="24"/>
  <c r="J1442" i="24" s="1"/>
  <c r="I1412" i="24"/>
  <c r="J1412" i="24" s="1"/>
  <c r="I1382" i="24"/>
  <c r="J1382" i="24" s="1"/>
  <c r="I1352" i="24"/>
  <c r="J1352" i="24" s="1"/>
  <c r="I1322" i="24"/>
  <c r="J1322" i="24" s="1"/>
  <c r="I1282" i="24"/>
  <c r="J1282" i="24" s="1"/>
  <c r="I1262" i="24"/>
  <c r="J1262" i="24" s="1"/>
  <c r="I1242" i="24"/>
  <c r="J1242" i="24" s="1"/>
  <c r="I1232" i="24"/>
  <c r="J1232" i="24" s="1"/>
  <c r="I1222" i="24"/>
  <c r="J1222" i="24" s="1"/>
  <c r="I1212" i="24"/>
  <c r="J1212" i="24" s="1"/>
  <c r="I1202" i="24"/>
  <c r="J1202" i="24" s="1"/>
  <c r="I1192" i="24"/>
  <c r="J1192" i="24" s="1"/>
  <c r="I1182" i="24"/>
  <c r="J1182" i="24" s="1"/>
  <c r="I1172" i="24"/>
  <c r="J1172" i="24" s="1"/>
  <c r="I1162" i="24"/>
  <c r="J1162" i="24" s="1"/>
  <c r="I1152" i="24"/>
  <c r="J1152" i="24" s="1"/>
  <c r="I1132" i="24"/>
  <c r="J1132" i="24" s="1"/>
  <c r="I1122" i="24"/>
  <c r="J1122" i="24" s="1"/>
  <c r="I1112" i="24"/>
  <c r="J1112" i="24" s="1"/>
  <c r="I1092" i="24"/>
  <c r="J1092" i="24" s="1"/>
  <c r="I1082" i="24"/>
  <c r="J1082" i="24" s="1"/>
  <c r="I1072" i="24"/>
  <c r="J1072" i="24" s="1"/>
  <c r="I1062" i="24"/>
  <c r="J1062" i="24" s="1"/>
  <c r="I1052" i="24"/>
  <c r="J1052" i="24" s="1"/>
  <c r="I1042" i="24"/>
  <c r="J1042" i="24" s="1"/>
  <c r="I1032" i="24"/>
  <c r="J1032" i="24" s="1"/>
  <c r="I1012" i="24"/>
  <c r="J1012" i="24" s="1"/>
  <c r="I1002" i="24"/>
  <c r="J1002" i="24" s="1"/>
  <c r="I992" i="24"/>
  <c r="J992" i="24" s="1"/>
  <c r="I982" i="24"/>
  <c r="J982" i="24" s="1"/>
  <c r="I962" i="24"/>
  <c r="J962" i="24" s="1"/>
  <c r="I952" i="24"/>
  <c r="J952" i="24" s="1"/>
  <c r="I942" i="24"/>
  <c r="J942" i="24" s="1"/>
  <c r="I912" i="24"/>
  <c r="J912" i="24" s="1"/>
  <c r="I902" i="24"/>
  <c r="J902" i="24" s="1"/>
  <c r="I872" i="24"/>
  <c r="J872" i="24" s="1"/>
  <c r="I862" i="24"/>
  <c r="J862" i="24" s="1"/>
  <c r="I852" i="24"/>
  <c r="J852" i="24" s="1"/>
  <c r="I822" i="24"/>
  <c r="J822" i="24" s="1"/>
  <c r="I782" i="24"/>
  <c r="J782" i="24" s="1"/>
  <c r="I712" i="24"/>
  <c r="J712" i="24" s="1"/>
  <c r="I692" i="24"/>
  <c r="J692" i="24" s="1"/>
  <c r="I682" i="24"/>
  <c r="J682" i="24" s="1"/>
  <c r="I672" i="24"/>
  <c r="J672" i="24" s="1"/>
  <c r="I662" i="24"/>
  <c r="J662" i="24" s="1"/>
  <c r="I652" i="24"/>
  <c r="J652" i="24" s="1"/>
  <c r="I632" i="24"/>
  <c r="J632" i="24" s="1"/>
  <c r="I622" i="24"/>
  <c r="J622" i="24" s="1"/>
  <c r="I602" i="24"/>
  <c r="J602" i="24" s="1"/>
  <c r="I592" i="24"/>
  <c r="J592" i="24" s="1"/>
  <c r="I562" i="24"/>
  <c r="J562" i="24" s="1"/>
  <c r="I542" i="24"/>
  <c r="J542" i="24" s="1"/>
  <c r="I532" i="24"/>
  <c r="J532" i="24" s="1"/>
  <c r="I512" i="24"/>
  <c r="J512" i="24" s="1"/>
  <c r="I502" i="24"/>
  <c r="J502" i="24" s="1"/>
  <c r="I482" i="24"/>
  <c r="J482" i="24" s="1"/>
  <c r="I472" i="24"/>
  <c r="J472" i="24" s="1"/>
  <c r="I462" i="24"/>
  <c r="J462" i="24" s="1"/>
  <c r="I452" i="24"/>
  <c r="J452" i="24" s="1"/>
  <c r="I442" i="24"/>
  <c r="J442" i="24" s="1"/>
  <c r="I432" i="24"/>
  <c r="J432" i="24" s="1"/>
  <c r="I422" i="24"/>
  <c r="J422" i="24" s="1"/>
  <c r="I392" i="24"/>
  <c r="J392" i="24" s="1"/>
  <c r="I382" i="24"/>
  <c r="J382" i="24" s="1"/>
  <c r="I372" i="24"/>
  <c r="J372" i="24" s="1"/>
  <c r="I1213" i="24"/>
  <c r="J1213" i="24" s="1"/>
  <c r="I1452" i="24"/>
  <c r="J1452" i="24" s="1"/>
  <c r="I1432" i="24"/>
  <c r="J1432" i="24" s="1"/>
  <c r="I1402" i="24"/>
  <c r="J1402" i="24" s="1"/>
  <c r="I1392" i="24"/>
  <c r="J1392" i="24" s="1"/>
  <c r="I1372" i="24"/>
  <c r="J1372" i="24" s="1"/>
  <c r="I1342" i="24"/>
  <c r="J1342" i="24" s="1"/>
  <c r="I1292" i="24"/>
  <c r="J1292" i="24" s="1"/>
  <c r="I1272" i="24"/>
  <c r="J1272" i="24" s="1"/>
  <c r="I1431" i="24"/>
  <c r="J1431" i="24" s="1"/>
  <c r="I1421" i="24"/>
  <c r="J1421" i="24" s="1"/>
  <c r="I1401" i="24"/>
  <c r="J1401" i="24" s="1"/>
  <c r="I1391" i="24"/>
  <c r="J1391" i="24" s="1"/>
  <c r="I1381" i="24"/>
  <c r="J1381" i="24" s="1"/>
  <c r="I1371" i="24"/>
  <c r="J1371" i="24" s="1"/>
  <c r="I1351" i="24"/>
  <c r="J1351" i="24" s="1"/>
  <c r="I1341" i="24"/>
  <c r="J1341" i="24" s="1"/>
  <c r="I1301" i="24"/>
  <c r="J1301" i="24" s="1"/>
  <c r="I1291" i="24"/>
  <c r="J1291" i="24" s="1"/>
  <c r="I1281" i="24"/>
  <c r="J1281" i="24" s="1"/>
  <c r="I1271" i="24"/>
  <c r="J1271" i="24" s="1"/>
  <c r="I1261" i="24"/>
  <c r="J1261" i="24" s="1"/>
  <c r="I1251" i="24"/>
  <c r="J1251" i="24" s="1"/>
  <c r="I1241" i="24"/>
  <c r="J1241" i="24" s="1"/>
  <c r="I1231" i="24"/>
  <c r="J1231" i="24" s="1"/>
  <c r="I1221" i="24"/>
  <c r="J1221" i="24" s="1"/>
  <c r="I1211" i="24"/>
  <c r="J1211" i="24" s="1"/>
  <c r="I1201" i="24"/>
  <c r="J1201" i="24" s="1"/>
  <c r="I1191" i="24"/>
  <c r="J1191" i="24" s="1"/>
  <c r="I1181" i="24"/>
  <c r="J1181" i="24" s="1"/>
  <c r="I1171" i="24"/>
  <c r="J1171" i="24" s="1"/>
  <c r="I1161" i="24"/>
  <c r="J1161" i="24" s="1"/>
  <c r="I1151" i="24"/>
  <c r="J1151" i="24" s="1"/>
  <c r="I1131" i="24"/>
  <c r="J1131" i="24" s="1"/>
  <c r="I1121" i="24"/>
  <c r="J1121" i="24" s="1"/>
  <c r="I1111" i="24"/>
  <c r="J1111" i="24" s="1"/>
  <c r="I1101" i="24"/>
  <c r="J1101" i="24" s="1"/>
  <c r="I1091" i="24"/>
  <c r="J1091" i="24" s="1"/>
  <c r="I1081" i="24"/>
  <c r="J1081" i="24" s="1"/>
  <c r="I1071" i="24"/>
  <c r="J1071" i="24" s="1"/>
  <c r="I1061" i="24"/>
  <c r="J1061" i="24" s="1"/>
  <c r="I1051" i="24"/>
  <c r="J1051" i="24" s="1"/>
  <c r="I1041" i="24"/>
  <c r="J1041" i="24" s="1"/>
  <c r="I1031" i="24"/>
  <c r="J1031" i="24" s="1"/>
  <c r="I1011" i="24"/>
  <c r="J1011" i="24" s="1"/>
  <c r="I1001" i="24"/>
  <c r="J1001" i="24" s="1"/>
  <c r="I991" i="24"/>
  <c r="J991" i="24" s="1"/>
  <c r="I961" i="24"/>
  <c r="J961" i="24" s="1"/>
  <c r="I951" i="24"/>
  <c r="J951" i="24" s="1"/>
  <c r="I941" i="24"/>
  <c r="J941" i="24" s="1"/>
  <c r="I931" i="24"/>
  <c r="J931" i="24" s="1"/>
  <c r="I901" i="24"/>
  <c r="J901" i="24" s="1"/>
  <c r="I881" i="24"/>
  <c r="J881" i="24" s="1"/>
  <c r="I871" i="24"/>
  <c r="J871" i="24" s="1"/>
  <c r="I851" i="24"/>
  <c r="J851" i="24" s="1"/>
  <c r="I831" i="24"/>
  <c r="J831" i="24" s="1"/>
  <c r="I811" i="24"/>
  <c r="J811" i="24" s="1"/>
  <c r="I791" i="24"/>
  <c r="J791" i="24" s="1"/>
  <c r="I771" i="24"/>
  <c r="J771" i="24" s="1"/>
  <c r="I1460" i="24"/>
  <c r="J1460" i="24" s="1"/>
  <c r="I1440" i="24"/>
  <c r="J1440" i="24" s="1"/>
  <c r="I1430" i="24"/>
  <c r="J1430" i="24" s="1"/>
  <c r="I1420" i="24"/>
  <c r="J1420" i="24" s="1"/>
  <c r="I1390" i="24"/>
  <c r="J1390" i="24" s="1"/>
  <c r="I1380" i="24"/>
  <c r="J1380" i="24" s="1"/>
  <c r="I1370" i="24"/>
  <c r="J1370" i="24" s="1"/>
  <c r="I1360" i="24"/>
  <c r="J1360" i="24" s="1"/>
  <c r="I1350" i="24"/>
  <c r="J1350" i="24" s="1"/>
  <c r="I1340" i="24"/>
  <c r="J1340" i="24" s="1"/>
  <c r="I1320" i="24"/>
  <c r="J1320" i="24" s="1"/>
  <c r="I1290" i="24"/>
  <c r="J1290" i="24" s="1"/>
  <c r="I1280" i="24"/>
  <c r="J1280" i="24" s="1"/>
  <c r="I1270" i="24"/>
  <c r="J1270" i="24" s="1"/>
  <c r="I1250" i="24"/>
  <c r="J1250" i="24" s="1"/>
  <c r="I1240" i="24"/>
  <c r="J1240" i="24" s="1"/>
  <c r="I1230" i="24"/>
  <c r="J1230" i="24" s="1"/>
  <c r="I1220" i="24"/>
  <c r="J1220" i="24" s="1"/>
  <c r="I1200" i="24"/>
  <c r="J1200" i="24" s="1"/>
  <c r="I1190" i="24"/>
  <c r="J1190" i="24" s="1"/>
  <c r="I1180" i="24"/>
  <c r="J1180" i="24" s="1"/>
  <c r="I1170" i="24"/>
  <c r="J1170" i="24" s="1"/>
  <c r="I1160" i="24"/>
  <c r="J1160" i="24" s="1"/>
  <c r="I1150" i="24"/>
  <c r="J1150" i="24" s="1"/>
  <c r="I1130" i="24"/>
  <c r="J1130" i="24" s="1"/>
  <c r="I1120" i="24"/>
  <c r="J1120" i="24" s="1"/>
  <c r="I1110" i="24"/>
  <c r="J1110" i="24" s="1"/>
  <c r="I1100" i="24"/>
  <c r="J1100" i="24" s="1"/>
  <c r="I1090" i="24"/>
  <c r="J1090" i="24" s="1"/>
  <c r="I1080" i="24"/>
  <c r="J1080" i="24" s="1"/>
  <c r="I1070" i="24"/>
  <c r="J1070" i="24" s="1"/>
  <c r="I1060" i="24"/>
  <c r="J1060" i="24" s="1"/>
  <c r="I1050" i="24"/>
  <c r="J1050" i="24" s="1"/>
  <c r="I1040" i="24"/>
  <c r="J1040" i="24" s="1"/>
  <c r="I1030" i="24"/>
  <c r="J1030" i="24" s="1"/>
  <c r="I1010" i="24"/>
  <c r="J1010" i="24" s="1"/>
  <c r="I1000" i="24"/>
  <c r="J1000" i="24" s="1"/>
  <c r="I990" i="24"/>
  <c r="J990" i="24" s="1"/>
  <c r="I950" i="24"/>
  <c r="J950" i="24" s="1"/>
  <c r="I940" i="24"/>
  <c r="J940" i="24" s="1"/>
  <c r="I920" i="24"/>
  <c r="J920" i="24" s="1"/>
  <c r="I910" i="24"/>
  <c r="J910" i="24" s="1"/>
  <c r="I900" i="24"/>
  <c r="J900" i="24" s="1"/>
  <c r="I880" i="24"/>
  <c r="J880" i="24" s="1"/>
  <c r="I870" i="24"/>
  <c r="J870" i="24" s="1"/>
  <c r="I860" i="24"/>
  <c r="J860" i="24" s="1"/>
  <c r="I1459" i="24"/>
  <c r="J1459" i="24" s="1"/>
  <c r="I1389" i="24"/>
  <c r="J1389" i="24" s="1"/>
  <c r="I919" i="24"/>
  <c r="J919" i="24" s="1"/>
  <c r="I899" i="24"/>
  <c r="J899" i="24" s="1"/>
  <c r="I859" i="24"/>
  <c r="J859" i="24" s="1"/>
  <c r="I839" i="24"/>
  <c r="J839" i="24" s="1"/>
  <c r="I819" i="24"/>
  <c r="J819" i="24" s="1"/>
  <c r="I799" i="24"/>
  <c r="J799" i="24" s="1"/>
  <c r="I709" i="24"/>
  <c r="J709" i="24" s="1"/>
  <c r="I699" i="24"/>
  <c r="J699" i="24" s="1"/>
  <c r="I689" i="24"/>
  <c r="J689" i="24" s="1"/>
  <c r="I679" i="24"/>
  <c r="J679" i="24" s="1"/>
  <c r="I669" i="24"/>
  <c r="J669" i="24" s="1"/>
  <c r="I659" i="24"/>
  <c r="J659" i="24" s="1"/>
  <c r="I649" i="24"/>
  <c r="J649" i="24" s="1"/>
  <c r="I629" i="24"/>
  <c r="J629" i="24" s="1"/>
  <c r="I619" i="24"/>
  <c r="J619" i="24" s="1"/>
  <c r="I609" i="24"/>
  <c r="J609" i="24" s="1"/>
  <c r="I599" i="24"/>
  <c r="J599" i="24" s="1"/>
  <c r="I589" i="24"/>
  <c r="J589" i="24" s="1"/>
  <c r="I579" i="24"/>
  <c r="J579" i="24" s="1"/>
  <c r="I569" i="24"/>
  <c r="J569" i="24" s="1"/>
  <c r="I559" i="24"/>
  <c r="J559" i="24" s="1"/>
  <c r="I549" i="24"/>
  <c r="J549" i="24" s="1"/>
  <c r="I539" i="24"/>
  <c r="J539" i="24" s="1"/>
  <c r="I529" i="24"/>
  <c r="J529" i="24" s="1"/>
  <c r="I519" i="24"/>
  <c r="J519" i="24" s="1"/>
  <c r="I509" i="24"/>
  <c r="J509" i="24" s="1"/>
  <c r="I499" i="24"/>
  <c r="J499" i="24" s="1"/>
  <c r="I479" i="24"/>
  <c r="J479" i="24" s="1"/>
  <c r="I469" i="24"/>
  <c r="J469" i="24" s="1"/>
  <c r="I459" i="24"/>
  <c r="J459" i="24" s="1"/>
  <c r="I449" i="24"/>
  <c r="J449" i="24" s="1"/>
  <c r="I439" i="24"/>
  <c r="J439" i="24" s="1"/>
  <c r="I429" i="24"/>
  <c r="J429" i="24" s="1"/>
  <c r="I419" i="24"/>
  <c r="J419" i="24" s="1"/>
  <c r="I409" i="24"/>
  <c r="J409" i="24" s="1"/>
  <c r="I389" i="24"/>
  <c r="J389" i="24" s="1"/>
  <c r="I379" i="24"/>
  <c r="J379" i="24" s="1"/>
  <c r="I369" i="24"/>
  <c r="J369" i="24" s="1"/>
  <c r="I329" i="24"/>
  <c r="J329" i="24" s="1"/>
  <c r="I309" i="24"/>
  <c r="J309" i="24" s="1"/>
  <c r="I299" i="24"/>
  <c r="J299" i="24" s="1"/>
  <c r="I289" i="24"/>
  <c r="J289" i="24" s="1"/>
  <c r="I279" i="24"/>
  <c r="J279" i="24" s="1"/>
  <c r="I269" i="24"/>
  <c r="J269" i="24" s="1"/>
  <c r="I259" i="24"/>
  <c r="J259" i="24" s="1"/>
  <c r="I249" i="24"/>
  <c r="J249" i="24" s="1"/>
  <c r="I239" i="24"/>
  <c r="J239" i="24" s="1"/>
  <c r="I229" i="24"/>
  <c r="J229" i="24" s="1"/>
  <c r="I219" i="24"/>
  <c r="J219" i="24" s="1"/>
  <c r="I209" i="24"/>
  <c r="J209" i="24" s="1"/>
  <c r="I199" i="24"/>
  <c r="J199" i="24" s="1"/>
  <c r="I189" i="24"/>
  <c r="J189" i="24" s="1"/>
  <c r="I149" i="24"/>
  <c r="J149" i="24" s="1"/>
  <c r="I139" i="24"/>
  <c r="J139" i="24" s="1"/>
  <c r="I129" i="24"/>
  <c r="J129" i="24" s="1"/>
  <c r="I119" i="24"/>
  <c r="J119" i="24" s="1"/>
  <c r="I109" i="24"/>
  <c r="J109" i="24" s="1"/>
  <c r="I99" i="24"/>
  <c r="J99" i="24" s="1"/>
  <c r="I89" i="24"/>
  <c r="J89" i="24" s="1"/>
  <c r="I79" i="24"/>
  <c r="J79" i="24" s="1"/>
  <c r="I69" i="24"/>
  <c r="J69" i="24" s="1"/>
  <c r="I59" i="24"/>
  <c r="J59" i="24" s="1"/>
  <c r="I1429" i="24"/>
  <c r="J1429" i="24" s="1"/>
  <c r="I1359" i="24"/>
  <c r="J1359" i="24" s="1"/>
  <c r="I1319" i="24"/>
  <c r="J1319" i="24" s="1"/>
  <c r="I1458" i="24"/>
  <c r="J1458" i="24" s="1"/>
  <c r="I1418" i="24"/>
  <c r="J1418" i="24" s="1"/>
  <c r="I1378" i="24"/>
  <c r="J1378" i="24" s="1"/>
  <c r="I1338" i="24"/>
  <c r="J1338" i="24" s="1"/>
  <c r="I1328" i="24"/>
  <c r="J1328" i="24" s="1"/>
  <c r="I1318" i="24"/>
  <c r="J1318" i="24" s="1"/>
  <c r="I1298" i="24"/>
  <c r="J1298" i="24" s="1"/>
  <c r="I1288" i="24"/>
  <c r="J1288" i="24" s="1"/>
  <c r="I1278" i="24"/>
  <c r="J1278" i="24" s="1"/>
  <c r="I1268" i="24"/>
  <c r="J1268" i="24" s="1"/>
  <c r="I1258" i="24"/>
  <c r="J1258" i="24" s="1"/>
  <c r="I1248" i="24"/>
  <c r="J1248" i="24" s="1"/>
  <c r="I1238" i="24"/>
  <c r="J1238" i="24" s="1"/>
  <c r="I1228" i="24"/>
  <c r="J1228" i="24" s="1"/>
  <c r="I1208" i="24"/>
  <c r="J1208" i="24" s="1"/>
  <c r="I1198" i="24"/>
  <c r="J1198" i="24" s="1"/>
  <c r="I1178" i="24"/>
  <c r="J1178" i="24" s="1"/>
  <c r="I1158" i="24"/>
  <c r="J1158" i="24" s="1"/>
  <c r="I1138" i="24"/>
  <c r="J1138" i="24" s="1"/>
  <c r="I1118" i="24"/>
  <c r="J1118" i="24" s="1"/>
  <c r="I1108" i="24"/>
  <c r="J1108" i="24" s="1"/>
  <c r="I1088" i="24"/>
  <c r="J1088" i="24" s="1"/>
  <c r="I1078" i="24"/>
  <c r="J1078" i="24" s="1"/>
  <c r="I1068" i="24"/>
  <c r="J1068" i="24" s="1"/>
  <c r="I1058" i="24"/>
  <c r="J1058" i="24" s="1"/>
  <c r="I1048" i="24"/>
  <c r="J1048" i="24" s="1"/>
  <c r="I1028" i="24"/>
  <c r="J1028" i="24" s="1"/>
  <c r="I1018" i="24"/>
  <c r="J1018" i="24" s="1"/>
  <c r="I998" i="24"/>
  <c r="J998" i="24" s="1"/>
  <c r="I968" i="24"/>
  <c r="J968" i="24" s="1"/>
  <c r="I948" i="24"/>
  <c r="J948" i="24" s="1"/>
  <c r="I928" i="24"/>
  <c r="J928" i="24" s="1"/>
  <c r="I908" i="24"/>
  <c r="J908" i="24" s="1"/>
  <c r="I898" i="24"/>
  <c r="J898" i="24" s="1"/>
  <c r="I868" i="24"/>
  <c r="J868" i="24" s="1"/>
  <c r="I858" i="24"/>
  <c r="J858" i="24" s="1"/>
  <c r="I848" i="24"/>
  <c r="J848" i="24" s="1"/>
  <c r="I838" i="24"/>
  <c r="J838" i="24" s="1"/>
  <c r="I808" i="24"/>
  <c r="J808" i="24" s="1"/>
  <c r="I798" i="24"/>
  <c r="J798" i="24" s="1"/>
  <c r="I718" i="24"/>
  <c r="J718" i="24" s="1"/>
  <c r="I698" i="24"/>
  <c r="J698" i="24" s="1"/>
  <c r="I688" i="24"/>
  <c r="J688" i="24" s="1"/>
  <c r="I668" i="24"/>
  <c r="J668" i="24" s="1"/>
  <c r="I658" i="24"/>
  <c r="J658" i="24" s="1"/>
  <c r="I648" i="24"/>
  <c r="J648" i="24" s="1"/>
  <c r="I638" i="24"/>
  <c r="J638" i="24" s="1"/>
  <c r="I608" i="24"/>
  <c r="J608" i="24" s="1"/>
  <c r="I578" i="24"/>
  <c r="J578" i="24" s="1"/>
  <c r="I568" i="24"/>
  <c r="J568" i="24" s="1"/>
  <c r="I558" i="24"/>
  <c r="J558" i="24" s="1"/>
  <c r="I548" i="24"/>
  <c r="J548" i="24" s="1"/>
  <c r="I538" i="24"/>
  <c r="J538" i="24" s="1"/>
  <c r="I518" i="24"/>
  <c r="J518" i="24" s="1"/>
  <c r="I508" i="24"/>
  <c r="J508" i="24" s="1"/>
  <c r="I488" i="24"/>
  <c r="J488" i="24" s="1"/>
  <c r="I478" i="24"/>
  <c r="J478" i="24" s="1"/>
  <c r="I458" i="24"/>
  <c r="J458" i="24" s="1"/>
  <c r="I448" i="24"/>
  <c r="J448" i="24" s="1"/>
  <c r="I428" i="24"/>
  <c r="J428" i="24" s="1"/>
  <c r="I418" i="24"/>
  <c r="J418" i="24" s="1"/>
  <c r="I398" i="24"/>
  <c r="J398" i="24" s="1"/>
  <c r="I388" i="24"/>
  <c r="J388" i="24" s="1"/>
  <c r="I368" i="24"/>
  <c r="J368" i="24" s="1"/>
  <c r="I1419" i="24"/>
  <c r="J1419" i="24" s="1"/>
  <c r="I1379" i="24"/>
  <c r="J1379" i="24" s="1"/>
  <c r="I1339" i="24"/>
  <c r="J1339" i="24" s="1"/>
  <c r="I1089" i="24"/>
  <c r="J1089" i="24" s="1"/>
  <c r="I1448" i="24"/>
  <c r="J1448" i="24" s="1"/>
  <c r="I1438" i="24"/>
  <c r="J1438" i="24" s="1"/>
  <c r="I1388" i="24"/>
  <c r="J1388" i="24" s="1"/>
  <c r="I1348" i="24"/>
  <c r="J1348" i="24" s="1"/>
  <c r="I1447" i="24"/>
  <c r="J1447" i="24" s="1"/>
  <c r="I1437" i="24"/>
  <c r="J1437" i="24" s="1"/>
  <c r="I1427" i="24"/>
  <c r="J1427" i="24" s="1"/>
  <c r="I1397" i="24"/>
  <c r="J1397" i="24" s="1"/>
  <c r="I1387" i="24"/>
  <c r="J1387" i="24" s="1"/>
  <c r="I1377" i="24"/>
  <c r="J1377" i="24" s="1"/>
  <c r="I1357" i="24"/>
  <c r="J1357" i="24" s="1"/>
  <c r="I1337" i="24"/>
  <c r="J1337" i="24" s="1"/>
  <c r="I1327" i="24"/>
  <c r="J1327" i="24" s="1"/>
  <c r="I1307" i="24"/>
  <c r="J1307" i="24" s="1"/>
  <c r="I1297" i="24"/>
  <c r="J1297" i="24" s="1"/>
  <c r="I1287" i="24"/>
  <c r="J1287" i="24" s="1"/>
  <c r="I1277" i="24"/>
  <c r="J1277" i="24" s="1"/>
  <c r="I1267" i="24"/>
  <c r="J1267" i="24" s="1"/>
  <c r="I1257" i="24"/>
  <c r="J1257" i="24" s="1"/>
  <c r="I1247" i="24"/>
  <c r="J1247" i="24" s="1"/>
  <c r="I1237" i="24"/>
  <c r="J1237" i="24" s="1"/>
  <c r="I1227" i="24"/>
  <c r="J1227" i="24" s="1"/>
  <c r="I1217" i="24"/>
  <c r="J1217" i="24" s="1"/>
  <c r="I1207" i="24"/>
  <c r="J1207" i="24" s="1"/>
  <c r="I1197" i="24"/>
  <c r="J1197" i="24" s="1"/>
  <c r="I1187" i="24"/>
  <c r="J1187" i="24" s="1"/>
  <c r="I1177" i="24"/>
  <c r="J1177" i="24" s="1"/>
  <c r="I1157" i="24"/>
  <c r="J1157" i="24" s="1"/>
  <c r="I1117" i="24"/>
  <c r="J1117" i="24" s="1"/>
  <c r="I1107" i="24"/>
  <c r="J1107" i="24" s="1"/>
  <c r="I1097" i="24"/>
  <c r="J1097" i="24" s="1"/>
  <c r="I1087" i="24"/>
  <c r="J1087" i="24" s="1"/>
  <c r="I1077" i="24"/>
  <c r="J1077" i="24" s="1"/>
  <c r="I1067" i="24"/>
  <c r="J1067" i="24" s="1"/>
  <c r="I1057" i="24"/>
  <c r="J1057" i="24" s="1"/>
  <c r="I1047" i="24"/>
  <c r="J1047" i="24" s="1"/>
  <c r="I1037" i="24"/>
  <c r="J1037" i="24" s="1"/>
  <c r="I1027" i="24"/>
  <c r="J1027" i="24" s="1"/>
  <c r="I1017" i="24"/>
  <c r="J1017" i="24" s="1"/>
  <c r="I1007" i="24"/>
  <c r="J1007" i="24" s="1"/>
  <c r="I977" i="24"/>
  <c r="J977" i="24" s="1"/>
  <c r="I947" i="24"/>
  <c r="J947" i="24" s="1"/>
  <c r="I937" i="24"/>
  <c r="J937" i="24" s="1"/>
  <c r="I927" i="24"/>
  <c r="J927" i="24" s="1"/>
  <c r="I917" i="24"/>
  <c r="J917" i="24" s="1"/>
  <c r="I907" i="24"/>
  <c r="J907" i="24" s="1"/>
  <c r="I897" i="24"/>
  <c r="J897" i="24" s="1"/>
  <c r="I867" i="24"/>
  <c r="J867" i="24" s="1"/>
  <c r="I857" i="24"/>
  <c r="J857" i="24" s="1"/>
  <c r="I787" i="24"/>
  <c r="J787" i="24" s="1"/>
  <c r="I707" i="24"/>
  <c r="J707" i="24" s="1"/>
  <c r="I687" i="24"/>
  <c r="J687" i="24" s="1"/>
  <c r="I677" i="24"/>
  <c r="J677" i="24" s="1"/>
  <c r="I667" i="24"/>
  <c r="J667" i="24" s="1"/>
  <c r="I647" i="24"/>
  <c r="J647" i="24" s="1"/>
  <c r="I617" i="24"/>
  <c r="J617" i="24" s="1"/>
  <c r="I597" i="24"/>
  <c r="J597" i="24" s="1"/>
  <c r="I587" i="24"/>
  <c r="J587" i="24" s="1"/>
  <c r="I567" i="24"/>
  <c r="J567" i="24" s="1"/>
  <c r="I557" i="24"/>
  <c r="J557" i="24" s="1"/>
  <c r="I547" i="24"/>
  <c r="J547" i="24" s="1"/>
  <c r="I537" i="24"/>
  <c r="J537" i="24" s="1"/>
  <c r="I527" i="24"/>
  <c r="J527" i="24" s="1"/>
  <c r="I507" i="24"/>
  <c r="J507" i="24" s="1"/>
  <c r="I497" i="24"/>
  <c r="J497" i="24" s="1"/>
  <c r="I477" i="24"/>
  <c r="J477" i="24" s="1"/>
  <c r="I457" i="24"/>
  <c r="J457" i="24" s="1"/>
  <c r="I447" i="24"/>
  <c r="J447" i="24" s="1"/>
  <c r="I437" i="24"/>
  <c r="J437" i="24" s="1"/>
  <c r="I1279" i="24"/>
  <c r="J1279" i="24" s="1"/>
  <c r="I1456" i="24"/>
  <c r="J1456" i="24" s="1"/>
  <c r="I1446" i="24"/>
  <c r="J1446" i="24" s="1"/>
  <c r="I1436" i="24"/>
  <c r="J1436" i="24" s="1"/>
  <c r="I1406" i="24"/>
  <c r="J1406" i="24" s="1"/>
  <c r="I1396" i="24"/>
  <c r="J1396" i="24" s="1"/>
  <c r="I1386" i="24"/>
  <c r="J1386" i="24" s="1"/>
  <c r="I1376" i="24"/>
  <c r="J1376" i="24" s="1"/>
  <c r="I1366" i="24"/>
  <c r="J1366" i="24" s="1"/>
  <c r="I1356" i="24"/>
  <c r="J1356" i="24" s="1"/>
  <c r="I1346" i="24"/>
  <c r="J1346" i="24" s="1"/>
  <c r="I1336" i="24"/>
  <c r="J1336" i="24" s="1"/>
  <c r="I1326" i="24"/>
  <c r="J1326" i="24" s="1"/>
  <c r="I1306" i="24"/>
  <c r="J1306" i="24" s="1"/>
  <c r="I1286" i="24"/>
  <c r="J1286" i="24" s="1"/>
  <c r="I1276" i="24"/>
  <c r="J1276" i="24" s="1"/>
  <c r="I1266" i="24"/>
  <c r="J1266" i="24" s="1"/>
  <c r="I1256" i="24"/>
  <c r="J1256" i="24" s="1"/>
  <c r="I1246" i="24"/>
  <c r="J1246" i="24" s="1"/>
  <c r="I1236" i="24"/>
  <c r="J1236" i="24" s="1"/>
  <c r="I1226" i="24"/>
  <c r="J1226" i="24" s="1"/>
  <c r="I1216" i="24"/>
  <c r="J1216" i="24" s="1"/>
  <c r="I1206" i="24"/>
  <c r="J1206" i="24" s="1"/>
  <c r="I1196" i="24"/>
  <c r="J1196" i="24" s="1"/>
  <c r="I1186" i="24"/>
  <c r="J1186" i="24" s="1"/>
  <c r="I1166" i="24"/>
  <c r="J1166" i="24" s="1"/>
  <c r="I1156" i="24"/>
  <c r="J1156" i="24" s="1"/>
  <c r="I1146" i="24"/>
  <c r="J1146" i="24" s="1"/>
  <c r="I1136" i="24"/>
  <c r="J1136" i="24" s="1"/>
  <c r="I1116" i="24"/>
  <c r="J1116" i="24" s="1"/>
  <c r="I1106" i="24"/>
  <c r="J1106" i="24" s="1"/>
  <c r="I1096" i="24"/>
  <c r="J1096" i="24" s="1"/>
  <c r="I1086" i="24"/>
  <c r="J1086" i="24" s="1"/>
  <c r="I1076" i="24"/>
  <c r="J1076" i="24" s="1"/>
  <c r="I1066" i="24"/>
  <c r="J1066" i="24" s="1"/>
  <c r="I1056" i="24"/>
  <c r="J1056" i="24" s="1"/>
  <c r="I1046" i="24"/>
  <c r="J1046" i="24" s="1"/>
  <c r="I1036" i="24"/>
  <c r="J1036" i="24" s="1"/>
  <c r="I1026" i="24"/>
  <c r="J1026" i="24" s="1"/>
  <c r="I1016" i="24"/>
  <c r="J1016" i="24" s="1"/>
  <c r="I1006" i="24"/>
  <c r="J1006" i="24" s="1"/>
  <c r="I986" i="24"/>
  <c r="J986" i="24" s="1"/>
  <c r="I956" i="24"/>
  <c r="J956" i="24" s="1"/>
  <c r="I946" i="24"/>
  <c r="J946" i="24" s="1"/>
  <c r="I936" i="24"/>
  <c r="J936" i="24" s="1"/>
  <c r="I926" i="24"/>
  <c r="J926" i="24" s="1"/>
  <c r="I906" i="24"/>
  <c r="J906" i="24" s="1"/>
  <c r="I896" i="24"/>
  <c r="J896" i="24" s="1"/>
  <c r="I866" i="24"/>
  <c r="J866" i="24" s="1"/>
  <c r="I856" i="24"/>
  <c r="J856" i="24" s="1"/>
  <c r="I776" i="24"/>
  <c r="J776" i="24" s="1"/>
  <c r="I696" i="24"/>
  <c r="J696" i="24" s="1"/>
  <c r="I676" i="24"/>
  <c r="J676" i="24" s="1"/>
  <c r="I666" i="24"/>
  <c r="J666" i="24" s="1"/>
  <c r="I636" i="24"/>
  <c r="J636" i="24" s="1"/>
  <c r="I626" i="24"/>
  <c r="J626" i="24" s="1"/>
  <c r="I596" i="24"/>
  <c r="J596" i="24" s="1"/>
  <c r="I576" i="24"/>
  <c r="J576" i="24" s="1"/>
  <c r="I566" i="24"/>
  <c r="J566" i="24" s="1"/>
  <c r="I546" i="24"/>
  <c r="J546" i="24" s="1"/>
  <c r="I516" i="24"/>
  <c r="J516" i="24" s="1"/>
  <c r="I486" i="24"/>
  <c r="J486" i="24" s="1"/>
  <c r="I456" i="24"/>
  <c r="J456" i="24" s="1"/>
  <c r="I436" i="24"/>
  <c r="J436" i="24" s="1"/>
  <c r="I426" i="24"/>
  <c r="J426" i="24" s="1"/>
  <c r="I396" i="24"/>
  <c r="J396" i="24" s="1"/>
  <c r="I366" i="24"/>
  <c r="J366" i="24" s="1"/>
  <c r="I316" i="24"/>
  <c r="J316" i="24" s="1"/>
  <c r="I306" i="24"/>
  <c r="J306" i="24" s="1"/>
  <c r="I296" i="24"/>
  <c r="J296" i="24" s="1"/>
  <c r="I286" i="24"/>
  <c r="J286" i="24" s="1"/>
  <c r="I276" i="24"/>
  <c r="J276" i="24" s="1"/>
  <c r="I246" i="24"/>
  <c r="J246" i="24" s="1"/>
  <c r="I236" i="24"/>
  <c r="J236" i="24" s="1"/>
  <c r="I226" i="24"/>
  <c r="J226" i="24" s="1"/>
  <c r="I216" i="24"/>
  <c r="J216" i="24" s="1"/>
  <c r="I196" i="24"/>
  <c r="J196" i="24" s="1"/>
  <c r="I136" i="24"/>
  <c r="J136" i="24" s="1"/>
  <c r="I126" i="24"/>
  <c r="J126" i="24" s="1"/>
  <c r="I250" i="24"/>
  <c r="J250" i="24" s="1"/>
  <c r="I240" i="24"/>
  <c r="J240" i="24" s="1"/>
  <c r="I220" i="24"/>
  <c r="J220" i="24" s="1"/>
  <c r="I180" i="24"/>
  <c r="J180" i="24" s="1"/>
  <c r="I160" i="24"/>
  <c r="J160" i="24" s="1"/>
  <c r="I150" i="24"/>
  <c r="J150" i="24" s="1"/>
  <c r="I130" i="24"/>
  <c r="J130" i="24" s="1"/>
  <c r="I100" i="24"/>
  <c r="J100" i="24" s="1"/>
  <c r="I90" i="24"/>
  <c r="J90" i="24" s="1"/>
  <c r="I70" i="24"/>
  <c r="J70" i="24" s="1"/>
  <c r="I40" i="24"/>
  <c r="J40" i="24" s="1"/>
  <c r="I49" i="24"/>
  <c r="J49" i="24" s="1"/>
  <c r="I39" i="24"/>
  <c r="J39" i="24" s="1"/>
  <c r="I19" i="24"/>
  <c r="J19" i="24" s="1"/>
  <c r="I338" i="24"/>
  <c r="J338" i="24" s="1"/>
  <c r="I328" i="24"/>
  <c r="J328" i="24" s="1"/>
  <c r="I308" i="24"/>
  <c r="J308" i="24" s="1"/>
  <c r="I298" i="24"/>
  <c r="J298" i="24" s="1"/>
  <c r="I278" i="24"/>
  <c r="J278" i="24" s="1"/>
  <c r="I268" i="24"/>
  <c r="J268" i="24" s="1"/>
  <c r="I248" i="24"/>
  <c r="J248" i="24" s="1"/>
  <c r="I238" i="24"/>
  <c r="J238" i="24" s="1"/>
  <c r="I228" i="24"/>
  <c r="J228" i="24" s="1"/>
  <c r="I218" i="24"/>
  <c r="J218" i="24" s="1"/>
  <c r="I208" i="24"/>
  <c r="J208" i="24" s="1"/>
  <c r="I188" i="24"/>
  <c r="J188" i="24" s="1"/>
  <c r="I158" i="24"/>
  <c r="J158" i="24" s="1"/>
  <c r="I148" i="24"/>
  <c r="J148" i="24" s="1"/>
  <c r="I128" i="24"/>
  <c r="J128" i="24" s="1"/>
  <c r="I98" i="24"/>
  <c r="J98" i="24" s="1"/>
  <c r="I68" i="24"/>
  <c r="J68" i="24" s="1"/>
  <c r="I58" i="24"/>
  <c r="J58" i="24" s="1"/>
  <c r="I427" i="24"/>
  <c r="J427" i="24" s="1"/>
  <c r="I407" i="24"/>
  <c r="J407" i="24" s="1"/>
  <c r="I387" i="24"/>
  <c r="J387" i="24" s="1"/>
  <c r="I377" i="24"/>
  <c r="J377" i="24" s="1"/>
  <c r="I367" i="24"/>
  <c r="J367" i="24" s="1"/>
  <c r="I347" i="24"/>
  <c r="J347" i="24" s="1"/>
  <c r="I327" i="24"/>
  <c r="J327" i="24" s="1"/>
  <c r="I317" i="24"/>
  <c r="J317" i="24" s="1"/>
  <c r="I297" i="24"/>
  <c r="J297" i="24" s="1"/>
  <c r="I287" i="24"/>
  <c r="J287" i="24" s="1"/>
  <c r="I277" i="24"/>
  <c r="J277" i="24" s="1"/>
  <c r="I267" i="24"/>
  <c r="J267" i="24" s="1"/>
  <c r="I257" i="24"/>
  <c r="J257" i="24" s="1"/>
  <c r="I247" i="24"/>
  <c r="J247" i="24" s="1"/>
  <c r="I237" i="24"/>
  <c r="J237" i="24" s="1"/>
  <c r="I227" i="24"/>
  <c r="J227" i="24" s="1"/>
  <c r="I217" i="24"/>
  <c r="J217" i="24" s="1"/>
  <c r="I207" i="24"/>
  <c r="J207" i="24" s="1"/>
  <c r="I197" i="24"/>
  <c r="J197" i="24" s="1"/>
  <c r="I167" i="24"/>
  <c r="J167" i="24" s="1"/>
  <c r="I147" i="24"/>
  <c r="J147" i="24" s="1"/>
  <c r="I137" i="24"/>
  <c r="J137" i="24" s="1"/>
  <c r="I127" i="24"/>
  <c r="J127" i="24" s="1"/>
  <c r="I87" i="24"/>
  <c r="J87" i="24" s="1"/>
  <c r="I77" i="24"/>
  <c r="J77" i="24" s="1"/>
  <c r="I67" i="24"/>
  <c r="J67" i="24" s="1"/>
  <c r="I57" i="24"/>
  <c r="J57" i="24" s="1"/>
  <c r="I47" i="24"/>
  <c r="J47" i="24" s="1"/>
  <c r="I37" i="24"/>
  <c r="J37" i="24" s="1"/>
  <c r="I46" i="24"/>
  <c r="J46" i="24" s="1"/>
  <c r="I36" i="24"/>
  <c r="J36" i="24" s="1"/>
  <c r="I76" i="24"/>
  <c r="J76" i="24" s="1"/>
  <c r="I66" i="24"/>
  <c r="J66" i="24" s="1"/>
  <c r="I56" i="24"/>
  <c r="J56" i="24" s="1"/>
  <c r="I444" i="24"/>
  <c r="J444" i="24" s="1"/>
  <c r="I434" i="24"/>
  <c r="J434" i="24" s="1"/>
  <c r="I424" i="24"/>
  <c r="J424" i="24" s="1"/>
  <c r="I414" i="24"/>
  <c r="J414" i="24" s="1"/>
  <c r="I394" i="24"/>
  <c r="J394" i="24" s="1"/>
  <c r="I384" i="24"/>
  <c r="J384" i="24" s="1"/>
  <c r="I374" i="24"/>
  <c r="J374" i="24" s="1"/>
  <c r="I364" i="24"/>
  <c r="J364" i="24" s="1"/>
  <c r="I324" i="24"/>
  <c r="J324" i="24" s="1"/>
  <c r="I314" i="24"/>
  <c r="J314" i="24" s="1"/>
  <c r="I304" i="24"/>
  <c r="J304" i="24" s="1"/>
  <c r="I294" i="24"/>
  <c r="J294" i="24" s="1"/>
  <c r="I264" i="24"/>
  <c r="J264" i="24" s="1"/>
  <c r="I254" i="24"/>
  <c r="J254" i="24" s="1"/>
  <c r="I244" i="24"/>
  <c r="J244" i="24" s="1"/>
  <c r="I234" i="24"/>
  <c r="J234" i="24" s="1"/>
  <c r="I214" i="24"/>
  <c r="J214" i="24" s="1"/>
  <c r="I204" i="24"/>
  <c r="J204" i="24" s="1"/>
  <c r="I194" i="24"/>
  <c r="J194" i="24" s="1"/>
  <c r="I144" i="24"/>
  <c r="J144" i="24" s="1"/>
  <c r="I134" i="24"/>
  <c r="J134" i="24" s="1"/>
  <c r="I124" i="24"/>
  <c r="J124" i="24" s="1"/>
  <c r="I84" i="24"/>
  <c r="J84" i="24" s="1"/>
  <c r="I74" i="24"/>
  <c r="J74" i="24" s="1"/>
  <c r="I64" i="24"/>
  <c r="J64" i="24" s="1"/>
  <c r="I54" i="24"/>
  <c r="J54" i="24" s="1"/>
  <c r="I44" i="24"/>
  <c r="J44" i="24" s="1"/>
  <c r="I34" i="24"/>
  <c r="J34" i="24" s="1"/>
  <c r="I24" i="24"/>
  <c r="J24" i="24" s="1"/>
  <c r="I63" i="24"/>
  <c r="J63" i="24" s="1"/>
  <c r="I53" i="24"/>
  <c r="J53" i="24" s="1"/>
  <c r="I43" i="24"/>
  <c r="J43" i="24" s="1"/>
  <c r="I33" i="24"/>
  <c r="J33" i="24" s="1"/>
  <c r="I362" i="24"/>
  <c r="J362" i="24" s="1"/>
  <c r="I332" i="24"/>
  <c r="J332" i="24" s="1"/>
  <c r="I322" i="24"/>
  <c r="J322" i="24" s="1"/>
  <c r="I302" i="24"/>
  <c r="J302" i="24" s="1"/>
  <c r="I292" i="24"/>
  <c r="J292" i="24" s="1"/>
  <c r="I272" i="24"/>
  <c r="J272" i="24" s="1"/>
  <c r="I262" i="24"/>
  <c r="J262" i="24" s="1"/>
  <c r="I252" i="24"/>
  <c r="J252" i="24" s="1"/>
  <c r="I242" i="24"/>
  <c r="J242" i="24" s="1"/>
  <c r="I232" i="24"/>
  <c r="J232" i="24" s="1"/>
  <c r="I222" i="24"/>
  <c r="J222" i="24" s="1"/>
  <c r="I212" i="24"/>
  <c r="J212" i="24" s="1"/>
  <c r="I202" i="24"/>
  <c r="J202" i="24" s="1"/>
  <c r="I192" i="24"/>
  <c r="J192" i="24" s="1"/>
  <c r="I182" i="24"/>
  <c r="J182" i="24" s="1"/>
  <c r="I172" i="24"/>
  <c r="J172" i="24" s="1"/>
  <c r="I142" i="24"/>
  <c r="J142" i="24" s="1"/>
  <c r="I132" i="24"/>
  <c r="J132" i="24" s="1"/>
  <c r="I122" i="24"/>
  <c r="J122" i="24" s="1"/>
  <c r="I112" i="24"/>
  <c r="J112" i="24" s="1"/>
  <c r="I82" i="24"/>
  <c r="J82" i="24" s="1"/>
  <c r="I72" i="24"/>
  <c r="J72" i="24" s="1"/>
  <c r="I62" i="24"/>
  <c r="J62" i="24" s="1"/>
  <c r="I52" i="24"/>
  <c r="J52" i="24" s="1"/>
  <c r="I42" i="24"/>
  <c r="J42" i="24" s="1"/>
  <c r="I32" i="24"/>
  <c r="J32" i="24" s="1"/>
  <c r="I22" i="24"/>
  <c r="J22" i="24" s="1"/>
  <c r="I221" i="24"/>
  <c r="J221" i="24" s="1"/>
  <c r="I191" i="24"/>
  <c r="J191" i="24" s="1"/>
  <c r="I151" i="24"/>
  <c r="J151" i="24" s="1"/>
  <c r="I141" i="24"/>
  <c r="J141" i="24" s="1"/>
  <c r="I131" i="24"/>
  <c r="J131" i="24" s="1"/>
  <c r="I91" i="24"/>
  <c r="J91" i="24" s="1"/>
  <c r="I81" i="24"/>
  <c r="J81" i="24" s="1"/>
  <c r="I71" i="24"/>
  <c r="J71" i="24" s="1"/>
  <c r="I61" i="24"/>
  <c r="J61" i="24" s="1"/>
  <c r="I51" i="24"/>
  <c r="J51" i="24" s="1"/>
  <c r="I41" i="24"/>
  <c r="J41" i="24" s="1"/>
  <c r="F31" i="32"/>
  <c r="F30" i="32"/>
  <c r="F29" i="32"/>
  <c r="F28" i="32"/>
  <c r="F27" i="32"/>
  <c r="F26" i="32"/>
  <c r="F25" i="32"/>
  <c r="F24" i="32"/>
  <c r="F23" i="32"/>
  <c r="F22" i="32"/>
  <c r="F21" i="32"/>
  <c r="F20" i="32"/>
  <c r="F19" i="32"/>
  <c r="F18" i="32"/>
  <c r="F17" i="32"/>
  <c r="F16" i="32"/>
  <c r="F15" i="32"/>
  <c r="F14" i="32"/>
  <c r="F13" i="32"/>
  <c r="F12" i="32"/>
  <c r="F2" i="32"/>
  <c r="C44" i="31"/>
  <c r="C18" i="31"/>
  <c r="C36" i="31" l="1"/>
  <c r="C37" i="31" s="1"/>
  <c r="C54" i="31" s="1"/>
  <c r="B10" i="40" s="1"/>
  <c r="C28" i="31"/>
  <c r="C29" i="31" s="1"/>
  <c r="C53" i="31" s="1"/>
  <c r="C20" i="31"/>
  <c r="C21" i="31" s="1"/>
  <c r="C52" i="31" s="1"/>
  <c r="F57" i="31" l="1"/>
  <c r="K4" i="19" s="1"/>
  <c r="B4" i="42" s="1"/>
  <c r="C30" i="32"/>
  <c r="C6" i="32"/>
  <c r="C11" i="32"/>
  <c r="C3" i="32"/>
  <c r="C8" i="32"/>
  <c r="C10" i="32"/>
  <c r="C18" i="32"/>
  <c r="C31" i="32"/>
  <c r="C29" i="32"/>
  <c r="C27" i="32"/>
  <c r="C25" i="32"/>
  <c r="C23" i="32"/>
  <c r="C21" i="32"/>
  <c r="C19" i="32"/>
  <c r="C17" i="32"/>
  <c r="C15" i="32"/>
  <c r="C13" i="32"/>
  <c r="C5" i="32"/>
  <c r="C2" i="32"/>
  <c r="C7" i="32"/>
  <c r="C14" i="32"/>
  <c r="C12" i="32"/>
  <c r="C4" i="32"/>
  <c r="C28" i="32"/>
  <c r="C26" i="32"/>
  <c r="C24" i="32"/>
  <c r="C22" i="32"/>
  <c r="C20" i="32"/>
  <c r="C16" i="32"/>
  <c r="C9" i="32"/>
  <c r="E10" i="22"/>
  <c r="E18" i="22"/>
  <c r="E26" i="22"/>
  <c r="E11" i="22"/>
  <c r="E19" i="22"/>
  <c r="E27" i="22"/>
  <c r="E12" i="22"/>
  <c r="E20" i="22"/>
  <c r="E28" i="22"/>
  <c r="E16" i="22"/>
  <c r="E13" i="22"/>
  <c r="E21" i="22"/>
  <c r="E29" i="22"/>
  <c r="E24" i="22"/>
  <c r="E32" i="22"/>
  <c r="E6" i="22"/>
  <c r="E14" i="22"/>
  <c r="E22" i="22"/>
  <c r="E30" i="22"/>
  <c r="E7" i="22"/>
  <c r="E15" i="22"/>
  <c r="E23" i="22"/>
  <c r="E31" i="22"/>
  <c r="E8" i="22"/>
  <c r="E9" i="22"/>
  <c r="E17" i="22"/>
  <c r="E25" i="22"/>
  <c r="C45" i="31"/>
  <c r="C46" i="31" s="1"/>
  <c r="C47" i="31" s="1"/>
  <c r="C55" i="31" s="1"/>
  <c r="U1106" i="10"/>
  <c r="U1052" i="10"/>
  <c r="U1051" i="10"/>
  <c r="U1105" i="10"/>
  <c r="S949" i="10"/>
  <c r="S948" i="10"/>
  <c r="S1082" i="10"/>
  <c r="S1081" i="10"/>
  <c r="S1078" i="10"/>
  <c r="S1077" i="10"/>
  <c r="S924" i="10"/>
  <c r="S925" i="10"/>
  <c r="H3" i="22" l="1"/>
  <c r="I31" i="32"/>
  <c r="J31" i="32" s="1"/>
  <c r="I23" i="32"/>
  <c r="J23" i="32" s="1"/>
  <c r="I15" i="32"/>
  <c r="J15" i="32" s="1"/>
  <c r="I26" i="32"/>
  <c r="J26" i="32" s="1"/>
  <c r="I18" i="32"/>
  <c r="J18" i="32" s="1"/>
  <c r="I9" i="32"/>
  <c r="J9" i="32" s="1"/>
  <c r="I28" i="32"/>
  <c r="J28" i="32" s="1"/>
  <c r="I20" i="32"/>
  <c r="J20" i="32" s="1"/>
  <c r="I12" i="32"/>
  <c r="J12" i="32" s="1"/>
  <c r="I8" i="32"/>
  <c r="J8" i="32" s="1"/>
  <c r="I4" i="32"/>
  <c r="J4" i="32" s="1"/>
  <c r="I5" i="32"/>
  <c r="J5" i="32" s="1"/>
  <c r="I25" i="32"/>
  <c r="J25" i="32" s="1"/>
  <c r="I17" i="32"/>
  <c r="J17" i="32" s="1"/>
  <c r="I30" i="32"/>
  <c r="J30" i="32" s="1"/>
  <c r="I22" i="32"/>
  <c r="J22" i="32" s="1"/>
  <c r="I14" i="32"/>
  <c r="J14" i="32" s="1"/>
  <c r="I11" i="32"/>
  <c r="J11" i="32" s="1"/>
  <c r="I7" i="32"/>
  <c r="J7" i="32" s="1"/>
  <c r="I3" i="32"/>
  <c r="J3" i="32" s="1"/>
  <c r="I24" i="32"/>
  <c r="J24" i="32" s="1"/>
  <c r="I16" i="32"/>
  <c r="J16" i="32" s="1"/>
  <c r="I10" i="32"/>
  <c r="J10" i="32" s="1"/>
  <c r="I6" i="32"/>
  <c r="J6" i="32" s="1"/>
  <c r="I2" i="32"/>
  <c r="J2" i="32" s="1"/>
  <c r="I27" i="32"/>
  <c r="J27" i="32" s="1"/>
  <c r="I19" i="32"/>
  <c r="J19" i="32" s="1"/>
  <c r="I29" i="32"/>
  <c r="J29" i="32" s="1"/>
  <c r="I21" i="32"/>
  <c r="J21" i="32" s="1"/>
  <c r="I13" i="32"/>
  <c r="J13" i="32" s="1"/>
  <c r="F3" i="10"/>
  <c r="F27" i="20"/>
  <c r="F28" i="20"/>
  <c r="F29" i="20"/>
  <c r="F30" i="20"/>
  <c r="F31" i="20"/>
  <c r="F26" i="20" l="1"/>
  <c r="F25" i="20"/>
  <c r="F24" i="20"/>
  <c r="F23" i="20"/>
  <c r="F22" i="20"/>
  <c r="F21" i="20"/>
  <c r="F20" i="20"/>
  <c r="F19" i="20"/>
  <c r="F18" i="20"/>
  <c r="F17" i="20"/>
  <c r="F16" i="20"/>
  <c r="F15" i="20"/>
  <c r="F14" i="20"/>
  <c r="F13" i="20"/>
  <c r="F12" i="20"/>
  <c r="F2" i="20"/>
  <c r="C26" i="20" l="1"/>
  <c r="H21" i="20"/>
  <c r="F3" i="32"/>
  <c r="C3" i="20" l="1"/>
  <c r="C8" i="20"/>
  <c r="C16" i="20"/>
  <c r="C18" i="20"/>
  <c r="C10" i="20"/>
  <c r="C11" i="20"/>
  <c r="C4" i="20"/>
  <c r="C9" i="20"/>
  <c r="C23" i="20"/>
  <c r="C2" i="20"/>
  <c r="C21" i="20"/>
  <c r="C7" i="20"/>
  <c r="C27" i="20"/>
  <c r="C28" i="20"/>
  <c r="C30" i="20"/>
  <c r="C31" i="20"/>
  <c r="C29" i="20"/>
  <c r="C19" i="20"/>
  <c r="C14" i="20"/>
  <c r="C15" i="20"/>
  <c r="C17" i="20"/>
  <c r="C24" i="20"/>
  <c r="C5" i="20"/>
  <c r="C13" i="20"/>
  <c r="C20" i="20"/>
  <c r="C22" i="20"/>
  <c r="C6" i="20"/>
  <c r="C12" i="20"/>
  <c r="C25" i="20"/>
  <c r="H7" i="20"/>
  <c r="H3" i="20"/>
  <c r="H4" i="20"/>
  <c r="H15" i="20"/>
  <c r="H10" i="20"/>
  <c r="H25" i="20"/>
  <c r="H2" i="20"/>
  <c r="H20" i="20"/>
  <c r="H17" i="20"/>
  <c r="H22" i="20"/>
  <c r="H19" i="20"/>
  <c r="H16" i="20"/>
  <c r="H11" i="20"/>
  <c r="H28" i="20"/>
  <c r="H30" i="20"/>
  <c r="E3" i="22"/>
  <c r="E5" i="22"/>
  <c r="H29" i="20"/>
  <c r="H31" i="20"/>
  <c r="E4" i="22"/>
  <c r="H27" i="20"/>
  <c r="H5" i="20"/>
  <c r="H23" i="20"/>
  <c r="H24" i="20"/>
  <c r="H26" i="20"/>
  <c r="H9" i="20"/>
  <c r="H14" i="20"/>
  <c r="H8" i="20"/>
  <c r="H6" i="20"/>
  <c r="H13" i="20"/>
  <c r="H12" i="20"/>
  <c r="H18" i="20"/>
  <c r="F4" i="32"/>
  <c r="F3" i="20"/>
  <c r="I30" i="20" l="1"/>
  <c r="J30" i="20" s="1"/>
  <c r="I29" i="20"/>
  <c r="J29" i="20" s="1"/>
  <c r="I31" i="20"/>
  <c r="J31" i="20" s="1"/>
  <c r="I28" i="20"/>
  <c r="J28" i="20" s="1"/>
  <c r="I27" i="20"/>
  <c r="J27" i="20" s="1"/>
  <c r="I25" i="20"/>
  <c r="J25" i="20" s="1"/>
  <c r="I23" i="20"/>
  <c r="J23" i="20" s="1"/>
  <c r="I21" i="20"/>
  <c r="J21" i="20" s="1"/>
  <c r="I19" i="20"/>
  <c r="J19" i="20" s="1"/>
  <c r="I17" i="20"/>
  <c r="J17" i="20" s="1"/>
  <c r="I15" i="20"/>
  <c r="J15" i="20" s="1"/>
  <c r="I13" i="20"/>
  <c r="J13" i="20" s="1"/>
  <c r="I11" i="20"/>
  <c r="J11" i="20" s="1"/>
  <c r="I9" i="20"/>
  <c r="J9" i="20" s="1"/>
  <c r="I7" i="20"/>
  <c r="J7" i="20" s="1"/>
  <c r="I6" i="20"/>
  <c r="J6" i="20" s="1"/>
  <c r="I26" i="20"/>
  <c r="J26" i="20" s="1"/>
  <c r="I5" i="20"/>
  <c r="J5" i="20" s="1"/>
  <c r="I2" i="20"/>
  <c r="J2" i="20" s="1"/>
  <c r="I4" i="20"/>
  <c r="J4" i="20" s="1"/>
  <c r="I8" i="20"/>
  <c r="J8" i="20" s="1"/>
  <c r="I3" i="20"/>
  <c r="J3" i="20" s="1"/>
  <c r="I24" i="20"/>
  <c r="J24" i="20" s="1"/>
  <c r="I22" i="20"/>
  <c r="J22" i="20" s="1"/>
  <c r="I20" i="20"/>
  <c r="J20" i="20" s="1"/>
  <c r="I18" i="20"/>
  <c r="J18" i="20" s="1"/>
  <c r="I16" i="20"/>
  <c r="J16" i="20" s="1"/>
  <c r="I14" i="20"/>
  <c r="J14" i="20" s="1"/>
  <c r="I12" i="20"/>
  <c r="J12" i="20" s="1"/>
  <c r="I10" i="20"/>
  <c r="J10" i="20" s="1"/>
  <c r="F5" i="32"/>
  <c r="F4" i="20"/>
  <c r="F6" i="32" l="1"/>
  <c r="F5" i="20"/>
  <c r="F7" i="32" l="1"/>
  <c r="F6" i="20"/>
  <c r="F8" i="32" l="1"/>
  <c r="F7" i="20"/>
  <c r="F9" i="32" l="1"/>
  <c r="F8" i="20"/>
  <c r="F10" i="32" l="1"/>
  <c r="F9" i="20"/>
  <c r="F11" i="32" l="1"/>
  <c r="F10" i="20"/>
  <c r="F11" i="20" l="1"/>
  <c r="B5" i="10" l="1"/>
  <c r="B8" i="32" l="1"/>
  <c r="D8" i="32" s="1"/>
  <c r="B9" i="32"/>
  <c r="D9" i="32" s="1"/>
  <c r="B15" i="32"/>
  <c r="D15" i="32" s="1"/>
  <c r="B22" i="32"/>
  <c r="D22" i="32" s="1"/>
  <c r="B28" i="32"/>
  <c r="D28" i="32" s="1"/>
  <c r="B2" i="32"/>
  <c r="D2" i="32" s="1"/>
  <c r="B13" i="32"/>
  <c r="D13" i="32" s="1"/>
  <c r="B7" i="32"/>
  <c r="D7" i="32" s="1"/>
  <c r="B3" i="32"/>
  <c r="D3" i="32" s="1"/>
  <c r="B10" i="32"/>
  <c r="D10" i="32" s="1"/>
  <c r="B16" i="32"/>
  <c r="D16" i="32" s="1"/>
  <c r="B29" i="32"/>
  <c r="D29" i="32" s="1"/>
  <c r="B25" i="32"/>
  <c r="D25" i="32" s="1"/>
  <c r="B4" i="32"/>
  <c r="D4" i="32" s="1"/>
  <c r="B17" i="32"/>
  <c r="D17" i="32" s="1"/>
  <c r="B23" i="32"/>
  <c r="D23" i="32" s="1"/>
  <c r="B30" i="32"/>
  <c r="D30" i="32" s="1"/>
  <c r="B5" i="32"/>
  <c r="D5" i="32" s="1"/>
  <c r="B11" i="32"/>
  <c r="D11" i="32" s="1"/>
  <c r="B18" i="32"/>
  <c r="D18" i="32" s="1"/>
  <c r="B24" i="32"/>
  <c r="D24" i="32" s="1"/>
  <c r="B31" i="32"/>
  <c r="D31" i="32" s="1"/>
  <c r="B19" i="32"/>
  <c r="D19" i="32" s="1"/>
  <c r="B26" i="32"/>
  <c r="D26" i="32" s="1"/>
  <c r="B14" i="32"/>
  <c r="D14" i="32" s="1"/>
  <c r="B21" i="32"/>
  <c r="D21" i="32" s="1"/>
  <c r="B6" i="32"/>
  <c r="D6" i="32" s="1"/>
  <c r="B12" i="32"/>
  <c r="D12" i="32" s="1"/>
  <c r="B20" i="32"/>
  <c r="D20" i="32" s="1"/>
  <c r="B27" i="32"/>
  <c r="D27" i="32" s="1"/>
  <c r="I28" i="2"/>
  <c r="I29" i="2" s="1"/>
  <c r="B2" i="20"/>
  <c r="B108" i="2"/>
  <c r="B31" i="20" l="1"/>
  <c r="D31" i="20" s="1"/>
  <c r="B29" i="20"/>
  <c r="D29" i="20" s="1"/>
  <c r="B28" i="20"/>
  <c r="D28" i="20" s="1"/>
  <c r="B27" i="20"/>
  <c r="D27" i="20" s="1"/>
  <c r="E28" i="20"/>
  <c r="E28" i="32"/>
  <c r="G28" i="32" s="1"/>
  <c r="E27" i="20"/>
  <c r="E27" i="32"/>
  <c r="G27" i="32" s="1"/>
  <c r="E31" i="20"/>
  <c r="E31" i="32"/>
  <c r="G31" i="32" s="1"/>
  <c r="E29" i="20"/>
  <c r="E29" i="32"/>
  <c r="G29" i="32" s="1"/>
  <c r="E30" i="20"/>
  <c r="E30" i="32"/>
  <c r="G30" i="32" s="1"/>
  <c r="B30" i="20"/>
  <c r="D30" i="20" s="1"/>
  <c r="B10" i="20"/>
  <c r="D10" i="20" s="1"/>
  <c r="B11" i="20"/>
  <c r="D11" i="20" s="1"/>
  <c r="B3" i="20"/>
  <c r="D3" i="20" s="1"/>
  <c r="B9" i="20"/>
  <c r="D9" i="20" s="1"/>
  <c r="B20" i="20"/>
  <c r="D20" i="20" s="1"/>
  <c r="B26" i="20"/>
  <c r="D26" i="20" s="1"/>
  <c r="B5" i="20"/>
  <c r="D5" i="20" s="1"/>
  <c r="B15" i="20"/>
  <c r="D15" i="20" s="1"/>
  <c r="B21" i="20"/>
  <c r="D21" i="20" s="1"/>
  <c r="B8" i="20"/>
  <c r="D8" i="20" s="1"/>
  <c r="B14" i="20"/>
  <c r="D14" i="20" s="1"/>
  <c r="B19" i="20"/>
  <c r="D19" i="20" s="1"/>
  <c r="B7" i="20"/>
  <c r="D7" i="20" s="1"/>
  <c r="B24" i="20"/>
  <c r="D24" i="20" s="1"/>
  <c r="B13" i="20"/>
  <c r="D13" i="20" s="1"/>
  <c r="B17" i="20"/>
  <c r="D17" i="20" s="1"/>
  <c r="B4" i="20"/>
  <c r="D4" i="20" s="1"/>
  <c r="B23" i="20"/>
  <c r="D23" i="20" s="1"/>
  <c r="B12" i="20"/>
  <c r="D12" i="20" s="1"/>
  <c r="B25" i="20"/>
  <c r="D25" i="20" s="1"/>
  <c r="B16" i="20"/>
  <c r="D16" i="20" s="1"/>
  <c r="B22" i="20"/>
  <c r="D22" i="20" s="1"/>
  <c r="B6" i="20"/>
  <c r="D6" i="20" s="1"/>
  <c r="B18" i="20"/>
  <c r="D18" i="20" s="1"/>
  <c r="D2" i="20"/>
  <c r="W155" i="10"/>
  <c r="W156" i="10"/>
  <c r="W157" i="10"/>
  <c r="O157" i="10" s="1"/>
  <c r="W158" i="10"/>
  <c r="O158" i="10" s="1"/>
  <c r="W159" i="10"/>
  <c r="O159" i="10" s="1"/>
  <c r="W160" i="10"/>
  <c r="O160" i="10" s="1"/>
  <c r="W161" i="10"/>
  <c r="O161" i="10" s="1"/>
  <c r="W162" i="10"/>
  <c r="O162" i="10" s="1"/>
  <c r="W163" i="10"/>
  <c r="W164" i="10"/>
  <c r="O164" i="10" s="1"/>
  <c r="W165" i="10"/>
  <c r="O165" i="10" s="1"/>
  <c r="W166" i="10"/>
  <c r="W167" i="10"/>
  <c r="O167" i="10" s="1"/>
  <c r="W168" i="10"/>
  <c r="W169" i="10"/>
  <c r="W170" i="10"/>
  <c r="W171" i="10"/>
  <c r="W178" i="10"/>
  <c r="W179" i="10"/>
  <c r="O179" i="10" s="1"/>
  <c r="W180" i="10"/>
  <c r="O180" i="10" s="1"/>
  <c r="W181" i="10"/>
  <c r="O181" i="10" s="1"/>
  <c r="W182" i="10"/>
  <c r="O182" i="10" s="1"/>
  <c r="W183" i="10"/>
  <c r="O183" i="10" s="1"/>
  <c r="W184" i="10"/>
  <c r="O184" i="10" s="1"/>
  <c r="W186" i="10"/>
  <c r="O186" i="10" s="1"/>
  <c r="W187" i="10"/>
  <c r="O187" i="10" s="1"/>
  <c r="W188" i="10"/>
  <c r="O188" i="10" s="1"/>
  <c r="W189" i="10"/>
  <c r="O189" i="10" s="1"/>
  <c r="W190" i="10"/>
  <c r="O190" i="10" s="1"/>
  <c r="W191" i="10"/>
  <c r="W192" i="10"/>
  <c r="W193" i="10"/>
  <c r="W194" i="10"/>
  <c r="W195" i="10"/>
  <c r="W203" i="10"/>
  <c r="W204" i="10"/>
  <c r="O204" i="10" s="1"/>
  <c r="W205" i="10"/>
  <c r="O205" i="10" s="1"/>
  <c r="W206" i="10"/>
  <c r="O206" i="10" s="1"/>
  <c r="W207" i="10"/>
  <c r="O207" i="10" s="1"/>
  <c r="W208" i="10"/>
  <c r="O208" i="10" s="1"/>
  <c r="W209" i="10"/>
  <c r="O209" i="10" s="1"/>
  <c r="W210" i="10"/>
  <c r="O210" i="10" s="1"/>
  <c r="W211" i="10"/>
  <c r="O211" i="10" s="1"/>
  <c r="W212" i="10"/>
  <c r="O212" i="10" s="1"/>
  <c r="W213" i="10"/>
  <c r="O213" i="10" s="1"/>
  <c r="W214" i="10"/>
  <c r="O214" i="10" s="1"/>
  <c r="W215" i="10"/>
  <c r="W216" i="10"/>
  <c r="W217" i="10"/>
  <c r="W218" i="10"/>
  <c r="W227" i="10"/>
  <c r="W228" i="10"/>
  <c r="W229" i="10"/>
  <c r="O229" i="10" s="1"/>
  <c r="W230" i="10"/>
  <c r="O230" i="10" s="1"/>
  <c r="W231" i="10"/>
  <c r="O231" i="10" s="1"/>
  <c r="W232" i="10"/>
  <c r="O232" i="10" s="1"/>
  <c r="W233" i="10"/>
  <c r="O233" i="10" s="1"/>
  <c r="W234" i="10"/>
  <c r="O234" i="10" s="1"/>
  <c r="W235" i="10"/>
  <c r="O235" i="10" s="1"/>
  <c r="W236" i="10"/>
  <c r="W237" i="10"/>
  <c r="O237" i="10" s="1"/>
  <c r="W238" i="10"/>
  <c r="O238" i="10" s="1"/>
  <c r="W239" i="10"/>
  <c r="O239" i="10" s="1"/>
  <c r="W240" i="10"/>
  <c r="W241" i="10"/>
  <c r="W242" i="10"/>
  <c r="W243" i="10"/>
  <c r="W257" i="10"/>
  <c r="W258" i="10"/>
  <c r="O258" i="10" s="1"/>
  <c r="W259" i="10"/>
  <c r="O259" i="10" s="1"/>
  <c r="W260" i="10"/>
  <c r="O260" i="10" s="1"/>
  <c r="W261" i="10"/>
  <c r="O261" i="10" s="1"/>
  <c r="W262" i="10"/>
  <c r="O262" i="10" s="1"/>
  <c r="W263" i="10"/>
  <c r="O263" i="10" s="1"/>
  <c r="W264" i="10"/>
  <c r="O264" i="10" s="1"/>
  <c r="W265" i="10"/>
  <c r="W266" i="10"/>
  <c r="O266" i="10" s="1"/>
  <c r="W267" i="10"/>
  <c r="O267" i="10" s="1"/>
  <c r="W268" i="10"/>
  <c r="O268" i="10" s="1"/>
  <c r="W269" i="10"/>
  <c r="W270" i="10"/>
  <c r="W271" i="10"/>
  <c r="W272" i="10"/>
  <c r="W283" i="10"/>
  <c r="W284" i="10"/>
  <c r="W285" i="10"/>
  <c r="O285" i="10" s="1"/>
  <c r="W286" i="10"/>
  <c r="O286" i="10" s="1"/>
  <c r="W287" i="10"/>
  <c r="O287" i="10" s="1"/>
  <c r="W288" i="10"/>
  <c r="O288" i="10" s="1"/>
  <c r="W289" i="10"/>
  <c r="O289" i="10" s="1"/>
  <c r="W290" i="10"/>
  <c r="O290" i="10" s="1"/>
  <c r="W291" i="10"/>
  <c r="O291" i="10" s="1"/>
  <c r="W292" i="10"/>
  <c r="W293" i="10"/>
  <c r="O293" i="10" s="1"/>
  <c r="W294" i="10"/>
  <c r="O294" i="10" s="1"/>
  <c r="W295" i="10"/>
  <c r="O295" i="10" s="1"/>
  <c r="W296" i="10"/>
  <c r="W297" i="10"/>
  <c r="W298" i="10"/>
  <c r="W299" i="10"/>
  <c r="W315" i="10"/>
  <c r="W316" i="10"/>
  <c r="O316" i="10" s="1"/>
  <c r="W317" i="10"/>
  <c r="O317" i="10" s="1"/>
  <c r="W318" i="10"/>
  <c r="O318" i="10" s="1"/>
  <c r="W319" i="10"/>
  <c r="O319" i="10" s="1"/>
  <c r="W320" i="10"/>
  <c r="O320" i="10" s="1"/>
  <c r="W321" i="10"/>
  <c r="O321" i="10" s="1"/>
  <c r="W322" i="10"/>
  <c r="O322" i="10" s="1"/>
  <c r="W323" i="10"/>
  <c r="W324" i="10"/>
  <c r="O324" i="10" s="1"/>
  <c r="W325" i="10"/>
  <c r="O325" i="10" s="1"/>
  <c r="W326" i="10"/>
  <c r="O326" i="10" s="1"/>
  <c r="W327" i="10"/>
  <c r="W328" i="10"/>
  <c r="W329" i="10"/>
  <c r="W330" i="10"/>
  <c r="W341" i="10"/>
  <c r="W342" i="10"/>
  <c r="W343" i="10"/>
  <c r="O343" i="10" s="1"/>
  <c r="W344" i="10"/>
  <c r="O344" i="10" s="1"/>
  <c r="W345" i="10"/>
  <c r="O345" i="10" s="1"/>
  <c r="W346" i="10"/>
  <c r="O346" i="10" s="1"/>
  <c r="W347" i="10"/>
  <c r="O347" i="10" s="1"/>
  <c r="W348" i="10"/>
  <c r="O348" i="10" s="1"/>
  <c r="W349" i="10"/>
  <c r="O349" i="10" s="1"/>
  <c r="W350" i="10"/>
  <c r="W351" i="10"/>
  <c r="O351" i="10" s="1"/>
  <c r="W352" i="10"/>
  <c r="O352" i="10" s="1"/>
  <c r="W353" i="10"/>
  <c r="O353" i="10" s="1"/>
  <c r="W354" i="10"/>
  <c r="W355" i="10"/>
  <c r="W356" i="10"/>
  <c r="W357" i="10"/>
  <c r="W372" i="10"/>
  <c r="W373" i="10"/>
  <c r="O373" i="10" s="1"/>
  <c r="W374" i="10"/>
  <c r="O374" i="10" s="1"/>
  <c r="W375" i="10"/>
  <c r="O375" i="10" s="1"/>
  <c r="W376" i="10"/>
  <c r="O376" i="10" s="1"/>
  <c r="W377" i="10"/>
  <c r="O377" i="10" s="1"/>
  <c r="W378" i="10"/>
  <c r="O378" i="10" s="1"/>
  <c r="W379" i="10"/>
  <c r="O379" i="10" s="1"/>
  <c r="W380" i="10"/>
  <c r="W381" i="10"/>
  <c r="O381" i="10" s="1"/>
  <c r="W382" i="10"/>
  <c r="O382" i="10" s="1"/>
  <c r="W383" i="10"/>
  <c r="O383" i="10" s="1"/>
  <c r="W384" i="10"/>
  <c r="W385" i="10"/>
  <c r="W386" i="10"/>
  <c r="W387" i="10"/>
  <c r="W398" i="10"/>
  <c r="O398" i="10" s="1"/>
  <c r="W399" i="10"/>
  <c r="O399" i="10" s="1"/>
  <c r="W400" i="10"/>
  <c r="O400" i="10" s="1"/>
  <c r="W401" i="10"/>
  <c r="O401" i="10" s="1"/>
  <c r="W402" i="10"/>
  <c r="O402" i="10" s="1"/>
  <c r="W403" i="10"/>
  <c r="O403" i="10" s="1"/>
  <c r="W404" i="10"/>
  <c r="O404" i="10" s="1"/>
  <c r="W405" i="10"/>
  <c r="W406" i="10"/>
  <c r="O406" i="10" s="1"/>
  <c r="W407" i="10"/>
  <c r="O407" i="10" s="1"/>
  <c r="W408" i="10"/>
  <c r="O408" i="10" s="1"/>
  <c r="W409" i="10"/>
  <c r="W410" i="10"/>
  <c r="W411" i="10"/>
  <c r="W412" i="10"/>
  <c r="W423" i="10"/>
  <c r="O423" i="10" s="1"/>
  <c r="W424" i="10"/>
  <c r="O424" i="10" s="1"/>
  <c r="W425" i="10"/>
  <c r="O425" i="10" s="1"/>
  <c r="W426" i="10"/>
  <c r="O426" i="10" s="1"/>
  <c r="W427" i="10"/>
  <c r="O427" i="10" s="1"/>
  <c r="W428" i="10"/>
  <c r="O428" i="10" s="1"/>
  <c r="W429" i="10"/>
  <c r="O429" i="10" s="1"/>
  <c r="W430" i="10"/>
  <c r="W431" i="10"/>
  <c r="O431" i="10" s="1"/>
  <c r="W432" i="10"/>
  <c r="O432" i="10" s="1"/>
  <c r="W433" i="10"/>
  <c r="O433" i="10" s="1"/>
  <c r="W434" i="10"/>
  <c r="W435" i="10"/>
  <c r="W436" i="10"/>
  <c r="W437" i="10"/>
  <c r="W447" i="10"/>
  <c r="O447" i="10" s="1"/>
  <c r="W448" i="10"/>
  <c r="O448" i="10" s="1"/>
  <c r="W449" i="10"/>
  <c r="O449" i="10" s="1"/>
  <c r="W450" i="10"/>
  <c r="O450" i="10" s="1"/>
  <c r="W451" i="10"/>
  <c r="O451" i="10" s="1"/>
  <c r="W452" i="10"/>
  <c r="O452" i="10" s="1"/>
  <c r="W453" i="10"/>
  <c r="O453" i="10" s="1"/>
  <c r="W454" i="10"/>
  <c r="W455" i="10"/>
  <c r="O455" i="10" s="1"/>
  <c r="W456" i="10"/>
  <c r="O456" i="10" s="1"/>
  <c r="W457" i="10"/>
  <c r="O457" i="10" s="1"/>
  <c r="W458" i="10"/>
  <c r="W459" i="10"/>
  <c r="W460" i="10"/>
  <c r="W461" i="10"/>
  <c r="W473" i="10"/>
  <c r="W474" i="10"/>
  <c r="O474" i="10" s="1"/>
  <c r="W475" i="10"/>
  <c r="O475" i="10" s="1"/>
  <c r="W476" i="10"/>
  <c r="O476" i="10" s="1"/>
  <c r="W477" i="10"/>
  <c r="O477" i="10" s="1"/>
  <c r="W478" i="10"/>
  <c r="O478" i="10" s="1"/>
  <c r="W479" i="10"/>
  <c r="O479" i="10" s="1"/>
  <c r="W480" i="10"/>
  <c r="W481" i="10"/>
  <c r="O481" i="10" s="1"/>
  <c r="W482" i="10"/>
  <c r="O482" i="10" s="1"/>
  <c r="W483" i="10"/>
  <c r="O483" i="10" s="1"/>
  <c r="W484" i="10"/>
  <c r="O484" i="10" s="1"/>
  <c r="W485" i="10"/>
  <c r="W486" i="10"/>
  <c r="W487" i="10"/>
  <c r="W488" i="10"/>
  <c r="W499" i="10"/>
  <c r="O499" i="10" s="1"/>
  <c r="W500" i="10"/>
  <c r="O500" i="10" s="1"/>
  <c r="W501" i="10"/>
  <c r="O501" i="10" s="1"/>
  <c r="W502" i="10"/>
  <c r="O502" i="10" s="1"/>
  <c r="W503" i="10"/>
  <c r="O503" i="10" s="1"/>
  <c r="W504" i="10"/>
  <c r="O504" i="10" s="1"/>
  <c r="W505" i="10"/>
  <c r="W506" i="10"/>
  <c r="O506" i="10" s="1"/>
  <c r="W507" i="10"/>
  <c r="O507" i="10" s="1"/>
  <c r="W508" i="10"/>
  <c r="O508" i="10" s="1"/>
  <c r="W509" i="10"/>
  <c r="O509" i="10" s="1"/>
  <c r="W510" i="10"/>
  <c r="W511" i="10"/>
  <c r="W512" i="10"/>
  <c r="W513" i="10"/>
  <c r="W522" i="10"/>
  <c r="W523" i="10"/>
  <c r="O523" i="10" s="1"/>
  <c r="W524" i="10"/>
  <c r="O524" i="10" s="1"/>
  <c r="W525" i="10"/>
  <c r="O525" i="10" s="1"/>
  <c r="W526" i="10"/>
  <c r="O526" i="10" s="1"/>
  <c r="W527" i="10"/>
  <c r="O527" i="10" s="1"/>
  <c r="W528" i="10"/>
  <c r="O528" i="10" s="1"/>
  <c r="W529" i="10"/>
  <c r="W530" i="10"/>
  <c r="O530" i="10" s="1"/>
  <c r="W531" i="10"/>
  <c r="O531" i="10" s="1"/>
  <c r="W532" i="10"/>
  <c r="O532" i="10" s="1"/>
  <c r="W533" i="10"/>
  <c r="O533" i="10" s="1"/>
  <c r="W534" i="10"/>
  <c r="W535" i="10"/>
  <c r="W536" i="10"/>
  <c r="W537" i="10"/>
  <c r="W544" i="10"/>
  <c r="W545" i="10"/>
  <c r="W546" i="10"/>
  <c r="O546" i="10" s="1"/>
  <c r="W547" i="10"/>
  <c r="O547" i="10" s="1"/>
  <c r="W548" i="10"/>
  <c r="O548" i="10" s="1"/>
  <c r="W549" i="10"/>
  <c r="O549" i="10" s="1"/>
  <c r="W550" i="10"/>
  <c r="O550" i="10" s="1"/>
  <c r="W551" i="10"/>
  <c r="O551" i="10" s="1"/>
  <c r="W552" i="10"/>
  <c r="O552" i="10" s="1"/>
  <c r="W553" i="10"/>
  <c r="O553" i="10" s="1"/>
  <c r="W554" i="10"/>
  <c r="O554" i="10" s="1"/>
  <c r="W555" i="10"/>
  <c r="O555" i="10" s="1"/>
  <c r="W556" i="10"/>
  <c r="O556" i="10" s="1"/>
  <c r="W557" i="10"/>
  <c r="W558" i="10"/>
  <c r="W559" i="10"/>
  <c r="W560" i="10"/>
  <c r="W561" i="10"/>
  <c r="W563" i="10"/>
  <c r="W574" i="10"/>
  <c r="W575" i="10"/>
  <c r="O575" i="10" s="1"/>
  <c r="W576" i="10"/>
  <c r="O576" i="10" s="1"/>
  <c r="W577" i="10"/>
  <c r="O577" i="10" s="1"/>
  <c r="W578" i="10"/>
  <c r="O578" i="10" s="1"/>
  <c r="W579" i="10"/>
  <c r="O579" i="10" s="1"/>
  <c r="W580" i="10"/>
  <c r="O580" i="10" s="1"/>
  <c r="W581" i="10"/>
  <c r="O581" i="10" s="1"/>
  <c r="W582" i="10"/>
  <c r="O582" i="10" s="1"/>
  <c r="W583" i="10"/>
  <c r="O583" i="10" s="1"/>
  <c r="W584" i="10"/>
  <c r="O584" i="10" s="1"/>
  <c r="W585" i="10"/>
  <c r="O585" i="10" s="1"/>
  <c r="W586" i="10"/>
  <c r="W587" i="10"/>
  <c r="W588" i="10"/>
  <c r="W589" i="10"/>
  <c r="W597" i="10"/>
  <c r="O597" i="10" s="1"/>
  <c r="W598" i="10"/>
  <c r="O598" i="10" s="1"/>
  <c r="W599" i="10"/>
  <c r="O599" i="10" s="1"/>
  <c r="W600" i="10"/>
  <c r="O600" i="10" s="1"/>
  <c r="W601" i="10"/>
  <c r="O601" i="10" s="1"/>
  <c r="W602" i="10"/>
  <c r="O602" i="10" s="1"/>
  <c r="W603" i="10"/>
  <c r="O603" i="10" s="1"/>
  <c r="W604" i="10"/>
  <c r="O604" i="10" s="1"/>
  <c r="W605" i="10"/>
  <c r="O605" i="10" s="1"/>
  <c r="W606" i="10"/>
  <c r="O606" i="10" s="1"/>
  <c r="W607" i="10"/>
  <c r="O607" i="10" s="1"/>
  <c r="W608" i="10"/>
  <c r="W609" i="10"/>
  <c r="W610" i="10"/>
  <c r="W620" i="10"/>
  <c r="W621" i="10"/>
  <c r="W623" i="10"/>
  <c r="O623" i="10" s="1"/>
  <c r="W624" i="10"/>
  <c r="O624" i="10" s="1"/>
  <c r="W625" i="10"/>
  <c r="O625" i="10" s="1"/>
  <c r="W626" i="10"/>
  <c r="O626" i="10" s="1"/>
  <c r="W627" i="10"/>
  <c r="O627" i="10" s="1"/>
  <c r="W628" i="10"/>
  <c r="O628" i="10" s="1"/>
  <c r="W629" i="10"/>
  <c r="W630" i="10"/>
  <c r="W631" i="10"/>
  <c r="O631" i="10" s="1"/>
  <c r="W632" i="10"/>
  <c r="O632" i="10" s="1"/>
  <c r="W633" i="10"/>
  <c r="O633" i="10" s="1"/>
  <c r="W634" i="10"/>
  <c r="O634" i="10" s="1"/>
  <c r="W635" i="10"/>
  <c r="W636" i="10"/>
  <c r="W637" i="10"/>
  <c r="W638" i="10"/>
  <c r="W639" i="10"/>
  <c r="O639" i="10" s="1"/>
  <c r="W642" i="10"/>
  <c r="W654" i="10"/>
  <c r="W655" i="10"/>
  <c r="O655" i="10" s="1"/>
  <c r="W656" i="10"/>
  <c r="O656" i="10" s="1"/>
  <c r="W657" i="10"/>
  <c r="O657" i="10" s="1"/>
  <c r="W658" i="10"/>
  <c r="O658" i="10" s="1"/>
  <c r="W659" i="10"/>
  <c r="O659" i="10" s="1"/>
  <c r="W660" i="10"/>
  <c r="O660" i="10" s="1"/>
  <c r="W661" i="10"/>
  <c r="W662" i="10"/>
  <c r="O662" i="10" s="1"/>
  <c r="W663" i="10"/>
  <c r="O663" i="10" s="1"/>
  <c r="W664" i="10"/>
  <c r="O664" i="10" s="1"/>
  <c r="W665" i="10"/>
  <c r="O665" i="10" s="1"/>
  <c r="W666" i="10"/>
  <c r="W667" i="10"/>
  <c r="W668" i="10"/>
  <c r="W669" i="10"/>
  <c r="W678" i="10"/>
  <c r="O678" i="10" s="1"/>
  <c r="W679" i="10"/>
  <c r="O679" i="10" s="1"/>
  <c r="W680" i="10"/>
  <c r="O680" i="10" s="1"/>
  <c r="W681" i="10"/>
  <c r="O681" i="10" s="1"/>
  <c r="W682" i="10"/>
  <c r="O682" i="10" s="1"/>
  <c r="W683" i="10"/>
  <c r="O683" i="10" s="1"/>
  <c r="W684" i="10"/>
  <c r="W685" i="10"/>
  <c r="W686" i="10"/>
  <c r="O686" i="10" s="1"/>
  <c r="W687" i="10"/>
  <c r="O687" i="10" s="1"/>
  <c r="W688" i="10"/>
  <c r="O688" i="10" s="1"/>
  <c r="W689" i="10"/>
  <c r="O689" i="10" s="1"/>
  <c r="W690" i="10"/>
  <c r="W691" i="10"/>
  <c r="W692" i="10"/>
  <c r="W693" i="10"/>
  <c r="W694" i="10"/>
  <c r="W697" i="10"/>
  <c r="W708" i="10"/>
  <c r="W709" i="10"/>
  <c r="O709" i="10" s="1"/>
  <c r="W710" i="10"/>
  <c r="O710" i="10" s="1"/>
  <c r="W711" i="10"/>
  <c r="O711" i="10" s="1"/>
  <c r="W712" i="10"/>
  <c r="O712" i="10" s="1"/>
  <c r="W713" i="10"/>
  <c r="O713" i="10" s="1"/>
  <c r="W714" i="10"/>
  <c r="O714" i="10" s="1"/>
  <c r="W715" i="10"/>
  <c r="W716" i="10"/>
  <c r="O716" i="10" s="1"/>
  <c r="W717" i="10"/>
  <c r="O717" i="10" s="1"/>
  <c r="W718" i="10"/>
  <c r="O718" i="10" s="1"/>
  <c r="W719" i="10"/>
  <c r="O719" i="10" s="1"/>
  <c r="W720" i="10"/>
  <c r="W721" i="10"/>
  <c r="W722" i="10"/>
  <c r="W723" i="10"/>
  <c r="W734" i="10"/>
  <c r="O734" i="10" s="1"/>
  <c r="W735" i="10"/>
  <c r="O735" i="10" s="1"/>
  <c r="W736" i="10"/>
  <c r="O736" i="10" s="1"/>
  <c r="W737" i="10"/>
  <c r="O737" i="10" s="1"/>
  <c r="W738" i="10"/>
  <c r="O738" i="10" s="1"/>
  <c r="W739" i="10"/>
  <c r="O739" i="10" s="1"/>
  <c r="W740" i="10"/>
  <c r="W741" i="10"/>
  <c r="W742" i="10"/>
  <c r="O742" i="10" s="1"/>
  <c r="W743" i="10"/>
  <c r="O743" i="10" s="1"/>
  <c r="W744" i="10"/>
  <c r="O744" i="10" s="1"/>
  <c r="W745" i="10"/>
  <c r="O745" i="10" s="1"/>
  <c r="W746" i="10"/>
  <c r="W747" i="10"/>
  <c r="W748" i="10"/>
  <c r="W749" i="10"/>
  <c r="W762" i="10"/>
  <c r="W763" i="10"/>
  <c r="W765" i="10"/>
  <c r="O765" i="10" s="1"/>
  <c r="W766" i="10"/>
  <c r="O766" i="10" s="1"/>
  <c r="W767" i="10"/>
  <c r="O767" i="10" s="1"/>
  <c r="W768" i="10"/>
  <c r="O768" i="10" s="1"/>
  <c r="W769" i="10"/>
  <c r="O769" i="10" s="1"/>
  <c r="W770" i="10"/>
  <c r="O770" i="10" s="1"/>
  <c r="W771" i="10"/>
  <c r="W772" i="10"/>
  <c r="W773" i="10"/>
  <c r="O773" i="10" s="1"/>
  <c r="W774" i="10"/>
  <c r="O774" i="10" s="1"/>
  <c r="W775" i="10"/>
  <c r="O775" i="10" s="1"/>
  <c r="W776" i="10"/>
  <c r="O776" i="10" s="1"/>
  <c r="W777" i="10"/>
  <c r="W778" i="10"/>
  <c r="W779" i="10"/>
  <c r="W791" i="10"/>
  <c r="W792" i="10"/>
  <c r="O792" i="10" s="1"/>
  <c r="W793" i="10"/>
  <c r="O793" i="10" s="1"/>
  <c r="W794" i="10"/>
  <c r="O794" i="10" s="1"/>
  <c r="W795" i="10"/>
  <c r="O795" i="10" s="1"/>
  <c r="W796" i="10"/>
  <c r="O796" i="10" s="1"/>
  <c r="W797" i="10"/>
  <c r="O797" i="10" s="1"/>
  <c r="W798" i="10"/>
  <c r="W799" i="10"/>
  <c r="O799" i="10" s="1"/>
  <c r="W800" i="10"/>
  <c r="O800" i="10" s="1"/>
  <c r="W801" i="10"/>
  <c r="O801" i="10" s="1"/>
  <c r="W802" i="10"/>
  <c r="O802" i="10" s="1"/>
  <c r="W803" i="10"/>
  <c r="W804" i="10"/>
  <c r="W805" i="10"/>
  <c r="W806" i="10"/>
  <c r="W814" i="10"/>
  <c r="O816" i="10"/>
  <c r="O817" i="10"/>
  <c r="O818" i="10"/>
  <c r="O819" i="10"/>
  <c r="O820" i="10"/>
  <c r="O821" i="10"/>
  <c r="O823" i="10"/>
  <c r="O824" i="10"/>
  <c r="O825" i="10"/>
  <c r="O826" i="10"/>
  <c r="W831" i="10"/>
  <c r="S812" i="10"/>
  <c r="S789" i="10"/>
  <c r="S759" i="10"/>
  <c r="S731" i="10"/>
  <c r="S675" i="10"/>
  <c r="S651" i="10"/>
  <c r="S617" i="10"/>
  <c r="S595" i="10"/>
  <c r="S542" i="10"/>
  <c r="S519" i="10"/>
  <c r="S496" i="10"/>
  <c r="S495" i="10"/>
  <c r="S471" i="10"/>
  <c r="S444" i="10"/>
  <c r="S443" i="10"/>
  <c r="S420" i="10"/>
  <c r="S419" i="10"/>
  <c r="S395" i="10"/>
  <c r="S394" i="10"/>
  <c r="S369" i="10"/>
  <c r="S368" i="10"/>
  <c r="S338" i="10"/>
  <c r="S337" i="10"/>
  <c r="S312" i="10"/>
  <c r="S311" i="10"/>
  <c r="S280" i="10"/>
  <c r="S279" i="10"/>
  <c r="S254" i="10"/>
  <c r="S253" i="10"/>
  <c r="S224" i="10"/>
  <c r="S223" i="10"/>
  <c r="S81" i="10"/>
  <c r="S80" i="10"/>
  <c r="S55" i="10"/>
  <c r="S54" i="10"/>
  <c r="S23" i="10"/>
  <c r="S22" i="10"/>
  <c r="G31" i="20" l="1"/>
  <c r="G29" i="20"/>
  <c r="G27" i="20"/>
  <c r="G28" i="20"/>
  <c r="G30" i="20"/>
  <c r="K27" i="32"/>
  <c r="L27" i="32"/>
  <c r="L29" i="32"/>
  <c r="K29" i="32"/>
  <c r="K30" i="32"/>
  <c r="L30" i="32"/>
  <c r="L28" i="32"/>
  <c r="K28" i="32"/>
  <c r="L31" i="32"/>
  <c r="K31" i="32"/>
  <c r="A3" i="10"/>
  <c r="P4" i="10"/>
  <c r="J3" i="10"/>
  <c r="D5" i="10"/>
  <c r="K29" i="20" l="1"/>
  <c r="C31" i="42" s="1"/>
  <c r="B31" i="42"/>
  <c r="L31" i="20"/>
  <c r="B33" i="42"/>
  <c r="K28" i="20"/>
  <c r="C30" i="42" s="1"/>
  <c r="B30" i="42"/>
  <c r="K27" i="20"/>
  <c r="C29" i="42" s="1"/>
  <c r="B29" i="42"/>
  <c r="K30" i="20"/>
  <c r="C32" i="42" s="1"/>
  <c r="B32" i="42"/>
  <c r="T1055" i="10" a="1"/>
  <c r="T1055" i="10" s="1"/>
  <c r="M1055" i="10" s="1"/>
  <c r="O1055" i="10" s="1"/>
  <c r="T545" i="10" a="1"/>
  <c r="T545" i="10" s="1"/>
  <c r="M545" i="10" s="1"/>
  <c r="O545" i="10" s="1"/>
  <c r="T814" i="10" a="1"/>
  <c r="T814" i="10" s="1"/>
  <c r="M814" i="10" s="1"/>
  <c r="O814" i="10" s="1"/>
  <c r="T300" i="10" a="1"/>
  <c r="T300" i="10" s="1"/>
  <c r="M300" i="10" s="1"/>
  <c r="O300" i="10" s="1"/>
  <c r="T815" i="10" a="1"/>
  <c r="T815" i="10" s="1"/>
  <c r="M815" i="10" s="1"/>
  <c r="O815" i="10" s="1"/>
  <c r="T750" i="10" a="1"/>
  <c r="T750" i="10" s="1"/>
  <c r="M750" i="10" s="1"/>
  <c r="O750" i="10" s="1"/>
  <c r="T724" i="10" a="1"/>
  <c r="T724" i="10" s="1"/>
  <c r="M724" i="10" s="1"/>
  <c r="O724" i="10" s="1"/>
  <c r="T695" i="10" a="1"/>
  <c r="T695" i="10" s="1"/>
  <c r="M695" i="10" s="1"/>
  <c r="O695" i="10" s="1"/>
  <c r="T544" i="10" a="1"/>
  <c r="T544" i="10" s="1"/>
  <c r="M544" i="10" s="1"/>
  <c r="O544" i="10" s="1"/>
  <c r="T284" i="10" a="1"/>
  <c r="T284" i="10" s="1"/>
  <c r="M284" i="10" s="1"/>
  <c r="O284" i="10" s="1"/>
  <c r="T227" i="10" a="1"/>
  <c r="T227" i="10" s="1"/>
  <c r="M227" i="10" s="1"/>
  <c r="O227" i="10" s="1"/>
  <c r="T171" i="10" a="1"/>
  <c r="T171" i="10" s="1"/>
  <c r="T228" i="10" a="1"/>
  <c r="T228" i="10" s="1"/>
  <c r="M228" i="10" s="1"/>
  <c r="O228" i="10" s="1"/>
  <c r="T156" i="10" a="1"/>
  <c r="T156" i="10" s="1"/>
  <c r="M156" i="10" s="1"/>
  <c r="O156" i="10" s="1"/>
  <c r="T155" i="10" a="1"/>
  <c r="T155" i="10" s="1"/>
  <c r="M155" i="10" s="1"/>
  <c r="O155" i="10" s="1"/>
  <c r="T639" i="10" a="1"/>
  <c r="T639" i="10" s="1"/>
  <c r="T341" i="10" a="1"/>
  <c r="T341" i="10" s="1"/>
  <c r="M341" i="10" s="1"/>
  <c r="O341" i="10" s="1"/>
  <c r="T342" i="10" a="1"/>
  <c r="T342" i="10" s="1"/>
  <c r="M342" i="10" s="1"/>
  <c r="O342" i="10" s="1"/>
  <c r="T315" i="10" a="1"/>
  <c r="T315" i="10" s="1"/>
  <c r="T283" i="10" a="1"/>
  <c r="T283" i="10" s="1"/>
  <c r="M283" i="10" s="1"/>
  <c r="O283" i="10" s="1"/>
  <c r="T1203" i="10" a="1"/>
  <c r="T1203" i="10" s="1"/>
  <c r="T1200" i="10" a="1"/>
  <c r="T1200" i="10" s="1"/>
  <c r="T1191" i="10" a="1"/>
  <c r="T1191" i="10" s="1"/>
  <c r="T1178" i="10" a="1"/>
  <c r="T1178" i="10" s="1"/>
  <c r="M1178" i="10" s="1"/>
  <c r="O1178" i="10" s="1"/>
  <c r="T1175" i="10" a="1"/>
  <c r="T1175" i="10" s="1"/>
  <c r="M1175" i="10" s="1"/>
  <c r="O1175" i="10" s="1"/>
  <c r="T1172" i="10" a="1"/>
  <c r="T1172" i="10" s="1"/>
  <c r="M1172" i="10" s="1"/>
  <c r="O1172" i="10" s="1"/>
  <c r="T1169" i="10" a="1"/>
  <c r="T1169" i="10" s="1"/>
  <c r="T1167" i="10" a="1"/>
  <c r="T1167" i="10" s="1"/>
  <c r="M1167" i="10" s="1"/>
  <c r="O1167" i="10" s="1"/>
  <c r="T1156" i="10" a="1"/>
  <c r="T1156" i="10" s="1"/>
  <c r="M1156" i="10" s="1"/>
  <c r="O1156" i="10" s="1"/>
  <c r="T1152" i="10" a="1"/>
  <c r="T1152" i="10" s="1"/>
  <c r="M1152" i="10" s="1"/>
  <c r="O1152" i="10" s="1"/>
  <c r="T1215" i="10" a="1"/>
  <c r="T1215" i="10" s="1"/>
  <c r="T1176" i="10" a="1"/>
  <c r="T1176" i="10" s="1"/>
  <c r="T1195" i="10" a="1"/>
  <c r="T1195" i="10" s="1"/>
  <c r="T1162" i="10" a="1"/>
  <c r="T1162" i="10" s="1"/>
  <c r="M1162" i="10" s="1"/>
  <c r="O1162" i="10" s="1"/>
  <c r="T1214" i="10" a="1"/>
  <c r="T1214" i="10" s="1"/>
  <c r="M1214" i="10" s="1"/>
  <c r="O1214" i="10" s="1"/>
  <c r="T1164" i="10" a="1"/>
  <c r="T1164" i="10" s="1"/>
  <c r="M1164" i="10" s="1"/>
  <c r="O1164" i="10" s="1"/>
  <c r="T1146" i="10" a="1"/>
  <c r="T1146" i="10" s="1"/>
  <c r="M1146" i="10" s="1"/>
  <c r="O1146" i="10" s="1"/>
  <c r="T1210" i="10" a="1"/>
  <c r="T1210" i="10" s="1"/>
  <c r="M1210" i="10" s="1"/>
  <c r="O1210" i="10" s="1"/>
  <c r="T1206" i="10" a="1"/>
  <c r="T1206" i="10" s="1"/>
  <c r="T1194" i="10" a="1"/>
  <c r="T1194" i="10" s="1"/>
  <c r="T1187" i="10" a="1"/>
  <c r="T1187" i="10" s="1"/>
  <c r="M1187" i="10" s="1"/>
  <c r="O1187" i="10" s="1"/>
  <c r="T1181" i="10" a="1"/>
  <c r="T1181" i="10" s="1"/>
  <c r="T1158" i="10" a="1"/>
  <c r="T1158" i="10" s="1"/>
  <c r="M1158" i="10" s="1"/>
  <c r="O1158" i="10" s="1"/>
  <c r="T1148" i="10" a="1"/>
  <c r="T1148" i="10" s="1"/>
  <c r="M1148" i="10" s="1"/>
  <c r="O1148" i="10" s="1"/>
  <c r="T1154" i="10" a="1"/>
  <c r="T1154" i="10" s="1"/>
  <c r="M1154" i="10" s="1"/>
  <c r="O1154" i="10" s="1"/>
  <c r="N1157" i="10" s="1"/>
  <c r="T1208" i="10" a="1"/>
  <c r="T1208" i="10" s="1"/>
  <c r="M1208" i="10" s="1"/>
  <c r="O1208" i="10" s="1"/>
  <c r="T1183" i="10" a="1"/>
  <c r="T1183" i="10" s="1"/>
  <c r="M1183" i="10" s="1"/>
  <c r="O1183" i="10" s="1"/>
  <c r="T1165" i="10" a="1"/>
  <c r="T1165" i="10" s="1"/>
  <c r="T1204" i="10" a="1"/>
  <c r="T1204" i="10" s="1"/>
  <c r="M1204" i="10" s="1"/>
  <c r="O1204" i="10" s="1"/>
  <c r="T1159" i="10" a="1"/>
  <c r="T1159" i="10" s="1"/>
  <c r="M1159" i="10" s="1"/>
  <c r="O1159" i="10" s="1"/>
  <c r="T1213" i="10" a="1"/>
  <c r="T1213" i="10" s="1"/>
  <c r="M1213" i="10" s="1"/>
  <c r="O1213" i="10" s="1"/>
  <c r="T1199" i="10" a="1"/>
  <c r="T1199" i="10" s="1"/>
  <c r="M1199" i="10" s="1"/>
  <c r="O1199" i="10" s="1"/>
  <c r="T1184" i="10" a="1"/>
  <c r="T1184" i="10" s="1"/>
  <c r="M1184" i="10" s="1"/>
  <c r="O1184" i="10" s="1"/>
  <c r="T1171" i="10" a="1"/>
  <c r="T1171" i="10" s="1"/>
  <c r="M1171" i="10" s="1"/>
  <c r="O1171" i="10" s="1"/>
  <c r="T1161" i="10" a="1"/>
  <c r="T1161" i="10" s="1"/>
  <c r="T1155" i="10" a="1"/>
  <c r="T1155" i="10" s="1"/>
  <c r="M1155" i="10" s="1"/>
  <c r="O1155" i="10" s="1"/>
  <c r="T1151" i="10" a="1"/>
  <c r="T1151" i="10" s="1"/>
  <c r="M1151" i="10" s="1"/>
  <c r="O1151" i="10" s="1"/>
  <c r="T1147" i="10" a="1"/>
  <c r="T1147" i="10" s="1"/>
  <c r="M1147" i="10" s="1"/>
  <c r="O1147" i="10" s="1"/>
  <c r="T1201" i="10" a="1"/>
  <c r="T1201" i="10" s="1"/>
  <c r="T1188" i="10" a="1"/>
  <c r="T1188" i="10" s="1"/>
  <c r="M1188" i="10" s="1"/>
  <c r="O1188" i="10" s="1"/>
  <c r="T1209" i="10" a="1"/>
  <c r="T1209" i="10" s="1"/>
  <c r="M1209" i="10" s="1"/>
  <c r="O1209" i="10" s="1"/>
  <c r="T1202" i="10" a="1"/>
  <c r="T1202" i="10" s="1"/>
  <c r="M1202" i="10" s="1"/>
  <c r="O1202" i="10" s="1"/>
  <c r="T1196" i="10" a="1"/>
  <c r="T1196" i="10" s="1"/>
  <c r="M1196" i="10" s="1"/>
  <c r="O1196" i="10" s="1"/>
  <c r="T1193" i="10" a="1"/>
  <c r="T1193" i="10" s="1"/>
  <c r="M1193" i="10" s="1"/>
  <c r="O1193" i="10" s="1"/>
  <c r="T1190" i="10" a="1"/>
  <c r="T1190" i="10" s="1"/>
  <c r="M1190" i="10" s="1"/>
  <c r="O1190" i="10" s="1"/>
  <c r="T1180" i="10" a="1"/>
  <c r="T1180" i="10" s="1"/>
  <c r="M1180" i="10" s="1"/>
  <c r="O1180" i="10" s="1"/>
  <c r="T1177" i="10" a="1"/>
  <c r="T1177" i="10" s="1"/>
  <c r="T1174" i="10" a="1"/>
  <c r="T1174" i="10" s="1"/>
  <c r="M1174" i="10" s="1"/>
  <c r="O1174" i="10" s="1"/>
  <c r="T1168" i="10" a="1"/>
  <c r="T1168" i="10" s="1"/>
  <c r="M1168" i="10" s="1"/>
  <c r="O1168" i="10" s="1"/>
  <c r="T1166" i="10" a="1"/>
  <c r="T1166" i="10" s="1"/>
  <c r="M1166" i="10" s="1"/>
  <c r="O1166" i="10" s="1"/>
  <c r="T1163" i="10" a="1"/>
  <c r="T1163" i="10" s="1"/>
  <c r="M1163" i="10" s="1"/>
  <c r="O1163" i="10" s="1"/>
  <c r="T1170" i="10" a="1"/>
  <c r="T1170" i="10" s="1"/>
  <c r="M1170" i="10" s="1"/>
  <c r="O1170" i="10" s="1"/>
  <c r="T1192" i="10" a="1"/>
  <c r="T1192" i="10" s="1"/>
  <c r="M1192" i="10" s="1"/>
  <c r="O1192" i="10" s="1"/>
  <c r="T1179" i="10" a="1"/>
  <c r="T1179" i="10" s="1"/>
  <c r="M1179" i="10" s="1"/>
  <c r="O1179" i="10" s="1"/>
  <c r="T1149" i="10" a="1"/>
  <c r="T1149" i="10" s="1"/>
  <c r="T1197" i="10" a="1"/>
  <c r="T1197" i="10" s="1"/>
  <c r="T1185" i="10" a="1"/>
  <c r="T1185" i="10" s="1"/>
  <c r="T1212" i="10" a="1"/>
  <c r="T1212" i="10" s="1"/>
  <c r="M1212" i="10" s="1"/>
  <c r="T1205" i="10" a="1"/>
  <c r="T1205" i="10" s="1"/>
  <c r="M1205" i="10" s="1"/>
  <c r="O1205" i="10" s="1"/>
  <c r="T1198" i="10" a="1"/>
  <c r="T1198" i="10" s="1"/>
  <c r="M1198" i="10" s="1"/>
  <c r="O1198" i="10" s="1"/>
  <c r="T1186" i="10" a="1"/>
  <c r="T1186" i="10" s="1"/>
  <c r="M1186" i="10" s="1"/>
  <c r="O1186" i="10" s="1"/>
  <c r="T1160" i="10" a="1"/>
  <c r="T1160" i="10" s="1"/>
  <c r="M1160" i="10" s="1"/>
  <c r="O1160" i="10" s="1"/>
  <c r="T1157" i="10" a="1"/>
  <c r="T1157" i="10" s="1"/>
  <c r="T1150" i="10" a="1"/>
  <c r="T1150" i="10" s="1"/>
  <c r="M1150" i="10" s="1"/>
  <c r="O1150" i="10" s="1"/>
  <c r="T1189" i="10" a="1"/>
  <c r="T1189" i="10" s="1"/>
  <c r="T1173" i="10" a="1"/>
  <c r="T1173" i="10" s="1"/>
  <c r="T1211" i="10" a="1"/>
  <c r="T1211" i="10" s="1"/>
  <c r="T1153" i="10" a="1"/>
  <c r="T1153" i="10" s="1"/>
  <c r="T1207" i="10" a="1"/>
  <c r="T1207" i="10" s="1"/>
  <c r="T1182" i="10" a="1"/>
  <c r="T1182" i="10" s="1"/>
  <c r="M1182" i="10" s="1"/>
  <c r="O1182" i="10" s="1"/>
  <c r="K31" i="20"/>
  <c r="C33" i="42" s="1"/>
  <c r="T1024" i="10" a="1"/>
  <c r="T1024" i="10" s="1"/>
  <c r="T1000" i="10" a="1"/>
  <c r="T1000" i="10" s="1"/>
  <c r="T992" i="10" a="1"/>
  <c r="T992" i="10" s="1"/>
  <c r="T968" i="10" a="1"/>
  <c r="T968" i="10" s="1"/>
  <c r="T893" i="10" a="1"/>
  <c r="T893" i="10" s="1"/>
  <c r="T865" i="10" a="1"/>
  <c r="T865" i="10" s="1"/>
  <c r="T838" i="10" a="1"/>
  <c r="T838" i="10" s="1"/>
  <c r="T762" i="10" a="1"/>
  <c r="T762" i="10" s="1"/>
  <c r="T645" i="10" a="1"/>
  <c r="T645" i="10" s="1"/>
  <c r="T653" i="10" a="1"/>
  <c r="T653" i="10" s="1"/>
  <c r="T445" i="10" a="1"/>
  <c r="T445" i="10" s="1"/>
  <c r="T999" i="10" a="1"/>
  <c r="T999" i="10" s="1"/>
  <c r="T991" i="10" a="1"/>
  <c r="T991" i="10" s="1"/>
  <c r="T967" i="10" a="1"/>
  <c r="T967" i="10" s="1"/>
  <c r="T892" i="10" a="1"/>
  <c r="T892" i="10" s="1"/>
  <c r="T864" i="10" a="1"/>
  <c r="T864" i="10" s="1"/>
  <c r="T837" i="10" a="1"/>
  <c r="T837" i="10" s="1"/>
  <c r="T763" i="10" a="1"/>
  <c r="T763" i="10" s="1"/>
  <c r="T419" i="10" a="1"/>
  <c r="T419" i="10" s="1"/>
  <c r="M419" i="10" s="1"/>
  <c r="O419" i="10" s="1"/>
  <c r="T1023" i="10" a="1"/>
  <c r="T1023" i="10" s="1"/>
  <c r="T646" i="10" a="1"/>
  <c r="T646" i="10" s="1"/>
  <c r="T640" i="10" a="1"/>
  <c r="T640" i="10" s="1"/>
  <c r="M640" i="10" s="1"/>
  <c r="O640" i="10" s="1"/>
  <c r="T420" i="10" a="1"/>
  <c r="T420" i="10" s="1"/>
  <c r="M420" i="10" s="1"/>
  <c r="O420" i="10" s="1"/>
  <c r="T1021" i="10" a="1"/>
  <c r="T1021" i="10" s="1"/>
  <c r="T997" i="10" a="1"/>
  <c r="T997" i="10" s="1"/>
  <c r="T870" i="10" a="1"/>
  <c r="T870" i="10" s="1"/>
  <c r="T731" i="10" a="1"/>
  <c r="T731" i="10" s="1"/>
  <c r="M731" i="10" s="1"/>
  <c r="O731" i="10" s="1"/>
  <c r="T369" i="10" a="1"/>
  <c r="T369" i="10" s="1"/>
  <c r="M369" i="10" s="1"/>
  <c r="O369" i="10" s="1"/>
  <c r="T996" i="10" a="1"/>
  <c r="T996" i="10" s="1"/>
  <c r="T843" i="10" a="1"/>
  <c r="T843" i="10" s="1"/>
  <c r="T649" i="10" a="1"/>
  <c r="T649" i="10" s="1"/>
  <c r="T995" i="10" a="1"/>
  <c r="T995" i="10" s="1"/>
  <c r="T842" i="10" a="1"/>
  <c r="T842" i="10" s="1"/>
  <c r="T617" i="10" a="1"/>
  <c r="T617" i="10" s="1"/>
  <c r="M617" i="10" s="1"/>
  <c r="O617" i="10" s="1"/>
  <c r="T1026" i="10" a="1"/>
  <c r="T1026" i="10" s="1"/>
  <c r="T642" i="10" a="1"/>
  <c r="T642" i="10" s="1"/>
  <c r="O642" i="10" s="1"/>
  <c r="T965" i="10" a="1"/>
  <c r="T965" i="10" s="1"/>
  <c r="T648" i="10" a="1"/>
  <c r="T648" i="10" s="1"/>
  <c r="T869" i="10" a="1"/>
  <c r="T869" i="10" s="1"/>
  <c r="T1020" i="10" a="1"/>
  <c r="T1020" i="10" s="1"/>
  <c r="T868" i="10" a="1"/>
  <c r="T868" i="10" s="1"/>
  <c r="T650" i="10" a="1"/>
  <c r="T650" i="10" s="1"/>
  <c r="T1028" i="10" a="1"/>
  <c r="T1028" i="10" s="1"/>
  <c r="T1022" i="10" a="1"/>
  <c r="T1022" i="10" s="1"/>
  <c r="T998" i="10" a="1"/>
  <c r="T998" i="10" s="1"/>
  <c r="T990" i="10" a="1"/>
  <c r="T990" i="10" s="1"/>
  <c r="T966" i="10" a="1"/>
  <c r="T966" i="10" s="1"/>
  <c r="T890" i="10" a="1"/>
  <c r="T890" i="10" s="1"/>
  <c r="T862" i="10" a="1"/>
  <c r="T862" i="10" s="1"/>
  <c r="T836" i="10" a="1"/>
  <c r="T836" i="10" s="1"/>
  <c r="T759" i="10" a="1"/>
  <c r="T759" i="10" s="1"/>
  <c r="M759" i="10" s="1"/>
  <c r="O759" i="10" s="1"/>
  <c r="T647" i="10" a="1"/>
  <c r="T647" i="10" s="1"/>
  <c r="T620" i="10" a="1"/>
  <c r="T620" i="10" s="1"/>
  <c r="T368" i="10" a="1"/>
  <c r="T368" i="10" s="1"/>
  <c r="M368" i="10" s="1"/>
  <c r="O368" i="10" s="1"/>
  <c r="T973" i="10" a="1"/>
  <c r="T973" i="10" s="1"/>
  <c r="T844" i="10" a="1"/>
  <c r="T844" i="10" s="1"/>
  <c r="T835" i="10" a="1"/>
  <c r="T835" i="10" s="1"/>
  <c r="T621" i="10" a="1"/>
  <c r="T621" i="10" s="1"/>
  <c r="T1027" i="10" a="1"/>
  <c r="T1027" i="10" s="1"/>
  <c r="T897" i="10" a="1"/>
  <c r="T897" i="10" s="1"/>
  <c r="T697" i="10" a="1"/>
  <c r="T697" i="10" s="1"/>
  <c r="T971" i="10" a="1"/>
  <c r="T971" i="10" s="1"/>
  <c r="T832" i="10" a="1"/>
  <c r="T832" i="10" s="1"/>
  <c r="T595" i="10" a="1"/>
  <c r="T595" i="10" s="1"/>
  <c r="M595" i="10" s="1"/>
  <c r="O595" i="10" s="1"/>
  <c r="T1025" i="10" a="1"/>
  <c r="T1025" i="10" s="1"/>
  <c r="T1019" i="10" a="1"/>
  <c r="T1019" i="10" s="1"/>
  <c r="T994" i="10" a="1"/>
  <c r="T994" i="10" s="1"/>
  <c r="T970" i="10" a="1"/>
  <c r="T970" i="10" s="1"/>
  <c r="T895" i="10" a="1"/>
  <c r="T895" i="10" s="1"/>
  <c r="T867" i="10" a="1"/>
  <c r="T867" i="10" s="1"/>
  <c r="T841" i="10" a="1"/>
  <c r="T841" i="10" s="1"/>
  <c r="T813" i="10" a="1"/>
  <c r="T813" i="10" s="1"/>
  <c r="T643" i="10" a="1"/>
  <c r="T643" i="10" s="1"/>
  <c r="T651" i="10" a="1"/>
  <c r="T651" i="10" s="1"/>
  <c r="M651" i="10" s="1"/>
  <c r="O651" i="10" s="1"/>
  <c r="T443" i="10" a="1"/>
  <c r="T443" i="10" s="1"/>
  <c r="M443" i="10" s="1"/>
  <c r="O443" i="10" s="1"/>
  <c r="T1018" i="10" a="1"/>
  <c r="T1018" i="10" s="1"/>
  <c r="T993" i="10" a="1"/>
  <c r="T993" i="10" s="1"/>
  <c r="T969" i="10" a="1"/>
  <c r="T969" i="10" s="1"/>
  <c r="T894" i="10" a="1"/>
  <c r="T894" i="10" s="1"/>
  <c r="T866" i="10" a="1"/>
  <c r="T866" i="10" s="1"/>
  <c r="T840" i="10" a="1"/>
  <c r="T840" i="10" s="1"/>
  <c r="T789" i="10" a="1"/>
  <c r="T789" i="10" s="1"/>
  <c r="M789" i="10" s="1"/>
  <c r="O789" i="10" s="1"/>
  <c r="T644" i="10" a="1"/>
  <c r="T644" i="10" s="1"/>
  <c r="M644" i="10" s="1"/>
  <c r="O644" i="10" s="1"/>
  <c r="T652" i="10" a="1"/>
  <c r="T652" i="10" s="1"/>
  <c r="T444" i="10" a="1"/>
  <c r="T444" i="10" s="1"/>
  <c r="M444" i="10" s="1"/>
  <c r="O444" i="10" s="1"/>
  <c r="T972" i="10" a="1"/>
  <c r="T972" i="10" s="1"/>
  <c r="T834" i="10" a="1"/>
  <c r="T834" i="10" s="1"/>
  <c r="T195" i="10" a="1"/>
  <c r="T195" i="10" s="1"/>
  <c r="T896" i="10" a="1"/>
  <c r="T896" i="10" s="1"/>
  <c r="T178" i="10" a="1"/>
  <c r="T178" i="10" s="1"/>
  <c r="T812" i="10" a="1"/>
  <c r="T812" i="10" s="1"/>
  <c r="M812" i="10" s="1"/>
  <c r="O812" i="10" s="1"/>
  <c r="L27" i="20"/>
  <c r="L30" i="20"/>
  <c r="L28" i="20"/>
  <c r="L29" i="20"/>
  <c r="T1108" i="10" a="1"/>
  <c r="T1108" i="10" s="1"/>
  <c r="M1108" i="10" s="1"/>
  <c r="O1108" i="10" s="1"/>
  <c r="T1100" i="10" a="1"/>
  <c r="T1100" i="10" s="1"/>
  <c r="M1100" i="10" s="1"/>
  <c r="O1100" i="10" s="1"/>
  <c r="T1051" i="10" a="1"/>
  <c r="T1051" i="10" s="1"/>
  <c r="M1051" i="10" s="1"/>
  <c r="O1051" i="10" s="1"/>
  <c r="T1105" i="10" a="1"/>
  <c r="T1105" i="10" s="1"/>
  <c r="M1105" i="10" s="1"/>
  <c r="O1105" i="10" s="1"/>
  <c r="T1048" i="10" a="1"/>
  <c r="T1048" i="10" s="1"/>
  <c r="M1048" i="10" s="1"/>
  <c r="O1048" i="10" s="1"/>
  <c r="T1102" i="10" a="1"/>
  <c r="T1102" i="10" s="1"/>
  <c r="M1102" i="10" s="1"/>
  <c r="O1102" i="10" s="1"/>
  <c r="T1053" i="10" a="1"/>
  <c r="T1053" i="10" s="1"/>
  <c r="M1053" i="10" s="1"/>
  <c r="O1053" i="10" s="1"/>
  <c r="T1101" i="10" a="1"/>
  <c r="T1101" i="10" s="1"/>
  <c r="M1101" i="10" s="1"/>
  <c r="O1101" i="10" s="1"/>
  <c r="T1052" i="10" a="1"/>
  <c r="T1052" i="10" s="1"/>
  <c r="M1052" i="10" s="1"/>
  <c r="O1052" i="10" s="1"/>
  <c r="T521" i="10" a="1"/>
  <c r="T521" i="10" s="1"/>
  <c r="M521" i="10" s="1"/>
  <c r="O521" i="10" s="1"/>
  <c r="T1107" i="10" a="1"/>
  <c r="T1107" i="10" s="1"/>
  <c r="M1107" i="10" s="1"/>
  <c r="O1107" i="10" s="1"/>
  <c r="T1099" i="10" a="1"/>
  <c r="T1099" i="10" s="1"/>
  <c r="M1099" i="10" s="1"/>
  <c r="O1099" i="10" s="1"/>
  <c r="T1050" i="10" a="1"/>
  <c r="T1050" i="10" s="1"/>
  <c r="M1050" i="10" s="1"/>
  <c r="O1050" i="10" s="1"/>
  <c r="T1106" i="10" a="1"/>
  <c r="T1106" i="10" s="1"/>
  <c r="M1106" i="10" s="1"/>
  <c r="O1106" i="10" s="1"/>
  <c r="T1049" i="10" a="1"/>
  <c r="T1049" i="10" s="1"/>
  <c r="M1049" i="10" s="1"/>
  <c r="O1049" i="10" s="1"/>
  <c r="T1054" i="10" a="1"/>
  <c r="T1054" i="10" s="1"/>
  <c r="T1104" i="10" a="1"/>
  <c r="T1104" i="10" s="1"/>
  <c r="M1104" i="10" s="1"/>
  <c r="O1104" i="10" s="1"/>
  <c r="T1047" i="10" a="1"/>
  <c r="T1047" i="10" s="1"/>
  <c r="M1047" i="10" s="1"/>
  <c r="O1047" i="10" s="1"/>
  <c r="T1103" i="10" a="1"/>
  <c r="T1103" i="10" s="1"/>
  <c r="M1103" i="10" s="1"/>
  <c r="O1103" i="10" s="1"/>
  <c r="T1046" i="10" a="1"/>
  <c r="T1046" i="10" s="1"/>
  <c r="M1046" i="10" s="1"/>
  <c r="O1046" i="10" s="1"/>
  <c r="T522" i="10" a="1"/>
  <c r="T522" i="10" s="1"/>
  <c r="T394" i="10" a="1"/>
  <c r="T394" i="10" s="1"/>
  <c r="M394" i="10" s="1"/>
  <c r="O394" i="10" s="1"/>
  <c r="T395" i="10" a="1"/>
  <c r="T395" i="10" s="1"/>
  <c r="M395" i="10" s="1"/>
  <c r="O395" i="10" s="1"/>
  <c r="T1125" i="10" a="1"/>
  <c r="T1125" i="10" s="1"/>
  <c r="T944" i="10" a="1"/>
  <c r="T944" i="10" s="1"/>
  <c r="T1130" i="10" a="1"/>
  <c r="T1130" i="10" s="1"/>
  <c r="M1130" i="10" s="1"/>
  <c r="T1124" i="10" a="1"/>
  <c r="T1124" i="10" s="1"/>
  <c r="T949" i="10" a="1"/>
  <c r="T949" i="10" s="1"/>
  <c r="U949" i="10" s="1"/>
  <c r="T943" i="10" a="1"/>
  <c r="T943" i="10" s="1"/>
  <c r="M943" i="10" s="1"/>
  <c r="T945" i="10" a="1"/>
  <c r="T945" i="10" s="1"/>
  <c r="T1129" i="10" a="1"/>
  <c r="T1129" i="10" s="1"/>
  <c r="T948" i="10" a="1"/>
  <c r="T948" i="10" s="1"/>
  <c r="U948" i="10" s="1"/>
  <c r="T947" i="10" a="1"/>
  <c r="T947" i="10" s="1"/>
  <c r="T1126" i="10" a="1"/>
  <c r="T1126" i="10" s="1"/>
  <c r="T1128" i="10" a="1"/>
  <c r="T1128" i="10" s="1"/>
  <c r="M1128" i="10" s="1"/>
  <c r="T946" i="10" a="1"/>
  <c r="T946" i="10" s="1"/>
  <c r="T1127" i="10" a="1"/>
  <c r="T1127" i="10" s="1"/>
  <c r="T1079" i="10" a="1"/>
  <c r="T1079" i="10" s="1"/>
  <c r="T1073" i="10" a="1"/>
  <c r="T1073" i="10" s="1"/>
  <c r="T922" i="10" a="1"/>
  <c r="T922" i="10" s="1"/>
  <c r="T916" i="10" a="1"/>
  <c r="T916" i="10" s="1"/>
  <c r="T1078" i="10" a="1"/>
  <c r="T1078" i="10" s="1"/>
  <c r="M1078" i="10" s="1"/>
  <c r="T1072" i="10" a="1"/>
  <c r="T1072" i="10" s="1"/>
  <c r="T915" i="10" a="1"/>
  <c r="T915" i="10" s="1"/>
  <c r="T1071" i="10" a="1"/>
  <c r="T1071" i="10" s="1"/>
  <c r="T921" i="10" a="1"/>
  <c r="T921" i="10" s="1"/>
  <c r="T914" i="10" a="1"/>
  <c r="T914" i="10" s="1"/>
  <c r="T1077" i="10" a="1"/>
  <c r="T1077" i="10" s="1"/>
  <c r="M1077" i="10" s="1"/>
  <c r="T926" i="10" a="1"/>
  <c r="T926" i="10" s="1"/>
  <c r="T920" i="10" a="1"/>
  <c r="T920" i="10" s="1"/>
  <c r="T1082" i="10" a="1"/>
  <c r="T1082" i="10" s="1"/>
  <c r="M1082" i="10" s="1"/>
  <c r="T1076" i="10" a="1"/>
  <c r="T1076" i="10" s="1"/>
  <c r="T919" i="10" a="1"/>
  <c r="T919" i="10" s="1"/>
  <c r="T1075" i="10" a="1"/>
  <c r="T1075" i="10" s="1"/>
  <c r="T925" i="10" a="1"/>
  <c r="T925" i="10" s="1"/>
  <c r="M925" i="10" s="1"/>
  <c r="T918" i="10" a="1"/>
  <c r="T918" i="10" s="1"/>
  <c r="T1081" i="10" a="1"/>
  <c r="T1081" i="10" s="1"/>
  <c r="M1081" i="10" s="1"/>
  <c r="T1074" i="10" a="1"/>
  <c r="T1074" i="10" s="1"/>
  <c r="T924" i="10" a="1"/>
  <c r="T924" i="10" s="1"/>
  <c r="M924" i="10" s="1"/>
  <c r="T1080" i="10" a="1"/>
  <c r="T1080" i="10" s="1"/>
  <c r="T923" i="10" a="1"/>
  <c r="T923" i="10" s="1"/>
  <c r="T917" i="10" a="1"/>
  <c r="T917" i="10" s="1"/>
  <c r="T28" i="10" a="1"/>
  <c r="T28" i="10" s="1"/>
  <c r="T29" i="10" a="1"/>
  <c r="T29" i="10" s="1"/>
  <c r="O29" i="10" s="1"/>
  <c r="T27" i="10" a="1"/>
  <c r="T27" i="10" s="1"/>
  <c r="T44" i="10" a="1"/>
  <c r="T44" i="10" s="1"/>
  <c r="T519" i="10" a="1"/>
  <c r="T519" i="10" s="1"/>
  <c r="U519" i="10" s="1"/>
  <c r="T313" i="10" a="1"/>
  <c r="T313" i="10" s="1"/>
  <c r="T699" i="10" a="1"/>
  <c r="T699" i="10" s="1"/>
  <c r="M699" i="10" s="1"/>
  <c r="O699" i="10" s="1"/>
  <c r="T360" i="10" a="1"/>
  <c r="T360" i="10" s="1"/>
  <c r="M360" i="10" s="1"/>
  <c r="O360" i="10" s="1"/>
  <c r="T253" i="10" a="1"/>
  <c r="T253" i="10" s="1"/>
  <c r="M253" i="10" s="1"/>
  <c r="O253" i="10" s="1"/>
  <c r="T727" i="10" a="1"/>
  <c r="T727" i="10" s="1"/>
  <c r="M727" i="10" s="1"/>
  <c r="O727" i="10" s="1"/>
  <c r="T676" i="10" a="1"/>
  <c r="T676" i="10" s="1"/>
  <c r="T495" i="10" a="1"/>
  <c r="T495" i="10" s="1"/>
  <c r="U495" i="10" s="1"/>
  <c r="T314" i="10" a="1"/>
  <c r="T314" i="10" s="1"/>
  <c r="T331" i="10" a="1"/>
  <c r="T331" i="10" s="1"/>
  <c r="M331" i="10" s="1"/>
  <c r="O331" i="10" s="1"/>
  <c r="T254" i="10" a="1"/>
  <c r="T254" i="10" s="1"/>
  <c r="M254" i="10" s="1"/>
  <c r="O254" i="10" s="1"/>
  <c r="T223" i="10" a="1"/>
  <c r="T223" i="10" s="1"/>
  <c r="M223" i="10" s="1"/>
  <c r="O223" i="10" s="1"/>
  <c r="T388" i="10" a="1"/>
  <c r="T388" i="10" s="1"/>
  <c r="M388" i="10" s="1"/>
  <c r="O388" i="10" s="1"/>
  <c r="T496" i="10" a="1"/>
  <c r="T496" i="10" s="1"/>
  <c r="U496" i="10" s="1"/>
  <c r="T782" i="10" a="1"/>
  <c r="T782" i="10" s="1"/>
  <c r="M782" i="10" s="1"/>
  <c r="O782" i="10" s="1"/>
  <c r="T303" i="10" a="1"/>
  <c r="T303" i="10" s="1"/>
  <c r="M303" i="10" s="1"/>
  <c r="O303" i="10" s="1"/>
  <c r="T675" i="10" a="1"/>
  <c r="T675" i="10" s="1"/>
  <c r="M675" i="10" s="1"/>
  <c r="O675" i="10" s="1"/>
  <c r="T224" i="10" a="1"/>
  <c r="T224" i="10" s="1"/>
  <c r="M224" i="10" s="1"/>
  <c r="O224" i="10" s="1"/>
  <c r="T471" i="10" a="1"/>
  <c r="T471" i="10" s="1"/>
  <c r="U471" i="10" s="1"/>
  <c r="T764" i="10" a="1"/>
  <c r="T764" i="10" s="1"/>
  <c r="M764" i="10" s="1"/>
  <c r="O764" i="10" s="1"/>
  <c r="T622" i="10" a="1"/>
  <c r="T622" i="10" s="1"/>
  <c r="M622" i="10" s="1"/>
  <c r="O622" i="10" s="1"/>
  <c r="T273" i="10" a="1"/>
  <c r="T273" i="10" s="1"/>
  <c r="M273" i="10" s="1"/>
  <c r="O273" i="10" s="1"/>
  <c r="T413" i="10" a="1"/>
  <c r="T413" i="10" s="1"/>
  <c r="M413" i="10" s="1"/>
  <c r="O413" i="10" s="1"/>
  <c r="T312" i="10" a="1"/>
  <c r="T312" i="10" s="1"/>
  <c r="M312" i="10" s="1"/>
  <c r="O312" i="10" s="1"/>
  <c r="T807" i="10" a="1"/>
  <c r="T807" i="10" s="1"/>
  <c r="M807" i="10" s="1"/>
  <c r="O807" i="10" s="1"/>
  <c r="T337" i="10" a="1"/>
  <c r="T337" i="10" s="1"/>
  <c r="M337" i="10" s="1"/>
  <c r="O337" i="10" s="1"/>
  <c r="T755" i="10" a="1"/>
  <c r="T755" i="10" s="1"/>
  <c r="T279" i="10" a="1"/>
  <c r="T279" i="10" s="1"/>
  <c r="M279" i="10" s="1"/>
  <c r="O279" i="10" s="1"/>
  <c r="T563" i="10" a="1"/>
  <c r="T563" i="10" s="1"/>
  <c r="T99" i="10" a="1"/>
  <c r="T99" i="10" s="1"/>
  <c r="T338" i="10" a="1"/>
  <c r="T338" i="10" s="1"/>
  <c r="M338" i="10" s="1"/>
  <c r="O338" i="10" s="1"/>
  <c r="T752" i="10" a="1"/>
  <c r="T752" i="10" s="1"/>
  <c r="M752" i="10" s="1"/>
  <c r="O752" i="10" s="1"/>
  <c r="T438" i="10" a="1"/>
  <c r="T438" i="10" s="1"/>
  <c r="T280" i="10" a="1"/>
  <c r="T280" i="10" s="1"/>
  <c r="M280" i="10" s="1"/>
  <c r="O280" i="10" s="1"/>
  <c r="T311" i="10" a="1"/>
  <c r="T311" i="10" s="1"/>
  <c r="M311" i="10" s="1"/>
  <c r="O311" i="10" s="1"/>
  <c r="T542" i="10" a="1"/>
  <c r="T542" i="10" s="1"/>
  <c r="M542" i="10" s="1"/>
  <c r="O542" i="10" s="1"/>
  <c r="T76" i="10" a="1"/>
  <c r="T76" i="10" s="1"/>
  <c r="T49" i="10" a="1"/>
  <c r="T49" i="10" s="1"/>
  <c r="T53" i="10" a="1"/>
  <c r="T53" i="10" s="1"/>
  <c r="T57" i="10" a="1"/>
  <c r="T57" i="10" s="1"/>
  <c r="T82" i="10" a="1"/>
  <c r="T82" i="10" s="1"/>
  <c r="T84" i="10" a="1"/>
  <c r="T84" i="10" s="1"/>
  <c r="T83" i="10" a="1"/>
  <c r="T83" i="10" s="1"/>
  <c r="T50" i="10" a="1"/>
  <c r="T50" i="10" s="1"/>
  <c r="T54" i="10" a="1"/>
  <c r="T54" i="10" s="1"/>
  <c r="T58" i="10" a="1"/>
  <c r="T58" i="10" s="1"/>
  <c r="T47" i="10" a="1"/>
  <c r="T47" i="10" s="1"/>
  <c r="T51" i="10" a="1"/>
  <c r="T51" i="10" s="1"/>
  <c r="T55" i="10" a="1"/>
  <c r="T55" i="10" s="1"/>
  <c r="T23" i="10" a="1"/>
  <c r="T23" i="10" s="1"/>
  <c r="M23" i="10" s="1"/>
  <c r="T24" i="10" a="1"/>
  <c r="T24" i="10" s="1"/>
  <c r="T77" i="10" a="1"/>
  <c r="T77" i="10" s="1"/>
  <c r="T22" i="10" a="1"/>
  <c r="T22" i="10" s="1"/>
  <c r="T79" i="10" a="1"/>
  <c r="T79" i="10" s="1"/>
  <c r="T80" i="10" a="1"/>
  <c r="T80" i="10" s="1"/>
  <c r="U80" i="10" s="1"/>
  <c r="M80" i="10" s="1"/>
  <c r="T48" i="10" a="1"/>
  <c r="T48" i="10" s="1"/>
  <c r="T52" i="10" a="1"/>
  <c r="T52" i="10" s="1"/>
  <c r="T56" i="10" a="1"/>
  <c r="T56" i="10" s="1"/>
  <c r="T25" i="10" a="1"/>
  <c r="T25" i="10" s="1"/>
  <c r="T81" i="10" a="1"/>
  <c r="T81" i="10" s="1"/>
  <c r="U81" i="10" s="1"/>
  <c r="M81" i="10" s="1"/>
  <c r="T26" i="10" a="1"/>
  <c r="T26" i="10" s="1"/>
  <c r="T78" i="10" a="1"/>
  <c r="T78" i="10" s="1"/>
  <c r="T811" i="10" a="1"/>
  <c r="T811" i="10" s="1"/>
  <c r="T785" i="10" a="1"/>
  <c r="T785" i="10" s="1"/>
  <c r="T756" i="10" a="1"/>
  <c r="T756" i="10" s="1"/>
  <c r="T728" i="10" a="1"/>
  <c r="T728" i="10" s="1"/>
  <c r="T703" i="10" a="1"/>
  <c r="T703" i="10" s="1"/>
  <c r="T674" i="10" a="1"/>
  <c r="T674" i="10" s="1"/>
  <c r="T619" i="10" a="1"/>
  <c r="T619" i="10" s="1"/>
  <c r="T596" i="10" a="1"/>
  <c r="T596" i="10" s="1"/>
  <c r="T571" i="10" a="1"/>
  <c r="T571" i="10" s="1"/>
  <c r="T562" i="10" a="1"/>
  <c r="T562" i="10" s="1"/>
  <c r="T517" i="10" a="1"/>
  <c r="T517" i="10" s="1"/>
  <c r="T492" i="10" a="1"/>
  <c r="T492" i="10" s="1"/>
  <c r="T467" i="10" a="1"/>
  <c r="T467" i="10" s="1"/>
  <c r="T442" i="10" a="1"/>
  <c r="T442" i="10" s="1"/>
  <c r="T416" i="10" a="1"/>
  <c r="T416" i="10" s="1"/>
  <c r="T390" i="10" a="1"/>
  <c r="T390" i="10" s="1"/>
  <c r="T363" i="10" a="1"/>
  <c r="T363" i="10" s="1"/>
  <c r="T335" i="10" a="1"/>
  <c r="T335" i="10" s="1"/>
  <c r="T308" i="10" a="1"/>
  <c r="T308" i="10" s="1"/>
  <c r="T281" i="10" a="1"/>
  <c r="T281" i="10" s="1"/>
  <c r="T252" i="10" a="1"/>
  <c r="T252" i="10" s="1"/>
  <c r="T244" i="10" a="1"/>
  <c r="T244" i="10" s="1"/>
  <c r="T185" i="10" a="1"/>
  <c r="T185" i="10" s="1"/>
  <c r="T153" i="10" a="1"/>
  <c r="T153" i="10" s="1"/>
  <c r="T130" i="10" a="1"/>
  <c r="T130" i="10" s="1"/>
  <c r="T106" i="10" a="1"/>
  <c r="T106" i="10" s="1"/>
  <c r="T46" i="10" a="1"/>
  <c r="T46" i="10" s="1"/>
  <c r="T18" i="10" a="1"/>
  <c r="T18" i="10" s="1"/>
  <c r="T725" i="10" a="1"/>
  <c r="T725" i="10" s="1"/>
  <c r="T672" i="10" a="1"/>
  <c r="T672" i="10" s="1"/>
  <c r="T593" i="10" a="1"/>
  <c r="T593" i="10" s="1"/>
  <c r="T569" i="10" a="1"/>
  <c r="T569" i="10" s="1"/>
  <c r="T515" i="10" a="1"/>
  <c r="T515" i="10" s="1"/>
  <c r="T440" i="10" a="1"/>
  <c r="T440" i="10" s="1"/>
  <c r="T371" i="10" a="1"/>
  <c r="T371" i="10" s="1"/>
  <c r="T306" i="10" a="1"/>
  <c r="T306" i="10" s="1"/>
  <c r="T277" i="10" a="1"/>
  <c r="T277" i="10" s="1"/>
  <c r="T176" i="10" a="1"/>
  <c r="T176" i="10" s="1"/>
  <c r="T104" i="10" a="1"/>
  <c r="T104" i="10" s="1"/>
  <c r="T810" i="10" a="1"/>
  <c r="T810" i="10" s="1"/>
  <c r="T784" i="10" a="1"/>
  <c r="T784" i="10" s="1"/>
  <c r="T754" i="10" a="1"/>
  <c r="T754" i="10" s="1"/>
  <c r="T726" i="10" a="1"/>
  <c r="T726" i="10" s="1"/>
  <c r="T702" i="10" a="1"/>
  <c r="T702" i="10" s="1"/>
  <c r="T673" i="10" a="1"/>
  <c r="T673" i="10" s="1"/>
  <c r="T618" i="10" a="1"/>
  <c r="T618" i="10" s="1"/>
  <c r="T594" i="10" a="1"/>
  <c r="T594" i="10" s="1"/>
  <c r="T570" i="10" a="1"/>
  <c r="T570" i="10" s="1"/>
  <c r="T543" i="10" a="1"/>
  <c r="T543" i="10" s="1"/>
  <c r="T516" i="10" a="1"/>
  <c r="T516" i="10" s="1"/>
  <c r="T491" i="10" a="1"/>
  <c r="T491" i="10" s="1"/>
  <c r="T466" i="10" a="1"/>
  <c r="T466" i="10" s="1"/>
  <c r="T441" i="10" a="1"/>
  <c r="T441" i="10" s="1"/>
  <c r="T415" i="10" a="1"/>
  <c r="T415" i="10" s="1"/>
  <c r="T389" i="10" a="1"/>
  <c r="T389" i="10" s="1"/>
  <c r="T362" i="10" a="1"/>
  <c r="T362" i="10" s="1"/>
  <c r="T334" i="10" a="1"/>
  <c r="T334" i="10" s="1"/>
  <c r="T307" i="10" a="1"/>
  <c r="T307" i="10" s="1"/>
  <c r="T278" i="10" a="1"/>
  <c r="T278" i="10" s="1"/>
  <c r="T251" i="10" a="1"/>
  <c r="T251" i="10" s="1"/>
  <c r="T226" i="10" a="1"/>
  <c r="T226" i="10" s="1"/>
  <c r="T202" i="10" a="1"/>
  <c r="T202" i="10" s="1"/>
  <c r="T177" i="10" a="1"/>
  <c r="T177" i="10" s="1"/>
  <c r="T152" i="10" a="1"/>
  <c r="T152" i="10" s="1"/>
  <c r="T129" i="10" a="1"/>
  <c r="T129" i="10" s="1"/>
  <c r="T105" i="10" a="1"/>
  <c r="T105" i="10" s="1"/>
  <c r="T45" i="10" a="1"/>
  <c r="T45" i="10" s="1"/>
  <c r="T17" i="10" a="1"/>
  <c r="T17" i="10" s="1"/>
  <c r="T809" i="10" a="1"/>
  <c r="T809" i="10" s="1"/>
  <c r="T753" i="10" a="1"/>
  <c r="T753" i="10" s="1"/>
  <c r="T701" i="10" a="1"/>
  <c r="T701" i="10" s="1"/>
  <c r="T616" i="10" a="1"/>
  <c r="T616" i="10" s="1"/>
  <c r="T541" i="10" a="1"/>
  <c r="T541" i="10" s="1"/>
  <c r="T465" i="10" a="1"/>
  <c r="T465" i="10" s="1"/>
  <c r="T414" i="10" a="1"/>
  <c r="T414" i="10" s="1"/>
  <c r="T333" i="10" a="1"/>
  <c r="T333" i="10" s="1"/>
  <c r="T250" i="10" a="1"/>
  <c r="T250" i="10" s="1"/>
  <c r="T201" i="10" a="1"/>
  <c r="T201" i="10" s="1"/>
  <c r="T128" i="10" a="1"/>
  <c r="T128" i="10" s="1"/>
  <c r="T783" i="10" a="1"/>
  <c r="T783" i="10" s="1"/>
  <c r="T490" i="10" a="1"/>
  <c r="T490" i="10" s="1"/>
  <c r="T361" i="10" a="1"/>
  <c r="T361" i="10" s="1"/>
  <c r="T225" i="10" a="1"/>
  <c r="T225" i="10" s="1"/>
  <c r="T151" i="10" a="1"/>
  <c r="T151" i="10" s="1"/>
  <c r="T808" i="10" a="1"/>
  <c r="T808" i="10" s="1"/>
  <c r="T781" i="10" a="1"/>
  <c r="T781" i="10" s="1"/>
  <c r="T751" i="10" a="1"/>
  <c r="T751" i="10" s="1"/>
  <c r="T700" i="10" a="1"/>
  <c r="T700" i="10" s="1"/>
  <c r="T671" i="10" a="1"/>
  <c r="T671" i="10" s="1"/>
  <c r="T615" i="10" a="1"/>
  <c r="T615" i="10" s="1"/>
  <c r="T592" i="10" a="1"/>
  <c r="T592" i="10" s="1"/>
  <c r="T568" i="10" a="1"/>
  <c r="T568" i="10" s="1"/>
  <c r="T540" i="10" a="1"/>
  <c r="T540" i="10" s="1"/>
  <c r="T514" i="10" a="1"/>
  <c r="T514" i="10" s="1"/>
  <c r="T489" i="10" a="1"/>
  <c r="T489" i="10" s="1"/>
  <c r="T464" i="10" a="1"/>
  <c r="T464" i="10" s="1"/>
  <c r="T439" i="10" a="1"/>
  <c r="T439" i="10" s="1"/>
  <c r="T397" i="10" a="1"/>
  <c r="T397" i="10" s="1"/>
  <c r="T370" i="10" a="1"/>
  <c r="T370" i="10" s="1"/>
  <c r="T359" i="10" a="1"/>
  <c r="T359" i="10" s="1"/>
  <c r="T332" i="10" a="1"/>
  <c r="T332" i="10" s="1"/>
  <c r="T305" i="10" a="1"/>
  <c r="T305" i="10" s="1"/>
  <c r="T276" i="10" a="1"/>
  <c r="T276" i="10" s="1"/>
  <c r="T249" i="10" a="1"/>
  <c r="T249" i="10" s="1"/>
  <c r="T222" i="10" a="1"/>
  <c r="T222" i="10" s="1"/>
  <c r="T200" i="10" a="1"/>
  <c r="T200" i="10" s="1"/>
  <c r="T175" i="10" a="1"/>
  <c r="T175" i="10" s="1"/>
  <c r="T150" i="10" a="1"/>
  <c r="T150" i="10" s="1"/>
  <c r="T127" i="10" a="1"/>
  <c r="T127" i="10" s="1"/>
  <c r="T103" i="10" a="1"/>
  <c r="T103" i="10" s="1"/>
  <c r="T758" i="10" a="1"/>
  <c r="T758" i="10" s="1"/>
  <c r="T705" i="10" a="1"/>
  <c r="T705" i="10" s="1"/>
  <c r="T612" i="10" a="1"/>
  <c r="T612" i="10" s="1"/>
  <c r="T565" i="10" a="1"/>
  <c r="T565" i="10" s="1"/>
  <c r="T494" i="10" a="1"/>
  <c r="T494" i="10" s="1"/>
  <c r="T446" i="10" a="1"/>
  <c r="T446" i="10" s="1"/>
  <c r="T392" i="10" a="1"/>
  <c r="T392" i="10" s="1"/>
  <c r="T339" i="10" a="1"/>
  <c r="T339" i="10" s="1"/>
  <c r="T301" i="10" a="1"/>
  <c r="T301" i="10" s="1"/>
  <c r="T246" i="10" a="1"/>
  <c r="T246" i="10" s="1"/>
  <c r="T172" i="10" a="1"/>
  <c r="T172" i="10" s="1"/>
  <c r="T108" i="10" a="1"/>
  <c r="T108" i="10" s="1"/>
  <c r="T75" i="10" a="1"/>
  <c r="T75" i="10" s="1"/>
  <c r="T20" i="10" a="1"/>
  <c r="T20" i="10" s="1"/>
  <c r="T199" i="10" a="1"/>
  <c r="T199" i="10" s="1"/>
  <c r="T101" i="10" a="1"/>
  <c r="T101" i="10" s="1"/>
  <c r="T520" i="10" a="1"/>
  <c r="T520" i="10" s="1"/>
  <c r="T147" i="10" a="1"/>
  <c r="T147" i="10" s="1"/>
  <c r="T786" i="10" a="1"/>
  <c r="T786" i="10" s="1"/>
  <c r="T572" i="10" a="1"/>
  <c r="T572" i="10" s="1"/>
  <c r="T417" i="10" a="1"/>
  <c r="T417" i="10" s="1"/>
  <c r="T255" i="10" a="1"/>
  <c r="T255" i="10" s="1"/>
  <c r="T131" i="10" a="1"/>
  <c r="T131" i="10" s="1"/>
  <c r="T463" i="10" a="1"/>
  <c r="T463" i="10" s="1"/>
  <c r="T462" i="10" a="1"/>
  <c r="T462" i="10" s="1"/>
  <c r="T757" i="10" a="1"/>
  <c r="T757" i="10" s="1"/>
  <c r="T704" i="10" a="1"/>
  <c r="T704" i="10" s="1"/>
  <c r="T564" i="10" a="1"/>
  <c r="T564" i="10" s="1"/>
  <c r="T493" i="10" a="1"/>
  <c r="T493" i="10" s="1"/>
  <c r="T391" i="10" a="1"/>
  <c r="T391" i="10" s="1"/>
  <c r="T336" i="10" a="1"/>
  <c r="T336" i="10" s="1"/>
  <c r="T282" i="10" a="1"/>
  <c r="T282" i="10" s="1"/>
  <c r="T245" i="10" a="1"/>
  <c r="T245" i="10" s="1"/>
  <c r="T154" i="10" a="1"/>
  <c r="T154" i="10" s="1"/>
  <c r="T107" i="10" a="1"/>
  <c r="T107" i="10" s="1"/>
  <c r="T19" i="10" a="1"/>
  <c r="T19" i="10" s="1"/>
  <c r="T102" i="10" a="1"/>
  <c r="T102" i="10" s="1"/>
  <c r="T573" i="10" a="1"/>
  <c r="T573" i="10" s="1"/>
  <c r="T219" i="10" a="1"/>
  <c r="T219" i="10" s="1"/>
  <c r="T309" i="10" a="1"/>
  <c r="T309" i="10" s="1"/>
  <c r="T707" i="10" a="1"/>
  <c r="T707" i="10" s="1"/>
  <c r="T396" i="10" a="1"/>
  <c r="T396" i="10" s="1"/>
  <c r="T174" i="10" a="1"/>
  <c r="T174" i="10" s="1"/>
  <c r="T566" i="10" a="1"/>
  <c r="T566" i="10" s="1"/>
  <c r="T340" i="10" a="1"/>
  <c r="T340" i="10" s="1"/>
  <c r="T790" i="10" a="1"/>
  <c r="T790" i="10" s="1"/>
  <c r="T733" i="10" a="1"/>
  <c r="T733" i="10" s="1"/>
  <c r="T698" i="10" a="1"/>
  <c r="T698" i="10" s="1"/>
  <c r="T591" i="10" a="1"/>
  <c r="T591" i="10" s="1"/>
  <c r="T539" i="10" a="1"/>
  <c r="T539" i="10" s="1"/>
  <c r="T472" i="10" a="1"/>
  <c r="T472" i="10" s="1"/>
  <c r="T422" i="10" a="1"/>
  <c r="T422" i="10" s="1"/>
  <c r="T367" i="10" a="1"/>
  <c r="T367" i="10" s="1"/>
  <c r="T275" i="10" a="1"/>
  <c r="T275" i="10" s="1"/>
  <c r="T221" i="10" a="1"/>
  <c r="T221" i="10" s="1"/>
  <c r="T149" i="10" a="1"/>
  <c r="T149" i="10" s="1"/>
  <c r="T787" i="10" a="1"/>
  <c r="T787" i="10" s="1"/>
  <c r="T677" i="10" a="1"/>
  <c r="T677" i="10" s="1"/>
  <c r="T469" i="10" a="1"/>
  <c r="T469" i="10" s="1"/>
  <c r="T365" i="10" a="1"/>
  <c r="T365" i="10" s="1"/>
  <c r="T256" i="10" a="1"/>
  <c r="T256" i="10" s="1"/>
  <c r="T100" i="10" a="1"/>
  <c r="T100" i="10" s="1"/>
  <c r="T468" i="10" a="1"/>
  <c r="T468" i="10" s="1"/>
  <c r="T761" i="10" a="1"/>
  <c r="T761" i="10" s="1"/>
  <c r="T670" i="10" a="1"/>
  <c r="T670" i="10" s="1"/>
  <c r="T567" i="10" a="1"/>
  <c r="T567" i="10" s="1"/>
  <c r="T304" i="10" a="1"/>
  <c r="T304" i="10" s="1"/>
  <c r="T248" i="10" a="1"/>
  <c r="T248" i="10" s="1"/>
  <c r="T706" i="10" a="1"/>
  <c r="T706" i="10" s="1"/>
  <c r="T497" i="10" a="1"/>
  <c r="T497" i="10" s="1"/>
  <c r="T393" i="10" a="1"/>
  <c r="T393" i="10" s="1"/>
  <c r="T247" i="10" a="1"/>
  <c r="T247" i="10" s="1"/>
  <c r="T109" i="10" a="1"/>
  <c r="T109" i="10" s="1"/>
  <c r="T788" i="10" a="1"/>
  <c r="T788" i="10" s="1"/>
  <c r="T732" i="10" a="1"/>
  <c r="T732" i="10" s="1"/>
  <c r="T696" i="10" a="1"/>
  <c r="T696" i="10" s="1"/>
  <c r="T590" i="10" a="1"/>
  <c r="T590" i="10" s="1"/>
  <c r="T538" i="10" a="1"/>
  <c r="T538" i="10" s="1"/>
  <c r="T470" i="10" a="1"/>
  <c r="T470" i="10" s="1"/>
  <c r="T421" i="10" a="1"/>
  <c r="T421" i="10" s="1"/>
  <c r="T366" i="10" a="1"/>
  <c r="T366" i="10" s="1"/>
  <c r="T274" i="10" a="1"/>
  <c r="T274" i="10" s="1"/>
  <c r="T220" i="10" a="1"/>
  <c r="T220" i="10" s="1"/>
  <c r="T198" i="10" a="1"/>
  <c r="T198" i="10" s="1"/>
  <c r="T148" i="10" a="1"/>
  <c r="T148" i="10" s="1"/>
  <c r="T730" i="10" a="1"/>
  <c r="T730" i="10" s="1"/>
  <c r="T418" i="10" a="1"/>
  <c r="T418" i="10" s="1"/>
  <c r="T310" i="10" a="1"/>
  <c r="T310" i="10" s="1"/>
  <c r="T197" i="10" a="1"/>
  <c r="T197" i="10" s="1"/>
  <c r="T729" i="10" a="1"/>
  <c r="T729" i="10" s="1"/>
  <c r="T641" i="10" a="1"/>
  <c r="T641" i="10" s="1"/>
  <c r="T518" i="10" a="1"/>
  <c r="T518" i="10" s="1"/>
  <c r="T364" i="10" a="1"/>
  <c r="T364" i="10" s="1"/>
  <c r="T196" i="10" a="1"/>
  <c r="T196" i="10" s="1"/>
  <c r="T614" i="10" a="1"/>
  <c r="T614" i="10" s="1"/>
  <c r="T498" i="10" a="1"/>
  <c r="T498" i="10" s="1"/>
  <c r="T358" i="10" a="1"/>
  <c r="T358" i="10" s="1"/>
  <c r="T126" i="10" a="1"/>
  <c r="T126" i="10" s="1"/>
  <c r="T760" i="10" a="1"/>
  <c r="T760" i="10" s="1"/>
  <c r="T613" i="10" a="1"/>
  <c r="T613" i="10" s="1"/>
  <c r="T302" i="10" a="1"/>
  <c r="T302" i="10" s="1"/>
  <c r="T173" i="10" a="1"/>
  <c r="T173" i="10" s="1"/>
  <c r="T21" i="10" a="1"/>
  <c r="T21" i="10" s="1"/>
  <c r="B9" i="10"/>
  <c r="J4" i="10"/>
  <c r="C4" i="10"/>
  <c r="D4" i="10"/>
  <c r="E4" i="10"/>
  <c r="F4" i="10"/>
  <c r="G4" i="10"/>
  <c r="H4" i="10"/>
  <c r="I4" i="10"/>
  <c r="B4" i="10"/>
  <c r="D3" i="10"/>
  <c r="E3" i="10"/>
  <c r="G3" i="10"/>
  <c r="H3" i="10"/>
  <c r="K3" i="10"/>
  <c r="N3" i="10" s="1" a="1"/>
  <c r="N3" i="10" s="1"/>
  <c r="C3" i="10"/>
  <c r="B3" i="10"/>
  <c r="P99" i="10"/>
  <c r="P100" i="10"/>
  <c r="P101" i="10"/>
  <c r="P102" i="10"/>
  <c r="P103" i="10"/>
  <c r="P104" i="10"/>
  <c r="P105" i="10"/>
  <c r="P106" i="10"/>
  <c r="P107" i="10"/>
  <c r="P108" i="10"/>
  <c r="P109" i="10"/>
  <c r="P110" i="10"/>
  <c r="P111" i="10"/>
  <c r="P112" i="10"/>
  <c r="P113" i="10"/>
  <c r="P114" i="10"/>
  <c r="P115" i="10"/>
  <c r="P116" i="10"/>
  <c r="P117" i="10"/>
  <c r="P118" i="10"/>
  <c r="P119" i="10"/>
  <c r="P120" i="10"/>
  <c r="P121" i="10"/>
  <c r="P122" i="10"/>
  <c r="P123" i="10"/>
  <c r="P124" i="10"/>
  <c r="P125" i="10"/>
  <c r="P126" i="10"/>
  <c r="P127" i="10"/>
  <c r="P128" i="10"/>
  <c r="P129" i="10"/>
  <c r="P130" i="10"/>
  <c r="P131" i="10"/>
  <c r="P132" i="10"/>
  <c r="P133" i="10"/>
  <c r="P134" i="10"/>
  <c r="P135" i="10"/>
  <c r="P136" i="10"/>
  <c r="P137" i="10"/>
  <c r="P138" i="10"/>
  <c r="P139" i="10"/>
  <c r="P140" i="10"/>
  <c r="P141" i="10"/>
  <c r="P142" i="10"/>
  <c r="P143" i="10"/>
  <c r="P144" i="10"/>
  <c r="P145" i="10"/>
  <c r="P146" i="10"/>
  <c r="P147" i="10"/>
  <c r="P148" i="10"/>
  <c r="P149" i="10"/>
  <c r="P150" i="10"/>
  <c r="P151" i="10"/>
  <c r="P152" i="10"/>
  <c r="P153" i="10"/>
  <c r="P154" i="10"/>
  <c r="P155" i="10"/>
  <c r="P156" i="10"/>
  <c r="P157" i="10"/>
  <c r="P158" i="10"/>
  <c r="P159" i="10"/>
  <c r="P160" i="10"/>
  <c r="P161" i="10"/>
  <c r="P162" i="10"/>
  <c r="P163" i="10"/>
  <c r="P164" i="10"/>
  <c r="P165" i="10"/>
  <c r="P166" i="10"/>
  <c r="P167" i="10"/>
  <c r="P168" i="10"/>
  <c r="P169" i="10"/>
  <c r="P170" i="10"/>
  <c r="P171" i="10"/>
  <c r="P172" i="10"/>
  <c r="P173" i="10"/>
  <c r="P174" i="10"/>
  <c r="P175" i="10"/>
  <c r="P176" i="10"/>
  <c r="P177" i="10"/>
  <c r="P178" i="10"/>
  <c r="P179" i="10"/>
  <c r="P180" i="10"/>
  <c r="P181" i="10"/>
  <c r="P182" i="10"/>
  <c r="P183" i="10"/>
  <c r="P184" i="10"/>
  <c r="P185" i="10"/>
  <c r="P186" i="10"/>
  <c r="P187" i="10"/>
  <c r="P188" i="10"/>
  <c r="P189" i="10"/>
  <c r="P190" i="10"/>
  <c r="P191" i="10"/>
  <c r="P192" i="10"/>
  <c r="P193" i="10"/>
  <c r="P194" i="10"/>
  <c r="P195" i="10"/>
  <c r="P196" i="10"/>
  <c r="P197" i="10"/>
  <c r="P198" i="10"/>
  <c r="P199" i="10"/>
  <c r="P200" i="10"/>
  <c r="P201" i="10"/>
  <c r="P202" i="10"/>
  <c r="P203" i="10"/>
  <c r="P204" i="10"/>
  <c r="P205" i="10"/>
  <c r="P206" i="10"/>
  <c r="P207" i="10"/>
  <c r="P208" i="10"/>
  <c r="P209" i="10"/>
  <c r="P210" i="10"/>
  <c r="P211" i="10"/>
  <c r="P212" i="10"/>
  <c r="P213" i="10"/>
  <c r="P214" i="10"/>
  <c r="P215" i="10"/>
  <c r="P216" i="10"/>
  <c r="P217" i="10"/>
  <c r="P218" i="10"/>
  <c r="P219" i="10"/>
  <c r="P220" i="10"/>
  <c r="P221" i="10"/>
  <c r="P222" i="10"/>
  <c r="P223" i="10"/>
  <c r="P224" i="10"/>
  <c r="P225" i="10"/>
  <c r="P226" i="10"/>
  <c r="P227" i="10"/>
  <c r="P228" i="10"/>
  <c r="P229" i="10"/>
  <c r="P230" i="10"/>
  <c r="P231" i="10"/>
  <c r="P232" i="10"/>
  <c r="P233" i="10"/>
  <c r="P234" i="10"/>
  <c r="P235" i="10"/>
  <c r="P236" i="10"/>
  <c r="P237" i="10"/>
  <c r="P238" i="10"/>
  <c r="P239" i="10"/>
  <c r="P240" i="10"/>
  <c r="P241" i="10"/>
  <c r="P242" i="10"/>
  <c r="P243" i="10"/>
  <c r="P244" i="10"/>
  <c r="P245" i="10"/>
  <c r="P246" i="10"/>
  <c r="P247" i="10"/>
  <c r="P248" i="10"/>
  <c r="P249" i="10"/>
  <c r="P250" i="10"/>
  <c r="P251" i="10"/>
  <c r="P252" i="10"/>
  <c r="P253" i="10"/>
  <c r="P254" i="10"/>
  <c r="P255" i="10"/>
  <c r="P256" i="10"/>
  <c r="P257" i="10"/>
  <c r="P258" i="10"/>
  <c r="P259" i="10"/>
  <c r="P260" i="10"/>
  <c r="P261" i="10"/>
  <c r="P262" i="10"/>
  <c r="P263" i="10"/>
  <c r="P264" i="10"/>
  <c r="P265" i="10"/>
  <c r="P266" i="10"/>
  <c r="P267" i="10"/>
  <c r="P268" i="10"/>
  <c r="P269" i="10"/>
  <c r="P270" i="10"/>
  <c r="P271" i="10"/>
  <c r="P272" i="10"/>
  <c r="P273" i="10"/>
  <c r="P274" i="10"/>
  <c r="P275" i="10"/>
  <c r="P276" i="10"/>
  <c r="P277" i="10"/>
  <c r="P278" i="10"/>
  <c r="P279" i="10"/>
  <c r="P280" i="10"/>
  <c r="P281" i="10"/>
  <c r="P282" i="10"/>
  <c r="P283" i="10"/>
  <c r="P284" i="10"/>
  <c r="P285" i="10"/>
  <c r="P286" i="10"/>
  <c r="P287" i="10"/>
  <c r="P288" i="10"/>
  <c r="P289" i="10"/>
  <c r="P290" i="10"/>
  <c r="P291" i="10"/>
  <c r="P292" i="10"/>
  <c r="P293" i="10"/>
  <c r="P294" i="10"/>
  <c r="P295" i="10"/>
  <c r="P296" i="10"/>
  <c r="P297" i="10"/>
  <c r="P298" i="10"/>
  <c r="P299" i="10"/>
  <c r="P300" i="10"/>
  <c r="P301" i="10"/>
  <c r="P302" i="10"/>
  <c r="P303" i="10"/>
  <c r="P304" i="10"/>
  <c r="P305" i="10"/>
  <c r="P306" i="10"/>
  <c r="P307" i="10"/>
  <c r="P308" i="10"/>
  <c r="P309" i="10"/>
  <c r="P310" i="10"/>
  <c r="P311" i="10"/>
  <c r="P312" i="10"/>
  <c r="P313" i="10"/>
  <c r="P314" i="10"/>
  <c r="P315" i="10"/>
  <c r="P316" i="10"/>
  <c r="P317" i="10"/>
  <c r="P318" i="10"/>
  <c r="P319" i="10"/>
  <c r="P320" i="10"/>
  <c r="P321" i="10"/>
  <c r="P322" i="10"/>
  <c r="P323" i="10"/>
  <c r="P324" i="10"/>
  <c r="P325" i="10"/>
  <c r="P326" i="10"/>
  <c r="P327" i="10"/>
  <c r="P328" i="10"/>
  <c r="P329" i="10"/>
  <c r="P330" i="10"/>
  <c r="P331" i="10"/>
  <c r="P332" i="10"/>
  <c r="P333" i="10"/>
  <c r="P334" i="10"/>
  <c r="P335" i="10"/>
  <c r="P336" i="10"/>
  <c r="P337" i="10"/>
  <c r="P338" i="10"/>
  <c r="P339" i="10"/>
  <c r="P340" i="10"/>
  <c r="P341" i="10"/>
  <c r="P342" i="10"/>
  <c r="P343" i="10"/>
  <c r="P344" i="10"/>
  <c r="P345" i="10"/>
  <c r="P346" i="10"/>
  <c r="P347" i="10"/>
  <c r="P348" i="10"/>
  <c r="P349" i="10"/>
  <c r="P350" i="10"/>
  <c r="P351" i="10"/>
  <c r="P352" i="10"/>
  <c r="P353" i="10"/>
  <c r="P354" i="10"/>
  <c r="P355" i="10"/>
  <c r="P356" i="10"/>
  <c r="P357" i="10"/>
  <c r="P358" i="10"/>
  <c r="P359" i="10"/>
  <c r="P360" i="10"/>
  <c r="P361" i="10"/>
  <c r="P362" i="10"/>
  <c r="P363" i="10"/>
  <c r="P364" i="10"/>
  <c r="P365" i="10"/>
  <c r="P366" i="10"/>
  <c r="P367" i="10"/>
  <c r="P368" i="10"/>
  <c r="P369" i="10"/>
  <c r="P370" i="10"/>
  <c r="P371" i="10"/>
  <c r="P372" i="10"/>
  <c r="P373" i="10"/>
  <c r="P374" i="10"/>
  <c r="P375" i="10"/>
  <c r="P376" i="10"/>
  <c r="P377" i="10"/>
  <c r="P378" i="10"/>
  <c r="P379" i="10"/>
  <c r="P380" i="10"/>
  <c r="P381" i="10"/>
  <c r="P382" i="10"/>
  <c r="P383" i="10"/>
  <c r="P384" i="10"/>
  <c r="P385" i="10"/>
  <c r="P386" i="10"/>
  <c r="P387" i="10"/>
  <c r="P388" i="10"/>
  <c r="P389" i="10"/>
  <c r="P390" i="10"/>
  <c r="P391" i="10"/>
  <c r="P392" i="10"/>
  <c r="P393" i="10"/>
  <c r="P394" i="10"/>
  <c r="P395" i="10"/>
  <c r="P396" i="10"/>
  <c r="P397" i="10"/>
  <c r="P398" i="10"/>
  <c r="P399" i="10"/>
  <c r="P400" i="10"/>
  <c r="P401" i="10"/>
  <c r="P402" i="10"/>
  <c r="P403" i="10"/>
  <c r="P404" i="10"/>
  <c r="P405" i="10"/>
  <c r="P406" i="10"/>
  <c r="P407" i="10"/>
  <c r="P408" i="10"/>
  <c r="P409" i="10"/>
  <c r="P410" i="10"/>
  <c r="P411" i="10"/>
  <c r="P412" i="10"/>
  <c r="P413" i="10"/>
  <c r="P414" i="10"/>
  <c r="P415" i="10"/>
  <c r="P416" i="10"/>
  <c r="P417" i="10"/>
  <c r="P418" i="10"/>
  <c r="P419" i="10"/>
  <c r="P420" i="10"/>
  <c r="P421" i="10"/>
  <c r="P422" i="10"/>
  <c r="P423" i="10"/>
  <c r="P424" i="10"/>
  <c r="P425" i="10"/>
  <c r="P426" i="10"/>
  <c r="P427" i="10"/>
  <c r="P428" i="10"/>
  <c r="P429" i="10"/>
  <c r="P430" i="10"/>
  <c r="P431" i="10"/>
  <c r="P432" i="10"/>
  <c r="P433" i="10"/>
  <c r="P434" i="10"/>
  <c r="P435" i="10"/>
  <c r="P436" i="10"/>
  <c r="P437" i="10"/>
  <c r="P438" i="10"/>
  <c r="P439" i="10"/>
  <c r="P440" i="10"/>
  <c r="P441" i="10"/>
  <c r="P442" i="10"/>
  <c r="P443" i="10"/>
  <c r="P444" i="10"/>
  <c r="P445" i="10"/>
  <c r="P446" i="10"/>
  <c r="P447" i="10"/>
  <c r="P448" i="10"/>
  <c r="P449" i="10"/>
  <c r="P450" i="10"/>
  <c r="P451" i="10"/>
  <c r="P452" i="10"/>
  <c r="P453" i="10"/>
  <c r="P454" i="10"/>
  <c r="P455" i="10"/>
  <c r="P456" i="10"/>
  <c r="P457" i="10"/>
  <c r="P458" i="10"/>
  <c r="P459" i="10"/>
  <c r="P460" i="10"/>
  <c r="P461" i="10"/>
  <c r="P462" i="10"/>
  <c r="P463" i="10"/>
  <c r="P464" i="10"/>
  <c r="P465" i="10"/>
  <c r="P466" i="10"/>
  <c r="P467" i="10"/>
  <c r="P468" i="10"/>
  <c r="P469" i="10"/>
  <c r="P470" i="10"/>
  <c r="P471" i="10"/>
  <c r="P472" i="10"/>
  <c r="P473" i="10"/>
  <c r="P474" i="10"/>
  <c r="P475" i="10"/>
  <c r="P476" i="10"/>
  <c r="P477" i="10"/>
  <c r="P478" i="10"/>
  <c r="P479" i="10"/>
  <c r="P480" i="10"/>
  <c r="P481" i="10"/>
  <c r="P482" i="10"/>
  <c r="P483" i="10"/>
  <c r="P484" i="10"/>
  <c r="P485" i="10"/>
  <c r="P486" i="10"/>
  <c r="P487" i="10"/>
  <c r="P488" i="10"/>
  <c r="P489" i="10"/>
  <c r="P490" i="10"/>
  <c r="P491" i="10"/>
  <c r="P492" i="10"/>
  <c r="P493" i="10"/>
  <c r="P494" i="10"/>
  <c r="P495" i="10"/>
  <c r="P496" i="10"/>
  <c r="P497" i="10"/>
  <c r="P498" i="10"/>
  <c r="P499" i="10"/>
  <c r="P500" i="10"/>
  <c r="P501" i="10"/>
  <c r="P502" i="10"/>
  <c r="P503" i="10"/>
  <c r="P504" i="10"/>
  <c r="P505" i="10"/>
  <c r="P506" i="10"/>
  <c r="P507" i="10"/>
  <c r="P508" i="10"/>
  <c r="P509" i="10"/>
  <c r="P510" i="10"/>
  <c r="P511" i="10"/>
  <c r="P512" i="10"/>
  <c r="P513" i="10"/>
  <c r="P514" i="10"/>
  <c r="P515" i="10"/>
  <c r="P516" i="10"/>
  <c r="P517" i="10"/>
  <c r="P518" i="10"/>
  <c r="P519" i="10"/>
  <c r="P520" i="10"/>
  <c r="P521" i="10"/>
  <c r="P522" i="10"/>
  <c r="P523" i="10"/>
  <c r="P524" i="10"/>
  <c r="P525" i="10"/>
  <c r="P526" i="10"/>
  <c r="P527" i="10"/>
  <c r="P528" i="10"/>
  <c r="P529" i="10"/>
  <c r="P530" i="10"/>
  <c r="P531" i="10"/>
  <c r="P532" i="10"/>
  <c r="P533" i="10"/>
  <c r="P534" i="10"/>
  <c r="P535" i="10"/>
  <c r="P536" i="10"/>
  <c r="P537" i="10"/>
  <c r="P538" i="10"/>
  <c r="P539" i="10"/>
  <c r="P540" i="10"/>
  <c r="P541" i="10"/>
  <c r="P542" i="10"/>
  <c r="P543" i="10"/>
  <c r="P544" i="10"/>
  <c r="P545" i="10"/>
  <c r="P546" i="10"/>
  <c r="P547" i="10"/>
  <c r="P548" i="10"/>
  <c r="P549" i="10"/>
  <c r="P550" i="10"/>
  <c r="P551" i="10"/>
  <c r="P552" i="10"/>
  <c r="P553" i="10"/>
  <c r="P554" i="10"/>
  <c r="P555" i="10"/>
  <c r="P556" i="10"/>
  <c r="P557" i="10"/>
  <c r="P558" i="10"/>
  <c r="P559" i="10"/>
  <c r="P560" i="10"/>
  <c r="P561" i="10"/>
  <c r="P562" i="10"/>
  <c r="P563" i="10"/>
  <c r="P564" i="10"/>
  <c r="P565" i="10"/>
  <c r="P566" i="10"/>
  <c r="P567" i="10"/>
  <c r="P568" i="10"/>
  <c r="P569" i="10"/>
  <c r="P570" i="10"/>
  <c r="P571" i="10"/>
  <c r="P572" i="10"/>
  <c r="P573" i="10"/>
  <c r="P574" i="10"/>
  <c r="P575" i="10"/>
  <c r="P576" i="10"/>
  <c r="P577" i="10"/>
  <c r="P578" i="10"/>
  <c r="P579" i="10"/>
  <c r="P580" i="10"/>
  <c r="P581" i="10"/>
  <c r="P582" i="10"/>
  <c r="P583" i="10"/>
  <c r="P584" i="10"/>
  <c r="P585" i="10"/>
  <c r="P586" i="10"/>
  <c r="P587" i="10"/>
  <c r="P588" i="10"/>
  <c r="P589" i="10"/>
  <c r="P590" i="10"/>
  <c r="P591" i="10"/>
  <c r="P592" i="10"/>
  <c r="P593" i="10"/>
  <c r="P594" i="10"/>
  <c r="P595" i="10"/>
  <c r="P596" i="10"/>
  <c r="P597" i="10"/>
  <c r="P598" i="10"/>
  <c r="P599" i="10"/>
  <c r="P600" i="10"/>
  <c r="P601" i="10"/>
  <c r="P602" i="10"/>
  <c r="P603" i="10"/>
  <c r="P604" i="10"/>
  <c r="P605" i="10"/>
  <c r="P606" i="10"/>
  <c r="P607" i="10"/>
  <c r="P608" i="10"/>
  <c r="P609" i="10"/>
  <c r="P610" i="10"/>
  <c r="P611" i="10"/>
  <c r="P612" i="10"/>
  <c r="P613" i="10"/>
  <c r="P614" i="10"/>
  <c r="P615" i="10"/>
  <c r="P616" i="10"/>
  <c r="P617" i="10"/>
  <c r="P618" i="10"/>
  <c r="P619" i="10"/>
  <c r="P620" i="10"/>
  <c r="P621" i="10"/>
  <c r="P622" i="10"/>
  <c r="P623" i="10"/>
  <c r="P624" i="10"/>
  <c r="P625" i="10"/>
  <c r="P626" i="10"/>
  <c r="P627" i="10"/>
  <c r="P628" i="10"/>
  <c r="P629" i="10"/>
  <c r="P630" i="10"/>
  <c r="P631" i="10"/>
  <c r="P632" i="10"/>
  <c r="P633" i="10"/>
  <c r="P634" i="10"/>
  <c r="P635" i="10"/>
  <c r="P636" i="10"/>
  <c r="P637" i="10"/>
  <c r="P638" i="10"/>
  <c r="P639" i="10"/>
  <c r="P640" i="10"/>
  <c r="P641" i="10"/>
  <c r="P642" i="10"/>
  <c r="P643" i="10"/>
  <c r="P644" i="10"/>
  <c r="P645" i="10"/>
  <c r="P646" i="10"/>
  <c r="P647" i="10"/>
  <c r="P648" i="10"/>
  <c r="P649" i="10"/>
  <c r="P650" i="10"/>
  <c r="P651" i="10"/>
  <c r="P652" i="10"/>
  <c r="P653" i="10"/>
  <c r="P654" i="10"/>
  <c r="P655" i="10"/>
  <c r="P656" i="10"/>
  <c r="P657" i="10"/>
  <c r="P658" i="10"/>
  <c r="P659" i="10"/>
  <c r="P660" i="10"/>
  <c r="P661" i="10"/>
  <c r="P662" i="10"/>
  <c r="P663" i="10"/>
  <c r="P664" i="10"/>
  <c r="P665" i="10"/>
  <c r="P666" i="10"/>
  <c r="P667" i="10"/>
  <c r="P668" i="10"/>
  <c r="P669" i="10"/>
  <c r="P670" i="10"/>
  <c r="P671" i="10"/>
  <c r="P672" i="10"/>
  <c r="P673" i="10"/>
  <c r="P674" i="10"/>
  <c r="P675" i="10"/>
  <c r="P676" i="10"/>
  <c r="P677" i="10"/>
  <c r="P678" i="10"/>
  <c r="P679" i="10"/>
  <c r="P680" i="10"/>
  <c r="P681" i="10"/>
  <c r="P682" i="10"/>
  <c r="P683" i="10"/>
  <c r="P684" i="10"/>
  <c r="P685" i="10"/>
  <c r="P686" i="10"/>
  <c r="P687" i="10"/>
  <c r="P688" i="10"/>
  <c r="P689" i="10"/>
  <c r="P690" i="10"/>
  <c r="P691" i="10"/>
  <c r="P692" i="10"/>
  <c r="P693" i="10"/>
  <c r="P694" i="10"/>
  <c r="P695" i="10"/>
  <c r="P696" i="10"/>
  <c r="P697" i="10"/>
  <c r="P698" i="10"/>
  <c r="P699" i="10"/>
  <c r="P700" i="10"/>
  <c r="P701" i="10"/>
  <c r="P702" i="10"/>
  <c r="P703" i="10"/>
  <c r="P704" i="10"/>
  <c r="P705" i="10"/>
  <c r="P706" i="10"/>
  <c r="P707" i="10"/>
  <c r="P708" i="10"/>
  <c r="P709" i="10"/>
  <c r="P710" i="10"/>
  <c r="P711" i="10"/>
  <c r="P712" i="10"/>
  <c r="P713" i="10"/>
  <c r="P714" i="10"/>
  <c r="P715" i="10"/>
  <c r="P716" i="10"/>
  <c r="P717" i="10"/>
  <c r="P718" i="10"/>
  <c r="P719" i="10"/>
  <c r="P720" i="10"/>
  <c r="P721" i="10"/>
  <c r="P722" i="10"/>
  <c r="P723" i="10"/>
  <c r="P724" i="10"/>
  <c r="P725" i="10"/>
  <c r="P726" i="10"/>
  <c r="P727" i="10"/>
  <c r="P728" i="10"/>
  <c r="P729" i="10"/>
  <c r="P730" i="10"/>
  <c r="P731" i="10"/>
  <c r="P732" i="10"/>
  <c r="P733" i="10"/>
  <c r="P734" i="10"/>
  <c r="P735" i="10"/>
  <c r="P736" i="10"/>
  <c r="P737" i="10"/>
  <c r="P738" i="10"/>
  <c r="P739" i="10"/>
  <c r="P740" i="10"/>
  <c r="P741" i="10"/>
  <c r="P742" i="10"/>
  <c r="P743" i="10"/>
  <c r="P744" i="10"/>
  <c r="P745" i="10"/>
  <c r="P746" i="10"/>
  <c r="P747" i="10"/>
  <c r="P748" i="10"/>
  <c r="P749" i="10"/>
  <c r="P750" i="10"/>
  <c r="P751" i="10"/>
  <c r="P752" i="10"/>
  <c r="P753" i="10"/>
  <c r="P754" i="10"/>
  <c r="P755" i="10"/>
  <c r="P756" i="10"/>
  <c r="P757" i="10"/>
  <c r="P758" i="10"/>
  <c r="P759" i="10"/>
  <c r="P760" i="10"/>
  <c r="P761" i="10"/>
  <c r="P762" i="10"/>
  <c r="P763" i="10"/>
  <c r="P764" i="10"/>
  <c r="P765" i="10"/>
  <c r="P766" i="10"/>
  <c r="P767" i="10"/>
  <c r="P768" i="10"/>
  <c r="P769" i="10"/>
  <c r="P770" i="10"/>
  <c r="P771" i="10"/>
  <c r="P772" i="10"/>
  <c r="P773" i="10"/>
  <c r="P774" i="10"/>
  <c r="P775" i="10"/>
  <c r="P776" i="10"/>
  <c r="P777" i="10"/>
  <c r="P778" i="10"/>
  <c r="P779" i="10"/>
  <c r="P780" i="10"/>
  <c r="P781" i="10"/>
  <c r="P782" i="10"/>
  <c r="P783" i="10"/>
  <c r="P784" i="10"/>
  <c r="P785" i="10"/>
  <c r="P786" i="10"/>
  <c r="P787" i="10"/>
  <c r="P788" i="10"/>
  <c r="P789" i="10"/>
  <c r="P790" i="10"/>
  <c r="P791" i="10"/>
  <c r="P792" i="10"/>
  <c r="P793" i="10"/>
  <c r="P794" i="10"/>
  <c r="P795" i="10"/>
  <c r="P796" i="10"/>
  <c r="P797" i="10"/>
  <c r="P798" i="10"/>
  <c r="P799" i="10"/>
  <c r="P800" i="10"/>
  <c r="P801" i="10"/>
  <c r="P802" i="10"/>
  <c r="P803" i="10"/>
  <c r="P804" i="10"/>
  <c r="P805" i="10"/>
  <c r="P806" i="10"/>
  <c r="P807" i="10"/>
  <c r="P808" i="10"/>
  <c r="P809" i="10"/>
  <c r="P810" i="10"/>
  <c r="P811" i="10"/>
  <c r="P812" i="10"/>
  <c r="P813" i="10"/>
  <c r="P814" i="10"/>
  <c r="P815" i="10"/>
  <c r="P816" i="10"/>
  <c r="P817" i="10"/>
  <c r="P818" i="10"/>
  <c r="P819" i="10"/>
  <c r="P820" i="10"/>
  <c r="P821" i="10"/>
  <c r="P822" i="10"/>
  <c r="P823" i="10"/>
  <c r="P824" i="10"/>
  <c r="P825" i="10"/>
  <c r="P826" i="10"/>
  <c r="P827" i="10"/>
  <c r="P828" i="10"/>
  <c r="P829" i="10"/>
  <c r="P830" i="10"/>
  <c r="I9" i="9"/>
  <c r="I8" i="9"/>
  <c r="I7" i="9"/>
  <c r="I6" i="9"/>
  <c r="I5" i="9"/>
  <c r="I4" i="9"/>
  <c r="I3" i="9"/>
  <c r="K14" i="2"/>
  <c r="I14" i="2"/>
  <c r="D14" i="2"/>
  <c r="B14" i="2"/>
  <c r="N1207" i="10" l="1"/>
  <c r="O1207" i="10" s="1"/>
  <c r="N1177" i="10"/>
  <c r="O1177" i="10" s="1"/>
  <c r="N1185" i="10"/>
  <c r="O1185" i="10" s="1"/>
  <c r="N1169" i="10"/>
  <c r="O1169" i="10" s="1"/>
  <c r="N1211" i="10"/>
  <c r="N1149" i="10"/>
  <c r="O1149" i="10" s="1"/>
  <c r="A154" i="2" s="1" a="1"/>
  <c r="N1165" i="10"/>
  <c r="O1165" i="10" s="1"/>
  <c r="N125" i="10"/>
  <c r="O125" i="10" s="1"/>
  <c r="N74" i="10"/>
  <c r="O74" i="10" s="1"/>
  <c r="N98" i="10"/>
  <c r="O98" i="10" s="1"/>
  <c r="N887" i="10"/>
  <c r="O887" i="10" s="1"/>
  <c r="N1070" i="10"/>
  <c r="O1070" i="10" s="1"/>
  <c r="N1098" i="10"/>
  <c r="N43" i="10"/>
  <c r="N859" i="10"/>
  <c r="N942" i="10"/>
  <c r="N964" i="10"/>
  <c r="O964" i="10" s="1"/>
  <c r="N1017" i="10"/>
  <c r="O1017" i="10" s="1"/>
  <c r="N1045" i="10"/>
  <c r="O1045" i="10" s="1"/>
  <c r="N1123" i="10"/>
  <c r="N1145" i="10"/>
  <c r="N913" i="10"/>
  <c r="N989" i="10"/>
  <c r="N1189" i="10"/>
  <c r="O1189" i="10" s="1"/>
  <c r="N1153" i="10"/>
  <c r="O1153" i="10" s="1"/>
  <c r="N1121" i="10"/>
  <c r="O1121" i="10" s="1"/>
  <c r="N1161" i="10"/>
  <c r="O1161" i="10" s="1"/>
  <c r="N1195" i="10"/>
  <c r="N1173" i="10"/>
  <c r="O1173" i="10" s="1"/>
  <c r="N1181" i="10"/>
  <c r="O1181" i="10" s="1"/>
  <c r="N1201" i="10"/>
  <c r="O1201" i="10" s="1"/>
  <c r="O1157" i="10"/>
  <c r="O859" i="10"/>
  <c r="O43" i="10"/>
  <c r="O1145" i="10"/>
  <c r="O913" i="10"/>
  <c r="O989" i="10"/>
  <c r="O942" i="10"/>
  <c r="O1123" i="10"/>
  <c r="O1211" i="10"/>
  <c r="O1195" i="10"/>
  <c r="O1098" i="10"/>
  <c r="O1212" i="10"/>
  <c r="N1215" i="10" s="1"/>
  <c r="M1054" i="10"/>
  <c r="O1054" i="10" s="1"/>
  <c r="N1068" i="10" s="1"/>
  <c r="M923" i="10"/>
  <c r="O923" i="10" s="1"/>
  <c r="M1071" i="10"/>
  <c r="O1071" i="10" s="1"/>
  <c r="M522" i="10"/>
  <c r="O522" i="10" s="1"/>
  <c r="M972" i="10"/>
  <c r="O972" i="10" s="1"/>
  <c r="M969" i="10"/>
  <c r="O969" i="10" s="1"/>
  <c r="M867" i="10"/>
  <c r="O867" i="10" s="1"/>
  <c r="M971" i="10"/>
  <c r="O971" i="10" s="1"/>
  <c r="M990" i="10"/>
  <c r="O990" i="10" s="1"/>
  <c r="M843" i="10"/>
  <c r="O843" i="10" s="1"/>
  <c r="M967" i="10"/>
  <c r="O967" i="10" s="1"/>
  <c r="M865" i="10"/>
  <c r="O865" i="10" s="1"/>
  <c r="M1080" i="10"/>
  <c r="O1080" i="10" s="1"/>
  <c r="M915" i="10"/>
  <c r="O915" i="10" s="1"/>
  <c r="M949" i="10"/>
  <c r="O949" i="10" s="1"/>
  <c r="M993" i="10"/>
  <c r="O993" i="10" s="1"/>
  <c r="M895" i="10"/>
  <c r="O895" i="10" s="1"/>
  <c r="M620" i="10"/>
  <c r="O620" i="10" s="1"/>
  <c r="M998" i="10"/>
  <c r="O998" i="10" s="1"/>
  <c r="M965" i="10"/>
  <c r="O965" i="10" s="1"/>
  <c r="M996" i="10"/>
  <c r="O996" i="10" s="1"/>
  <c r="M991" i="10"/>
  <c r="O991" i="10" s="1"/>
  <c r="M893" i="10"/>
  <c r="O893" i="10" s="1"/>
  <c r="M495" i="10"/>
  <c r="O495" i="10" s="1"/>
  <c r="M519" i="10"/>
  <c r="O519" i="10" s="1"/>
  <c r="M1072" i="10"/>
  <c r="O1072" i="10" s="1"/>
  <c r="M1018" i="10"/>
  <c r="O1018" i="10" s="1"/>
  <c r="M970" i="10"/>
  <c r="O970" i="10" s="1"/>
  <c r="M897" i="10"/>
  <c r="O897" i="10" s="1"/>
  <c r="M1022" i="10"/>
  <c r="O1022" i="10" s="1"/>
  <c r="M1023" i="10"/>
  <c r="O1023" i="10" s="1"/>
  <c r="M999" i="10"/>
  <c r="O999" i="10" s="1"/>
  <c r="M968" i="10"/>
  <c r="O968" i="10" s="1"/>
  <c r="M496" i="10"/>
  <c r="O496" i="10" s="1"/>
  <c r="M44" i="10"/>
  <c r="M1074" i="10"/>
  <c r="O1074" i="10" s="1"/>
  <c r="M920" i="10"/>
  <c r="O920" i="10" s="1"/>
  <c r="M178" i="10"/>
  <c r="O178" i="10" s="1"/>
  <c r="M994" i="10"/>
  <c r="O994" i="10" s="1"/>
  <c r="M1027" i="10"/>
  <c r="O1027" i="10" s="1"/>
  <c r="M1028" i="10"/>
  <c r="O1028" i="10" s="1"/>
  <c r="M1026" i="10"/>
  <c r="O1026" i="10" s="1"/>
  <c r="M992" i="10"/>
  <c r="O992" i="10" s="1"/>
  <c r="M27" i="10"/>
  <c r="M926" i="10"/>
  <c r="O926" i="10" s="1"/>
  <c r="M916" i="10"/>
  <c r="O916" i="10" s="1"/>
  <c r="M1019" i="10"/>
  <c r="O1019" i="10" s="1"/>
  <c r="M621" i="10"/>
  <c r="O621" i="10" s="1"/>
  <c r="M836" i="10"/>
  <c r="O836" i="10" s="1"/>
  <c r="M870" i="10"/>
  <c r="O870" i="10" s="1"/>
  <c r="M763" i="10"/>
  <c r="O763" i="10" s="1"/>
  <c r="M1000" i="10"/>
  <c r="O1000" i="10" s="1"/>
  <c r="M918" i="10"/>
  <c r="O918" i="10" s="1"/>
  <c r="M922" i="10"/>
  <c r="O922" i="10" s="1"/>
  <c r="M948" i="10"/>
  <c r="O948" i="10" s="1"/>
  <c r="M896" i="10"/>
  <c r="O896" i="10" s="1"/>
  <c r="M840" i="10"/>
  <c r="O840" i="10" s="1"/>
  <c r="M1025" i="10"/>
  <c r="O1025" i="10" s="1"/>
  <c r="M835" i="10"/>
  <c r="O835" i="10" s="1"/>
  <c r="M862" i="10"/>
  <c r="O862" i="10" s="1"/>
  <c r="M868" i="10"/>
  <c r="O868" i="10" s="1"/>
  <c r="M842" i="10"/>
  <c r="O842" i="10" s="1"/>
  <c r="M997" i="10"/>
  <c r="O997" i="10" s="1"/>
  <c r="M837" i="10"/>
  <c r="O837" i="10" s="1"/>
  <c r="M1024" i="10"/>
  <c r="O1024" i="10" s="1"/>
  <c r="M471" i="10"/>
  <c r="O471" i="10" s="1"/>
  <c r="M28" i="10"/>
  <c r="M914" i="10"/>
  <c r="O914" i="10" s="1"/>
  <c r="M1073" i="10"/>
  <c r="O1073" i="10" s="1"/>
  <c r="M195" i="10"/>
  <c r="O195" i="10" s="1"/>
  <c r="M866" i="10"/>
  <c r="O866" i="10" s="1"/>
  <c r="M844" i="10"/>
  <c r="O844" i="10" s="1"/>
  <c r="M890" i="10"/>
  <c r="O890" i="10" s="1"/>
  <c r="M1020" i="10"/>
  <c r="O1020" i="10" s="1"/>
  <c r="M995" i="10"/>
  <c r="O995" i="10" s="1"/>
  <c r="M1021" i="10"/>
  <c r="O1021" i="10" s="1"/>
  <c r="M864" i="10"/>
  <c r="O864" i="10" s="1"/>
  <c r="M762" i="10"/>
  <c r="O762" i="10" s="1"/>
  <c r="M917" i="10"/>
  <c r="O917" i="10" s="1"/>
  <c r="M1075" i="10"/>
  <c r="O1075" i="10" s="1"/>
  <c r="M921" i="10"/>
  <c r="O921" i="10" s="1"/>
  <c r="M1079" i="10"/>
  <c r="O1079" i="10" s="1"/>
  <c r="M834" i="10"/>
  <c r="O834" i="10" s="1"/>
  <c r="M894" i="10"/>
  <c r="O894" i="10" s="1"/>
  <c r="M841" i="10"/>
  <c r="O841" i="10" s="1"/>
  <c r="M832" i="10"/>
  <c r="O832" i="10" s="1"/>
  <c r="M973" i="10"/>
  <c r="O973" i="10" s="1"/>
  <c r="M966" i="10"/>
  <c r="O966" i="10" s="1"/>
  <c r="M869" i="10"/>
  <c r="O869" i="10" s="1"/>
  <c r="M892" i="10"/>
  <c r="O892" i="10" s="1"/>
  <c r="M838" i="10"/>
  <c r="O838" i="10" s="1"/>
  <c r="M3" i="10"/>
  <c r="U924" i="10"/>
  <c r="O924" i="10"/>
  <c r="U1081" i="10"/>
  <c r="O1081" i="10"/>
  <c r="U925" i="10"/>
  <c r="O925" i="10"/>
  <c r="U1082" i="10"/>
  <c r="O1082" i="10"/>
  <c r="U1077" i="10"/>
  <c r="O1077" i="10"/>
  <c r="U1078" i="10"/>
  <c r="O1078" i="10"/>
  <c r="U55" i="10"/>
  <c r="M55" i="10" s="1"/>
  <c r="U23" i="10"/>
  <c r="U22" i="10"/>
  <c r="U54" i="10"/>
  <c r="M54" i="10" s="1"/>
  <c r="I3" i="10"/>
  <c r="D9" i="10"/>
  <c r="N857" i="10" l="1"/>
  <c r="O857" i="10" s="1"/>
  <c r="N387" i="10"/>
  <c r="O387" i="10" s="1"/>
  <c r="N357" i="10"/>
  <c r="O357" i="10" s="1"/>
  <c r="N194" i="10"/>
  <c r="O194" i="10" s="1"/>
  <c r="N299" i="10"/>
  <c r="N412" i="10"/>
  <c r="O412" i="10" s="1"/>
  <c r="N513" i="10"/>
  <c r="O513" i="10" s="1"/>
  <c r="N146" i="10"/>
  <c r="O146" i="10" s="1"/>
  <c r="N243" i="10"/>
  <c r="N330" i="10"/>
  <c r="N723" i="10"/>
  <c r="N171" i="10"/>
  <c r="N780" i="10"/>
  <c r="O780" i="10" s="1"/>
  <c r="N537" i="10"/>
  <c r="O537" i="10" s="1"/>
  <c r="N749" i="10"/>
  <c r="O749" i="10" s="1"/>
  <c r="N560" i="10"/>
  <c r="O560" i="10" s="1"/>
  <c r="N611" i="10"/>
  <c r="O611" i="10" s="1"/>
  <c r="N488" i="10"/>
  <c r="N693" i="10"/>
  <c r="O693" i="10" s="1"/>
  <c r="N669" i="10"/>
  <c r="N806" i="10"/>
  <c r="O806" i="10" s="1"/>
  <c r="N830" i="10"/>
  <c r="O830" i="10" s="1"/>
  <c r="N272" i="10"/>
  <c r="O272" i="10" s="1"/>
  <c r="N589" i="10"/>
  <c r="O589" i="10" s="1"/>
  <c r="N638" i="10"/>
  <c r="O638" i="10" s="1"/>
  <c r="N461" i="10"/>
  <c r="N218" i="10"/>
  <c r="O218" i="10" s="1"/>
  <c r="N437" i="10"/>
  <c r="O437" i="10" s="1"/>
  <c r="N1043" i="10"/>
  <c r="O1043" i="10" s="1"/>
  <c r="N1015" i="10"/>
  <c r="O1015" i="10" s="1"/>
  <c r="N911" i="10"/>
  <c r="N885" i="10"/>
  <c r="O885" i="10" s="1"/>
  <c r="N1096" i="10"/>
  <c r="N940" i="10"/>
  <c r="N987" i="10"/>
  <c r="O987" i="10" s="1"/>
  <c r="O171" i="10"/>
  <c r="O299" i="10"/>
  <c r="O461" i="10"/>
  <c r="O243" i="10"/>
  <c r="O669" i="10"/>
  <c r="O723" i="10"/>
  <c r="O488" i="10"/>
  <c r="O911" i="10"/>
  <c r="O1215" i="10"/>
  <c r="O1068" i="10"/>
  <c r="M654" i="10"/>
  <c r="O654" i="10" s="1"/>
  <c r="A154" i="2"/>
  <c r="L163" i="2"/>
  <c r="S1148" i="10"/>
  <c r="U1148" i="10" s="1"/>
  <c r="S1180" i="10"/>
  <c r="S1168" i="10"/>
  <c r="S781" i="10"/>
  <c r="U781" i="10" s="1"/>
  <c r="W781" i="10" s="1"/>
  <c r="M781" i="10" s="1"/>
  <c r="O781" i="10" s="1"/>
  <c r="S567" i="10"/>
  <c r="U567" i="10" s="1"/>
  <c r="W567" i="10" s="1"/>
  <c r="M567" i="10" s="1"/>
  <c r="O567" i="10" s="1"/>
  <c r="S757" i="10"/>
  <c r="U757" i="10" s="1"/>
  <c r="W757" i="10" s="1"/>
  <c r="M757" i="10" s="1"/>
  <c r="O757" i="10" s="1"/>
  <c r="S491" i="10"/>
  <c r="U491" i="10" s="1"/>
  <c r="W491" i="10" s="1"/>
  <c r="M491" i="10" s="1"/>
  <c r="O491" i="10" s="1"/>
  <c r="S150" i="10"/>
  <c r="U150" i="10" s="1"/>
  <c r="W150" i="10" s="1"/>
  <c r="M150" i="10" s="1"/>
  <c r="O150" i="10" s="1"/>
  <c r="S390" i="10"/>
  <c r="U390" i="10" s="1"/>
  <c r="W390" i="10" s="1"/>
  <c r="M390" i="10" s="1"/>
  <c r="O390" i="10" s="1"/>
  <c r="S674" i="10"/>
  <c r="U674" i="10" s="1"/>
  <c r="W674" i="10" s="1"/>
  <c r="M674" i="10" s="1"/>
  <c r="O674" i="10" s="1"/>
  <c r="S302" i="10"/>
  <c r="U302" i="10" s="1"/>
  <c r="W302" i="10" s="1"/>
  <c r="M302" i="10" s="1"/>
  <c r="O302" i="10" s="1"/>
  <c r="S467" i="10"/>
  <c r="U467" i="10" s="1"/>
  <c r="W467" i="10" s="1"/>
  <c r="M467" i="10" s="1"/>
  <c r="O467" i="10" s="1"/>
  <c r="S673" i="10"/>
  <c r="U673" i="10" s="1"/>
  <c r="W673" i="10" s="1"/>
  <c r="M673" i="10" s="1"/>
  <c r="O673" i="10" s="1"/>
  <c r="S274" i="10"/>
  <c r="U274" i="10" s="1"/>
  <c r="W274" i="10" s="1"/>
  <c r="M274" i="10" s="1"/>
  <c r="O274" i="10" s="1"/>
  <c r="S594" i="10"/>
  <c r="U594" i="10" s="1"/>
  <c r="W594" i="10" s="1"/>
  <c r="M594" i="10" s="1"/>
  <c r="O594" i="10" s="1"/>
  <c r="S615" i="10"/>
  <c r="U615" i="10" s="1"/>
  <c r="W615" i="10" s="1"/>
  <c r="M615" i="10" s="1"/>
  <c r="O615" i="10" s="1"/>
  <c r="S314" i="10"/>
  <c r="U314" i="10" s="1"/>
  <c r="W314" i="10" s="1"/>
  <c r="M314" i="10" s="1"/>
  <c r="O314" i="10" s="1"/>
  <c r="S614" i="10"/>
  <c r="U614" i="10" s="1"/>
  <c r="W614" i="10" s="1"/>
  <c r="S470" i="10"/>
  <c r="U470" i="10" s="1"/>
  <c r="W470" i="10" s="1"/>
  <c r="M470" i="10" s="1"/>
  <c r="O470" i="10" s="1"/>
  <c r="S596" i="10"/>
  <c r="U596" i="10" s="1"/>
  <c r="W596" i="10" s="1"/>
  <c r="M596" i="10" s="1"/>
  <c r="O596" i="10" s="1"/>
  <c r="S649" i="10"/>
  <c r="U649" i="10" s="1"/>
  <c r="W649" i="10" s="1"/>
  <c r="M649" i="10" s="1"/>
  <c r="O649" i="10" s="1"/>
  <c r="S706" i="10"/>
  <c r="U706" i="10" s="1"/>
  <c r="W706" i="10" s="1"/>
  <c r="M706" i="10" s="1"/>
  <c r="O706" i="10" s="1"/>
  <c r="S786" i="10"/>
  <c r="U786" i="10" s="1"/>
  <c r="W786" i="10" s="1"/>
  <c r="M786" i="10" s="1"/>
  <c r="O786" i="10" s="1"/>
  <c r="S396" i="10"/>
  <c r="U396" i="10" s="1"/>
  <c r="W396" i="10" s="1"/>
  <c r="M396" i="10" s="1"/>
  <c r="O396" i="10" s="1"/>
  <c r="S539" i="10"/>
  <c r="U539" i="10" s="1"/>
  <c r="W539" i="10" s="1"/>
  <c r="M539" i="10" s="1"/>
  <c r="O539" i="10" s="1"/>
  <c r="S650" i="10"/>
  <c r="U650" i="10" s="1"/>
  <c r="W650" i="10" s="1"/>
  <c r="M650" i="10" s="1"/>
  <c r="O650" i="10" s="1"/>
  <c r="S652" i="10"/>
  <c r="U652" i="10" s="1"/>
  <c r="W652" i="10" s="1"/>
  <c r="M652" i="10" s="1"/>
  <c r="O652" i="10" s="1"/>
  <c r="S703" i="10"/>
  <c r="U703" i="10" s="1"/>
  <c r="W703" i="10" s="1"/>
  <c r="M703" i="10" s="1"/>
  <c r="O703" i="10" s="1"/>
  <c r="S787" i="10"/>
  <c r="U787" i="10" s="1"/>
  <c r="W787" i="10" s="1"/>
  <c r="M787" i="10" s="1"/>
  <c r="O787" i="10" s="1"/>
  <c r="S813" i="10"/>
  <c r="U813" i="10" s="1"/>
  <c r="W813" i="10" s="1"/>
  <c r="M813" i="10" s="1"/>
  <c r="O813" i="10" s="1"/>
  <c r="S106" i="10"/>
  <c r="U106" i="10" s="1"/>
  <c r="W106" i="10" s="1"/>
  <c r="M106" i="10" s="1"/>
  <c r="O106" i="10" s="1"/>
  <c r="S497" i="10"/>
  <c r="U497" i="10" s="1"/>
  <c r="W497" i="10" s="1"/>
  <c r="S543" i="10"/>
  <c r="U543" i="10" s="1"/>
  <c r="W543" i="10" s="1"/>
  <c r="M543" i="10" s="1"/>
  <c r="O543" i="10" s="1"/>
  <c r="S612" i="10"/>
  <c r="U612" i="10" s="1"/>
  <c r="W612" i="10" s="1"/>
  <c r="M612" i="10" s="1"/>
  <c r="O612" i="10" s="1"/>
  <c r="S700" i="10"/>
  <c r="U700" i="10" s="1"/>
  <c r="W700" i="10" s="1"/>
  <c r="M700" i="10" s="1"/>
  <c r="O700" i="10" s="1"/>
  <c r="S728" i="10"/>
  <c r="U728" i="10" s="1"/>
  <c r="W728" i="10" s="1"/>
  <c r="M728" i="10" s="1"/>
  <c r="O728" i="10" s="1"/>
  <c r="S790" i="10"/>
  <c r="U790" i="10" s="1"/>
  <c r="W790" i="10" s="1"/>
  <c r="M790" i="10" s="1"/>
  <c r="O790" i="10" s="1"/>
  <c r="S764" i="10"/>
  <c r="S490" i="10"/>
  <c r="U490" i="10" s="1"/>
  <c r="W490" i="10" s="1"/>
  <c r="M490" i="10" s="1"/>
  <c r="O490" i="10" s="1"/>
  <c r="S808" i="10"/>
  <c r="U808" i="10" s="1"/>
  <c r="W808" i="10" s="1"/>
  <c r="M808" i="10" s="1"/>
  <c r="O808" i="10" s="1"/>
  <c r="S568" i="10"/>
  <c r="U568" i="10" s="1"/>
  <c r="W568" i="10" s="1"/>
  <c r="M568" i="10" s="1"/>
  <c r="O568" i="10" s="1"/>
  <c r="S282" i="10"/>
  <c r="U282" i="10" s="1"/>
  <c r="W282" i="10" s="1"/>
  <c r="M282" i="10" s="1"/>
  <c r="O282" i="10" s="1"/>
  <c r="S564" i="10"/>
  <c r="U564" i="10" s="1"/>
  <c r="W564" i="10" s="1"/>
  <c r="M564" i="10" s="1"/>
  <c r="O564" i="10" s="1"/>
  <c r="S726" i="10"/>
  <c r="U726" i="10" s="1"/>
  <c r="W726" i="10" s="1"/>
  <c r="M726" i="10" s="1"/>
  <c r="O726" i="10" s="1"/>
  <c r="S105" i="10"/>
  <c r="U105" i="10" s="1"/>
  <c r="W105" i="10" s="1"/>
  <c r="M105" i="10" s="1"/>
  <c r="O105" i="10" s="1"/>
  <c r="S313" i="10"/>
  <c r="U313" i="10" s="1"/>
  <c r="W313" i="10" s="1"/>
  <c r="M313" i="10" s="1"/>
  <c r="O313" i="10" s="1"/>
  <c r="S517" i="10"/>
  <c r="U517" i="10" s="1"/>
  <c r="W517" i="10" s="1"/>
  <c r="M517" i="10" s="1"/>
  <c r="O517" i="10" s="1"/>
  <c r="S151" i="10"/>
  <c r="U151" i="10" s="1"/>
  <c r="W151" i="10" s="1"/>
  <c r="M151" i="10" s="1"/>
  <c r="O151" i="10" s="1"/>
  <c r="S276" i="10"/>
  <c r="U276" i="10" s="1"/>
  <c r="W276" i="10" s="1"/>
  <c r="M276" i="10" s="1"/>
  <c r="O276" i="10" s="1"/>
  <c r="S464" i="10"/>
  <c r="U464" i="10" s="1"/>
  <c r="W464" i="10" s="1"/>
  <c r="M464" i="10" s="1"/>
  <c r="O464" i="10" s="1"/>
  <c r="S573" i="10"/>
  <c r="U573" i="10" s="1"/>
  <c r="W573" i="10" s="1"/>
  <c r="M573" i="10" s="1"/>
  <c r="O573" i="10" s="1"/>
  <c r="S570" i="10"/>
  <c r="U570" i="10" s="1"/>
  <c r="W570" i="10" s="1"/>
  <c r="M570" i="10" s="1"/>
  <c r="O570" i="10" s="1"/>
  <c r="S677" i="10"/>
  <c r="U677" i="10" s="1"/>
  <c r="W677" i="10" s="1"/>
  <c r="M677" i="10" s="1"/>
  <c r="O677" i="10" s="1"/>
  <c r="S653" i="10"/>
  <c r="U653" i="10" s="1"/>
  <c r="W653" i="10" s="1"/>
  <c r="M653" i="10" s="1"/>
  <c r="O653" i="10" s="1"/>
  <c r="S754" i="10"/>
  <c r="U754" i="10" s="1"/>
  <c r="W754" i="10" s="1"/>
  <c r="M754" i="10" s="1"/>
  <c r="O754" i="10" s="1"/>
  <c r="S756" i="10"/>
  <c r="U756" i="10" s="1"/>
  <c r="W756" i="10" s="1"/>
  <c r="M756" i="10" s="1"/>
  <c r="O756" i="10" s="1"/>
  <c r="S784" i="10"/>
  <c r="U784" i="10" s="1"/>
  <c r="W784" i="10" s="1"/>
  <c r="M784" i="10" s="1"/>
  <c r="O784" i="10" s="1"/>
  <c r="S645" i="10"/>
  <c r="U645" i="10" s="1"/>
  <c r="W645" i="10" s="1"/>
  <c r="M645" i="10" s="1"/>
  <c r="O645" i="10" s="1"/>
  <c r="S305" i="10"/>
  <c r="U305" i="10" s="1"/>
  <c r="W305" i="10" s="1"/>
  <c r="M305" i="10" s="1"/>
  <c r="O305" i="10" s="1"/>
  <c r="S275" i="10"/>
  <c r="U275" i="10" s="1"/>
  <c r="W275" i="10" s="1"/>
  <c r="M275" i="10" s="1"/>
  <c r="O275" i="10" s="1"/>
  <c r="S389" i="10"/>
  <c r="U389" i="10" s="1"/>
  <c r="W389" i="10" s="1"/>
  <c r="M389" i="10" s="1"/>
  <c r="O389" i="10" s="1"/>
  <c r="S540" i="10"/>
  <c r="U540" i="10" s="1"/>
  <c r="W540" i="10" s="1"/>
  <c r="M540" i="10" s="1"/>
  <c r="O540" i="10" s="1"/>
  <c r="S565" i="10"/>
  <c r="U565" i="10" s="1"/>
  <c r="W565" i="10" s="1"/>
  <c r="M565" i="10" s="1"/>
  <c r="O565" i="10" s="1"/>
  <c r="S616" i="10"/>
  <c r="U616" i="10" s="1"/>
  <c r="W616" i="10" s="1"/>
  <c r="M616" i="10" s="1"/>
  <c r="O616" i="10" s="1"/>
  <c r="S733" i="10"/>
  <c r="U733" i="10" s="1"/>
  <c r="W733" i="10" s="1"/>
  <c r="M733" i="10" s="1"/>
  <c r="O733" i="10" s="1"/>
  <c r="S730" i="10"/>
  <c r="U730" i="10" s="1"/>
  <c r="W730" i="10" s="1"/>
  <c r="M730" i="10" s="1"/>
  <c r="O730" i="10" s="1"/>
  <c r="S783" i="10"/>
  <c r="U783" i="10" s="1"/>
  <c r="W783" i="10" s="1"/>
  <c r="M783" i="10" s="1"/>
  <c r="O783" i="10" s="1"/>
  <c r="S309" i="10"/>
  <c r="U309" i="10" s="1"/>
  <c r="W309" i="10" s="1"/>
  <c r="M309" i="10" s="1"/>
  <c r="O309" i="10" s="1"/>
  <c r="S810" i="10"/>
  <c r="U810" i="10" s="1"/>
  <c r="W810" i="10" s="1"/>
  <c r="M810" i="10" s="1"/>
  <c r="O810" i="10" s="1"/>
  <c r="S307" i="10"/>
  <c r="U307" i="10" s="1"/>
  <c r="W307" i="10" s="1"/>
  <c r="M307" i="10" s="1"/>
  <c r="O307" i="10" s="1"/>
  <c r="S698" i="10"/>
  <c r="U698" i="10" s="1"/>
  <c r="W698" i="10" s="1"/>
  <c r="M698" i="10" s="1"/>
  <c r="O698" i="10" s="1"/>
  <c r="S108" i="10"/>
  <c r="U108" i="10" s="1"/>
  <c r="W108" i="10" s="1"/>
  <c r="M108" i="10" s="1"/>
  <c r="S593" i="10"/>
  <c r="U593" i="10" s="1"/>
  <c r="W593" i="10" s="1"/>
  <c r="M593" i="10" s="1"/>
  <c r="O593" i="10" s="1"/>
  <c r="S672" i="10"/>
  <c r="U672" i="10" s="1"/>
  <c r="W672" i="10" s="1"/>
  <c r="M672" i="10" s="1"/>
  <c r="O672" i="10" s="1"/>
  <c r="S758" i="10"/>
  <c r="U758" i="10" s="1"/>
  <c r="W758" i="10" s="1"/>
  <c r="M758" i="10" s="1"/>
  <c r="O758" i="10" s="1"/>
  <c r="S126" i="10"/>
  <c r="U126" i="10" s="1"/>
  <c r="W126" i="10" s="1"/>
  <c r="M126" i="10" s="1"/>
  <c r="S277" i="10"/>
  <c r="U277" i="10" s="1"/>
  <c r="W277" i="10" s="1"/>
  <c r="M277" i="10" s="1"/>
  <c r="O277" i="10" s="1"/>
  <c r="S469" i="10"/>
  <c r="U469" i="10" s="1"/>
  <c r="W469" i="10" s="1"/>
  <c r="M469" i="10" s="1"/>
  <c r="O469" i="10" s="1"/>
  <c r="S393" i="10"/>
  <c r="U393" i="10" s="1"/>
  <c r="W393" i="10" s="1"/>
  <c r="M393" i="10" s="1"/>
  <c r="O393" i="10" s="1"/>
  <c r="S592" i="10"/>
  <c r="U592" i="10" s="1"/>
  <c r="W592" i="10" s="1"/>
  <c r="M592" i="10" s="1"/>
  <c r="O592" i="10" s="1"/>
  <c r="S571" i="10"/>
  <c r="U571" i="10" s="1"/>
  <c r="W571" i="10" s="1"/>
  <c r="M571" i="10" s="1"/>
  <c r="O571" i="10" s="1"/>
  <c r="S646" i="10"/>
  <c r="U646" i="10" s="1"/>
  <c r="W646" i="10" s="1"/>
  <c r="M646" i="10" s="1"/>
  <c r="O646" i="10" s="1"/>
  <c r="S618" i="10"/>
  <c r="U618" i="10" s="1"/>
  <c r="W618" i="10" s="1"/>
  <c r="M618" i="10" s="1"/>
  <c r="O618" i="10" s="1"/>
  <c r="S753" i="10"/>
  <c r="U753" i="10" s="1"/>
  <c r="W753" i="10" s="1"/>
  <c r="M753" i="10" s="1"/>
  <c r="O753" i="10" s="1"/>
  <c r="S696" i="10"/>
  <c r="U696" i="10" s="1"/>
  <c r="W696" i="10" s="1"/>
  <c r="M696" i="10" s="1"/>
  <c r="O696" i="10" s="1"/>
  <c r="S811" i="10"/>
  <c r="U811" i="10" s="1"/>
  <c r="W811" i="10" s="1"/>
  <c r="M811" i="10" s="1"/>
  <c r="O811" i="10" s="1"/>
  <c r="S130" i="10"/>
  <c r="U130" i="10" s="1"/>
  <c r="W130" i="10" s="1"/>
  <c r="M130" i="10" s="1"/>
  <c r="S109" i="10"/>
  <c r="U109" i="10" s="1"/>
  <c r="W109" i="10" s="1"/>
  <c r="M109" i="10" s="1"/>
  <c r="S278" i="10"/>
  <c r="U278" i="10" s="1"/>
  <c r="W278" i="10" s="1"/>
  <c r="M278" i="10" s="1"/>
  <c r="O278" i="10" s="1"/>
  <c r="S308" i="10"/>
  <c r="U308" i="10" s="1"/>
  <c r="W308" i="10" s="1"/>
  <c r="M308" i="10" s="1"/>
  <c r="O308" i="10" s="1"/>
  <c r="S472" i="10"/>
  <c r="U472" i="10" s="1"/>
  <c r="W472" i="10" s="1"/>
  <c r="S516" i="10"/>
  <c r="U516" i="10" s="1"/>
  <c r="W516" i="10" s="1"/>
  <c r="M516" i="10" s="1"/>
  <c r="O516" i="10" s="1"/>
  <c r="S572" i="10"/>
  <c r="U572" i="10" s="1"/>
  <c r="W572" i="10" s="1"/>
  <c r="M572" i="10" s="1"/>
  <c r="O572" i="10" s="1"/>
  <c r="S520" i="10"/>
  <c r="U520" i="10" s="1"/>
  <c r="W520" i="10" s="1"/>
  <c r="M520" i="10" s="1"/>
  <c r="O520" i="10" s="1"/>
  <c r="S590" i="10"/>
  <c r="U590" i="10" s="1"/>
  <c r="W590" i="10" s="1"/>
  <c r="M590" i="10" s="1"/>
  <c r="O590" i="10" s="1"/>
  <c r="S676" i="10"/>
  <c r="U676" i="10" s="1"/>
  <c r="W676" i="10" s="1"/>
  <c r="M676" i="10" s="1"/>
  <c r="O676" i="10" s="1"/>
  <c r="S670" i="10"/>
  <c r="U670" i="10" s="1"/>
  <c r="W670" i="10" s="1"/>
  <c r="M670" i="10" s="1"/>
  <c r="O670" i="10" s="1"/>
  <c r="S647" i="10"/>
  <c r="U647" i="10" s="1"/>
  <c r="W647" i="10" s="1"/>
  <c r="M647" i="10" s="1"/>
  <c r="O647" i="10" s="1"/>
  <c r="S707" i="10"/>
  <c r="U707" i="10" s="1"/>
  <c r="W707" i="10" s="1"/>
  <c r="M707" i="10" s="1"/>
  <c r="O707" i="10" s="1"/>
  <c r="S701" i="10"/>
  <c r="U701" i="10" s="1"/>
  <c r="W701" i="10" s="1"/>
  <c r="M701" i="10" s="1"/>
  <c r="O701" i="10" s="1"/>
  <c r="S704" i="10"/>
  <c r="U704" i="10" s="1"/>
  <c r="W704" i="10" s="1"/>
  <c r="M704" i="10" s="1"/>
  <c r="O704" i="10" s="1"/>
  <c r="S732" i="10"/>
  <c r="U732" i="10" s="1"/>
  <c r="W732" i="10" s="1"/>
  <c r="M732" i="10" s="1"/>
  <c r="O732" i="10" s="1"/>
  <c r="S809" i="10"/>
  <c r="U809" i="10" s="1"/>
  <c r="W809" i="10" s="1"/>
  <c r="M809" i="10" s="1"/>
  <c r="O809" i="10" s="1"/>
  <c r="S807" i="10"/>
  <c r="S154" i="10"/>
  <c r="U154" i="10" s="1"/>
  <c r="W154" i="10" s="1"/>
  <c r="M154" i="10" s="1"/>
  <c r="O154" i="10" s="1"/>
  <c r="S128" i="10"/>
  <c r="U128" i="10" s="1"/>
  <c r="W128" i="10" s="1"/>
  <c r="M128" i="10" s="1"/>
  <c r="S281" i="10"/>
  <c r="U281" i="10" s="1"/>
  <c r="W281" i="10" s="1"/>
  <c r="M281" i="10" s="1"/>
  <c r="O281" i="10" s="1"/>
  <c r="S301" i="10"/>
  <c r="U301" i="10" s="1"/>
  <c r="W301" i="10" s="1"/>
  <c r="M301" i="10" s="1"/>
  <c r="O301" i="10" s="1"/>
  <c r="S391" i="10"/>
  <c r="U391" i="10" s="1"/>
  <c r="W391" i="10" s="1"/>
  <c r="M391" i="10" s="1"/>
  <c r="O391" i="10" s="1"/>
  <c r="S392" i="10"/>
  <c r="U392" i="10" s="1"/>
  <c r="W392" i="10" s="1"/>
  <c r="M392" i="10" s="1"/>
  <c r="O392" i="10" s="1"/>
  <c r="S538" i="10"/>
  <c r="U538" i="10" s="1"/>
  <c r="W538" i="10" s="1"/>
  <c r="M538" i="10" s="1"/>
  <c r="O538" i="10" s="1"/>
  <c r="S566" i="10"/>
  <c r="U566" i="10" s="1"/>
  <c r="W566" i="10" s="1"/>
  <c r="M566" i="10" s="1"/>
  <c r="O566" i="10" s="1"/>
  <c r="S541" i="10"/>
  <c r="U541" i="10" s="1"/>
  <c r="W541" i="10" s="1"/>
  <c r="M541" i="10" s="1"/>
  <c r="O541" i="10" s="1"/>
  <c r="S643" i="10"/>
  <c r="U643" i="10" s="1"/>
  <c r="W643" i="10" s="1"/>
  <c r="M643" i="10" s="1"/>
  <c r="O643" i="10" s="1"/>
  <c r="S619" i="10"/>
  <c r="U619" i="10" s="1"/>
  <c r="W619" i="10" s="1"/>
  <c r="M619" i="10" s="1"/>
  <c r="O619" i="10" s="1"/>
  <c r="S671" i="10"/>
  <c r="U671" i="10" s="1"/>
  <c r="W671" i="10" s="1"/>
  <c r="M671" i="10" s="1"/>
  <c r="O671" i="10" s="1"/>
  <c r="S761" i="10"/>
  <c r="U761" i="10" s="1"/>
  <c r="W761" i="10" s="1"/>
  <c r="M761" i="10" s="1"/>
  <c r="O761" i="10" s="1"/>
  <c r="S725" i="10"/>
  <c r="U725" i="10" s="1"/>
  <c r="W725" i="10" s="1"/>
  <c r="M725" i="10" s="1"/>
  <c r="O725" i="10" s="1"/>
  <c r="S729" i="10"/>
  <c r="U729" i="10" s="1"/>
  <c r="S760" i="10"/>
  <c r="U760" i="10" s="1"/>
  <c r="W760" i="10" s="1"/>
  <c r="M760" i="10" s="1"/>
  <c r="O760" i="10" s="1"/>
  <c r="S306" i="10"/>
  <c r="U306" i="10" s="1"/>
  <c r="W306" i="10" s="1"/>
  <c r="S147" i="10"/>
  <c r="U147" i="10" s="1"/>
  <c r="W147" i="10" s="1"/>
  <c r="M147" i="10" s="1"/>
  <c r="O147" i="10" s="1"/>
  <c r="S17" i="10"/>
  <c r="U17" i="10" s="1"/>
  <c r="W17" i="10" s="1"/>
  <c r="M17" i="10" s="1"/>
  <c r="O17" i="10" s="1"/>
  <c r="S310" i="10"/>
  <c r="U310" i="10" s="1"/>
  <c r="W310" i="10" s="1"/>
  <c r="M310" i="10" s="1"/>
  <c r="O310" i="10" s="1"/>
  <c r="S304" i="10"/>
  <c r="U304" i="10" s="1"/>
  <c r="W304" i="10" s="1"/>
  <c r="M304" i="10" s="1"/>
  <c r="O304" i="10" s="1"/>
  <c r="S397" i="10"/>
  <c r="U397" i="10" s="1"/>
  <c r="W397" i="10" s="1"/>
  <c r="M397" i="10" s="1"/>
  <c r="O397" i="10" s="1"/>
  <c r="S465" i="10"/>
  <c r="U465" i="10" s="1"/>
  <c r="W465" i="10" s="1"/>
  <c r="M465" i="10" s="1"/>
  <c r="O465" i="10" s="1"/>
  <c r="S591" i="10"/>
  <c r="U591" i="10" s="1"/>
  <c r="W591" i="10" s="1"/>
  <c r="M591" i="10" s="1"/>
  <c r="O591" i="10" s="1"/>
  <c r="S569" i="10"/>
  <c r="U569" i="10" s="1"/>
  <c r="W569" i="10" s="1"/>
  <c r="M569" i="10" s="1"/>
  <c r="O569" i="10" s="1"/>
  <c r="S562" i="10"/>
  <c r="U562" i="10" s="1"/>
  <c r="W562" i="10" s="1"/>
  <c r="M562" i="10" s="1"/>
  <c r="O562" i="10" s="1"/>
  <c r="S613" i="10"/>
  <c r="U613" i="10" s="1"/>
  <c r="W613" i="10" s="1"/>
  <c r="M613" i="10" s="1"/>
  <c r="O613" i="10" s="1"/>
  <c r="S641" i="10"/>
  <c r="U641" i="10" s="1"/>
  <c r="W641" i="10" s="1"/>
  <c r="M641" i="10" s="1"/>
  <c r="O641" i="10" s="1"/>
  <c r="S648" i="10"/>
  <c r="U648" i="10" s="1"/>
  <c r="W648" i="10" s="1"/>
  <c r="M648" i="10" s="1"/>
  <c r="O648" i="10" s="1"/>
  <c r="S751" i="10"/>
  <c r="U751" i="10" s="1"/>
  <c r="W751" i="10" s="1"/>
  <c r="M751" i="10" s="1"/>
  <c r="O751" i="10" s="1"/>
  <c r="S702" i="10"/>
  <c r="U702" i="10" s="1"/>
  <c r="W702" i="10" s="1"/>
  <c r="M702" i="10" s="1"/>
  <c r="O702" i="10" s="1"/>
  <c r="S705" i="10"/>
  <c r="U705" i="10" s="1"/>
  <c r="W705" i="10" s="1"/>
  <c r="M705" i="10" s="1"/>
  <c r="O705" i="10" s="1"/>
  <c r="S788" i="10"/>
  <c r="U788" i="10" s="1"/>
  <c r="W788" i="10" s="1"/>
  <c r="M788" i="10" s="1"/>
  <c r="O788" i="10" s="1"/>
  <c r="S785" i="10"/>
  <c r="U785" i="10" s="1"/>
  <c r="W785" i="10" s="1"/>
  <c r="M785" i="10" s="1"/>
  <c r="O785" i="10" s="1"/>
  <c r="S514" i="10"/>
  <c r="U514" i="10" s="1"/>
  <c r="W514" i="10" s="1"/>
  <c r="M514" i="10" s="1"/>
  <c r="O514" i="10" s="1"/>
  <c r="M110" i="10"/>
  <c r="O110" i="10" s="1"/>
  <c r="M22" i="10"/>
  <c r="O22" i="10" s="1"/>
  <c r="M257" i="10"/>
  <c r="O257" i="10" s="1"/>
  <c r="O330" i="10"/>
  <c r="M203" i="10"/>
  <c r="O203" i="10" s="1"/>
  <c r="M791" i="10"/>
  <c r="O791" i="10" s="1"/>
  <c r="M574" i="10"/>
  <c r="O574" i="10" s="1"/>
  <c r="M708" i="10"/>
  <c r="O708" i="10" s="1"/>
  <c r="M473" i="10"/>
  <c r="O473" i="10" s="1"/>
  <c r="M315" i="10"/>
  <c r="O315" i="10" s="1"/>
  <c r="M372" i="10"/>
  <c r="O372" i="10" s="1"/>
  <c r="O23" i="10"/>
  <c r="M729" i="10"/>
  <c r="O729" i="10" s="1"/>
  <c r="S47" i="10"/>
  <c r="U47" i="10" s="1"/>
  <c r="W47" i="10" s="1"/>
  <c r="S101" i="10"/>
  <c r="U101" i="10" s="1"/>
  <c r="W101" i="10" s="1"/>
  <c r="S129" i="10"/>
  <c r="U129" i="10" s="1"/>
  <c r="W129" i="10" s="1"/>
  <c r="S131" i="10"/>
  <c r="U131" i="10" s="1"/>
  <c r="W131" i="10" s="1"/>
  <c r="S152" i="10"/>
  <c r="U152" i="10" s="1"/>
  <c r="W152" i="10" s="1"/>
  <c r="S148" i="10"/>
  <c r="U148" i="10" s="1"/>
  <c r="W148" i="10" s="1"/>
  <c r="S100" i="10"/>
  <c r="U100" i="10" s="1"/>
  <c r="W100" i="10" s="1"/>
  <c r="S153" i="10"/>
  <c r="U153" i="10" s="1"/>
  <c r="W153" i="10" s="1"/>
  <c r="S103" i="10"/>
  <c r="U103" i="10" s="1"/>
  <c r="W103" i="10" s="1"/>
  <c r="S149" i="10"/>
  <c r="U149" i="10" s="1"/>
  <c r="W149" i="10" s="1"/>
  <c r="S107" i="10"/>
  <c r="U107" i="10" s="1"/>
  <c r="W107" i="10" s="1"/>
  <c r="S127" i="10"/>
  <c r="U127" i="10" s="1"/>
  <c r="W127" i="10" s="1"/>
  <c r="S104" i="10"/>
  <c r="U104" i="10" s="1"/>
  <c r="W104" i="10" s="1"/>
  <c r="S99" i="10"/>
  <c r="U99" i="10" s="1"/>
  <c r="W99" i="10" s="1"/>
  <c r="S102" i="10"/>
  <c r="U102" i="10" s="1"/>
  <c r="W102" i="10" s="1"/>
  <c r="S493" i="10"/>
  <c r="U493" i="10" s="1"/>
  <c r="W493" i="10" s="1"/>
  <c r="S462" i="10"/>
  <c r="U462" i="10" s="1"/>
  <c r="W462" i="10" s="1"/>
  <c r="S492" i="10"/>
  <c r="U492" i="10" s="1"/>
  <c r="W492" i="10" s="1"/>
  <c r="S1107" i="10"/>
  <c r="S1099" i="10"/>
  <c r="S1049" i="10"/>
  <c r="S1055" i="10"/>
  <c r="S1048" i="10"/>
  <c r="S1106" i="10"/>
  <c r="S1105" i="10"/>
  <c r="S1054" i="10"/>
  <c r="S1047" i="10"/>
  <c r="S1104" i="10"/>
  <c r="S1108" i="10"/>
  <c r="S1103" i="10"/>
  <c r="S1053" i="10"/>
  <c r="S1052" i="10"/>
  <c r="S1101" i="10"/>
  <c r="S1051" i="10"/>
  <c r="S1100" i="10"/>
  <c r="S1102" i="10"/>
  <c r="S1050" i="10"/>
  <c r="S463" i="10"/>
  <c r="U463" i="10" s="1"/>
  <c r="W463" i="10" s="1"/>
  <c r="S515" i="10"/>
  <c r="U515" i="10" s="1"/>
  <c r="W515" i="10" s="1"/>
  <c r="S494" i="10"/>
  <c r="U494" i="10" s="1"/>
  <c r="W494" i="10" s="1"/>
  <c r="S498" i="10"/>
  <c r="U498" i="10" s="1"/>
  <c r="W498" i="10" s="1"/>
  <c r="S518" i="10"/>
  <c r="U518" i="10" s="1"/>
  <c r="W518" i="10" s="1"/>
  <c r="S1046" i="10"/>
  <c r="S489" i="10"/>
  <c r="U489" i="10" s="1"/>
  <c r="W489" i="10" s="1"/>
  <c r="S468" i="10"/>
  <c r="U468" i="10" s="1"/>
  <c r="W468" i="10" s="1"/>
  <c r="S1076" i="10"/>
  <c r="U1076" i="10" s="1"/>
  <c r="S919" i="10"/>
  <c r="U919" i="10" s="1"/>
  <c r="S466" i="10"/>
  <c r="U466" i="10" s="1"/>
  <c r="W466" i="10" s="1"/>
  <c r="S1073" i="10"/>
  <c r="U1073" i="10" s="1"/>
  <c r="S918" i="10"/>
  <c r="U918" i="10" s="1"/>
  <c r="S1127" i="10"/>
  <c r="U1127" i="10" s="1"/>
  <c r="S915" i="10"/>
  <c r="U915" i="10" s="1"/>
  <c r="S947" i="10"/>
  <c r="U947" i="10" s="1"/>
  <c r="S1071" i="10"/>
  <c r="U1071" i="10" s="1"/>
  <c r="S917" i="10"/>
  <c r="U917" i="10" s="1"/>
  <c r="S1126" i="10"/>
  <c r="U1126" i="10" s="1"/>
  <c r="S943" i="10"/>
  <c r="U943" i="10" s="1"/>
  <c r="O943" i="10" s="1"/>
  <c r="S923" i="10"/>
  <c r="U923" i="10" s="1"/>
  <c r="S914" i="10"/>
  <c r="U914" i="10" s="1"/>
  <c r="S1080" i="10"/>
  <c r="U1080" i="10" s="1"/>
  <c r="S926" i="10"/>
  <c r="U926" i="10" s="1"/>
  <c r="S916" i="10"/>
  <c r="U916" i="10" s="1"/>
  <c r="S1125" i="10"/>
  <c r="U1125" i="10" s="1"/>
  <c r="S1079" i="10"/>
  <c r="U1079" i="10" s="1"/>
  <c r="S1124" i="10"/>
  <c r="U1124" i="10" s="1"/>
  <c r="S922" i="10"/>
  <c r="U922" i="10" s="1"/>
  <c r="S1075" i="10"/>
  <c r="U1075" i="10" s="1"/>
  <c r="S921" i="10"/>
  <c r="U921" i="10" s="1"/>
  <c r="S1130" i="10"/>
  <c r="U1130" i="10" s="1"/>
  <c r="S946" i="10"/>
  <c r="U946" i="10" s="1"/>
  <c r="S945" i="10"/>
  <c r="U945" i="10" s="1"/>
  <c r="S944" i="10"/>
  <c r="U944" i="10" s="1"/>
  <c r="S1074" i="10"/>
  <c r="U1074" i="10" s="1"/>
  <c r="S920" i="10"/>
  <c r="U920" i="10" s="1"/>
  <c r="S1129" i="10"/>
  <c r="U1129" i="10" s="1"/>
  <c r="S1072" i="10"/>
  <c r="U1072" i="10" s="1"/>
  <c r="S1128" i="10"/>
  <c r="U1128" i="10" s="1"/>
  <c r="S198" i="10"/>
  <c r="U198" i="10" s="1"/>
  <c r="W198" i="10" s="1"/>
  <c r="S199" i="10"/>
  <c r="U199" i="10" s="1"/>
  <c r="W199" i="10" s="1"/>
  <c r="S177" i="10"/>
  <c r="U177" i="10" s="1"/>
  <c r="W177" i="10" s="1"/>
  <c r="S173" i="10"/>
  <c r="U173" i="10" s="1"/>
  <c r="W173" i="10" s="1"/>
  <c r="S249" i="10"/>
  <c r="U249" i="10" s="1"/>
  <c r="W249" i="10" s="1"/>
  <c r="S250" i="10"/>
  <c r="U250" i="10" s="1"/>
  <c r="W250" i="10" s="1"/>
  <c r="S222" i="10"/>
  <c r="U222" i="10" s="1"/>
  <c r="W222" i="10" s="1"/>
  <c r="S252" i="10"/>
  <c r="U252" i="10" s="1"/>
  <c r="W252" i="10" s="1"/>
  <c r="S246" i="10"/>
  <c r="U246" i="10" s="1"/>
  <c r="W246" i="10" s="1"/>
  <c r="S226" i="10"/>
  <c r="U226" i="10" s="1"/>
  <c r="W226" i="10" s="1"/>
  <c r="S245" i="10"/>
  <c r="U245" i="10" s="1"/>
  <c r="W245" i="10" s="1"/>
  <c r="S439" i="10"/>
  <c r="U439" i="10" s="1"/>
  <c r="W439" i="10" s="1"/>
  <c r="S441" i="10"/>
  <c r="U441" i="10" s="1"/>
  <c r="W441" i="10" s="1"/>
  <c r="S248" i="10"/>
  <c r="U248" i="10" s="1"/>
  <c r="W248" i="10" s="1"/>
  <c r="S251" i="10"/>
  <c r="U251" i="10" s="1"/>
  <c r="W251" i="10" s="1"/>
  <c r="S255" i="10"/>
  <c r="U255" i="10" s="1"/>
  <c r="W255" i="10" s="1"/>
  <c r="S438" i="10"/>
  <c r="U438" i="10" s="1"/>
  <c r="W438" i="10" s="1"/>
  <c r="S256" i="10"/>
  <c r="U256" i="10" s="1"/>
  <c r="W256" i="10" s="1"/>
  <c r="S219" i="10"/>
  <c r="U219" i="10" s="1"/>
  <c r="W219" i="10" s="1"/>
  <c r="S442" i="10"/>
  <c r="U442" i="10" s="1"/>
  <c r="W442" i="10" s="1"/>
  <c r="S220" i="10"/>
  <c r="U220" i="10" s="1"/>
  <c r="W220" i="10" s="1"/>
  <c r="S221" i="10"/>
  <c r="U221" i="10" s="1"/>
  <c r="W221" i="10" s="1"/>
  <c r="S247" i="10"/>
  <c r="U247" i="10" s="1"/>
  <c r="W247" i="10" s="1"/>
  <c r="S445" i="10"/>
  <c r="U445" i="10" s="1"/>
  <c r="W445" i="10" s="1"/>
  <c r="S446" i="10"/>
  <c r="U446" i="10" s="1"/>
  <c r="W446" i="10" s="1"/>
  <c r="S440" i="10"/>
  <c r="U440" i="10" s="1"/>
  <c r="W440" i="10" s="1"/>
  <c r="S225" i="10"/>
  <c r="U225" i="10" s="1"/>
  <c r="W225" i="10" s="1"/>
  <c r="S244" i="10"/>
  <c r="U244" i="10" s="1"/>
  <c r="W244" i="10" s="1"/>
  <c r="S196" i="10"/>
  <c r="U196" i="10" s="1"/>
  <c r="W196" i="10" s="1"/>
  <c r="S174" i="10"/>
  <c r="U174" i="10" s="1"/>
  <c r="W174" i="10" s="1"/>
  <c r="S185" i="10"/>
  <c r="U185" i="10" s="1"/>
  <c r="W185" i="10" s="1"/>
  <c r="S175" i="10"/>
  <c r="U175" i="10" s="1"/>
  <c r="W175" i="10" s="1"/>
  <c r="S172" i="10"/>
  <c r="U172" i="10" s="1"/>
  <c r="W172" i="10" s="1"/>
  <c r="S176" i="10"/>
  <c r="U176" i="10" s="1"/>
  <c r="W176" i="10" s="1"/>
  <c r="S197" i="10"/>
  <c r="U197" i="10" s="1"/>
  <c r="W197" i="10" s="1"/>
  <c r="S202" i="10"/>
  <c r="U202" i="10" s="1"/>
  <c r="W202" i="10" s="1"/>
  <c r="S200" i="10"/>
  <c r="U200" i="10" s="1"/>
  <c r="W200" i="10" s="1"/>
  <c r="S201" i="10"/>
  <c r="U201" i="10" s="1"/>
  <c r="W201" i="10" s="1"/>
  <c r="S366" i="10"/>
  <c r="U366" i="10" s="1"/>
  <c r="W366" i="10" s="1"/>
  <c r="S418" i="10"/>
  <c r="U418" i="10" s="1"/>
  <c r="W418" i="10" s="1"/>
  <c r="S334" i="10"/>
  <c r="U334" i="10" s="1"/>
  <c r="W334" i="10" s="1"/>
  <c r="S336" i="10"/>
  <c r="U336" i="10" s="1"/>
  <c r="W336" i="10" s="1"/>
  <c r="S421" i="10"/>
  <c r="U421" i="10" s="1"/>
  <c r="W421" i="10" s="1"/>
  <c r="S359" i="10"/>
  <c r="U359" i="10" s="1"/>
  <c r="W359" i="10" s="1"/>
  <c r="S370" i="10"/>
  <c r="U370" i="10" s="1"/>
  <c r="W370" i="10" s="1"/>
  <c r="S361" i="10"/>
  <c r="U361" i="10" s="1"/>
  <c r="W361" i="10" s="1"/>
  <c r="S335" i="10"/>
  <c r="U335" i="10" s="1"/>
  <c r="W335" i="10" s="1"/>
  <c r="S333" i="10"/>
  <c r="U333" i="10" s="1"/>
  <c r="W333" i="10" s="1"/>
  <c r="S416" i="10"/>
  <c r="U416" i="10" s="1"/>
  <c r="W416" i="10" s="1"/>
  <c r="S363" i="10"/>
  <c r="U363" i="10" s="1"/>
  <c r="W363" i="10" s="1"/>
  <c r="S339" i="10"/>
  <c r="U339" i="10" s="1"/>
  <c r="W339" i="10" s="1"/>
  <c r="S371" i="10"/>
  <c r="U371" i="10" s="1"/>
  <c r="W371" i="10" s="1"/>
  <c r="S331" i="10"/>
  <c r="S332" i="10"/>
  <c r="U332" i="10" s="1"/>
  <c r="W332" i="10" s="1"/>
  <c r="S364" i="10"/>
  <c r="U364" i="10" s="1"/>
  <c r="W364" i="10" s="1"/>
  <c r="S358" i="10"/>
  <c r="U358" i="10" s="1"/>
  <c r="W358" i="10" s="1"/>
  <c r="S422" i="10"/>
  <c r="U422" i="10" s="1"/>
  <c r="W422" i="10" s="1"/>
  <c r="S365" i="10"/>
  <c r="U365" i="10" s="1"/>
  <c r="W365" i="10" s="1"/>
  <c r="S367" i="10"/>
  <c r="U367" i="10" s="1"/>
  <c r="W367" i="10" s="1"/>
  <c r="S417" i="10"/>
  <c r="U417" i="10" s="1"/>
  <c r="W417" i="10" s="1"/>
  <c r="S415" i="10"/>
  <c r="U415" i="10" s="1"/>
  <c r="W415" i="10" s="1"/>
  <c r="S360" i="10"/>
  <c r="S340" i="10"/>
  <c r="U340" i="10" s="1"/>
  <c r="W340" i="10" s="1"/>
  <c r="S362" i="10"/>
  <c r="U362" i="10" s="1"/>
  <c r="W362" i="10" s="1"/>
  <c r="S414" i="10"/>
  <c r="U414" i="10" s="1"/>
  <c r="W414" i="10" s="1"/>
  <c r="S413" i="10"/>
  <c r="S57" i="10"/>
  <c r="U57" i="10" s="1"/>
  <c r="W57" i="10" s="1"/>
  <c r="M57" i="10" s="1"/>
  <c r="S644" i="10"/>
  <c r="S622" i="10"/>
  <c r="S84" i="10"/>
  <c r="U84" i="10" s="1"/>
  <c r="W84" i="10" s="1"/>
  <c r="M84" i="10" s="1"/>
  <c r="S58" i="10"/>
  <c r="U58" i="10" s="1"/>
  <c r="W58" i="10" s="1"/>
  <c r="S48" i="10"/>
  <c r="U48" i="10" s="1"/>
  <c r="W48" i="10" s="1"/>
  <c r="S19" i="10"/>
  <c r="U19" i="10" s="1"/>
  <c r="W19" i="10" s="1"/>
  <c r="S82" i="10"/>
  <c r="U82" i="10" s="1"/>
  <c r="W82" i="10" s="1"/>
  <c r="M82" i="10" s="1"/>
  <c r="S45" i="10"/>
  <c r="U45" i="10" s="1"/>
  <c r="W45" i="10" s="1"/>
  <c r="S53" i="10"/>
  <c r="U53" i="10" s="1"/>
  <c r="W53" i="10" s="1"/>
  <c r="M53" i="10" s="1"/>
  <c r="S78" i="10"/>
  <c r="U78" i="10" s="1"/>
  <c r="W78" i="10" s="1"/>
  <c r="M78" i="10" s="1"/>
  <c r="S77" i="10"/>
  <c r="U77" i="10" s="1"/>
  <c r="W77" i="10" s="1"/>
  <c r="M77" i="10" s="1"/>
  <c r="S24" i="10"/>
  <c r="U24" i="10" s="1"/>
  <c r="W24" i="10" s="1"/>
  <c r="S21" i="10"/>
  <c r="U21" i="10" s="1"/>
  <c r="W21" i="10" s="1"/>
  <c r="S75" i="10"/>
  <c r="U75" i="10" s="1"/>
  <c r="W75" i="10" s="1"/>
  <c r="M75" i="10" s="1"/>
  <c r="S49" i="10"/>
  <c r="U49" i="10" s="1"/>
  <c r="W49" i="10" s="1"/>
  <c r="S83" i="10"/>
  <c r="U83" i="10" s="1"/>
  <c r="W83" i="10" s="1"/>
  <c r="M83" i="10" s="1"/>
  <c r="S46" i="10"/>
  <c r="U46" i="10" s="1"/>
  <c r="W46" i="10" s="1"/>
  <c r="S18" i="10"/>
  <c r="U18" i="10" s="1"/>
  <c r="W18" i="10" s="1"/>
  <c r="S56" i="10"/>
  <c r="U56" i="10" s="1"/>
  <c r="W56" i="10" s="1"/>
  <c r="M56" i="10" s="1"/>
  <c r="S26" i="10"/>
  <c r="U26" i="10" s="1"/>
  <c r="W26" i="10" s="1"/>
  <c r="S52" i="10"/>
  <c r="U52" i="10" s="1"/>
  <c r="W52" i="10" s="1"/>
  <c r="M52" i="10" s="1"/>
  <c r="S25" i="10"/>
  <c r="U25" i="10" s="1"/>
  <c r="W25" i="10" s="1"/>
  <c r="S51" i="10"/>
  <c r="U51" i="10" s="1"/>
  <c r="W51" i="10" s="1"/>
  <c r="M51" i="10" s="1"/>
  <c r="S76" i="10"/>
  <c r="U76" i="10" s="1"/>
  <c r="W76" i="10" s="1"/>
  <c r="M76" i="10" s="1"/>
  <c r="S79" i="10"/>
  <c r="U79" i="10" s="1"/>
  <c r="W79" i="10" s="1"/>
  <c r="M79" i="10" s="1"/>
  <c r="S20" i="10"/>
  <c r="U20" i="10" s="1"/>
  <c r="W20" i="10" s="1"/>
  <c r="S50" i="10"/>
  <c r="U50" i="10" s="1"/>
  <c r="W50" i="10" s="1"/>
  <c r="N778" i="10" l="1"/>
  <c r="O778" i="10" s="1"/>
  <c r="N747" i="10"/>
  <c r="O747" i="10" s="1"/>
  <c r="N297" i="10"/>
  <c r="O297" i="10" s="1"/>
  <c r="N328" i="10"/>
  <c r="N721" i="10"/>
  <c r="O721" i="10" s="1"/>
  <c r="N636" i="10"/>
  <c r="O636" i="10" s="1"/>
  <c r="N587" i="10"/>
  <c r="O587" i="10" s="1"/>
  <c r="N609" i="10"/>
  <c r="O609" i="10" s="1"/>
  <c r="N804" i="10"/>
  <c r="O804" i="10" s="1"/>
  <c r="N410" i="10"/>
  <c r="O410" i="10" s="1"/>
  <c r="N558" i="10"/>
  <c r="O558" i="10" s="1"/>
  <c r="N828" i="10"/>
  <c r="O828" i="10" s="1"/>
  <c r="N667" i="10"/>
  <c r="O667" i="10" s="1"/>
  <c r="N691" i="10"/>
  <c r="O691" i="10" s="1"/>
  <c r="M614" i="10"/>
  <c r="O614" i="10" s="1"/>
  <c r="M944" i="10"/>
  <c r="O944" i="10" s="1"/>
  <c r="M1126" i="10"/>
  <c r="O1126" i="10" s="1"/>
  <c r="M945" i="10"/>
  <c r="O945" i="10" s="1"/>
  <c r="M1125" i="10"/>
  <c r="O1125" i="10" s="1"/>
  <c r="M946" i="10"/>
  <c r="O946" i="10" s="1"/>
  <c r="O1128" i="10"/>
  <c r="O1130" i="10"/>
  <c r="M947" i="10"/>
  <c r="O947" i="10" s="1"/>
  <c r="M919" i="10"/>
  <c r="O919" i="10" s="1"/>
  <c r="M1124" i="10"/>
  <c r="O1124" i="10" s="1"/>
  <c r="M1076" i="10"/>
  <c r="O1076" i="10" s="1"/>
  <c r="M1129" i="10"/>
  <c r="O1129" i="10" s="1"/>
  <c r="M1127" i="10"/>
  <c r="O1127" i="10" s="1"/>
  <c r="M358" i="10"/>
  <c r="O358" i="10" s="1"/>
  <c r="M153" i="10"/>
  <c r="O153" i="10" s="1"/>
  <c r="M20" i="10"/>
  <c r="O20" i="10" s="1"/>
  <c r="M18" i="10"/>
  <c r="O18" i="10" s="1"/>
  <c r="M497" i="10"/>
  <c r="O497" i="10" s="1"/>
  <c r="M340" i="10"/>
  <c r="O340" i="10" s="1"/>
  <c r="M364" i="10"/>
  <c r="O364" i="10" s="1"/>
  <c r="M335" i="10"/>
  <c r="O335" i="10" s="1"/>
  <c r="M366" i="10"/>
  <c r="O366" i="10" s="1"/>
  <c r="M247" i="10"/>
  <c r="O247" i="10" s="1"/>
  <c r="M251" i="10"/>
  <c r="O251" i="10" s="1"/>
  <c r="M222" i="10"/>
  <c r="O222" i="10" s="1"/>
  <c r="M515" i="10"/>
  <c r="O515" i="10" s="1"/>
  <c r="M102" i="10"/>
  <c r="O102" i="10" s="1"/>
  <c r="M100" i="10"/>
  <c r="O100" i="10" s="1"/>
  <c r="M362" i="10"/>
  <c r="O362" i="10" s="1"/>
  <c r="M255" i="10"/>
  <c r="O255" i="10" s="1"/>
  <c r="M332" i="10"/>
  <c r="O332" i="10" s="1"/>
  <c r="M361" i="10"/>
  <c r="O361" i="10" s="1"/>
  <c r="M201" i="10"/>
  <c r="O201" i="10" s="1"/>
  <c r="M174" i="10"/>
  <c r="O174" i="10" s="1"/>
  <c r="M221" i="10"/>
  <c r="O221" i="10" s="1"/>
  <c r="M248" i="10"/>
  <c r="O248" i="10" s="1"/>
  <c r="M250" i="10"/>
  <c r="O250" i="10" s="1"/>
  <c r="M463" i="10"/>
  <c r="O463" i="10" s="1"/>
  <c r="M99" i="10"/>
  <c r="O99" i="10" s="1"/>
  <c r="M148" i="10"/>
  <c r="O148" i="10" s="1"/>
  <c r="M45" i="10"/>
  <c r="M415" i="10"/>
  <c r="O415" i="10" s="1"/>
  <c r="M370" i="10"/>
  <c r="O370" i="10" s="1"/>
  <c r="M200" i="10"/>
  <c r="O200" i="10" s="1"/>
  <c r="M196" i="10"/>
  <c r="O196" i="10" s="1"/>
  <c r="M220" i="10"/>
  <c r="O220" i="10" s="1"/>
  <c r="M441" i="10"/>
  <c r="O441" i="10" s="1"/>
  <c r="M249" i="10"/>
  <c r="O249" i="10" s="1"/>
  <c r="M468" i="10"/>
  <c r="O468" i="10" s="1"/>
  <c r="M104" i="10"/>
  <c r="O104" i="10" s="1"/>
  <c r="M152" i="10"/>
  <c r="O152" i="10" s="1"/>
  <c r="M445" i="10"/>
  <c r="O445" i="10" s="1"/>
  <c r="M493" i="10"/>
  <c r="O493" i="10" s="1"/>
  <c r="M49" i="10"/>
  <c r="M417" i="10"/>
  <c r="O417" i="10" s="1"/>
  <c r="M371" i="10"/>
  <c r="O371" i="10" s="1"/>
  <c r="M359" i="10"/>
  <c r="O359" i="10" s="1"/>
  <c r="M202" i="10"/>
  <c r="O202" i="10" s="1"/>
  <c r="M244" i="10"/>
  <c r="O244" i="10" s="1"/>
  <c r="M442" i="10"/>
  <c r="O442" i="10" s="1"/>
  <c r="M439" i="10"/>
  <c r="O439" i="10" s="1"/>
  <c r="M173" i="10"/>
  <c r="O173" i="10" s="1"/>
  <c r="M489" i="10"/>
  <c r="O489" i="10" s="1"/>
  <c r="M127" i="10"/>
  <c r="M131" i="10"/>
  <c r="M50" i="10"/>
  <c r="M418" i="10"/>
  <c r="O418" i="10" s="1"/>
  <c r="M494" i="10"/>
  <c r="O494" i="10" s="1"/>
  <c r="M25" i="10"/>
  <c r="O25" i="10" s="1"/>
  <c r="M19" i="10"/>
  <c r="O19" i="10" s="1"/>
  <c r="M367" i="10"/>
  <c r="O367" i="10" s="1"/>
  <c r="M339" i="10"/>
  <c r="O339" i="10" s="1"/>
  <c r="M421" i="10"/>
  <c r="O421" i="10" s="1"/>
  <c r="M197" i="10"/>
  <c r="O197" i="10" s="1"/>
  <c r="M225" i="10"/>
  <c r="O225" i="10" s="1"/>
  <c r="M219" i="10"/>
  <c r="O219" i="10" s="1"/>
  <c r="M245" i="10"/>
  <c r="O245" i="10" s="1"/>
  <c r="M177" i="10"/>
  <c r="O177" i="10" s="1"/>
  <c r="M107" i="10"/>
  <c r="M129" i="10"/>
  <c r="M333" i="10"/>
  <c r="O333" i="10" s="1"/>
  <c r="M252" i="10"/>
  <c r="O252" i="10" s="1"/>
  <c r="M48" i="10"/>
  <c r="M365" i="10"/>
  <c r="O365" i="10" s="1"/>
  <c r="M363" i="10"/>
  <c r="O363" i="10" s="1"/>
  <c r="M336" i="10"/>
  <c r="O336" i="10" s="1"/>
  <c r="M176" i="10"/>
  <c r="O176" i="10" s="1"/>
  <c r="M440" i="10"/>
  <c r="O440" i="10" s="1"/>
  <c r="M256" i="10"/>
  <c r="O256" i="10" s="1"/>
  <c r="M226" i="10"/>
  <c r="O226" i="10" s="1"/>
  <c r="M199" i="10"/>
  <c r="O199" i="10" s="1"/>
  <c r="M472" i="10"/>
  <c r="O472" i="10" s="1"/>
  <c r="M518" i="10"/>
  <c r="O518" i="10" s="1"/>
  <c r="N535" i="10" s="1"/>
  <c r="M492" i="10"/>
  <c r="O492" i="10" s="1"/>
  <c r="M149" i="10"/>
  <c r="O149" i="10" s="1"/>
  <c r="M101" i="10"/>
  <c r="O101" i="10" s="1"/>
  <c r="M175" i="10"/>
  <c r="O175" i="10" s="1"/>
  <c r="M466" i="10"/>
  <c r="O466" i="10" s="1"/>
  <c r="M46" i="10"/>
  <c r="M21" i="10"/>
  <c r="O21" i="10" s="1"/>
  <c r="M26" i="10"/>
  <c r="O26" i="10" s="1"/>
  <c r="M24" i="10"/>
  <c r="O24" i="10" s="1"/>
  <c r="M58" i="10"/>
  <c r="O58" i="10" s="1"/>
  <c r="M414" i="10"/>
  <c r="O414" i="10" s="1"/>
  <c r="M422" i="10"/>
  <c r="O422" i="10" s="1"/>
  <c r="M416" i="10"/>
  <c r="O416" i="10" s="1"/>
  <c r="M334" i="10"/>
  <c r="O334" i="10" s="1"/>
  <c r="M172" i="10"/>
  <c r="O172" i="10" s="1"/>
  <c r="M446" i="10"/>
  <c r="O446" i="10" s="1"/>
  <c r="M438" i="10"/>
  <c r="O438" i="10" s="1"/>
  <c r="M246" i="10"/>
  <c r="O246" i="10" s="1"/>
  <c r="M198" i="10"/>
  <c r="O198" i="10" s="1"/>
  <c r="M306" i="10"/>
  <c r="O306" i="10" s="1"/>
  <c r="M498" i="10"/>
  <c r="O498" i="10" s="1"/>
  <c r="M462" i="10"/>
  <c r="O462" i="10" s="1"/>
  <c r="M103" i="10"/>
  <c r="O103" i="10" s="1"/>
  <c r="M47" i="10"/>
  <c r="N241" i="10" l="1"/>
  <c r="O241" i="10" s="1"/>
  <c r="N169" i="10"/>
  <c r="O169" i="10" s="1"/>
  <c r="N270" i="10"/>
  <c r="O270" i="10" s="1"/>
  <c r="N355" i="10"/>
  <c r="O355" i="10" s="1"/>
  <c r="N511" i="10"/>
  <c r="N1143" i="10"/>
  <c r="N192" i="10"/>
  <c r="O192" i="10" s="1"/>
  <c r="N486" i="10"/>
  <c r="O486" i="10" s="1"/>
  <c r="N962" i="10"/>
  <c r="O962" i="10" s="1"/>
  <c r="N216" i="10"/>
  <c r="O216" i="10" s="1"/>
  <c r="N385" i="10"/>
  <c r="O385" i="10" s="1"/>
  <c r="N435" i="10"/>
  <c r="O435" i="10" s="1"/>
  <c r="N459" i="10"/>
  <c r="O459" i="10" s="1"/>
  <c r="O511" i="10"/>
  <c r="O1143" i="10"/>
  <c r="O535" i="10"/>
  <c r="O940" i="10"/>
  <c r="O1096" i="10"/>
  <c r="O328" i="10"/>
  <c r="O126" i="10" l="1"/>
  <c r="O109" i="10"/>
  <c r="O128" i="10"/>
  <c r="O129" i="10"/>
  <c r="O108" i="10"/>
  <c r="O127" i="10"/>
  <c r="O107" i="10"/>
  <c r="N123" i="10" s="1"/>
  <c r="O131" i="10"/>
  <c r="O130" i="10"/>
  <c r="N144" i="10" l="1"/>
  <c r="O144" i="10" s="1"/>
  <c r="O123" i="10"/>
  <c r="O27" i="10"/>
  <c r="O28" i="10"/>
  <c r="O50" i="10"/>
  <c r="O44" i="10"/>
  <c r="O45" i="10"/>
  <c r="O80" i="10"/>
  <c r="O75" i="10"/>
  <c r="O81" i="10"/>
  <c r="O82" i="10"/>
  <c r="O83" i="10"/>
  <c r="O77" i="10"/>
  <c r="O84" i="10"/>
  <c r="O78" i="10"/>
  <c r="O79" i="10"/>
  <c r="O51" i="10"/>
  <c r="O46" i="10"/>
  <c r="O49" i="10"/>
  <c r="O53" i="10"/>
  <c r="O52" i="10"/>
  <c r="O47" i="10"/>
  <c r="O48" i="10"/>
  <c r="K2" i="20"/>
  <c r="N96" i="10" l="1"/>
  <c r="N41" i="10"/>
  <c r="K3" i="20"/>
  <c r="O41" i="10" l="1"/>
  <c r="A113" i="2" a="1"/>
  <c r="K4" i="20"/>
  <c r="A113" i="2" l="1"/>
  <c r="L146" i="2"/>
  <c r="D26" i="26"/>
  <c r="A14" i="26"/>
  <c r="A13" i="26"/>
  <c r="A12" i="26"/>
  <c r="C15" i="19" l="1" a="1"/>
  <c r="C15" i="19" s="1"/>
  <c r="C14" i="19" a="1"/>
  <c r="C14" i="19" s="1"/>
  <c r="C13" i="19" a="1"/>
  <c r="C13" i="19" s="1"/>
  <c r="C19" i="19" a="1"/>
  <c r="C19" i="19" s="1"/>
  <c r="C20" i="19" a="1"/>
  <c r="C20" i="19" s="1"/>
  <c r="B20" i="22" s="1"/>
  <c r="C7" i="19" a="1"/>
  <c r="C7" i="19" s="1"/>
  <c r="B7" i="22" s="1"/>
  <c r="D7" i="22" s="1"/>
  <c r="C18" i="19" a="1"/>
  <c r="C18" i="19" s="1"/>
  <c r="C17" i="19" a="1"/>
  <c r="C17" i="19" s="1"/>
  <c r="C6" i="19" a="1"/>
  <c r="C6" i="19" s="1"/>
  <c r="C5" i="19" a="1"/>
  <c r="C5" i="19" s="1"/>
  <c r="C16" i="19" a="1"/>
  <c r="C16" i="19" s="1"/>
  <c r="C11" i="19" a="1"/>
  <c r="C11" i="19" s="1"/>
  <c r="C22" i="19" a="1"/>
  <c r="C22" i="19" s="1"/>
  <c r="B22" i="22" s="1"/>
  <c r="D22" i="22" s="1"/>
  <c r="C8" i="19" a="1"/>
  <c r="C8" i="19" s="1"/>
  <c r="C9" i="19" a="1"/>
  <c r="C9" i="19" s="1"/>
  <c r="C10" i="19" a="1"/>
  <c r="C10" i="19" s="1"/>
  <c r="C21" i="19" a="1"/>
  <c r="C21" i="19" s="1"/>
  <c r="C12" i="19" a="1"/>
  <c r="C12" i="19" s="1"/>
  <c r="D27" i="26"/>
  <c r="A16" i="26"/>
  <c r="A15" i="26"/>
  <c r="C8" i="26"/>
  <c r="G7" i="26"/>
  <c r="C7" i="26"/>
  <c r="G6" i="26"/>
  <c r="C6" i="26"/>
  <c r="E26" i="20" l="1"/>
  <c r="G26" i="20" s="1"/>
  <c r="B28" i="42" s="1"/>
  <c r="E26" i="32"/>
  <c r="G26" i="32" s="1"/>
  <c r="E24" i="20"/>
  <c r="G24" i="20" s="1"/>
  <c r="B26" i="42" s="1"/>
  <c r="E24" i="32"/>
  <c r="G24" i="32" s="1"/>
  <c r="E23" i="32"/>
  <c r="G23" i="32" s="1"/>
  <c r="E23" i="20"/>
  <c r="G23" i="20" s="1"/>
  <c r="B25" i="42" s="1"/>
  <c r="E22" i="20"/>
  <c r="G22" i="20" s="1"/>
  <c r="B24" i="42" s="1"/>
  <c r="E22" i="32"/>
  <c r="G22" i="32" s="1"/>
  <c r="E25" i="32"/>
  <c r="G25" i="32" s="1"/>
  <c r="E25" i="20"/>
  <c r="G25" i="20" s="1"/>
  <c r="B27" i="42" s="1"/>
  <c r="B5" i="22"/>
  <c r="D5" i="22" s="1"/>
  <c r="E4" i="20"/>
  <c r="G4" i="20" s="1"/>
  <c r="E4" i="32"/>
  <c r="G4" i="32" s="1"/>
  <c r="E19" i="20"/>
  <c r="G19" i="20" s="1"/>
  <c r="B21" i="42" s="1"/>
  <c r="E19" i="32"/>
  <c r="G19" i="32" s="1"/>
  <c r="E16" i="20"/>
  <c r="G16" i="20" s="1"/>
  <c r="B18" i="42" s="1"/>
  <c r="E16" i="32"/>
  <c r="G16" i="32" s="1"/>
  <c r="E5" i="32"/>
  <c r="G5" i="32" s="1"/>
  <c r="B6" i="22"/>
  <c r="D6" i="22" s="1"/>
  <c r="E5" i="20"/>
  <c r="G5" i="20" s="1"/>
  <c r="B7" i="42" s="1"/>
  <c r="E10" i="20"/>
  <c r="G10" i="20" s="1"/>
  <c r="B12" i="42" s="1"/>
  <c r="E10" i="32"/>
  <c r="G10" i="32" s="1"/>
  <c r="B11" i="22"/>
  <c r="B10" i="22"/>
  <c r="E9" i="20"/>
  <c r="G9" i="20" s="1"/>
  <c r="B11" i="42" s="1"/>
  <c r="E9" i="32"/>
  <c r="G9" i="32" s="1"/>
  <c r="E12" i="20"/>
  <c r="G12" i="20" s="1"/>
  <c r="B14" i="42" s="1"/>
  <c r="E12" i="32"/>
  <c r="G12" i="32" s="1"/>
  <c r="E6" i="20"/>
  <c r="G6" i="20" s="1"/>
  <c r="B8" i="42" s="1"/>
  <c r="E6" i="32"/>
  <c r="G6" i="32" s="1"/>
  <c r="E11" i="20"/>
  <c r="G11" i="20" s="1"/>
  <c r="B13" i="42" s="1"/>
  <c r="E11" i="32"/>
  <c r="G11" i="32" s="1"/>
  <c r="E18" i="32"/>
  <c r="G18" i="32" s="1"/>
  <c r="E18" i="20"/>
  <c r="G18" i="20" s="1"/>
  <c r="B20" i="42" s="1"/>
  <c r="B19" i="22"/>
  <c r="D19" i="22" s="1"/>
  <c r="F19" i="22" s="1"/>
  <c r="E21" i="20"/>
  <c r="G21" i="20" s="1"/>
  <c r="B23" i="42" s="1"/>
  <c r="E21" i="32"/>
  <c r="G21" i="32" s="1"/>
  <c r="E20" i="32"/>
  <c r="G20" i="32" s="1"/>
  <c r="K20" i="32" s="1"/>
  <c r="B21" i="22"/>
  <c r="D21" i="22" s="1"/>
  <c r="F21" i="22" s="1"/>
  <c r="E20" i="20"/>
  <c r="G20" i="20" s="1"/>
  <c r="B22" i="42" s="1"/>
  <c r="E14" i="32"/>
  <c r="G14" i="32" s="1"/>
  <c r="E14" i="20"/>
  <c r="G14" i="20" s="1"/>
  <c r="B16" i="42" s="1"/>
  <c r="E15" i="20"/>
  <c r="G15" i="20" s="1"/>
  <c r="B17" i="42" s="1"/>
  <c r="E15" i="32"/>
  <c r="G15" i="32" s="1"/>
  <c r="E8" i="32"/>
  <c r="G8" i="32" s="1"/>
  <c r="E8" i="20"/>
  <c r="G8" i="20" s="1"/>
  <c r="B10" i="42" s="1"/>
  <c r="B8" i="22"/>
  <c r="E7" i="20"/>
  <c r="G7" i="20" s="1"/>
  <c r="B9" i="42" s="1"/>
  <c r="E7" i="32"/>
  <c r="G7" i="32" s="1"/>
  <c r="E13" i="20"/>
  <c r="G13" i="20" s="1"/>
  <c r="B15" i="42" s="1"/>
  <c r="E13" i="32"/>
  <c r="G13" i="32" s="1"/>
  <c r="E17" i="20"/>
  <c r="G17" i="20" s="1"/>
  <c r="B19" i="42" s="1"/>
  <c r="E17" i="32"/>
  <c r="G17" i="32" s="1"/>
  <c r="B18" i="22"/>
  <c r="D18" i="22" s="1"/>
  <c r="F18" i="22" s="1"/>
  <c r="B23" i="22"/>
  <c r="D23" i="22" s="1"/>
  <c r="F23" i="22" s="1"/>
  <c r="F22" i="22"/>
  <c r="B16" i="22"/>
  <c r="D20" i="22"/>
  <c r="F20" i="22" s="1"/>
  <c r="B24" i="22"/>
  <c r="K26" i="32" l="1"/>
  <c r="L26" i="32"/>
  <c r="M26" i="32" s="1"/>
  <c r="K22" i="32"/>
  <c r="L22" i="32"/>
  <c r="M22" i="32" s="1"/>
  <c r="L25" i="20"/>
  <c r="M25" i="20" s="1"/>
  <c r="K25" i="20"/>
  <c r="C27" i="42" s="1"/>
  <c r="K22" i="20"/>
  <c r="L22" i="20"/>
  <c r="M22" i="20" s="1"/>
  <c r="K23" i="20"/>
  <c r="C25" i="42" s="1"/>
  <c r="L23" i="20"/>
  <c r="M23" i="20" s="1"/>
  <c r="L25" i="32"/>
  <c r="M25" i="32" s="1"/>
  <c r="K25" i="32"/>
  <c r="L23" i="32"/>
  <c r="M23" i="32" s="1"/>
  <c r="K23" i="32"/>
  <c r="L24" i="32"/>
  <c r="M24" i="32" s="1"/>
  <c r="K24" i="32"/>
  <c r="L26" i="20"/>
  <c r="M26" i="20" s="1"/>
  <c r="K26" i="20"/>
  <c r="C28" i="42" s="1"/>
  <c r="K24" i="20"/>
  <c r="C26" i="42" s="1"/>
  <c r="L24" i="20"/>
  <c r="M24" i="20" s="1"/>
  <c r="K8" i="20"/>
  <c r="C10" i="42" s="1"/>
  <c r="L8" i="20"/>
  <c r="M8" i="20" s="1"/>
  <c r="L13" i="32"/>
  <c r="M13" i="32" s="1"/>
  <c r="K13" i="32"/>
  <c r="K12" i="20"/>
  <c r="C14" i="42" s="1"/>
  <c r="L12" i="20"/>
  <c r="M12" i="20" s="1"/>
  <c r="K13" i="20"/>
  <c r="C15" i="42" s="1"/>
  <c r="L13" i="20"/>
  <c r="M13" i="20" s="1"/>
  <c r="K14" i="20"/>
  <c r="C16" i="42" s="1"/>
  <c r="L14" i="20"/>
  <c r="M14" i="20" s="1"/>
  <c r="B12" i="22"/>
  <c r="K18" i="20"/>
  <c r="C20" i="42" s="1"/>
  <c r="L18" i="20"/>
  <c r="M18" i="20" s="1"/>
  <c r="L9" i="32"/>
  <c r="M9" i="32" s="1"/>
  <c r="K9" i="32"/>
  <c r="K5" i="32"/>
  <c r="L5" i="32"/>
  <c r="M5" i="32" s="1"/>
  <c r="L19" i="32"/>
  <c r="M19" i="32" s="1"/>
  <c r="K19" i="32"/>
  <c r="K15" i="20"/>
  <c r="C17" i="42" s="1"/>
  <c r="L15" i="20"/>
  <c r="M15" i="20" s="1"/>
  <c r="K7" i="32"/>
  <c r="L7" i="32"/>
  <c r="M7" i="32" s="1"/>
  <c r="L14" i="32"/>
  <c r="M14" i="32" s="1"/>
  <c r="K14" i="32"/>
  <c r="K18" i="32"/>
  <c r="L18" i="32"/>
  <c r="M18" i="32" s="1"/>
  <c r="K9" i="20"/>
  <c r="C11" i="42" s="1"/>
  <c r="L9" i="20"/>
  <c r="M9" i="20" s="1"/>
  <c r="K16" i="32"/>
  <c r="L16" i="32"/>
  <c r="M16" i="32" s="1"/>
  <c r="K11" i="20"/>
  <c r="C13" i="42" s="1"/>
  <c r="L11" i="20"/>
  <c r="M11" i="20" s="1"/>
  <c r="K7" i="20"/>
  <c r="C9" i="42" s="1"/>
  <c r="L7" i="20"/>
  <c r="M7" i="20" s="1"/>
  <c r="B9" i="22"/>
  <c r="D9" i="22" s="1"/>
  <c r="L20" i="20"/>
  <c r="M20" i="20" s="1"/>
  <c r="K20" i="20"/>
  <c r="C22" i="42" s="1"/>
  <c r="L11" i="32"/>
  <c r="M11" i="32" s="1"/>
  <c r="K11" i="32"/>
  <c r="K16" i="20"/>
  <c r="C18" i="42" s="1"/>
  <c r="L16" i="20"/>
  <c r="M16" i="20" s="1"/>
  <c r="L10" i="32"/>
  <c r="M10" i="32" s="1"/>
  <c r="K10" i="32"/>
  <c r="L6" i="32"/>
  <c r="M6" i="32" s="1"/>
  <c r="K6" i="32"/>
  <c r="K19" i="20"/>
  <c r="C21" i="42" s="1"/>
  <c r="L19" i="20"/>
  <c r="M19" i="20" s="1"/>
  <c r="L17" i="32"/>
  <c r="M17" i="32" s="1"/>
  <c r="K17" i="32"/>
  <c r="L8" i="32"/>
  <c r="M8" i="32" s="1"/>
  <c r="K8" i="32"/>
  <c r="L20" i="32"/>
  <c r="M20" i="32" s="1"/>
  <c r="L21" i="32"/>
  <c r="M21" i="32" s="1"/>
  <c r="K21" i="32"/>
  <c r="K6" i="20"/>
  <c r="C8" i="42" s="1"/>
  <c r="L6" i="20"/>
  <c r="M6" i="20" s="1"/>
  <c r="K10" i="20"/>
  <c r="C12" i="42" s="1"/>
  <c r="L10" i="20"/>
  <c r="M10" i="20" s="1"/>
  <c r="K4" i="32"/>
  <c r="L4" i="32"/>
  <c r="M4" i="32" s="1"/>
  <c r="K17" i="20"/>
  <c r="C19" i="42" s="1"/>
  <c r="L17" i="20"/>
  <c r="M17" i="20" s="1"/>
  <c r="L15" i="32"/>
  <c r="M15" i="32" s="1"/>
  <c r="K15" i="32"/>
  <c r="K21" i="20"/>
  <c r="C23" i="42" s="1"/>
  <c r="D23" i="42" s="1"/>
  <c r="E23" i="42" s="1"/>
  <c r="F23" i="42" s="1"/>
  <c r="L21" i="20"/>
  <c r="M21" i="20" s="1"/>
  <c r="L12" i="32"/>
  <c r="M12" i="32" s="1"/>
  <c r="K12" i="32"/>
  <c r="K5" i="20"/>
  <c r="C7" i="42" s="1"/>
  <c r="L5" i="20"/>
  <c r="L4" i="20"/>
  <c r="M4" i="20" s="1"/>
  <c r="F13" i="26"/>
  <c r="F12" i="26"/>
  <c r="C26" i="26" s="1"/>
  <c r="F14" i="26"/>
  <c r="F16" i="26"/>
  <c r="F15" i="26"/>
  <c r="F18" i="26"/>
  <c r="F17" i="26"/>
  <c r="F7" i="22"/>
  <c r="B25" i="22"/>
  <c r="D24" i="22"/>
  <c r="F24" i="22" s="1"/>
  <c r="B14" i="22"/>
  <c r="D16" i="22"/>
  <c r="F16" i="22" s="1"/>
  <c r="D11" i="42" l="1"/>
  <c r="E11" i="42" s="1"/>
  <c r="F11" i="42" s="1"/>
  <c r="D20" i="42"/>
  <c r="E20" i="42" s="1"/>
  <c r="F20" i="42" s="1"/>
  <c r="D21" i="42"/>
  <c r="E21" i="42" s="1"/>
  <c r="F21" i="42" s="1"/>
  <c r="D17" i="42"/>
  <c r="E17" i="42" s="1"/>
  <c r="F17" i="42" s="1"/>
  <c r="D9" i="42"/>
  <c r="E9" i="42" s="1"/>
  <c r="F9" i="42" s="1"/>
  <c r="D18" i="42"/>
  <c r="E18" i="42" s="1"/>
  <c r="F18" i="42" s="1"/>
  <c r="D16" i="42"/>
  <c r="E16" i="42" s="1"/>
  <c r="F16" i="42" s="1"/>
  <c r="D10" i="42"/>
  <c r="E10" i="42" s="1"/>
  <c r="F10" i="42" s="1"/>
  <c r="D12" i="42"/>
  <c r="E12" i="42" s="1"/>
  <c r="F12" i="42" s="1"/>
  <c r="D8" i="42"/>
  <c r="E8" i="42" s="1"/>
  <c r="F8" i="42" s="1"/>
  <c r="D13" i="42"/>
  <c r="E13" i="42" s="1"/>
  <c r="F13" i="42" s="1"/>
  <c r="D15" i="42"/>
  <c r="E15" i="42" s="1"/>
  <c r="F15" i="42" s="1"/>
  <c r="D7" i="42"/>
  <c r="E7" i="42" s="1"/>
  <c r="F7" i="42" s="1"/>
  <c r="D19" i="42"/>
  <c r="E19" i="42" s="1"/>
  <c r="F19" i="42" s="1"/>
  <c r="D22" i="42"/>
  <c r="E22" i="42" s="1"/>
  <c r="F22" i="42" s="1"/>
  <c r="D14" i="42"/>
  <c r="E14" i="42" s="1"/>
  <c r="F14" i="42" s="1"/>
  <c r="B15" i="40"/>
  <c r="C15" i="40" s="1"/>
  <c r="C24" i="42"/>
  <c r="K34" i="20"/>
  <c r="G16" i="26"/>
  <c r="G13" i="26"/>
  <c r="G15" i="26"/>
  <c r="C28" i="26"/>
  <c r="G17" i="26"/>
  <c r="M5" i="20"/>
  <c r="G8" i="26"/>
  <c r="C27" i="26"/>
  <c r="G14" i="26"/>
  <c r="C29" i="26"/>
  <c r="G18" i="26"/>
  <c r="D12" i="22"/>
  <c r="F12" i="22" s="1"/>
  <c r="B15" i="22"/>
  <c r="D14" i="22"/>
  <c r="F14" i="22" s="1"/>
  <c r="B26" i="22"/>
  <c r="D25" i="22"/>
  <c r="F25" i="22" s="1"/>
  <c r="C34" i="42" l="1"/>
  <c r="B37" i="42" s="1"/>
  <c r="B38" i="42"/>
  <c r="C33" i="26"/>
  <c r="D8" i="22"/>
  <c r="B17" i="22"/>
  <c r="D15" i="22"/>
  <c r="F15" i="22" s="1"/>
  <c r="B27" i="22"/>
  <c r="D26" i="22"/>
  <c r="F26" i="22" s="1"/>
  <c r="B40" i="42" l="1"/>
  <c r="B39" i="42"/>
  <c r="F8" i="22"/>
  <c r="F9" i="22"/>
  <c r="B28" i="22"/>
  <c r="D27" i="22"/>
  <c r="F27" i="22" s="1"/>
  <c r="B13" i="22"/>
  <c r="D17" i="22"/>
  <c r="F17" i="22" s="1"/>
  <c r="D10" i="22" l="1"/>
  <c r="D13" i="22"/>
  <c r="F13" i="22" s="1"/>
  <c r="B29" i="22"/>
  <c r="D28" i="22"/>
  <c r="F28" i="22" s="1"/>
  <c r="F10" i="22" l="1"/>
  <c r="F6" i="22"/>
  <c r="B30" i="22"/>
  <c r="D29" i="22"/>
  <c r="F29" i="22" s="1"/>
  <c r="B31" i="22" l="1"/>
  <c r="D30" i="22"/>
  <c r="F30" i="22" s="1"/>
  <c r="F5" i="22" l="1"/>
  <c r="D11" i="22"/>
  <c r="F11" i="22" s="1"/>
  <c r="B32" i="22"/>
  <c r="D31" i="22"/>
  <c r="F31" i="22" s="1"/>
  <c r="D32" i="22" l="1"/>
  <c r="F32" i="22" l="1"/>
  <c r="O54" i="10" l="1"/>
  <c r="O76" i="10"/>
  <c r="O57" i="10"/>
  <c r="O55" i="10"/>
  <c r="O56" i="10"/>
  <c r="N72" i="10" l="1"/>
  <c r="P9" i="2" s="1"/>
  <c r="P10" i="2" s="1"/>
  <c r="A76" i="2" a="1"/>
  <c r="O96" i="10"/>
  <c r="O72" i="10" l="1"/>
  <c r="A33" i="2" s="1" a="1"/>
  <c r="N12" i="2"/>
  <c r="N11" i="2"/>
  <c r="A76" i="2"/>
  <c r="L104" i="2"/>
  <c r="C4" i="19" s="1" a="1"/>
  <c r="C4" i="19" s="1"/>
  <c r="L65" i="2" l="1"/>
  <c r="C3" i="19" s="1" a="1"/>
  <c r="C3" i="19" s="1"/>
  <c r="B3" i="22" s="1"/>
  <c r="D3" i="22" s="1"/>
  <c r="A33" i="2"/>
  <c r="E3" i="20"/>
  <c r="G3" i="20" s="1"/>
  <c r="L3" i="20" s="1"/>
  <c r="E3" i="32"/>
  <c r="G3" i="32" s="1"/>
  <c r="B4" i="22"/>
  <c r="D4" i="22" s="1"/>
  <c r="F4" i="22" s="1"/>
  <c r="E2" i="32"/>
  <c r="E2" i="20" l="1"/>
  <c r="G2" i="20" s="1"/>
  <c r="L2" i="20" s="1"/>
  <c r="G2" i="32"/>
  <c r="Q3" i="32" s="1"/>
  <c r="Q4" i="32" a="1"/>
  <c r="Q4" i="32" s="1"/>
  <c r="F3" i="22"/>
  <c r="F33" i="22" s="1"/>
  <c r="B14" i="40" s="1"/>
  <c r="D33" i="22" a="1"/>
  <c r="D33" i="22" s="1"/>
  <c r="K3" i="32"/>
  <c r="L3" i="32"/>
  <c r="C14" i="40" l="1"/>
  <c r="Q5" i="32" a="1"/>
  <c r="Q5" i="32" s="1"/>
  <c r="L2" i="32"/>
  <c r="K2" i="32"/>
  <c r="Q2" i="32" s="1"/>
  <c r="D22" i="26"/>
  <c r="C30" i="26" s="1"/>
  <c r="G33" i="22"/>
  <c r="G34" i="2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G17" authorId="0" shapeId="0" xr:uid="{1E90CB4B-05BB-4C15-AD5C-C8D369F5FC7A}">
      <text>
        <r>
          <rPr>
            <b/>
            <sz val="9"/>
            <color rgb="FF000000"/>
            <rFont val="Tahoma"/>
            <family val="2"/>
          </rPr>
          <t>usuario:</t>
        </r>
        <r>
          <rPr>
            <sz val="9"/>
            <color rgb="FF000000"/>
            <rFont val="Tahoma"/>
            <family val="2"/>
          </rPr>
          <t xml:space="preserve">
</t>
        </r>
        <r>
          <rPr>
            <sz val="9"/>
            <color rgb="FF000000"/>
            <rFont val="Tahoma"/>
            <family val="2"/>
          </rPr>
          <t>valor numerico</t>
        </r>
      </text>
    </comment>
    <comment ref="D24" authorId="0" shapeId="0" xr:uid="{A65EBDCB-05CF-4EF6-8B91-384F99CE02F2}">
      <text>
        <r>
          <rPr>
            <b/>
            <sz val="9"/>
            <color indexed="81"/>
            <rFont val="Tahoma"/>
            <family val="2"/>
          </rPr>
          <t>usuario:</t>
        </r>
        <r>
          <rPr>
            <sz val="9"/>
            <color indexed="81"/>
            <rFont val="Tahoma"/>
            <family val="2"/>
          </rPr>
          <t xml:space="preserve">
si se llena arriendo no se puede llenar precio de la tierra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Asistente</author>
  </authors>
  <commentList>
    <comment ref="Q2" authorId="0" shapeId="0" xr:uid="{90B44D07-8EF3-4657-80B3-06850E052304}">
      <text>
        <r>
          <rPr>
            <sz val="11"/>
            <color theme="1"/>
            <rFont val="Aptos Narrow"/>
            <family val="2"/>
            <scheme val="minor"/>
          </rPr>
          <t>Según Artículo 31 de la Resolución 620:
"...la valoración debe hacerse teniendo en cuenta el valor presente de la producción futura, descontando los costos de mantenimiento y explotación del mismo (flujo de caja neto)."
Este VP Total corresponde al VAN: la suma de los valores presentes de cada flujo neto anual.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Asistente</author>
  </authors>
  <commentList>
    <comment ref="K34" authorId="0" shapeId="0" xr:uid="{66EEFDB7-B72E-4B6C-8384-340EC408E8AD}">
      <text>
        <r>
          <rPr>
            <sz val="11"/>
            <color theme="1"/>
            <rFont val="Aptos Narrow"/>
            <family val="2"/>
            <scheme val="minor"/>
          </rPr>
          <t>Según Artículo 31 de la Resolución 620:
"...la valoración debe hacerse teniendo en cuenta el valor presente de la producción futura, descontando los costos de mantenimiento y explotación del mismo (flujo de caja neto)."
Este VP Total corresponde al VAN: la suma de los valores presentes de cada flujo neto anual.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F47" authorId="0" shapeId="0" xr:uid="{5354638A-38ED-42E3-A963-A65A1784483C}">
      <text>
        <r>
          <rPr>
            <b/>
            <sz val="9"/>
            <color indexed="81"/>
            <rFont val="Tahoma"/>
            <family val="2"/>
          </rPr>
          <t>usuario:</t>
        </r>
        <r>
          <rPr>
            <sz val="9"/>
            <color indexed="81"/>
            <rFont val="Tahoma"/>
            <family val="2"/>
          </rPr>
          <t xml:space="preserve">
este es el nuevo valor de referencia.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D208" authorId="0" shapeId="0" xr:uid="{75B0DCFE-AFA7-4458-BC7E-6EABA6A90E44}">
      <text>
        <r>
          <rPr>
            <b/>
            <sz val="9"/>
            <color indexed="81"/>
            <rFont val="Tahoma"/>
            <family val="2"/>
          </rPr>
          <t>usuario:</t>
        </r>
        <r>
          <rPr>
            <sz val="9"/>
            <color indexed="81"/>
            <rFont val="Tahoma"/>
            <family val="2"/>
          </rPr>
          <t xml:space="preserve">
pendiente sobre como incorporar los rendimientos por zonas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I1" authorId="0" shapeId="0" xr:uid="{33BF5AA4-18B8-4C79-97CE-42EB85E25C46}">
      <text>
        <r>
          <rPr>
            <b/>
            <sz val="9"/>
            <color indexed="81"/>
            <rFont val="Tahoma"/>
            <family val="2"/>
          </rPr>
          <t>usuario:</t>
        </r>
        <r>
          <rPr>
            <sz val="9"/>
            <color indexed="81"/>
            <rFont val="Tahoma"/>
            <family val="2"/>
          </rPr>
          <t xml:space="preserve">
esta fila indica el rendimiento para los cultivos establecidos. Esta informacion puede usarce según el rendimiento reportado por el perito para ser mas fiel a la situacion de rendimiento de la zona reportada.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H1" authorId="0" shapeId="0" xr:uid="{CF61D379-B75F-4225-902A-2E5CC329ED7C}">
      <text>
        <r>
          <rPr>
            <b/>
            <sz val="9"/>
            <color indexed="81"/>
            <rFont val="Tahoma"/>
            <family val="2"/>
          </rPr>
          <t>usuario:</t>
        </r>
        <r>
          <rPr>
            <sz val="9"/>
            <color indexed="81"/>
            <rFont val="Tahoma"/>
            <family val="2"/>
          </rPr>
          <t xml:space="preserve">
tiempo que se demora un operario en minutos en desarrollar una actividad sobre una hectarea.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<sst xmlns="http://schemas.openxmlformats.org/spreadsheetml/2006/main" count="41758" uniqueCount="4665">
  <si>
    <t xml:space="preserve">                            SUBDIRECCIÓN AVALÚOS</t>
  </si>
  <si>
    <t>Versión 0.3</t>
  </si>
  <si>
    <t>AVALÚOS COMERCIALES CULTIVOS AGRICOLAS</t>
  </si>
  <si>
    <t>FORMULARIO RECOLECCIÓN DATOS CULTIVOS</t>
  </si>
  <si>
    <t>1. DATOS GENERALES</t>
  </si>
  <si>
    <t>Departamento</t>
  </si>
  <si>
    <t>ANTIOQUIA</t>
  </si>
  <si>
    <t>Municipio</t>
  </si>
  <si>
    <t>ABRIAQUÍ</t>
  </si>
  <si>
    <t>Vereda</t>
  </si>
  <si>
    <t>2. CARACTERISTICAS AGROLOGICAS</t>
  </si>
  <si>
    <t>Coordenadas</t>
  </si>
  <si>
    <t>Clima</t>
  </si>
  <si>
    <t>Latitud</t>
  </si>
  <si>
    <t>Longitud</t>
  </si>
  <si>
    <t>Tipo</t>
  </si>
  <si>
    <t>Calido</t>
  </si>
  <si>
    <t>Rango Temperatura (°C)</t>
  </si>
  <si>
    <t>Rango Altitud (msnm)</t>
  </si>
  <si>
    <t>APTITUD (consulta upra sipra)</t>
  </si>
  <si>
    <t>Otras</t>
  </si>
  <si>
    <t>Pendiente (%)</t>
  </si>
  <si>
    <t>Clase Agrologica</t>
  </si>
  <si>
    <t>I</t>
  </si>
  <si>
    <t>Altitud (msnm)</t>
  </si>
  <si>
    <t>3. DATOS GENERALES DEL CULTIVO</t>
  </si>
  <si>
    <t xml:space="preserve">CULTIVO </t>
  </si>
  <si>
    <t xml:space="preserve">VARIEDAD </t>
  </si>
  <si>
    <t xml:space="preserve">TIPO CULTIVO </t>
  </si>
  <si>
    <t xml:space="preserve">SISTEMA PRODUCTIVO </t>
  </si>
  <si>
    <t>EDAD (AÑOS)</t>
  </si>
  <si>
    <t xml:space="preserve">CONDICION FITOSANITARIA </t>
  </si>
  <si>
    <t>DISTANCIA PLANTA (m)</t>
  </si>
  <si>
    <t>DISTANCIA SURCO (m)</t>
  </si>
  <si>
    <t>DENSIDAD DE SIEMBRA (plantas/ha)</t>
  </si>
  <si>
    <t>AREA DE CULTIVO (ha)</t>
  </si>
  <si>
    <t>RENDIMIENTO PRODUCTO EN FRESCO (kg/ha)</t>
  </si>
  <si>
    <t>Limón</t>
  </si>
  <si>
    <t>Mandarino</t>
  </si>
  <si>
    <t>Permanente</t>
  </si>
  <si>
    <t xml:space="preserve">Convencional </t>
  </si>
  <si>
    <t>Mala</t>
  </si>
  <si>
    <t>Condición hídrica del predio</t>
  </si>
  <si>
    <t>Regimen de lluvias</t>
  </si>
  <si>
    <t>Bimodal</t>
  </si>
  <si>
    <t>Precipitacion anual (mm/año)</t>
  </si>
  <si>
    <t>MARCO DE PLANTACIÓN</t>
  </si>
  <si>
    <t>Cuadro</t>
  </si>
  <si>
    <t>COSTO DE ARRIENDO Ha/AÑO</t>
  </si>
  <si>
    <t>Costo del jornal</t>
  </si>
  <si>
    <t>4. COSTOS DE PRODUCCIÓN ($/ha)</t>
  </si>
  <si>
    <t>Cultivo variedad</t>
  </si>
  <si>
    <t>Año</t>
  </si>
  <si>
    <t>Establecimiento</t>
  </si>
  <si>
    <t>Ciclo de vida (años)</t>
  </si>
  <si>
    <t>Precio comercializacón (Kg)</t>
  </si>
  <si>
    <t>Vida remanente</t>
  </si>
  <si>
    <t>RUBRO</t>
  </si>
  <si>
    <t>SUBRUBRO</t>
  </si>
  <si>
    <t>ACTIVIDAD</t>
  </si>
  <si>
    <t>SERVICIO O INSUMO</t>
  </si>
  <si>
    <t>VALOR TOTAL</t>
  </si>
  <si>
    <t>Código</t>
  </si>
  <si>
    <t>Nombre</t>
  </si>
  <si>
    <t>Presentación</t>
  </si>
  <si>
    <t>Cant</t>
  </si>
  <si>
    <t>Precio Unitario</t>
  </si>
  <si>
    <t>TOTAL</t>
  </si>
  <si>
    <t>Improductivo</t>
  </si>
  <si>
    <t>Mantenimiento</t>
  </si>
  <si>
    <t>Area Referencia</t>
  </si>
  <si>
    <t>pendiente</t>
  </si>
  <si>
    <t>Cultivo</t>
  </si>
  <si>
    <t>Variedad</t>
  </si>
  <si>
    <t>CULTIVO</t>
  </si>
  <si>
    <t>VARIEDAD</t>
  </si>
  <si>
    <t>AÑO</t>
  </si>
  <si>
    <t>COD_RUBRO</t>
  </si>
  <si>
    <t>NOM_RUBRO</t>
  </si>
  <si>
    <t>COD_SUBRUB</t>
  </si>
  <si>
    <t>NOM_SUBRUB</t>
  </si>
  <si>
    <t>COD_ACTV</t>
  </si>
  <si>
    <t>NOM_ACTV</t>
  </si>
  <si>
    <t>TIPO_INSUMO</t>
  </si>
  <si>
    <t>NOM_INSUMO</t>
  </si>
  <si>
    <t>PRESEN_INSUM</t>
  </si>
  <si>
    <t>CANTID_INSUM</t>
  </si>
  <si>
    <t>PREC_UNI</t>
  </si>
  <si>
    <t>PRECIO_T</t>
  </si>
  <si>
    <t>CULTIVO_VARIEDAD</t>
  </si>
  <si>
    <t>TIPO DE MEDICIÓN</t>
  </si>
  <si>
    <t>TIEMPO DE EJECUCIÓN ACTIVIDAD (minutos)</t>
  </si>
  <si>
    <t>JORNAL DE REFERENCIA</t>
  </si>
  <si>
    <t>FACTOR DE AJUSTE</t>
  </si>
  <si>
    <t>JORNALES POR ACTIVIDAD</t>
  </si>
  <si>
    <t>FRECUENCIA (REPETICIONES_AÑO)</t>
  </si>
  <si>
    <t>TOTAL JORNALES AÑO</t>
  </si>
  <si>
    <t xml:space="preserve">Aguacate </t>
  </si>
  <si>
    <t>Hass</t>
  </si>
  <si>
    <t>1.</t>
  </si>
  <si>
    <t>Labores</t>
  </si>
  <si>
    <t>1.3.</t>
  </si>
  <si>
    <t>Preparacion de Tierras</t>
  </si>
  <si>
    <t>1.3.5.</t>
  </si>
  <si>
    <t>Fertilización, correctivos y riego</t>
  </si>
  <si>
    <t>Varios</t>
  </si>
  <si>
    <t>Mano de Obra</t>
  </si>
  <si>
    <t>Jornal</t>
  </si>
  <si>
    <t>Individuo</t>
  </si>
  <si>
    <t>1.4.</t>
  </si>
  <si>
    <t>Siembra y Sostenimiento</t>
  </si>
  <si>
    <t>1.4.4.</t>
  </si>
  <si>
    <t>Deschuponada</t>
  </si>
  <si>
    <t>1.5.</t>
  </si>
  <si>
    <t>Labores Culturales</t>
  </si>
  <si>
    <t>1.5.3.</t>
  </si>
  <si>
    <t>Colgada Poda y Cicatrizacion</t>
  </si>
  <si>
    <t>1.6.</t>
  </si>
  <si>
    <t>Control Sanitario</t>
  </si>
  <si>
    <t>1.6.1.</t>
  </si>
  <si>
    <t>Aplicación de Fungicidas</t>
  </si>
  <si>
    <t>1.6.2.</t>
  </si>
  <si>
    <t>Aplicación de Insecticidas</t>
  </si>
  <si>
    <t>1.7.</t>
  </si>
  <si>
    <t>Control de Malezas</t>
  </si>
  <si>
    <t>1.7.1.</t>
  </si>
  <si>
    <t>Aplicación de Herbicidas Preemergentes</t>
  </si>
  <si>
    <t>Area</t>
  </si>
  <si>
    <t>1.7.3.</t>
  </si>
  <si>
    <t>Desyerbas - Postemergente</t>
  </si>
  <si>
    <t>1.8.</t>
  </si>
  <si>
    <t>Fertilizacion</t>
  </si>
  <si>
    <t>1.8.1.</t>
  </si>
  <si>
    <t>Fertilizante Compuesto</t>
  </si>
  <si>
    <t>1.8.2.</t>
  </si>
  <si>
    <t>Fertilizante Simple</t>
  </si>
  <si>
    <t>1.8.3.</t>
  </si>
  <si>
    <t>Fertilizantes Foliares</t>
  </si>
  <si>
    <t>1.9.</t>
  </si>
  <si>
    <t>Cosecha y Beneficio</t>
  </si>
  <si>
    <t>1.9.6.</t>
  </si>
  <si>
    <t>Pesada Limpieza y Secamiento</t>
  </si>
  <si>
    <t/>
  </si>
  <si>
    <t>1.9.7.</t>
  </si>
  <si>
    <t>Recolección</t>
  </si>
  <si>
    <t>2.</t>
  </si>
  <si>
    <t>Insumos</t>
  </si>
  <si>
    <t>2.2.</t>
  </si>
  <si>
    <t>2.2.2.</t>
  </si>
  <si>
    <t>Fertilizantes_enmiendas_y_acondicionadores_de_suelo</t>
  </si>
  <si>
    <t>Fosfato Diamónico (DAP) 18-46-0</t>
  </si>
  <si>
    <t>50 kilogramos</t>
  </si>
  <si>
    <t>2.2.3.</t>
  </si>
  <si>
    <t>Simples</t>
  </si>
  <si>
    <t>2.2.4.</t>
  </si>
  <si>
    <t>Correctivos</t>
  </si>
  <si>
    <t>Cal dolomita</t>
  </si>
  <si>
    <t>2.2.6.</t>
  </si>
  <si>
    <t>Foliares</t>
  </si>
  <si>
    <t>Crecer 500</t>
  </si>
  <si>
    <t>900 gramos</t>
  </si>
  <si>
    <t>2.2.7.</t>
  </si>
  <si>
    <t>Menores</t>
  </si>
  <si>
    <t>Agrimins 8-5-0-6</t>
  </si>
  <si>
    <t>46 kilogramos</t>
  </si>
  <si>
    <t>2.2.8.</t>
  </si>
  <si>
    <t>Cloruro de Potasio 0-0-60</t>
  </si>
  <si>
    <t>2.3.</t>
  </si>
  <si>
    <t>2.3.3.</t>
  </si>
  <si>
    <t>Fungicida</t>
  </si>
  <si>
    <t>Fungicidas</t>
  </si>
  <si>
    <t>FURTIVO 250 SC</t>
  </si>
  <si>
    <t>1 litro</t>
  </si>
  <si>
    <t>Nativo Sc</t>
  </si>
  <si>
    <t>2.3.4.</t>
  </si>
  <si>
    <t>Herbicida</t>
  </si>
  <si>
    <t>Herbicidas</t>
  </si>
  <si>
    <t>Panzer 480 Sl</t>
  </si>
  <si>
    <t>2.3.5.</t>
  </si>
  <si>
    <t>Insecticida</t>
  </si>
  <si>
    <t>Insecticidas_acaricidas_y_nematicidas</t>
  </si>
  <si>
    <t>Abamectina 1,8 Ec</t>
  </si>
  <si>
    <t>Proteus 170 Od</t>
  </si>
  <si>
    <t>2.7.</t>
  </si>
  <si>
    <t>Analisis Laboratorio</t>
  </si>
  <si>
    <t>2.7.2.</t>
  </si>
  <si>
    <t>Analisis de Suelos</t>
  </si>
  <si>
    <t>Analisis completo de suelos</t>
  </si>
  <si>
    <t>héctarea</t>
  </si>
  <si>
    <t>3.</t>
  </si>
  <si>
    <t>Otros Costos</t>
  </si>
  <si>
    <t>3.1.</t>
  </si>
  <si>
    <t>Administracion</t>
  </si>
  <si>
    <t>3.1.1.</t>
  </si>
  <si>
    <t>Administración</t>
  </si>
  <si>
    <t>Otros costos directos</t>
  </si>
  <si>
    <t>Administración del cultivo</t>
  </si>
  <si>
    <t>unidad</t>
  </si>
  <si>
    <t>3.2.</t>
  </si>
  <si>
    <t>Asistencia Tecnica</t>
  </si>
  <si>
    <t>3.2.1.</t>
  </si>
  <si>
    <t>Visitas</t>
  </si>
  <si>
    <t>Asistencia Técnica</t>
  </si>
  <si>
    <t>Visita</t>
  </si>
  <si>
    <t>3.3.</t>
  </si>
  <si>
    <t>Arrendamiento</t>
  </si>
  <si>
    <t>3.3.1.</t>
  </si>
  <si>
    <t>Canon</t>
  </si>
  <si>
    <t xml:space="preserve">Arrendamiento_de_tierras </t>
  </si>
  <si>
    <t>1.3.4.</t>
  </si>
  <si>
    <t>Construcción Drenajes</t>
  </si>
  <si>
    <t>Distancia</t>
  </si>
  <si>
    <t>1.3.10.</t>
  </si>
  <si>
    <t>Trazado y Hoyado</t>
  </si>
  <si>
    <t>1.3.12.</t>
  </si>
  <si>
    <t>1.4.7.</t>
  </si>
  <si>
    <t>Resiembra</t>
  </si>
  <si>
    <t>1.4.8.</t>
  </si>
  <si>
    <t>Siembra Abonamiento y Tapada</t>
  </si>
  <si>
    <t>2.1.</t>
  </si>
  <si>
    <t>Material Vegetal</t>
  </si>
  <si>
    <t>2.1.1.</t>
  </si>
  <si>
    <t>Semillas o Plantulas</t>
  </si>
  <si>
    <t>Material_de_propagación</t>
  </si>
  <si>
    <t>Aguacate Hass (4-6 meses, 30 cm)</t>
  </si>
  <si>
    <t>ORTHOCIDE 50</t>
  </si>
  <si>
    <t>1 kilogramo</t>
  </si>
  <si>
    <t>NATIVO SC</t>
  </si>
  <si>
    <t>Hectárea anual.</t>
  </si>
  <si>
    <t>2.2.1.</t>
  </si>
  <si>
    <t>Amistar 250 Sc</t>
  </si>
  <si>
    <t>Roundup Activo</t>
  </si>
  <si>
    <t>Cacao</t>
  </si>
  <si>
    <t>Criollo</t>
  </si>
  <si>
    <t>1.4.6.</t>
  </si>
  <si>
    <t>Plateo</t>
  </si>
  <si>
    <t>Cacao híbrido</t>
  </si>
  <si>
    <t>Nutrifoliar Completo</t>
  </si>
  <si>
    <t>Ridomil Gold MZ 68 Wg</t>
  </si>
  <si>
    <t>0,375 kilogramos</t>
  </si>
  <si>
    <t>Azuco</t>
  </si>
  <si>
    <t>Geminis Wp</t>
  </si>
  <si>
    <t>Invetrina 200 Ec</t>
  </si>
  <si>
    <t>Klip - K Calcio-Boro</t>
  </si>
  <si>
    <t>Café</t>
  </si>
  <si>
    <t>Castillo</t>
  </si>
  <si>
    <t>Wuxal Tapa Negra</t>
  </si>
  <si>
    <t>2.3.2.</t>
  </si>
  <si>
    <t>Control Biológico</t>
  </si>
  <si>
    <t>Coadyuvantes_molusquicidas_reguladores_fisiologicos_y_otros</t>
  </si>
  <si>
    <t>dosis</t>
  </si>
  <si>
    <t>Benomyl 50 Wp</t>
  </si>
  <si>
    <t>Mancozeb 80 Wp</t>
  </si>
  <si>
    <t>Gramoxone Sl</t>
  </si>
  <si>
    <t>Karate Zeon</t>
  </si>
  <si>
    <t>Café variedad castilla</t>
  </si>
  <si>
    <t>Carbendazim 500 Sc</t>
  </si>
  <si>
    <t>Eucalipto</t>
  </si>
  <si>
    <t>Común</t>
  </si>
  <si>
    <t>Amistar Top</t>
  </si>
  <si>
    <t>Antracol 70 Wp</t>
  </si>
  <si>
    <t>0,4 kilogramos</t>
  </si>
  <si>
    <t>Glifosato 480 Sl</t>
  </si>
  <si>
    <t>Engeo</t>
  </si>
  <si>
    <t>Limón mandarino plántula</t>
  </si>
  <si>
    <t>Tahití</t>
  </si>
  <si>
    <t>Acondicionadores y compuestos</t>
  </si>
  <si>
    <t>Limón Tahití (4 meses, 40 cm)</t>
  </si>
  <si>
    <t>400 gramos</t>
  </si>
  <si>
    <t>Limón común (4 meses, 40 cm)</t>
  </si>
  <si>
    <t>Mandarina</t>
  </si>
  <si>
    <t>Mandarina común plántula</t>
  </si>
  <si>
    <t>1.5.6.</t>
  </si>
  <si>
    <t>Deshije y Destronque</t>
  </si>
  <si>
    <t>Mango</t>
  </si>
  <si>
    <t>Tommy</t>
  </si>
  <si>
    <t>Azoxystrobin 250 Sc</t>
  </si>
  <si>
    <t>Gruya</t>
  </si>
  <si>
    <t>1.3.1.</t>
  </si>
  <si>
    <t>Arada</t>
  </si>
  <si>
    <t>Servicios_agrícolas</t>
  </si>
  <si>
    <t>hora/máquina</t>
  </si>
  <si>
    <t>1.3.9.</t>
  </si>
  <si>
    <t>Rastrillada</t>
  </si>
  <si>
    <t>Rastrillo</t>
  </si>
  <si>
    <t>Mango tommy (4 meses, 35-40 cm)</t>
  </si>
  <si>
    <t>Palma Aceite</t>
  </si>
  <si>
    <t>Elaeis guineensis</t>
  </si>
  <si>
    <t>1.9.8.</t>
  </si>
  <si>
    <t>Transporte Interno</t>
  </si>
  <si>
    <t>1.9.10.</t>
  </si>
  <si>
    <t>Agrimins K Calcio Boro</t>
  </si>
  <si>
    <t>2.3.1.</t>
  </si>
  <si>
    <t>Coadyuvante</t>
  </si>
  <si>
    <t>tarro</t>
  </si>
  <si>
    <t>Trivia Wp</t>
  </si>
  <si>
    <t>Manzate 200 Wg</t>
  </si>
  <si>
    <t>Nilo 300 Sc</t>
  </si>
  <si>
    <t>Palma de aceite plántula</t>
  </si>
  <si>
    <t>compuestos</t>
  </si>
  <si>
    <t>Inveprid 350 SC</t>
  </si>
  <si>
    <t>Hibrido (OxG)</t>
  </si>
  <si>
    <t>Palma de aceite plántula OxG</t>
  </si>
  <si>
    <t>1.5.14</t>
  </si>
  <si>
    <t>Polinización asistida</t>
  </si>
  <si>
    <t>Kunfu 100 Ec</t>
  </si>
  <si>
    <t>Plátano</t>
  </si>
  <si>
    <t>Domínico hartón</t>
  </si>
  <si>
    <t>Plátano domínico hartón colino</t>
  </si>
  <si>
    <t>Siganex 60 Sc</t>
  </si>
  <si>
    <t>0,5 litro</t>
  </si>
  <si>
    <t>Daconil 720 Sc</t>
  </si>
  <si>
    <t>1.4.2.</t>
  </si>
  <si>
    <t>Apuntalada o Amarre Aéreo</t>
  </si>
  <si>
    <t>Numetrin 200 Ec</t>
  </si>
  <si>
    <t>Teca</t>
  </si>
  <si>
    <t>Rutinal</t>
  </si>
  <si>
    <t>Nombre Departamento</t>
  </si>
  <si>
    <t>Nombre Municipio</t>
  </si>
  <si>
    <t>Tipo: Municipio / Isla / Área no municipalizada</t>
  </si>
  <si>
    <t>longitud</t>
  </si>
  <si>
    <t>MEDELLÍN</t>
  </si>
  <si>
    <t>-75,581775</t>
  </si>
  <si>
    <t>6,246631</t>
  </si>
  <si>
    <t>AMAZONAS</t>
  </si>
  <si>
    <t>ARAUCA</t>
  </si>
  <si>
    <t>ATLÁNTICO</t>
  </si>
  <si>
    <t>BOLÍVAR</t>
  </si>
  <si>
    <t>BOYACÁ</t>
  </si>
  <si>
    <t>CALDAS</t>
  </si>
  <si>
    <t>CAQUETÁ</t>
  </si>
  <si>
    <t>CASANARE</t>
  </si>
  <si>
    <t>CAUCA</t>
  </si>
  <si>
    <t>CESAR</t>
  </si>
  <si>
    <t>CHOCÓ</t>
  </si>
  <si>
    <t>CÓRDOBA</t>
  </si>
  <si>
    <t>CUNDINAMARCA</t>
  </si>
  <si>
    <t>GUAINÍA</t>
  </si>
  <si>
    <t>GUAVIARE</t>
  </si>
  <si>
    <t>HUILA</t>
  </si>
  <si>
    <t>LA GUAJIRA</t>
  </si>
  <si>
    <t>MAGDALENA</t>
  </si>
  <si>
    <t>META</t>
  </si>
  <si>
    <t>NARIÑO</t>
  </si>
  <si>
    <t>NORTE DE SANTANDER</t>
  </si>
  <si>
    <t>PUTUMAYO</t>
  </si>
  <si>
    <t>QUINDÍO</t>
  </si>
  <si>
    <t>RISARALDA</t>
  </si>
  <si>
    <t>SANTANDER</t>
  </si>
  <si>
    <t>SUCRE</t>
  </si>
  <si>
    <t>TOLIMA</t>
  </si>
  <si>
    <t>VALLE DEL CAUCA</t>
  </si>
  <si>
    <t>VAUPÉS</t>
  </si>
  <si>
    <t>VICHADA</t>
  </si>
  <si>
    <t>ABEJORRAL</t>
  </si>
  <si>
    <t>-75,428739</t>
  </si>
  <si>
    <t>5,789315</t>
  </si>
  <si>
    <t>LETICIA</t>
  </si>
  <si>
    <t>BARRANQUILLA</t>
  </si>
  <si>
    <t>CARTAGENA DE INDIAS</t>
  </si>
  <si>
    <t>TUNJA</t>
  </si>
  <si>
    <t>MANIZALES</t>
  </si>
  <si>
    <t>FLORENCIA</t>
  </si>
  <si>
    <t>YOPAL</t>
  </si>
  <si>
    <t>POPAYÁN</t>
  </si>
  <si>
    <t>VALLEDUPAR</t>
  </si>
  <si>
    <t>QUIBDÓ</t>
  </si>
  <si>
    <t>MONTERÍA</t>
  </si>
  <si>
    <t>AGUA DE DIOS</t>
  </si>
  <si>
    <t>INÍRIDA</t>
  </si>
  <si>
    <t>SAN JOSÉ DEL GUAVIARE</t>
  </si>
  <si>
    <t>NEIVA</t>
  </si>
  <si>
    <t>RIOHACHA</t>
  </si>
  <si>
    <t>SANTA MARTA</t>
  </si>
  <si>
    <t>VILLAVICENCIO</t>
  </si>
  <si>
    <t>PASTO</t>
  </si>
  <si>
    <t>SAN JOSÉ DE CÚCUTA</t>
  </si>
  <si>
    <t>MOCOA</t>
  </si>
  <si>
    <t>ARMENIA</t>
  </si>
  <si>
    <t>PEREIRA</t>
  </si>
  <si>
    <t>BUCARAMANGA</t>
  </si>
  <si>
    <t>SINCELEJO</t>
  </si>
  <si>
    <t>IBAGUÉ</t>
  </si>
  <si>
    <t>SANTIAGO DE CALI</t>
  </si>
  <si>
    <t>MITÚ</t>
  </si>
  <si>
    <t>PUERTO CARREÑO</t>
  </si>
  <si>
    <t>-76,064304</t>
  </si>
  <si>
    <t>6,632282</t>
  </si>
  <si>
    <t>EL ENCANTO</t>
  </si>
  <si>
    <t>ARAUQUITA</t>
  </si>
  <si>
    <t>BARANOA</t>
  </si>
  <si>
    <t>ACHÍ</t>
  </si>
  <si>
    <t>ALMEIDA</t>
  </si>
  <si>
    <t>AGUADAS</t>
  </si>
  <si>
    <t>ALBANIA</t>
  </si>
  <si>
    <t>AGUAZUL</t>
  </si>
  <si>
    <t>ALMAGUER</t>
  </si>
  <si>
    <t>AGUACHICA</t>
  </si>
  <si>
    <t>ACANDÍ</t>
  </si>
  <si>
    <t>AYAPEL</t>
  </si>
  <si>
    <t>ALBÁN</t>
  </si>
  <si>
    <t>BARRANCOMINAS</t>
  </si>
  <si>
    <t>CALAMAR</t>
  </si>
  <si>
    <t>ACEVEDO</t>
  </si>
  <si>
    <t>ALGARROBO</t>
  </si>
  <si>
    <t>ACACÍAS</t>
  </si>
  <si>
    <t>ÁBREGO</t>
  </si>
  <si>
    <t>COLÓN</t>
  </si>
  <si>
    <t>BUENAVISTA</t>
  </si>
  <si>
    <t>APÍA</t>
  </si>
  <si>
    <t>AGUADA</t>
  </si>
  <si>
    <t>ALPUJARRA</t>
  </si>
  <si>
    <t>ALCALÁ</t>
  </si>
  <si>
    <t>CARURÚ</t>
  </si>
  <si>
    <t>LA PRIMAVERA</t>
  </si>
  <si>
    <t>ALEJANDRÍA</t>
  </si>
  <si>
    <t>-75,141346</t>
  </si>
  <si>
    <t>6,376061</t>
  </si>
  <si>
    <t>LA CHORRERA</t>
  </si>
  <si>
    <t>CRAVO NORTE</t>
  </si>
  <si>
    <t>CAMPO DE LA CRUZ</t>
  </si>
  <si>
    <t>ALTOS DEL ROSARIO</t>
  </si>
  <si>
    <t>AQUITANIA</t>
  </si>
  <si>
    <t>ANSERMA</t>
  </si>
  <si>
    <t>BELÉN DE LOS ANDAQUÍES</t>
  </si>
  <si>
    <t>CHÁMEZA</t>
  </si>
  <si>
    <t>ARGELIA</t>
  </si>
  <si>
    <t>AGUSTÍN CODAZZI</t>
  </si>
  <si>
    <t>ALTO BAUDÓ</t>
  </si>
  <si>
    <t>ANAPOIMA</t>
  </si>
  <si>
    <t>SAN FELIPE</t>
  </si>
  <si>
    <t>EL RETORNO</t>
  </si>
  <si>
    <t>AGRADO</t>
  </si>
  <si>
    <t>BARRANCAS</t>
  </si>
  <si>
    <t>ARACATACA</t>
  </si>
  <si>
    <t>BARRANCA DE UPÍA</t>
  </si>
  <si>
    <t>ALDANA</t>
  </si>
  <si>
    <t>ARBOLEDAS</t>
  </si>
  <si>
    <t>ORITO</t>
  </si>
  <si>
    <t>CALARCÁ</t>
  </si>
  <si>
    <t>BALBOA</t>
  </si>
  <si>
    <t>CAIMITO</t>
  </si>
  <si>
    <t>ALVARADO</t>
  </si>
  <si>
    <t>ANDALUCÍA</t>
  </si>
  <si>
    <t>PACOA</t>
  </si>
  <si>
    <t>SANTA ROSALÍA</t>
  </si>
  <si>
    <t>AMAGÁ</t>
  </si>
  <si>
    <t>-75,702188</t>
  </si>
  <si>
    <t>6,038708</t>
  </si>
  <si>
    <t>LA PEDRERA</t>
  </si>
  <si>
    <t>FORTUL</t>
  </si>
  <si>
    <t>CANDELARIA</t>
  </si>
  <si>
    <t>ARENAL</t>
  </si>
  <si>
    <t>ARCABUCO</t>
  </si>
  <si>
    <t>ARANZAZU</t>
  </si>
  <si>
    <t>CARTAGENA DEL CHAIRÁ</t>
  </si>
  <si>
    <t>HATO COROZAL</t>
  </si>
  <si>
    <t>ASTREA</t>
  </si>
  <si>
    <t>ATRATO</t>
  </si>
  <si>
    <t>CANALETE</t>
  </si>
  <si>
    <t>ANOLAIMA</t>
  </si>
  <si>
    <t>PUERTO COLOMBIA</t>
  </si>
  <si>
    <t>MIRAFLORES</t>
  </si>
  <si>
    <t>AIPE</t>
  </si>
  <si>
    <t>DIBULLA</t>
  </si>
  <si>
    <t>ARIGUANÍ</t>
  </si>
  <si>
    <t>CABUYARO</t>
  </si>
  <si>
    <t>ANCUYA</t>
  </si>
  <si>
    <t>BOCHALEMA</t>
  </si>
  <si>
    <t>PUERTO ASÍS</t>
  </si>
  <si>
    <t>CIRCASIA</t>
  </si>
  <si>
    <t>BELÉN DE UMBRÍA</t>
  </si>
  <si>
    <t>ARATOCA</t>
  </si>
  <si>
    <t>COLOSÓ</t>
  </si>
  <si>
    <t>AMBALEMA</t>
  </si>
  <si>
    <t>ANSERMANUEVO</t>
  </si>
  <si>
    <t>TARAIRA</t>
  </si>
  <si>
    <t>CUMARIBO</t>
  </si>
  <si>
    <t>AMALFI</t>
  </si>
  <si>
    <t>-75,077501</t>
  </si>
  <si>
    <t>6,909655</t>
  </si>
  <si>
    <t>LA VICTORIA</t>
  </si>
  <si>
    <t>PUERTO RONDÓN</t>
  </si>
  <si>
    <t>GALAPA</t>
  </si>
  <si>
    <t>ARJONA</t>
  </si>
  <si>
    <t>BELÉN</t>
  </si>
  <si>
    <t>BELALCÁZAR</t>
  </si>
  <si>
    <t>CURILLO</t>
  </si>
  <si>
    <t>LA SALINA</t>
  </si>
  <si>
    <t>BECERRIL</t>
  </si>
  <si>
    <t>BAGADÓ</t>
  </si>
  <si>
    <t>CERETÉ</t>
  </si>
  <si>
    <t>ARBELÁEZ</t>
  </si>
  <si>
    <t>LA GUADALUPE</t>
  </si>
  <si>
    <t>ALGECIRAS</t>
  </si>
  <si>
    <t>DISTRACCIÓN</t>
  </si>
  <si>
    <t>CERRO DE SAN ANTONIO</t>
  </si>
  <si>
    <t>CASTILLA LA NUEVA</t>
  </si>
  <si>
    <t>ARBOLEDA</t>
  </si>
  <si>
    <t>BUCARASICA</t>
  </si>
  <si>
    <t>PUERTO CAICEDO</t>
  </si>
  <si>
    <t>DOSQUEBRADAS</t>
  </si>
  <si>
    <t>BARBOSA</t>
  </si>
  <si>
    <t>COROZAL</t>
  </si>
  <si>
    <t>ANZOÁTEGUI</t>
  </si>
  <si>
    <t>PAPUNAHUA</t>
  </si>
  <si>
    <t>ANDES</t>
  </si>
  <si>
    <t>-75,878828</t>
  </si>
  <si>
    <t>5,657194</t>
  </si>
  <si>
    <t>MIRITÍ - PARANÁ</t>
  </si>
  <si>
    <t>SARAVENA</t>
  </si>
  <si>
    <t>JUAN DE ACOSTA</t>
  </si>
  <si>
    <t>ARROYOHONDO</t>
  </si>
  <si>
    <t>BERBEO</t>
  </si>
  <si>
    <t>CHINCHINÁ</t>
  </si>
  <si>
    <t>EL DONCELLO</t>
  </si>
  <si>
    <t>MANÍ</t>
  </si>
  <si>
    <t>BUENOS AIRES</t>
  </si>
  <si>
    <t>BOSCONIA</t>
  </si>
  <si>
    <t>BAHÍA SOLANO</t>
  </si>
  <si>
    <t>CHIMÁ</t>
  </si>
  <si>
    <t>BELTRÁN</t>
  </si>
  <si>
    <t>CACAHUAL</t>
  </si>
  <si>
    <t>ALTAMIRA</t>
  </si>
  <si>
    <t>EL MOLINO</t>
  </si>
  <si>
    <t>CHIVOLO</t>
  </si>
  <si>
    <t>CUBARRAL</t>
  </si>
  <si>
    <t>BARBACOAS</t>
  </si>
  <si>
    <t>CÁCOTA</t>
  </si>
  <si>
    <t>PUERTO GUZMÁN</t>
  </si>
  <si>
    <t>FILANDIA</t>
  </si>
  <si>
    <t>GUÁTICA</t>
  </si>
  <si>
    <t>BARICHARA</t>
  </si>
  <si>
    <t>COVEÑAS</t>
  </si>
  <si>
    <t>ARMERO</t>
  </si>
  <si>
    <t>YAVARATÉ</t>
  </si>
  <si>
    <t>ANGELÓPOLIS</t>
  </si>
  <si>
    <t>-75,711389</t>
  </si>
  <si>
    <t>6,109719</t>
  </si>
  <si>
    <t>PUERTO ALEGRÍA</t>
  </si>
  <si>
    <t>TAME</t>
  </si>
  <si>
    <t>LURUACO</t>
  </si>
  <si>
    <t>BARRANCO DE LOBA</t>
  </si>
  <si>
    <t>BETÉITIVA</t>
  </si>
  <si>
    <t>FILADELFIA</t>
  </si>
  <si>
    <t>EL PAUJÍL</t>
  </si>
  <si>
    <t>MONTERREY</t>
  </si>
  <si>
    <t>CAJIBÍO</t>
  </si>
  <si>
    <t>CHIMICHAGUA</t>
  </si>
  <si>
    <t>BAJO BAUDÓ</t>
  </si>
  <si>
    <t>CHINÚ</t>
  </si>
  <si>
    <t>BITUIMA</t>
  </si>
  <si>
    <t>PANA PANA</t>
  </si>
  <si>
    <t>BARAYA</t>
  </si>
  <si>
    <t>FONSECA</t>
  </si>
  <si>
    <t>CIÉNAGA</t>
  </si>
  <si>
    <t>CUMARAL</t>
  </si>
  <si>
    <t>CÁCHIRA</t>
  </si>
  <si>
    <t>PUERTO LEGUÍZAMO</t>
  </si>
  <si>
    <t>GÉNOVA</t>
  </si>
  <si>
    <t>LA CELIA</t>
  </si>
  <si>
    <t>BARRANCABERMEJA</t>
  </si>
  <si>
    <t>CHALÁN</t>
  </si>
  <si>
    <t>ATACO</t>
  </si>
  <si>
    <t>BUENAVENTURA</t>
  </si>
  <si>
    <t>ANGOSTURA</t>
  </si>
  <si>
    <t>-75,335116</t>
  </si>
  <si>
    <t>6,885175</t>
  </si>
  <si>
    <t>PUERTO ARICA</t>
  </si>
  <si>
    <t>MALAMBO</t>
  </si>
  <si>
    <t>BOAVITA</t>
  </si>
  <si>
    <t>LA DORADA</t>
  </si>
  <si>
    <t>LA MONTAÑITA</t>
  </si>
  <si>
    <t>NUNCHÍA</t>
  </si>
  <si>
    <t>CALDONO</t>
  </si>
  <si>
    <t>CHIRIGUANÁ</t>
  </si>
  <si>
    <t>BOJAYÁ</t>
  </si>
  <si>
    <t>CIÉNAGA DE ORO</t>
  </si>
  <si>
    <t>BOJACÁ</t>
  </si>
  <si>
    <t>MORICHAL</t>
  </si>
  <si>
    <t>CAMPOALEGRE</t>
  </si>
  <si>
    <t>HATONUEVO</t>
  </si>
  <si>
    <t>CONCORDIA</t>
  </si>
  <si>
    <t>EL CALVARIO</t>
  </si>
  <si>
    <t>BUESACO</t>
  </si>
  <si>
    <t>CHINÁCOTA</t>
  </si>
  <si>
    <t>SIBUNDOY</t>
  </si>
  <si>
    <t>LA TEBAIDA</t>
  </si>
  <si>
    <t>LA VIRGINIA</t>
  </si>
  <si>
    <t>BETULIA</t>
  </si>
  <si>
    <t>EL ROBLE</t>
  </si>
  <si>
    <t>CAJAMARCA</t>
  </si>
  <si>
    <t>GUADALAJARA DE BUGA</t>
  </si>
  <si>
    <t>ANORÍ</t>
  </si>
  <si>
    <t>-75,148355</t>
  </si>
  <si>
    <t>7,074703</t>
  </si>
  <si>
    <t>PUERTO NARIÑO</t>
  </si>
  <si>
    <t>MANATÍ</t>
  </si>
  <si>
    <t>CANTAGALLO</t>
  </si>
  <si>
    <t>LA MERCED</t>
  </si>
  <si>
    <t>MILÁN</t>
  </si>
  <si>
    <t>OROCUÉ</t>
  </si>
  <si>
    <t>CALOTO</t>
  </si>
  <si>
    <t>CURUMANÍ</t>
  </si>
  <si>
    <t>EL CANTÓN DEL SAN PABLO</t>
  </si>
  <si>
    <t>COTORRA</t>
  </si>
  <si>
    <t>CABRERA</t>
  </si>
  <si>
    <t>COLOMBIA</t>
  </si>
  <si>
    <t>LA JAGUA DEL PILAR</t>
  </si>
  <si>
    <t>EL BANCO</t>
  </si>
  <si>
    <t>EL CASTILLO</t>
  </si>
  <si>
    <t>CHITAGÁ</t>
  </si>
  <si>
    <t>SAN FRANCISCO</t>
  </si>
  <si>
    <t>MONTENEGRO</t>
  </si>
  <si>
    <t>MARSELLA</t>
  </si>
  <si>
    <t>GALERAS</t>
  </si>
  <si>
    <t>CARMEN DE APICALÁ</t>
  </si>
  <si>
    <t>BUGALAGRANDE</t>
  </si>
  <si>
    <t>SANTA FÉ DE ANTIOQUIA</t>
  </si>
  <si>
    <t>-75,826648</t>
  </si>
  <si>
    <t>6,556484</t>
  </si>
  <si>
    <t>PUERTO SANTANDER</t>
  </si>
  <si>
    <t>PALMAR DE VARELA</t>
  </si>
  <si>
    <t>CICUCO</t>
  </si>
  <si>
    <t>BRICEÑO</t>
  </si>
  <si>
    <t>MANZANARES</t>
  </si>
  <si>
    <t>MORELIA</t>
  </si>
  <si>
    <t>PAZ DE ARIPORO</t>
  </si>
  <si>
    <t>CORINTO</t>
  </si>
  <si>
    <t>EL COPEY</t>
  </si>
  <si>
    <t>CARMEN DEL DARIÉN</t>
  </si>
  <si>
    <t>LA APARTADA</t>
  </si>
  <si>
    <t>CACHIPAY</t>
  </si>
  <si>
    <t>ELÍAS</t>
  </si>
  <si>
    <t>MAICAO</t>
  </si>
  <si>
    <t>EL PIÑÓN</t>
  </si>
  <si>
    <t>EL DORADO</t>
  </si>
  <si>
    <t>CONSACÁ</t>
  </si>
  <si>
    <t>CONVENCIÓN</t>
  </si>
  <si>
    <t>SAN MIGUEL</t>
  </si>
  <si>
    <t>PIJAO</t>
  </si>
  <si>
    <t>MISTRATÓ</t>
  </si>
  <si>
    <t>GUARANDA</t>
  </si>
  <si>
    <t>CASABIANCA</t>
  </si>
  <si>
    <t>CAICEDONIA</t>
  </si>
  <si>
    <t>ANZÁ</t>
  </si>
  <si>
    <t>-75,854442</t>
  </si>
  <si>
    <t>6,302641</t>
  </si>
  <si>
    <t>TARAPACÁ</t>
  </si>
  <si>
    <t>PIOJÓ</t>
  </si>
  <si>
    <t>MARMATO</t>
  </si>
  <si>
    <t>PUERTO RICO</t>
  </si>
  <si>
    <t>PORE</t>
  </si>
  <si>
    <t>EL TAMBO</t>
  </si>
  <si>
    <t>EL PASO</t>
  </si>
  <si>
    <t>CÉRTEGUI</t>
  </si>
  <si>
    <t>LORICA</t>
  </si>
  <si>
    <t>CAJICÁ</t>
  </si>
  <si>
    <t>GARZÓN</t>
  </si>
  <si>
    <t>MANAURE</t>
  </si>
  <si>
    <t>EL RETÉN</t>
  </si>
  <si>
    <t>FUENTE DE ORO</t>
  </si>
  <si>
    <t>CONTADERO</t>
  </si>
  <si>
    <t>CUCUTILLA</t>
  </si>
  <si>
    <t>SANTIAGO</t>
  </si>
  <si>
    <t>QUIMBAYA</t>
  </si>
  <si>
    <t>PUEBLO RICO</t>
  </si>
  <si>
    <t>CALIFORNIA</t>
  </si>
  <si>
    <t>LA UNIÓN</t>
  </si>
  <si>
    <t>CHAPARRAL</t>
  </si>
  <si>
    <t>CALIMA</t>
  </si>
  <si>
    <t>APARTADÓ</t>
  </si>
  <si>
    <t>-76,625279</t>
  </si>
  <si>
    <t>7,882968</t>
  </si>
  <si>
    <t>POLONUEVO</t>
  </si>
  <si>
    <t>CLEMENCIA</t>
  </si>
  <si>
    <t>BUSBANZÁ</t>
  </si>
  <si>
    <t>MARQUETALIA</t>
  </si>
  <si>
    <t>SAN JOSÉ DEL FRAGUA</t>
  </si>
  <si>
    <t>RECETOR</t>
  </si>
  <si>
    <t>GAMARRA</t>
  </si>
  <si>
    <t>CONDOTO</t>
  </si>
  <si>
    <t>LOS CÓRDOBAS</t>
  </si>
  <si>
    <t>CAPARRAPÍ</t>
  </si>
  <si>
    <t>GIGANTE</t>
  </si>
  <si>
    <t>SAN JUAN DEL CESAR</t>
  </si>
  <si>
    <t>FUNDACIÓN</t>
  </si>
  <si>
    <t>GRANADA</t>
  </si>
  <si>
    <t>DURANIA</t>
  </si>
  <si>
    <t>VALLE DEL GUAMUEZ</t>
  </si>
  <si>
    <t>SALENTO</t>
  </si>
  <si>
    <t>QUINCHÍA</t>
  </si>
  <si>
    <t>CAPITANEJO</t>
  </si>
  <si>
    <t>LOS PALMITOS</t>
  </si>
  <si>
    <t>COELLO</t>
  </si>
  <si>
    <t>ARBOLETES</t>
  </si>
  <si>
    <t>-76,426708</t>
  </si>
  <si>
    <t>8,849317</t>
  </si>
  <si>
    <t>PONEDERA</t>
  </si>
  <si>
    <t>EL CARMEN DE BOLÍVAR</t>
  </si>
  <si>
    <t>MARULANDA</t>
  </si>
  <si>
    <t>SAN VICENTE DEL CAGUÁN</t>
  </si>
  <si>
    <t>SABANALARGA</t>
  </si>
  <si>
    <t>GUACHENÉ</t>
  </si>
  <si>
    <t>GONZÁLEZ</t>
  </si>
  <si>
    <t>EL CARMEN DE ATRATO</t>
  </si>
  <si>
    <t>MOMIL</t>
  </si>
  <si>
    <t>CÁQUEZA</t>
  </si>
  <si>
    <t>GUADALUPE</t>
  </si>
  <si>
    <t>URIBIA</t>
  </si>
  <si>
    <t>GUAMAL</t>
  </si>
  <si>
    <t>CUASPUD CARLOSAMA</t>
  </si>
  <si>
    <t>EL CARMEN</t>
  </si>
  <si>
    <t>VILLAGARZÓN</t>
  </si>
  <si>
    <t>SANTA ROSA DE CABAL</t>
  </si>
  <si>
    <t>CARCASÍ</t>
  </si>
  <si>
    <t>MAJAGUAL</t>
  </si>
  <si>
    <t>COYAIMA</t>
  </si>
  <si>
    <t>CARTAGO</t>
  </si>
  <si>
    <t>-75,14107</t>
  </si>
  <si>
    <t>5,731474</t>
  </si>
  <si>
    <t>EL GUAMO</t>
  </si>
  <si>
    <t>CAMPOHERMOSO</t>
  </si>
  <si>
    <t>NEIRA</t>
  </si>
  <si>
    <t>SOLANO</t>
  </si>
  <si>
    <t>SÁCAMA</t>
  </si>
  <si>
    <t>GUAPI</t>
  </si>
  <si>
    <t>LA GLORIA</t>
  </si>
  <si>
    <t>EL LITORAL DEL SAN JUAN</t>
  </si>
  <si>
    <t>MONTELÍBANO</t>
  </si>
  <si>
    <t>CARMEN DE CARUPA</t>
  </si>
  <si>
    <t>HOBO</t>
  </si>
  <si>
    <t>URUMITA</t>
  </si>
  <si>
    <t>NUEVA GRANADA</t>
  </si>
  <si>
    <t>MAPIRIPÁN</t>
  </si>
  <si>
    <t>CUMBAL</t>
  </si>
  <si>
    <t>EL TARRA</t>
  </si>
  <si>
    <t>SANTUARIO</t>
  </si>
  <si>
    <t>CEPITÁ</t>
  </si>
  <si>
    <t>MORROA</t>
  </si>
  <si>
    <t>CUNDAY</t>
  </si>
  <si>
    <t>DAGUA</t>
  </si>
  <si>
    <t>-75,786647</t>
  </si>
  <si>
    <t>6,155667</t>
  </si>
  <si>
    <t>REPELÓN</t>
  </si>
  <si>
    <t>EL PEÑÓN</t>
  </si>
  <si>
    <t>CERINZA</t>
  </si>
  <si>
    <t>NORCASIA</t>
  </si>
  <si>
    <t>SOLITA</t>
  </si>
  <si>
    <t>SAN LUIS DE PALENQUE</t>
  </si>
  <si>
    <t>INZÁ</t>
  </si>
  <si>
    <t>LA JAGUA DE IBIRICO</t>
  </si>
  <si>
    <t>ISTMINA</t>
  </si>
  <si>
    <t>MOÑITOS</t>
  </si>
  <si>
    <t>CHAGUANÍ</t>
  </si>
  <si>
    <t>ÍQUIRA</t>
  </si>
  <si>
    <t>VILLANUEVA</t>
  </si>
  <si>
    <t>PEDRAZA</t>
  </si>
  <si>
    <t>MESETAS</t>
  </si>
  <si>
    <t>CUMBITARA</t>
  </si>
  <si>
    <t>EL ZULIA</t>
  </si>
  <si>
    <t>CERRITO</t>
  </si>
  <si>
    <t>OVEJAS</t>
  </si>
  <si>
    <t>DOLORES</t>
  </si>
  <si>
    <t>EL ÁGUILA</t>
  </si>
  <si>
    <t>-75,331627</t>
  </si>
  <si>
    <t>6,439195</t>
  </si>
  <si>
    <t>SABANAGRANDE</t>
  </si>
  <si>
    <t>HATILLO DE LOBA</t>
  </si>
  <si>
    <t>CHINAVITA</t>
  </si>
  <si>
    <t>PÁCORA</t>
  </si>
  <si>
    <t>VALPARAÍSO</t>
  </si>
  <si>
    <t>TÁMARA</t>
  </si>
  <si>
    <t>JAMBALÓ</t>
  </si>
  <si>
    <t>MANAURE BALCÓN DEL CESAR</t>
  </si>
  <si>
    <t>JURADÓ</t>
  </si>
  <si>
    <t>PLANETA RICA</t>
  </si>
  <si>
    <t>CHÍA</t>
  </si>
  <si>
    <t>ISNOS</t>
  </si>
  <si>
    <t>PIJIÑO DEL CARMEN</t>
  </si>
  <si>
    <t>LA MACARENA</t>
  </si>
  <si>
    <t>CHACHAGÜÍ</t>
  </si>
  <si>
    <t>GRAMALOTE</t>
  </si>
  <si>
    <t>CHARALÁ</t>
  </si>
  <si>
    <t>PALMITO</t>
  </si>
  <si>
    <t>ESPINAL</t>
  </si>
  <si>
    <t>EL CAIRO</t>
  </si>
  <si>
    <t>BELMIRA</t>
  </si>
  <si>
    <t>-75,667779</t>
  </si>
  <si>
    <t>6,606319</t>
  </si>
  <si>
    <t>MAGANGUÉ</t>
  </si>
  <si>
    <t>CHIQUINQUIRÁ</t>
  </si>
  <si>
    <t>PALESTINA</t>
  </si>
  <si>
    <t>TAURAMENA</t>
  </si>
  <si>
    <t>LA SIERRA</t>
  </si>
  <si>
    <t>PAILITAS</t>
  </si>
  <si>
    <t>LLORÓ</t>
  </si>
  <si>
    <t>PUEBLO NUEVO</t>
  </si>
  <si>
    <t>CHIPAQUE</t>
  </si>
  <si>
    <t>LA ARGENTINA</t>
  </si>
  <si>
    <t>PIVIJAY</t>
  </si>
  <si>
    <t>URIBE</t>
  </si>
  <si>
    <t>EL CHARCO</t>
  </si>
  <si>
    <t>HACARÍ</t>
  </si>
  <si>
    <t>CHARTA</t>
  </si>
  <si>
    <t>SAMPUÉS</t>
  </si>
  <si>
    <t>FALAN</t>
  </si>
  <si>
    <t>EL CERRITO</t>
  </si>
  <si>
    <t>BELLO</t>
  </si>
  <si>
    <t>-75,555245</t>
  </si>
  <si>
    <t>6,333587</t>
  </si>
  <si>
    <t>SANTA LUCÍA</t>
  </si>
  <si>
    <t>MAHATES</t>
  </si>
  <si>
    <t>CHISCAS</t>
  </si>
  <si>
    <t>PENSILVANIA</t>
  </si>
  <si>
    <t>TRINIDAD</t>
  </si>
  <si>
    <t>LA VEGA</t>
  </si>
  <si>
    <t>PELAYA</t>
  </si>
  <si>
    <t>MEDIO ATRATO</t>
  </si>
  <si>
    <t>PUERTO ESCONDIDO</t>
  </si>
  <si>
    <t>CHOACHÍ</t>
  </si>
  <si>
    <t>LA PLATA</t>
  </si>
  <si>
    <t>PLATO</t>
  </si>
  <si>
    <t>LEJANÍAS</t>
  </si>
  <si>
    <t>EL PEÑOL</t>
  </si>
  <si>
    <t>HERRÁN</t>
  </si>
  <si>
    <t>CHIMA</t>
  </si>
  <si>
    <t>SAN BENITO ABAD</t>
  </si>
  <si>
    <t>FLANDES</t>
  </si>
  <si>
    <t>EL DOVIO</t>
  </si>
  <si>
    <t>BETANIA</t>
  </si>
  <si>
    <t>-75,97679</t>
  </si>
  <si>
    <t>5,74615</t>
  </si>
  <si>
    <t>SANTO TOMÁS</t>
  </si>
  <si>
    <t>MARGARITA</t>
  </si>
  <si>
    <t>CHITA</t>
  </si>
  <si>
    <t>RIOSUCIO</t>
  </si>
  <si>
    <t>LÓPEZ DE MICAY</t>
  </si>
  <si>
    <t>PUEBLO BELLO</t>
  </si>
  <si>
    <t>MEDIO BAUDÓ</t>
  </si>
  <si>
    <t>PUERTO LIBERTADOR</t>
  </si>
  <si>
    <t>CHOCONTÁ</t>
  </si>
  <si>
    <t>NÁTAGA</t>
  </si>
  <si>
    <t>PUEBLOVIEJO</t>
  </si>
  <si>
    <t>PUERTO CONCORDIA</t>
  </si>
  <si>
    <t>EL ROSARIO</t>
  </si>
  <si>
    <t>LABATECA</t>
  </si>
  <si>
    <t>CHIPATÁ</t>
  </si>
  <si>
    <t>SAN JUAN DE BETULIA</t>
  </si>
  <si>
    <t>FRESNO</t>
  </si>
  <si>
    <t>FLORIDA</t>
  </si>
  <si>
    <t>-75,984452</t>
  </si>
  <si>
    <t>6,115208</t>
  </si>
  <si>
    <t>SOLEDAD</t>
  </si>
  <si>
    <t>MARÍA LA BAJA</t>
  </si>
  <si>
    <t>CHITARAQUE</t>
  </si>
  <si>
    <t>MERCADERES</t>
  </si>
  <si>
    <t>RÍO DE ORO</t>
  </si>
  <si>
    <t>MEDIO SAN JUAN</t>
  </si>
  <si>
    <t>PURÍSIMA DE LA CONCEPCIÓN</t>
  </si>
  <si>
    <t>COGUA</t>
  </si>
  <si>
    <t>OPORAPA</t>
  </si>
  <si>
    <t>REMOLINO</t>
  </si>
  <si>
    <t>PUERTO GAITÁN</t>
  </si>
  <si>
    <t>EL TABLÓN DE GÓMEZ</t>
  </si>
  <si>
    <t>LA ESPERANZA</t>
  </si>
  <si>
    <t>CIMITARRA</t>
  </si>
  <si>
    <t>SAN MARCOS</t>
  </si>
  <si>
    <t>GUAMO</t>
  </si>
  <si>
    <t>GINEBRA</t>
  </si>
  <si>
    <t>CIUDAD BOLÍVAR</t>
  </si>
  <si>
    <t>-76,021509</t>
  </si>
  <si>
    <t>5,850273</t>
  </si>
  <si>
    <t>SUAN</t>
  </si>
  <si>
    <t>MONTECRISTO</t>
  </si>
  <si>
    <t>CHIVATÁ</t>
  </si>
  <si>
    <t>SALAMINA</t>
  </si>
  <si>
    <t>MIRANDA</t>
  </si>
  <si>
    <t>LA PAZ</t>
  </si>
  <si>
    <t>NÓVITA</t>
  </si>
  <si>
    <t>SAHAGÚN</t>
  </si>
  <si>
    <t>COTA</t>
  </si>
  <si>
    <t>PAICOL</t>
  </si>
  <si>
    <t>SABANAS DE SAN ÁNGEL</t>
  </si>
  <si>
    <t>PUERTO LÓPEZ</t>
  </si>
  <si>
    <t>LA PLAYA</t>
  </si>
  <si>
    <t>CONCEPCIÓN</t>
  </si>
  <si>
    <t>SAN ONOFRE</t>
  </si>
  <si>
    <t>HERVEO</t>
  </si>
  <si>
    <t>GUACARÍ</t>
  </si>
  <si>
    <t>-75,55036</t>
  </si>
  <si>
    <t>7,112803</t>
  </si>
  <si>
    <t>TUBARÁ</t>
  </si>
  <si>
    <t>SANTA CRUZ DE MOMPOX</t>
  </si>
  <si>
    <t>CIÉNEGA</t>
  </si>
  <si>
    <t>SAMANÁ</t>
  </si>
  <si>
    <t>MORALES</t>
  </si>
  <si>
    <t>SAN ALBERTO</t>
  </si>
  <si>
    <t>NUEVO BELÉN DE BAJIRÁ</t>
  </si>
  <si>
    <t>SAN ANDRÉS DE SOTAVENTO</t>
  </si>
  <si>
    <t>CUCUNUBÁ</t>
  </si>
  <si>
    <t>PALERMO</t>
  </si>
  <si>
    <t>PUERTO LLERAS</t>
  </si>
  <si>
    <t>FUNES</t>
  </si>
  <si>
    <t>LOS PATIOS</t>
  </si>
  <si>
    <t>CONFINES</t>
  </si>
  <si>
    <t>SAN PEDRO</t>
  </si>
  <si>
    <t>HONDA</t>
  </si>
  <si>
    <t>JAMUNDÍ</t>
  </si>
  <si>
    <t>BURITICÁ</t>
  </si>
  <si>
    <t>-75,907</t>
  </si>
  <si>
    <t>6,720759</t>
  </si>
  <si>
    <t>USIACURÍ</t>
  </si>
  <si>
    <t>CÓMBITA</t>
  </si>
  <si>
    <t>SAN JOSÉ</t>
  </si>
  <si>
    <t>PADILLA</t>
  </si>
  <si>
    <t>SAN DIEGO</t>
  </si>
  <si>
    <t>NUQUÍ</t>
  </si>
  <si>
    <t>SAN ANTERO</t>
  </si>
  <si>
    <t>EL COLEGIO</t>
  </si>
  <si>
    <t>SAN SEBASTIÁN DE BUENAVISTA</t>
  </si>
  <si>
    <t>GUACHUCAL</t>
  </si>
  <si>
    <t>LOURDES</t>
  </si>
  <si>
    <t>CONTRATACIÓN</t>
  </si>
  <si>
    <t>SAN LUIS DE SINCÉ</t>
  </si>
  <si>
    <t>ICONONZO</t>
  </si>
  <si>
    <t>LA CUMBRE</t>
  </si>
  <si>
    <t>CÁCERES</t>
  </si>
  <si>
    <t>-75,35205</t>
  </si>
  <si>
    <t>7,578366</t>
  </si>
  <si>
    <t>NOROSÍ</t>
  </si>
  <si>
    <t>COPER</t>
  </si>
  <si>
    <t>SUPÍA</t>
  </si>
  <si>
    <t>PÁEZ</t>
  </si>
  <si>
    <t>SAN MARTÍN</t>
  </si>
  <si>
    <t>RÍO IRÓ</t>
  </si>
  <si>
    <t>SAN BERNARDO DEL VIENTO</t>
  </si>
  <si>
    <t>PITAL</t>
  </si>
  <si>
    <t>SAN ZENÓN</t>
  </si>
  <si>
    <t>RESTREPO</t>
  </si>
  <si>
    <t>GUAITARILLA</t>
  </si>
  <si>
    <t>MUTISCUA</t>
  </si>
  <si>
    <t>COROMORO</t>
  </si>
  <si>
    <t>LÉRIDA</t>
  </si>
  <si>
    <t>CAICEDO</t>
  </si>
  <si>
    <t>-75,98293</t>
  </si>
  <si>
    <t>6,405607</t>
  </si>
  <si>
    <t>PINILLOS</t>
  </si>
  <si>
    <t>CORRALES</t>
  </si>
  <si>
    <t>VICTORIA</t>
  </si>
  <si>
    <t>PATÍA</t>
  </si>
  <si>
    <t>TAMALAMEQUE</t>
  </si>
  <si>
    <t>RÍO QUITO</t>
  </si>
  <si>
    <t>SAN CARLOS</t>
  </si>
  <si>
    <t>EL ROSAL</t>
  </si>
  <si>
    <t>PITALITO</t>
  </si>
  <si>
    <t>SANTA ANA</t>
  </si>
  <si>
    <t>SAN CARLOS DE GUAROA</t>
  </si>
  <si>
    <t>GUALMATÁN</t>
  </si>
  <si>
    <t>OCAÑA</t>
  </si>
  <si>
    <t>CURITÍ</t>
  </si>
  <si>
    <t>SANTIAGO DE TOLÚ</t>
  </si>
  <si>
    <t>LÍBANO</t>
  </si>
  <si>
    <t>-75,633673</t>
  </si>
  <si>
    <t>6,091077</t>
  </si>
  <si>
    <t>REGIDOR</t>
  </si>
  <si>
    <t>COVARACHÍA</t>
  </si>
  <si>
    <t>VILLAMARÍA</t>
  </si>
  <si>
    <t>PIAMONTE</t>
  </si>
  <si>
    <t>SAN JOSÉ DE URÉ</t>
  </si>
  <si>
    <t>FACATATIVÁ</t>
  </si>
  <si>
    <t>RIVERA</t>
  </si>
  <si>
    <t>SANTA BÁRBARA DE PINTO</t>
  </si>
  <si>
    <t>SAN JUAN DE ARAMA</t>
  </si>
  <si>
    <t>ILES</t>
  </si>
  <si>
    <t>PAMPLONA</t>
  </si>
  <si>
    <t>EL CARMEN DE CHUCURÍ</t>
  </si>
  <si>
    <t>SAN JOSÉ DE TOLUVIEJO</t>
  </si>
  <si>
    <t>SAN SEBASTIÁN DE MARIQUITA</t>
  </si>
  <si>
    <t>OBANDO</t>
  </si>
  <si>
    <t>CAMPAMENTO</t>
  </si>
  <si>
    <t>-75,298091</t>
  </si>
  <si>
    <t>6,979771</t>
  </si>
  <si>
    <t>RÍO VIEJO</t>
  </si>
  <si>
    <t>CUBARÁ</t>
  </si>
  <si>
    <t>VITERBO</t>
  </si>
  <si>
    <t>PIENDAMÓ - TUNÍA</t>
  </si>
  <si>
    <t>SAN JOSÉ DEL PALMAR</t>
  </si>
  <si>
    <t>SAN PELAYO</t>
  </si>
  <si>
    <t>FÓMEQUE</t>
  </si>
  <si>
    <t>SALADOBLANCO</t>
  </si>
  <si>
    <t>SITIONUEVO</t>
  </si>
  <si>
    <t>SAN JUANITO</t>
  </si>
  <si>
    <t>IMUÉS</t>
  </si>
  <si>
    <t>PAMPLONITA</t>
  </si>
  <si>
    <t>EL GUACAMAYO</t>
  </si>
  <si>
    <t>MELGAR</t>
  </si>
  <si>
    <t>PALMIRA</t>
  </si>
  <si>
    <t>CAÑASGORDAS</t>
  </si>
  <si>
    <t>-76,028228</t>
  </si>
  <si>
    <t>6,753859</t>
  </si>
  <si>
    <t>SAN CRISTÓBAL</t>
  </si>
  <si>
    <t>CUCAITA</t>
  </si>
  <si>
    <t>PUERTO TEJADA</t>
  </si>
  <si>
    <t>SIPÍ</t>
  </si>
  <si>
    <t>TIERRALTA</t>
  </si>
  <si>
    <t>FOSCA</t>
  </si>
  <si>
    <t>SAN AGUSTÍN</t>
  </si>
  <si>
    <t>TENERIFE</t>
  </si>
  <si>
    <t>IPIALES</t>
  </si>
  <si>
    <t>MURILLO</t>
  </si>
  <si>
    <t>PRADERA</t>
  </si>
  <si>
    <t>CARACOLÍ</t>
  </si>
  <si>
    <t>-74,757421</t>
  </si>
  <si>
    <t>6,409829</t>
  </si>
  <si>
    <t>SAN ESTANISLAO</t>
  </si>
  <si>
    <t>CUÍTIVA</t>
  </si>
  <si>
    <t>PURACÉ</t>
  </si>
  <si>
    <t>TADÓ</t>
  </si>
  <si>
    <t>TUCHÍN</t>
  </si>
  <si>
    <t>FUNZA</t>
  </si>
  <si>
    <t>SANTA MARÍA</t>
  </si>
  <si>
    <t>ZAPAYÁN</t>
  </si>
  <si>
    <t>VISTAHERMOSA</t>
  </si>
  <si>
    <t>LA CRUZ</t>
  </si>
  <si>
    <t>RAGONVALIA</t>
  </si>
  <si>
    <t>EL PLAYÓN</t>
  </si>
  <si>
    <t>NATAGAIMA</t>
  </si>
  <si>
    <t>CARAMANTA</t>
  </si>
  <si>
    <t>-75,643868</t>
  </si>
  <si>
    <t>5,54853</t>
  </si>
  <si>
    <t>SAN FERNANDO</t>
  </si>
  <si>
    <t>CHÍQUIZA</t>
  </si>
  <si>
    <t>ROSAS</t>
  </si>
  <si>
    <t>UNGUÍA</t>
  </si>
  <si>
    <t>VALENCIA</t>
  </si>
  <si>
    <t>FÚQUENE</t>
  </si>
  <si>
    <t>SUAZA</t>
  </si>
  <si>
    <t>ZONA BANANERA</t>
  </si>
  <si>
    <t>LA FLORIDA</t>
  </si>
  <si>
    <t>SALAZAR</t>
  </si>
  <si>
    <t>ENCINO</t>
  </si>
  <si>
    <t>ORTEGA</t>
  </si>
  <si>
    <t>RIOFRÍO</t>
  </si>
  <si>
    <t>CAREPA</t>
  </si>
  <si>
    <t>-76,652652</t>
  </si>
  <si>
    <t>7,755148</t>
  </si>
  <si>
    <t>SAN JACINTO</t>
  </si>
  <si>
    <t>CHIVOR</t>
  </si>
  <si>
    <t>SAN SEBASTIÁN</t>
  </si>
  <si>
    <t>UNIÓN PANAMERICANA</t>
  </si>
  <si>
    <t>FUSAGASUGÁ</t>
  </si>
  <si>
    <t>TARQUI</t>
  </si>
  <si>
    <t>LA LLANADA</t>
  </si>
  <si>
    <t>SAN CALIXTO</t>
  </si>
  <si>
    <t>ENCISO</t>
  </si>
  <si>
    <t>PALOCABILDO</t>
  </si>
  <si>
    <t>ROLDANILLO</t>
  </si>
  <si>
    <t>EL CARMEN DE VIBORAL</t>
  </si>
  <si>
    <t>-75,333901</t>
  </si>
  <si>
    <t>6,082885</t>
  </si>
  <si>
    <t>SAN JACINTO DEL CAUCA</t>
  </si>
  <si>
    <t>DUITAMA</t>
  </si>
  <si>
    <t>SANTANDER DE QUILICHAO</t>
  </si>
  <si>
    <t>GACHALÁ</t>
  </si>
  <si>
    <t>TESALIA</t>
  </si>
  <si>
    <t>LA TOLA</t>
  </si>
  <si>
    <t>SAN CAYETANO</t>
  </si>
  <si>
    <t>FLORIÁN</t>
  </si>
  <si>
    <t>PIEDRAS</t>
  </si>
  <si>
    <t>CAROLINA</t>
  </si>
  <si>
    <t>-75,283192</t>
  </si>
  <si>
    <t>6,725995</t>
  </si>
  <si>
    <t>SAN JUAN NEPOMUCENO</t>
  </si>
  <si>
    <t>EL COCUY</t>
  </si>
  <si>
    <t>SANTA ROSA</t>
  </si>
  <si>
    <t>GACHANCIPÁ</t>
  </si>
  <si>
    <t>TELLO</t>
  </si>
  <si>
    <t>FLORIDABLANCA</t>
  </si>
  <si>
    <t>PLANADAS</t>
  </si>
  <si>
    <t>SEVILLA</t>
  </si>
  <si>
    <t>CAUCASIA</t>
  </si>
  <si>
    <t>-75,197996</t>
  </si>
  <si>
    <t>7,977278</t>
  </si>
  <si>
    <t>SAN MARTÍN DE LOBA</t>
  </si>
  <si>
    <t>EL ESPINO</t>
  </si>
  <si>
    <t>SILVIA</t>
  </si>
  <si>
    <t>GACHETÁ</t>
  </si>
  <si>
    <t>TERUEL</t>
  </si>
  <si>
    <t>LEIVA</t>
  </si>
  <si>
    <t>SARDINATA</t>
  </si>
  <si>
    <t>GALÁN</t>
  </si>
  <si>
    <t>PRADO</t>
  </si>
  <si>
    <t>TORO</t>
  </si>
  <si>
    <t>CHIGORODÓ</t>
  </si>
  <si>
    <t>-76,681531</t>
  </si>
  <si>
    <t>7,666147</t>
  </si>
  <si>
    <t>SAN PABLO</t>
  </si>
  <si>
    <t>FIRAVITOBA</t>
  </si>
  <si>
    <t>SOTARÁ - PAISPAMBA</t>
  </si>
  <si>
    <t>GAMA</t>
  </si>
  <si>
    <t>TIMANÁ</t>
  </si>
  <si>
    <t>LINARES</t>
  </si>
  <si>
    <t>SILOS</t>
  </si>
  <si>
    <t>GÁMBITA</t>
  </si>
  <si>
    <t>PURIFICACIÓN</t>
  </si>
  <si>
    <t>TRUJILLO</t>
  </si>
  <si>
    <t>CISNEROS</t>
  </si>
  <si>
    <t>-75,087047</t>
  </si>
  <si>
    <t>6,537829</t>
  </si>
  <si>
    <t>SANTA CATALINA</t>
  </si>
  <si>
    <t>FLORESTA</t>
  </si>
  <si>
    <t>SUÁREZ</t>
  </si>
  <si>
    <t>GIRARDOT</t>
  </si>
  <si>
    <t>VILLAVIEJA</t>
  </si>
  <si>
    <t>LOS ANDES</t>
  </si>
  <si>
    <t>TEORAMA</t>
  </si>
  <si>
    <t>GIRÓN</t>
  </si>
  <si>
    <t>RIOBLANCO</t>
  </si>
  <si>
    <t>TULUÁ</t>
  </si>
  <si>
    <t>COCORNÁ</t>
  </si>
  <si>
    <t>-75,185483</t>
  </si>
  <si>
    <t>6,058295</t>
  </si>
  <si>
    <t>GACHANTIVÁ</t>
  </si>
  <si>
    <t>YAGUARÁ</t>
  </si>
  <si>
    <t>MAGÜÍ</t>
  </si>
  <si>
    <t>TIBÚ</t>
  </si>
  <si>
    <t>GUACA</t>
  </si>
  <si>
    <t>RONCESVALLES</t>
  </si>
  <si>
    <t>ULLOA</t>
  </si>
  <si>
    <t>-75,257587</t>
  </si>
  <si>
    <t>6,394348</t>
  </si>
  <si>
    <t>SANTA ROSA DEL SUR</t>
  </si>
  <si>
    <t>GÁMEZA</t>
  </si>
  <si>
    <t>TIMBÍO</t>
  </si>
  <si>
    <t>GUACHETÁ</t>
  </si>
  <si>
    <t>MALLAMA</t>
  </si>
  <si>
    <t>TOLEDO</t>
  </si>
  <si>
    <t>ROVIRA</t>
  </si>
  <si>
    <t>VERSALLES</t>
  </si>
  <si>
    <t>-75,908448</t>
  </si>
  <si>
    <t>6,045738</t>
  </si>
  <si>
    <t>SIMITÍ</t>
  </si>
  <si>
    <t>GARAGOA</t>
  </si>
  <si>
    <t>TIMBIQUÍ</t>
  </si>
  <si>
    <t>GUADUAS</t>
  </si>
  <si>
    <t>MOSQUERA</t>
  </si>
  <si>
    <t>VILLA CARO</t>
  </si>
  <si>
    <t>GUAPOTÁ</t>
  </si>
  <si>
    <t>SALDAÑA</t>
  </si>
  <si>
    <t>VIJES</t>
  </si>
  <si>
    <t>COPACABANA</t>
  </si>
  <si>
    <t>-75,509384</t>
  </si>
  <si>
    <t>6,348557</t>
  </si>
  <si>
    <t>SOPLAVIENTO</t>
  </si>
  <si>
    <t>GUACAMAYAS</t>
  </si>
  <si>
    <t>TORIBÍO</t>
  </si>
  <si>
    <t>GUASCA</t>
  </si>
  <si>
    <t>VILLA DEL ROSARIO</t>
  </si>
  <si>
    <t>GUAVATÁ</t>
  </si>
  <si>
    <t>SAN ANTONIO</t>
  </si>
  <si>
    <t>YOTOCO</t>
  </si>
  <si>
    <t>DABEIBA</t>
  </si>
  <si>
    <t>-76,261614</t>
  </si>
  <si>
    <t>6,998112</t>
  </si>
  <si>
    <t>TALAIGUA NUEVO</t>
  </si>
  <si>
    <t>GUATEQUE</t>
  </si>
  <si>
    <t>TOTORÓ</t>
  </si>
  <si>
    <t>GUATAQUÍ</t>
  </si>
  <si>
    <t>OLAYA HERRERA</t>
  </si>
  <si>
    <t>GÜEPSA</t>
  </si>
  <si>
    <t>SAN LUIS</t>
  </si>
  <si>
    <t>YUMBO</t>
  </si>
  <si>
    <t>DONMATÍAS</t>
  </si>
  <si>
    <t>-75,39263</t>
  </si>
  <si>
    <t>6,485603</t>
  </si>
  <si>
    <t>TIQUISIO</t>
  </si>
  <si>
    <t>GUAYATÁ</t>
  </si>
  <si>
    <t>VILLA RICA</t>
  </si>
  <si>
    <t>GUATAVITA</t>
  </si>
  <si>
    <t>OSPINA</t>
  </si>
  <si>
    <t>HATO</t>
  </si>
  <si>
    <t>SANTA ISABEL</t>
  </si>
  <si>
    <t>ZARZAL</t>
  </si>
  <si>
    <t>EBÉJICO</t>
  </si>
  <si>
    <t>-75,766413</t>
  </si>
  <si>
    <t>6,325615</t>
  </si>
  <si>
    <t>TURBACO</t>
  </si>
  <si>
    <t>GÜICÁN DE LA SIERRA</t>
  </si>
  <si>
    <t>GUAYABAL DE SÍQUIMA</t>
  </si>
  <si>
    <t>FRANCISCO PIZARRO</t>
  </si>
  <si>
    <t>JESÚS MARÍA</t>
  </si>
  <si>
    <t>EL BAGRE</t>
  </si>
  <si>
    <t>-74,799097</t>
  </si>
  <si>
    <t>7,5975</t>
  </si>
  <si>
    <t>TURBANÁ</t>
  </si>
  <si>
    <t>IZA</t>
  </si>
  <si>
    <t>GUAYABETAL</t>
  </si>
  <si>
    <t>POLICARPA</t>
  </si>
  <si>
    <t>JORDÁN</t>
  </si>
  <si>
    <t>VALLE DE SAN JUAN</t>
  </si>
  <si>
    <t>ENTRERRÍOS</t>
  </si>
  <si>
    <t>-75,517685</t>
  </si>
  <si>
    <t>6,566273</t>
  </si>
  <si>
    <t>JENESANO</t>
  </si>
  <si>
    <t>GUTIÉRREZ</t>
  </si>
  <si>
    <t>POTOSÍ</t>
  </si>
  <si>
    <t>LA BELLEZA</t>
  </si>
  <si>
    <t>VENADILLO</t>
  </si>
  <si>
    <t>ENVIGADO</t>
  </si>
  <si>
    <t>-75,582192</t>
  </si>
  <si>
    <t>6,166695</t>
  </si>
  <si>
    <t>ZAMBRANO</t>
  </si>
  <si>
    <t>JERICÓ</t>
  </si>
  <si>
    <t>JERUSALÉN</t>
  </si>
  <si>
    <t>PROVIDENCIA</t>
  </si>
  <si>
    <t>LANDÁZURI</t>
  </si>
  <si>
    <t>VILLAHERMOSA</t>
  </si>
  <si>
    <t>FREDONIA</t>
  </si>
  <si>
    <t>-75,675072</t>
  </si>
  <si>
    <t>5,928039</t>
  </si>
  <si>
    <t>LABRANZAGRANDE</t>
  </si>
  <si>
    <t>JUNÍN</t>
  </si>
  <si>
    <t>PUERRES</t>
  </si>
  <si>
    <t>VILLARRICA</t>
  </si>
  <si>
    <t>FRONTINO</t>
  </si>
  <si>
    <t>-76,130765</t>
  </si>
  <si>
    <t>6,776066</t>
  </si>
  <si>
    <t>LA CAPILLA</t>
  </si>
  <si>
    <t>LA CALERA</t>
  </si>
  <si>
    <t>PUPIALES</t>
  </si>
  <si>
    <t>LEBRIJA</t>
  </si>
  <si>
    <t>GIRALDO</t>
  </si>
  <si>
    <t>-75,952158</t>
  </si>
  <si>
    <t>6,680808</t>
  </si>
  <si>
    <t>LA MESA</t>
  </si>
  <si>
    <t>RICAURTE</t>
  </si>
  <si>
    <t>LOS SANTOS</t>
  </si>
  <si>
    <t>GIRARDOTA</t>
  </si>
  <si>
    <t>-75,444238</t>
  </si>
  <si>
    <t>6,379472</t>
  </si>
  <si>
    <t>LA UVITA</t>
  </si>
  <si>
    <t>LA PALMA</t>
  </si>
  <si>
    <t>ROBERTO PAYÁN</t>
  </si>
  <si>
    <t>MACARAVITA</t>
  </si>
  <si>
    <t>GÓMEZ PLATA</t>
  </si>
  <si>
    <t>-75,220018</t>
  </si>
  <si>
    <t>6,683269</t>
  </si>
  <si>
    <t>VILLA DE LEYVA</t>
  </si>
  <si>
    <t>LA PEÑA</t>
  </si>
  <si>
    <t>SAMANIEGO</t>
  </si>
  <si>
    <t>MÁLAGA</t>
  </si>
  <si>
    <t>-75,184446</t>
  </si>
  <si>
    <t>6,142892</t>
  </si>
  <si>
    <t>MACANAL</t>
  </si>
  <si>
    <t>SANDONÁ</t>
  </si>
  <si>
    <t>MATANZA</t>
  </si>
  <si>
    <t>-75,239862</t>
  </si>
  <si>
    <t>6,815069</t>
  </si>
  <si>
    <t>MARIPÍ</t>
  </si>
  <si>
    <t>LENGUAZAQUE</t>
  </si>
  <si>
    <t>SAN BERNARDO</t>
  </si>
  <si>
    <t>MOGOTES</t>
  </si>
  <si>
    <t>GUARNE</t>
  </si>
  <si>
    <t>-75,441612</t>
  </si>
  <si>
    <t>6,27787</t>
  </si>
  <si>
    <t>MACHETÁ</t>
  </si>
  <si>
    <t>SAN LORENZO</t>
  </si>
  <si>
    <t>MOLAGAVITA</t>
  </si>
  <si>
    <t>GUATAPÉ</t>
  </si>
  <si>
    <t>-75,160041</t>
  </si>
  <si>
    <t>6,232461</t>
  </si>
  <si>
    <t>MONGUA</t>
  </si>
  <si>
    <t>MADRID</t>
  </si>
  <si>
    <t>OCAMONTE</t>
  </si>
  <si>
    <t>HELICONIA</t>
  </si>
  <si>
    <t>-75,734322</t>
  </si>
  <si>
    <t>6,206757</t>
  </si>
  <si>
    <t>MONGUÍ</t>
  </si>
  <si>
    <t>MANTA</t>
  </si>
  <si>
    <t>SAN PEDRO DE CARTAGO</t>
  </si>
  <si>
    <t>OIBA</t>
  </si>
  <si>
    <t>HISPANIA</t>
  </si>
  <si>
    <t>-75,906587</t>
  </si>
  <si>
    <t>5,799461</t>
  </si>
  <si>
    <t>MONIQUIRÁ</t>
  </si>
  <si>
    <t>MEDINA</t>
  </si>
  <si>
    <t>SANTA BÁRBARA</t>
  </si>
  <si>
    <t>ONZAGA</t>
  </si>
  <si>
    <t>ITAGÜÍ</t>
  </si>
  <si>
    <t>-75,612056</t>
  </si>
  <si>
    <t>6,175079</t>
  </si>
  <si>
    <t>MOTAVITA</t>
  </si>
  <si>
    <t>SANTACRUZ</t>
  </si>
  <si>
    <t>PALMAR</t>
  </si>
  <si>
    <t>ITUANGO</t>
  </si>
  <si>
    <t>-75,764673</t>
  </si>
  <si>
    <t>7,171629</t>
  </si>
  <si>
    <t>MUZO</t>
  </si>
  <si>
    <t>SAPUYES</t>
  </si>
  <si>
    <t>PALMAS DEL SOCORRO</t>
  </si>
  <si>
    <t>JARDÍN</t>
  </si>
  <si>
    <t>-75,818982</t>
  </si>
  <si>
    <t>5,597542</t>
  </si>
  <si>
    <t>NOBSA</t>
  </si>
  <si>
    <t>NEMOCÓN</t>
  </si>
  <si>
    <t>TAMINANGO</t>
  </si>
  <si>
    <t>PÁRAMO</t>
  </si>
  <si>
    <t>-75,785499</t>
  </si>
  <si>
    <t>5,789748</t>
  </si>
  <si>
    <t>NUEVO COLÓN</t>
  </si>
  <si>
    <t>NILO</t>
  </si>
  <si>
    <t>TANGUA</t>
  </si>
  <si>
    <t>PIEDECUESTA</t>
  </si>
  <si>
    <t>LA CEJA</t>
  </si>
  <si>
    <t>-75,429433</t>
  </si>
  <si>
    <t>6,028062</t>
  </si>
  <si>
    <t>OICATÁ</t>
  </si>
  <si>
    <t>NIMAIMA</t>
  </si>
  <si>
    <t>SAN ANDRÉS DE TUMACO</t>
  </si>
  <si>
    <t>PINCHOTE</t>
  </si>
  <si>
    <t>LA ESTRELLA</t>
  </si>
  <si>
    <t>-75,637708</t>
  </si>
  <si>
    <t>6,145238</t>
  </si>
  <si>
    <t>OTANCHE</t>
  </si>
  <si>
    <t>NOCAIMA</t>
  </si>
  <si>
    <t>TÚQUERRES</t>
  </si>
  <si>
    <t>PUENTE NACIONAL</t>
  </si>
  <si>
    <t>LA PINTADA</t>
  </si>
  <si>
    <t>-75,60781</t>
  </si>
  <si>
    <t>5,743808</t>
  </si>
  <si>
    <t>PACHAVITA</t>
  </si>
  <si>
    <t>VENECIA</t>
  </si>
  <si>
    <t>YACUANQUER</t>
  </si>
  <si>
    <t>PUERTO PARRA</t>
  </si>
  <si>
    <t>-75,360874</t>
  </si>
  <si>
    <t>5,973845</t>
  </si>
  <si>
    <t>PACHO</t>
  </si>
  <si>
    <t>PUERTO WILCHES</t>
  </si>
  <si>
    <t>LIBORINA</t>
  </si>
  <si>
    <t>-75,812838</t>
  </si>
  <si>
    <t>6,677316</t>
  </si>
  <si>
    <t>PAIPA</t>
  </si>
  <si>
    <t>PAIME</t>
  </si>
  <si>
    <t>RIONEGRO</t>
  </si>
  <si>
    <t>MACEO</t>
  </si>
  <si>
    <t>-74,78716</t>
  </si>
  <si>
    <t>6,552116</t>
  </si>
  <si>
    <t>PAJARITO</t>
  </si>
  <si>
    <t>PANDI</t>
  </si>
  <si>
    <t>SABANA DE TORRES</t>
  </si>
  <si>
    <t>MARINILLA</t>
  </si>
  <si>
    <t>-75,339345</t>
  </si>
  <si>
    <t>6,173995</t>
  </si>
  <si>
    <t>PANQUEBA</t>
  </si>
  <si>
    <t>PARATEBUENO</t>
  </si>
  <si>
    <t>SAN ANDRÉS</t>
  </si>
  <si>
    <t>MONTEBELLO</t>
  </si>
  <si>
    <t>-75,523455</t>
  </si>
  <si>
    <t>5,946313</t>
  </si>
  <si>
    <t>PAUNA</t>
  </si>
  <si>
    <t>PASCA</t>
  </si>
  <si>
    <t>SAN BENITO</t>
  </si>
  <si>
    <t>MURINDÓ</t>
  </si>
  <si>
    <t>-76,817485</t>
  </si>
  <si>
    <t>6,97771</t>
  </si>
  <si>
    <t>PAYA</t>
  </si>
  <si>
    <t>PUERTO SALGAR</t>
  </si>
  <si>
    <t>SAN GIL</t>
  </si>
  <si>
    <t>MUTATÁ</t>
  </si>
  <si>
    <t>-76,435875</t>
  </si>
  <si>
    <t>7,242875</t>
  </si>
  <si>
    <t>PAZ DE RÍO</t>
  </si>
  <si>
    <t>PULÍ</t>
  </si>
  <si>
    <t>SAN JOAQUÍN</t>
  </si>
  <si>
    <t>-75,176262</t>
  </si>
  <si>
    <t>5,610777</t>
  </si>
  <si>
    <t>PESCA</t>
  </si>
  <si>
    <t>QUEBRADANEGRA</t>
  </si>
  <si>
    <t>SAN JOSÉ DE MIRANDA</t>
  </si>
  <si>
    <t>NECOCLÍ</t>
  </si>
  <si>
    <t>-76,787271</t>
  </si>
  <si>
    <t>8,434526</t>
  </si>
  <si>
    <t>PISBA</t>
  </si>
  <si>
    <t>QUETAME</t>
  </si>
  <si>
    <t>NECHÍ</t>
  </si>
  <si>
    <t>-74,77647</t>
  </si>
  <si>
    <t>8,094129</t>
  </si>
  <si>
    <t>PUERTO BOYACÁ</t>
  </si>
  <si>
    <t>QUIPILE</t>
  </si>
  <si>
    <t>SAN VICENTE DE CHUCURÍ</t>
  </si>
  <si>
    <t>OLAYA</t>
  </si>
  <si>
    <t>-75,811773</t>
  </si>
  <si>
    <t>6,626492</t>
  </si>
  <si>
    <t>QUÍPAMA</t>
  </si>
  <si>
    <t>APULO</t>
  </si>
  <si>
    <t>PEÑOL</t>
  </si>
  <si>
    <t>-75,242693</t>
  </si>
  <si>
    <t>6,219349</t>
  </si>
  <si>
    <t>RAMIRIQUÍ</t>
  </si>
  <si>
    <t>SANTA HELENA DEL OPÓN</t>
  </si>
  <si>
    <t>PEQUE</t>
  </si>
  <si>
    <t>-75,910357</t>
  </si>
  <si>
    <t>7,021029</t>
  </si>
  <si>
    <t>RÁQUIRA</t>
  </si>
  <si>
    <t>SAN ANTONIO DEL TEQUENDAMA</t>
  </si>
  <si>
    <t>SIMACOTA</t>
  </si>
  <si>
    <t>PUEBLORRICO</t>
  </si>
  <si>
    <t>-75,839903</t>
  </si>
  <si>
    <t>5,79158</t>
  </si>
  <si>
    <t>RONDÓN</t>
  </si>
  <si>
    <t>SOCORRO</t>
  </si>
  <si>
    <t>PUERTO BERRÍO</t>
  </si>
  <si>
    <t>-74,410016</t>
  </si>
  <si>
    <t>6,487028</t>
  </si>
  <si>
    <t>SABOYÁ</t>
  </si>
  <si>
    <t>SUAITA</t>
  </si>
  <si>
    <t>PUERTO NARE</t>
  </si>
  <si>
    <t>-74,583012</t>
  </si>
  <si>
    <t>6,186025</t>
  </si>
  <si>
    <t>SÁCHICA</t>
  </si>
  <si>
    <t>PUERTO TRIUNFO</t>
  </si>
  <si>
    <t>-74,64119</t>
  </si>
  <si>
    <t>5,871318</t>
  </si>
  <si>
    <t>SAMACÁ</t>
  </si>
  <si>
    <t>SAN JUAN DE RIOSECO</t>
  </si>
  <si>
    <t>SURATÁ</t>
  </si>
  <si>
    <t>REMEDIOS</t>
  </si>
  <si>
    <t>-74,698135</t>
  </si>
  <si>
    <t>7,029424</t>
  </si>
  <si>
    <t>SAN EDUARDO</t>
  </si>
  <si>
    <t>SASAIMA</t>
  </si>
  <si>
    <t>TONA</t>
  </si>
  <si>
    <t>RETIRO</t>
  </si>
  <si>
    <t>-75,501301</t>
  </si>
  <si>
    <t>6,062454</t>
  </si>
  <si>
    <t>SAN JOSÉ DE PARE</t>
  </si>
  <si>
    <t>SESQUILÉ</t>
  </si>
  <si>
    <t>VALLE DE SAN JOSÉ</t>
  </si>
  <si>
    <t>-75,377316</t>
  </si>
  <si>
    <t>6,147148</t>
  </si>
  <si>
    <t>SAN LUIS DE GACENO</t>
  </si>
  <si>
    <t>SIBATÉ</t>
  </si>
  <si>
    <t>VÉLEZ</t>
  </si>
  <si>
    <t>-75,816645</t>
  </si>
  <si>
    <t>6,850028</t>
  </si>
  <si>
    <t>SAN MATEO</t>
  </si>
  <si>
    <t>SILVANIA</t>
  </si>
  <si>
    <t>VETAS</t>
  </si>
  <si>
    <t>SABANETA</t>
  </si>
  <si>
    <t>-75,615479</t>
  </si>
  <si>
    <t>6,149903</t>
  </si>
  <si>
    <t>SAN MIGUEL DE SEMA</t>
  </si>
  <si>
    <t>SIMIJACA</t>
  </si>
  <si>
    <t>SALGAR</t>
  </si>
  <si>
    <t>-75,976807</t>
  </si>
  <si>
    <t>5,964198</t>
  </si>
  <si>
    <t>SAN PABLO DE BORBUR</t>
  </si>
  <si>
    <t>SOACHA</t>
  </si>
  <si>
    <t>ZAPATOCA</t>
  </si>
  <si>
    <t>SAN ANDRÉS DE CUERQUÍA</t>
  </si>
  <si>
    <t>-75,674564</t>
  </si>
  <si>
    <t>6,916676</t>
  </si>
  <si>
    <t>SANTANA</t>
  </si>
  <si>
    <t>SOPÓ</t>
  </si>
  <si>
    <t>-74,988097</t>
  </si>
  <si>
    <t>6,187746</t>
  </si>
  <si>
    <t>SUBACHOQUE</t>
  </si>
  <si>
    <t>-75,101562</t>
  </si>
  <si>
    <t>5,963476</t>
  </si>
  <si>
    <t>SANTA ROSA DE VITERBO</t>
  </si>
  <si>
    <t>SUESCA</t>
  </si>
  <si>
    <t>SAN JERÓNIMO</t>
  </si>
  <si>
    <t>-75,726975</t>
  </si>
  <si>
    <t>6,44809</t>
  </si>
  <si>
    <t>SANTA SOFÍA</t>
  </si>
  <si>
    <t>SUPATÁ</t>
  </si>
  <si>
    <t>SAN JOSÉ DE LA MONTAÑA</t>
  </si>
  <si>
    <t>-75,683352</t>
  </si>
  <si>
    <t>6,85009</t>
  </si>
  <si>
    <t>SATIVANORTE</t>
  </si>
  <si>
    <t>SUSA</t>
  </si>
  <si>
    <t>SAN JUAN DE URABÁ</t>
  </si>
  <si>
    <t>-76,52857</t>
  </si>
  <si>
    <t>8,758964</t>
  </si>
  <si>
    <t>SATIVASUR</t>
  </si>
  <si>
    <t>SUTATAUSA</t>
  </si>
  <si>
    <t>-74,993619</t>
  </si>
  <si>
    <t>6,043017</t>
  </si>
  <si>
    <t>SIACHOQUE</t>
  </si>
  <si>
    <t>TABIO</t>
  </si>
  <si>
    <t>SAN PEDRO DE LOS MILAGROS</t>
  </si>
  <si>
    <t>-75,556743</t>
  </si>
  <si>
    <t>6,46012</t>
  </si>
  <si>
    <t>SOATÁ</t>
  </si>
  <si>
    <t>TAUSA</t>
  </si>
  <si>
    <t>SAN PEDRO DE URABÁ</t>
  </si>
  <si>
    <t>-76,380567</t>
  </si>
  <si>
    <t>8,276884</t>
  </si>
  <si>
    <t>SOCOTÁ</t>
  </si>
  <si>
    <t>TENA</t>
  </si>
  <si>
    <t>SAN RAFAEL</t>
  </si>
  <si>
    <t>-75,02849</t>
  </si>
  <si>
    <t>6,293759</t>
  </si>
  <si>
    <t>SOCHA</t>
  </si>
  <si>
    <t>TENJO</t>
  </si>
  <si>
    <t>SAN ROQUE</t>
  </si>
  <si>
    <t>-75,019109</t>
  </si>
  <si>
    <t>6,485939</t>
  </si>
  <si>
    <t>SOGAMOSO</t>
  </si>
  <si>
    <t>TIBACUY</t>
  </si>
  <si>
    <t>SAN VICENTE FERRER</t>
  </si>
  <si>
    <t>-75,332616</t>
  </si>
  <si>
    <t>6,282164</t>
  </si>
  <si>
    <t>SOMONDOCO</t>
  </si>
  <si>
    <t>TIBIRITA</t>
  </si>
  <si>
    <t>-75,567351</t>
  </si>
  <si>
    <t>5,875527</t>
  </si>
  <si>
    <t>SORA</t>
  </si>
  <si>
    <t>TOCAIMA</t>
  </si>
  <si>
    <t>SANTA ROSA DE OSOS</t>
  </si>
  <si>
    <t>-75,460723</t>
  </si>
  <si>
    <t>6,643366</t>
  </si>
  <si>
    <t>SOTAQUIRÁ</t>
  </si>
  <si>
    <t>TOCANCIPÁ</t>
  </si>
  <si>
    <t>SANTO DOMINGO</t>
  </si>
  <si>
    <t>-75,164903</t>
  </si>
  <si>
    <t>6,473032</t>
  </si>
  <si>
    <t>SORACÁ</t>
  </si>
  <si>
    <t>TOPAIPÍ</t>
  </si>
  <si>
    <t>EL SANTUARIO</t>
  </si>
  <si>
    <t>-75,265465</t>
  </si>
  <si>
    <t>6,136871</t>
  </si>
  <si>
    <t>SUSACÓN</t>
  </si>
  <si>
    <t>UBALÁ</t>
  </si>
  <si>
    <t>SEGOVIA</t>
  </si>
  <si>
    <t>-74,701596</t>
  </si>
  <si>
    <t>7,079648</t>
  </si>
  <si>
    <t>SUTAMARCHÁN</t>
  </si>
  <si>
    <t>UBAQUE</t>
  </si>
  <si>
    <t>SONSÓN</t>
  </si>
  <si>
    <t>-75,309596</t>
  </si>
  <si>
    <t>5,714851</t>
  </si>
  <si>
    <t>SUTATENZA</t>
  </si>
  <si>
    <t>VILLA DE SAN DIEGO DE UBATÉ</t>
  </si>
  <si>
    <t>SOPETRÁN</t>
  </si>
  <si>
    <t>-75,747378</t>
  </si>
  <si>
    <t>6,500745</t>
  </si>
  <si>
    <t>TASCO</t>
  </si>
  <si>
    <t>UNE</t>
  </si>
  <si>
    <t>TÁMESIS</t>
  </si>
  <si>
    <t>-75,714429</t>
  </si>
  <si>
    <t>5,664645</t>
  </si>
  <si>
    <t>TENZA</t>
  </si>
  <si>
    <t>ÚTICA</t>
  </si>
  <si>
    <t>TARAZÁ</t>
  </si>
  <si>
    <t>-75,401407</t>
  </si>
  <si>
    <t>7,580127</t>
  </si>
  <si>
    <t>TIBANÁ</t>
  </si>
  <si>
    <t>VERGARA</t>
  </si>
  <si>
    <t>TARSO</t>
  </si>
  <si>
    <t>-75,822956</t>
  </si>
  <si>
    <t>5,864542</t>
  </si>
  <si>
    <t>TIBASOSA</t>
  </si>
  <si>
    <t>VIANÍ</t>
  </si>
  <si>
    <t>TITIRIBÍ</t>
  </si>
  <si>
    <t>-75,791887</t>
  </si>
  <si>
    <t>6,062391</t>
  </si>
  <si>
    <t>TINJACÁ</t>
  </si>
  <si>
    <t>VILLAGÓMEZ</t>
  </si>
  <si>
    <t>-75,692281</t>
  </si>
  <si>
    <t>7,010328</t>
  </si>
  <si>
    <t>TIPACOQUE</t>
  </si>
  <si>
    <t>VILLAPINZÓN</t>
  </si>
  <si>
    <t>TURBO</t>
  </si>
  <si>
    <t>-76,728858</t>
  </si>
  <si>
    <t>8,089929</t>
  </si>
  <si>
    <t>TOCA</t>
  </si>
  <si>
    <t>VILLETA</t>
  </si>
  <si>
    <t>URAMITA</t>
  </si>
  <si>
    <t>-76,173284</t>
  </si>
  <si>
    <t>6,898393</t>
  </si>
  <si>
    <t>TOGÜÍ</t>
  </si>
  <si>
    <t>VIOTÁ</t>
  </si>
  <si>
    <t>URRAO</t>
  </si>
  <si>
    <t>-76,133951</t>
  </si>
  <si>
    <t>6,317343</t>
  </si>
  <si>
    <t>TÓPAGA</t>
  </si>
  <si>
    <t>YACOPÍ</t>
  </si>
  <si>
    <t>VALDIVIA</t>
  </si>
  <si>
    <t>-75,439274</t>
  </si>
  <si>
    <t>7,1652</t>
  </si>
  <si>
    <t>TOTA</t>
  </si>
  <si>
    <t>ZIPACÓN</t>
  </si>
  <si>
    <t>-75,624452</t>
  </si>
  <si>
    <t>5,614555</t>
  </si>
  <si>
    <t>TUNUNGUÁ</t>
  </si>
  <si>
    <t>ZIPAQUIRÁ</t>
  </si>
  <si>
    <t>VEGACHÍ</t>
  </si>
  <si>
    <t>-74,798714</t>
  </si>
  <si>
    <t>6,773525</t>
  </si>
  <si>
    <t>TURMEQUÉ</t>
  </si>
  <si>
    <t>-75,735544</t>
  </si>
  <si>
    <t>5,964693</t>
  </si>
  <si>
    <t>TUTA</t>
  </si>
  <si>
    <t>VIGÍA DEL FUERTE</t>
  </si>
  <si>
    <t>-76,896004</t>
  </si>
  <si>
    <t>6,588164</t>
  </si>
  <si>
    <t>TUTAZÁ</t>
  </si>
  <si>
    <t>YALÍ</t>
  </si>
  <si>
    <t>-74,840059</t>
  </si>
  <si>
    <t>6,676554</t>
  </si>
  <si>
    <t>ÚMBITA</t>
  </si>
  <si>
    <t>YARUMAL</t>
  </si>
  <si>
    <t>-75,418828</t>
  </si>
  <si>
    <t>6,963832</t>
  </si>
  <si>
    <t>VENTAQUEMADA</t>
  </si>
  <si>
    <t>YOLOMBÓ</t>
  </si>
  <si>
    <t>-75,013385</t>
  </si>
  <si>
    <t>6,594511</t>
  </si>
  <si>
    <t>VIRACACHÁ</t>
  </si>
  <si>
    <t>YONDÓ</t>
  </si>
  <si>
    <t>-73,912445</t>
  </si>
  <si>
    <t>7,00396</t>
  </si>
  <si>
    <t>ZETAQUIRA</t>
  </si>
  <si>
    <t>ZARAGOZA</t>
  </si>
  <si>
    <t>-74,867075</t>
  </si>
  <si>
    <t>7,488583</t>
  </si>
  <si>
    <t>-74,815546</t>
  </si>
  <si>
    <t>10,977961</t>
  </si>
  <si>
    <t>-74,916077</t>
  </si>
  <si>
    <t>10,79445</t>
  </si>
  <si>
    <t>-74,880847</t>
  </si>
  <si>
    <t>10,378291</t>
  </si>
  <si>
    <t>-74,879717</t>
  </si>
  <si>
    <t>10,461903</t>
  </si>
  <si>
    <t>-74,870385</t>
  </si>
  <si>
    <t>10,919033</t>
  </si>
  <si>
    <t>-75,041032</t>
  </si>
  <si>
    <t>10,83254</t>
  </si>
  <si>
    <t>-75,14199</t>
  </si>
  <si>
    <t>10,610491</t>
  </si>
  <si>
    <t>-74,776923</t>
  </si>
  <si>
    <t>10,857086</t>
  </si>
  <si>
    <t>-74,956867</t>
  </si>
  <si>
    <t>10,449089</t>
  </si>
  <si>
    <t>-74,754765</t>
  </si>
  <si>
    <t>10,738591</t>
  </si>
  <si>
    <t>-75,107592</t>
  </si>
  <si>
    <t>10,749216</t>
  </si>
  <si>
    <t>-74,852981</t>
  </si>
  <si>
    <t>10,777363</t>
  </si>
  <si>
    <t>-74,753885</t>
  </si>
  <si>
    <t>10,641779</t>
  </si>
  <si>
    <t>-74,888627</t>
  </si>
  <si>
    <t>11,015322</t>
  </si>
  <si>
    <t>-75,125534</t>
  </si>
  <si>
    <t>10,493357</t>
  </si>
  <si>
    <t>-74,759496</t>
  </si>
  <si>
    <t>10,792453</t>
  </si>
  <si>
    <t>-74,921256</t>
  </si>
  <si>
    <t>10,632091</t>
  </si>
  <si>
    <t>-74,959204</t>
  </si>
  <si>
    <t>10,324303</t>
  </si>
  <si>
    <t>-74,757859</t>
  </si>
  <si>
    <t>10,758735</t>
  </si>
  <si>
    <t>-74,786054</t>
  </si>
  <si>
    <t>10,909921</t>
  </si>
  <si>
    <t>-74,881687</t>
  </si>
  <si>
    <t>10,335432</t>
  </si>
  <si>
    <t>-74,978704</t>
  </si>
  <si>
    <t>10,873586</t>
  </si>
  <si>
    <t>-74,976985</t>
  </si>
  <si>
    <t>10,74298</t>
  </si>
  <si>
    <t>BOGOTÁ, D.C.</t>
  </si>
  <si>
    <t>-74,106992</t>
  </si>
  <si>
    <t>4,649251</t>
  </si>
  <si>
    <t>-75,496269</t>
  </si>
  <si>
    <t>10,385126</t>
  </si>
  <si>
    <t>-74,557676</t>
  </si>
  <si>
    <t>8,570107</t>
  </si>
  <si>
    <t>-74,164905</t>
  </si>
  <si>
    <t>8,791865</t>
  </si>
  <si>
    <t>-73,941099</t>
  </si>
  <si>
    <t>8,458865</t>
  </si>
  <si>
    <t>-75,344332</t>
  </si>
  <si>
    <t>10,25666</t>
  </si>
  <si>
    <t>-75,019215</t>
  </si>
  <si>
    <t>10,250075</t>
  </si>
  <si>
    <t>-74,104391</t>
  </si>
  <si>
    <t>8,947787</t>
  </si>
  <si>
    <t>-74,916144</t>
  </si>
  <si>
    <t>10,250431</t>
  </si>
  <si>
    <t>-73,914605</t>
  </si>
  <si>
    <t>7,378678</t>
  </si>
  <si>
    <t>-74,645981</t>
  </si>
  <si>
    <t>9,274281</t>
  </si>
  <si>
    <t>-74,827399</t>
  </si>
  <si>
    <t>9,586942</t>
  </si>
  <si>
    <t>-75,328469</t>
  </si>
  <si>
    <t>10,567452</t>
  </si>
  <si>
    <t>-75,121178</t>
  </si>
  <si>
    <t>9,718653</t>
  </si>
  <si>
    <t>-74,976084</t>
  </si>
  <si>
    <t>10,030958</t>
  </si>
  <si>
    <t>-73,949274</t>
  </si>
  <si>
    <t>8,988271</t>
  </si>
  <si>
    <t>-74,077912</t>
  </si>
  <si>
    <t>8,956014</t>
  </si>
  <si>
    <t>-74,766742</t>
  </si>
  <si>
    <t>9,263799</t>
  </si>
  <si>
    <t>-75,191643</t>
  </si>
  <si>
    <t>10,233285</t>
  </si>
  <si>
    <t>-74,285137</t>
  </si>
  <si>
    <t>9,15784</t>
  </si>
  <si>
    <t>-75,300516</t>
  </si>
  <si>
    <t>9,982402</t>
  </si>
  <si>
    <t>-74,471176</t>
  </si>
  <si>
    <t>8,297234</t>
  </si>
  <si>
    <t>-74,42818</t>
  </si>
  <si>
    <t>9,244241</t>
  </si>
  <si>
    <t>-73,868172</t>
  </si>
  <si>
    <t>8,276558</t>
  </si>
  <si>
    <t>-74,038003</t>
  </si>
  <si>
    <t>8,526259</t>
  </si>
  <si>
    <t>-74,462279</t>
  </si>
  <si>
    <t>8,914947</t>
  </si>
  <si>
    <t>-73,821638</t>
  </si>
  <si>
    <t>8,666258</t>
  </si>
  <si>
    <t>-73,840466</t>
  </si>
  <si>
    <t>8,58795</t>
  </si>
  <si>
    <t>-75,065076</t>
  </si>
  <si>
    <t>10,392836</t>
  </si>
  <si>
    <t>-75,153101</t>
  </si>
  <si>
    <t>10,398602</t>
  </si>
  <si>
    <t>-74,323811</t>
  </si>
  <si>
    <t>9,214183</t>
  </si>
  <si>
    <t>-75,12105</t>
  </si>
  <si>
    <t>9,830275</t>
  </si>
  <si>
    <t>-74,721156</t>
  </si>
  <si>
    <t>8,25158</t>
  </si>
  <si>
    <t>-75,081761</t>
  </si>
  <si>
    <t>9,953751</t>
  </si>
  <si>
    <t>-74,039134</t>
  </si>
  <si>
    <t>8,937485</t>
  </si>
  <si>
    <t>-73,924602</t>
  </si>
  <si>
    <t>7,476747</t>
  </si>
  <si>
    <t>-75,287855</t>
  </si>
  <si>
    <t>10,605294</t>
  </si>
  <si>
    <t>-75,369824</t>
  </si>
  <si>
    <t>10,444396</t>
  </si>
  <si>
    <t>-74,052243</t>
  </si>
  <si>
    <t>7,963938</t>
  </si>
  <si>
    <t>-73,947264</t>
  </si>
  <si>
    <t>7,953916</t>
  </si>
  <si>
    <t>-75,136404</t>
  </si>
  <si>
    <t>10,38839</t>
  </si>
  <si>
    <t>-74,567479</t>
  </si>
  <si>
    <t>9,30403</t>
  </si>
  <si>
    <t>-74,262922</t>
  </si>
  <si>
    <t>8,558666</t>
  </si>
  <si>
    <t>-75,427249</t>
  </si>
  <si>
    <t>10,348316</t>
  </si>
  <si>
    <t>-75,44265</t>
  </si>
  <si>
    <t>10,274585</t>
  </si>
  <si>
    <t>-75,275613</t>
  </si>
  <si>
    <t>10,444089</t>
  </si>
  <si>
    <t>-74,817879</t>
  </si>
  <si>
    <t>9,746306</t>
  </si>
  <si>
    <t>-73,355539</t>
  </si>
  <si>
    <t>5,53988</t>
  </si>
  <si>
    <t>-73,378933</t>
  </si>
  <si>
    <t>4,970857</t>
  </si>
  <si>
    <t>-72,88399</t>
  </si>
  <si>
    <t>5,518602</t>
  </si>
  <si>
    <t>-73,437503</t>
  </si>
  <si>
    <t>5,755673</t>
  </si>
  <si>
    <t>-72,911641</t>
  </si>
  <si>
    <t>5,98923</t>
  </si>
  <si>
    <t>-73,12721</t>
  </si>
  <si>
    <t>5,227451</t>
  </si>
  <si>
    <t>-72,809014</t>
  </si>
  <si>
    <t>5,909978</t>
  </si>
  <si>
    <t>-72,584905</t>
  </si>
  <si>
    <t>6,330703</t>
  </si>
  <si>
    <t>-73,361945</t>
  </si>
  <si>
    <t>5,454578</t>
  </si>
  <si>
    <t>-73,92326</t>
  </si>
  <si>
    <t>5,690879</t>
  </si>
  <si>
    <t>-73,94217</t>
  </si>
  <si>
    <t>5,512594</t>
  </si>
  <si>
    <t>-72,884158</t>
  </si>
  <si>
    <t>5,831393</t>
  </si>
  <si>
    <t>-73,865553</t>
  </si>
  <si>
    <t>5,55458</t>
  </si>
  <si>
    <t>-73,104173</t>
  </si>
  <si>
    <t>5,031676</t>
  </si>
  <si>
    <t>-72,947918</t>
  </si>
  <si>
    <t>5,955939</t>
  </si>
  <si>
    <t>-73,368476</t>
  </si>
  <si>
    <t>5,167486</t>
  </si>
  <si>
    <t>-73,818745</t>
  </si>
  <si>
    <t>5,61379</t>
  </si>
  <si>
    <t>-72,500957</t>
  </si>
  <si>
    <t>6,553136</t>
  </si>
  <si>
    <t>-72,471892</t>
  </si>
  <si>
    <t>6,187083</t>
  </si>
  <si>
    <t>-73,4471</t>
  </si>
  <si>
    <t>6,027425</t>
  </si>
  <si>
    <t>-73,282529</t>
  </si>
  <si>
    <t>5,558949</t>
  </si>
  <si>
    <t>-73,296049</t>
  </si>
  <si>
    <t>5,408694</t>
  </si>
  <si>
    <t>-73,323957</t>
  </si>
  <si>
    <t>5,634545</t>
  </si>
  <si>
    <t>-74,045636</t>
  </si>
  <si>
    <t>5,475074</t>
  </si>
  <si>
    <t>-72,844795</t>
  </si>
  <si>
    <t>5,828064</t>
  </si>
  <si>
    <t>-72,738978</t>
  </si>
  <si>
    <t>6,500177</t>
  </si>
  <si>
    <t>-72,107939</t>
  </si>
  <si>
    <t>6,997275</t>
  </si>
  <si>
    <t>-73,454338</t>
  </si>
  <si>
    <t>5,544452</t>
  </si>
  <si>
    <t>-72,965923</t>
  </si>
  <si>
    <t>5,580367</t>
  </si>
  <si>
    <t>-73,449463</t>
  </si>
  <si>
    <t>5,639834</t>
  </si>
  <si>
    <t>-73,368398</t>
  </si>
  <si>
    <t>4,888173</t>
  </si>
  <si>
    <t>-73,03063</t>
  </si>
  <si>
    <t>5,822964</t>
  </si>
  <si>
    <t>-72,444537</t>
  </si>
  <si>
    <t>6,407738</t>
  </si>
  <si>
    <t>-72,497007</t>
  </si>
  <si>
    <t>6,483027</t>
  </si>
  <si>
    <t>-72,993392</t>
  </si>
  <si>
    <t>5,668885</t>
  </si>
  <si>
    <t>-72,918111</t>
  </si>
  <si>
    <t>5,859519</t>
  </si>
  <si>
    <t>-73,549092</t>
  </si>
  <si>
    <t>5,751891</t>
  </si>
  <si>
    <t>-72,80553</t>
  </si>
  <si>
    <t>5,802333</t>
  </si>
  <si>
    <t>-73,364413</t>
  </si>
  <si>
    <t>5,083234</t>
  </si>
  <si>
    <t>-72,500812</t>
  </si>
  <si>
    <t>6,459667</t>
  </si>
  <si>
    <t>-73,471207</t>
  </si>
  <si>
    <t>5,007321</t>
  </si>
  <si>
    <t>-73,489698</t>
  </si>
  <si>
    <t>4,967122</t>
  </si>
  <si>
    <t>-72,411763</t>
  </si>
  <si>
    <t>6,462864</t>
  </si>
  <si>
    <t>-72,979559</t>
  </si>
  <si>
    <t>5,611577</t>
  </si>
  <si>
    <t>-73,363738</t>
  </si>
  <si>
    <t>5,385813</t>
  </si>
  <si>
    <t>-72,571122</t>
  </si>
  <si>
    <t>6,145735</t>
  </si>
  <si>
    <t>-72,57777</t>
  </si>
  <si>
    <t>5,562687</t>
  </si>
  <si>
    <t>-73,444347</t>
  </si>
  <si>
    <t>5,095687</t>
  </si>
  <si>
    <t>-74,234393</t>
  </si>
  <si>
    <t>5,523792</t>
  </si>
  <si>
    <t>-72,559982</t>
  </si>
  <si>
    <t>6,31616</t>
  </si>
  <si>
    <t>-73,524948</t>
  </si>
  <si>
    <t>5,632455</t>
  </si>
  <si>
    <t>-73,319593</t>
  </si>
  <si>
    <t>4,972464</t>
  </si>
  <si>
    <t>-74,00405</t>
  </si>
  <si>
    <t>5,550091</t>
  </si>
  <si>
    <t>-73,14563</t>
  </si>
  <si>
    <t>5,196515</t>
  </si>
  <si>
    <t>-72,79809</t>
  </si>
  <si>
    <t>5,754242</t>
  </si>
  <si>
    <t>-72,849292</t>
  </si>
  <si>
    <t>5,723486</t>
  </si>
  <si>
    <t>-73,573374</t>
  </si>
  <si>
    <t>5,876331</t>
  </si>
  <si>
    <t>-73,367841</t>
  </si>
  <si>
    <t>5,5777</t>
  </si>
  <si>
    <t>-74,10269</t>
  </si>
  <si>
    <t>5,532758</t>
  </si>
  <si>
    <t>-72,937042</t>
  </si>
  <si>
    <t>5,768046</t>
  </si>
  <si>
    <t>-73,456759</t>
  </si>
  <si>
    <t>5,355317</t>
  </si>
  <si>
    <t>-73,308399</t>
  </si>
  <si>
    <t>5,595235</t>
  </si>
  <si>
    <t>-74,180965</t>
  </si>
  <si>
    <t>5,657536</t>
  </si>
  <si>
    <t>-73,396953</t>
  </si>
  <si>
    <t>5,140065</t>
  </si>
  <si>
    <t>-73,052737</t>
  </si>
  <si>
    <t>5,097319</t>
  </si>
  <si>
    <t>-73,11782</t>
  </si>
  <si>
    <t>5,779894</t>
  </si>
  <si>
    <t>-72,703231</t>
  </si>
  <si>
    <t>5,293783</t>
  </si>
  <si>
    <t>-72,459424</t>
  </si>
  <si>
    <t>6,443416</t>
  </si>
  <si>
    <t>-73,978449</t>
  </si>
  <si>
    <t>5,656323</t>
  </si>
  <si>
    <t>-72,423775</t>
  </si>
  <si>
    <t>5,625699</t>
  </si>
  <si>
    <t>-72,749137</t>
  </si>
  <si>
    <t>5,987645</t>
  </si>
  <si>
    <t>-73,050872</t>
  </si>
  <si>
    <t>5,558808</t>
  </si>
  <si>
    <t>-72,486023</t>
  </si>
  <si>
    <t>5,72141</t>
  </si>
  <si>
    <t>-74,587782</t>
  </si>
  <si>
    <t>5,976646</t>
  </si>
  <si>
    <t>-74,180033</t>
  </si>
  <si>
    <t>5,52055</t>
  </si>
  <si>
    <t>-73,334839</t>
  </si>
  <si>
    <t>5,400303</t>
  </si>
  <si>
    <t>-73,632543</t>
  </si>
  <si>
    <t>5,539136</t>
  </si>
  <si>
    <t>-73,208474</t>
  </si>
  <si>
    <t>5,357378</t>
  </si>
  <si>
    <t>-73,764456</t>
  </si>
  <si>
    <t>5,697756</t>
  </si>
  <si>
    <t>-73,542539</t>
  </si>
  <si>
    <t>5,584305</t>
  </si>
  <si>
    <t>-73,485589</t>
  </si>
  <si>
    <t>5,492161</t>
  </si>
  <si>
    <t>-73,077747</t>
  </si>
  <si>
    <t>5,22401</t>
  </si>
  <si>
    <t>-73,545397</t>
  </si>
  <si>
    <t>6,018924</t>
  </si>
  <si>
    <t>-73,168076</t>
  </si>
  <si>
    <t>4,81976</t>
  </si>
  <si>
    <t>-72,555264</t>
  </si>
  <si>
    <t>6,401683</t>
  </si>
  <si>
    <t>-73,722009</t>
  </si>
  <si>
    <t>5,518083</t>
  </si>
  <si>
    <t>-74,069963</t>
  </si>
  <si>
    <t>5,650743</t>
  </si>
  <si>
    <t>-73,481639</t>
  </si>
  <si>
    <t>6,056866</t>
  </si>
  <si>
    <t>-73,263518</t>
  </si>
  <si>
    <t>4,857193</t>
  </si>
  <si>
    <t>-72,982461</t>
  </si>
  <si>
    <t>5,874547</t>
  </si>
  <si>
    <t>-73,602707</t>
  </si>
  <si>
    <t>5,713269</t>
  </si>
  <si>
    <t>-72,708458</t>
  </si>
  <si>
    <t>6,131132</t>
  </si>
  <si>
    <t>-72,712435</t>
  </si>
  <si>
    <t>6,093183</t>
  </si>
  <si>
    <t>-73,24466</t>
  </si>
  <si>
    <t>5,511811</t>
  </si>
  <si>
    <t>-72,684051</t>
  </si>
  <si>
    <t>6,331945</t>
  </si>
  <si>
    <t>-72,636653</t>
  </si>
  <si>
    <t>6,041162</t>
  </si>
  <si>
    <t>-72,691963</t>
  </si>
  <si>
    <t>5,996717</t>
  </si>
  <si>
    <t>-72,924355</t>
  </si>
  <si>
    <t>5,723976</t>
  </si>
  <si>
    <t>-73,433393</t>
  </si>
  <si>
    <t>4,985726</t>
  </si>
  <si>
    <t>-73,450153</t>
  </si>
  <si>
    <t>5,56684</t>
  </si>
  <si>
    <t>-73,246585</t>
  </si>
  <si>
    <t>5,764986</t>
  </si>
  <si>
    <t>-73,332804</t>
  </si>
  <si>
    <t>5,500898</t>
  </si>
  <si>
    <t>-72,690289</t>
  </si>
  <si>
    <t>6,230332</t>
  </si>
  <si>
    <t>-73,620536</t>
  </si>
  <si>
    <t>5,619781</t>
  </si>
  <si>
    <t>-73,452317</t>
  </si>
  <si>
    <t>5,022989</t>
  </si>
  <si>
    <t>-72,781011</t>
  </si>
  <si>
    <t>5,909821</t>
  </si>
  <si>
    <t>-73,421176</t>
  </si>
  <si>
    <t>5,076781</t>
  </si>
  <si>
    <t>-73,396457</t>
  </si>
  <si>
    <t>5,317251</t>
  </si>
  <si>
    <t>-72,999449</t>
  </si>
  <si>
    <t>5,74723</t>
  </si>
  <si>
    <t>-73,646847</t>
  </si>
  <si>
    <t>5,579713</t>
  </si>
  <si>
    <t>-72,691729</t>
  </si>
  <si>
    <t>6,419203</t>
  </si>
  <si>
    <t>-73,184794</t>
  </si>
  <si>
    <t>5,566464</t>
  </si>
  <si>
    <t>-73,513655</t>
  </si>
  <si>
    <t>5,937438</t>
  </si>
  <si>
    <t>-72,832245</t>
  </si>
  <si>
    <t>5,768201</t>
  </si>
  <si>
    <t>-72,985898</t>
  </si>
  <si>
    <t>5,560497</t>
  </si>
  <si>
    <t>-73,933155</t>
  </si>
  <si>
    <t>5,730582</t>
  </si>
  <si>
    <t>-73,491825</t>
  </si>
  <si>
    <t>5,323261</t>
  </si>
  <si>
    <t>-73,230285</t>
  </si>
  <si>
    <t>5,689082</t>
  </si>
  <si>
    <t>-72,856035</t>
  </si>
  <si>
    <t>6,032608</t>
  </si>
  <si>
    <t>-73,456917</t>
  </si>
  <si>
    <t>5,221176</t>
  </si>
  <si>
    <t>-73,522368</t>
  </si>
  <si>
    <t>5,368739</t>
  </si>
  <si>
    <t>-73,296894</t>
  </si>
  <si>
    <t>5,436833</t>
  </si>
  <si>
    <t>-73,17098</t>
  </si>
  <si>
    <t>5,283443</t>
  </si>
  <si>
    <t>-75,491025</t>
  </si>
  <si>
    <t>5,057657</t>
  </si>
  <si>
    <t>-75,45487</t>
  </si>
  <si>
    <t>5,610244</t>
  </si>
  <si>
    <t>-75,784343</t>
  </si>
  <si>
    <t>5,236471</t>
  </si>
  <si>
    <t>-75,49129</t>
  </si>
  <si>
    <t>5,271195</t>
  </si>
  <si>
    <t>-75,811918</t>
  </si>
  <si>
    <t>4,993785</t>
  </si>
  <si>
    <t>-75,607529</t>
  </si>
  <si>
    <t>4,985227</t>
  </si>
  <si>
    <t>-75,562474</t>
  </si>
  <si>
    <t>5,297091</t>
  </si>
  <si>
    <t>-74,668819</t>
  </si>
  <si>
    <t>5,460834</t>
  </si>
  <si>
    <t>-75,546486</t>
  </si>
  <si>
    <t>5,39647</t>
  </si>
  <si>
    <t>-75,152829</t>
  </si>
  <si>
    <t>5,255699</t>
  </si>
  <si>
    <t>-75,600049</t>
  </si>
  <si>
    <t>5,47422</t>
  </si>
  <si>
    <t>-75,053097</t>
  </si>
  <si>
    <t>5,297525</t>
  </si>
  <si>
    <t>-75,259721</t>
  </si>
  <si>
    <t>5,284304</t>
  </si>
  <si>
    <t>-75,520006</t>
  </si>
  <si>
    <t>5,166895</t>
  </si>
  <si>
    <t>-74,889543</t>
  </si>
  <si>
    <t>5,574796</t>
  </si>
  <si>
    <t>-75,459621</t>
  </si>
  <si>
    <t>5,527172</t>
  </si>
  <si>
    <t>-75,624577</t>
  </si>
  <si>
    <t>5,017879</t>
  </si>
  <si>
    <t>-75,160299</t>
  </si>
  <si>
    <t>5,383281</t>
  </si>
  <si>
    <t>-75,702104</t>
  </si>
  <si>
    <t>5,423673</t>
  </si>
  <si>
    <t>-75,76722</t>
  </si>
  <si>
    <t>5,164509</t>
  </si>
  <si>
    <t>-75,487223</t>
  </si>
  <si>
    <t>5,403025</t>
  </si>
  <si>
    <t>-74,992263</t>
  </si>
  <si>
    <t>5,41308</t>
  </si>
  <si>
    <t>-75,792063</t>
  </si>
  <si>
    <t>5,08231</t>
  </si>
  <si>
    <t>-75,64966</t>
  </si>
  <si>
    <t>5,446843</t>
  </si>
  <si>
    <t>-74,911239</t>
  </si>
  <si>
    <t>5,317437</t>
  </si>
  <si>
    <t>-75,502487</t>
  </si>
  <si>
    <t>5,038925</t>
  </si>
  <si>
    <t>-75,87061</t>
  </si>
  <si>
    <t>5,062664</t>
  </si>
  <si>
    <t>-75,609831</t>
  </si>
  <si>
    <t>1,618196</t>
  </si>
  <si>
    <t>-75,878375</t>
  </si>
  <si>
    <t>1,328526</t>
  </si>
  <si>
    <t>-75,872405</t>
  </si>
  <si>
    <t>1,415812</t>
  </si>
  <si>
    <t>-74,847867</t>
  </si>
  <si>
    <t>1,332371</t>
  </si>
  <si>
    <t>-75,919205</t>
  </si>
  <si>
    <t>1,033473</t>
  </si>
  <si>
    <t>-75,283631</t>
  </si>
  <si>
    <t>1,679951</t>
  </si>
  <si>
    <t>-75,326093</t>
  </si>
  <si>
    <t>1,570226</t>
  </si>
  <si>
    <t>-75,436408</t>
  </si>
  <si>
    <t>1,479173</t>
  </si>
  <si>
    <t>-75,506926</t>
  </si>
  <si>
    <t>1,29021</t>
  </si>
  <si>
    <t>-75,724146</t>
  </si>
  <si>
    <t>1,486611</t>
  </si>
  <si>
    <t>-75,157604</t>
  </si>
  <si>
    <t>1,909063</t>
  </si>
  <si>
    <t>-75,973796</t>
  </si>
  <si>
    <t>1,330266</t>
  </si>
  <si>
    <t>-74,767894</t>
  </si>
  <si>
    <t>2,119413</t>
  </si>
  <si>
    <t>-75,253702</t>
  </si>
  <si>
    <t>0,699077</t>
  </si>
  <si>
    <t>-75,619902</t>
  </si>
  <si>
    <t>0,87654</t>
  </si>
  <si>
    <t>-75,70671</t>
  </si>
  <si>
    <t>1,194619</t>
  </si>
  <si>
    <t>-76,599377</t>
  </si>
  <si>
    <t>2,459641</t>
  </si>
  <si>
    <t>-76,85607</t>
  </si>
  <si>
    <t>1,913429</t>
  </si>
  <si>
    <t>-77,24905</t>
  </si>
  <si>
    <t>2,257427</t>
  </si>
  <si>
    <t>-77,215773</t>
  </si>
  <si>
    <t>2,040998</t>
  </si>
  <si>
    <t>-76,966215</t>
  </si>
  <si>
    <t>1,837538</t>
  </si>
  <si>
    <t>-76,642238</t>
  </si>
  <si>
    <t>3,015382</t>
  </si>
  <si>
    <t>-76,570682</t>
  </si>
  <si>
    <t>2,623371</t>
  </si>
  <si>
    <t>-76,484319</t>
  </si>
  <si>
    <t>2,798059</t>
  </si>
  <si>
    <t>-76,408941</t>
  </si>
  <si>
    <t>3,034531</t>
  </si>
  <si>
    <t>-76,261866</t>
  </si>
  <si>
    <t>3,173854</t>
  </si>
  <si>
    <t>-76,810911</t>
  </si>
  <si>
    <t>2,451409</t>
  </si>
  <si>
    <t>-77,072547</t>
  </si>
  <si>
    <t>1,682535</t>
  </si>
  <si>
    <t>-76,392189</t>
  </si>
  <si>
    <t>3,134153</t>
  </si>
  <si>
    <t>-77,88797</t>
  </si>
  <si>
    <t>2,571337</t>
  </si>
  <si>
    <t>-76,063503</t>
  </si>
  <si>
    <t>2,549183</t>
  </si>
  <si>
    <t>-76,323877</t>
  </si>
  <si>
    <t>2,777834</t>
  </si>
  <si>
    <t>-76,763278</t>
  </si>
  <si>
    <t>2,179383</t>
  </si>
  <si>
    <t>-76,778771</t>
  </si>
  <si>
    <t>2,001803</t>
  </si>
  <si>
    <t>-77,247803</t>
  </si>
  <si>
    <t>2,846788</t>
  </si>
  <si>
    <t>-77,164319</t>
  </si>
  <si>
    <t>1,789193</t>
  </si>
  <si>
    <t>-76,228722</t>
  </si>
  <si>
    <t>3,254651</t>
  </si>
  <si>
    <t>-76,629106</t>
  </si>
  <si>
    <t>2,754684</t>
  </si>
  <si>
    <t>-76,313265</t>
  </si>
  <si>
    <t>3,220984</t>
  </si>
  <si>
    <t>-75,970685</t>
  </si>
  <si>
    <t>2,645724</t>
  </si>
  <si>
    <t>-76,981075</t>
  </si>
  <si>
    <t>2,115875</t>
  </si>
  <si>
    <t>-76,327588</t>
  </si>
  <si>
    <t>1,11754</t>
  </si>
  <si>
    <t>-76,528615</t>
  </si>
  <si>
    <t>2,64228</t>
  </si>
  <si>
    <t>-76,417673</t>
  </si>
  <si>
    <t>3,233254</t>
  </si>
  <si>
    <t>-76,496698</t>
  </si>
  <si>
    <t>2,341507</t>
  </si>
  <si>
    <t>-76,740336</t>
  </si>
  <si>
    <t>2,260941</t>
  </si>
  <si>
    <t>-76,769467</t>
  </si>
  <si>
    <t>1,838451</t>
  </si>
  <si>
    <t>-76,485141</t>
  </si>
  <si>
    <t>3,015008</t>
  </si>
  <si>
    <t>-76,573252</t>
  </si>
  <si>
    <t>1,700916</t>
  </si>
  <si>
    <t>-76,379753</t>
  </si>
  <si>
    <t>2,611927</t>
  </si>
  <si>
    <t>-76,613365</t>
  </si>
  <si>
    <t>2,253156</t>
  </si>
  <si>
    <t>-76,69357</t>
  </si>
  <si>
    <t>2,959785</t>
  </si>
  <si>
    <t>-76,926279</t>
  </si>
  <si>
    <t>2,038237</t>
  </si>
  <si>
    <t>-76,684476</t>
  </si>
  <si>
    <t>2,349686</t>
  </si>
  <si>
    <t>-77,667541</t>
  </si>
  <si>
    <t>2,777312</t>
  </si>
  <si>
    <t>-76,270284</t>
  </si>
  <si>
    <t>2,953017</t>
  </si>
  <si>
    <t>-76,403628</t>
  </si>
  <si>
    <t>2,510252</t>
  </si>
  <si>
    <t>-76,458025</t>
  </si>
  <si>
    <t>3,17762</t>
  </si>
  <si>
    <t>-73,259398</t>
  </si>
  <si>
    <t>10,460472</t>
  </si>
  <si>
    <t>-73,614027</t>
  </si>
  <si>
    <t>8,306811</t>
  </si>
  <si>
    <t>-73,238389</t>
  </si>
  <si>
    <t>10,040454</t>
  </si>
  <si>
    <t>-73,975842</t>
  </si>
  <si>
    <t>9,498062</t>
  </si>
  <si>
    <t>-73,278707</t>
  </si>
  <si>
    <t>9,704404</t>
  </si>
  <si>
    <t>-73,888761</t>
  </si>
  <si>
    <t>9,975098</t>
  </si>
  <si>
    <t>-73,813278</t>
  </si>
  <si>
    <t>9,25875</t>
  </si>
  <si>
    <t>-73,599913</t>
  </si>
  <si>
    <t>9,361058</t>
  </si>
  <si>
    <t>-73,540843</t>
  </si>
  <si>
    <t>9,201716</t>
  </si>
  <si>
    <t>-73,962703</t>
  </si>
  <si>
    <t>10,149883</t>
  </si>
  <si>
    <t>-73,742012</t>
  </si>
  <si>
    <t>9,668461</t>
  </si>
  <si>
    <t>-73,737558</t>
  </si>
  <si>
    <t>8,324793</t>
  </si>
  <si>
    <t>-73,38004</t>
  </si>
  <si>
    <t>8,389604</t>
  </si>
  <si>
    <t>-73,80321</t>
  </si>
  <si>
    <t>8,619298</t>
  </si>
  <si>
    <t>-73,334143</t>
  </si>
  <si>
    <t>9,563752</t>
  </si>
  <si>
    <t>-73,029472</t>
  </si>
  <si>
    <t>10,390776</t>
  </si>
  <si>
    <t>-73,625825</t>
  </si>
  <si>
    <t>8,959399</t>
  </si>
  <si>
    <t>-73,666735</t>
  </si>
  <si>
    <t>8,689451</t>
  </si>
  <si>
    <t>-73,586211</t>
  </si>
  <si>
    <t>10,417321</t>
  </si>
  <si>
    <t>-73,386393</t>
  </si>
  <si>
    <t>8,292292</t>
  </si>
  <si>
    <t>-73,171365</t>
  </si>
  <si>
    <t>10,387552</t>
  </si>
  <si>
    <t>-73,393889</t>
  </si>
  <si>
    <t>7,76111</t>
  </si>
  <si>
    <t>-73,181208</t>
  </si>
  <si>
    <t>10,333039</t>
  </si>
  <si>
    <t>-73,510914</t>
  </si>
  <si>
    <t>7,999855</t>
  </si>
  <si>
    <t>-73,812172</t>
  </si>
  <si>
    <t>8,861725</t>
  </si>
  <si>
    <t>-75,873096</t>
  </si>
  <si>
    <t>8,759789</t>
  </si>
  <si>
    <t>-75,146048</t>
  </si>
  <si>
    <t>8,313838</t>
  </si>
  <si>
    <t>-75,480897</t>
  </si>
  <si>
    <t>8,221187</t>
  </si>
  <si>
    <t>-76,241476</t>
  </si>
  <si>
    <t>8,786939</t>
  </si>
  <si>
    <t>-75,796093</t>
  </si>
  <si>
    <t>8,888532</t>
  </si>
  <si>
    <t>-75,626886</t>
  </si>
  <si>
    <t>9,149698</t>
  </si>
  <si>
    <t>-75,399633</t>
  </si>
  <si>
    <t>9,105473</t>
  </si>
  <si>
    <t>-75,620807</t>
  </si>
  <si>
    <t>8,875794</t>
  </si>
  <si>
    <t>-75,799216</t>
  </si>
  <si>
    <t>9,037163</t>
  </si>
  <si>
    <t>-75,336031</t>
  </si>
  <si>
    <t>8,050125</t>
  </si>
  <si>
    <t>-75,816084</t>
  </si>
  <si>
    <t>9,240789</t>
  </si>
  <si>
    <t>-76,35518</t>
  </si>
  <si>
    <t>8,892098</t>
  </si>
  <si>
    <t>-75,67796</t>
  </si>
  <si>
    <t>9,240707</t>
  </si>
  <si>
    <t>-75,416818</t>
  </si>
  <si>
    <t>7,973777</t>
  </si>
  <si>
    <t>-76,1291</t>
  </si>
  <si>
    <t>9,245223</t>
  </si>
  <si>
    <t>-75,583241</t>
  </si>
  <si>
    <t>8,4082</t>
  </si>
  <si>
    <t>-75,508035</t>
  </si>
  <si>
    <t>8,504099</t>
  </si>
  <si>
    <t>-76,260411</t>
  </si>
  <si>
    <t>9,005372</t>
  </si>
  <si>
    <t>-75,671761</t>
  </si>
  <si>
    <t>7,888859</t>
  </si>
  <si>
    <t>-75,724987</t>
  </si>
  <si>
    <t>9,239295</t>
  </si>
  <si>
    <t>-75,445834</t>
  </si>
  <si>
    <t>8,943048</t>
  </si>
  <si>
    <t>-75,50879</t>
  </si>
  <si>
    <t>9,145448</t>
  </si>
  <si>
    <t>-75,76112</t>
  </si>
  <si>
    <t>9,376434</t>
  </si>
  <si>
    <t>-75,955107</t>
  </si>
  <si>
    <t>9,35247</t>
  </si>
  <si>
    <t>-75,698799</t>
  </si>
  <si>
    <t>8,799282</t>
  </si>
  <si>
    <t>-75,533476</t>
  </si>
  <si>
    <t>7,787303</t>
  </si>
  <si>
    <t>-75,835615</t>
  </si>
  <si>
    <t>8,958436</t>
  </si>
  <si>
    <t>-76,059797</t>
  </si>
  <si>
    <t>8,170612</t>
  </si>
  <si>
    <t>-75,553962</t>
  </si>
  <si>
    <t>9,186625</t>
  </si>
  <si>
    <t>-76,150756</t>
  </si>
  <si>
    <t>8,255016</t>
  </si>
  <si>
    <t>-74,669221</t>
  </si>
  <si>
    <t>4,375309</t>
  </si>
  <si>
    <t>-74,438261</t>
  </si>
  <si>
    <t>4,878022</t>
  </si>
  <si>
    <t>-74,528676</t>
  </si>
  <si>
    <t>4,562737</t>
  </si>
  <si>
    <t>-74,46384</t>
  </si>
  <si>
    <t>4,7617</t>
  </si>
  <si>
    <t>-74,414901</t>
  </si>
  <si>
    <t>4,272534</t>
  </si>
  <si>
    <t>-74,741666</t>
  </si>
  <si>
    <t>4,802832</t>
  </si>
  <si>
    <t>-74,539609</t>
  </si>
  <si>
    <t>4,872171</t>
  </si>
  <si>
    <t>-74,344594</t>
  </si>
  <si>
    <t>4,737205</t>
  </si>
  <si>
    <t>-74,484549</t>
  </si>
  <si>
    <t>3,985164</t>
  </si>
  <si>
    <t>-74,435711</t>
  </si>
  <si>
    <t>4,730957</t>
  </si>
  <si>
    <t>-74,02298</t>
  </si>
  <si>
    <t>4,920009</t>
  </si>
  <si>
    <t>-74,491045</t>
  </si>
  <si>
    <t>5,34758</t>
  </si>
  <si>
    <t>-73,946473</t>
  </si>
  <si>
    <t>4,404112</t>
  </si>
  <si>
    <t>-73,901357</t>
  </si>
  <si>
    <t>5,349119</t>
  </si>
  <si>
    <t>-74,593455</t>
  </si>
  <si>
    <t>4,948916</t>
  </si>
  <si>
    <t>-74,05</t>
  </si>
  <si>
    <t>4,866508</t>
  </si>
  <si>
    <t>-74,044876</t>
  </si>
  <si>
    <t>4,442671</t>
  </si>
  <si>
    <t>-73,922894</t>
  </si>
  <si>
    <t>4,527048</t>
  </si>
  <si>
    <t>-73,683533</t>
  </si>
  <si>
    <t>5,145224</t>
  </si>
  <si>
    <t>-73,978497</t>
  </si>
  <si>
    <t>5,061842</t>
  </si>
  <si>
    <t>-74,102569</t>
  </si>
  <si>
    <t>4,812564</t>
  </si>
  <si>
    <t>-73,766113</t>
  </si>
  <si>
    <t>5,249795</t>
  </si>
  <si>
    <t>-74,442261</t>
  </si>
  <si>
    <t>4,577951</t>
  </si>
  <si>
    <t>-74,290207</t>
  </si>
  <si>
    <t>5,248747</t>
  </si>
  <si>
    <t>-74,263103</t>
  </si>
  <si>
    <t>4,850589</t>
  </si>
  <si>
    <t>-74,350085</t>
  </si>
  <si>
    <t>4,813353</t>
  </si>
  <si>
    <t>-73,892523</t>
  </si>
  <si>
    <t>4,485474</t>
  </si>
  <si>
    <t>-73,93902</t>
  </si>
  <si>
    <t>4,339093</t>
  </si>
  <si>
    <t>-74,201528</t>
  </si>
  <si>
    <t>4,710412</t>
  </si>
  <si>
    <t>-73,795855</t>
  </si>
  <si>
    <t>5,403997</t>
  </si>
  <si>
    <t>-74,37543</t>
  </si>
  <si>
    <t>4,336723</t>
  </si>
  <si>
    <t>-73,520161</t>
  </si>
  <si>
    <t>4,693579</t>
  </si>
  <si>
    <t>-73,873464</t>
  </si>
  <si>
    <t>4,990947</t>
  </si>
  <si>
    <t>-73,636377</t>
  </si>
  <si>
    <t>4,816411</t>
  </si>
  <si>
    <t>-73,611037</t>
  </si>
  <si>
    <t>4,763325</t>
  </si>
  <si>
    <t>-74,798201</t>
  </si>
  <si>
    <t>4,313069</t>
  </si>
  <si>
    <t>-74,350766</t>
  </si>
  <si>
    <t>4,519763</t>
  </si>
  <si>
    <t>-73,686972</t>
  </si>
  <si>
    <t>5,383378</t>
  </si>
  <si>
    <t>-74,603402</t>
  </si>
  <si>
    <t>5,072076</t>
  </si>
  <si>
    <t>-73,877143</t>
  </si>
  <si>
    <t>4,866719</t>
  </si>
  <si>
    <t>-74,790058</t>
  </si>
  <si>
    <t>4,517517</t>
  </si>
  <si>
    <t>-73,83293</t>
  </si>
  <si>
    <t>4,935211</t>
  </si>
  <si>
    <t>-74,467437</t>
  </si>
  <si>
    <t>4,877968</t>
  </si>
  <si>
    <t>-73,815107</t>
  </si>
  <si>
    <t>4,215306</t>
  </si>
  <si>
    <t>-74,003042</t>
  </si>
  <si>
    <t>4,254679</t>
  </si>
  <si>
    <t>-74,695474</t>
  </si>
  <si>
    <t>4,562273</t>
  </si>
  <si>
    <t>-73,662961</t>
  </si>
  <si>
    <t>4,79057</t>
  </si>
  <si>
    <t>-73,968161</t>
  </si>
  <si>
    <t>4,721104</t>
  </si>
  <si>
    <t>-74,461588</t>
  </si>
  <si>
    <t>4,631028</t>
  </si>
  <si>
    <t>-74,391022</t>
  </si>
  <si>
    <t>5,358816</t>
  </si>
  <si>
    <t>-74,394105</t>
  </si>
  <si>
    <t>5,198945</t>
  </si>
  <si>
    <t>-74,336885</t>
  </si>
  <si>
    <t>4,997768</t>
  </si>
  <si>
    <t>-73,711512</t>
  </si>
  <si>
    <t>5,306131</t>
  </si>
  <si>
    <t>-73,608226</t>
  </si>
  <si>
    <t>5,08007</t>
  </si>
  <si>
    <t>-74,265854</t>
  </si>
  <si>
    <t>4,732791</t>
  </si>
  <si>
    <t>-73,540444</t>
  </si>
  <si>
    <t>5,009008</t>
  </si>
  <si>
    <t>-73,348449</t>
  </si>
  <si>
    <t>4,506298</t>
  </si>
  <si>
    <t>-74,221154</t>
  </si>
  <si>
    <t>4,70653</t>
  </si>
  <si>
    <t>-74,824732</t>
  </si>
  <si>
    <t>4,399837</t>
  </si>
  <si>
    <t>-73,877888</t>
  </si>
  <si>
    <t>5,068705</t>
  </si>
  <si>
    <t>-74,620009</t>
  </si>
  <si>
    <t>4,305838</t>
  </si>
  <si>
    <t>-74,38604</t>
  </si>
  <si>
    <t>5,125992</t>
  </si>
  <si>
    <t>-74,379093</t>
  </si>
  <si>
    <t>5,069466</t>
  </si>
  <si>
    <t>-74,478301</t>
  </si>
  <si>
    <t>4,089056</t>
  </si>
  <si>
    <t>-74,156132</t>
  </si>
  <si>
    <t>5,136907</t>
  </si>
  <si>
    <t>-74,152213</t>
  </si>
  <si>
    <t>5,370487</t>
  </si>
  <si>
    <t>-74,486641</t>
  </si>
  <si>
    <t>4,190393</t>
  </si>
  <si>
    <t>-73,212825</t>
  </si>
  <si>
    <t>4,374832</t>
  </si>
  <si>
    <t>-74,302276</t>
  </si>
  <si>
    <t>4,308979</t>
  </si>
  <si>
    <t>-74,653695</t>
  </si>
  <si>
    <t>5,465413</t>
  </si>
  <si>
    <t>-74,71438</t>
  </si>
  <si>
    <t>4,682022</t>
  </si>
  <si>
    <t>-74,48014</t>
  </si>
  <si>
    <t>5,118076</t>
  </si>
  <si>
    <t>-73,863214</t>
  </si>
  <si>
    <t>4,329884</t>
  </si>
  <si>
    <t>-74,533705</t>
  </si>
  <si>
    <t>4,74481</t>
  </si>
  <si>
    <t>-74,593926</t>
  </si>
  <si>
    <t>4,520304</t>
  </si>
  <si>
    <t>-74,772861</t>
  </si>
  <si>
    <t>4,282113</t>
  </si>
  <si>
    <t>-74,351443</t>
  </si>
  <si>
    <t>4,616138</t>
  </si>
  <si>
    <t>-74,42296</t>
  </si>
  <si>
    <t>4,179433</t>
  </si>
  <si>
    <t>-74,024754</t>
  </si>
  <si>
    <t>5,332938</t>
  </si>
  <si>
    <t>-74,289672</t>
  </si>
  <si>
    <t>4,972917</t>
  </si>
  <si>
    <t>-74,621919</t>
  </si>
  <si>
    <t>4,847575</t>
  </si>
  <si>
    <t>-74,432628</t>
  </si>
  <si>
    <t>4,962167</t>
  </si>
  <si>
    <t>-73,796099</t>
  </si>
  <si>
    <t>5,04476</t>
  </si>
  <si>
    <t>-74,257874</t>
  </si>
  <si>
    <t>4,492625</t>
  </si>
  <si>
    <t>-74,405534</t>
  </si>
  <si>
    <t>4,381981</t>
  </si>
  <si>
    <t>-73,850703</t>
  </si>
  <si>
    <t>5,505231</t>
  </si>
  <si>
    <t>-74,215463</t>
  </si>
  <si>
    <t>4,579268</t>
  </si>
  <si>
    <t>-73,943328</t>
  </si>
  <si>
    <t>4,915395</t>
  </si>
  <si>
    <t>-74,172773</t>
  </si>
  <si>
    <t>4,929118</t>
  </si>
  <si>
    <t>-73,798227</t>
  </si>
  <si>
    <t>5,103495</t>
  </si>
  <si>
    <t>-74,235403</t>
  </si>
  <si>
    <t>5,06162</t>
  </si>
  <si>
    <t>-73,813938</t>
  </si>
  <si>
    <t>5,455291</t>
  </si>
  <si>
    <t>-73,853159</t>
  </si>
  <si>
    <t>5,247482</t>
  </si>
  <si>
    <t>-74,096461</t>
  </si>
  <si>
    <t>4,916832</t>
  </si>
  <si>
    <t>-73,887813</t>
  </si>
  <si>
    <t>5,196333</t>
  </si>
  <si>
    <t>-74,389193</t>
  </si>
  <si>
    <t>4,655286</t>
  </si>
  <si>
    <t>-74,143724</t>
  </si>
  <si>
    <t>4,872014</t>
  </si>
  <si>
    <t>-74,452662</t>
  </si>
  <si>
    <t>4,348605</t>
  </si>
  <si>
    <t>-73,504514</t>
  </si>
  <si>
    <t>5,052278</t>
  </si>
  <si>
    <t>-74,636296</t>
  </si>
  <si>
    <t>4,459279</t>
  </si>
  <si>
    <t>-73,91207</t>
  </si>
  <si>
    <t>4,964641</t>
  </si>
  <si>
    <t>-74,300626</t>
  </si>
  <si>
    <t>5,336224</t>
  </si>
  <si>
    <t>-73,531489</t>
  </si>
  <si>
    <t>4,74762</t>
  </si>
  <si>
    <t>-73,933477</t>
  </si>
  <si>
    <t>4,483788</t>
  </si>
  <si>
    <t>-73,814367</t>
  </si>
  <si>
    <t>5,307463</t>
  </si>
  <si>
    <t>-74,025183</t>
  </si>
  <si>
    <t>4,40245</t>
  </si>
  <si>
    <t>-74,483154</t>
  </si>
  <si>
    <t>5,19055</t>
  </si>
  <si>
    <t>-74,346163</t>
  </si>
  <si>
    <t>5,117258</t>
  </si>
  <si>
    <t>-74,56132</t>
  </si>
  <si>
    <t>4,875208</t>
  </si>
  <si>
    <t>-74,195145</t>
  </si>
  <si>
    <t>5,273024</t>
  </si>
  <si>
    <t>-73,595704</t>
  </si>
  <si>
    <t>5,216393</t>
  </si>
  <si>
    <t>-74,469686</t>
  </si>
  <si>
    <t>5,012754</t>
  </si>
  <si>
    <t>-74,523131</t>
  </si>
  <si>
    <t>4,43935</t>
  </si>
  <si>
    <t>-74,33806</t>
  </si>
  <si>
    <t>5,459272</t>
  </si>
  <si>
    <t>-74,379566</t>
  </si>
  <si>
    <t>4,759932</t>
  </si>
  <si>
    <t>-73,994444</t>
  </si>
  <si>
    <t>5,025477</t>
  </si>
  <si>
    <t>-76,638144</t>
  </si>
  <si>
    <t>5,682166</t>
  </si>
  <si>
    <t>-77,279951</t>
  </si>
  <si>
    <t>8,512178</t>
  </si>
  <si>
    <t>-76,974373</t>
  </si>
  <si>
    <t>5,516221</t>
  </si>
  <si>
    <t>-76,635674</t>
  </si>
  <si>
    <t>5,531419</t>
  </si>
  <si>
    <t>-76,416063</t>
  </si>
  <si>
    <t>5,409681</t>
  </si>
  <si>
    <t>-77,401359</t>
  </si>
  <si>
    <t>6,222807</t>
  </si>
  <si>
    <t>-77,365717</t>
  </si>
  <si>
    <t>4,954576</t>
  </si>
  <si>
    <t>-76,886773</t>
  </si>
  <si>
    <t>6,559708</t>
  </si>
  <si>
    <t>-76,726844</t>
  </si>
  <si>
    <t>5,335321</t>
  </si>
  <si>
    <t>-76,970798</t>
  </si>
  <si>
    <t>7,158294</t>
  </si>
  <si>
    <t>-76,607619</t>
  </si>
  <si>
    <t>5,371373</t>
  </si>
  <si>
    <t>-76,650683</t>
  </si>
  <si>
    <t>5,091003</t>
  </si>
  <si>
    <t>-76,142112</t>
  </si>
  <si>
    <t>5,899789</t>
  </si>
  <si>
    <t>-77,363702</t>
  </si>
  <si>
    <t>4,259564</t>
  </si>
  <si>
    <t>-76,68518</t>
  </si>
  <si>
    <t>5,153946</t>
  </si>
  <si>
    <t>-77,762751</t>
  </si>
  <si>
    <t>7,103619</t>
  </si>
  <si>
    <t>-76,545147</t>
  </si>
  <si>
    <t>5,49789</t>
  </si>
  <si>
    <t>-76,783042</t>
  </si>
  <si>
    <t>5,994935</t>
  </si>
  <si>
    <t>-76,950891</t>
  </si>
  <si>
    <t>5,192471</t>
  </si>
  <si>
    <t>-76,694409</t>
  </si>
  <si>
    <t>5,098291</t>
  </si>
  <si>
    <t>-76,609467</t>
  </si>
  <si>
    <t>4,956063</t>
  </si>
  <si>
    <t>-76,71727</t>
  </si>
  <si>
    <t>7,3719</t>
  </si>
  <si>
    <t>-77,265507</t>
  </si>
  <si>
    <t>5,709812</t>
  </si>
  <si>
    <t>-76,472925</t>
  </si>
  <si>
    <t>5,1863</t>
  </si>
  <si>
    <t>-76,740684</t>
  </si>
  <si>
    <t>5,483667</t>
  </si>
  <si>
    <t>-77,113156</t>
  </si>
  <si>
    <t>7,436704</t>
  </si>
  <si>
    <t>-76,234227</t>
  </si>
  <si>
    <t>4,896954</t>
  </si>
  <si>
    <t>-76,643453</t>
  </si>
  <si>
    <t>4,65262</t>
  </si>
  <si>
    <t>-76,558571</t>
  </si>
  <si>
    <t>5,264873</t>
  </si>
  <si>
    <t>-77,092538</t>
  </si>
  <si>
    <t>8,04406</t>
  </si>
  <si>
    <t>-76,630143</t>
  </si>
  <si>
    <t>5,281108</t>
  </si>
  <si>
    <t>-75,277327</t>
  </si>
  <si>
    <t>2,935432</t>
  </si>
  <si>
    <t>-75,888706</t>
  </si>
  <si>
    <t>1,805173</t>
  </si>
  <si>
    <t>-75,772022</t>
  </si>
  <si>
    <t>2,25987</t>
  </si>
  <si>
    <t>-75,239017</t>
  </si>
  <si>
    <t>3,223996</t>
  </si>
  <si>
    <t>-75,315389</t>
  </si>
  <si>
    <t>2,521674</t>
  </si>
  <si>
    <t>-75,788471</t>
  </si>
  <si>
    <t>2,063841</t>
  </si>
  <si>
    <t>-75,054843</t>
  </si>
  <si>
    <t>3,152204</t>
  </si>
  <si>
    <t>-75,325748</t>
  </si>
  <si>
    <t>2,686767</t>
  </si>
  <si>
    <t>-74,802815</t>
  </si>
  <si>
    <t>3,376745</t>
  </si>
  <si>
    <t>-75,938301</t>
  </si>
  <si>
    <t>2,012854</t>
  </si>
  <si>
    <t>-75,627057</t>
  </si>
  <si>
    <t>2,196493</t>
  </si>
  <si>
    <t>-75,547681</t>
  </si>
  <si>
    <t>2,384031</t>
  </si>
  <si>
    <t>-75,757185</t>
  </si>
  <si>
    <t>2,02426</t>
  </si>
  <si>
    <t>-75,447697</t>
  </si>
  <si>
    <t>2,580812</t>
  </si>
  <si>
    <t>-75,634497</t>
  </si>
  <si>
    <t>2,649359</t>
  </si>
  <si>
    <t>-76,217637</t>
  </si>
  <si>
    <t>1,929467</t>
  </si>
  <si>
    <t>-75,979763</t>
  </si>
  <si>
    <t>2,198496</t>
  </si>
  <si>
    <t>-75,891254</t>
  </si>
  <si>
    <t>2,389263</t>
  </si>
  <si>
    <t>-75,808756</t>
  </si>
  <si>
    <t>2,5451</t>
  </si>
  <si>
    <t>-75,995165</t>
  </si>
  <si>
    <t>2,025088</t>
  </si>
  <si>
    <t>-75,773158</t>
  </si>
  <si>
    <t>2,449651</t>
  </si>
  <si>
    <t>-75,435296</t>
  </si>
  <si>
    <t>2,889649</t>
  </si>
  <si>
    <t>-76,133251</t>
  </si>
  <si>
    <t>1,723725</t>
  </si>
  <si>
    <t>-75,804544</t>
  </si>
  <si>
    <t>2,266618</t>
  </si>
  <si>
    <t>-76,049441</t>
  </si>
  <si>
    <t>1,852631</t>
  </si>
  <si>
    <t>-75,258753</t>
  </si>
  <si>
    <t>2,777586</t>
  </si>
  <si>
    <t>-76,044747</t>
  </si>
  <si>
    <t>1,9934</t>
  </si>
  <si>
    <t>-76,27036</t>
  </si>
  <si>
    <t>1,881081</t>
  </si>
  <si>
    <t>-75,586223</t>
  </si>
  <si>
    <t>2,939603</t>
  </si>
  <si>
    <t>-75,79525</t>
  </si>
  <si>
    <t>1,976051</t>
  </si>
  <si>
    <t>-75,823976</t>
  </si>
  <si>
    <t>2,111325</t>
  </si>
  <si>
    <t>-75,730271</t>
  </si>
  <si>
    <t>2,486364</t>
  </si>
  <si>
    <t>-75,138773</t>
  </si>
  <si>
    <t>3,067538</t>
  </si>
  <si>
    <t>-75,567034</t>
  </si>
  <si>
    <t>2,740968</t>
  </si>
  <si>
    <t>-75,932167</t>
  </si>
  <si>
    <t>1,974539</t>
  </si>
  <si>
    <t>-75,217174</t>
  </si>
  <si>
    <t>3,218822</t>
  </si>
  <si>
    <t>-75,518023</t>
  </si>
  <si>
    <t>2,664694</t>
  </si>
  <si>
    <t>-72,911795</t>
  </si>
  <si>
    <t>11,528588</t>
  </si>
  <si>
    <t>-72,61232</t>
  </si>
  <si>
    <t>11,151628</t>
  </si>
  <si>
    <t>-72,793639</t>
  </si>
  <si>
    <t>10,958669</t>
  </si>
  <si>
    <t>-73,307598</t>
  </si>
  <si>
    <t>11,27155</t>
  </si>
  <si>
    <t>-72,887405</t>
  </si>
  <si>
    <t>10,898414</t>
  </si>
  <si>
    <t>-72,92673</t>
  </si>
  <si>
    <t>10,653505</t>
  </si>
  <si>
    <t>-72,846319</t>
  </si>
  <si>
    <t>10,886734</t>
  </si>
  <si>
    <t>-72,75904</t>
  </si>
  <si>
    <t>11,068864</t>
  </si>
  <si>
    <t>-73,072638</t>
  </si>
  <si>
    <t>10,511862</t>
  </si>
  <si>
    <t>-72,242738</t>
  </si>
  <si>
    <t>11,378535</t>
  </si>
  <si>
    <t>-72,438739</t>
  </si>
  <si>
    <t>11,773767</t>
  </si>
  <si>
    <t>-73,000629</t>
  </si>
  <si>
    <t>10,769546</t>
  </si>
  <si>
    <t>-72,265906</t>
  </si>
  <si>
    <t>11,711904</t>
  </si>
  <si>
    <t>-73,012507</t>
  </si>
  <si>
    <t>10,560169</t>
  </si>
  <si>
    <t>-72,977583</t>
  </si>
  <si>
    <t>10,608774</t>
  </si>
  <si>
    <t>-74,199829</t>
  </si>
  <si>
    <t>11,204679</t>
  </si>
  <si>
    <t>-74,061132</t>
  </si>
  <si>
    <t>10,188059</t>
  </si>
  <si>
    <t>-74,186702</t>
  </si>
  <si>
    <t>10,589791</t>
  </si>
  <si>
    <t>-74,236515</t>
  </si>
  <si>
    <t>9,847047</t>
  </si>
  <si>
    <t>-74,868474</t>
  </si>
  <si>
    <t>10,325531</t>
  </si>
  <si>
    <t>-74,622242</t>
  </si>
  <si>
    <t>10,026631</t>
  </si>
  <si>
    <t>-74,241286</t>
  </si>
  <si>
    <t>11,006654</t>
  </si>
  <si>
    <t>-74,83303</t>
  </si>
  <si>
    <t>10,257314</t>
  </si>
  <si>
    <t>-73,97437</t>
  </si>
  <si>
    <t>9,008503</t>
  </si>
  <si>
    <t>-74,823094</t>
  </si>
  <si>
    <t>10,402781</t>
  </si>
  <si>
    <t>-74,268444</t>
  </si>
  <si>
    <t>10,610488</t>
  </si>
  <si>
    <t>-74,191453</t>
  </si>
  <si>
    <t>10,514146</t>
  </si>
  <si>
    <t>-74,223689</t>
  </si>
  <si>
    <t>9,144354</t>
  </si>
  <si>
    <t>-74,391841</t>
  </si>
  <si>
    <t>9,80186</t>
  </si>
  <si>
    <t>-74,9154</t>
  </si>
  <si>
    <t>10,18825</t>
  </si>
  <si>
    <t>-74,459034</t>
  </si>
  <si>
    <t>9,331922</t>
  </si>
  <si>
    <t>-74,613312</t>
  </si>
  <si>
    <t>10,460707</t>
  </si>
  <si>
    <t>-74,784549</t>
  </si>
  <si>
    <t>9,796713</t>
  </si>
  <si>
    <t>-74,28253</t>
  </si>
  <si>
    <t>10,994766</t>
  </si>
  <si>
    <t>-74,716172</t>
  </si>
  <si>
    <t>10,701952</t>
  </si>
  <si>
    <t>-74,213946</t>
  </si>
  <si>
    <t>10,032536</t>
  </si>
  <si>
    <t>-74,794189</t>
  </si>
  <si>
    <t>10,491229</t>
  </si>
  <si>
    <t>-74,351498</t>
  </si>
  <si>
    <t>9,241656</t>
  </si>
  <si>
    <t>-74,498992</t>
  </si>
  <si>
    <t>9,245061</t>
  </si>
  <si>
    <t>-74,566845</t>
  </si>
  <si>
    <t>9,324294</t>
  </si>
  <si>
    <t>-74,704667</t>
  </si>
  <si>
    <t>9,432263</t>
  </si>
  <si>
    <t>-74,720021</t>
  </si>
  <si>
    <t>10,775285</t>
  </si>
  <si>
    <t>-74,859783</t>
  </si>
  <si>
    <t>9,898273</t>
  </si>
  <si>
    <t>-74,716878</t>
  </si>
  <si>
    <t>10,168297</t>
  </si>
  <si>
    <t>-74,140091</t>
  </si>
  <si>
    <t>10,763024</t>
  </si>
  <si>
    <t>-73,622601</t>
  </si>
  <si>
    <t>4,126369</t>
  </si>
  <si>
    <t>-73,766034</t>
  </si>
  <si>
    <t>3,990413</t>
  </si>
  <si>
    <t>-72,961083</t>
  </si>
  <si>
    <t>4,566225</t>
  </si>
  <si>
    <t>-72,791768</t>
  </si>
  <si>
    <t>4,286705</t>
  </si>
  <si>
    <t>-73,687302</t>
  </si>
  <si>
    <t>3,830005</t>
  </si>
  <si>
    <t>-73,837999</t>
  </si>
  <si>
    <t>3,793653</t>
  </si>
  <si>
    <t>-73,487052</t>
  </si>
  <si>
    <t>4,270042</t>
  </si>
  <si>
    <t>-73,713325</t>
  </si>
  <si>
    <t>4,352665</t>
  </si>
  <si>
    <t>-73,794225</t>
  </si>
  <si>
    <t>3,563907</t>
  </si>
  <si>
    <t>-73,835264</t>
  </si>
  <si>
    <t>3,739984</t>
  </si>
  <si>
    <t>-73,618121</t>
  </si>
  <si>
    <t>3,462875</t>
  </si>
  <si>
    <t>-73,705815</t>
  </si>
  <si>
    <t>3,547147</t>
  </si>
  <si>
    <t>-73,768815</t>
  </si>
  <si>
    <t>3,879657</t>
  </si>
  <si>
    <t>-72,135509</t>
  </si>
  <si>
    <t>2,896617</t>
  </si>
  <si>
    <t>-74,044328</t>
  </si>
  <si>
    <t>3,382732</t>
  </si>
  <si>
    <t>-73,78661</t>
  </si>
  <si>
    <t>2,177143</t>
  </si>
  <si>
    <t>-74,351508</t>
  </si>
  <si>
    <t>3,239634</t>
  </si>
  <si>
    <t>-74,023514</t>
  </si>
  <si>
    <t>3,525115</t>
  </si>
  <si>
    <t>-72,760209</t>
  </si>
  <si>
    <t>2,624006</t>
  </si>
  <si>
    <t>-72,087649</t>
  </si>
  <si>
    <t>4,314905</t>
  </si>
  <si>
    <t>-72,957324</t>
  </si>
  <si>
    <t>4,09349</t>
  </si>
  <si>
    <t>-73,37385</t>
  </si>
  <si>
    <t>3,272117</t>
  </si>
  <si>
    <t>-73,206314</t>
  </si>
  <si>
    <t>2,939621</t>
  </si>
  <si>
    <t>-73,565408</t>
  </si>
  <si>
    <t>4,259556</t>
  </si>
  <si>
    <t>-73,242253</t>
  </si>
  <si>
    <t>3,71065</t>
  </si>
  <si>
    <t>-73,875832</t>
  </si>
  <si>
    <t>3,373728</t>
  </si>
  <si>
    <t>-73,676699</t>
  </si>
  <si>
    <t>4,458181</t>
  </si>
  <si>
    <t>-73,695812</t>
  </si>
  <si>
    <t>3,701899</t>
  </si>
  <si>
    <t>-73,750966</t>
  </si>
  <si>
    <t>3,125579</t>
  </si>
  <si>
    <t>-77,278795</t>
  </si>
  <si>
    <t>1,212352</t>
  </si>
  <si>
    <t>-77,080712</t>
  </si>
  <si>
    <t>1,474978</t>
  </si>
  <si>
    <t>-77,700564</t>
  </si>
  <si>
    <t>0,882381</t>
  </si>
  <si>
    <t>-77,514512</t>
  </si>
  <si>
    <t>1,263276</t>
  </si>
  <si>
    <t>-77,135467</t>
  </si>
  <si>
    <t>1,503418</t>
  </si>
  <si>
    <t>-78,13765</t>
  </si>
  <si>
    <t>1,671733</t>
  </si>
  <si>
    <t>-77,015619</t>
  </si>
  <si>
    <t>1,595681</t>
  </si>
  <si>
    <t>-77,156463</t>
  </si>
  <si>
    <t>1,381453</t>
  </si>
  <si>
    <t>-77,019777</t>
  </si>
  <si>
    <t>1,643878</t>
  </si>
  <si>
    <t>-77,466136</t>
  </si>
  <si>
    <t>1,207854</t>
  </si>
  <si>
    <t>-77,549409</t>
  </si>
  <si>
    <t>0,910458</t>
  </si>
  <si>
    <t>-77,517897</t>
  </si>
  <si>
    <t>0,854564</t>
  </si>
  <si>
    <t>-77,728947</t>
  </si>
  <si>
    <t>0,862978</t>
  </si>
  <si>
    <t>-77,792505</t>
  </si>
  <si>
    <t>0,906367</t>
  </si>
  <si>
    <t>-77,578616</t>
  </si>
  <si>
    <t>1,647163</t>
  </si>
  <si>
    <t>-77,281869</t>
  </si>
  <si>
    <t>1,360545</t>
  </si>
  <si>
    <t>-78,110217</t>
  </si>
  <si>
    <t>2,479688</t>
  </si>
  <si>
    <t>-77,438522</t>
  </si>
  <si>
    <t>1,453567</t>
  </si>
  <si>
    <t>-77,33417</t>
  </si>
  <si>
    <t>1,745309</t>
  </si>
  <si>
    <t>-77,097101</t>
  </si>
  <si>
    <t>1,427277</t>
  </si>
  <si>
    <t>-77,390772</t>
  </si>
  <si>
    <t>1,407913</t>
  </si>
  <si>
    <t>-77,448913</t>
  </si>
  <si>
    <t>1,001159</t>
  </si>
  <si>
    <t>-77,731589</t>
  </si>
  <si>
    <t>0,959744</t>
  </si>
  <si>
    <t>-77,549824</t>
  </si>
  <si>
    <t>1,129574</t>
  </si>
  <si>
    <t>-77,568701</t>
  </si>
  <si>
    <t>0,919652</t>
  </si>
  <si>
    <t>-77,521227</t>
  </si>
  <si>
    <t>0,96952</t>
  </si>
  <si>
    <t>-77,496339</t>
  </si>
  <si>
    <t>1,05506</t>
  </si>
  <si>
    <t>-77,646367</t>
  </si>
  <si>
    <t>0,827732</t>
  </si>
  <si>
    <t>-76,970504</t>
  </si>
  <si>
    <t>1,601318</t>
  </si>
  <si>
    <t>-77,402882</t>
  </si>
  <si>
    <t>1,29753</t>
  </si>
  <si>
    <t>-77,58091</t>
  </si>
  <si>
    <t>1,472892</t>
  </si>
  <si>
    <t>-78,189725</t>
  </si>
  <si>
    <t>2,398999</t>
  </si>
  <si>
    <t>-77,131316</t>
  </si>
  <si>
    <t>1,600219</t>
  </si>
  <si>
    <t>-77,306135</t>
  </si>
  <si>
    <t>1,934453</t>
  </si>
  <si>
    <t>-77,523953</t>
  </si>
  <si>
    <t>1,350814</t>
  </si>
  <si>
    <t>-77,521303</t>
  </si>
  <si>
    <t>1,494587</t>
  </si>
  <si>
    <t>-78,182924</t>
  </si>
  <si>
    <t>1,765633</t>
  </si>
  <si>
    <t>-77,864549</t>
  </si>
  <si>
    <t>1,141037</t>
  </si>
  <si>
    <t>-78,452992</t>
  </si>
  <si>
    <t>2,507139</t>
  </si>
  <si>
    <t>-77,357972</t>
  </si>
  <si>
    <t>1,288979</t>
  </si>
  <si>
    <t>-78,325814</t>
  </si>
  <si>
    <t>2,347457</t>
  </si>
  <si>
    <t>-77,566082</t>
  </si>
  <si>
    <t>1,058433</t>
  </si>
  <si>
    <t>-78,658361</t>
  </si>
  <si>
    <t>2,040629</t>
  </si>
  <si>
    <t>-77,458686</t>
  </si>
  <si>
    <t>1,627196</t>
  </si>
  <si>
    <t>-77,573003</t>
  </si>
  <si>
    <t>0,806639</t>
  </si>
  <si>
    <t>-77,596794</t>
  </si>
  <si>
    <t>1,237814</t>
  </si>
  <si>
    <t>-77,504211</t>
  </si>
  <si>
    <t>0,885125</t>
  </si>
  <si>
    <t>-77,636042</t>
  </si>
  <si>
    <t>0,870442</t>
  </si>
  <si>
    <t>-77,995153</t>
  </si>
  <si>
    <t>1,212492</t>
  </si>
  <si>
    <t>-78,245716</t>
  </si>
  <si>
    <t>1,697492</t>
  </si>
  <si>
    <t>-77,594341</t>
  </si>
  <si>
    <t>1,335438</t>
  </si>
  <si>
    <t>-77,47313</t>
  </si>
  <si>
    <t>1,283438</t>
  </si>
  <si>
    <t>-77,0475</t>
  </si>
  <si>
    <t>1,513762</t>
  </si>
  <si>
    <t>-77,21542</t>
  </si>
  <si>
    <t>1,503362</t>
  </si>
  <si>
    <t>-77,013984</t>
  </si>
  <si>
    <t>1,669429</t>
  </si>
  <si>
    <t>-77,11941</t>
  </si>
  <si>
    <t>1,551572</t>
  </si>
  <si>
    <t>-77,979916</t>
  </si>
  <si>
    <t>2,449653</t>
  </si>
  <si>
    <t>-77,677035</t>
  </si>
  <si>
    <t>1,222589</t>
  </si>
  <si>
    <t>-77,62028</t>
  </si>
  <si>
    <t>1,037536</t>
  </si>
  <si>
    <t>-77,2808</t>
  </si>
  <si>
    <t>1,570358</t>
  </si>
  <si>
    <t>-77,393735</t>
  </si>
  <si>
    <t>1,09482</t>
  </si>
  <si>
    <t>-78,764073</t>
  </si>
  <si>
    <t>1,807399</t>
  </si>
  <si>
    <t>-77,61672</t>
  </si>
  <si>
    <t>1,085044</t>
  </si>
  <si>
    <t>-77,400169</t>
  </si>
  <si>
    <t>1,115937</t>
  </si>
  <si>
    <t>-72,508178</t>
  </si>
  <si>
    <t>7,905725</t>
  </si>
  <si>
    <t>-73,221722</t>
  </si>
  <si>
    <t>8,081616</t>
  </si>
  <si>
    <t>-72,798952</t>
  </si>
  <si>
    <t>7,642985</t>
  </si>
  <si>
    <t>-72,64701</t>
  </si>
  <si>
    <t>7,612192</t>
  </si>
  <si>
    <t>-72,868231</t>
  </si>
  <si>
    <t>8,041299</t>
  </si>
  <si>
    <t>-72,642059</t>
  </si>
  <si>
    <t>7,268705</t>
  </si>
  <si>
    <t>-73,048983</t>
  </si>
  <si>
    <t>7,741248</t>
  </si>
  <si>
    <t>-72,601162</t>
  </si>
  <si>
    <t>7,603112</t>
  </si>
  <si>
    <t>-72,665468</t>
  </si>
  <si>
    <t>7,138187</t>
  </si>
  <si>
    <t>-73,3372</t>
  </si>
  <si>
    <t>8,470374</t>
  </si>
  <si>
    <t>-72,772816</t>
  </si>
  <si>
    <t>7,539633</t>
  </si>
  <si>
    <t>-72,658491</t>
  </si>
  <si>
    <t>7,714804</t>
  </si>
  <si>
    <t>-73,446687</t>
  </si>
  <si>
    <t>8,510579</t>
  </si>
  <si>
    <t>-73,09614</t>
  </si>
  <si>
    <t>8,574281</t>
  </si>
  <si>
    <t>-72,604717</t>
  </si>
  <si>
    <t>7,938572</t>
  </si>
  <si>
    <t>-72,787233</t>
  </si>
  <si>
    <t>7,916946</t>
  </si>
  <si>
    <t>-73,145997</t>
  </si>
  <si>
    <t>8,321506</t>
  </si>
  <si>
    <t>-72,483519</t>
  </si>
  <si>
    <t>7,506541</t>
  </si>
  <si>
    <t>-72,495983</t>
  </si>
  <si>
    <t>7,298414</t>
  </si>
  <si>
    <t>-73,328126</t>
  </si>
  <si>
    <t>7,639839</t>
  </si>
  <si>
    <t>-73,239986</t>
  </si>
  <si>
    <t>8,21124</t>
  </si>
  <si>
    <t>-72,505612</t>
  </si>
  <si>
    <t>7,833186</t>
  </si>
  <si>
    <t>-72,832376</t>
  </si>
  <si>
    <t>7,945631</t>
  </si>
  <si>
    <t>-72,747169</t>
  </si>
  <si>
    <t>7,300469</t>
  </si>
  <si>
    <t>-73,35607</t>
  </si>
  <si>
    <t>8,248574</t>
  </si>
  <si>
    <t>-72,647714</t>
  </si>
  <si>
    <t>7,372802</t>
  </si>
  <si>
    <t>-72,639111</t>
  </si>
  <si>
    <t>7,436745</t>
  </si>
  <si>
    <t>-72,411363</t>
  </si>
  <si>
    <t>8,359993</t>
  </si>
  <si>
    <t>-72,476708</t>
  </si>
  <si>
    <t>7,577861</t>
  </si>
  <si>
    <t>-72,813064</t>
  </si>
  <si>
    <t>7,773683</t>
  </si>
  <si>
    <t>-73,208622</t>
  </si>
  <si>
    <t>8,40214</t>
  </si>
  <si>
    <t>-72,625459</t>
  </si>
  <si>
    <t>7,875695</t>
  </si>
  <si>
    <t>-72,716203</t>
  </si>
  <si>
    <t>7,865856</t>
  </si>
  <si>
    <t>-72,800577</t>
  </si>
  <si>
    <t>8,082105</t>
  </si>
  <si>
    <t>-72,757128</t>
  </si>
  <si>
    <t>7,204736</t>
  </si>
  <si>
    <t>-73,28707</t>
  </si>
  <si>
    <t>8,438134</t>
  </si>
  <si>
    <t>-72,734496</t>
  </si>
  <si>
    <t>8,639891</t>
  </si>
  <si>
    <t>-72,481915</t>
  </si>
  <si>
    <t>7,307692</t>
  </si>
  <si>
    <t>-72,973601</t>
  </si>
  <si>
    <t>7,914244</t>
  </si>
  <si>
    <t>-72,469758</t>
  </si>
  <si>
    <t>7,847672</t>
  </si>
  <si>
    <t>-75,680786</t>
  </si>
  <si>
    <t>4,53598</t>
  </si>
  <si>
    <t>-75,739572</t>
  </si>
  <si>
    <t>4,360029</t>
  </si>
  <si>
    <t>-75,646085</t>
  </si>
  <si>
    <t>4,520982</t>
  </si>
  <si>
    <t>-75,636533</t>
  </si>
  <si>
    <t>4,617759</t>
  </si>
  <si>
    <t>-75,687866</t>
  </si>
  <si>
    <t>4,392485</t>
  </si>
  <si>
    <t>-75,658387</t>
  </si>
  <si>
    <t>4,674338</t>
  </si>
  <si>
    <t>-75,790402</t>
  </si>
  <si>
    <t>4,206641</t>
  </si>
  <si>
    <t>-75,786887</t>
  </si>
  <si>
    <t>4,453755</t>
  </si>
  <si>
    <t>-75,749827</t>
  </si>
  <si>
    <t>4,565057</t>
  </si>
  <si>
    <t>-75,703329</t>
  </si>
  <si>
    <t>4,335036</t>
  </si>
  <si>
    <t>-75,765074</t>
  </si>
  <si>
    <t>4,624387</t>
  </si>
  <si>
    <t>-75,570844</t>
  </si>
  <si>
    <t>4,637157</t>
  </si>
  <si>
    <t>-75,719711</t>
  </si>
  <si>
    <t>4,804985</t>
  </si>
  <si>
    <t>-75,942356</t>
  </si>
  <si>
    <t>5,106526</t>
  </si>
  <si>
    <t>-75,958663</t>
  </si>
  <si>
    <t>4,949096</t>
  </si>
  <si>
    <t>-75,868334</t>
  </si>
  <si>
    <t>5,200793</t>
  </si>
  <si>
    <t>-75,675371</t>
  </si>
  <si>
    <t>4,833131</t>
  </si>
  <si>
    <t>-75,799005</t>
  </si>
  <si>
    <t>5,315367</t>
  </si>
  <si>
    <t>-76,0032</t>
  </si>
  <si>
    <t>5,002787</t>
  </si>
  <si>
    <t>-75,880394</t>
  </si>
  <si>
    <t>4,896624</t>
  </si>
  <si>
    <t>-75,73879</t>
  </si>
  <si>
    <t>4,935771</t>
  </si>
  <si>
    <t>-75,882886</t>
  </si>
  <si>
    <t>5,297039</t>
  </si>
  <si>
    <t>-76,030801</t>
  </si>
  <si>
    <t>5,222043</t>
  </si>
  <si>
    <t>-75,730431</t>
  </si>
  <si>
    <t>5,340456</t>
  </si>
  <si>
    <t>-75,623268</t>
  </si>
  <si>
    <t>4,876271</t>
  </si>
  <si>
    <t>-75,964628</t>
  </si>
  <si>
    <t>5,074911</t>
  </si>
  <si>
    <t>-73,132562</t>
  </si>
  <si>
    <t>7,11647</t>
  </si>
  <si>
    <t>-73,523132</t>
  </si>
  <si>
    <t>6,162355</t>
  </si>
  <si>
    <t>-73,91336</t>
  </si>
  <si>
    <t>5,759166</t>
  </si>
  <si>
    <t>-73,01786</t>
  </si>
  <si>
    <t>6,694418</t>
  </si>
  <si>
    <t>-73,615965</t>
  </si>
  <si>
    <t>5,932531</t>
  </si>
  <si>
    <t>-73,223047</t>
  </si>
  <si>
    <t>6,634111</t>
  </si>
  <si>
    <t>-73,849243</t>
  </si>
  <si>
    <t>7,064857</t>
  </si>
  <si>
    <t>-73,283669</t>
  </si>
  <si>
    <t>6,899525</t>
  </si>
  <si>
    <t>-73,771346</t>
  </si>
  <si>
    <t>5,988953</t>
  </si>
  <si>
    <t>-73,246475</t>
  </si>
  <si>
    <t>6,592118</t>
  </si>
  <si>
    <t>-72,946491</t>
  </si>
  <si>
    <t>7,347989</t>
  </si>
  <si>
    <t>-72,695427</t>
  </si>
  <si>
    <t>6,527394</t>
  </si>
  <si>
    <t>-72,627099</t>
  </si>
  <si>
    <t>6,629016</t>
  </si>
  <si>
    <t>-72,973536</t>
  </si>
  <si>
    <t>6,753518</t>
  </si>
  <si>
    <t>-72,694851</t>
  </si>
  <si>
    <t>6,840405</t>
  </si>
  <si>
    <t>-73,146873</t>
  </si>
  <si>
    <t>6,284339</t>
  </si>
  <si>
    <t>-72,968798</t>
  </si>
  <si>
    <t>7,28082</t>
  </si>
  <si>
    <t>-73,373656</t>
  </si>
  <si>
    <t>6,344348</t>
  </si>
  <si>
    <t>-73,637111</t>
  </si>
  <si>
    <t>6,062521</t>
  </si>
  <si>
    <t>-73,953011</t>
  </si>
  <si>
    <t>6,320886</t>
  </si>
  <si>
    <t>-72,694567</t>
  </si>
  <si>
    <t>6,768908</t>
  </si>
  <si>
    <t>-73,240554</t>
  </si>
  <si>
    <t>6,357327</t>
  </si>
  <si>
    <t>-73,474426</t>
  </si>
  <si>
    <t>6,290561</t>
  </si>
  <si>
    <t>-73,040816</t>
  </si>
  <si>
    <t>6,294999</t>
  </si>
  <si>
    <t>-73,069383</t>
  </si>
  <si>
    <t>6,605099</t>
  </si>
  <si>
    <t>-73,51066</t>
  </si>
  <si>
    <t>6,700038</t>
  </si>
  <si>
    <t>-73,496908</t>
  </si>
  <si>
    <t>6,245111</t>
  </si>
  <si>
    <t>-73,815532</t>
  </si>
  <si>
    <t>6,05537</t>
  </si>
  <si>
    <t>-73,20287</t>
  </si>
  <si>
    <t>7,470715</t>
  </si>
  <si>
    <t>-73,098749</t>
  </si>
  <si>
    <t>6,137429</t>
  </si>
  <si>
    <t>-72,699647</t>
  </si>
  <si>
    <t>6,668034</t>
  </si>
  <si>
    <t>-73,97143</t>
  </si>
  <si>
    <t>5,804659</t>
  </si>
  <si>
    <t>-73,099104</t>
  </si>
  <si>
    <t>7,072329</t>
  </si>
  <si>
    <t>-73,287769</t>
  </si>
  <si>
    <t>6,638423</t>
  </si>
  <si>
    <t>-73,344185</t>
  </si>
  <si>
    <t>5,945998</t>
  </si>
  <si>
    <t>-73,166832</t>
  </si>
  <si>
    <t>7,070432</t>
  </si>
  <si>
    <t>-72,856322</t>
  </si>
  <si>
    <t>6,876563</t>
  </si>
  <si>
    <t>-73,419292</t>
  </si>
  <si>
    <t>6,245847</t>
  </si>
  <si>
    <t>-73,320732</t>
  </si>
  <si>
    <t>6,308635</t>
  </si>
  <si>
    <t>-73,700906</t>
  </si>
  <si>
    <t>5,954348</t>
  </si>
  <si>
    <t>-73,575146</t>
  </si>
  <si>
    <t>6,025013</t>
  </si>
  <si>
    <t>6,543957</t>
  </si>
  <si>
    <t>-73,783396</t>
  </si>
  <si>
    <t>5,876497</t>
  </si>
  <si>
    <t>-73,096053</t>
  </si>
  <si>
    <t>6,732727</t>
  </si>
  <si>
    <t>-73,965494</t>
  </si>
  <si>
    <t>5,85925</t>
  </si>
  <si>
    <t>-73,811359</t>
  </si>
  <si>
    <t>6,218812</t>
  </si>
  <si>
    <t>-73,58959</t>
  </si>
  <si>
    <t>6,178509</t>
  </si>
  <si>
    <t>-73,219524</t>
  </si>
  <si>
    <t>7,113351</t>
  </si>
  <si>
    <t>-73,102739</t>
  </si>
  <si>
    <t>6,755203</t>
  </si>
  <si>
    <t>-72,593105</t>
  </si>
  <si>
    <t>6,50658</t>
  </si>
  <si>
    <t>-72,732089</t>
  </si>
  <si>
    <t>6,703081</t>
  </si>
  <si>
    <t>-73,015566</t>
  </si>
  <si>
    <t>7,323175</t>
  </si>
  <si>
    <t>-72,969807</t>
  </si>
  <si>
    <t>6,475246</t>
  </si>
  <si>
    <t>-72,809175</t>
  </si>
  <si>
    <t>6,67432</t>
  </si>
  <si>
    <t>-73,122563</t>
  </si>
  <si>
    <t>6,339988</t>
  </si>
  <si>
    <t>-73,299791</t>
  </si>
  <si>
    <t>6,26521</t>
  </si>
  <si>
    <t>-72,816766</t>
  </si>
  <si>
    <t>6,344104</t>
  </si>
  <si>
    <t>-73,29109</t>
  </si>
  <si>
    <t>6,537789</t>
  </si>
  <si>
    <t>-73,287764</t>
  </si>
  <si>
    <t>6,406139</t>
  </si>
  <si>
    <t>-73,17022</t>
  </si>
  <si>
    <t>6,416811</t>
  </si>
  <si>
    <t>-73,054795</t>
  </si>
  <si>
    <t>6,997245</t>
  </si>
  <si>
    <t>-73,174209</t>
  </si>
  <si>
    <t>6,531552</t>
  </si>
  <si>
    <t>-73,677567</t>
  </si>
  <si>
    <t>5,878381</t>
  </si>
  <si>
    <t>-74,056129</t>
  </si>
  <si>
    <t>6,650785</t>
  </si>
  <si>
    <t>-73,899909</t>
  </si>
  <si>
    <t>7,344057</t>
  </si>
  <si>
    <t>-73,150177</t>
  </si>
  <si>
    <t>7,265014</t>
  </si>
  <si>
    <t>-73,49906</t>
  </si>
  <si>
    <t>7,391919</t>
  </si>
  <si>
    <t>-72,848864</t>
  </si>
  <si>
    <t>6,811511</t>
  </si>
  <si>
    <t>-73,50907</t>
  </si>
  <si>
    <t>6,126656</t>
  </si>
  <si>
    <t>-73,134776</t>
  </si>
  <si>
    <t>6,551952</t>
  </si>
  <si>
    <t>-72,867638</t>
  </si>
  <si>
    <t>6,427548</t>
  </si>
  <si>
    <t>-72,733616</t>
  </si>
  <si>
    <t>6,658995</t>
  </si>
  <si>
    <t>-72,644123</t>
  </si>
  <si>
    <t>6,575315</t>
  </si>
  <si>
    <t>-73,411024</t>
  </si>
  <si>
    <t>6,880383</t>
  </si>
  <si>
    <t>-72,907445</t>
  </si>
  <si>
    <t>6,990996</t>
  </si>
  <si>
    <t>-73,616716</t>
  </si>
  <si>
    <t>6,339565</t>
  </si>
  <si>
    <t>-73,337368</t>
  </si>
  <si>
    <t>6,443469</t>
  </si>
  <si>
    <t>-73,261198</t>
  </si>
  <si>
    <t>6,46387</t>
  </si>
  <si>
    <t>-73,44165</t>
  </si>
  <si>
    <t>6,101329</t>
  </si>
  <si>
    <t>-73,790975</t>
  </si>
  <si>
    <t>5,918743</t>
  </si>
  <si>
    <t>-72,984232</t>
  </si>
  <si>
    <t>7,36658</t>
  </si>
  <si>
    <t>-72,967023</t>
  </si>
  <si>
    <t>7,201417</t>
  </si>
  <si>
    <t>-73,143507</t>
  </si>
  <si>
    <t>6,448028</t>
  </si>
  <si>
    <t>-73,672447</t>
  </si>
  <si>
    <t>6,009275</t>
  </si>
  <si>
    <t>-72,871041</t>
  </si>
  <si>
    <t>7,30981</t>
  </si>
  <si>
    <t>-73,174307</t>
  </si>
  <si>
    <t>6,670078</t>
  </si>
  <si>
    <t>-73,268034</t>
  </si>
  <si>
    <t>6,814387</t>
  </si>
  <si>
    <t>-75,395445</t>
  </si>
  <si>
    <t>9,302322</t>
  </si>
  <si>
    <t>-74,972827</t>
  </si>
  <si>
    <t>9,319794</t>
  </si>
  <si>
    <t>-75,117141</t>
  </si>
  <si>
    <t>8,789324</t>
  </si>
  <si>
    <t>-75,353256</t>
  </si>
  <si>
    <t>9,494192</t>
  </si>
  <si>
    <t>-75,293048</t>
  </si>
  <si>
    <t>9,318749</t>
  </si>
  <si>
    <t>-75,680158</t>
  </si>
  <si>
    <t>9,402779</t>
  </si>
  <si>
    <t>-75,312697</t>
  </si>
  <si>
    <t>9,545352</t>
  </si>
  <si>
    <t>-75,198378</t>
  </si>
  <si>
    <t>9,100647</t>
  </si>
  <si>
    <t>-75,04959</t>
  </si>
  <si>
    <t>9,160379</t>
  </si>
  <si>
    <t>-74,537749</t>
  </si>
  <si>
    <t>8,468556</t>
  </si>
  <si>
    <t>-75,276056</t>
  </si>
  <si>
    <t>8,853975</t>
  </si>
  <si>
    <t>-75,268716</t>
  </si>
  <si>
    <t>9,380269</t>
  </si>
  <si>
    <t>-74,628077</t>
  </si>
  <si>
    <t>8,541163</t>
  </si>
  <si>
    <t>-75,305949</t>
  </si>
  <si>
    <t>9,331395</t>
  </si>
  <si>
    <t>-75,229037</t>
  </si>
  <si>
    <t>9,527176</t>
  </si>
  <si>
    <t>-75,541264</t>
  </si>
  <si>
    <t>9,333157</t>
  </si>
  <si>
    <t>-75,380222</t>
  </si>
  <si>
    <t>9,183193</t>
  </si>
  <si>
    <t>-75,031089</t>
  </si>
  <si>
    <t>8,930108</t>
  </si>
  <si>
    <t>-75,243565</t>
  </si>
  <si>
    <t>9,273066</t>
  </si>
  <si>
    <t>-75,133831</t>
  </si>
  <si>
    <t>8,661774</t>
  </si>
  <si>
    <t>-75,522398</t>
  </si>
  <si>
    <t>9,736955</t>
  </si>
  <si>
    <t>-75,063647</t>
  </si>
  <si>
    <t>9,39625</t>
  </si>
  <si>
    <t>-75,145999</t>
  </si>
  <si>
    <t>9,244308</t>
  </si>
  <si>
    <t>-74,723175</t>
  </si>
  <si>
    <t>8,811737</t>
  </si>
  <si>
    <t>-75,581112</t>
  </si>
  <si>
    <t>9,525387</t>
  </si>
  <si>
    <t>-75,44085</t>
  </si>
  <si>
    <t>9,451819</t>
  </si>
  <si>
    <t>-75,19425</t>
  </si>
  <si>
    <t>4,432248</t>
  </si>
  <si>
    <t>-74,9329</t>
  </si>
  <si>
    <t>3,391548</t>
  </si>
  <si>
    <t>-74,953418</t>
  </si>
  <si>
    <t>4,567356</t>
  </si>
  <si>
    <t>-74,764429</t>
  </si>
  <si>
    <t>4,782682</t>
  </si>
  <si>
    <t>-75,093772</t>
  </si>
  <si>
    <t>4,631756</t>
  </si>
  <si>
    <t>-74,884438</t>
  </si>
  <si>
    <t>5,030744</t>
  </si>
  <si>
    <t>-75,382545</t>
  </si>
  <si>
    <t>3,590591</t>
  </si>
  <si>
    <t>-75,431971</t>
  </si>
  <si>
    <t>4,438812</t>
  </si>
  <si>
    <t>-74,717633</t>
  </si>
  <si>
    <t>4,152334</t>
  </si>
  <si>
    <t>-75,120966</t>
  </si>
  <si>
    <t>5,078465</t>
  </si>
  <si>
    <t>-75,480765</t>
  </si>
  <si>
    <t>3,722918</t>
  </si>
  <si>
    <t>-74,898464</t>
  </si>
  <si>
    <t>4,287276</t>
  </si>
  <si>
    <t>-75,193862</t>
  </si>
  <si>
    <t>3,798036</t>
  </si>
  <si>
    <t>-74,692227</t>
  </si>
  <si>
    <t>4,059259</t>
  </si>
  <si>
    <t>-74,896761</t>
  </si>
  <si>
    <t>3,539072</t>
  </si>
  <si>
    <t>-74,885446</t>
  </si>
  <si>
    <t>4,151314</t>
  </si>
  <si>
    <t>-74,953007</t>
  </si>
  <si>
    <t>5,123104</t>
  </si>
  <si>
    <t>-74,818763</t>
  </si>
  <si>
    <t>4,276373</t>
  </si>
  <si>
    <t>-75,035722</t>
  </si>
  <si>
    <t>5,153576</t>
  </si>
  <si>
    <t>-74,968135</t>
  </si>
  <si>
    <t>4,030992</t>
  </si>
  <si>
    <t>-75,177151</t>
  </si>
  <si>
    <t>5,080228</t>
  </si>
  <si>
    <t>-74,75699</t>
  </si>
  <si>
    <t>5,211816</t>
  </si>
  <si>
    <t>-74,531969</t>
  </si>
  <si>
    <t>4,176487</t>
  </si>
  <si>
    <t>-74,910716</t>
  </si>
  <si>
    <t>4,862046</t>
  </si>
  <si>
    <t>-75,061959</t>
  </si>
  <si>
    <t>4,92042</t>
  </si>
  <si>
    <t>-74,889276</t>
  </si>
  <si>
    <t>5,199708</t>
  </si>
  <si>
    <t>-74,641317</t>
  </si>
  <si>
    <t>4,203655</t>
  </si>
  <si>
    <t>-75,171022</t>
  </si>
  <si>
    <t>4,874341</t>
  </si>
  <si>
    <t>-75,093182</t>
  </si>
  <si>
    <t>3,624324</t>
  </si>
  <si>
    <t>-75,222601</t>
  </si>
  <si>
    <t>3,934916</t>
  </si>
  <si>
    <t>-75,022167</t>
  </si>
  <si>
    <t>5,120918</t>
  </si>
  <si>
    <t>-74,878106</t>
  </si>
  <si>
    <t>4,543951</t>
  </si>
  <si>
    <t>-75,644163</t>
  </si>
  <si>
    <t>3,197911</t>
  </si>
  <si>
    <t>-74,927447</t>
  </si>
  <si>
    <t>3,750939</t>
  </si>
  <si>
    <t>-74,935555</t>
  </si>
  <si>
    <t>3,857246</t>
  </si>
  <si>
    <t>-75,644069</t>
  </si>
  <si>
    <t>3,529932</t>
  </si>
  <si>
    <t>-75,605959</t>
  </si>
  <si>
    <t>4,011567</t>
  </si>
  <si>
    <t>-75,240648</t>
  </si>
  <si>
    <t>4,239019</t>
  </si>
  <si>
    <t>-75,016852</t>
  </si>
  <si>
    <t>3,929815</t>
  </si>
  <si>
    <t>-75,480074</t>
  </si>
  <si>
    <t>3,914146</t>
  </si>
  <si>
    <t>-75,095804</t>
  </si>
  <si>
    <t>4,133721</t>
  </si>
  <si>
    <t>-75,097934</t>
  </si>
  <si>
    <t>4,713606</t>
  </si>
  <si>
    <t>-74,831885</t>
  </si>
  <si>
    <t>4,048891</t>
  </si>
  <si>
    <t>-75,115669</t>
  </si>
  <si>
    <t>4,197494</t>
  </si>
  <si>
    <t>-74,929333</t>
  </si>
  <si>
    <t>4,717878</t>
  </si>
  <si>
    <t>-75,117729</t>
  </si>
  <si>
    <t>5,030452</t>
  </si>
  <si>
    <t>-74,600285</t>
  </si>
  <si>
    <t>3,936902</t>
  </si>
  <si>
    <t>-76,52133</t>
  </si>
  <si>
    <t>3,413686</t>
  </si>
  <si>
    <t>-75,779792</t>
  </si>
  <si>
    <t>4,674994</t>
  </si>
  <si>
    <t>-76,167925</t>
  </si>
  <si>
    <t>4,171713</t>
  </si>
  <si>
    <t>-75,992003</t>
  </si>
  <si>
    <t>4,794984</t>
  </si>
  <si>
    <t>-76,119905</t>
  </si>
  <si>
    <t>4,726945</t>
  </si>
  <si>
    <t>-76,183583</t>
  </si>
  <si>
    <t>4,337846</t>
  </si>
  <si>
    <t>-77,01074</t>
  </si>
  <si>
    <t>3,875708</t>
  </si>
  <si>
    <t>-76,298979</t>
  </si>
  <si>
    <t>3,900736</t>
  </si>
  <si>
    <t>-76,15682</t>
  </si>
  <si>
    <t>4,208358</t>
  </si>
  <si>
    <t>-75,830594</t>
  </si>
  <si>
    <t>4,334808</t>
  </si>
  <si>
    <t>-76,484132</t>
  </si>
  <si>
    <t>3,933664</t>
  </si>
  <si>
    <t>-76,346519</t>
  </si>
  <si>
    <t>3,408354</t>
  </si>
  <si>
    <t>-75,924374</t>
  </si>
  <si>
    <t>4,742192</t>
  </si>
  <si>
    <t>-76,68886</t>
  </si>
  <si>
    <t>3,657318</t>
  </si>
  <si>
    <t>-76,042779</t>
  </si>
  <si>
    <t>4,906062</t>
  </si>
  <si>
    <t>-76,221611</t>
  </si>
  <si>
    <t>4,760874</t>
  </si>
  <si>
    <t>-76,311972</t>
  </si>
  <si>
    <t>3,684229</t>
  </si>
  <si>
    <t>-76,237084</t>
  </si>
  <si>
    <t>4,510452</t>
  </si>
  <si>
    <t>-76,234199</t>
  </si>
  <si>
    <t>3,324118</t>
  </si>
  <si>
    <t>-76,268068</t>
  </si>
  <si>
    <t>3,724181</t>
  </si>
  <si>
    <t>-76,330911</t>
  </si>
  <si>
    <t>3,761815</t>
  </si>
  <si>
    <t>-76,538472</t>
  </si>
  <si>
    <t>3,258751</t>
  </si>
  <si>
    <t>-76,56805</t>
  </si>
  <si>
    <t>3,649268</t>
  </si>
  <si>
    <t>-76,099661</t>
  </si>
  <si>
    <t>4,533869</t>
  </si>
  <si>
    <t>-76,036529</t>
  </si>
  <si>
    <t>4,523603</t>
  </si>
  <si>
    <t>-75,974709</t>
  </si>
  <si>
    <t>4,575712</t>
  </si>
  <si>
    <t>-76,298846</t>
  </si>
  <si>
    <t>3,531544</t>
  </si>
  <si>
    <t>-76,241799</t>
  </si>
  <si>
    <t>3,419793</t>
  </si>
  <si>
    <t>-76,523329</t>
  </si>
  <si>
    <t>3,821351</t>
  </si>
  <si>
    <t>-76,288313</t>
  </si>
  <si>
    <t>4,156908</t>
  </si>
  <si>
    <t>-76,152277</t>
  </si>
  <si>
    <t>4,413601</t>
  </si>
  <si>
    <t>-76,228692</t>
  </si>
  <si>
    <t>3,995073</t>
  </si>
  <si>
    <t>-75,931629</t>
  </si>
  <si>
    <t>4,270714</t>
  </si>
  <si>
    <t>-76,076859</t>
  </si>
  <si>
    <t>4,608085</t>
  </si>
  <si>
    <t>-76,318818</t>
  </si>
  <si>
    <t>4,212037</t>
  </si>
  <si>
    <t>-76,197731</t>
  </si>
  <si>
    <t>4,085399</t>
  </si>
  <si>
    <t>-75,737808</t>
  </si>
  <si>
    <t>4,703623</t>
  </si>
  <si>
    <t>-76,199203</t>
  </si>
  <si>
    <t>4,575019</t>
  </si>
  <si>
    <t>-76,441804</t>
  </si>
  <si>
    <t>3,698686</t>
  </si>
  <si>
    <t>-76,382698</t>
  </si>
  <si>
    <t>3,861241</t>
  </si>
  <si>
    <t>-76,499893</t>
  </si>
  <si>
    <t>3,540097</t>
  </si>
  <si>
    <t>-76,070795</t>
  </si>
  <si>
    <t>4,392658</t>
  </si>
  <si>
    <t>-70,747408</t>
  </si>
  <si>
    <t>7,072726</t>
  </si>
  <si>
    <t>-71,426733</t>
  </si>
  <si>
    <t>7,02702</t>
  </si>
  <si>
    <t>-70,204286</t>
  </si>
  <si>
    <t>6,303913</t>
  </si>
  <si>
    <t>-71,76877</t>
  </si>
  <si>
    <t>6,796695</t>
  </si>
  <si>
    <t>-71,10339</t>
  </si>
  <si>
    <t>6,281461</t>
  </si>
  <si>
    <t>-71,872812</t>
  </si>
  <si>
    <t>6,953926</t>
  </si>
  <si>
    <t>-71,754427</t>
  </si>
  <si>
    <t>6,453324</t>
  </si>
  <si>
    <t>-72,396132</t>
  </si>
  <si>
    <t>5,327102</t>
  </si>
  <si>
    <t>-72,546838</t>
  </si>
  <si>
    <t>5,172641</t>
  </si>
  <si>
    <t>-72,87016</t>
  </si>
  <si>
    <t>5,214527</t>
  </si>
  <si>
    <t>-71,764213</t>
  </si>
  <si>
    <t>6,154099</t>
  </si>
  <si>
    <t>-72,334978</t>
  </si>
  <si>
    <t>6,127762</t>
  </si>
  <si>
    <t>-72,281384</t>
  </si>
  <si>
    <t>4,81681</t>
  </si>
  <si>
    <t>-72,894065</t>
  </si>
  <si>
    <t>4,877017</t>
  </si>
  <si>
    <t>-72,195323</t>
  </si>
  <si>
    <t>5,636474</t>
  </si>
  <si>
    <t>-71,338533</t>
  </si>
  <si>
    <t>4,790258</t>
  </si>
  <si>
    <t>-71,890348</t>
  </si>
  <si>
    <t>5,879827</t>
  </si>
  <si>
    <t>-71,99286</t>
  </si>
  <si>
    <t>5,72773</t>
  </si>
  <si>
    <t>-72,760991</t>
  </si>
  <si>
    <t>5,229181</t>
  </si>
  <si>
    <t>-73,038696</t>
  </si>
  <si>
    <t>4,854787</t>
  </si>
  <si>
    <t>-72,250157</t>
  </si>
  <si>
    <t>6,096738</t>
  </si>
  <si>
    <t>-71,732198</t>
  </si>
  <si>
    <t>5,422397</t>
  </si>
  <si>
    <t>-72,16165</t>
  </si>
  <si>
    <t>5,829543</t>
  </si>
  <si>
    <t>-72,74662</t>
  </si>
  <si>
    <t>5,018977</t>
  </si>
  <si>
    <t>-71,662812</t>
  </si>
  <si>
    <t>5,412178</t>
  </si>
  <si>
    <t>-72,927797</t>
  </si>
  <si>
    <t>4,61035</t>
  </si>
  <si>
    <t>-76,654238</t>
  </si>
  <si>
    <t>1,151172</t>
  </si>
  <si>
    <t>-76,972566</t>
  </si>
  <si>
    <t>1,190133</t>
  </si>
  <si>
    <t>-76,873276</t>
  </si>
  <si>
    <t>0,663593</t>
  </si>
  <si>
    <t>-76,496887</t>
  </si>
  <si>
    <t>0,505627</t>
  </si>
  <si>
    <t>-76,606118</t>
  </si>
  <si>
    <t>0,687784</t>
  </si>
  <si>
    <t>-76,407663</t>
  </si>
  <si>
    <t>0,962854</t>
  </si>
  <si>
    <t>-74,781842</t>
  </si>
  <si>
    <t>-0,192318</t>
  </si>
  <si>
    <t>-76,917814</t>
  </si>
  <si>
    <t>1,20026</t>
  </si>
  <si>
    <t>-76,879283</t>
  </si>
  <si>
    <t>1,174194</t>
  </si>
  <si>
    <t>-76,91217</t>
  </si>
  <si>
    <t>0,34346</t>
  </si>
  <si>
    <t>-77,002641</t>
  </si>
  <si>
    <t>1,147076</t>
  </si>
  <si>
    <t>-76,906751</t>
  </si>
  <si>
    <t>0,423506</t>
  </si>
  <si>
    <t>-76,61721</t>
  </si>
  <si>
    <t>1,028821</t>
  </si>
  <si>
    <t>ARCHIPIÉLAGO DE SAN ANDRÉS, PROVIDENCIA Y SANTA CATALINA</t>
  </si>
  <si>
    <t>Isla</t>
  </si>
  <si>
    <t>-81,707181</t>
  </si>
  <si>
    <t>12,578108</t>
  </si>
  <si>
    <t>-81,368386</t>
  </si>
  <si>
    <t>13,373185</t>
  </si>
  <si>
    <t>-69,941721</t>
  </si>
  <si>
    <t>-4,19895</t>
  </si>
  <si>
    <t>Área no municipalizada</t>
  </si>
  <si>
    <t>-73,207114</t>
  </si>
  <si>
    <t>-1,74806</t>
  </si>
  <si>
    <t>-72,791889</t>
  </si>
  <si>
    <t>-1,442617</t>
  </si>
  <si>
    <t>-69,585499</t>
  </si>
  <si>
    <t>-1,320301</t>
  </si>
  <si>
    <t>-71,223208</t>
  </si>
  <si>
    <t>0,054936</t>
  </si>
  <si>
    <t>-70,98893</t>
  </si>
  <si>
    <t>-0,888833</t>
  </si>
  <si>
    <t>-74,014461</t>
  </si>
  <si>
    <t>-1,005674</t>
  </si>
  <si>
    <t>-71,752186</t>
  </si>
  <si>
    <t>-2,147039</t>
  </si>
  <si>
    <t>-70,364937</t>
  </si>
  <si>
    <t>-3,779934</t>
  </si>
  <si>
    <t>-72,384213</t>
  </si>
  <si>
    <t>-0,621184</t>
  </si>
  <si>
    <t>-69,741745</t>
  </si>
  <si>
    <t>-2,890126</t>
  </si>
  <si>
    <t>-67,918613</t>
  </si>
  <si>
    <t>3,866764</t>
  </si>
  <si>
    <t>-69,814066</t>
  </si>
  <si>
    <t>3,494178</t>
  </si>
  <si>
    <t>-67,067848</t>
  </si>
  <si>
    <t>1,912495</t>
  </si>
  <si>
    <t>-67,566774</t>
  </si>
  <si>
    <t>2,726438</t>
  </si>
  <si>
    <t>-66,963692</t>
  </si>
  <si>
    <t>1,632464</t>
  </si>
  <si>
    <t>-67,413312</t>
  </si>
  <si>
    <t>3,52617</t>
  </si>
  <si>
    <t>-69,0099</t>
  </si>
  <si>
    <t>1,865668</t>
  </si>
  <si>
    <t>-69,919404</t>
  </si>
  <si>
    <t>2,265132</t>
  </si>
  <si>
    <t>-72,639254</t>
  </si>
  <si>
    <t>2,565932</t>
  </si>
  <si>
    <t>-72,655197</t>
  </si>
  <si>
    <t>1,960982</t>
  </si>
  <si>
    <t>-72,627304</t>
  </si>
  <si>
    <t>2,330164</t>
  </si>
  <si>
    <t>-71,950416</t>
  </si>
  <si>
    <t>1,337539</t>
  </si>
  <si>
    <t>-70,232641</t>
  </si>
  <si>
    <t>1,253151</t>
  </si>
  <si>
    <t>-71,30221</t>
  </si>
  <si>
    <t>1,016116</t>
  </si>
  <si>
    <t>-71,004339</t>
  </si>
  <si>
    <t>0,020698</t>
  </si>
  <si>
    <t>-69,635497</t>
  </si>
  <si>
    <t>-0,564984</t>
  </si>
  <si>
    <t>-70,76091</t>
  </si>
  <si>
    <t>1,908124</t>
  </si>
  <si>
    <t>-69,203337</t>
  </si>
  <si>
    <t>0,609142</t>
  </si>
  <si>
    <t>-67,487095</t>
  </si>
  <si>
    <t>6,186636</t>
  </si>
  <si>
    <t>-70,410515</t>
  </si>
  <si>
    <t>5,486309</t>
  </si>
  <si>
    <t>-70,859499</t>
  </si>
  <si>
    <t>5,136393</t>
  </si>
  <si>
    <t>-69,795533</t>
  </si>
  <si>
    <t>4,446352</t>
  </si>
  <si>
    <t>Clima Según Clasificación Caldas</t>
  </si>
  <si>
    <t>SISTEMA PRODUCTIVO</t>
  </si>
  <si>
    <t>TIPO DE CULTIVO</t>
  </si>
  <si>
    <t>Marco plantación</t>
  </si>
  <si>
    <t>Clase</t>
  </si>
  <si>
    <t>Descripción y Aptitud de Uso</t>
  </si>
  <si>
    <t>Pendiente Promedio</t>
  </si>
  <si>
    <t>Limitaciones de Uso</t>
  </si>
  <si>
    <t>Maquinización</t>
  </si>
  <si>
    <t>año</t>
  </si>
  <si>
    <t>Marco de plantación</t>
  </si>
  <si>
    <t>Calificación</t>
  </si>
  <si>
    <t>Rango de Severidad (S)</t>
  </si>
  <si>
    <t>Impacto Fisiológico</t>
  </si>
  <si>
    <t>factor de valoración</t>
  </si>
  <si>
    <t>Columna1</t>
  </si>
  <si>
    <t>Rango de Altura (m)</t>
  </si>
  <si>
    <t>Temperatura (°C)</t>
  </si>
  <si>
    <t>Subsistencia (tradicional)</t>
  </si>
  <si>
    <t>Forestal</t>
  </si>
  <si>
    <t>Tierras de alta calidad. Aptas para agricultura intensiva, ganadería y bosques.</t>
  </si>
  <si>
    <t>0% - 1%</t>
  </si>
  <si>
    <t>(Plano)</t>
  </si>
  <si>
    <t>Casi nulas. Requieren prácticas sencillas de manejo de suelos.</t>
  </si>
  <si>
    <t>Total. Sin restricciones para cualquier equipo.</t>
  </si>
  <si>
    <t>cuadro</t>
  </si>
  <si>
    <t>Bueno</t>
  </si>
  <si>
    <t>0% - 10%</t>
  </si>
  <si>
    <t>Daño cosmético leve. La planta sigue fotosintetizando y llenando el fruto normalmente.</t>
  </si>
  <si>
    <t>Sin disponibilidad de agua</t>
  </si>
  <si>
    <t>0-1000</t>
  </si>
  <si>
    <t>T°&gt;24</t>
  </si>
  <si>
    <t>Pasto</t>
  </si>
  <si>
    <t>tres bolillo</t>
  </si>
  <si>
    <t>II</t>
  </si>
  <si>
    <t>Tierras muy buenas. Aptas para agricultura, ganadería y sistemas forestales.</t>
  </si>
  <si>
    <t>1% - 3%</t>
  </si>
  <si>
    <t>(Ligeramente inclinado)</t>
  </si>
  <si>
    <t>Ligeras. Riesgo leve de erosión o drenaje algo lento.</t>
  </si>
  <si>
    <t>Alta. Mecanización fácil de todas las labores.</t>
  </si>
  <si>
    <t>Regular</t>
  </si>
  <si>
    <t>11% - 40%</t>
  </si>
  <si>
    <t>Daño moderado. Hay pérdida de área foliar o compromiso de algunas ramas. El fruto será más pequeño o de menor calidad.</t>
  </si>
  <si>
    <t>Con disponibilidad de agua estacional</t>
  </si>
  <si>
    <t>Templado</t>
  </si>
  <si>
    <t>1001-2000</t>
  </si>
  <si>
    <t>24&gt;T°&gt;17,5</t>
  </si>
  <si>
    <t>Tecnificado</t>
  </si>
  <si>
    <t>III</t>
  </si>
  <si>
    <t>Tierras buenas. Aptas para cultivos permanentes y transitorios con manejo.</t>
  </si>
  <si>
    <t>3% - 7%</t>
  </si>
  <si>
    <t>(Moderadamente inclinado)</t>
  </si>
  <si>
    <t>Moderadas. Requieren rotación de cultivos y control de escorrentía.</t>
  </si>
  <si>
    <t>Media. Requiere equipos con potencia o prácticas de contorno.</t>
  </si>
  <si>
    <t>Malo</t>
  </si>
  <si>
    <t>41% - 100%</t>
  </si>
  <si>
    <t>Daño severo. La planta está muriendo o el fruto está podrido/infestado. El rendimiento cae drásticamente.</t>
  </si>
  <si>
    <t>daño salvamento</t>
  </si>
  <si>
    <t>Con disponibilidad de agua permanente</t>
  </si>
  <si>
    <t>Frio</t>
  </si>
  <si>
    <t>2001-3000</t>
  </si>
  <si>
    <t>17,5&gt;T°&gt;12</t>
  </si>
  <si>
    <t>Tecnificado grado alto</t>
  </si>
  <si>
    <t>Transitorio</t>
  </si>
  <si>
    <t>IV</t>
  </si>
  <si>
    <t>Tierras de uso limitado. Aptas para cultivos permanentes (frutales) o pastos.</t>
  </si>
  <si>
    <t>7% - 12%</t>
  </si>
  <si>
    <t>(Fuertemente inclinado)</t>
  </si>
  <si>
    <t>Severas. Alta susceptibilidad a la erosión si se remueve la cobertura.</t>
  </si>
  <si>
    <t>Limitada. Solo equipos livianos o especializados; alto riesgo de vuelco.</t>
  </si>
  <si>
    <t>Paramo Bajo</t>
  </si>
  <si>
    <t>3200-3700</t>
  </si>
  <si>
    <t>12&gt;T°&gt;7</t>
  </si>
  <si>
    <t>V</t>
  </si>
  <si>
    <t>Tierras de pastoreo/bosque. No aptas para arado por factores físicos.</t>
  </si>
  <si>
    <t>(Plano/Cóncavo)</t>
  </si>
  <si>
    <t>Muy severas por pedregosidad o inundación frecuente.</t>
  </si>
  <si>
    <t>Nula o muy baja. Generalmente el suelo no soporta el peso de máquinas.</t>
  </si>
  <si>
    <t>Paramo Alto</t>
  </si>
  <si>
    <t>3701-4200</t>
  </si>
  <si>
    <t>T&lt;7</t>
  </si>
  <si>
    <t>VI</t>
  </si>
  <si>
    <t>Tierras de vocación ganadera. Aptas para pastoreo y silvicultura.</t>
  </si>
  <si>
    <t>12% - 25</t>
  </si>
  <si>
    <t>% (Moderadamente quebrado)</t>
  </si>
  <si>
    <t>Muy severas. El suelo suele ser delgado y el relieve dificulta el manejo.</t>
  </si>
  <si>
    <t>No mecanizable. Labores principalmente manuales o tracción animal.</t>
  </si>
  <si>
    <t>VII</t>
  </si>
  <si>
    <t>Tierras forestales. Aptas para conservación o extracción regulada.</t>
  </si>
  <si>
    <t>25% - 50</t>
  </si>
  <si>
    <t>% (Quebrado a escarpado)</t>
  </si>
  <si>
    <t>Extremas. El uso agropecuario causa degradación irreversible.</t>
  </si>
  <si>
    <t>Nula. Prohibido el uso de maquinaria por riesgo de erosión severa.</t>
  </si>
  <si>
    <t>VIII</t>
  </si>
  <si>
    <t>Tierras de conservación. Áreas protegidas, páramos y zonas de recarga.</t>
  </si>
  <si>
    <t xml:space="preserve">&gt; 50% </t>
  </si>
  <si>
    <t>montañoso / Escarpado</t>
  </si>
  <si>
    <t>Absolutas para producción. Solo para vida silvestre y ecoturismo.</t>
  </si>
  <si>
    <t>Nula. Solo acceso peatonal o para monitoreo ambiental.</t>
  </si>
  <si>
    <t>Rango (mm/año)</t>
  </si>
  <si>
    <t>Clasificación Técnica</t>
  </si>
  <si>
    <t>Caracterización Agrológica</t>
  </si>
  <si>
    <t>Fuente Principal</t>
  </si>
  <si>
    <t>Régimen</t>
  </si>
  <si>
    <t>Distribución Anual</t>
  </si>
  <si>
    <t>Región Sugerida</t>
  </si>
  <si>
    <t>Fuente</t>
  </si>
  <si>
    <t>&lt; 500</t>
  </si>
  <si>
    <t>Árido</t>
  </si>
  <si>
    <t>Déficit hídrico crítico; requiere riego intensivo.</t>
  </si>
  <si>
    <t>UNESCO / FAO 56</t>
  </si>
  <si>
    <t>2 Lluvias / 2 Secos</t>
  </si>
  <si>
    <t>Andina (Antioquia, Eje Cafetero, Huila)</t>
  </si>
  <si>
    <t>IDEAM</t>
  </si>
  <si>
    <t>500 - 1.000</t>
  </si>
  <si>
    <t>Semiárido</t>
  </si>
  <si>
    <t>Estrés hídrico estacional; riego complementario necesario.</t>
  </si>
  <si>
    <t>IDEAM / FAO</t>
  </si>
  <si>
    <t>Monomodal</t>
  </si>
  <si>
    <t>1 Lluvia / 1 Seco</t>
  </si>
  <si>
    <t>Orinoquía, Caribe, Casanare, Meta</t>
  </si>
  <si>
    <t>1.000 - 1.500</t>
  </si>
  <si>
    <t>Subhúmedo</t>
  </si>
  <si>
    <t>Aptitud para cultivos de ciclo corto y frutales resistentes.</t>
  </si>
  <si>
    <t>IDEAM / AGROSAVIA</t>
  </si>
  <si>
    <t>Lluvias todo el año</t>
  </si>
  <si>
    <t>Pacífico (Chocó), Sur de Amazonía</t>
  </si>
  <si>
    <t>1.500 - 2.500</t>
  </si>
  <si>
    <t>Húmedo</t>
  </si>
  <si>
    <t>Rango óptimo para Café, Palma y Aguacate en Colombia.</t>
  </si>
  <si>
    <t>CENICAFÉ / CENIPALMA</t>
  </si>
  <si>
    <t>Transición</t>
  </si>
  <si>
    <t>Variable</t>
  </si>
  <si>
    <t>Piedemontes y Valles Interandinos</t>
  </si>
  <si>
    <t>2.500 - 4.000</t>
  </si>
  <si>
    <t>Perhúmedo</t>
  </si>
  <si>
    <t>Exceso hídrico; requiere sistemas de drenaje activos.</t>
  </si>
  <si>
    <t>&gt; 4.000</t>
  </si>
  <si>
    <t>Superhúmedo (Pluvial)</t>
  </si>
  <si>
    <t>Saturación constante; alta lixiviación de nutrientes.</t>
  </si>
  <si>
    <t>IDEAM / Caldas-Lang</t>
  </si>
  <si>
    <t>Aguacate</t>
  </si>
  <si>
    <t>Aguacate Hass</t>
  </si>
  <si>
    <t>Cacao Criollo</t>
  </si>
  <si>
    <t>Café Castillo</t>
  </si>
  <si>
    <t>Eucalipto Común</t>
  </si>
  <si>
    <t>Limón Mandarino</t>
  </si>
  <si>
    <t>Limón Tahití</t>
  </si>
  <si>
    <t>Limón Común</t>
  </si>
  <si>
    <t>Palma_Aceite</t>
  </si>
  <si>
    <t>Mandarina Común</t>
  </si>
  <si>
    <t>Mango Tommy</t>
  </si>
  <si>
    <t>Palma Aceite Elaeis guineensis</t>
  </si>
  <si>
    <t>Palma Aceite Hibrido (OxG)</t>
  </si>
  <si>
    <t>Plátano Domínico hartón</t>
  </si>
  <si>
    <t>Condición Fitosanitaria</t>
  </si>
  <si>
    <t xml:space="preserve">Buena </t>
  </si>
  <si>
    <t>ORGANO COSECHABLE</t>
  </si>
  <si>
    <t>CATEGORÍA</t>
  </si>
  <si>
    <t>UNIDAD RECOMENDADA</t>
  </si>
  <si>
    <t>RENDIEMIENTO PROMEDIO (TON/HA/CICLO)</t>
  </si>
  <si>
    <t>RENDIEMIENTO (KG/HA)</t>
  </si>
  <si>
    <t>PERMANENTE</t>
  </si>
  <si>
    <t>Fruta</t>
  </si>
  <si>
    <t>Frutos grandes</t>
  </si>
  <si>
    <t>Limón mandarino</t>
  </si>
  <si>
    <t>Limón común</t>
  </si>
  <si>
    <t>Racimos</t>
  </si>
  <si>
    <t>Palma (por tonelada)</t>
  </si>
  <si>
    <t>café</t>
  </si>
  <si>
    <t>Frutos pequeños</t>
  </si>
  <si>
    <t>TIEMPO DE EJECUCIÓN (minutos)</t>
  </si>
  <si>
    <t>tiempo en horas</t>
  </si>
  <si>
    <t>Rango pendiente</t>
  </si>
  <si>
    <t>Pendiente Máx (%)</t>
  </si>
  <si>
    <t>Factor de rendimiento</t>
  </si>
  <si>
    <t>Uso Maquinaria</t>
  </si>
  <si>
    <t>A</t>
  </si>
  <si>
    <t>1.00</t>
  </si>
  <si>
    <t>SÍ</t>
  </si>
  <si>
    <t>hectarea</t>
  </si>
  <si>
    <t>a</t>
  </si>
  <si>
    <t>1.02</t>
  </si>
  <si>
    <t>1.3.2.</t>
  </si>
  <si>
    <t>Caballonada Pulida</t>
  </si>
  <si>
    <t>b</t>
  </si>
  <si>
    <t>1.10</t>
  </si>
  <si>
    <t>1.3.3.</t>
  </si>
  <si>
    <t>Construcción de Eras</t>
  </si>
  <si>
    <t>c</t>
  </si>
  <si>
    <t>1.25</t>
  </si>
  <si>
    <t>d</t>
  </si>
  <si>
    <t>1.45</t>
  </si>
  <si>
    <t>NO</t>
  </si>
  <si>
    <t>1.3.7.</t>
  </si>
  <si>
    <t>Nivelada</t>
  </si>
  <si>
    <t>e</t>
  </si>
  <si>
    <t>1.85</t>
  </si>
  <si>
    <t>1.3.8.</t>
  </si>
  <si>
    <t>Rastreada</t>
  </si>
  <si>
    <t>f</t>
  </si>
  <si>
    <t>2.50</t>
  </si>
  <si>
    <t>g</t>
  </si>
  <si>
    <t>3.00</t>
  </si>
  <si>
    <t>Jornal agrícola, con alimentación</t>
  </si>
  <si>
    <t>Jornal agrícola, sin alimentación</t>
  </si>
  <si>
    <t>Antioquia</t>
  </si>
  <si>
    <t>Arauca</t>
  </si>
  <si>
    <t>Atlántico</t>
  </si>
  <si>
    <t>Bolívar</t>
  </si>
  <si>
    <t>Boyacá</t>
  </si>
  <si>
    <t>Caldas</t>
  </si>
  <si>
    <t>Caquetá</t>
  </si>
  <si>
    <t>Casanare</t>
  </si>
  <si>
    <t>Cauca</t>
  </si>
  <si>
    <t>Cesar</t>
  </si>
  <si>
    <t>Córdoba</t>
  </si>
  <si>
    <t>Cundinamarca</t>
  </si>
  <si>
    <t>Huila</t>
  </si>
  <si>
    <t>Magdalena</t>
  </si>
  <si>
    <t>Meta</t>
  </si>
  <si>
    <t>Nariño</t>
  </si>
  <si>
    <t>Norte de Santander</t>
  </si>
  <si>
    <t>Putumayo</t>
  </si>
  <si>
    <t>Quindío</t>
  </si>
  <si>
    <t>Risaralda</t>
  </si>
  <si>
    <t>Santander</t>
  </si>
  <si>
    <t>Sucre</t>
  </si>
  <si>
    <t>Tolima</t>
  </si>
  <si>
    <t>Valle del Cauca</t>
  </si>
  <si>
    <t>Etiquetas de fila</t>
  </si>
  <si>
    <t>Abejorral</t>
  </si>
  <si>
    <t>Andes</t>
  </si>
  <si>
    <t>Barbosa</t>
  </si>
  <si>
    <t>Donmatías</t>
  </si>
  <si>
    <t>El Carmen de Viboral</t>
  </si>
  <si>
    <t>El Santuario</t>
  </si>
  <si>
    <t>Entrerríos</t>
  </si>
  <si>
    <t>Fredonia</t>
  </si>
  <si>
    <t>Guarne</t>
  </si>
  <si>
    <t>La Ceja</t>
  </si>
  <si>
    <t>La Unión</t>
  </si>
  <si>
    <t>Marinilla</t>
  </si>
  <si>
    <t>Medellín</t>
  </si>
  <si>
    <t>Peñol</t>
  </si>
  <si>
    <t>Rionegro</t>
  </si>
  <si>
    <t>San Pedro de Los Milagros</t>
  </si>
  <si>
    <t>San Vicente Ferrer</t>
  </si>
  <si>
    <t>Santa Bárbara</t>
  </si>
  <si>
    <t>Santa Rosa de Osos</t>
  </si>
  <si>
    <t>Sonsón</t>
  </si>
  <si>
    <t>Yarumal</t>
  </si>
  <si>
    <t>Arauquita</t>
  </si>
  <si>
    <t>Fortul</t>
  </si>
  <si>
    <t>Saravena</t>
  </si>
  <si>
    <t>Tame</t>
  </si>
  <si>
    <t>Sabanalarga</t>
  </si>
  <si>
    <t>El Carmen de Bolívar</t>
  </si>
  <si>
    <t>Magangué</t>
  </si>
  <si>
    <t>María La Baja</t>
  </si>
  <si>
    <t>Aquitania</t>
  </si>
  <si>
    <t>Belén</t>
  </si>
  <si>
    <t>Chiquinquirá</t>
  </si>
  <si>
    <t>Duitama</t>
  </si>
  <si>
    <t>Garagoa</t>
  </si>
  <si>
    <t>Guateque</t>
  </si>
  <si>
    <t>Moniquirá</t>
  </si>
  <si>
    <t>Paipa</t>
  </si>
  <si>
    <t>Ramiriquí</t>
  </si>
  <si>
    <t>Ráquira</t>
  </si>
  <si>
    <t>Saboyá</t>
  </si>
  <si>
    <t>Samacá</t>
  </si>
  <si>
    <t>San Miguel de Sema</t>
  </si>
  <si>
    <t>Sogamoso</t>
  </si>
  <si>
    <t>Sotaquirá</t>
  </si>
  <si>
    <t>Sutamarchán</t>
  </si>
  <si>
    <t>Tibaná</t>
  </si>
  <si>
    <t>Tibasosa</t>
  </si>
  <si>
    <t>Toca</t>
  </si>
  <si>
    <t>Tunja</t>
  </si>
  <si>
    <t>Turmequé</t>
  </si>
  <si>
    <t>Ventaquemada</t>
  </si>
  <si>
    <t>Anserma</t>
  </si>
  <si>
    <t>Chinchiná</t>
  </si>
  <si>
    <t>La Dorada</t>
  </si>
  <si>
    <t>Manizales</t>
  </si>
  <si>
    <t>Neira</t>
  </si>
  <si>
    <t>Salamina</t>
  </si>
  <si>
    <t>Viterbo</t>
  </si>
  <si>
    <t>El Doncello</t>
  </si>
  <si>
    <t>El Paujíl</t>
  </si>
  <si>
    <t>Florencia</t>
  </si>
  <si>
    <t>Puerto Rico</t>
  </si>
  <si>
    <t>Aguazul</t>
  </si>
  <si>
    <t>Paz de Ariporo</t>
  </si>
  <si>
    <t>Tauramena</t>
  </si>
  <si>
    <t>Trinidad</t>
  </si>
  <si>
    <t>Villanueva</t>
  </si>
  <si>
    <t>Yopal</t>
  </si>
  <si>
    <t>Corinto</t>
  </si>
  <si>
    <t>Piendamó - Tunía</t>
  </si>
  <si>
    <t>Popayán</t>
  </si>
  <si>
    <t>Santander de Quilichao</t>
  </si>
  <si>
    <t>Aguachica</t>
  </si>
  <si>
    <t>Agustín Codazzi</t>
  </si>
  <si>
    <t>Bosconia</t>
  </si>
  <si>
    <t>San Alberto</t>
  </si>
  <si>
    <t>Valledupar</t>
  </si>
  <si>
    <t>Cereté</t>
  </si>
  <si>
    <t>Lorica</t>
  </si>
  <si>
    <t>Montería</t>
  </si>
  <si>
    <t>Cachipay</t>
  </si>
  <si>
    <t>Cajicá</t>
  </si>
  <si>
    <t>Cáqueza</t>
  </si>
  <si>
    <t>Chipaque</t>
  </si>
  <si>
    <t>Choachí</t>
  </si>
  <si>
    <t>Chocontá</t>
  </si>
  <si>
    <t>Cota</t>
  </si>
  <si>
    <t>El Rosal</t>
  </si>
  <si>
    <t>Facatativá</t>
  </si>
  <si>
    <t>Fómeque</t>
  </si>
  <si>
    <t>Funza</t>
  </si>
  <si>
    <t>Fúquene</t>
  </si>
  <si>
    <t>Fusagasugá</t>
  </si>
  <si>
    <t>Guachetá</t>
  </si>
  <si>
    <t>La Mesa</t>
  </si>
  <si>
    <t>Lenguazaque</t>
  </si>
  <si>
    <t>Madrid</t>
  </si>
  <si>
    <t>Mosquera</t>
  </si>
  <si>
    <t>Nemocón</t>
  </si>
  <si>
    <t>Pacho</t>
  </si>
  <si>
    <t>Pasca</t>
  </si>
  <si>
    <t>San Bernardo</t>
  </si>
  <si>
    <t>Sibaté</t>
  </si>
  <si>
    <t>Simijaca</t>
  </si>
  <si>
    <t>Subachoque</t>
  </si>
  <si>
    <t>Tabio</t>
  </si>
  <si>
    <t>Tenjo</t>
  </si>
  <si>
    <t>Villa de San Diego de Ubaté</t>
  </si>
  <si>
    <t>Villapinzón</t>
  </si>
  <si>
    <t>Villeta</t>
  </si>
  <si>
    <t>Zipaquirá</t>
  </si>
  <si>
    <t>Garzón</t>
  </si>
  <si>
    <t>La Plata</t>
  </si>
  <si>
    <t>Neiva</t>
  </si>
  <si>
    <t>Pitalito</t>
  </si>
  <si>
    <t>Fundación</t>
  </si>
  <si>
    <t>Pivijay</t>
  </si>
  <si>
    <t>Granada</t>
  </si>
  <si>
    <t>Puerto López</t>
  </si>
  <si>
    <t>Villavicencio</t>
  </si>
  <si>
    <t>Buesaco</t>
  </si>
  <si>
    <t>Cuaspud Carlosama</t>
  </si>
  <si>
    <t>Cumbal</t>
  </si>
  <si>
    <t>Guachucal</t>
  </si>
  <si>
    <t>Ipiales</t>
  </si>
  <si>
    <t>Pupiales</t>
  </si>
  <si>
    <t>Túquerres</t>
  </si>
  <si>
    <t>Ábrego</t>
  </si>
  <si>
    <t>Chinácota</t>
  </si>
  <si>
    <t>Chitagá</t>
  </si>
  <si>
    <t>Ocaña</t>
  </si>
  <si>
    <t>Pamplona</t>
  </si>
  <si>
    <t>San José de Cúcuta</t>
  </si>
  <si>
    <t>Silos</t>
  </si>
  <si>
    <t>Sibundoy</t>
  </si>
  <si>
    <t>Armenia</t>
  </si>
  <si>
    <t>Calarcá</t>
  </si>
  <si>
    <t>Montenegro</t>
  </si>
  <si>
    <t>Quimbaya</t>
  </si>
  <si>
    <t>Apía</t>
  </si>
  <si>
    <t>Belén de Umbría</t>
  </si>
  <si>
    <t>La Celia</t>
  </si>
  <si>
    <t>La Virginia</t>
  </si>
  <si>
    <t>Marsella</t>
  </si>
  <si>
    <t>Pereira</t>
  </si>
  <si>
    <t>Santa Rosa de Cabal</t>
  </si>
  <si>
    <t>Santuario</t>
  </si>
  <si>
    <t>Barrancabermeja</t>
  </si>
  <si>
    <t>Cimitarra</t>
  </si>
  <si>
    <t>Girón</t>
  </si>
  <si>
    <t>Lebrija</t>
  </si>
  <si>
    <t>Málaga</t>
  </si>
  <si>
    <t>Piedecuesta</t>
  </si>
  <si>
    <t>Puente Nacional</t>
  </si>
  <si>
    <t>Sabana de Torres</t>
  </si>
  <si>
    <t>San Gil</t>
  </si>
  <si>
    <t>San Vicente de Chucurí</t>
  </si>
  <si>
    <t>Socorro</t>
  </si>
  <si>
    <t>Suaita</t>
  </si>
  <si>
    <t>Vélez</t>
  </si>
  <si>
    <t>Corozal</t>
  </si>
  <si>
    <t>Galeras</t>
  </si>
  <si>
    <t>Sincelejo</t>
  </si>
  <si>
    <t>Anzoátegui</t>
  </si>
  <si>
    <t>Cajamarca</t>
  </si>
  <si>
    <t>Chaparral</t>
  </si>
  <si>
    <t>Espinal</t>
  </si>
  <si>
    <t>Fresno</t>
  </si>
  <si>
    <t>Guamo</t>
  </si>
  <si>
    <t>Ibagué</t>
  </si>
  <si>
    <t>Icononzo</t>
  </si>
  <si>
    <t>Lérida</t>
  </si>
  <si>
    <t>Líbano</t>
  </si>
  <si>
    <t>Rovira</t>
  </si>
  <si>
    <t>Saldaña</t>
  </si>
  <si>
    <t>San Sebastián de Mariquita</t>
  </si>
  <si>
    <t>Caicedonia</t>
  </si>
  <si>
    <t>Cali</t>
  </si>
  <si>
    <t>Cartago</t>
  </si>
  <si>
    <t>Dagua</t>
  </si>
  <si>
    <t>Guadalajara de Buga</t>
  </si>
  <si>
    <t>Jamundí</t>
  </si>
  <si>
    <t>Palmira</t>
  </si>
  <si>
    <t>Roldanillo</t>
  </si>
  <si>
    <t>Sevilla</t>
  </si>
  <si>
    <t>Trujillo</t>
  </si>
  <si>
    <t>Tuluá</t>
  </si>
  <si>
    <t>Zarzal</t>
  </si>
  <si>
    <t>Culitvo</t>
  </si>
  <si>
    <t>CICLO_VIDA_MES</t>
  </si>
  <si>
    <t>CICLO_VIDA_AÑO</t>
  </si>
  <si>
    <t>MES_INI_COSECHA</t>
  </si>
  <si>
    <t>AÑO_INI_COSECHA2</t>
  </si>
  <si>
    <t>DISTANCIA_SURCOS</t>
  </si>
  <si>
    <t>DISTANCIA_PLANTAS</t>
  </si>
  <si>
    <t>DENSIDAD_SIEMBRA</t>
  </si>
  <si>
    <t>AÑOS_COSECHA</t>
  </si>
  <si>
    <t>AÑOS_SOSTENIM</t>
  </si>
  <si>
    <t>Aguacate  Hass</t>
  </si>
  <si>
    <t>Caña Azucar</t>
  </si>
  <si>
    <t>Criolla</t>
  </si>
  <si>
    <t>Caña Azucar Criolla</t>
  </si>
  <si>
    <t>POJ 2878</t>
  </si>
  <si>
    <t>Caña Azucar POJ 2878</t>
  </si>
  <si>
    <t>CC 93-7711 Pierna Bella</t>
  </si>
  <si>
    <t>Caña Azucar CC 93-7711 Pierna Bella</t>
  </si>
  <si>
    <t>Naranja</t>
  </si>
  <si>
    <t>Valencia</t>
  </si>
  <si>
    <t>Naranja Valencia</t>
  </si>
  <si>
    <t>Naranja Común</t>
  </si>
  <si>
    <t>Edad</t>
  </si>
  <si>
    <t>Etapa</t>
  </si>
  <si>
    <t>Grupo de Insumo</t>
  </si>
  <si>
    <t>Nombre del Insumo</t>
  </si>
  <si>
    <t>Precio Promedio Final</t>
  </si>
  <si>
    <t>Fuente del Precio</t>
  </si>
  <si>
    <t>Bioinsumos</t>
  </si>
  <si>
    <t>Nacional (Contingencia)</t>
  </si>
  <si>
    <t>Departamental</t>
  </si>
  <si>
    <t>Bogotá, D.C.</t>
  </si>
  <si>
    <t>Total general</t>
  </si>
  <si>
    <t>Antrasín Pc</t>
  </si>
  <si>
    <t>0,5 litros</t>
  </si>
  <si>
    <t>Entradas</t>
  </si>
  <si>
    <t>Valor</t>
  </si>
  <si>
    <t>Interés (tasa)</t>
  </si>
  <si>
    <t>Curva de Producción (kg por ha)</t>
  </si>
  <si>
    <t>Costo/ha</t>
  </si>
  <si>
    <t>Producción/ha (kg)</t>
  </si>
  <si>
    <t>Edad inicial</t>
  </si>
  <si>
    <t>Precio venta (COP/kg)</t>
  </si>
  <si>
    <t>Prod/ha (kg)</t>
  </si>
  <si>
    <t>Precio</t>
  </si>
  <si>
    <t>Ingreso (Prod*Precio)</t>
  </si>
  <si>
    <t>Costo Financiero</t>
  </si>
  <si>
    <t>Flujo Neto</t>
  </si>
  <si>
    <t>n (años)</t>
  </si>
  <si>
    <t>Interés</t>
  </si>
  <si>
    <t>Factor Descuento</t>
  </si>
  <si>
    <t>VP del Flujo</t>
  </si>
  <si>
    <t>VPN Remanente</t>
  </si>
  <si>
    <t>VPN traído al momento 0</t>
  </si>
  <si>
    <t>Total VP</t>
  </si>
  <si>
    <t>TIR</t>
  </si>
  <si>
    <t>Inversión Inicial</t>
  </si>
  <si>
    <t>Tasa EA (i + IBR)</t>
  </si>
  <si>
    <t>Periodo gracia</t>
  </si>
  <si>
    <t>Cuota</t>
  </si>
  <si>
    <t>Amortización</t>
  </si>
  <si>
    <t>Costos de siembra por hectárea etapa improductiva</t>
  </si>
  <si>
    <t>Período (n)</t>
  </si>
  <si>
    <t xml:space="preserve">Valor futuro (VF) </t>
  </si>
  <si>
    <t>tasa de descuento</t>
  </si>
  <si>
    <t>Grupo</t>
  </si>
  <si>
    <t>Urea 46%</t>
  </si>
  <si>
    <t>375 gramos</t>
  </si>
  <si>
    <t>Atrazina 80% Wp</t>
  </si>
  <si>
    <t>Alisin</t>
  </si>
  <si>
    <t>Cipermetrina 20 Ec</t>
  </si>
  <si>
    <t>Inveprid 350 Sc</t>
  </si>
  <si>
    <t>Sincocin Sl</t>
  </si>
  <si>
    <t>Naranja Valencia (4 meses, 40-50 cm)</t>
  </si>
  <si>
    <t>Rastra</t>
  </si>
  <si>
    <t>Surcadora</t>
  </si>
  <si>
    <t>Naranja común plántula</t>
  </si>
  <si>
    <t>Caña azucar criolla semilla</t>
  </si>
  <si>
    <t>paquete</t>
  </si>
  <si>
    <t>Taquinidos (claripalphis)</t>
  </si>
  <si>
    <t xml:space="preserve">Caña azucar tradicional semilla </t>
  </si>
  <si>
    <t>Caña Panelera Cenicaña Pierna Bella CC 93-7711</t>
  </si>
  <si>
    <t>Costo en pesos constantes/ha</t>
  </si>
  <si>
    <t>Arrendamiento_de_tierras</t>
  </si>
  <si>
    <t>Bovetrópico Wp</t>
  </si>
  <si>
    <t>CapsiAlil Ec</t>
  </si>
  <si>
    <t>Cebofrut</t>
  </si>
  <si>
    <t>L EcoMix Ew</t>
  </si>
  <si>
    <t>Sáfer Sl</t>
  </si>
  <si>
    <t>Serenade 1,34 Sc</t>
  </si>
  <si>
    <t>Timorex Gold</t>
  </si>
  <si>
    <t>Trichotrópico Wp</t>
  </si>
  <si>
    <t>Tropimezcla Wp</t>
  </si>
  <si>
    <t>Bassar Wp</t>
  </si>
  <si>
    <t>Dipel Wg</t>
  </si>
  <si>
    <t>Fitotripen Wp</t>
  </si>
  <si>
    <t>Sáfermix Wp</t>
  </si>
  <si>
    <t>Sáfersoil Wp</t>
  </si>
  <si>
    <t>0,5 Kilogramos</t>
  </si>
  <si>
    <t>Compuestos</t>
  </si>
  <si>
    <t>1.6.3.</t>
  </si>
  <si>
    <t>Invesamina 480 SL</t>
  </si>
  <si>
    <t>Producto</t>
  </si>
  <si>
    <t>Mercado</t>
  </si>
  <si>
    <t>N Obs</t>
  </si>
  <si>
    <t>Precio Ref. ($/kg)</t>
  </si>
  <si>
    <t>Promedio ($/kg)</t>
  </si>
  <si>
    <t>Mediana ($/kg)</t>
  </si>
  <si>
    <t>Mínimo ($/kg)</t>
  </si>
  <si>
    <t>Máximo ($/kg)</t>
  </si>
  <si>
    <t>P25 ($/kg)</t>
  </si>
  <si>
    <t>P75 ($/kg)</t>
  </si>
  <si>
    <t>Desv. Estándar</t>
  </si>
  <si>
    <t>CV (%)</t>
  </si>
  <si>
    <t>FRUTAS</t>
  </si>
  <si>
    <t>Bogotá, D.C., Corabastos</t>
  </si>
  <si>
    <t>Chiquinquirá (Boyacá)</t>
  </si>
  <si>
    <t>Duitama (Boyacá), Mercaplaza</t>
  </si>
  <si>
    <t>La Ceja (Antioquia)</t>
  </si>
  <si>
    <t>Medellín, Central Mayorista de Antioquia</t>
  </si>
  <si>
    <t>Rionegro (Antioquia)</t>
  </si>
  <si>
    <t>San Gil (Santander)</t>
  </si>
  <si>
    <t>San Vicente (Antioquia)</t>
  </si>
  <si>
    <t>San Vicente Ferrer (Antioquia)</t>
  </si>
  <si>
    <t>Sonsón (Antioquia)</t>
  </si>
  <si>
    <t>Tibasosa (Boyacá), Coomproriente</t>
  </si>
  <si>
    <t>Tunja, Complejo de Servicios del Sur</t>
  </si>
  <si>
    <t>Armenia, Mercar</t>
  </si>
  <si>
    <t>Barranquilla, Barranquillita</t>
  </si>
  <si>
    <t>Bucaramanga, Centroabastos</t>
  </si>
  <si>
    <t>Bucaramanga, Mercados del centro</t>
  </si>
  <si>
    <t>Cali, Cavasa</t>
  </si>
  <si>
    <t>Cali, Santa Elena</t>
  </si>
  <si>
    <t>Cartagena, Bazurto</t>
  </si>
  <si>
    <t>Cartago (Valle del Cauca)</t>
  </si>
  <si>
    <t>Cúcuta, Cenabastos</t>
  </si>
  <si>
    <t>Florencia (Caquetá)</t>
  </si>
  <si>
    <t>Ibagué, Plaza La 21</t>
  </si>
  <si>
    <t>Manizales, Centro Galerías</t>
  </si>
  <si>
    <t>Medellín, Plaza Minorista "José María Villa"</t>
  </si>
  <si>
    <t>Neiva, Surabastos</t>
  </si>
  <si>
    <t>Palmira (Valle del Cauca)</t>
  </si>
  <si>
    <t>Pamplona (Norte de Santander)</t>
  </si>
  <si>
    <t>Pasto, El Potrerillo</t>
  </si>
  <si>
    <t>Pereira, La 41</t>
  </si>
  <si>
    <t>Pereira, Mercasa</t>
  </si>
  <si>
    <t>Santa Bárbara (Antioquia)</t>
  </si>
  <si>
    <t>Socorro (Santander)</t>
  </si>
  <si>
    <t>Tuluá (Valle del Cauca)</t>
  </si>
  <si>
    <t>Villavicencio, CAV</t>
  </si>
  <si>
    <t>Yopal (Casanare)</t>
  </si>
  <si>
    <t>Cúcuta, La Nueva Sexta</t>
  </si>
  <si>
    <t>La Unión (Nariño)</t>
  </si>
  <si>
    <t>Montería, Mercado del Sur</t>
  </si>
  <si>
    <t>Sincelejo, Nuevo Mercado</t>
  </si>
  <si>
    <t>Valledupar, Mercabastos</t>
  </si>
  <si>
    <t>Valledupar, Mercado Nuevo</t>
  </si>
  <si>
    <t>Armenia, Retiro</t>
  </si>
  <si>
    <t>Peñol (Antioquia)</t>
  </si>
  <si>
    <t>Mandarina común</t>
  </si>
  <si>
    <t>Arauca (Arauca)</t>
  </si>
  <si>
    <t>Ipiales (Nariño), Ipiales somos todos</t>
  </si>
  <si>
    <t>Santa Marta (Magdalena)</t>
  </si>
  <si>
    <t>Túquerres (Nariño)</t>
  </si>
  <si>
    <t>Popayán, Plaza de mercado del barrio Bolívar</t>
  </si>
  <si>
    <t>Buenaventura (Valle del Cauca)</t>
  </si>
  <si>
    <t>Naranja común</t>
  </si>
  <si>
    <t>TUBERCULOS, RAICES Y PLATANOS</t>
  </si>
  <si>
    <t>Plátano dominico hartón maduro</t>
  </si>
  <si>
    <t>Plátano dominico hartón verde</t>
  </si>
  <si>
    <t>Plátano dominico verde</t>
  </si>
  <si>
    <t>jornal base correccion</t>
  </si>
  <si>
    <r>
      <t>Urea 46</t>
    </r>
    <r>
      <rPr>
        <strike/>
        <sz val="11"/>
        <color theme="1"/>
        <rFont val="Arial"/>
        <family val="2"/>
      </rPr>
      <t>%</t>
    </r>
  </si>
  <si>
    <t>engeo</t>
  </si>
  <si>
    <t>Rango de Pendiente (%)</t>
  </si>
  <si>
    <t>De 0 a 7</t>
  </si>
  <si>
    <t>Mayor a 7 y hasta 12</t>
  </si>
  <si>
    <t>Mayor a 12 y hasta 25</t>
  </si>
  <si>
    <t>Mayor a 25</t>
  </si>
  <si>
    <t>Factor de Ajuste jornales</t>
  </si>
  <si>
    <t>0,125 Kilogramos</t>
  </si>
  <si>
    <t>Unidad</t>
  </si>
  <si>
    <t>Avispa parasitoide trichogramma</t>
  </si>
  <si>
    <t>Gramoxone sl</t>
  </si>
  <si>
    <t>0,9 kilogramos</t>
  </si>
  <si>
    <t>Nativo sc</t>
  </si>
  <si>
    <t>CONSTRUCCIÓN DE TASA DE DESCUENTO — Resolución 620 de 2008</t>
  </si>
  <si>
    <t>Azul = celda editable</t>
  </si>
  <si>
    <t>Negro = calculado automáticamente</t>
  </si>
  <si>
    <t>Verde = valor de otra hoja</t>
  </si>
  <si>
    <t>Valor E.A.</t>
  </si>
  <si>
    <t>Fecha consulta</t>
  </si>
  <si>
    <t>Tasa política monetaria BanRep</t>
  </si>
  <si>
    <t>Banco de la República</t>
  </si>
  <si>
    <t>31-mar-2026</t>
  </si>
  <si>
    <t>DTF 90 días</t>
  </si>
  <si>
    <t>30-mar al 5-abr-2026</t>
  </si>
  <si>
    <t>Abril 2026</t>
  </si>
  <si>
    <t>TES 10 años (tasa libre de riesgo)</t>
  </si>
  <si>
    <t>Min. Hacienda / BVC</t>
  </si>
  <si>
    <t>Inicio 2026</t>
  </si>
  <si>
    <t>IPC cierre 2025 (base legal 2026)</t>
  </si>
  <si>
    <t>DANE</t>
  </si>
  <si>
    <t>8-ene-2026</t>
  </si>
  <si>
    <t>IPC febrero 2026 (dato oficial)</t>
  </si>
  <si>
    <t>Feb-2026</t>
  </si>
  <si>
    <t>IPC marzo 2026 (proyectado)</t>
  </si>
  <si>
    <t>BanRep / Davivienda</t>
  </si>
  <si>
    <t>Abr-2026</t>
  </si>
  <si>
    <t>Tasa de usura</t>
  </si>
  <si>
    <t>Superfinanciera</t>
  </si>
  <si>
    <t>IPC a usar para deflactación (el perito elige)</t>
  </si>
  <si>
    <t>Ref: IPC cierre 2025=5.10% | IPC feb-2026=5.29% | Proyectado mar-2026=5.45%</t>
  </si>
  <si>
    <t>Nota</t>
  </si>
  <si>
    <t>DTF 90 días E.A.</t>
  </si>
  <si>
    <t>Trae del panel Entradas actual — actualizar DTF en esa hoja</t>
  </si>
  <si>
    <t>Prima de riesgo agropecuario</t>
  </si>
  <si>
    <t>Editable — rango sugerido: 8% a 12% según riesgo del cultivo</t>
  </si>
  <si>
    <t>Tasa nominal = DTF + Prima</t>
  </si>
  <si>
    <t>Calculado automáticamente</t>
  </si>
  <si>
    <t>✔ TASA REAL = (1+nom)/(1+IPC)−1</t>
  </si>
  <si>
    <t>RESULTADO — usar en VNA si elige este método</t>
  </si>
  <si>
    <t>Tasa libre de riesgo Rf (TES 10 años)</t>
  </si>
  <si>
    <t>Fuente: Min. Hacienda / BVC — actualizar mensualmente</t>
  </si>
  <si>
    <t>Beta sectorial agrícola (β)</t>
  </si>
  <si>
    <t>Editable — rango agro Colombia: 0.60–0.90</t>
  </si>
  <si>
    <t>Prima de mercado (Rm − Rf)</t>
  </si>
  <si>
    <t>Editable — histórico Colombia: 6%–9%. Default: 7.5%</t>
  </si>
  <si>
    <t>Tasa CAPM nominal = Rf + β×(Rm−Rf)</t>
  </si>
  <si>
    <t>Tipo de productor</t>
  </si>
  <si>
    <t>Opciones: Pequeño / Mediano / Grande</t>
  </si>
  <si>
    <t>Puntos adicionales sobre IBR</t>
  </si>
  <si>
    <t>Pequeño: +4.50% | Mediano: +7.20% | Grande: +7.75%  (Banco Agrario mar-2026)</t>
  </si>
  <si>
    <t>Tasa Finagro nominal ≈ IBR + Puntos</t>
  </si>
  <si>
    <t>Aproximación E.A. — verificar en www.bancoagrario.gov.co</t>
  </si>
  <si>
    <t>¿El proyecto tiene deuda?</t>
  </si>
  <si>
    <t>si</t>
  </si>
  <si>
    <t>Escriba  SI  o  NO  — si es NO el WACC equivale al CAPM real del Bloque 3</t>
  </si>
  <si>
    <t>% Financiado con deuda</t>
  </si>
  <si>
    <t>Solo si C40=SI — ingresar entre 0 y 1  (ej: 0.40 = 40%)</t>
  </si>
  <si>
    <t>Tasa de la deuda E.A. (escribir libremente)</t>
  </si>
  <si>
    <t>Escriba la tasa conseguida — Finagro, banco comercial u otra</t>
  </si>
  <si>
    <t>% Capital propio = 1 − % Deuda</t>
  </si>
  <si>
    <t>Costo capital propio (CAPM nominal)</t>
  </si>
  <si>
    <t>Toma el CAPM del Bloque 3</t>
  </si>
  <si>
    <t>WACC nominal = %D×Td + %Kp×CAPM</t>
  </si>
  <si>
    <t>Sin escudo fiscal — tasa bruta de deuda</t>
  </si>
  <si>
    <t>✔ TASA REAL = (1+WACC)/(1+IPC)−1</t>
  </si>
  <si>
    <t>RESULTADO — si % Deuda=0% este valor es igual al CAPM real</t>
  </si>
  <si>
    <t>Método</t>
  </si>
  <si>
    <t>Tasa Real Res.620</t>
  </si>
  <si>
    <t>Interpretación</t>
  </si>
  <si>
    <t>¿Usar?</t>
  </si>
  <si>
    <t>DTF + Prima de Riesgo</t>
  </si>
  <si>
    <t>☐</t>
  </si>
  <si>
    <t>CAPM</t>
  </si>
  <si>
    <t>Finagro</t>
  </si>
  <si>
    <t>Referencia mínima del mercado agropecuario con recursos de fomento.</t>
  </si>
  <si>
    <t>WACC</t>
  </si>
  <si>
    <t>Aplicable cuando el proyecto tiene deuda. Si no hay deuda = CAPM.</t>
  </si>
  <si>
    <t>→ MÉTODO ELEGIDO (escriba el nombre exacto de la tabla)</t>
  </si>
  <si>
    <t>→ TASA ACTIVA</t>
  </si>
  <si>
    <t>FUENTES OFICIALES</t>
  </si>
  <si>
    <t>Banco de la República: www.banrep.gov.co → Estadísticas → Tasas de interés (DTF, IBR, TES)</t>
  </si>
  <si>
    <t>DANE: www.dane.gov.co → IPC mensual — publicación el 5° día hábil de cada mes</t>
  </si>
  <si>
    <t>Banco Agrario / FINAGRO: www.bancoagrario.gov.co → Tasas de colocación semanales</t>
  </si>
  <si>
    <t>Superfinanciera: www.superfinanciera.gov.co → Tasa de usura mensual</t>
  </si>
  <si>
    <t>Conservador.</t>
  </si>
  <si>
    <t>Técnico. Requiere justificar el beta sectorial.</t>
  </si>
  <si>
    <t>Edad actual (años)</t>
  </si>
  <si>
    <t>Tasa</t>
  </si>
  <si>
    <t>Descripción</t>
  </si>
  <si>
    <t>VNA ($/ha)</t>
  </si>
  <si>
    <t>Diferencia vs. Vendedor</t>
  </si>
  <si>
    <t>Tasa activa seleccionada (método elegido)</t>
  </si>
  <si>
    <t>—</t>
  </si>
  <si>
    <t>CAPM — Técnico</t>
  </si>
  <si>
    <t>Finagro — Referencia mínima agropecuaria</t>
  </si>
  <si>
    <t>WACC — Si hay deuda en el proyecto</t>
  </si>
  <si>
    <t>Tasa comprador exigida (18%)</t>
  </si>
  <si>
    <t>Tasa comprador agresiva (20%)</t>
  </si>
  <si>
    <t>Concepto</t>
  </si>
  <si>
    <t>Escenario</t>
  </si>
  <si>
    <t>Tasa Base</t>
  </si>
  <si>
    <t>TECHO — Precio vendedor</t>
  </si>
  <si>
    <t>Escenario ideal vendedor. Solo si condición fitosanitaria perfecta y precio sostenido.</t>
  </si>
  <si>
    <t>REFERENCIA — Finagro</t>
  </si>
  <si>
    <t>OFERTA RECOMENDADA</t>
  </si>
  <si>
    <t>OFERTA AGRESIVA (apertura)</t>
  </si>
  <si>
    <t>ARGUMENTO TÉCNICO:</t>
  </si>
  <si>
    <t>DATOS MACROECONÓMICOS  (actualizar cuando cambien las fuentes)</t>
  </si>
  <si>
    <t>MÉTODO 1 — DTF + Prima de Riesgo Agropecuario</t>
  </si>
  <si>
    <t>MÉTODO 3 — Tasa Finagro como Referencia</t>
  </si>
  <si>
    <t>MÉTODO 4 — WACC  (Costo Promedio Ponderado de Capital)</t>
  </si>
  <si>
    <t>COMPARATIVO DE TASAS REALES Y SELECTOR</t>
  </si>
  <si>
    <t>Cacao criollo</t>
  </si>
  <si>
    <t xml:space="preserve">estandar </t>
  </si>
  <si>
    <t>IBR (referencia)</t>
  </si>
  <si>
    <t>IBR E.A.</t>
  </si>
  <si>
    <t>Palma de aceite</t>
  </si>
  <si>
    <t>HERRAMIENTA DE NEGOCIACIÓN — AVALÚO DE CULTIVO (Res. 620/2008)</t>
  </si>
  <si>
    <t>Azul = editable</t>
  </si>
  <si>
    <t>Negro = calculado</t>
  </si>
  <si>
    <t>Verde = desde otra hoja</t>
  </si>
  <si>
    <t>Rojo = resultado final</t>
  </si>
  <si>
    <t>Parámetro</t>
  </si>
  <si>
    <t>Precio de venta (COP/kg)</t>
  </si>
  <si>
    <t>Tasa activa (método elegido)</t>
  </si>
  <si>
    <t>Método tasa activa</t>
  </si>
  <si>
    <t>VPN remanente (tasa activa)</t>
  </si>
  <si>
    <t>DTF + Prima — Escenario base vendedor (Res. 620)</t>
  </si>
  <si>
    <t>Valor ($/ha)</t>
  </si>
  <si>
    <t>Posición neta capitalizada (flujos años 1 a edad actual)</t>
  </si>
  <si>
    <t>POSITIVO = el vendedor ya recuperó su inversión + intereses. Cualquier precio es utilidad adicional para él.</t>
  </si>
  <si>
    <t>Argumento de negociación</t>
  </si>
  <si>
    <t>Valor técnico con tasa de fomento. Punto de equilibrio en negociación formal ante perito.</t>
  </si>
  <si>
    <t>Oferta justa. Comprador exige rentabilidad privada. Argumentar riesgo climático y precio volátil.</t>
  </si>
  <si>
    <t>Primera oferta. Argumentar: riesgo futuro, costo de erradicación, precio variable del mercado.</t>
  </si>
  <si>
    <t>PISO — Costo reposición</t>
  </si>
  <si>
    <t>No vender por menos. Es lo que costó construir el cultivo con intereses capitalizados.</t>
  </si>
  <si>
    <t>CONEXIÓN AUTOMÁTICA:</t>
  </si>
  <si>
    <t>"Este tablero se actualiza solo: cambie el cultivo o edad en el Formulario, o el método de tasa en Entradas_Tasas, y todos los valores se recalculan."</t>
  </si>
  <si>
    <t xml:space="preserve">valor inversion </t>
  </si>
  <si>
    <t>MÉTODO 2 — CAPM  (Capital Asset Pricing Model)</t>
  </si>
  <si>
    <t>Relacion C/B</t>
  </si>
  <si>
    <t>Requerimiento hídrico (mm/año)</t>
  </si>
  <si>
    <t>Límite de Tolerancia / Notas Técnicas</t>
  </si>
  <si>
    <t>Entidad / Documento de Referencia</t>
  </si>
  <si>
    <t>1.800 - 2.400</t>
  </si>
  <si>
    <t>1.200 - 1.600</t>
  </si>
  <si>
    <r>
      <t xml:space="preserve">Puede bajar a </t>
    </r>
    <r>
      <rPr>
        <b/>
        <sz val="11"/>
        <color theme="1"/>
        <rFont val="Arial"/>
        <family val="2"/>
      </rPr>
      <t>1.500</t>
    </r>
    <r>
      <rPr>
        <sz val="11"/>
        <color theme="1"/>
        <rFont val="Arial"/>
        <family val="2"/>
      </rPr>
      <t xml:space="preserve"> o subir a </t>
    </r>
    <r>
      <rPr>
        <b/>
        <sz val="11"/>
        <color theme="1"/>
        <rFont val="Arial"/>
        <family val="2"/>
      </rPr>
      <t>2.600</t>
    </r>
    <r>
      <rPr>
        <sz val="11"/>
        <color theme="1"/>
        <rFont val="Arial"/>
        <family val="2"/>
      </rPr>
      <t xml:space="preserve">. </t>
    </r>
    <r>
      <rPr>
        <i/>
        <sz val="11"/>
        <color theme="1"/>
        <rFont val="Arial"/>
        <family val="2"/>
      </rPr>
      <t>Nota:</t>
    </r>
    <r>
      <rPr>
        <sz val="11"/>
        <color theme="1"/>
        <rFont val="Arial"/>
        <family val="2"/>
      </rPr>
      <t xml:space="preserve"> Por debajo de 1.800 m s.n.m. el fruto tiende a ser más pequeño, con menor contenido de aceite y el árbol sufre más estrés por plagas.</t>
    </r>
  </si>
  <si>
    <t>400 - 800</t>
  </si>
  <si>
    <r>
      <t xml:space="preserve">Rango general: </t>
    </r>
    <r>
      <rPr>
        <b/>
        <sz val="11"/>
        <color theme="1"/>
        <rFont val="Arial"/>
        <family val="2"/>
      </rPr>
      <t>0 - 1.200</t>
    </r>
    <r>
      <rPr>
        <sz val="11"/>
        <color theme="1"/>
        <rFont val="Arial"/>
        <family val="2"/>
      </rPr>
      <t xml:space="preserve">. </t>
    </r>
    <r>
      <rPr>
        <i/>
        <sz val="11"/>
        <color theme="1"/>
        <rFont val="Arial"/>
        <family val="2"/>
      </rPr>
      <t>Nota:</t>
    </r>
    <r>
      <rPr>
        <sz val="11"/>
        <color theme="1"/>
        <rFont val="Arial"/>
        <family val="2"/>
      </rPr>
      <t xml:space="preserve"> A menos de 400m requiere estricto control de dosel (sombra) por estrés térmico. Por encima de 1.200m disminuye el rendimiento y aumenta la moniliasis.</t>
    </r>
  </si>
  <si>
    <r>
      <t>FEDECACAO (2020)</t>
    </r>
    <r>
      <rPr>
        <sz val="11"/>
        <color theme="1"/>
        <rFont val="Arial"/>
        <family val="2"/>
      </rPr>
      <t xml:space="preserve"> - Guía Técnica.</t>
    </r>
  </si>
  <si>
    <t>1.200 - 1.800</t>
  </si>
  <si>
    <t>1.500 - 2.000</t>
  </si>
  <si>
    <r>
      <t xml:space="preserve">Se ha adaptado hasta </t>
    </r>
    <r>
      <rPr>
        <b/>
        <sz val="11"/>
        <color theme="1"/>
        <rFont val="Arial"/>
        <family val="2"/>
      </rPr>
      <t>2.000 msnm</t>
    </r>
    <r>
      <rPr>
        <sz val="11"/>
        <color theme="1"/>
        <rFont val="Arial"/>
        <family val="2"/>
      </rPr>
      <t xml:space="preserve"> dependiendo de la latitud. Sembrar por debajo de 1.200m acelera la maduración pero reduce drásticamente la densidad del grano y la calidad en taza.</t>
    </r>
  </si>
  <si>
    <r>
      <t>CENICAFÉ (2018)</t>
    </r>
    <r>
      <rPr>
        <sz val="11"/>
        <color theme="1"/>
        <rFont val="Arial"/>
        <family val="2"/>
      </rPr>
      <t xml:space="preserve"> - Manual del Cafetero Colombiano.</t>
    </r>
  </si>
  <si>
    <t>1.000 - 1.600</t>
  </si>
  <si>
    <t>1.200 - 1.500</t>
  </si>
  <si>
    <r>
      <t xml:space="preserve">Rango general: </t>
    </r>
    <r>
      <rPr>
        <b/>
        <sz val="11"/>
        <color theme="1"/>
        <rFont val="Arial"/>
        <family val="2"/>
      </rPr>
      <t>0 - 1.800</t>
    </r>
    <r>
      <rPr>
        <sz val="11"/>
        <color theme="1"/>
        <rFont val="Arial"/>
        <family val="2"/>
      </rPr>
      <t>. Muy rústica pero ineficiente en pisos térmicos cálidos (&lt;1.000m) frente a variedades industriales.</t>
    </r>
  </si>
  <si>
    <r>
      <t>AGROSAVIA (2017)</t>
    </r>
    <r>
      <rPr>
        <sz val="11"/>
        <color theme="1"/>
        <rFont val="Arial"/>
        <family val="2"/>
      </rPr>
      <t xml:space="preserve"> - Manual caña panelera.</t>
    </r>
  </si>
  <si>
    <t>1.200 - 1.700</t>
  </si>
  <si>
    <t>Adaptada específicamente para zonas de ladera (hoya del río Suárez, Antioquia). Por fuera de este rango baja la pureza de los jugos.</t>
  </si>
  <si>
    <r>
      <t>AGROSAVIA / FEDEPANELA (2019)</t>
    </r>
    <r>
      <rPr>
        <sz val="11"/>
        <color theme="1"/>
        <rFont val="Arial"/>
        <family val="2"/>
      </rPr>
      <t>.</t>
    </r>
  </si>
  <si>
    <t>1.000 - 1.800</t>
  </si>
  <si>
    <t>Excelente adaptación altitudinal. Desarrollada por CENICAÑA para mejorar rendimientos en zonas paneleras medias.</t>
  </si>
  <si>
    <r>
      <t>CENICAÑA / AGROSAVIA (2021)</t>
    </r>
    <r>
      <rPr>
        <sz val="11"/>
        <color theme="1"/>
        <rFont val="Arial"/>
        <family val="2"/>
      </rPr>
      <t>.</t>
    </r>
  </si>
  <si>
    <t>0 - 800</t>
  </si>
  <si>
    <r>
      <t xml:space="preserve">Rango tolerable: </t>
    </r>
    <r>
      <rPr>
        <b/>
        <sz val="11"/>
        <color theme="1"/>
        <rFont val="Arial"/>
        <family val="2"/>
      </rPr>
      <t>0 - 1.200</t>
    </r>
    <r>
      <rPr>
        <sz val="11"/>
        <color theme="1"/>
        <rFont val="Arial"/>
        <family val="2"/>
      </rPr>
      <t xml:space="preserve">. </t>
    </r>
    <r>
      <rPr>
        <i/>
        <sz val="11"/>
        <color theme="1"/>
        <rFont val="Arial"/>
        <family val="2"/>
      </rPr>
      <t>Nota:</t>
    </r>
    <r>
      <rPr>
        <sz val="11"/>
        <color theme="1"/>
        <rFont val="Arial"/>
        <family val="2"/>
      </rPr>
      <t xml:space="preserve"> Para </t>
    </r>
    <r>
      <rPr>
        <b/>
        <sz val="11"/>
        <color theme="1"/>
        <rFont val="Arial"/>
        <family val="2"/>
      </rPr>
      <t>exportación</t>
    </r>
    <r>
      <rPr>
        <sz val="11"/>
        <color theme="1"/>
        <rFont val="Arial"/>
        <family val="2"/>
      </rPr>
      <t>, la UPRA indica que el óptimo es &lt;800m. A mayor altitud (hacia los 1.200m) la piel se engrosa, pierde porcentaje de jugo y el color verde intenso se degrada.</t>
    </r>
  </si>
  <si>
    <r>
      <t>UPRA (2020)</t>
    </r>
    <r>
      <rPr>
        <sz val="11"/>
        <color theme="1"/>
        <rFont val="Arial"/>
        <family val="2"/>
      </rPr>
      <t xml:space="preserve"> - Zonificación Lima Ácida Tahití.</t>
    </r>
  </si>
  <si>
    <t>0 - 1.000</t>
  </si>
  <si>
    <t>1.000 - 1.200</t>
  </si>
  <si>
    <r>
      <t xml:space="preserve">Tolerable hasta </t>
    </r>
    <r>
      <rPr>
        <b/>
        <sz val="11"/>
        <color theme="1"/>
        <rFont val="Arial"/>
        <family val="2"/>
      </rPr>
      <t>1.200</t>
    </r>
    <r>
      <rPr>
        <sz val="11"/>
        <color theme="1"/>
        <rFont val="Arial"/>
        <family val="2"/>
      </rPr>
      <t xml:space="preserve">. </t>
    </r>
    <r>
      <rPr>
        <i/>
        <sz val="11"/>
        <color theme="1"/>
        <rFont val="Arial"/>
        <family val="2"/>
      </rPr>
      <t>Nota:</t>
    </r>
    <r>
      <rPr>
        <sz val="11"/>
        <color theme="1"/>
        <rFont val="Arial"/>
        <family val="2"/>
      </rPr>
      <t xml:space="preserve"> Alta sensibilidad a vientos y bajas temperaturas.</t>
    </r>
  </si>
  <si>
    <r>
      <t>AGROSAVIA (2019)</t>
    </r>
    <r>
      <rPr>
        <sz val="11"/>
        <color theme="1"/>
        <rFont val="Arial"/>
        <family val="2"/>
      </rPr>
      <t xml:space="preserve"> - Modelo tecnológico cítricos.</t>
    </r>
  </si>
  <si>
    <t>800 - 1.500</t>
  </si>
  <si>
    <t>Requiere la amplitud térmica de la zona cafetera (días cálidos, noches frescas) para desarrollar su sabor característico.</t>
  </si>
  <si>
    <r>
      <t>AGROSAVIA (2020)</t>
    </r>
    <r>
      <rPr>
        <sz val="11"/>
        <color theme="1"/>
        <rFont val="Arial"/>
        <family val="2"/>
      </rPr>
      <t>.</t>
    </r>
  </si>
  <si>
    <r>
      <t>Dato crítico:</t>
    </r>
    <r>
      <rPr>
        <sz val="11"/>
        <color theme="1"/>
        <rFont val="Arial"/>
        <family val="2"/>
      </rPr>
      <t xml:space="preserve"> Las mandarinas y naranjas sembradas a &lt;1.000m </t>
    </r>
    <r>
      <rPr>
        <b/>
        <sz val="11"/>
        <color theme="1"/>
        <rFont val="Arial"/>
        <family val="2"/>
      </rPr>
      <t>no desarrollan color naranja en la cáscara</t>
    </r>
    <r>
      <rPr>
        <sz val="11"/>
        <color theme="1"/>
        <rFont val="Arial"/>
        <family val="2"/>
      </rPr>
      <t xml:space="preserve"> (se quedan verdes) por falta de frío nocturno, afectando su valor comercial en mercado en fresco.</t>
    </r>
  </si>
  <si>
    <r>
      <t>UPRA (2019)</t>
    </r>
    <r>
      <rPr>
        <sz val="11"/>
        <color theme="1"/>
        <rFont val="Arial"/>
        <family val="2"/>
      </rPr>
      <t xml:space="preserve"> - Zonificación Cítricos Dulces.</t>
    </r>
  </si>
  <si>
    <t>500 - 1.200</t>
  </si>
  <si>
    <r>
      <t xml:space="preserve">Tolerable: </t>
    </r>
    <r>
      <rPr>
        <b/>
        <sz val="11"/>
        <color theme="1"/>
        <rFont val="Arial"/>
        <family val="2"/>
      </rPr>
      <t>0 - 1.500</t>
    </r>
    <r>
      <rPr>
        <sz val="11"/>
        <color theme="1"/>
        <rFont val="Arial"/>
        <family val="2"/>
      </rPr>
      <t>. Si se destina a la industria de jugos, se puede sembrar a &lt;500m (el color de la cáscara no importa, pero sí los grados Brix).</t>
    </r>
  </si>
  <si>
    <t>Comparte la misma restricción de la mandarina respecto a la amplitud térmica (diferencia de temperatura día/noche) para el color.</t>
  </si>
  <si>
    <r>
      <t>AGROSAVIA (2019)</t>
    </r>
    <r>
      <rPr>
        <sz val="11"/>
        <color theme="1"/>
        <rFont val="Arial"/>
        <family val="2"/>
      </rPr>
      <t>.</t>
    </r>
  </si>
  <si>
    <r>
      <t xml:space="preserve">Rango general: </t>
    </r>
    <r>
      <rPr>
        <b/>
        <sz val="11"/>
        <color theme="1"/>
        <rFont val="Arial"/>
        <family val="2"/>
      </rPr>
      <t>0 - 1.200</t>
    </r>
    <r>
      <rPr>
        <sz val="11"/>
        <color theme="1"/>
        <rFont val="Arial"/>
        <family val="2"/>
      </rPr>
      <t xml:space="preserve">. </t>
    </r>
    <r>
      <rPr>
        <i/>
        <sz val="11"/>
        <color theme="1"/>
        <rFont val="Arial"/>
        <family val="2"/>
      </rPr>
      <t>Nota:</t>
    </r>
    <r>
      <rPr>
        <sz val="11"/>
        <color theme="1"/>
        <rFont val="Arial"/>
        <family val="2"/>
      </rPr>
      <t xml:space="preserve"> A más de 800m, la inducción floral se vuelve errática y los hongos (</t>
    </r>
    <r>
      <rPr>
        <i/>
        <sz val="11"/>
        <color theme="1"/>
        <rFont val="Arial"/>
        <family val="2"/>
      </rPr>
      <t>Colletotrichum</t>
    </r>
    <r>
      <rPr>
        <sz val="11"/>
        <color theme="1"/>
        <rFont val="Arial"/>
        <family val="2"/>
      </rPr>
      <t>) atacan agresivamente por mayor humedad y menor temperatura.</t>
    </r>
  </si>
  <si>
    <r>
      <t>UPRA (2020)</t>
    </r>
    <r>
      <rPr>
        <sz val="11"/>
        <color theme="1"/>
        <rFont val="Arial"/>
        <family val="2"/>
      </rPr>
      <t xml:space="preserve"> - Zonificación Mango.</t>
    </r>
  </si>
  <si>
    <t>0 - 500</t>
  </si>
  <si>
    <t>1.800 - 2.500</t>
  </si>
  <si>
    <r>
      <t xml:space="preserve">Límite máximo: </t>
    </r>
    <r>
      <rPr>
        <b/>
        <sz val="11"/>
        <color theme="1"/>
        <rFont val="Arial"/>
        <family val="2"/>
      </rPr>
      <t>600</t>
    </r>
    <r>
      <rPr>
        <sz val="11"/>
        <color theme="1"/>
        <rFont val="Arial"/>
        <family val="2"/>
      </rPr>
      <t xml:space="preserve">. </t>
    </r>
    <r>
      <rPr>
        <i/>
        <sz val="11"/>
        <color theme="1"/>
        <rFont val="Arial"/>
        <family val="2"/>
      </rPr>
      <t>Nota:</t>
    </r>
    <r>
      <rPr>
        <sz val="11"/>
        <color theme="1"/>
        <rFont val="Arial"/>
        <family val="2"/>
      </rPr>
      <t xml:space="preserve"> A mayor altitud, los grados día acumulados caen drásticamente, lo que retrasa la maduración de los racimos y disminuye la tasa de extracción de aceite (TEA).</t>
    </r>
  </si>
  <si>
    <r>
      <t>CENIPALMA (2021)</t>
    </r>
    <r>
      <rPr>
        <sz val="11"/>
        <color theme="1"/>
        <rFont val="Arial"/>
        <family val="2"/>
      </rPr>
      <t>.</t>
    </r>
  </si>
  <si>
    <t>2.000 - 2.500</t>
  </si>
  <si>
    <t>Estrictamente tropical. Altitudes superiores reducen la viabilidad del proyecto por alargamiento del periodo improductivo.</t>
  </si>
  <si>
    <r>
      <t>CENIPALMA (2018)</t>
    </r>
    <r>
      <rPr>
        <sz val="11"/>
        <color theme="1"/>
        <rFont val="Arial"/>
        <family val="2"/>
      </rPr>
      <t>.</t>
    </r>
  </si>
  <si>
    <r>
      <t xml:space="preserve">Tolerable hasta </t>
    </r>
    <r>
      <rPr>
        <b/>
        <sz val="11"/>
        <color theme="1"/>
        <rFont val="Arial"/>
        <family val="2"/>
      </rPr>
      <t>1.800</t>
    </r>
    <r>
      <rPr>
        <sz val="11"/>
        <color theme="1"/>
        <rFont val="Arial"/>
        <family val="2"/>
      </rPr>
      <t>. Es el plátano por excelencia de la zona cafetera. (Diferente al Hartón común, que es de zonas bajas 0-500m como Urabá/Arauca).</t>
    </r>
  </si>
  <si>
    <r>
      <t>AGROSAVIA / FEDEPLÁTANO (2019)</t>
    </r>
    <r>
      <rPr>
        <sz val="11"/>
        <color theme="1"/>
        <rFont val="Arial"/>
        <family val="2"/>
      </rPr>
      <t>.</t>
    </r>
  </si>
  <si>
    <t>COSTO DE REPOSICIÓN CAPITALIZADO — ¿Cuánto le costó construir este cultivo en la etapa vegetativa?</t>
  </si>
  <si>
    <t>VNA FUTURO — Producción remanente a distintas tasas de descuento</t>
  </si>
  <si>
    <t xml:space="preserve"> PARÁMETROS DEL AVALÚO  (se actualizan automáticamente desde el Formulario)</t>
  </si>
  <si>
    <t>Rangos de negociación</t>
  </si>
  <si>
    <t>Precio de Referencia Ajustado ($/kg)</t>
  </si>
  <si>
    <t>DIFERENCIA</t>
  </si>
  <si>
    <t>El valor de la columna Precio de Referencia Ajustado representa un precio más confiable del mercado, ya que reduce el efecto de valores atípicos y la volatilidad. Su cálculo se adapta según el coeficiente de variación (CV): cuando el CV ≤ 20% se utiliza la mediana por su estabilidad; cuando el CV está entre 20% y 35% se emplea el promedio; y cuando el CV &gt; 35% se calcula como el promedio entre los percentiles 25 y 75, enfocándose en el rango central de los datos. De esta forma, se obtiene un precio más representativo y consistente para el análisis.</t>
  </si>
  <si>
    <t>REGION</t>
  </si>
  <si>
    <t>PRECIO NUEVO</t>
  </si>
  <si>
    <t>imputación jerárquica por región con anclaje a observaciones departamentales</t>
  </si>
  <si>
    <t>El ajuste de precios se realiza a partir de una estructura jerárquica por departamento y región, en la cual los valores clasificados como “Departamental” se mantienen sin modificación al representar observaciones directas del mercado, mientras que los registros identificados como “Nacional (Contingencia)” se recalculan utilizando un valor de referencia construido a nivel regional. Para ello, los departamentos se agrupan en regiones homogéneas (Andina, Caribe, Pacífica, Orinoquía y Amazonía), de modo que el precio final de los casos en contingencia se aproxima al comportamiento observado en su región correspondiente, garantizando coherencia espacial y reduciendo la asignación de valores únicos sin sustento territorial.</t>
  </si>
  <si>
    <t>Los precios nacionales en contingencia no se fijan de forma única, sino que se aproximan al comportamiento observado dentro de su región geográfica.”</t>
  </si>
  <si>
    <t>PRECIO FINAL</t>
  </si>
  <si>
    <t>PRECIO PERITO</t>
  </si>
  <si>
    <t>Tiene riego</t>
  </si>
  <si>
    <t>Rendimiento potencial Kg/ha</t>
  </si>
  <si>
    <t>rendimiento potencial * factor densidad PERITO FORMULARIO  / DENSIDAD CARACTERISTICAS AGRONOMICAS COLUMNA I * FACTOR SANIDAD FOMULARIO F22 SI ES MALO NO LO TENGA EN CUENTA (UTILIZAR LOS PORCENTAJES DE "CARACTERISTICAS")* (FACTOR AGUA "LIMITES AGROECOLOGICOS"</t>
  </si>
  <si>
    <t xml:space="preserve">Rango superior </t>
  </si>
  <si>
    <t>Rango Inferior</t>
  </si>
  <si>
    <t>Aplica</t>
  </si>
  <si>
    <t>Porcentaje</t>
  </si>
  <si>
    <t>Agua</t>
  </si>
  <si>
    <t>Factor sanidad</t>
  </si>
  <si>
    <t>Porcentaje Fitosanitario</t>
  </si>
  <si>
    <t xml:space="preserve"> Densidad Caracteristicas</t>
  </si>
  <si>
    <t>Densidad Perito</t>
  </si>
  <si>
    <t xml:space="preserve">Cultivo </t>
  </si>
  <si>
    <t>Factor Densidad</t>
  </si>
  <si>
    <t>Rendimiento Ajustado</t>
  </si>
  <si>
    <t>Amazonas</t>
  </si>
  <si>
    <t>Chocó</t>
  </si>
  <si>
    <t>Guainía</t>
  </si>
  <si>
    <t>Guaviare</t>
  </si>
  <si>
    <t>La Guajira</t>
  </si>
  <si>
    <t>Vaupés</t>
  </si>
  <si>
    <t>Vichada</t>
  </si>
  <si>
    <t>Valor del suelo/ ha</t>
  </si>
  <si>
    <t>Contingencia nacional</t>
  </si>
  <si>
    <t>Agrosavia</t>
  </si>
  <si>
    <t>punto equilibrio</t>
  </si>
  <si>
    <t>Periodo (años)</t>
  </si>
  <si>
    <t>¿Hay préstamo?</t>
  </si>
  <si>
    <t>Período</t>
  </si>
  <si>
    <t>Saldo deuda</t>
  </si>
  <si>
    <t>RENDIMIENTO MÍNIMO (KG/MIN)</t>
  </si>
  <si>
    <t>RENDIMIENTO MÁXIMO (KG/MIN)</t>
  </si>
  <si>
    <t>RENDIMIENTO PROMEDIO (KG/MIN)</t>
  </si>
  <si>
    <t>JORNALES MAXIMO  RENDIMIENTO</t>
  </si>
  <si>
    <t>JORNALES RENDIMIENTO PROMEDIO</t>
  </si>
  <si>
    <t>JORNALES MINIMO RENDIMIENTO</t>
  </si>
  <si>
    <t>kg/min</t>
  </si>
  <si>
    <t>Mandarina comun</t>
  </si>
  <si>
    <t>Tallo</t>
  </si>
  <si>
    <t>Tonelada</t>
  </si>
  <si>
    <t>escenario de negociación</t>
  </si>
  <si>
    <t>Hoja</t>
  </si>
  <si>
    <t>Formulario</t>
  </si>
  <si>
    <t>Entradas_Tasas</t>
  </si>
  <si>
    <t>Entradas_calculos</t>
  </si>
  <si>
    <t>Calculos_generales</t>
  </si>
  <si>
    <t>Calculo_etapa_productiva</t>
  </si>
  <si>
    <t>calculo_etapa_vegetativa</t>
  </si>
  <si>
    <t>PERITO</t>
  </si>
  <si>
    <t>Resumen_Departamento</t>
  </si>
  <si>
    <t>ARGUMENTOS NEGOCIADORES</t>
  </si>
  <si>
    <t>MANUAL DE USO — AVALÚO DE CULTIVO (Res. 620/2008)</t>
  </si>
  <si>
    <t>Herramienta para perímetros agrícolas — Cálculo de valor justo del cultivo y banda de negociación</t>
  </si>
  <si>
    <t>CÓDIGO DE COLORES</t>
  </si>
  <si>
    <t>Color</t>
  </si>
  <si>
    <t>Significado</t>
  </si>
  <si>
    <t>Acción del usuario</t>
  </si>
  <si>
    <t>AZUL</t>
  </si>
  <si>
    <t>Valores editables</t>
  </si>
  <si>
    <t>Cambie el valor según el caso (cultivo, edad, precio, etc.)</t>
  </si>
  <si>
    <t>NEGRO</t>
  </si>
  <si>
    <t>Fórmula calculada</t>
  </si>
  <si>
    <t>No modificar — se actualiza automáticamente</t>
  </si>
  <si>
    <t>VERDE</t>
  </si>
  <si>
    <t>Enlace a otra hoja del libro</t>
  </si>
  <si>
    <t>No modificar — referencia interna</t>
  </si>
  <si>
    <t>ROJO</t>
  </si>
  <si>
    <t>Resultado clave del avalúo</t>
  </si>
  <si>
    <t>Lectura — valor que arroja la herramienta</t>
  </si>
  <si>
    <t>AMARILLO</t>
  </si>
  <si>
    <t>Celda clave que requiere atención</t>
  </si>
  <si>
    <t>Revisar antes de tomar el valor</t>
  </si>
  <si>
    <t>ESTRUCTURA DEL LIBRO — ¿QUÉ HACE CADA HOJA?</t>
  </si>
  <si>
    <t>#</t>
  </si>
  <si>
    <t>Función</t>
  </si>
  <si>
    <t>Punto de entrada — cultivo, edad, departamento, municipio, precio de venta, área</t>
  </si>
  <si>
    <t>ENTRADA</t>
  </si>
  <si>
    <t>Datos del perito y entidad emisora del avalúo</t>
  </si>
  <si>
    <t>Selección del método de tasa de descuento (DTF+Prima, CAPM, Finagro, WACC)</t>
  </si>
  <si>
    <t>Variables clave consolidadas: edad, precio, tasa, costos por año de etapa improductiva</t>
  </si>
  <si>
    <t>CÁLCULO</t>
  </si>
  <si>
    <t>Flujos de caja proyectados año por año (rendimiento, ingreso, costo, flujo neto)</t>
  </si>
  <si>
    <t>Costos capitalizados de la siembra hasta la edad actual del cultivo</t>
  </si>
  <si>
    <t>Tabla de amortización de la inversión inicial</t>
  </si>
  <si>
    <t>ANÁLISIS</t>
  </si>
  <si>
    <t>TABLERO PRINCIPAL — valor del cultivo, banda de negociación y argumentos</t>
  </si>
  <si>
    <t>RESULTADO</t>
  </si>
  <si>
    <t>Resumen agregado por departamento</t>
  </si>
  <si>
    <t>Bases de datos de referencia (precios, jornales, rendimientos, características)</t>
  </si>
  <si>
    <t>DATOS</t>
  </si>
  <si>
    <t>FLUJO DE TRABAJO — PASO A PASO</t>
  </si>
  <si>
    <t>Paso</t>
  </si>
  <si>
    <t>Acción</t>
  </si>
  <si>
    <t>Dónde</t>
  </si>
  <si>
    <t>Resultado</t>
  </si>
  <si>
    <t>Diligenciar datos del cultivo: especie, edad actual, departamento, municipio, precio venta y área</t>
  </si>
  <si>
    <t>Parámetros base cargados</t>
  </si>
  <si>
    <t>Identificación del avalúo</t>
  </si>
  <si>
    <t>Tasa activa definida</t>
  </si>
  <si>
    <t>Revisar cálculos automáticos (no editar)</t>
  </si>
  <si>
    <t>Flujos y costos calculados</t>
  </si>
  <si>
    <t>Consultar el VALOR DEL CULTIVO RECOMENDADO en el bloque resumen</t>
  </si>
  <si>
    <t>Precio sugerido $/ha</t>
  </si>
  <si>
    <t>Comparar contra TECHO, PISO, REFERENCIA Finagro y oferta agresiva</t>
  </si>
  <si>
    <t>Banda de negociación</t>
  </si>
  <si>
    <t>Argumentar con base en los textos técnicos del tablero</t>
  </si>
  <si>
    <t>Argumentos negociadores</t>
  </si>
  <si>
    <t>CONCEPTOS CLAVE</t>
  </si>
  <si>
    <t>Definición</t>
  </si>
  <si>
    <t>VPN remanente</t>
  </si>
  <si>
    <t>Valor presente neto de los flujos futuros desde la edad actual hasta el fin de la vida útil del cultivo</t>
  </si>
  <si>
    <t>Costo de reposición</t>
  </si>
  <si>
    <t>Lo que costaría hoy reconstruir el cultivo desde cero hasta la edad actual (capitalizado a la tasa de descuento)</t>
  </si>
  <si>
    <t>TECHO</t>
  </si>
  <si>
    <t>Precio máximo del vendedor (escenario favorable: tasa Res. 620 base)</t>
  </si>
  <si>
    <t>PISO</t>
  </si>
  <si>
    <t>Precio mínimo del vendedor: lo que costó construir el cultivo + lucro cesante</t>
  </si>
  <si>
    <t>Precio justo a tasa privada (18%) — lo que arroja el aplicativo como valor recomendado del cultivo</t>
  </si>
  <si>
    <t>OFERTA AGRESIVA</t>
  </si>
  <si>
    <t>Precio de apertura del comprador (tasa 20%) — punto de partida táctico</t>
  </si>
  <si>
    <t>TIR sembrador</t>
  </si>
  <si>
    <t>Rentabilidad del proyecto si lo lleva hasta el final de la vida útil</t>
  </si>
  <si>
    <t>TIR comprador</t>
  </si>
  <si>
    <t>Rentabilidad para alguien que compra el cultivo a una edad intermedia y lo cosecha hasta el final</t>
  </si>
  <si>
    <t>NOTAS LEGALES Y TÉCNICAS</t>
  </si>
  <si>
    <t>• Marco normativo: Resolución 620 de 2008 — método de avaluo de cultivos.</t>
  </si>
  <si>
    <t>• Las tasas se actualizan desde la hoja Entradas_Tasas — verifique que el método seleccionado corresponda al caso.</t>
  </si>
  <si>
    <t xml:space="preserve">• El precio de venta (COP/kg) se carga desde el Formulario — use precio de referencia del mercado. No utilice picos de valor </t>
  </si>
  <si>
    <t>• Para cultivos jóvenes (edad &lt; productiva), domina el costo de reposición.</t>
  </si>
  <si>
    <t>• Para cultivos maduros, domina el VPN remanente.</t>
  </si>
  <si>
    <t>PreciosRef. por Mercado / Tabla_Costos_Insumos / departamento / Base_datActividades_priorFIN / Caracteristicas / Caracteristicas_agronomicas / Rendimientos estandar_ / Tiempos de cosecha_ / mecanización_ pendiente / Jornalesdeppto / Limites_agroecologicos</t>
  </si>
  <si>
    <t>Calculo_etapa_productiva, calculo_etapa_vegetativa, Calculos_generales, Amortización</t>
  </si>
  <si>
    <t>escenario de negociación → C28</t>
  </si>
  <si>
    <t>escenario de negociación → C26:E30</t>
  </si>
  <si>
    <t>escenario de negociación → C33:E34</t>
  </si>
  <si>
    <t>Seleccionar método de tasa de descuento escribiendo el nombre exacto (DTF + Prima de Riesgo, CAPM, Finagro o WACC) en la celda C57</t>
  </si>
  <si>
    <t>Entradas_Tasas → C57</t>
  </si>
  <si>
    <t>Análisis financiero consolidado en la misma hoja: TIR del proyecto (Q3), Relación Costo/Beneficio (Q4) y Punto de equilibrio (Q5)</t>
  </si>
  <si>
    <t>en este espacio es cuando el perito tenga una densidad diferente a la densidad usada lo cual trae como consecuencia que se deba hacer calculo de jornales a partir de los tiempos y movimientos encontrados en la Base_datActividades_priorFIN columna R</t>
  </si>
  <si>
    <r>
      <t>UPRA (2019)</t>
    </r>
    <r>
      <rPr>
        <sz val="11"/>
        <color theme="1"/>
        <rFont val="Arial"/>
        <family val="2"/>
      </rPr>
      <t xml:space="preserve"> - Zonificación de aptitud para Hass; </t>
    </r>
    <r>
      <rPr>
        <sz val="11"/>
        <color theme="1"/>
        <rFont val="Arial"/>
        <family val="2"/>
      </rPr>
      <t>AGROSAVIA</t>
    </r>
    <r>
      <rPr>
        <sz val="11"/>
        <color theme="1"/>
        <rFont val="Arial"/>
        <family val="2"/>
      </rPr>
      <t>.</t>
    </r>
  </si>
  <si>
    <t>Salvamento</t>
  </si>
  <si>
    <t>1.3.6.</t>
  </si>
  <si>
    <t>Limpia Manual</t>
  </si>
  <si>
    <t>1.3.11.</t>
  </si>
  <si>
    <t>Tumba - Socola - Repique</t>
  </si>
  <si>
    <t>Aplicación de Herbicidas</t>
  </si>
  <si>
    <t>Litro</t>
  </si>
  <si>
    <t>NIVEL</t>
  </si>
  <si>
    <t>% de area foliar funcional</t>
  </si>
  <si>
    <t>Factor</t>
  </si>
  <si>
    <t>OBSERVACIONES</t>
  </si>
  <si>
    <t>BUENO</t>
  </si>
  <si>
    <t>76-100</t>
  </si>
  <si>
    <t>0,9-1</t>
  </si>
  <si>
    <t>Follaje completo, color uniforme sin afectaciones o afectaciones muy leves.</t>
  </si>
  <si>
    <t>51-75</t>
  </si>
  <si>
    <t>0,65-0,75</t>
  </si>
  <si>
    <t>Follaje con claros visibles afectaciones moderadas.</t>
  </si>
  <si>
    <t>REGULAR</t>
  </si>
  <si>
    <t>26-50</t>
  </si>
  <si>
    <t>0,55-0,40</t>
  </si>
  <si>
    <t>Follaje escaso, afectacion generalizada y estrés evidente</t>
  </si>
  <si>
    <t>MALO</t>
  </si>
  <si>
    <t>0-25</t>
  </si>
  <si>
    <t>0,1-0,3</t>
  </si>
  <si>
    <t>Follaje escaso o ausente, necrosis o muerte del cultivo.</t>
  </si>
  <si>
    <t>Nacional contingencia</t>
  </si>
  <si>
    <t>pase/hectárea</t>
  </si>
  <si>
    <t>Total</t>
  </si>
  <si>
    <t>Rango Óptimo msnm</t>
  </si>
  <si>
    <t xml:space="preserve">Palma_Aceite </t>
  </si>
  <si>
    <t>Caña_Azucar</t>
  </si>
  <si>
    <t>Palma_Aceite  Elaeis guineensis</t>
  </si>
  <si>
    <t>Palma_Aceite Hibrido (OxG)</t>
  </si>
  <si>
    <t>PRECIO FINAL DEL CULTIVO — 3 ESCENARIOS (Valor por hectárea y por planta)</t>
  </si>
  <si>
    <t>Azul = input editable    |    Negro = fórmula    |    Verde = enlace a otra hoja    |    Amarillo = celda clave</t>
  </si>
  <si>
    <t>1. PARÁMETROS DEL CULTIVO</t>
  </si>
  <si>
    <t>Densidad de siembra (plantas/ha)</t>
  </si>
  <si>
    <t>Precio venta producto (COP/kg)</t>
  </si>
  <si>
    <t>Tasa de descuento base (Finagro)</t>
  </si>
  <si>
    <t>2. VALOR POR ETAPA (por hectárea y por planta)</t>
  </si>
  <si>
    <t>Valor por hectárea ($/ha)</t>
  </si>
  <si>
    <t>Valor por planta ($/planta)</t>
  </si>
  <si>
    <t>Etapa VEGETATIVA (costo de reposición capitalizado)</t>
  </si>
  <si>
    <t>Suma de inversiones año 1 → edad actual, llevadas a valor futuro (intereses capitalizados).</t>
  </si>
  <si>
    <t>Etapa PRODUCTIVA (VPN remanente — tasa Finagro)</t>
  </si>
  <si>
    <t>Valor presente de los flujos netos futuros (ingresos – costos) desde la edad actual hasta el fin del ciclo.</t>
  </si>
  <si>
    <t>Indicador</t>
  </si>
  <si>
    <t>Rendimiento ajustado = base × factor fitosanitario (Formulario!B24)</t>
  </si>
  <si>
    <t>Condición fitosanitaria → Factor castigo rendimiento</t>
  </si>
  <si>
    <t>ACEPTABLE</t>
  </si>
  <si>
    <t>pequeño</t>
  </si>
  <si>
    <t>Promedio historico de los ultimos 10 años</t>
  </si>
  <si>
    <t>Bueno=0,95 / Aceptable=0,70/Regular=0,475/Malo=0,20</t>
  </si>
  <si>
    <t>Cultivo:</t>
  </si>
  <si>
    <t>Edad actual (años):</t>
  </si>
  <si>
    <t>Tasa de descuento:</t>
  </si>
  <si>
    <t>Año remanente</t>
  </si>
  <si>
    <t>Flujo Neto ($/ha)</t>
  </si>
  <si>
    <t>Flujo Descontado ($/ha)</t>
  </si>
  <si>
    <t>FLUJOS DE CAJA REMANENTES etapa productiva</t>
  </si>
  <si>
    <t>RESUMEN — Valor Presente Distribuido</t>
  </si>
  <si>
    <t>Fórmula / Interpretación</t>
  </si>
  <si>
    <t>Valor Presente Total ($/ha)</t>
  </si>
  <si>
    <t>Sumatoria de flujos descontados</t>
  </si>
  <si>
    <t>Años remanentes productivos</t>
  </si>
  <si>
    <t>Número de años con flujo productivo &gt; 0</t>
  </si>
  <si>
    <t>VP / N años (promedio simple)</t>
  </si>
  <si>
    <t>VP dividido equitativamente entre los años remanentes</t>
  </si>
  <si>
    <t>Anualidad equivalente (PMT con tasa)</t>
  </si>
  <si>
    <t>Flujo anual constante que generaría el mismo VP (descuenta a la tasa)</t>
  </si>
  <si>
    <t>año 1</t>
  </si>
  <si>
    <t>RENTAS/AÑO</t>
  </si>
  <si>
    <t>% de participacion  del VP</t>
  </si>
  <si>
    <t>METODO 1 VALOR DEL CULTIVO</t>
  </si>
  <si>
    <t>ORINOQUIA</t>
  </si>
  <si>
    <t>CARIBE</t>
  </si>
  <si>
    <t>AMAZONIA</t>
  </si>
  <si>
    <t>DEPARTAMENTOS_VÁLIDOS</t>
  </si>
  <si>
    <t>VERIFICACIÓN COBERTURA CULTIVO × DEPARTAMENTO</t>
  </si>
  <si>
    <t>Insumos esperados:</t>
  </si>
  <si>
    <t>Insumos con precio:</t>
  </si>
  <si>
    <t>% Cobertura:</t>
  </si>
  <si>
    <t>Estado:</t>
  </si>
  <si>
    <t>Detalle:</t>
  </si>
  <si>
    <t>Est. Contingencia</t>
  </si>
  <si>
    <t>Arriendo</t>
  </si>
  <si>
    <t>Ha/año</t>
  </si>
  <si>
    <t>Servicios</t>
  </si>
  <si>
    <t>Ha</t>
  </si>
  <si>
    <t>Control biológico</t>
  </si>
  <si>
    <t>Liberación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</si>
</sst>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6" formatCode="&quot;$&quot;\ #,##0;[Red]\-&quot;$&quot;\ #,##0"/>
    <numFmt numFmtId="8" formatCode="&quot;$&quot;\ #,##0.00;[Red]\-&quot;$&quot;\ #,##0.00"/>
    <numFmt numFmtId="44" formatCode="_-&quot;$&quot;\ * #,##0.00_-;\-&quot;$&quot;\ * #,##0.00_-;_-&quot;$&quot;\ * &quot;-&quot;??_-;_-@_-"/>
    <numFmt numFmtId="43" formatCode="_-* #,##0.00_-;\-* #,##0.00_-;_-* &quot;-&quot;??_-;_-@_-"/>
    <numFmt numFmtId="164" formatCode="_-&quot;$&quot;\ * #,##0_-;\-&quot;$&quot;\ * #,##0_-;_-&quot;$&quot;\ * &quot;-&quot;??_-;_-@_-"/>
    <numFmt numFmtId="165" formatCode="&quot;$&quot;\ #,##0"/>
    <numFmt numFmtId="166" formatCode="0.0"/>
    <numFmt numFmtId="167" formatCode="&quot;$&quot;\ #,##0.00"/>
    <numFmt numFmtId="168" formatCode="&quot;$&quot;\ #,##0.0"/>
    <numFmt numFmtId="169" formatCode="0.000"/>
    <numFmt numFmtId="170" formatCode="0.00&quot; años&quot;"/>
    <numFmt numFmtId="171" formatCode="&quot;$&quot;#,##0;\(&quot;$&quot;#,##0\);\-"/>
    <numFmt numFmtId="172" formatCode="0.0%;\(0.0%\);\-"/>
    <numFmt numFmtId="173" formatCode="0.000;\(0.000\);\-"/>
    <numFmt numFmtId="174" formatCode="&quot;$&quot;\ #,##0;\(&quot;$&quot;\ #,##0\);\-"/>
  </numFmts>
  <fonts count="66">
    <font>
      <sz val="11"/>
      <color theme="1"/>
      <name val="Arial"/>
      <family val="2"/>
    </font>
    <font>
      <sz val="11"/>
      <color theme="1"/>
      <name val="Arial"/>
      <family val="2"/>
    </font>
    <font>
      <b/>
      <sz val="11"/>
      <color theme="1"/>
      <name val="Arial"/>
      <family val="2"/>
    </font>
    <font>
      <sz val="11"/>
      <color theme="1"/>
      <name val="Aptos Narrow"/>
      <family val="2"/>
      <scheme val="minor"/>
    </font>
    <font>
      <b/>
      <sz val="11"/>
      <color theme="1"/>
      <name val="Aptos Narrow"/>
      <family val="2"/>
      <scheme val="minor"/>
    </font>
    <font>
      <sz val="11"/>
      <name val="Arial"/>
      <family val="2"/>
    </font>
    <font>
      <sz val="12"/>
      <color theme="1"/>
      <name val="Arial"/>
      <family val="2"/>
    </font>
    <font>
      <b/>
      <sz val="9"/>
      <color indexed="81"/>
      <name val="Tahoma"/>
      <family val="2"/>
    </font>
    <font>
      <sz val="9"/>
      <color indexed="81"/>
      <name val="Tahoma"/>
      <family val="2"/>
    </font>
    <font>
      <u/>
      <sz val="11"/>
      <color theme="10"/>
      <name val="Calibri"/>
      <family val="2"/>
    </font>
    <font>
      <b/>
      <sz val="11"/>
      <name val="Calibri"/>
      <family val="2"/>
    </font>
    <font>
      <u/>
      <sz val="10"/>
      <color indexed="12"/>
      <name val="Arial"/>
      <family val="2"/>
    </font>
    <font>
      <sz val="8"/>
      <name val="Arial"/>
      <family val="2"/>
    </font>
    <font>
      <sz val="11"/>
      <color theme="1"/>
      <name val="Calibri"/>
      <family val="2"/>
      <charset val="1"/>
    </font>
    <font>
      <strike/>
      <sz val="11"/>
      <color theme="1"/>
      <name val="Arial"/>
      <family val="2"/>
    </font>
    <font>
      <sz val="11"/>
      <color rgb="FFFF0000"/>
      <name val="Arial"/>
      <family val="2"/>
    </font>
    <font>
      <b/>
      <sz val="12"/>
      <color rgb="FFFFFFFF"/>
      <name val="Arial"/>
      <family val="2"/>
    </font>
    <font>
      <sz val="8"/>
      <color rgb="FF666666"/>
      <name val="Arial"/>
      <family val="2"/>
    </font>
    <font>
      <i/>
      <sz val="11"/>
      <color theme="1"/>
      <name val="Arial"/>
      <family val="2"/>
    </font>
    <font>
      <b/>
      <sz val="9"/>
      <color rgb="FF000000"/>
      <name val="Tahoma"/>
      <family val="2"/>
    </font>
    <font>
      <sz val="9"/>
      <color rgb="FF000000"/>
      <name val="Tahoma"/>
      <family val="2"/>
    </font>
    <font>
      <sz val="14"/>
      <color rgb="FF000000"/>
      <name val="-webkit-standard"/>
    </font>
    <font>
      <b/>
      <sz val="11"/>
      <color rgb="FF000000"/>
      <name val="Arial"/>
      <family val="2"/>
    </font>
    <font>
      <sz val="11"/>
      <color rgb="FF000000"/>
      <name val="Arial"/>
      <family val="2"/>
    </font>
    <font>
      <sz val="11"/>
      <color rgb="FF006100"/>
      <name val="Arial"/>
      <family val="2"/>
    </font>
    <font>
      <sz val="11"/>
      <color rgb="FF9C5700"/>
      <name val="Arial"/>
      <family val="2"/>
    </font>
    <font>
      <sz val="11"/>
      <color rgb="FF000000"/>
      <name val="Arial"/>
      <family val="2"/>
    </font>
    <font>
      <b/>
      <sz val="11"/>
      <color rgb="FFFFFFFF"/>
      <name val="Arial"/>
      <family val="2"/>
    </font>
    <font>
      <b/>
      <sz val="16"/>
      <color rgb="FFFFFFFF"/>
      <name val="Arial"/>
      <family val="2"/>
    </font>
    <font>
      <i/>
      <sz val="10"/>
      <color rgb="FFFFFFFF"/>
      <name val="Arial"/>
      <family val="2"/>
    </font>
    <font>
      <b/>
      <sz val="11"/>
      <color rgb="FF0000FF"/>
      <name val="Arial"/>
      <family val="2"/>
    </font>
    <font>
      <b/>
      <sz val="11"/>
      <color rgb="FF008000"/>
      <name val="Arial"/>
      <family val="2"/>
    </font>
    <font>
      <b/>
      <sz val="11"/>
      <color rgb="FFFF0000"/>
      <name val="Arial"/>
      <family val="2"/>
    </font>
    <font>
      <sz val="11"/>
      <color theme="1"/>
      <name val="Calibri"/>
      <family val="2"/>
    </font>
    <font>
      <b/>
      <sz val="11"/>
      <color theme="1"/>
      <name val="Calibri"/>
      <family val="2"/>
    </font>
    <font>
      <b/>
      <sz val="11"/>
      <color rgb="FFFFFFFF"/>
      <name val="Calibri"/>
      <family val="2"/>
    </font>
    <font>
      <b/>
      <sz val="11"/>
      <color theme="2"/>
      <name val="Calibri"/>
      <family val="2"/>
    </font>
    <font>
      <b/>
      <sz val="11"/>
      <name val="Calibri"/>
      <family val="2"/>
    </font>
    <font>
      <sz val="11"/>
      <name val="Calibri"/>
      <family val="2"/>
    </font>
    <font>
      <b/>
      <sz val="11"/>
      <color theme="0"/>
      <name val="Calibri"/>
      <family val="2"/>
    </font>
    <font>
      <b/>
      <sz val="11"/>
      <color rgb="FF1B4F72"/>
      <name val="Calibri"/>
      <family val="2"/>
    </font>
    <font>
      <sz val="11"/>
      <color rgb="FF000000"/>
      <name val="Calibri"/>
      <family val="2"/>
    </font>
    <font>
      <sz val="11"/>
      <color rgb="FF9C5700"/>
      <name val="Calibri"/>
      <family val="2"/>
    </font>
    <font>
      <sz val="11"/>
      <color rgb="FF006100"/>
      <name val="Calibri"/>
      <family val="2"/>
    </font>
    <font>
      <b/>
      <sz val="11"/>
      <color rgb="FF1F1F1F"/>
      <name val="Calibri"/>
      <family val="2"/>
    </font>
    <font>
      <sz val="11"/>
      <color rgb="FF1F1F1F"/>
      <name val="Calibri"/>
      <family val="2"/>
    </font>
    <font>
      <sz val="11"/>
      <color rgb="FF0000FF"/>
      <name val="Calibri"/>
      <family val="2"/>
    </font>
    <font>
      <b/>
      <sz val="11"/>
      <color rgb="FF0000FF"/>
      <name val="Calibri"/>
      <family val="2"/>
    </font>
    <font>
      <sz val="11"/>
      <color rgb="FF404040"/>
      <name val="Calibri"/>
      <family val="2"/>
    </font>
    <font>
      <sz val="11"/>
      <color rgb="FF006400"/>
      <name val="Calibri"/>
      <family val="2"/>
    </font>
    <font>
      <b/>
      <sz val="11"/>
      <color rgb="FF404040"/>
      <name val="Calibri"/>
      <family val="2"/>
    </font>
    <font>
      <sz val="11"/>
      <color rgb="FF666666"/>
      <name val="Calibri"/>
      <family val="2"/>
    </font>
    <font>
      <b/>
      <sz val="11"/>
      <color rgb="FFFF0000"/>
      <name val="Calibri"/>
      <family val="2"/>
    </font>
    <font>
      <sz val="11"/>
      <color rgb="FF555555"/>
      <name val="Calibri"/>
      <family val="2"/>
    </font>
    <font>
      <sz val="11"/>
      <color theme="2"/>
      <name val="Calibri"/>
      <family val="2"/>
    </font>
    <font>
      <i/>
      <sz val="11"/>
      <color theme="1"/>
      <name val="Calibri"/>
      <family val="2"/>
    </font>
    <font>
      <sz val="10"/>
      <color rgb="FF404040"/>
      <name val="Arial"/>
      <family val="2"/>
    </font>
    <font>
      <sz val="11"/>
      <color rgb="FF008000"/>
      <name val="Arial"/>
      <family val="2"/>
    </font>
    <font>
      <sz val="11"/>
      <color rgb="FF666666"/>
      <name val="Arial"/>
      <family val="2"/>
    </font>
    <font>
      <sz val="10"/>
      <color rgb="FF666666"/>
      <name val="Arial"/>
      <family val="2"/>
    </font>
    <font>
      <sz val="10"/>
      <color rgb="FF666666"/>
      <name val="Calibri"/>
      <family val="2"/>
    </font>
    <font>
      <b/>
      <sz val="13"/>
      <color rgb="FFFFFFFF"/>
      <name val="Arial"/>
      <family val="2"/>
    </font>
    <font>
      <sz val="11"/>
      <color rgb="FF0000FF"/>
      <name val="Arial"/>
      <family val="2"/>
    </font>
    <font>
      <b/>
      <sz val="12"/>
      <color theme="1"/>
      <name val="Arial"/>
      <family val="2"/>
    </font>
    <font>
      <sz val="11"/>
      <color rgb="FF0000FF"/>
      <name val="Aptos Narrow"/>
      <family val="2"/>
      <scheme val="minor"/>
    </font>
    <font>
      <i/>
      <sz val="9"/>
      <color theme="1"/>
      <name val="Arial"/>
      <family val="2"/>
    </font>
  </fonts>
  <fills count="74">
    <fill>
      <patternFill patternType="none"/>
    </fill>
    <fill>
      <patternFill patternType="gray125"/>
    </fill>
    <fill>
      <patternFill patternType="solid">
        <fgColor theme="9" tint="0.39997558519241921"/>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rgb="FF0070C0"/>
        <bgColor indexed="64"/>
      </patternFill>
    </fill>
    <fill>
      <patternFill patternType="solid">
        <fgColor rgb="FFFFFF00"/>
        <bgColor indexed="64"/>
      </patternFill>
    </fill>
    <fill>
      <patternFill patternType="solid">
        <fgColor theme="8" tint="0.79998168889431442"/>
        <bgColor indexed="64"/>
      </patternFill>
    </fill>
    <fill>
      <patternFill patternType="solid">
        <fgColor rgb="FF002060"/>
        <bgColor indexed="64"/>
      </patternFill>
    </fill>
    <fill>
      <patternFill patternType="solid">
        <fgColor theme="7" tint="0.59999389629810485"/>
        <bgColor indexed="64"/>
      </patternFill>
    </fill>
    <fill>
      <patternFill patternType="solid">
        <fgColor theme="4" tint="0.79998168889431442"/>
        <bgColor theme="4" tint="0.79998168889431442"/>
      </patternFill>
    </fill>
    <fill>
      <patternFill patternType="solid">
        <fgColor theme="3"/>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FFF2CC"/>
        <bgColor rgb="FFFFF2CC"/>
      </patternFill>
    </fill>
    <fill>
      <patternFill patternType="solid">
        <fgColor theme="6" tint="0.79998168889431442"/>
        <bgColor indexed="64"/>
      </patternFill>
    </fill>
    <fill>
      <patternFill patternType="solid">
        <fgColor theme="9"/>
        <bgColor indexed="64"/>
      </patternFill>
    </fill>
    <fill>
      <patternFill patternType="solid">
        <fgColor rgb="FFF8F9FA"/>
        <bgColor rgb="FFFFFFFF"/>
      </patternFill>
    </fill>
    <fill>
      <patternFill patternType="solid">
        <fgColor rgb="FFD6EAF8"/>
        <bgColor rgb="FFE8F8F0"/>
      </patternFill>
    </fill>
    <fill>
      <patternFill patternType="solid">
        <fgColor rgb="FFEBF5FB"/>
      </patternFill>
    </fill>
    <fill>
      <patternFill patternType="solid">
        <fgColor rgb="FFFFFFFF"/>
      </patternFill>
    </fill>
    <fill>
      <patternFill patternType="solid">
        <fgColor rgb="FF2E4057"/>
      </patternFill>
    </fill>
    <fill>
      <patternFill patternType="solid">
        <fgColor rgb="FF37474F"/>
      </patternFill>
    </fill>
    <fill>
      <patternFill patternType="solid">
        <fgColor rgb="FFF5F5F5"/>
      </patternFill>
    </fill>
    <fill>
      <patternFill patternType="solid">
        <fgColor rgb="FFFFFDE7"/>
      </patternFill>
    </fill>
    <fill>
      <patternFill patternType="solid">
        <fgColor rgb="FF1B4332"/>
      </patternFill>
    </fill>
    <fill>
      <patternFill patternType="solid">
        <fgColor rgb="FFF9F9F9"/>
      </patternFill>
    </fill>
    <fill>
      <patternFill patternType="solid">
        <fgColor rgb="FFFFF9C4"/>
      </patternFill>
    </fill>
    <fill>
      <patternFill patternType="solid">
        <fgColor rgb="FF7B2D00"/>
      </patternFill>
    </fill>
    <fill>
      <patternFill patternType="solid">
        <fgColor rgb="FF00394A"/>
      </patternFill>
    </fill>
    <fill>
      <patternFill patternType="solid">
        <fgColor rgb="FF3B1F5E"/>
      </patternFill>
    </fill>
    <fill>
      <patternFill patternType="solid">
        <fgColor rgb="FF7A0000"/>
      </patternFill>
    </fill>
    <fill>
      <patternFill patternType="solid">
        <fgColor rgb="FFECEFF1"/>
      </patternFill>
    </fill>
    <fill>
      <patternFill patternType="solid">
        <fgColor rgb="FF1F4E79"/>
      </patternFill>
    </fill>
    <fill>
      <patternFill patternType="solid">
        <fgColor rgb="FF37474F"/>
      </patternFill>
    </fill>
    <fill>
      <patternFill patternType="solid">
        <fgColor theme="0"/>
        <bgColor indexed="64"/>
      </patternFill>
    </fill>
    <fill>
      <patternFill patternType="solid">
        <fgColor theme="6" tint="0.39997558519241921"/>
        <bgColor indexed="64"/>
      </patternFill>
    </fill>
    <fill>
      <patternFill patternType="solid">
        <fgColor rgb="FF37474F"/>
        <bgColor indexed="64"/>
      </patternFill>
    </fill>
    <fill>
      <patternFill patternType="solid">
        <fgColor theme="0"/>
        <bgColor theme="4" tint="0.79998168889431442"/>
      </patternFill>
    </fill>
    <fill>
      <patternFill patternType="solid">
        <fgColor rgb="FFC6EFCE"/>
      </patternFill>
    </fill>
    <fill>
      <patternFill patternType="solid">
        <fgColor rgb="FFFFEB9C"/>
      </patternFill>
    </fill>
    <fill>
      <patternFill patternType="solid">
        <fgColor theme="4"/>
        <bgColor theme="4"/>
      </patternFill>
    </fill>
    <fill>
      <patternFill patternType="solid">
        <fgColor rgb="FFFFFFFF"/>
        <bgColor indexed="64"/>
      </patternFill>
    </fill>
    <fill>
      <patternFill patternType="solid">
        <fgColor rgb="FF1F4E79"/>
        <bgColor indexed="64"/>
      </patternFill>
    </fill>
    <fill>
      <patternFill patternType="solid">
        <fgColor rgb="FF1F4E78"/>
        <bgColor indexed="64"/>
      </patternFill>
    </fill>
    <fill>
      <patternFill patternType="solid">
        <fgColor rgb="FFFFE699"/>
        <bgColor indexed="64"/>
      </patternFill>
    </fill>
    <fill>
      <patternFill patternType="solid">
        <fgColor rgb="FF305496"/>
        <bgColor indexed="64"/>
      </patternFill>
    </fill>
    <fill>
      <patternFill patternType="solid">
        <fgColor rgb="FFC6E0B4"/>
        <bgColor indexed="64"/>
      </patternFill>
    </fill>
    <fill>
      <patternFill patternType="solid">
        <fgColor rgb="FFBDD7EE"/>
        <bgColor indexed="64"/>
      </patternFill>
    </fill>
    <fill>
      <patternFill patternType="solid">
        <fgColor rgb="FFF4B084"/>
        <bgColor indexed="64"/>
      </patternFill>
    </fill>
    <fill>
      <patternFill patternType="solid">
        <fgColor rgb="FFD9D9D9"/>
        <bgColor indexed="64"/>
      </patternFill>
    </fill>
    <fill>
      <patternFill patternType="solid">
        <fgColor rgb="FF00B050"/>
        <bgColor indexed="64"/>
      </patternFill>
    </fill>
    <fill>
      <patternFill patternType="solid">
        <fgColor rgb="FFB4E5FF"/>
        <bgColor indexed="64"/>
      </patternFill>
    </fill>
    <fill>
      <patternFill patternType="solid">
        <fgColor rgb="FFC8E6C9"/>
        <bgColor indexed="64"/>
      </patternFill>
    </fill>
    <fill>
      <patternFill patternType="solid">
        <fgColor rgb="FFF8BBD0"/>
        <bgColor indexed="64"/>
      </patternFill>
    </fill>
    <fill>
      <patternFill patternType="solid">
        <fgColor rgb="FFFFF59D"/>
        <bgColor indexed="64"/>
      </patternFill>
    </fill>
    <fill>
      <patternFill patternType="solid">
        <fgColor rgb="FFD1C4E9"/>
        <bgColor indexed="64"/>
      </patternFill>
    </fill>
    <fill>
      <patternFill patternType="solid">
        <fgColor rgb="FFFFCCBC"/>
        <bgColor indexed="64"/>
      </patternFill>
    </fill>
    <fill>
      <patternFill patternType="solid">
        <fgColor rgb="FFB2DFDB"/>
        <bgColor indexed="64"/>
      </patternFill>
    </fill>
    <fill>
      <patternFill patternType="solid">
        <fgColor rgb="FFF0E68C"/>
        <bgColor indexed="64"/>
      </patternFill>
    </fill>
    <fill>
      <patternFill patternType="solid">
        <fgColor rgb="FFE1BEE7"/>
        <bgColor indexed="64"/>
      </patternFill>
    </fill>
    <fill>
      <patternFill patternType="solid">
        <fgColor rgb="FFFFD180"/>
        <bgColor indexed="64"/>
      </patternFill>
    </fill>
    <fill>
      <patternFill patternType="solid">
        <fgColor rgb="FFC5CAE9"/>
        <bgColor indexed="64"/>
      </patternFill>
    </fill>
    <fill>
      <patternFill patternType="solid">
        <fgColor rgb="FFFFAB91"/>
        <bgColor indexed="64"/>
      </patternFill>
    </fill>
    <fill>
      <patternFill patternType="solid">
        <fgColor rgb="FF80DEEA"/>
        <bgColor indexed="64"/>
      </patternFill>
    </fill>
    <fill>
      <patternFill patternType="solid">
        <fgColor rgb="FFA5D6A7"/>
        <bgColor indexed="64"/>
      </patternFill>
    </fill>
    <fill>
      <patternFill patternType="solid">
        <fgColor rgb="FFF48FB1"/>
        <bgColor indexed="64"/>
      </patternFill>
    </fill>
    <fill>
      <patternFill patternType="solid">
        <fgColor rgb="FFFFE082"/>
        <bgColor indexed="64"/>
      </patternFill>
    </fill>
    <fill>
      <patternFill patternType="solid">
        <fgColor rgb="FF7030A0"/>
        <bgColor indexed="64"/>
      </patternFill>
    </fill>
    <fill>
      <patternFill patternType="solid">
        <fgColor rgb="FFEBF5FB"/>
        <bgColor indexed="64"/>
      </patternFill>
    </fill>
    <fill>
      <patternFill patternType="solid">
        <fgColor rgb="FF2E4057"/>
        <bgColor indexed="64"/>
      </patternFill>
    </fill>
    <fill>
      <patternFill patternType="solid">
        <fgColor rgb="FFFFF2CC"/>
        <bgColor indexed="64"/>
      </patternFill>
    </fill>
    <fill>
      <patternFill patternType="solid">
        <fgColor rgb="FFD9E1F2"/>
        <bgColor indexed="64"/>
      </patternFill>
    </fill>
  </fills>
  <borders count="109">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auto="1"/>
      </top>
      <bottom/>
      <diagonal/>
    </border>
    <border>
      <left/>
      <right/>
      <top style="medium">
        <color indexed="64"/>
      </top>
      <bottom/>
      <diagonal/>
    </border>
    <border>
      <left style="thin">
        <color indexed="64"/>
      </left>
      <right style="thin">
        <color indexed="64"/>
      </right>
      <top style="thin">
        <color indexed="64"/>
      </top>
      <bottom style="medium">
        <color indexed="64"/>
      </bottom>
      <diagonal/>
    </border>
    <border>
      <left/>
      <right/>
      <top style="thin">
        <color auto="1"/>
      </top>
      <bottom/>
      <diagonal/>
    </border>
    <border>
      <left style="medium">
        <color indexed="64"/>
      </left>
      <right style="thin">
        <color indexed="64"/>
      </right>
      <top style="thin">
        <color indexed="64"/>
      </top>
      <bottom style="medium">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thin">
        <color auto="1"/>
      </left>
      <right/>
      <top style="thin">
        <color auto="1"/>
      </top>
      <bottom style="thin">
        <color auto="1"/>
      </bottom>
      <diagonal/>
    </border>
    <border>
      <left/>
      <right/>
      <top style="thin">
        <color theme="1"/>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auto="1"/>
      </left>
      <right style="medium">
        <color indexed="64"/>
      </right>
      <top style="medium">
        <color indexed="64"/>
      </top>
      <bottom style="thin">
        <color auto="1"/>
      </bottom>
      <diagonal/>
    </border>
    <border>
      <left/>
      <right/>
      <top style="thin">
        <color indexed="64"/>
      </top>
      <bottom style="thin">
        <color indexed="64"/>
      </bottom>
      <diagonal/>
    </border>
    <border>
      <left/>
      <right/>
      <top style="thin">
        <color auto="1"/>
      </top>
      <bottom style="medium">
        <color indexed="64"/>
      </bottom>
      <diagonal/>
    </border>
    <border>
      <left/>
      <right style="thick">
        <color indexed="64"/>
      </right>
      <top/>
      <bottom/>
      <diagonal/>
    </border>
    <border>
      <left style="thin">
        <color auto="1"/>
      </left>
      <right style="thick">
        <color indexed="64"/>
      </right>
      <top style="thin">
        <color auto="1"/>
      </top>
      <bottom style="thin">
        <color auto="1"/>
      </bottom>
      <diagonal/>
    </border>
    <border>
      <left style="thin">
        <color auto="1"/>
      </left>
      <right style="thick">
        <color indexed="64"/>
      </right>
      <top style="medium">
        <color indexed="64"/>
      </top>
      <bottom style="thin">
        <color auto="1"/>
      </bottom>
      <diagonal/>
    </border>
    <border>
      <left style="thin">
        <color indexed="64"/>
      </left>
      <right style="thick">
        <color indexed="64"/>
      </right>
      <top style="thin">
        <color indexed="64"/>
      </top>
      <bottom style="medium">
        <color indexed="64"/>
      </bottom>
      <diagonal/>
    </border>
    <border>
      <left/>
      <right style="thick">
        <color indexed="64"/>
      </right>
      <top/>
      <bottom style="medium">
        <color indexed="64"/>
      </bottom>
      <diagonal/>
    </border>
    <border>
      <left/>
      <right style="thick">
        <color indexed="64"/>
      </right>
      <top style="medium">
        <color indexed="64"/>
      </top>
      <bottom style="medium">
        <color indexed="64"/>
      </bottom>
      <diagonal/>
    </border>
    <border>
      <left style="medium">
        <color indexed="64"/>
      </left>
      <right style="thick">
        <color indexed="64"/>
      </right>
      <top style="medium">
        <color indexed="64"/>
      </top>
      <bottom style="medium">
        <color indexed="64"/>
      </bottom>
      <diagonal/>
    </border>
    <border>
      <left/>
      <right style="thick">
        <color indexed="64"/>
      </right>
      <top style="medium">
        <color indexed="64"/>
      </top>
      <bottom/>
      <diagonal/>
    </border>
    <border>
      <left style="thick">
        <color indexed="64"/>
      </left>
      <right style="thick">
        <color indexed="64"/>
      </right>
      <top style="thin">
        <color indexed="64"/>
      </top>
      <bottom style="thin">
        <color auto="1"/>
      </bottom>
      <diagonal/>
    </border>
    <border>
      <left/>
      <right/>
      <top/>
      <bottom style="thick">
        <color indexed="64"/>
      </bottom>
      <diagonal/>
    </border>
    <border>
      <left/>
      <right style="thin">
        <color auto="1"/>
      </right>
      <top style="thin">
        <color auto="1"/>
      </top>
      <bottom style="thin">
        <color auto="1"/>
      </bottom>
      <diagonal/>
    </border>
    <border>
      <left style="thin">
        <color rgb="FFCFD8DC"/>
      </left>
      <right style="thin">
        <color rgb="FFCFD8DC"/>
      </right>
      <top style="thin">
        <color rgb="FFCFD8DC"/>
      </top>
      <bottom style="thin">
        <color rgb="FFCFD8D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medium">
        <color rgb="FF888888"/>
      </left>
      <right style="medium">
        <color rgb="FF888888"/>
      </right>
      <top style="medium">
        <color rgb="FF888888"/>
      </top>
      <bottom style="medium">
        <color rgb="FF888888"/>
      </bottom>
      <diagonal/>
    </border>
    <border>
      <left style="thin">
        <color rgb="FFCCCCCC"/>
      </left>
      <right style="thin">
        <color rgb="FFCCCCCC"/>
      </right>
      <top style="thin">
        <color rgb="FFCCCCCC"/>
      </top>
      <bottom style="thin">
        <color rgb="FFCCCCCC"/>
      </bottom>
      <diagonal/>
    </border>
    <border>
      <left style="thin">
        <color rgb="FFCCCCCC"/>
      </left>
      <right/>
      <top/>
      <bottom/>
      <diagonal/>
    </border>
    <border>
      <left style="thin">
        <color rgb="FFCCCCCC"/>
      </left>
      <right/>
      <top style="thin">
        <color rgb="FFCCCCCC"/>
      </top>
      <bottom style="thin">
        <color auto="1"/>
      </bottom>
      <diagonal/>
    </border>
    <border>
      <left/>
      <right/>
      <top style="thin">
        <color rgb="FFCCCCCC"/>
      </top>
      <bottom style="thin">
        <color auto="1"/>
      </bottom>
      <diagonal/>
    </border>
    <border>
      <left/>
      <right style="thin">
        <color rgb="FFCCCCCC"/>
      </right>
      <top style="thin">
        <color rgb="FFCCCCCC"/>
      </top>
      <bottom style="thin">
        <color auto="1"/>
      </bottom>
      <diagonal/>
    </border>
    <border>
      <left style="thin">
        <color rgb="FFCCCCCC"/>
      </left>
      <right style="thin">
        <color rgb="FFCCCCCC"/>
      </right>
      <top style="thin">
        <color rgb="FFCCCCCC"/>
      </top>
      <bottom/>
      <diagonal/>
    </border>
    <border>
      <left style="thin">
        <color auto="1"/>
      </left>
      <right style="thin">
        <color auto="1"/>
      </right>
      <top/>
      <bottom style="thin">
        <color auto="1"/>
      </bottom>
      <diagonal/>
    </border>
    <border>
      <left/>
      <right style="thick">
        <color theme="1"/>
      </right>
      <top style="medium">
        <color indexed="64"/>
      </top>
      <bottom/>
      <diagonal/>
    </border>
    <border>
      <left/>
      <right style="thick">
        <color theme="1"/>
      </right>
      <top style="medium">
        <color indexed="64"/>
      </top>
      <bottom style="medium">
        <color indexed="64"/>
      </bottom>
      <diagonal/>
    </border>
    <border>
      <left/>
      <right style="thick">
        <color theme="1"/>
      </right>
      <top/>
      <bottom/>
      <diagonal/>
    </border>
    <border>
      <left/>
      <right style="thick">
        <color theme="1"/>
      </right>
      <top style="thin">
        <color indexed="64"/>
      </top>
      <bottom style="thin">
        <color indexed="64"/>
      </bottom>
      <diagonal/>
    </border>
    <border>
      <left style="thick">
        <color theme="1"/>
      </left>
      <right style="thick">
        <color theme="1"/>
      </right>
      <top style="thick">
        <color theme="1"/>
      </top>
      <bottom style="thick">
        <color theme="1"/>
      </bottom>
      <diagonal/>
    </border>
    <border>
      <left style="thin">
        <color theme="1"/>
      </left>
      <right style="thin">
        <color theme="1"/>
      </right>
      <top style="thin">
        <color theme="1"/>
      </top>
      <bottom style="thin">
        <color theme="1"/>
      </bottom>
      <diagonal/>
    </border>
    <border>
      <left style="thin">
        <color rgb="FFCCCCCC"/>
      </left>
      <right style="thin">
        <color rgb="FFCCCCCC"/>
      </right>
      <top/>
      <bottom/>
      <diagonal/>
    </border>
    <border>
      <left style="medium">
        <color rgb="FF999999"/>
      </left>
      <right style="medium">
        <color rgb="FF999999"/>
      </right>
      <top style="medium">
        <color rgb="FF999999"/>
      </top>
      <bottom/>
      <diagonal/>
    </border>
    <border>
      <left/>
      <right style="thin">
        <color auto="1"/>
      </right>
      <top/>
      <bottom style="thin">
        <color auto="1"/>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style="thin">
        <color theme="4" tint="0.39997558519241921"/>
      </top>
      <bottom style="thin">
        <color theme="4" tint="0.39997558519241921"/>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indexed="64"/>
      </left>
      <right style="thin">
        <color theme="4"/>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medium">
        <color indexed="64"/>
      </left>
      <right style="thin">
        <color rgb="FFCCCCCC"/>
      </right>
      <top style="medium">
        <color indexed="64"/>
      </top>
      <bottom/>
      <diagonal/>
    </border>
    <border>
      <left style="thin">
        <color rgb="FFCCCCCC"/>
      </left>
      <right style="medium">
        <color indexed="64"/>
      </right>
      <top style="medium">
        <color indexed="64"/>
      </top>
      <bottom/>
      <diagonal/>
    </border>
    <border>
      <left style="thin">
        <color auto="1"/>
      </left>
      <right style="medium">
        <color indexed="64"/>
      </right>
      <top style="thin">
        <color auto="1"/>
      </top>
      <bottom style="medium">
        <color indexed="64"/>
      </bottom>
      <diagonal/>
    </border>
    <border>
      <left style="medium">
        <color indexed="64"/>
      </left>
      <right style="thin">
        <color theme="1"/>
      </right>
      <top style="medium">
        <color indexed="64"/>
      </top>
      <bottom style="thin">
        <color theme="1"/>
      </bottom>
      <diagonal/>
    </border>
    <border>
      <left style="thin">
        <color theme="1"/>
      </left>
      <right style="thin">
        <color theme="1"/>
      </right>
      <top style="medium">
        <color indexed="64"/>
      </top>
      <bottom style="thin">
        <color theme="1"/>
      </bottom>
      <diagonal/>
    </border>
    <border>
      <left style="thin">
        <color theme="1"/>
      </left>
      <right style="medium">
        <color indexed="64"/>
      </right>
      <top style="medium">
        <color indexed="64"/>
      </top>
      <bottom style="thin">
        <color theme="1"/>
      </bottom>
      <diagonal/>
    </border>
    <border>
      <left/>
      <right style="medium">
        <color indexed="64"/>
      </right>
      <top/>
      <bottom/>
      <diagonal/>
    </border>
    <border>
      <left style="thin">
        <color theme="1"/>
      </left>
      <right style="thin">
        <color theme="1"/>
      </right>
      <top style="thin">
        <color theme="1"/>
      </top>
      <bottom/>
      <diagonal/>
    </border>
    <border>
      <left style="thin">
        <color theme="1"/>
      </left>
      <right/>
      <top style="thin">
        <color theme="1"/>
      </top>
      <bottom/>
      <diagonal/>
    </border>
    <border>
      <left style="medium">
        <color indexed="64"/>
      </left>
      <right style="thin">
        <color theme="1"/>
      </right>
      <top style="thin">
        <color theme="1"/>
      </top>
      <bottom/>
      <diagonal/>
    </border>
    <border>
      <left style="thin">
        <color theme="1"/>
      </left>
      <right style="medium">
        <color indexed="64"/>
      </right>
      <top style="thin">
        <color theme="1"/>
      </top>
      <bottom/>
      <diagonal/>
    </border>
    <border>
      <left style="thin">
        <color indexed="64"/>
      </left>
      <right style="thin">
        <color theme="1"/>
      </right>
      <top style="thin">
        <color theme="1"/>
      </top>
      <bottom/>
      <diagonal/>
    </border>
    <border>
      <left style="thin">
        <color indexed="64"/>
      </left>
      <right style="thin">
        <color theme="1"/>
      </right>
      <top style="medium">
        <color indexed="64"/>
      </top>
      <bottom style="thin">
        <color theme="1"/>
      </bottom>
      <diagonal/>
    </border>
    <border>
      <left style="thin">
        <color theme="1"/>
      </left>
      <right style="thin">
        <color indexed="64"/>
      </right>
      <top style="medium">
        <color indexed="64"/>
      </top>
      <bottom style="thin">
        <color theme="1"/>
      </bottom>
      <diagonal/>
    </border>
    <border>
      <left style="thin">
        <color indexed="64"/>
      </left>
      <right/>
      <top style="medium">
        <color indexed="64"/>
      </top>
      <bottom/>
      <diagonal/>
    </border>
    <border>
      <left style="thin">
        <color rgb="FF888888"/>
      </left>
      <right style="thin">
        <color rgb="FF888888"/>
      </right>
      <top style="thin">
        <color rgb="FF888888"/>
      </top>
      <bottom style="thin">
        <color rgb="FF888888"/>
      </bottom>
      <diagonal/>
    </border>
    <border>
      <left style="thin">
        <color rgb="FF888888"/>
      </left>
      <right style="thin">
        <color rgb="FF888888"/>
      </right>
      <top/>
      <bottom style="thin">
        <color rgb="FF888888"/>
      </bottom>
      <diagonal/>
    </border>
    <border>
      <left style="thin">
        <color rgb="FF888888"/>
      </left>
      <right style="thin">
        <color rgb="FF888888"/>
      </right>
      <top style="thin">
        <color rgb="FF888888"/>
      </top>
      <bottom/>
      <diagonal/>
    </border>
    <border>
      <left style="thin">
        <color rgb="FF888888"/>
      </left>
      <right style="thin">
        <color rgb="FF888888"/>
      </right>
      <top/>
      <bottom/>
      <diagonal/>
    </border>
    <border>
      <left style="thin">
        <color theme="1"/>
      </left>
      <right/>
      <top style="thin">
        <color theme="1"/>
      </top>
      <bottom style="thin">
        <color theme="1"/>
      </bottom>
      <diagonal/>
    </border>
    <border>
      <left style="thin">
        <color rgb="FF888888"/>
      </left>
      <right/>
      <top style="thin">
        <color rgb="FF888888"/>
      </top>
      <bottom style="thin">
        <color rgb="FF888888"/>
      </bottom>
      <diagonal/>
    </border>
    <border>
      <left style="thin">
        <color rgb="FF888888"/>
      </left>
      <right/>
      <top style="thin">
        <color rgb="FF888888"/>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indexed="64"/>
      </right>
      <top/>
      <bottom/>
      <diagonal/>
    </border>
    <border>
      <left style="thick">
        <color indexed="64"/>
      </left>
      <right/>
      <top style="thin">
        <color auto="1"/>
      </top>
      <bottom/>
      <diagonal/>
    </border>
    <border>
      <left style="thick">
        <color indexed="64"/>
      </left>
      <right/>
      <top/>
      <bottom/>
      <diagonal/>
    </border>
    <border>
      <left style="thick">
        <color indexed="64"/>
      </left>
      <right/>
      <top/>
      <bottom style="thin">
        <color auto="1"/>
      </bottom>
      <diagonal/>
    </border>
  </borders>
  <cellStyleXfs count="13">
    <xf numFmtId="0" fontId="0" fillId="0" borderId="0"/>
    <xf numFmtId="0" fontId="3" fillId="0" borderId="0"/>
    <xf numFmtId="44" fontId="3" fillId="0" borderId="0"/>
    <xf numFmtId="43" fontId="3" fillId="0" borderId="0"/>
    <xf numFmtId="0" fontId="1" fillId="0" borderId="0"/>
    <xf numFmtId="9" fontId="3" fillId="0" borderId="0" applyFont="0" applyFill="0" applyBorder="0" applyAlignment="0" applyProtection="0"/>
    <xf numFmtId="0" fontId="9" fillId="0" borderId="0" applyNumberFormat="0" applyFill="0" applyBorder="0" applyAlignment="0" applyProtection="0">
      <alignment vertical="top"/>
      <protection locked="0"/>
    </xf>
    <xf numFmtId="0" fontId="1" fillId="0" borderId="0"/>
    <xf numFmtId="44" fontId="3" fillId="0" borderId="0" applyFont="0" applyFill="0" applyBorder="0" applyAlignment="0" applyProtection="0"/>
    <xf numFmtId="0" fontId="11" fillId="0" borderId="0" applyNumberFormat="0" applyFill="0" applyBorder="0" applyAlignment="0" applyProtection="0">
      <alignment vertical="top"/>
      <protection locked="0"/>
    </xf>
    <xf numFmtId="0" fontId="13" fillId="0" borderId="0"/>
    <xf numFmtId="0" fontId="24" fillId="40" borderId="0" applyNumberFormat="0" applyBorder="0" applyAlignment="0" applyProtection="0"/>
    <xf numFmtId="0" fontId="25" fillId="41" borderId="0" applyNumberFormat="0" applyBorder="0" applyAlignment="0" applyProtection="0"/>
  </cellStyleXfs>
  <cellXfs count="659">
    <xf numFmtId="0" fontId="0" fillId="0" borderId="0" xfId="0"/>
    <xf numFmtId="0" fontId="3" fillId="0" borderId="0" xfId="1"/>
    <xf numFmtId="1" fontId="0" fillId="0" borderId="0" xfId="0" applyNumberFormat="1"/>
    <xf numFmtId="0" fontId="0" fillId="7" borderId="0" xfId="0" applyFill="1"/>
    <xf numFmtId="0" fontId="6" fillId="0" borderId="0" xfId="1" applyFont="1"/>
    <xf numFmtId="0" fontId="4" fillId="0" borderId="0" xfId="1" applyFont="1"/>
    <xf numFmtId="165" fontId="0" fillId="0" borderId="0" xfId="0" applyNumberFormat="1"/>
    <xf numFmtId="0" fontId="1" fillId="0" borderId="0" xfId="1" applyFont="1"/>
    <xf numFmtId="0" fontId="2" fillId="0" borderId="0" xfId="0" applyFont="1" applyAlignment="1">
      <alignment horizontal="center" vertical="center" wrapText="1"/>
    </xf>
    <xf numFmtId="167" fontId="3" fillId="0" borderId="0" xfId="1" applyNumberFormat="1"/>
    <xf numFmtId="0" fontId="1" fillId="0" borderId="9" xfId="1" applyFont="1" applyBorder="1"/>
    <xf numFmtId="165" fontId="1" fillId="0" borderId="0" xfId="1" applyNumberFormat="1" applyFont="1"/>
    <xf numFmtId="0" fontId="0" fillId="0" borderId="0" xfId="0" applyAlignment="1">
      <alignment wrapText="1"/>
    </xf>
    <xf numFmtId="165" fontId="3" fillId="0" borderId="0" xfId="1" applyNumberFormat="1"/>
    <xf numFmtId="165" fontId="10" fillId="0" borderId="0" xfId="1" applyNumberFormat="1" applyFont="1"/>
    <xf numFmtId="167" fontId="10" fillId="0" borderId="0" xfId="1" applyNumberFormat="1" applyFont="1"/>
    <xf numFmtId="9" fontId="3" fillId="0" borderId="0" xfId="1" applyNumberFormat="1"/>
    <xf numFmtId="8" fontId="3" fillId="0" borderId="0" xfId="1" applyNumberFormat="1"/>
    <xf numFmtId="0" fontId="3" fillId="0" borderId="0" xfId="1" applyAlignment="1">
      <alignment horizontal="centerContinuous"/>
    </xf>
    <xf numFmtId="167" fontId="0" fillId="0" borderId="0" xfId="0" applyNumberFormat="1"/>
    <xf numFmtId="167" fontId="1" fillId="0" borderId="0" xfId="1" applyNumberFormat="1" applyFont="1"/>
    <xf numFmtId="0" fontId="13" fillId="0" borderId="0" xfId="10"/>
    <xf numFmtId="0" fontId="0" fillId="0" borderId="0" xfId="0" applyAlignment="1">
      <alignment horizontal="left"/>
    </xf>
    <xf numFmtId="0" fontId="0" fillId="0" borderId="0" xfId="0" applyAlignment="1">
      <alignment horizontal="left" vertical="center" wrapText="1"/>
    </xf>
    <xf numFmtId="0" fontId="2" fillId="0" borderId="0" xfId="0" applyFont="1" applyAlignment="1">
      <alignment horizontal="left" vertical="center" wrapText="1"/>
    </xf>
    <xf numFmtId="3" fontId="0" fillId="0" borderId="0" xfId="0" applyNumberFormat="1"/>
    <xf numFmtId="0" fontId="0" fillId="0" borderId="0" xfId="1" applyFont="1"/>
    <xf numFmtId="0" fontId="5" fillId="0" borderId="20" xfId="0" applyFont="1" applyBorder="1" applyAlignment="1">
      <alignment horizontal="left" vertical="center"/>
    </xf>
    <xf numFmtId="165" fontId="5" fillId="0" borderId="20" xfId="0" applyNumberFormat="1" applyFont="1" applyBorder="1" applyAlignment="1">
      <alignment horizontal="right"/>
    </xf>
    <xf numFmtId="0" fontId="0" fillId="0" borderId="20" xfId="1" applyFont="1" applyBorder="1"/>
    <xf numFmtId="49" fontId="0" fillId="0" borderId="20" xfId="1" applyNumberFormat="1" applyFont="1" applyBorder="1" applyAlignment="1">
      <alignment horizontal="left"/>
    </xf>
    <xf numFmtId="165" fontId="0" fillId="0" borderId="20" xfId="1" applyNumberFormat="1" applyFont="1" applyBorder="1"/>
    <xf numFmtId="165" fontId="0" fillId="0" borderId="20" xfId="0" applyNumberFormat="1" applyBorder="1"/>
    <xf numFmtId="0" fontId="0" fillId="7" borderId="20" xfId="1" applyFont="1" applyFill="1" applyBorder="1"/>
    <xf numFmtId="0" fontId="5" fillId="7" borderId="20" xfId="0" applyFont="1" applyFill="1" applyBorder="1" applyAlignment="1">
      <alignment horizontal="left" vertical="center"/>
    </xf>
    <xf numFmtId="0" fontId="0" fillId="7" borderId="20" xfId="0" applyFill="1" applyBorder="1"/>
    <xf numFmtId="165" fontId="0" fillId="7" borderId="20" xfId="0" applyNumberFormat="1" applyFill="1" applyBorder="1"/>
    <xf numFmtId="0" fontId="15" fillId="0" borderId="20" xfId="0" applyFont="1" applyBorder="1"/>
    <xf numFmtId="0" fontId="2" fillId="0" borderId="0" xfId="0" applyFont="1" applyAlignment="1">
      <alignment vertical="center" wrapText="1"/>
    </xf>
    <xf numFmtId="8" fontId="0" fillId="0" borderId="0" xfId="0" applyNumberFormat="1" applyAlignment="1">
      <alignment vertical="center" wrapText="1"/>
    </xf>
    <xf numFmtId="10" fontId="2" fillId="0" borderId="0" xfId="0" applyNumberFormat="1" applyFont="1" applyAlignment="1">
      <alignment vertical="center" wrapText="1"/>
    </xf>
    <xf numFmtId="8" fontId="2" fillId="0" borderId="0" xfId="0" applyNumberFormat="1" applyFont="1" applyAlignment="1">
      <alignment horizontal="left" vertical="center" wrapText="1"/>
    </xf>
    <xf numFmtId="10" fontId="2" fillId="0" borderId="0" xfId="0" applyNumberFormat="1" applyFont="1" applyAlignment="1">
      <alignment horizontal="left" vertical="center" wrapText="1"/>
    </xf>
    <xf numFmtId="0" fontId="3" fillId="0" borderId="0" xfId="1" applyAlignment="1">
      <alignment horizontal="center"/>
    </xf>
    <xf numFmtId="0" fontId="21" fillId="0" borderId="0" xfId="0" applyFont="1" applyAlignment="1">
      <alignment horizontal="center" vertical="center" wrapText="1"/>
    </xf>
    <xf numFmtId="0" fontId="13" fillId="0" borderId="0" xfId="10" applyAlignment="1">
      <alignment horizontal="center" vertical="center"/>
    </xf>
    <xf numFmtId="0" fontId="21" fillId="0" borderId="0" xfId="0" applyFont="1" applyAlignment="1">
      <alignment vertical="center" wrapText="1"/>
    </xf>
    <xf numFmtId="165" fontId="0" fillId="0" borderId="0" xfId="0" applyNumberFormat="1" applyAlignment="1">
      <alignment horizontal="center" vertical="center"/>
    </xf>
    <xf numFmtId="0" fontId="5" fillId="0" borderId="0" xfId="0" applyFont="1" applyAlignment="1">
      <alignment horizontal="left" vertical="center"/>
    </xf>
    <xf numFmtId="49" fontId="0" fillId="0" borderId="0" xfId="0" applyNumberFormat="1"/>
    <xf numFmtId="1" fontId="3" fillId="0" borderId="0" xfId="1" applyNumberFormat="1" applyAlignment="1">
      <alignment horizontal="center" vertical="center"/>
    </xf>
    <xf numFmtId="0" fontId="3" fillId="0" borderId="0" xfId="1" applyAlignment="1">
      <alignment horizontal="center" vertical="center"/>
    </xf>
    <xf numFmtId="166" fontId="3" fillId="0" borderId="0" xfId="1" applyNumberFormat="1" applyAlignment="1">
      <alignment horizontal="center" vertical="center"/>
    </xf>
    <xf numFmtId="0" fontId="0" fillId="0" borderId="20" xfId="0" applyBorder="1"/>
    <xf numFmtId="0" fontId="0" fillId="0" borderId="0" xfId="0"/>
    <xf numFmtId="0" fontId="26" fillId="43" borderId="20" xfId="1" applyFont="1" applyFill="1" applyBorder="1" applyAlignment="1">
      <alignment horizontal="left"/>
    </xf>
    <xf numFmtId="0" fontId="26" fillId="43" borderId="20" xfId="0" applyFont="1" applyFill="1" applyBorder="1" applyAlignment="1">
      <alignment horizontal="left"/>
    </xf>
    <xf numFmtId="0" fontId="0" fillId="0" borderId="20" xfId="0" applyBorder="1" applyAlignment="1">
      <alignment horizontal="left"/>
    </xf>
    <xf numFmtId="165" fontId="4" fillId="0" borderId="20" xfId="0" applyNumberFormat="1" applyFont="1" applyBorder="1"/>
    <xf numFmtId="0" fontId="0" fillId="0" borderId="20" xfId="0" applyBorder="1" applyAlignment="1">
      <alignment vertical="center"/>
    </xf>
    <xf numFmtId="0" fontId="0" fillId="0" borderId="20" xfId="1" applyFont="1" applyFill="1" applyBorder="1"/>
    <xf numFmtId="1" fontId="1" fillId="0" borderId="0" xfId="1" applyNumberFormat="1" applyFont="1" applyAlignment="1">
      <alignment horizontal="center" vertical="center"/>
    </xf>
    <xf numFmtId="0" fontId="27" fillId="45" borderId="0" xfId="0" applyFont="1" applyFill="1" applyAlignment="1">
      <alignment horizontal="center"/>
    </xf>
    <xf numFmtId="0" fontId="0" fillId="0" borderId="0" xfId="0" applyAlignment="1">
      <alignment horizontal="center"/>
    </xf>
    <xf numFmtId="0" fontId="27" fillId="38" borderId="0" xfId="0" applyFont="1" applyFill="1" applyAlignment="1">
      <alignment horizontal="center"/>
    </xf>
    <xf numFmtId="0" fontId="30" fillId="0" borderId="0" xfId="0" applyFont="1" applyAlignment="1">
      <alignment horizontal="center"/>
    </xf>
    <xf numFmtId="0" fontId="22" fillId="0" borderId="0" xfId="0" applyFont="1" applyAlignment="1">
      <alignment horizontal="center"/>
    </xf>
    <xf numFmtId="0" fontId="31" fillId="0" borderId="0" xfId="0" applyFont="1" applyAlignment="1">
      <alignment horizontal="center"/>
    </xf>
    <xf numFmtId="0" fontId="32" fillId="0" borderId="0" xfId="0" applyFont="1" applyAlignment="1">
      <alignment horizontal="center"/>
    </xf>
    <xf numFmtId="0" fontId="2" fillId="7" borderId="0" xfId="0" applyFont="1" applyFill="1" applyAlignment="1">
      <alignment horizontal="center"/>
    </xf>
    <xf numFmtId="0" fontId="2" fillId="46" borderId="0" xfId="0" applyFont="1" applyFill="1" applyAlignment="1">
      <alignment horizontal="center"/>
    </xf>
    <xf numFmtId="0" fontId="2" fillId="48" borderId="0" xfId="0" applyFont="1" applyFill="1" applyAlignment="1">
      <alignment horizontal="center"/>
    </xf>
    <xf numFmtId="0" fontId="2" fillId="49" borderId="0" xfId="0" applyFont="1" applyFill="1" applyAlignment="1">
      <alignment horizontal="center"/>
    </xf>
    <xf numFmtId="0" fontId="2" fillId="50" borderId="0" xfId="0" applyFont="1" applyFill="1" applyAlignment="1">
      <alignment horizontal="center"/>
    </xf>
    <xf numFmtId="0" fontId="2" fillId="51" borderId="0" xfId="0" applyFont="1" applyFill="1" applyAlignment="1">
      <alignment horizontal="center"/>
    </xf>
    <xf numFmtId="0" fontId="2" fillId="0" borderId="0" xfId="0" applyFont="1" applyAlignment="1">
      <alignment horizontal="center"/>
    </xf>
    <xf numFmtId="0" fontId="33" fillId="0" borderId="0" xfId="0" applyFont="1" applyAlignment="1">
      <alignment vertical="top" wrapText="1"/>
    </xf>
    <xf numFmtId="0" fontId="35" fillId="45" borderId="0" xfId="0" applyFont="1" applyFill="1" applyAlignment="1">
      <alignment horizontal="center" vertical="top" wrapText="1"/>
    </xf>
    <xf numFmtId="0" fontId="33" fillId="0" borderId="0" xfId="0" applyFont="1" applyAlignment="1">
      <alignment horizontal="center" vertical="top" wrapText="1"/>
    </xf>
    <xf numFmtId="0" fontId="34" fillId="0" borderId="0" xfId="0" applyFont="1" applyAlignment="1">
      <alignment horizontal="center" vertical="top" wrapText="1"/>
    </xf>
    <xf numFmtId="0" fontId="33" fillId="0" borderId="0" xfId="1" applyFont="1" applyAlignment="1">
      <alignment horizontal="centerContinuous" vertical="top"/>
    </xf>
    <xf numFmtId="0" fontId="34" fillId="0" borderId="6" xfId="1" applyFont="1" applyBorder="1" applyAlignment="1">
      <alignment horizontal="centerContinuous" vertical="top"/>
    </xf>
    <xf numFmtId="0" fontId="34" fillId="0" borderId="0" xfId="1" applyFont="1" applyAlignment="1">
      <alignment horizontal="centerContinuous" vertical="top"/>
    </xf>
    <xf numFmtId="0" fontId="33" fillId="0" borderId="40" xfId="1" applyFont="1" applyBorder="1" applyAlignment="1">
      <alignment horizontal="centerContinuous" vertical="top"/>
    </xf>
    <xf numFmtId="0" fontId="34" fillId="0" borderId="23" xfId="1" applyFont="1" applyBorder="1" applyAlignment="1">
      <alignment horizontal="centerContinuous" vertical="top"/>
    </xf>
    <xf numFmtId="0" fontId="33" fillId="0" borderId="2" xfId="1" applyFont="1" applyBorder="1" applyAlignment="1">
      <alignment horizontal="centerContinuous" vertical="top"/>
    </xf>
    <xf numFmtId="0" fontId="33" fillId="0" borderId="44" xfId="1" applyFont="1" applyBorder="1" applyAlignment="1">
      <alignment horizontal="centerContinuous" vertical="top"/>
    </xf>
    <xf numFmtId="0" fontId="33" fillId="0" borderId="6" xfId="1" applyFont="1" applyBorder="1" applyAlignment="1">
      <alignment vertical="top"/>
    </xf>
    <xf numFmtId="0" fontId="33" fillId="0" borderId="0" xfId="1" applyFont="1" applyAlignment="1">
      <alignment vertical="top"/>
    </xf>
    <xf numFmtId="0" fontId="33" fillId="0" borderId="62" xfId="1" applyFont="1" applyBorder="1" applyAlignment="1">
      <alignment vertical="top"/>
    </xf>
    <xf numFmtId="0" fontId="36" fillId="6" borderId="5" xfId="1" applyFont="1" applyFill="1" applyBorder="1" applyAlignment="1">
      <alignment horizontal="centerContinuous" vertical="top"/>
    </xf>
    <xf numFmtId="0" fontId="36" fillId="6" borderId="8" xfId="1" applyFont="1" applyFill="1" applyBorder="1" applyAlignment="1">
      <alignment horizontal="centerContinuous" vertical="top"/>
    </xf>
    <xf numFmtId="0" fontId="36" fillId="6" borderId="7" xfId="1" applyFont="1" applyFill="1" applyBorder="1" applyAlignment="1">
      <alignment horizontal="centerContinuous" vertical="top"/>
    </xf>
    <xf numFmtId="0" fontId="36" fillId="6" borderId="63" xfId="1" applyFont="1" applyFill="1" applyBorder="1" applyAlignment="1">
      <alignment horizontal="centerContinuous" vertical="top"/>
    </xf>
    <xf numFmtId="0" fontId="33" fillId="0" borderId="64" xfId="1" applyFont="1" applyBorder="1" applyAlignment="1">
      <alignment vertical="top"/>
    </xf>
    <xf numFmtId="0" fontId="34" fillId="0" borderId="6" xfId="1" applyFont="1" applyBorder="1" applyAlignment="1">
      <alignment horizontal="center" vertical="top"/>
    </xf>
    <xf numFmtId="0" fontId="34" fillId="0" borderId="0" xfId="1" applyFont="1" applyAlignment="1">
      <alignment horizontal="center" vertical="top"/>
    </xf>
    <xf numFmtId="0" fontId="33" fillId="0" borderId="19" xfId="1" applyFont="1" applyBorder="1" applyAlignment="1">
      <alignment horizontal="center" vertical="top"/>
    </xf>
    <xf numFmtId="0" fontId="33" fillId="0" borderId="40" xfId="1" applyFont="1" applyBorder="1" applyAlignment="1">
      <alignment vertical="top"/>
    </xf>
    <xf numFmtId="0" fontId="33" fillId="0" borderId="6" xfId="1" applyFont="1" applyBorder="1" applyAlignment="1">
      <alignment horizontal="center" vertical="top"/>
    </xf>
    <xf numFmtId="0" fontId="33" fillId="0" borderId="0" xfId="1" applyFont="1" applyAlignment="1">
      <alignment horizontal="center" vertical="top"/>
    </xf>
    <xf numFmtId="0" fontId="33" fillId="0" borderId="3" xfId="1" applyFont="1" applyBorder="1" applyAlignment="1">
      <alignment vertical="top"/>
    </xf>
    <xf numFmtId="0" fontId="33" fillId="0" borderId="2" xfId="1" applyFont="1" applyBorder="1" applyAlignment="1">
      <alignment vertical="top"/>
    </xf>
    <xf numFmtId="0" fontId="34" fillId="5" borderId="5" xfId="1" applyFont="1" applyFill="1" applyBorder="1" applyAlignment="1">
      <alignment horizontal="centerContinuous" vertical="top"/>
    </xf>
    <xf numFmtId="0" fontId="34" fillId="5" borderId="4" xfId="1" applyFont="1" applyFill="1" applyBorder="1" applyAlignment="1">
      <alignment horizontal="centerContinuous" vertical="top"/>
    </xf>
    <xf numFmtId="0" fontId="33" fillId="0" borderId="8" xfId="1" applyFont="1" applyBorder="1" applyAlignment="1">
      <alignment vertical="top"/>
    </xf>
    <xf numFmtId="0" fontId="34" fillId="3" borderId="5" xfId="1" applyFont="1" applyFill="1" applyBorder="1" applyAlignment="1">
      <alignment horizontal="centerContinuous" vertical="top"/>
    </xf>
    <xf numFmtId="0" fontId="34" fillId="3" borderId="8" xfId="1" applyFont="1" applyFill="1" applyBorder="1" applyAlignment="1">
      <alignment horizontal="centerContinuous" vertical="top"/>
    </xf>
    <xf numFmtId="0" fontId="33" fillId="3" borderId="7" xfId="1" applyFont="1" applyFill="1" applyBorder="1" applyAlignment="1">
      <alignment horizontal="centerContinuous" vertical="top"/>
    </xf>
    <xf numFmtId="0" fontId="34" fillId="3" borderId="4" xfId="1" applyFont="1" applyFill="1" applyBorder="1" applyAlignment="1">
      <alignment horizontal="centerContinuous" vertical="top"/>
    </xf>
    <xf numFmtId="0" fontId="34" fillId="3" borderId="46" xfId="1" applyFont="1" applyFill="1" applyBorder="1" applyAlignment="1">
      <alignment horizontal="centerContinuous" vertical="top"/>
    </xf>
    <xf numFmtId="0" fontId="33" fillId="0" borderId="16" xfId="1" applyFont="1" applyBorder="1" applyAlignment="1">
      <alignment horizontal="center" vertical="top"/>
    </xf>
    <xf numFmtId="0" fontId="33" fillId="0" borderId="16" xfId="1" applyFont="1" applyBorder="1" applyAlignment="1">
      <alignment vertical="top"/>
    </xf>
    <xf numFmtId="0" fontId="33" fillId="0" borderId="47" xfId="1" applyFont="1" applyBorder="1" applyAlignment="1">
      <alignment vertical="top"/>
    </xf>
    <xf numFmtId="0" fontId="33" fillId="0" borderId="39" xfId="1" applyFont="1" applyBorder="1" applyAlignment="1">
      <alignment vertical="top"/>
    </xf>
    <xf numFmtId="0" fontId="34" fillId="4" borderId="24" xfId="1" applyFont="1" applyFill="1" applyBorder="1" applyAlignment="1">
      <alignment horizontal="centerContinuous" vertical="top"/>
    </xf>
    <xf numFmtId="0" fontId="34" fillId="4" borderId="5" xfId="1" applyFont="1" applyFill="1" applyBorder="1" applyAlignment="1">
      <alignment horizontal="centerContinuous" vertical="top"/>
    </xf>
    <xf numFmtId="0" fontId="34" fillId="4" borderId="4" xfId="1" applyFont="1" applyFill="1" applyBorder="1" applyAlignment="1">
      <alignment horizontal="centerContinuous" vertical="top"/>
    </xf>
    <xf numFmtId="0" fontId="34" fillId="4" borderId="46" xfId="1" applyFont="1" applyFill="1" applyBorder="1" applyAlignment="1">
      <alignment horizontal="centerContinuous" vertical="top"/>
    </xf>
    <xf numFmtId="0" fontId="33" fillId="16" borderId="20" xfId="1" applyFont="1" applyFill="1" applyBorder="1" applyAlignment="1">
      <alignment horizontal="center" vertical="top"/>
    </xf>
    <xf numFmtId="0" fontId="33" fillId="0" borderId="20" xfId="1" applyFont="1" applyBorder="1" applyAlignment="1">
      <alignment horizontal="center" vertical="top"/>
    </xf>
    <xf numFmtId="0" fontId="33" fillId="0" borderId="44" xfId="1" applyFont="1" applyBorder="1" applyAlignment="1">
      <alignment vertical="top"/>
    </xf>
    <xf numFmtId="0" fontId="34" fillId="2" borderId="5" xfId="1" applyFont="1" applyFill="1" applyBorder="1" applyAlignment="1">
      <alignment horizontal="centerContinuous" vertical="top"/>
    </xf>
    <xf numFmtId="0" fontId="34" fillId="2" borderId="8" xfId="1" applyFont="1" applyFill="1" applyBorder="1" applyAlignment="1">
      <alignment horizontal="centerContinuous" vertical="top"/>
    </xf>
    <xf numFmtId="0" fontId="34" fillId="2" borderId="7" xfId="1" applyFont="1" applyFill="1" applyBorder="1" applyAlignment="1">
      <alignment horizontal="centerContinuous" vertical="top"/>
    </xf>
    <xf numFmtId="0" fontId="34" fillId="2" borderId="45" xfId="1" applyFont="1" applyFill="1" applyBorder="1" applyAlignment="1">
      <alignment horizontal="centerContinuous" vertical="top"/>
    </xf>
    <xf numFmtId="0" fontId="33" fillId="0" borderId="12" xfId="1" applyFont="1" applyBorder="1" applyAlignment="1">
      <alignment vertical="top"/>
    </xf>
    <xf numFmtId="0" fontId="34" fillId="16" borderId="22" xfId="1" applyFont="1" applyFill="1" applyBorder="1" applyAlignment="1">
      <alignment horizontal="center" vertical="top" wrapText="1"/>
    </xf>
    <xf numFmtId="0" fontId="34" fillId="16" borderId="20" xfId="1" applyFont="1" applyFill="1" applyBorder="1" applyAlignment="1">
      <alignment horizontal="center" vertical="top" wrapText="1"/>
    </xf>
    <xf numFmtId="0" fontId="34" fillId="16" borderId="25" xfId="1" applyFont="1" applyFill="1" applyBorder="1" applyAlignment="1">
      <alignment horizontal="center" vertical="top" wrapText="1"/>
    </xf>
    <xf numFmtId="0" fontId="34" fillId="0" borderId="22" xfId="1" applyFont="1" applyBorder="1" applyAlignment="1">
      <alignment horizontal="center" vertical="top" wrapText="1"/>
    </xf>
    <xf numFmtId="0" fontId="34" fillId="0" borderId="20" xfId="1" applyFont="1" applyBorder="1" applyAlignment="1">
      <alignment horizontal="center" vertical="top" wrapText="1"/>
    </xf>
    <xf numFmtId="0" fontId="34" fillId="16" borderId="20" xfId="0" applyFont="1" applyFill="1" applyBorder="1" applyAlignment="1">
      <alignment horizontal="center" vertical="top" wrapText="1"/>
    </xf>
    <xf numFmtId="0" fontId="33" fillId="0" borderId="20" xfId="1" applyFont="1" applyBorder="1" applyAlignment="1">
      <alignment vertical="top"/>
    </xf>
    <xf numFmtId="0" fontId="34" fillId="16" borderId="20" xfId="1" applyFont="1" applyFill="1" applyBorder="1" applyAlignment="1">
      <alignment vertical="top" wrapText="1"/>
    </xf>
    <xf numFmtId="0" fontId="34" fillId="0" borderId="20" xfId="1" applyFont="1" applyBorder="1" applyAlignment="1">
      <alignment horizontal="center" vertical="top"/>
    </xf>
    <xf numFmtId="0" fontId="34" fillId="0" borderId="20" xfId="0" applyFont="1" applyBorder="1" applyAlignment="1">
      <alignment horizontal="center" vertical="top" wrapText="1"/>
    </xf>
    <xf numFmtId="0" fontId="33" fillId="0" borderId="41" xfId="1" applyFont="1" applyBorder="1" applyAlignment="1">
      <alignment vertical="top"/>
    </xf>
    <xf numFmtId="0" fontId="34" fillId="0" borderId="14" xfId="1" applyFont="1" applyBorder="1" applyAlignment="1">
      <alignment vertical="top" wrapText="1"/>
    </xf>
    <xf numFmtId="0" fontId="34" fillId="0" borderId="0" xfId="1" applyFont="1" applyAlignment="1">
      <alignment horizontal="center" vertical="top" wrapText="1"/>
    </xf>
    <xf numFmtId="0" fontId="34" fillId="0" borderId="14" xfId="1" applyFont="1" applyBorder="1" applyAlignment="1">
      <alignment horizontal="center" vertical="top"/>
    </xf>
    <xf numFmtId="0" fontId="34" fillId="0" borderId="0" xfId="1" applyFont="1" applyAlignment="1">
      <alignment vertical="top" wrapText="1"/>
    </xf>
    <xf numFmtId="0" fontId="34" fillId="2" borderId="3" xfId="1" applyFont="1" applyFill="1" applyBorder="1" applyAlignment="1">
      <alignment horizontal="centerContinuous" vertical="top"/>
    </xf>
    <xf numFmtId="0" fontId="33" fillId="2" borderId="2" xfId="1" applyFont="1" applyFill="1" applyBorder="1" applyAlignment="1">
      <alignment horizontal="centerContinuous" vertical="top"/>
    </xf>
    <xf numFmtId="0" fontId="33" fillId="2" borderId="1" xfId="1" applyFont="1" applyFill="1" applyBorder="1" applyAlignment="1">
      <alignment horizontal="centerContinuous" vertical="top"/>
    </xf>
    <xf numFmtId="0" fontId="33" fillId="2" borderId="44" xfId="1" applyFont="1" applyFill="1" applyBorder="1" applyAlignment="1">
      <alignment horizontal="centerContinuous" vertical="top"/>
    </xf>
    <xf numFmtId="0" fontId="34" fillId="16" borderId="20" xfId="1" applyFont="1" applyFill="1" applyBorder="1" applyAlignment="1">
      <alignment horizontal="center" vertical="top"/>
    </xf>
    <xf numFmtId="0" fontId="33" fillId="0" borderId="20" xfId="1" applyFont="1" applyBorder="1" applyAlignment="1">
      <alignment horizontal="center" vertical="top" wrapText="1"/>
    </xf>
    <xf numFmtId="0" fontId="34" fillId="16" borderId="20" xfId="1" applyFont="1" applyFill="1" applyBorder="1" applyAlignment="1">
      <alignment vertical="top"/>
    </xf>
    <xf numFmtId="0" fontId="34" fillId="16" borderId="50" xfId="1" applyFont="1" applyFill="1" applyBorder="1" applyAlignment="1">
      <alignment horizontal="center" vertical="top" wrapText="1"/>
    </xf>
    <xf numFmtId="0" fontId="34" fillId="8" borderId="15" xfId="1" applyFont="1" applyFill="1" applyBorder="1" applyAlignment="1">
      <alignment horizontal="center" vertical="top"/>
    </xf>
    <xf numFmtId="0" fontId="34" fillId="8" borderId="13" xfId="1" applyFont="1" applyFill="1" applyBorder="1" applyAlignment="1">
      <alignment horizontal="center" vertical="top"/>
    </xf>
    <xf numFmtId="165" fontId="33" fillId="0" borderId="0" xfId="1" applyNumberFormat="1" applyFont="1" applyAlignment="1">
      <alignment vertical="top"/>
    </xf>
    <xf numFmtId="165" fontId="33" fillId="0" borderId="40" xfId="1" applyNumberFormat="1" applyFont="1" applyBorder="1" applyAlignment="1">
      <alignment vertical="top"/>
    </xf>
    <xf numFmtId="0" fontId="34" fillId="0" borderId="0" xfId="1" applyFont="1" applyAlignment="1">
      <alignment vertical="top"/>
    </xf>
    <xf numFmtId="165" fontId="34" fillId="0" borderId="40" xfId="1" applyNumberFormat="1" applyFont="1" applyBorder="1" applyAlignment="1">
      <alignment vertical="top"/>
    </xf>
    <xf numFmtId="168" fontId="33" fillId="0" borderId="64" xfId="1" applyNumberFormat="1" applyFont="1" applyBorder="1" applyAlignment="1">
      <alignment vertical="top"/>
    </xf>
    <xf numFmtId="0" fontId="33" fillId="0" borderId="25" xfId="1" applyFont="1" applyBorder="1" applyAlignment="1">
      <alignment vertical="top"/>
    </xf>
    <xf numFmtId="0" fontId="33" fillId="0" borderId="38" xfId="1" applyFont="1" applyBorder="1" applyAlignment="1">
      <alignment vertical="top"/>
    </xf>
    <xf numFmtId="168" fontId="33" fillId="0" borderId="65" xfId="1" applyNumberFormat="1" applyFont="1" applyBorder="1" applyAlignment="1">
      <alignment vertical="top"/>
    </xf>
    <xf numFmtId="0" fontId="34" fillId="14" borderId="20" xfId="1" applyFont="1" applyFill="1" applyBorder="1" applyAlignment="1">
      <alignment horizontal="center" vertical="top"/>
    </xf>
    <xf numFmtId="0" fontId="34" fillId="14" borderId="25" xfId="1" applyFont="1" applyFill="1" applyBorder="1" applyAlignment="1">
      <alignment horizontal="center" vertical="top"/>
    </xf>
    <xf numFmtId="165" fontId="33" fillId="0" borderId="64" xfId="1" applyNumberFormat="1" applyFont="1" applyBorder="1" applyAlignment="1">
      <alignment vertical="top"/>
    </xf>
    <xf numFmtId="167" fontId="34" fillId="0" borderId="0" xfId="1" applyNumberFormat="1" applyFont="1" applyAlignment="1">
      <alignment vertical="top"/>
    </xf>
    <xf numFmtId="0" fontId="37" fillId="16" borderId="20" xfId="1" applyFont="1" applyFill="1" applyBorder="1" applyAlignment="1">
      <alignment horizontal="center" vertical="top"/>
    </xf>
    <xf numFmtId="168" fontId="33" fillId="0" borderId="40" xfId="1" applyNumberFormat="1" applyFont="1" applyBorder="1" applyAlignment="1">
      <alignment vertical="top"/>
    </xf>
    <xf numFmtId="0" fontId="34" fillId="13" borderId="67" xfId="1" applyFont="1" applyFill="1" applyBorder="1" applyAlignment="1">
      <alignment horizontal="center" vertical="top"/>
    </xf>
    <xf numFmtId="0" fontId="35" fillId="45" borderId="24" xfId="1" applyFont="1" applyFill="1" applyBorder="1" applyAlignment="1">
      <alignment horizontal="center" vertical="top"/>
    </xf>
    <xf numFmtId="0" fontId="35" fillId="45" borderId="12" xfId="1" applyFont="1" applyFill="1" applyBorder="1" applyAlignment="1">
      <alignment horizontal="center" vertical="top"/>
    </xf>
    <xf numFmtId="0" fontId="35" fillId="45" borderId="0" xfId="1" applyFont="1" applyFill="1" applyAlignment="1">
      <alignment horizontal="center" vertical="top"/>
    </xf>
    <xf numFmtId="0" fontId="35" fillId="35" borderId="55" xfId="0" applyFont="1" applyFill="1" applyBorder="1" applyAlignment="1">
      <alignment horizontal="center" vertical="top" wrapText="1"/>
    </xf>
    <xf numFmtId="0" fontId="33" fillId="36" borderId="20" xfId="1" applyFont="1" applyFill="1" applyBorder="1" applyAlignment="1">
      <alignment horizontal="center" vertical="top"/>
    </xf>
    <xf numFmtId="0" fontId="38" fillId="36" borderId="20" xfId="1" applyFont="1" applyFill="1" applyBorder="1" applyAlignment="1">
      <alignment horizontal="center" vertical="top"/>
    </xf>
    <xf numFmtId="0" fontId="38" fillId="36" borderId="20" xfId="1" applyFont="1" applyFill="1" applyBorder="1" applyAlignment="1">
      <alignment horizontal="center" vertical="top" wrapText="1"/>
    </xf>
    <xf numFmtId="1" fontId="33" fillId="36" borderId="20" xfId="1" applyNumberFormat="1" applyFont="1" applyFill="1" applyBorder="1" applyAlignment="1">
      <alignment horizontal="center" vertical="top"/>
    </xf>
    <xf numFmtId="0" fontId="38" fillId="0" borderId="20" xfId="1" applyFont="1" applyBorder="1" applyAlignment="1">
      <alignment horizontal="center" vertical="top" wrapText="1"/>
    </xf>
    <xf numFmtId="1" fontId="33" fillId="0" borderId="20" xfId="1" applyNumberFormat="1" applyFont="1" applyBorder="1" applyAlignment="1">
      <alignment horizontal="center" vertical="top"/>
    </xf>
    <xf numFmtId="0" fontId="38" fillId="0" borderId="20" xfId="1" applyFont="1" applyBorder="1" applyAlignment="1">
      <alignment horizontal="center" vertical="top"/>
    </xf>
    <xf numFmtId="0" fontId="33" fillId="0" borderId="10" xfId="1" applyFont="1" applyBorder="1" applyAlignment="1">
      <alignment horizontal="center" vertical="top"/>
    </xf>
    <xf numFmtId="0" fontId="35" fillId="45" borderId="55" xfId="0" applyFont="1" applyFill="1" applyBorder="1" applyAlignment="1">
      <alignment horizontal="center" vertical="top" wrapText="1"/>
    </xf>
    <xf numFmtId="0" fontId="33" fillId="0" borderId="0" xfId="10" applyFont="1" applyAlignment="1">
      <alignment vertical="top"/>
    </xf>
    <xf numFmtId="0" fontId="38" fillId="18" borderId="51" xfId="10" applyFont="1" applyFill="1" applyBorder="1" applyAlignment="1">
      <alignment horizontal="left" vertical="top"/>
    </xf>
    <xf numFmtId="3" fontId="38" fillId="18" borderId="51" xfId="10" applyNumberFormat="1" applyFont="1" applyFill="1" applyBorder="1" applyAlignment="1">
      <alignment horizontal="center" vertical="top"/>
    </xf>
    <xf numFmtId="167" fontId="40" fillId="19" borderId="51" xfId="10" applyNumberFormat="1" applyFont="1" applyFill="1" applyBorder="1" applyAlignment="1">
      <alignment horizontal="center" vertical="top"/>
    </xf>
    <xf numFmtId="167" fontId="38" fillId="18" borderId="51" xfId="10" applyNumberFormat="1" applyFont="1" applyFill="1" applyBorder="1" applyAlignment="1">
      <alignment horizontal="center" vertical="top"/>
    </xf>
    <xf numFmtId="166" fontId="38" fillId="18" borderId="51" xfId="10" applyNumberFormat="1" applyFont="1" applyFill="1" applyBorder="1" applyAlignment="1">
      <alignment horizontal="center" vertical="top"/>
    </xf>
    <xf numFmtId="167" fontId="33" fillId="0" borderId="0" xfId="10" applyNumberFormat="1" applyFont="1" applyAlignment="1">
      <alignment horizontal="center" vertical="top"/>
    </xf>
    <xf numFmtId="0" fontId="38" fillId="0" borderId="51" xfId="10" applyFont="1" applyBorder="1" applyAlignment="1">
      <alignment horizontal="left" vertical="top"/>
    </xf>
    <xf numFmtId="3" fontId="38" fillId="0" borderId="51" xfId="10" applyNumberFormat="1" applyFont="1" applyBorder="1" applyAlignment="1">
      <alignment horizontal="center" vertical="top"/>
    </xf>
    <xf numFmtId="167" fontId="38" fillId="0" borderId="51" xfId="10" applyNumberFormat="1" applyFont="1" applyBorder="1" applyAlignment="1">
      <alignment horizontal="center" vertical="top"/>
    </xf>
    <xf numFmtId="166" fontId="38" fillId="0" borderId="51" xfId="10" applyNumberFormat="1" applyFont="1" applyBorder="1" applyAlignment="1">
      <alignment horizontal="center" vertical="top"/>
    </xf>
    <xf numFmtId="0" fontId="35" fillId="45" borderId="0" xfId="10" applyFont="1" applyFill="1" applyAlignment="1">
      <alignment horizontal="center" vertical="top" wrapText="1"/>
    </xf>
    <xf numFmtId="0" fontId="35" fillId="45" borderId="0" xfId="10" applyFont="1" applyFill="1" applyAlignment="1">
      <alignment horizontal="center" vertical="top"/>
    </xf>
    <xf numFmtId="0" fontId="34" fillId="16" borderId="17" xfId="1" applyFont="1" applyFill="1" applyBorder="1" applyAlignment="1">
      <alignment horizontal="center" vertical="top" wrapText="1"/>
    </xf>
    <xf numFmtId="0" fontId="34" fillId="16" borderId="18" xfId="1" applyFont="1" applyFill="1" applyBorder="1" applyAlignment="1">
      <alignment horizontal="center" vertical="top" wrapText="1"/>
    </xf>
    <xf numFmtId="0" fontId="34" fillId="0" borderId="18" xfId="1" applyFont="1" applyBorder="1" applyAlignment="1">
      <alignment horizontal="center" vertical="top" wrapText="1"/>
    </xf>
    <xf numFmtId="0" fontId="34" fillId="16" borderId="37" xfId="1" applyFont="1" applyFill="1" applyBorder="1" applyAlignment="1">
      <alignment horizontal="center" vertical="top" wrapText="1"/>
    </xf>
    <xf numFmtId="0" fontId="33" fillId="0" borderId="0" xfId="0" applyFont="1" applyAlignment="1">
      <alignment vertical="top"/>
    </xf>
    <xf numFmtId="1" fontId="34" fillId="0" borderId="0" xfId="1" applyNumberFormat="1" applyFont="1" applyAlignment="1">
      <alignment horizontal="center" vertical="top" wrapText="1"/>
    </xf>
    <xf numFmtId="0" fontId="34" fillId="0" borderId="21" xfId="1" applyFont="1" applyBorder="1" applyAlignment="1">
      <alignment horizontal="center" vertical="top" wrapText="1"/>
    </xf>
    <xf numFmtId="1" fontId="34" fillId="0" borderId="0" xfId="0" applyNumberFormat="1" applyFont="1" applyAlignment="1">
      <alignment horizontal="center" vertical="top"/>
    </xf>
    <xf numFmtId="0" fontId="34" fillId="0" borderId="22" xfId="0" applyFont="1" applyBorder="1" applyAlignment="1">
      <alignment horizontal="center" vertical="top" wrapText="1"/>
    </xf>
    <xf numFmtId="167" fontId="34" fillId="0" borderId="20" xfId="1" applyNumberFormat="1" applyFont="1" applyBorder="1" applyAlignment="1">
      <alignment horizontal="center" vertical="top"/>
    </xf>
    <xf numFmtId="167" fontId="34" fillId="0" borderId="21" xfId="1" applyNumberFormat="1" applyFont="1" applyBorder="1" applyAlignment="1">
      <alignment vertical="top"/>
    </xf>
    <xf numFmtId="0" fontId="34" fillId="0" borderId="0" xfId="0" applyFont="1" applyAlignment="1">
      <alignment vertical="top"/>
    </xf>
    <xf numFmtId="0" fontId="34" fillId="0" borderId="0" xfId="1" applyFont="1" applyAlignment="1">
      <alignment horizontal="right" vertical="top"/>
    </xf>
    <xf numFmtId="166" fontId="39" fillId="9" borderId="11" xfId="4" applyNumberFormat="1" applyFont="1" applyFill="1" applyBorder="1" applyAlignment="1">
      <alignment horizontal="center" vertical="top" wrapText="1"/>
    </xf>
    <xf numFmtId="166" fontId="39" fillId="42" borderId="11" xfId="4" applyNumberFormat="1" applyFont="1" applyFill="1" applyBorder="1" applyAlignment="1">
      <alignment horizontal="center" vertical="top" wrapText="1"/>
    </xf>
    <xf numFmtId="1" fontId="39" fillId="37" borderId="11" xfId="4" applyNumberFormat="1" applyFont="1" applyFill="1" applyBorder="1" applyAlignment="1">
      <alignment horizontal="center" vertical="top" wrapText="1"/>
    </xf>
    <xf numFmtId="166" fontId="39" fillId="37" borderId="11" xfId="4" applyNumberFormat="1" applyFont="1" applyFill="1" applyBorder="1" applyAlignment="1">
      <alignment horizontal="center" vertical="top" wrapText="1"/>
    </xf>
    <xf numFmtId="166" fontId="39" fillId="9" borderId="77" xfId="4" applyNumberFormat="1" applyFont="1" applyFill="1" applyBorder="1" applyAlignment="1">
      <alignment horizontal="center" vertical="top" wrapText="1"/>
    </xf>
    <xf numFmtId="0" fontId="33" fillId="0" borderId="74" xfId="0" applyFont="1" applyBorder="1" applyAlignment="1">
      <alignment vertical="top"/>
    </xf>
    <xf numFmtId="0" fontId="33" fillId="0" borderId="75" xfId="0" applyFont="1" applyBorder="1" applyAlignment="1">
      <alignment vertical="top"/>
    </xf>
    <xf numFmtId="1" fontId="33" fillId="0" borderId="75" xfId="0" applyNumberFormat="1" applyFont="1" applyBorder="1" applyAlignment="1">
      <alignment vertical="top"/>
    </xf>
    <xf numFmtId="0" fontId="33" fillId="0" borderId="76" xfId="0" applyFont="1" applyBorder="1" applyAlignment="1">
      <alignment vertical="top"/>
    </xf>
    <xf numFmtId="0" fontId="33" fillId="0" borderId="75" xfId="1" applyNumberFormat="1" applyFont="1" applyBorder="1" applyAlignment="1">
      <alignment vertical="top"/>
    </xf>
    <xf numFmtId="0" fontId="42" fillId="41" borderId="75" xfId="12" applyFont="1" applyBorder="1" applyAlignment="1">
      <alignment vertical="top"/>
    </xf>
    <xf numFmtId="1" fontId="42" fillId="41" borderId="75" xfId="12" applyNumberFormat="1" applyFont="1" applyBorder="1" applyAlignment="1">
      <alignment vertical="top"/>
    </xf>
    <xf numFmtId="0" fontId="42" fillId="41" borderId="75" xfId="12" applyNumberFormat="1" applyFont="1" applyBorder="1" applyAlignment="1">
      <alignment vertical="top"/>
    </xf>
    <xf numFmtId="0" fontId="42" fillId="41" borderId="75" xfId="12" applyFont="1" applyBorder="1" applyAlignment="1">
      <alignment vertical="top" wrapText="1"/>
    </xf>
    <xf numFmtId="0" fontId="43" fillId="40" borderId="75" xfId="11" applyFont="1" applyBorder="1" applyAlignment="1">
      <alignment vertical="top"/>
    </xf>
    <xf numFmtId="1" fontId="43" fillId="40" borderId="75" xfId="11" applyNumberFormat="1" applyFont="1" applyBorder="1" applyAlignment="1">
      <alignment vertical="top"/>
    </xf>
    <xf numFmtId="0" fontId="33" fillId="0" borderId="75" xfId="1" applyNumberFormat="1" applyFont="1" applyBorder="1" applyAlignment="1">
      <alignment horizontal="left" vertical="top"/>
    </xf>
    <xf numFmtId="0" fontId="42" fillId="41" borderId="75" xfId="12" applyFont="1" applyBorder="1" applyAlignment="1">
      <alignment horizontal="left" vertical="top"/>
    </xf>
    <xf numFmtId="0" fontId="43" fillId="40" borderId="75" xfId="11" applyFont="1" applyBorder="1" applyAlignment="1">
      <alignment horizontal="left" vertical="top"/>
    </xf>
    <xf numFmtId="0" fontId="33" fillId="0" borderId="75" xfId="0" applyFont="1" applyBorder="1" applyAlignment="1">
      <alignment horizontal="center" vertical="top"/>
    </xf>
    <xf numFmtId="0" fontId="33" fillId="0" borderId="75" xfId="0" applyFont="1" applyBorder="1" applyAlignment="1">
      <alignment horizontal="left" vertical="top"/>
    </xf>
    <xf numFmtId="0" fontId="33" fillId="0" borderId="78" xfId="0" applyFont="1" applyBorder="1" applyAlignment="1">
      <alignment vertical="top"/>
    </xf>
    <xf numFmtId="0" fontId="33" fillId="0" borderId="79" xfId="0" applyFont="1" applyBorder="1" applyAlignment="1">
      <alignment horizontal="center" vertical="top"/>
    </xf>
    <xf numFmtId="0" fontId="43" fillId="40" borderId="79" xfId="11" applyFont="1" applyBorder="1" applyAlignment="1">
      <alignment vertical="top"/>
    </xf>
    <xf numFmtId="1" fontId="43" fillId="40" borderId="79" xfId="11" applyNumberFormat="1" applyFont="1" applyBorder="1" applyAlignment="1">
      <alignment vertical="top"/>
    </xf>
    <xf numFmtId="0" fontId="33" fillId="0" borderId="79" xfId="0" applyFont="1" applyBorder="1" applyAlignment="1">
      <alignment vertical="top"/>
    </xf>
    <xf numFmtId="0" fontId="33" fillId="0" borderId="80" xfId="0" applyFont="1" applyBorder="1" applyAlignment="1">
      <alignment vertical="top"/>
    </xf>
    <xf numFmtId="0" fontId="41" fillId="43" borderId="20" xfId="1" applyFont="1" applyFill="1" applyBorder="1" applyAlignment="1">
      <alignment horizontal="left" vertical="top"/>
    </xf>
    <xf numFmtId="0" fontId="41" fillId="43" borderId="20" xfId="0" applyFont="1" applyFill="1" applyBorder="1" applyAlignment="1">
      <alignment horizontal="left" vertical="top"/>
    </xf>
    <xf numFmtId="0" fontId="33" fillId="0" borderId="20" xfId="0" applyFont="1" applyBorder="1" applyAlignment="1">
      <alignment vertical="top"/>
    </xf>
    <xf numFmtId="165" fontId="33" fillId="0" borderId="20" xfId="0" applyNumberFormat="1" applyFont="1" applyBorder="1" applyAlignment="1">
      <alignment vertical="top"/>
    </xf>
    <xf numFmtId="165" fontId="33" fillId="0" borderId="0" xfId="0" applyNumberFormat="1" applyFont="1" applyAlignment="1">
      <alignment vertical="top"/>
    </xf>
    <xf numFmtId="165" fontId="33" fillId="0" borderId="0" xfId="0" applyNumberFormat="1" applyFont="1" applyAlignment="1">
      <alignment horizontal="center" vertical="top"/>
    </xf>
    <xf numFmtId="165" fontId="35" fillId="45" borderId="68" xfId="0" applyNumberFormat="1" applyFont="1" applyFill="1" applyBorder="1" applyAlignment="1">
      <alignment horizontal="center" vertical="top" wrapText="1"/>
    </xf>
    <xf numFmtId="165" fontId="35" fillId="45" borderId="0" xfId="0" applyNumberFormat="1" applyFont="1" applyFill="1" applyAlignment="1">
      <alignment horizontal="center" vertical="top"/>
    </xf>
    <xf numFmtId="0" fontId="35" fillId="45" borderId="0" xfId="0" applyFont="1" applyFill="1" applyAlignment="1">
      <alignment horizontal="center" vertical="top"/>
    </xf>
    <xf numFmtId="0" fontId="33" fillId="0" borderId="20" xfId="1" applyFont="1" applyBorder="1" applyAlignment="1">
      <alignment vertical="top" wrapText="1"/>
    </xf>
    <xf numFmtId="2" fontId="33" fillId="0" borderId="20" xfId="1" applyNumberFormat="1" applyFont="1" applyBorder="1" applyAlignment="1">
      <alignment horizontal="center" vertical="top" wrapText="1"/>
    </xf>
    <xf numFmtId="0" fontId="33" fillId="0" borderId="0" xfId="1" applyFont="1" applyAlignment="1">
      <alignment vertical="top" wrapText="1"/>
    </xf>
    <xf numFmtId="0" fontId="33" fillId="8" borderId="20" xfId="1" applyFont="1" applyFill="1" applyBorder="1" applyAlignment="1">
      <alignment vertical="top" wrapText="1"/>
    </xf>
    <xf numFmtId="0" fontId="33" fillId="0" borderId="13" xfId="1" applyFont="1" applyBorder="1" applyAlignment="1">
      <alignment horizontal="center" vertical="top" wrapText="1"/>
    </xf>
    <xf numFmtId="0" fontId="44" fillId="0" borderId="30" xfId="0" applyFont="1" applyBorder="1" applyAlignment="1">
      <alignment horizontal="left" vertical="top" wrapText="1" indent="1" readingOrder="1"/>
    </xf>
    <xf numFmtId="0" fontId="44" fillId="0" borderId="31" xfId="0" applyFont="1" applyBorder="1" applyAlignment="1">
      <alignment horizontal="left" vertical="top" wrapText="1" indent="1" readingOrder="1"/>
    </xf>
    <xf numFmtId="0" fontId="44" fillId="0" borderId="32" xfId="0" applyFont="1" applyBorder="1" applyAlignment="1">
      <alignment vertical="top" wrapText="1" readingOrder="1"/>
    </xf>
    <xf numFmtId="0" fontId="44" fillId="0" borderId="28" xfId="0" applyFont="1" applyBorder="1" applyAlignment="1">
      <alignment horizontal="left" vertical="top" wrapText="1" indent="1" readingOrder="1"/>
    </xf>
    <xf numFmtId="0" fontId="45" fillId="0" borderId="27" xfId="0" applyFont="1" applyBorder="1" applyAlignment="1">
      <alignment horizontal="left" vertical="top" wrapText="1" indent="1" readingOrder="1"/>
    </xf>
    <xf numFmtId="0" fontId="45" fillId="0" borderId="29" xfId="0" applyFont="1" applyBorder="1" applyAlignment="1">
      <alignment vertical="top" wrapText="1" readingOrder="1"/>
    </xf>
    <xf numFmtId="0" fontId="44" fillId="0" borderId="33" xfId="0" applyFont="1" applyBorder="1" applyAlignment="1">
      <alignment horizontal="left" vertical="top" wrapText="1" indent="1" readingOrder="1"/>
    </xf>
    <xf numFmtId="0" fontId="45" fillId="0" borderId="34" xfId="0" applyFont="1" applyBorder="1" applyAlignment="1">
      <alignment horizontal="left" vertical="top" wrapText="1" indent="1" readingOrder="1"/>
    </xf>
    <xf numFmtId="0" fontId="45" fillId="0" borderId="35" xfId="0" applyFont="1" applyBorder="1" applyAlignment="1">
      <alignment vertical="top" wrapText="1" readingOrder="1"/>
    </xf>
    <xf numFmtId="0" fontId="33" fillId="11" borderId="36" xfId="1" applyFont="1" applyFill="1" applyBorder="1" applyAlignment="1">
      <alignment vertical="top"/>
    </xf>
    <xf numFmtId="0" fontId="33" fillId="0" borderId="36" xfId="1" applyFont="1" applyBorder="1" applyAlignment="1">
      <alignment vertical="top"/>
    </xf>
    <xf numFmtId="0" fontId="33" fillId="11" borderId="36" xfId="0" applyFont="1" applyFill="1" applyBorder="1" applyAlignment="1">
      <alignment vertical="top"/>
    </xf>
    <xf numFmtId="0" fontId="33" fillId="0" borderId="36" xfId="0" applyFont="1" applyBorder="1" applyAlignment="1">
      <alignment vertical="top"/>
    </xf>
    <xf numFmtId="0" fontId="34" fillId="0" borderId="17" xfId="1" applyFont="1" applyBorder="1" applyAlignment="1">
      <alignment vertical="top" wrapText="1"/>
    </xf>
    <xf numFmtId="0" fontId="33" fillId="0" borderId="18" xfId="1" applyFont="1" applyBorder="1" applyAlignment="1">
      <alignment horizontal="center" vertical="top" wrapText="1"/>
    </xf>
    <xf numFmtId="0" fontId="33" fillId="0" borderId="0" xfId="0" applyFont="1" applyAlignment="1">
      <alignment horizontal="center" vertical="top"/>
    </xf>
    <xf numFmtId="0" fontId="34" fillId="0" borderId="0" xfId="0" applyFont="1" applyAlignment="1">
      <alignment horizontal="left" vertical="top" wrapText="1"/>
    </xf>
    <xf numFmtId="0" fontId="33" fillId="0" borderId="0" xfId="0" applyFont="1" applyAlignment="1">
      <alignment horizontal="left" vertical="top" wrapText="1"/>
    </xf>
    <xf numFmtId="166" fontId="33" fillId="0" borderId="20" xfId="1" applyNumberFormat="1" applyFont="1" applyBorder="1" applyAlignment="1">
      <alignment horizontal="center" vertical="top"/>
    </xf>
    <xf numFmtId="1" fontId="33" fillId="0" borderId="20" xfId="0" applyNumberFormat="1" applyFont="1" applyBorder="1" applyAlignment="1">
      <alignment vertical="top"/>
    </xf>
    <xf numFmtId="1" fontId="33" fillId="0" borderId="20" xfId="0" applyNumberFormat="1" applyFont="1" applyBorder="1" applyAlignment="1">
      <alignment horizontal="right" vertical="top"/>
    </xf>
    <xf numFmtId="0" fontId="33" fillId="0" borderId="10" xfId="1" applyFont="1" applyBorder="1" applyAlignment="1">
      <alignment vertical="top"/>
    </xf>
    <xf numFmtId="166" fontId="33" fillId="0" borderId="10" xfId="1" applyNumberFormat="1" applyFont="1" applyBorder="1" applyAlignment="1">
      <alignment horizontal="center" vertical="top"/>
    </xf>
    <xf numFmtId="1" fontId="33" fillId="0" borderId="10" xfId="1" applyNumberFormat="1" applyFont="1" applyBorder="1" applyAlignment="1">
      <alignment horizontal="center" vertical="top"/>
    </xf>
    <xf numFmtId="1" fontId="33" fillId="0" borderId="20" xfId="1" applyNumberFormat="1" applyFont="1" applyBorder="1" applyAlignment="1">
      <alignment vertical="top"/>
    </xf>
    <xf numFmtId="0" fontId="33" fillId="0" borderId="26" xfId="0" applyFont="1" applyBorder="1" applyAlignment="1">
      <alignment horizontal="left" vertical="top"/>
    </xf>
    <xf numFmtId="166" fontId="33" fillId="0" borderId="20" xfId="1" applyNumberFormat="1" applyFont="1" applyBorder="1" applyAlignment="1">
      <alignment vertical="top"/>
    </xf>
    <xf numFmtId="0" fontId="33" fillId="0" borderId="20" xfId="0" applyFont="1" applyBorder="1" applyAlignment="1">
      <alignment horizontal="center" vertical="top"/>
    </xf>
    <xf numFmtId="0" fontId="35" fillId="45" borderId="68" xfId="0" applyFont="1" applyFill="1" applyBorder="1" applyAlignment="1">
      <alignment horizontal="center" vertical="top" wrapText="1"/>
    </xf>
    <xf numFmtId="2" fontId="33" fillId="0" borderId="20" xfId="0" applyNumberFormat="1" applyFont="1" applyBorder="1" applyAlignment="1">
      <alignment vertical="top"/>
    </xf>
    <xf numFmtId="167" fontId="33" fillId="0" borderId="0" xfId="1" applyNumberFormat="1" applyFont="1" applyAlignment="1">
      <alignment vertical="top"/>
    </xf>
    <xf numFmtId="0" fontId="38" fillId="10" borderId="20" xfId="1" applyFont="1" applyFill="1" applyBorder="1" applyAlignment="1">
      <alignment horizontal="center" vertical="top"/>
    </xf>
    <xf numFmtId="0" fontId="38" fillId="17" borderId="20" xfId="1" applyFont="1" applyFill="1" applyBorder="1" applyAlignment="1">
      <alignment horizontal="center" vertical="top"/>
    </xf>
    <xf numFmtId="1" fontId="33" fillId="10" borderId="20" xfId="1" applyNumberFormat="1" applyFont="1" applyFill="1" applyBorder="1" applyAlignment="1">
      <alignment horizontal="center" vertical="top"/>
    </xf>
    <xf numFmtId="1" fontId="33" fillId="17" borderId="20" xfId="1" applyNumberFormat="1" applyFont="1" applyFill="1" applyBorder="1" applyAlignment="1">
      <alignment horizontal="center" vertical="top"/>
    </xf>
    <xf numFmtId="1" fontId="38" fillId="0" borderId="20" xfId="1" applyNumberFormat="1" applyFont="1" applyBorder="1" applyAlignment="1">
      <alignment horizontal="center" vertical="top" wrapText="1"/>
    </xf>
    <xf numFmtId="0" fontId="33" fillId="10" borderId="20" xfId="1" applyFont="1" applyFill="1" applyBorder="1" applyAlignment="1">
      <alignment horizontal="center" vertical="top"/>
    </xf>
    <xf numFmtId="0" fontId="33" fillId="17" borderId="20" xfId="1" applyFont="1" applyFill="1" applyBorder="1" applyAlignment="1">
      <alignment horizontal="center" vertical="top"/>
    </xf>
    <xf numFmtId="0" fontId="38" fillId="10" borderId="20" xfId="1" applyFont="1" applyFill="1" applyBorder="1" applyAlignment="1">
      <alignment horizontal="center" vertical="top" wrapText="1"/>
    </xf>
    <xf numFmtId="0" fontId="38" fillId="17" borderId="20" xfId="1" applyFont="1" applyFill="1" applyBorder="1" applyAlignment="1">
      <alignment horizontal="center" vertical="top" wrapText="1"/>
    </xf>
    <xf numFmtId="0" fontId="35" fillId="44" borderId="0" xfId="1" applyFont="1" applyFill="1" applyAlignment="1">
      <alignment horizontal="center" vertical="top"/>
    </xf>
    <xf numFmtId="1" fontId="33" fillId="11" borderId="50" xfId="1" applyNumberFormat="1" applyFont="1" applyFill="1" applyBorder="1" applyAlignment="1">
      <alignment horizontal="center" vertical="top"/>
    </xf>
    <xf numFmtId="0" fontId="33" fillId="11" borderId="20" xfId="1" applyFont="1" applyFill="1" applyBorder="1" applyAlignment="1">
      <alignment horizontal="center" vertical="top"/>
    </xf>
    <xf numFmtId="166" fontId="33" fillId="0" borderId="25" xfId="1" applyNumberFormat="1" applyFont="1" applyBorder="1" applyAlignment="1">
      <alignment horizontal="center" vertical="top"/>
    </xf>
    <xf numFmtId="1" fontId="33" fillId="0" borderId="50" xfId="1" applyNumberFormat="1" applyFont="1" applyBorder="1" applyAlignment="1">
      <alignment horizontal="center" vertical="top"/>
    </xf>
    <xf numFmtId="165" fontId="33" fillId="0" borderId="0" xfId="1" applyNumberFormat="1" applyFont="1" applyAlignment="1">
      <alignment horizontal="center" vertical="top"/>
    </xf>
    <xf numFmtId="1" fontId="33" fillId="0" borderId="0" xfId="1" applyNumberFormat="1" applyFont="1" applyAlignment="1">
      <alignment horizontal="center" vertical="top"/>
    </xf>
    <xf numFmtId="0" fontId="33" fillId="11" borderId="73" xfId="1" applyFont="1" applyFill="1" applyBorder="1" applyAlignment="1">
      <alignment vertical="top"/>
    </xf>
    <xf numFmtId="0" fontId="33" fillId="11" borderId="20" xfId="0" applyFont="1" applyFill="1" applyBorder="1" applyAlignment="1">
      <alignment horizontal="center" vertical="top"/>
    </xf>
    <xf numFmtId="1" fontId="33" fillId="11" borderId="20" xfId="0" applyNumberFormat="1" applyFont="1" applyFill="1" applyBorder="1" applyAlignment="1">
      <alignment horizontal="center" vertical="top"/>
    </xf>
    <xf numFmtId="1" fontId="33" fillId="0" borderId="20" xfId="0" applyNumberFormat="1" applyFont="1" applyBorder="1" applyAlignment="1">
      <alignment horizontal="center" vertical="top"/>
    </xf>
    <xf numFmtId="0" fontId="33" fillId="11" borderId="50" xfId="1" applyFont="1" applyFill="1" applyBorder="1" applyAlignment="1">
      <alignment horizontal="center" vertical="top"/>
    </xf>
    <xf numFmtId="0" fontId="33" fillId="0" borderId="50" xfId="1" applyFont="1" applyBorder="1" applyAlignment="1">
      <alignment horizontal="center" vertical="top"/>
    </xf>
    <xf numFmtId="0" fontId="33" fillId="11" borderId="20" xfId="7" applyFont="1" applyFill="1" applyBorder="1" applyAlignment="1">
      <alignment horizontal="center" vertical="top"/>
    </xf>
    <xf numFmtId="0" fontId="33" fillId="0" borderId="20" xfId="7" applyFont="1" applyBorder="1" applyAlignment="1">
      <alignment horizontal="center" vertical="top"/>
    </xf>
    <xf numFmtId="0" fontId="33" fillId="0" borderId="72" xfId="1" applyFont="1" applyBorder="1" applyAlignment="1">
      <alignment horizontal="center" vertical="top"/>
    </xf>
    <xf numFmtId="166" fontId="33" fillId="0" borderId="11" xfId="1" applyNumberFormat="1" applyFont="1" applyBorder="1" applyAlignment="1">
      <alignment horizontal="center" vertical="top"/>
    </xf>
    <xf numFmtId="0" fontId="35" fillId="45" borderId="70" xfId="0" applyFont="1" applyFill="1" applyBorder="1" applyAlignment="1">
      <alignment horizontal="center" vertical="top" wrapText="1"/>
    </xf>
    <xf numFmtId="0" fontId="35" fillId="45" borderId="61" xfId="0" applyFont="1" applyFill="1" applyBorder="1" applyAlignment="1">
      <alignment horizontal="center" vertical="top" wrapText="1"/>
    </xf>
    <xf numFmtId="1" fontId="35" fillId="45" borderId="61" xfId="1" applyNumberFormat="1" applyFont="1" applyFill="1" applyBorder="1" applyAlignment="1">
      <alignment horizontal="center" vertical="top" wrapText="1"/>
    </xf>
    <xf numFmtId="166" fontId="35" fillId="45" borderId="71" xfId="1" applyNumberFormat="1" applyFont="1" applyFill="1" applyBorder="1" applyAlignment="1">
      <alignment horizontal="center" vertical="top" wrapText="1"/>
    </xf>
    <xf numFmtId="0" fontId="35" fillId="45" borderId="71" xfId="1" applyFont="1" applyFill="1" applyBorder="1" applyAlignment="1">
      <alignment horizontal="center" vertical="top" wrapText="1"/>
    </xf>
    <xf numFmtId="0" fontId="35" fillId="45" borderId="0" xfId="1" applyFont="1" applyFill="1" applyAlignment="1">
      <alignment horizontal="center" vertical="top" wrapText="1"/>
    </xf>
    <xf numFmtId="0" fontId="35" fillId="23" borderId="60" xfId="0" applyFont="1" applyFill="1" applyBorder="1" applyAlignment="1">
      <alignment horizontal="center" vertical="top" wrapText="1"/>
    </xf>
    <xf numFmtId="0" fontId="48" fillId="21" borderId="67" xfId="0" applyFont="1" applyFill="1" applyBorder="1" applyAlignment="1">
      <alignment horizontal="left" vertical="top"/>
    </xf>
    <xf numFmtId="10" fontId="47" fillId="20" borderId="67" xfId="0" applyNumberFormat="1" applyFont="1" applyFill="1" applyBorder="1" applyAlignment="1">
      <alignment horizontal="right" vertical="top"/>
    </xf>
    <xf numFmtId="0" fontId="48" fillId="24" borderId="67" xfId="0" applyFont="1" applyFill="1" applyBorder="1" applyAlignment="1">
      <alignment horizontal="left" vertical="top"/>
    </xf>
    <xf numFmtId="10" fontId="47" fillId="24" borderId="67" xfId="0" applyNumberFormat="1" applyFont="1" applyFill="1" applyBorder="1" applyAlignment="1">
      <alignment horizontal="right" vertical="top"/>
    </xf>
    <xf numFmtId="0" fontId="50" fillId="21" borderId="67" xfId="0" applyFont="1" applyFill="1" applyBorder="1" applyAlignment="1">
      <alignment horizontal="left" vertical="top"/>
    </xf>
    <xf numFmtId="0" fontId="35" fillId="23" borderId="0" xfId="0" applyFont="1" applyFill="1" applyAlignment="1">
      <alignment horizontal="center" vertical="top" wrapText="1"/>
    </xf>
    <xf numFmtId="10" fontId="49" fillId="20" borderId="67" xfId="0" applyNumberFormat="1" applyFont="1" applyFill="1" applyBorder="1" applyAlignment="1">
      <alignment horizontal="right" vertical="top"/>
    </xf>
    <xf numFmtId="10" fontId="41" fillId="27" borderId="67" xfId="0" applyNumberFormat="1" applyFont="1" applyFill="1" applyBorder="1" applyAlignment="1">
      <alignment horizontal="right" vertical="top"/>
    </xf>
    <xf numFmtId="10" fontId="52" fillId="28" borderId="67" xfId="0" applyNumberFormat="1" applyFont="1" applyFill="1" applyBorder="1" applyAlignment="1">
      <alignment horizontal="right" vertical="top"/>
    </xf>
    <xf numFmtId="0" fontId="47" fillId="20" borderId="67" xfId="0" applyFont="1" applyFill="1" applyBorder="1" applyAlignment="1">
      <alignment horizontal="left" vertical="top"/>
    </xf>
    <xf numFmtId="0" fontId="50" fillId="21" borderId="0" xfId="0" applyFont="1" applyFill="1" applyAlignment="1">
      <alignment horizontal="left" vertical="top"/>
    </xf>
    <xf numFmtId="0" fontId="47" fillId="20" borderId="0" xfId="0" applyFont="1" applyFill="1" applyAlignment="1">
      <alignment horizontal="right" vertical="top"/>
    </xf>
    <xf numFmtId="0" fontId="35" fillId="34" borderId="55" xfId="0" applyFont="1" applyFill="1" applyBorder="1" applyAlignment="1">
      <alignment horizontal="center" vertical="top" wrapText="1"/>
    </xf>
    <xf numFmtId="0" fontId="34" fillId="0" borderId="20" xfId="1" applyFont="1" applyBorder="1" applyAlignment="1">
      <alignment vertical="top"/>
    </xf>
    <xf numFmtId="0" fontId="37" fillId="0" borderId="20" xfId="1" applyFont="1" applyBorder="1" applyAlignment="1">
      <alignment horizontal="centerContinuous" vertical="top"/>
    </xf>
    <xf numFmtId="0" fontId="37" fillId="0" borderId="67" xfId="1" applyFont="1" applyBorder="1" applyAlignment="1">
      <alignment vertical="top"/>
    </xf>
    <xf numFmtId="0" fontId="37" fillId="0" borderId="0" xfId="1" applyFont="1" applyAlignment="1">
      <alignment vertical="top"/>
    </xf>
    <xf numFmtId="164" fontId="33" fillId="0" borderId="0" xfId="8" applyNumberFormat="1" applyFont="1" applyAlignment="1">
      <alignment vertical="top"/>
    </xf>
    <xf numFmtId="166" fontId="33" fillId="0" borderId="0" xfId="1" applyNumberFormat="1" applyFont="1" applyAlignment="1">
      <alignment vertical="top"/>
    </xf>
    <xf numFmtId="6" fontId="33" fillId="0" borderId="0" xfId="1" applyNumberFormat="1" applyFont="1" applyAlignment="1">
      <alignment vertical="top"/>
    </xf>
    <xf numFmtId="167" fontId="37" fillId="15" borderId="0" xfId="1" applyNumberFormat="1" applyFont="1" applyFill="1" applyAlignment="1">
      <alignment vertical="top"/>
    </xf>
    <xf numFmtId="2" fontId="33" fillId="0" borderId="0" xfId="0" applyNumberFormat="1" applyFont="1" applyAlignment="1">
      <alignment vertical="top"/>
    </xf>
    <xf numFmtId="164" fontId="33" fillId="0" borderId="0" xfId="8" applyNumberFormat="1" applyFont="1" applyFill="1" applyAlignment="1">
      <alignment vertical="top"/>
    </xf>
    <xf numFmtId="2" fontId="33" fillId="0" borderId="0" xfId="1" applyNumberFormat="1" applyFont="1" applyAlignment="1">
      <alignment vertical="top"/>
    </xf>
    <xf numFmtId="170" fontId="33" fillId="0" borderId="0" xfId="1" applyNumberFormat="1" applyFont="1" applyAlignment="1">
      <alignment vertical="top"/>
    </xf>
    <xf numFmtId="0" fontId="54" fillId="12" borderId="0" xfId="1" applyFont="1" applyFill="1" applyAlignment="1">
      <alignment horizontal="center" vertical="top"/>
    </xf>
    <xf numFmtId="8" fontId="33" fillId="0" borderId="0" xfId="1" applyNumberFormat="1" applyFont="1" applyAlignment="1">
      <alignment vertical="top"/>
    </xf>
    <xf numFmtId="164" fontId="33" fillId="0" borderId="0" xfId="1" applyNumberFormat="1" applyFont="1" applyAlignment="1">
      <alignment vertical="top"/>
    </xf>
    <xf numFmtId="0" fontId="35" fillId="45" borderId="20" xfId="1" applyFont="1" applyFill="1" applyBorder="1" applyAlignment="1">
      <alignment horizontal="center" vertical="top"/>
    </xf>
    <xf numFmtId="164" fontId="35" fillId="45" borderId="20" xfId="8" applyNumberFormat="1" applyFont="1" applyFill="1" applyBorder="1" applyAlignment="1">
      <alignment horizontal="center" vertical="top"/>
    </xf>
    <xf numFmtId="0" fontId="34" fillId="0" borderId="0" xfId="1" applyFont="1" applyAlignment="1">
      <alignment horizontal="left" vertical="top" wrapText="1"/>
    </xf>
    <xf numFmtId="6" fontId="33" fillId="0" borderId="0" xfId="1" applyNumberFormat="1" applyFont="1" applyAlignment="1">
      <alignment horizontal="left" vertical="top" wrapText="1"/>
    </xf>
    <xf numFmtId="0" fontId="33" fillId="0" borderId="0" xfId="1" applyFont="1" applyAlignment="1">
      <alignment horizontal="left" vertical="top" wrapText="1"/>
    </xf>
    <xf numFmtId="10" fontId="33" fillId="0" borderId="0" xfId="0" applyNumberFormat="1" applyFont="1" applyAlignment="1">
      <alignment vertical="top"/>
    </xf>
    <xf numFmtId="0" fontId="47" fillId="20" borderId="54" xfId="0" applyFont="1" applyFill="1" applyBorder="1" applyAlignment="1">
      <alignment horizontal="left" vertical="top"/>
    </xf>
    <xf numFmtId="0" fontId="48" fillId="21" borderId="53" xfId="0" applyFont="1" applyFill="1" applyBorder="1" applyAlignment="1">
      <alignment horizontal="left" vertical="top"/>
    </xf>
    <xf numFmtId="0" fontId="50" fillId="21" borderId="53" xfId="0" applyFont="1" applyFill="1" applyBorder="1" applyAlignment="1">
      <alignment horizontal="left" vertical="top"/>
    </xf>
    <xf numFmtId="3" fontId="41" fillId="27" borderId="20" xfId="0" applyNumberFormat="1" applyFont="1" applyFill="1" applyBorder="1" applyAlignment="1">
      <alignment horizontal="right" vertical="top"/>
    </xf>
    <xf numFmtId="0" fontId="35" fillId="23" borderId="67" xfId="0" applyFont="1" applyFill="1" applyBorder="1" applyAlignment="1">
      <alignment horizontal="center" vertical="top" wrapText="1"/>
    </xf>
    <xf numFmtId="0" fontId="41" fillId="27" borderId="67" xfId="0" applyFont="1" applyFill="1" applyBorder="1" applyAlignment="1">
      <alignment horizontal="right" vertical="top"/>
    </xf>
    <xf numFmtId="0" fontId="35" fillId="26" borderId="67" xfId="0" applyFont="1" applyFill="1" applyBorder="1" applyAlignment="1">
      <alignment horizontal="left" vertical="top"/>
    </xf>
    <xf numFmtId="0" fontId="35" fillId="29" borderId="67" xfId="0" applyFont="1" applyFill="1" applyBorder="1" applyAlignment="1">
      <alignment horizontal="left" vertical="top"/>
    </xf>
    <xf numFmtId="0" fontId="35" fillId="23" borderId="67" xfId="0" applyFont="1" applyFill="1" applyBorder="1" applyAlignment="1">
      <alignment horizontal="left" vertical="top"/>
    </xf>
    <xf numFmtId="0" fontId="33" fillId="0" borderId="67" xfId="0" applyFont="1" applyBorder="1" applyAlignment="1">
      <alignment vertical="top"/>
    </xf>
    <xf numFmtId="0" fontId="33" fillId="39" borderId="20" xfId="1" applyNumberFormat="1" applyFont="1" applyFill="1" applyBorder="1" applyAlignment="1">
      <alignment horizontal="center" vertical="top"/>
    </xf>
    <xf numFmtId="0" fontId="33" fillId="0" borderId="20" xfId="0" applyFont="1" applyBorder="1" applyAlignment="1">
      <alignment horizontal="center" vertical="top" wrapText="1"/>
    </xf>
    <xf numFmtId="0" fontId="33" fillId="0" borderId="20" xfId="0" applyFont="1" applyBorder="1" applyAlignment="1">
      <alignment horizontal="left" vertical="top" wrapText="1"/>
    </xf>
    <xf numFmtId="0" fontId="34" fillId="0" borderId="20" xfId="0" applyFont="1" applyBorder="1" applyAlignment="1">
      <alignment horizontal="left" vertical="top" wrapText="1"/>
    </xf>
    <xf numFmtId="169" fontId="33" fillId="0" borderId="20" xfId="0" applyNumberFormat="1" applyFont="1" applyBorder="1" applyAlignment="1">
      <alignment horizontal="center" vertical="top"/>
    </xf>
    <xf numFmtId="2" fontId="33" fillId="0" borderId="0" xfId="0" applyNumberFormat="1" applyFont="1" applyAlignment="1">
      <alignment horizontal="center" vertical="top"/>
    </xf>
    <xf numFmtId="0" fontId="33" fillId="36" borderId="20" xfId="1" applyNumberFormat="1" applyFont="1" applyFill="1" applyBorder="1" applyAlignment="1">
      <alignment horizontal="center" vertical="top"/>
    </xf>
    <xf numFmtId="0" fontId="55" fillId="0" borderId="20" xfId="0" applyFont="1" applyBorder="1" applyAlignment="1">
      <alignment horizontal="left" vertical="top" wrapText="1"/>
    </xf>
    <xf numFmtId="0" fontId="33" fillId="0" borderId="10" xfId="0" applyFont="1" applyBorder="1" applyAlignment="1">
      <alignment horizontal="center" vertical="top" wrapText="1"/>
    </xf>
    <xf numFmtId="0" fontId="33" fillId="0" borderId="10" xfId="0" applyFont="1" applyBorder="1" applyAlignment="1">
      <alignment horizontal="left" vertical="top" wrapText="1"/>
    </xf>
    <xf numFmtId="0" fontId="34" fillId="0" borderId="10" xfId="0" applyFont="1" applyBorder="1" applyAlignment="1">
      <alignment horizontal="left" vertical="top" wrapText="1"/>
    </xf>
    <xf numFmtId="0" fontId="33" fillId="0" borderId="10" xfId="0" applyFont="1" applyBorder="1" applyAlignment="1">
      <alignment horizontal="center" vertical="top"/>
    </xf>
    <xf numFmtId="49" fontId="35" fillId="45" borderId="70" xfId="0" applyNumberFormat="1" applyFont="1" applyFill="1" applyBorder="1" applyAlignment="1">
      <alignment horizontal="center" vertical="top" wrapText="1"/>
    </xf>
    <xf numFmtId="0" fontId="35" fillId="45" borderId="71" xfId="0" applyFont="1" applyFill="1" applyBorder="1" applyAlignment="1">
      <alignment horizontal="center" vertical="top" wrapText="1"/>
    </xf>
    <xf numFmtId="0" fontId="35" fillId="45" borderId="20" xfId="0" applyFont="1" applyFill="1" applyBorder="1" applyAlignment="1">
      <alignment horizontal="center" vertical="top"/>
    </xf>
    <xf numFmtId="0" fontId="35" fillId="45" borderId="81" xfId="0" applyFont="1" applyFill="1" applyBorder="1" applyAlignment="1">
      <alignment horizontal="center" vertical="top" wrapText="1"/>
    </xf>
    <xf numFmtId="0" fontId="35" fillId="34" borderId="82" xfId="0" applyFont="1" applyFill="1" applyBorder="1" applyAlignment="1">
      <alignment horizontal="center" vertical="top" wrapText="1"/>
    </xf>
    <xf numFmtId="0" fontId="37" fillId="0" borderId="22" xfId="1" applyFont="1" applyBorder="1" applyAlignment="1">
      <alignment vertical="top"/>
    </xf>
    <xf numFmtId="0" fontId="33" fillId="0" borderId="21" xfId="1" applyFont="1" applyBorder="1" applyAlignment="1" applyProtection="1">
      <alignment vertical="top"/>
      <protection hidden="1"/>
    </xf>
    <xf numFmtId="167" fontId="33" fillId="0" borderId="21" xfId="1" applyNumberFormat="1" applyFont="1" applyBorder="1" applyAlignment="1" applyProtection="1">
      <alignment vertical="top"/>
      <protection hidden="1"/>
    </xf>
    <xf numFmtId="0" fontId="37" fillId="0" borderId="15" xfId="1" applyFont="1" applyBorder="1" applyAlignment="1">
      <alignment vertical="top"/>
    </xf>
    <xf numFmtId="10" fontId="33" fillId="0" borderId="83" xfId="1" applyNumberFormat="1" applyFont="1" applyBorder="1" applyAlignment="1" applyProtection="1">
      <alignment vertical="top"/>
      <protection hidden="1"/>
    </xf>
    <xf numFmtId="0" fontId="34" fillId="0" borderId="20" xfId="1" applyFont="1" applyBorder="1" applyAlignment="1">
      <alignment horizontal="center" vertical="top" wrapText="1"/>
    </xf>
    <xf numFmtId="0" fontId="33" fillId="0" borderId="0" xfId="0" applyFont="1" applyAlignment="1">
      <alignment vertical="top"/>
    </xf>
    <xf numFmtId="0" fontId="42" fillId="53" borderId="75" xfId="12" applyFont="1" applyFill="1" applyBorder="1" applyAlignment="1">
      <alignment vertical="top"/>
    </xf>
    <xf numFmtId="49" fontId="42" fillId="53" borderId="75" xfId="12" applyNumberFormat="1" applyFont="1" applyFill="1" applyBorder="1" applyAlignment="1">
      <alignment vertical="top"/>
    </xf>
    <xf numFmtId="0" fontId="33" fillId="53" borderId="74" xfId="0" applyFont="1" applyFill="1" applyBorder="1" applyAlignment="1">
      <alignment vertical="top"/>
    </xf>
    <xf numFmtId="0" fontId="33" fillId="54" borderId="74" xfId="0" applyFont="1" applyFill="1" applyBorder="1" applyAlignment="1">
      <alignment vertical="top"/>
    </xf>
    <xf numFmtId="0" fontId="42" fillId="54" borderId="75" xfId="12" applyFont="1" applyFill="1" applyBorder="1" applyAlignment="1">
      <alignment vertical="top"/>
    </xf>
    <xf numFmtId="49" fontId="42" fillId="54" borderId="75" xfId="12" applyNumberFormat="1" applyFont="1" applyFill="1" applyBorder="1" applyAlignment="1">
      <alignment vertical="top"/>
    </xf>
    <xf numFmtId="0" fontId="33" fillId="55" borderId="74" xfId="0" applyFont="1" applyFill="1" applyBorder="1" applyAlignment="1">
      <alignment vertical="top"/>
    </xf>
    <xf numFmtId="0" fontId="42" fillId="55" borderId="75" xfId="12" applyFont="1" applyFill="1" applyBorder="1" applyAlignment="1">
      <alignment vertical="top"/>
    </xf>
    <xf numFmtId="49" fontId="42" fillId="55" borderId="75" xfId="12" applyNumberFormat="1" applyFont="1" applyFill="1" applyBorder="1" applyAlignment="1">
      <alignment vertical="top"/>
    </xf>
    <xf numFmtId="0" fontId="33" fillId="56" borderId="74" xfId="0" applyFont="1" applyFill="1" applyBorder="1" applyAlignment="1">
      <alignment vertical="top"/>
    </xf>
    <xf numFmtId="0" fontId="42" fillId="56" borderId="75" xfId="12" applyFont="1" applyFill="1" applyBorder="1" applyAlignment="1">
      <alignment vertical="top"/>
    </xf>
    <xf numFmtId="49" fontId="42" fillId="56" borderId="75" xfId="12" applyNumberFormat="1" applyFont="1" applyFill="1" applyBorder="1" applyAlignment="1">
      <alignment vertical="top"/>
    </xf>
    <xf numFmtId="0" fontId="33" fillId="57" borderId="74" xfId="0" applyFont="1" applyFill="1" applyBorder="1" applyAlignment="1">
      <alignment vertical="top"/>
    </xf>
    <xf numFmtId="0" fontId="42" fillId="57" borderId="75" xfId="12" applyFont="1" applyFill="1" applyBorder="1" applyAlignment="1">
      <alignment vertical="top"/>
    </xf>
    <xf numFmtId="49" fontId="42" fillId="57" borderId="75" xfId="12" applyNumberFormat="1" applyFont="1" applyFill="1" applyBorder="1" applyAlignment="1">
      <alignment vertical="top"/>
    </xf>
    <xf numFmtId="0" fontId="33" fillId="58" borderId="74" xfId="0" applyFont="1" applyFill="1" applyBorder="1" applyAlignment="1">
      <alignment vertical="top"/>
    </xf>
    <xf numFmtId="0" fontId="42" fillId="58" borderId="75" xfId="12" applyFont="1" applyFill="1" applyBorder="1" applyAlignment="1">
      <alignment vertical="top"/>
    </xf>
    <xf numFmtId="49" fontId="42" fillId="58" borderId="75" xfId="12" applyNumberFormat="1" applyFont="1" applyFill="1" applyBorder="1" applyAlignment="1">
      <alignment vertical="top"/>
    </xf>
    <xf numFmtId="0" fontId="33" fillId="59" borderId="74" xfId="0" applyFont="1" applyFill="1" applyBorder="1" applyAlignment="1">
      <alignment vertical="top"/>
    </xf>
    <xf numFmtId="0" fontId="42" fillId="59" borderId="75" xfId="12" applyFont="1" applyFill="1" applyBorder="1" applyAlignment="1">
      <alignment vertical="top"/>
    </xf>
    <xf numFmtId="49" fontId="42" fillId="59" borderId="75" xfId="12" applyNumberFormat="1" applyFont="1" applyFill="1" applyBorder="1" applyAlignment="1">
      <alignment vertical="top"/>
    </xf>
    <xf numFmtId="0" fontId="33" fillId="60" borderId="74" xfId="0" applyFont="1" applyFill="1" applyBorder="1" applyAlignment="1">
      <alignment vertical="top"/>
    </xf>
    <xf numFmtId="0" fontId="42" fillId="60" borderId="75" xfId="12" applyFont="1" applyFill="1" applyBorder="1" applyAlignment="1">
      <alignment vertical="top"/>
    </xf>
    <xf numFmtId="49" fontId="42" fillId="60" borderId="75" xfId="12" applyNumberFormat="1" applyFont="1" applyFill="1" applyBorder="1" applyAlignment="1">
      <alignment vertical="top"/>
    </xf>
    <xf numFmtId="0" fontId="33" fillId="61" borderId="74" xfId="0" applyFont="1" applyFill="1" applyBorder="1" applyAlignment="1">
      <alignment vertical="top"/>
    </xf>
    <xf numFmtId="0" fontId="42" fillId="61" borderId="75" xfId="12" applyFont="1" applyFill="1" applyBorder="1" applyAlignment="1">
      <alignment vertical="top"/>
    </xf>
    <xf numFmtId="49" fontId="42" fillId="61" borderId="75" xfId="12" applyNumberFormat="1" applyFont="1" applyFill="1" applyBorder="1" applyAlignment="1">
      <alignment vertical="top"/>
    </xf>
    <xf numFmtId="0" fontId="42" fillId="62" borderId="75" xfId="12" applyFont="1" applyFill="1" applyBorder="1" applyAlignment="1">
      <alignment vertical="top"/>
    </xf>
    <xf numFmtId="49" fontId="42" fillId="62" borderId="75" xfId="12" applyNumberFormat="1" applyFont="1" applyFill="1" applyBorder="1" applyAlignment="1">
      <alignment vertical="top"/>
    </xf>
    <xf numFmtId="0" fontId="33" fillId="63" borderId="74" xfId="0" applyFont="1" applyFill="1" applyBorder="1" applyAlignment="1">
      <alignment vertical="top"/>
    </xf>
    <xf numFmtId="0" fontId="42" fillId="63" borderId="75" xfId="12" applyFont="1" applyFill="1" applyBorder="1" applyAlignment="1">
      <alignment vertical="top"/>
    </xf>
    <xf numFmtId="49" fontId="42" fillId="63" borderId="75" xfId="12" applyNumberFormat="1" applyFont="1" applyFill="1" applyBorder="1" applyAlignment="1">
      <alignment vertical="top"/>
    </xf>
    <xf numFmtId="0" fontId="33" fillId="64" borderId="74" xfId="0" applyFont="1" applyFill="1" applyBorder="1" applyAlignment="1">
      <alignment vertical="top"/>
    </xf>
    <xf numFmtId="0" fontId="42" fillId="64" borderId="75" xfId="12" applyFont="1" applyFill="1" applyBorder="1" applyAlignment="1">
      <alignment vertical="top"/>
    </xf>
    <xf numFmtId="49" fontId="42" fillId="64" borderId="75" xfId="12" applyNumberFormat="1" applyFont="1" applyFill="1" applyBorder="1" applyAlignment="1">
      <alignment vertical="top"/>
    </xf>
    <xf numFmtId="0" fontId="33" fillId="64" borderId="75" xfId="0" applyFont="1" applyFill="1" applyBorder="1" applyAlignment="1">
      <alignment horizontal="center" vertical="top"/>
    </xf>
    <xf numFmtId="0" fontId="33" fillId="65" borderId="75" xfId="0" applyFont="1" applyFill="1" applyBorder="1" applyAlignment="1">
      <alignment horizontal="center" vertical="top"/>
    </xf>
    <xf numFmtId="0" fontId="42" fillId="65" borderId="75" xfId="12" applyFont="1" applyFill="1" applyBorder="1" applyAlignment="1">
      <alignment vertical="top"/>
    </xf>
    <xf numFmtId="49" fontId="42" fillId="65" borderId="75" xfId="12" applyNumberFormat="1" applyFont="1" applyFill="1" applyBorder="1" applyAlignment="1">
      <alignment vertical="top"/>
    </xf>
    <xf numFmtId="0" fontId="33" fillId="66" borderId="75" xfId="0" applyFont="1" applyFill="1" applyBorder="1" applyAlignment="1">
      <alignment horizontal="center" vertical="top"/>
    </xf>
    <xf numFmtId="0" fontId="42" fillId="66" borderId="75" xfId="12" applyFont="1" applyFill="1" applyBorder="1" applyAlignment="1">
      <alignment vertical="top"/>
    </xf>
    <xf numFmtId="49" fontId="42" fillId="66" borderId="75" xfId="12" applyNumberFormat="1" applyFont="1" applyFill="1" applyBorder="1" applyAlignment="1">
      <alignment vertical="top"/>
    </xf>
    <xf numFmtId="0" fontId="33" fillId="67" borderId="74" xfId="0" applyFont="1" applyFill="1" applyBorder="1" applyAlignment="1">
      <alignment vertical="top"/>
    </xf>
    <xf numFmtId="0" fontId="33" fillId="67" borderId="75" xfId="0" applyFont="1" applyFill="1" applyBorder="1" applyAlignment="1">
      <alignment horizontal="center" vertical="top"/>
    </xf>
    <xf numFmtId="0" fontId="42" fillId="67" borderId="75" xfId="12" applyFont="1" applyFill="1" applyBorder="1" applyAlignment="1">
      <alignment vertical="top"/>
    </xf>
    <xf numFmtId="49" fontId="42" fillId="67" borderId="75" xfId="12" applyNumberFormat="1" applyFont="1" applyFill="1" applyBorder="1" applyAlignment="1">
      <alignment vertical="top"/>
    </xf>
    <xf numFmtId="0" fontId="33" fillId="68" borderId="74" xfId="0" applyFont="1" applyFill="1" applyBorder="1" applyAlignment="1">
      <alignment vertical="top"/>
    </xf>
    <xf numFmtId="0" fontId="33" fillId="68" borderId="75" xfId="0" applyFont="1" applyFill="1" applyBorder="1" applyAlignment="1">
      <alignment horizontal="center" vertical="top"/>
    </xf>
    <xf numFmtId="0" fontId="42" fillId="68" borderId="75" xfId="12" applyFont="1" applyFill="1" applyBorder="1" applyAlignment="1">
      <alignment vertical="top"/>
    </xf>
    <xf numFmtId="49" fontId="42" fillId="68" borderId="75" xfId="12" applyNumberFormat="1" applyFont="1" applyFill="1" applyBorder="1" applyAlignment="1">
      <alignment vertical="top"/>
    </xf>
    <xf numFmtId="0" fontId="42" fillId="53" borderId="75" xfId="12" applyFont="1" applyFill="1" applyBorder="1" applyAlignment="1">
      <alignment horizontal="center" vertical="top"/>
    </xf>
    <xf numFmtId="0" fontId="33" fillId="53" borderId="75" xfId="0" applyFont="1" applyFill="1" applyBorder="1" applyAlignment="1">
      <alignment horizontal="center" vertical="top"/>
    </xf>
    <xf numFmtId="0" fontId="33" fillId="54" borderId="75" xfId="0" applyFont="1" applyFill="1" applyBorder="1" applyAlignment="1">
      <alignment horizontal="center" vertical="top"/>
    </xf>
    <xf numFmtId="0" fontId="33" fillId="55" borderId="75" xfId="0" applyFont="1" applyFill="1" applyBorder="1" applyAlignment="1">
      <alignment horizontal="center" vertical="top"/>
    </xf>
    <xf numFmtId="0" fontId="33" fillId="56" borderId="75" xfId="0" applyFont="1" applyFill="1" applyBorder="1" applyAlignment="1">
      <alignment horizontal="center" vertical="top"/>
    </xf>
    <xf numFmtId="0" fontId="33" fillId="57" borderId="75" xfId="0" applyFont="1" applyFill="1" applyBorder="1" applyAlignment="1">
      <alignment horizontal="center" vertical="top"/>
    </xf>
    <xf numFmtId="0" fontId="33" fillId="58" borderId="75" xfId="0" applyFont="1" applyFill="1" applyBorder="1" applyAlignment="1">
      <alignment horizontal="center" vertical="top"/>
    </xf>
    <xf numFmtId="0" fontId="33" fillId="59" borderId="75" xfId="0" applyFont="1" applyFill="1" applyBorder="1" applyAlignment="1">
      <alignment horizontal="center" vertical="top"/>
    </xf>
    <xf numFmtId="0" fontId="33" fillId="60" borderId="75" xfId="0" applyFont="1" applyFill="1" applyBorder="1" applyAlignment="1">
      <alignment horizontal="center" vertical="top"/>
    </xf>
    <xf numFmtId="0" fontId="33" fillId="61" borderId="75" xfId="0" applyFont="1" applyFill="1" applyBorder="1" applyAlignment="1">
      <alignment horizontal="center" vertical="top"/>
    </xf>
    <xf numFmtId="0" fontId="33" fillId="62" borderId="75" xfId="0" applyFont="1" applyFill="1" applyBorder="1" applyAlignment="1">
      <alignment horizontal="center" vertical="top"/>
    </xf>
    <xf numFmtId="0" fontId="33" fillId="63" borderId="75" xfId="0" applyFont="1" applyFill="1" applyBorder="1" applyAlignment="1">
      <alignment horizontal="center" vertical="top"/>
    </xf>
    <xf numFmtId="167" fontId="33" fillId="0" borderId="75" xfId="0" applyNumberFormat="1" applyFont="1" applyBorder="1" applyAlignment="1">
      <alignment horizontal="center" vertical="center"/>
    </xf>
    <xf numFmtId="167" fontId="42" fillId="41" borderId="75" xfId="12" applyNumberFormat="1" applyFont="1" applyBorder="1" applyAlignment="1">
      <alignment horizontal="center" vertical="center"/>
    </xf>
    <xf numFmtId="167" fontId="43" fillId="40" borderId="75" xfId="11" applyNumberFormat="1" applyFont="1" applyBorder="1" applyAlignment="1">
      <alignment horizontal="center" vertical="center"/>
    </xf>
    <xf numFmtId="167" fontId="43" fillId="40" borderId="79" xfId="11" applyNumberFormat="1" applyFont="1" applyBorder="1" applyAlignment="1">
      <alignment horizontal="center" vertical="center"/>
    </xf>
    <xf numFmtId="0" fontId="0" fillId="0" borderId="0" xfId="0"/>
    <xf numFmtId="0" fontId="0" fillId="0" borderId="0" xfId="0" applyAlignment="1">
      <alignment horizontal="left" vertical="center"/>
    </xf>
    <xf numFmtId="0" fontId="2" fillId="69" borderId="0" xfId="0" applyFont="1" applyFill="1" applyAlignment="1">
      <alignment horizontal="left" vertical="center" wrapText="1"/>
    </xf>
    <xf numFmtId="0" fontId="34" fillId="13" borderId="84" xfId="1" applyFont="1" applyFill="1" applyBorder="1" applyAlignment="1">
      <alignment horizontal="center" vertical="top"/>
    </xf>
    <xf numFmtId="0" fontId="33" fillId="13" borderId="85" xfId="1" applyFont="1" applyFill="1" applyBorder="1" applyAlignment="1">
      <alignment vertical="top"/>
    </xf>
    <xf numFmtId="0" fontId="34" fillId="13" borderId="85" xfId="1" applyFont="1" applyFill="1" applyBorder="1" applyAlignment="1">
      <alignment horizontal="center" vertical="top"/>
    </xf>
    <xf numFmtId="0" fontId="34" fillId="13" borderId="86" xfId="1" applyFont="1" applyFill="1" applyBorder="1" applyAlignment="1">
      <alignment horizontal="center" vertical="top" wrapText="1"/>
    </xf>
    <xf numFmtId="0" fontId="33" fillId="0" borderId="0" xfId="1" applyFont="1" applyBorder="1" applyAlignment="1">
      <alignment vertical="top"/>
    </xf>
    <xf numFmtId="0" fontId="1" fillId="0" borderId="6" xfId="1" applyFont="1" applyBorder="1"/>
    <xf numFmtId="0" fontId="1" fillId="0" borderId="0" xfId="1" applyFont="1" applyBorder="1"/>
    <xf numFmtId="167" fontId="1" fillId="0" borderId="87" xfId="1" applyNumberFormat="1" applyFont="1" applyBorder="1"/>
    <xf numFmtId="0" fontId="34" fillId="0" borderId="0" xfId="1" applyFont="1" applyBorder="1" applyAlignment="1">
      <alignment vertical="top"/>
    </xf>
    <xf numFmtId="165" fontId="34" fillId="0" borderId="87" xfId="1" applyNumberFormat="1" applyFont="1" applyBorder="1" applyAlignment="1">
      <alignment vertical="top"/>
    </xf>
    <xf numFmtId="0" fontId="1" fillId="0" borderId="3" xfId="1" applyFont="1" applyBorder="1"/>
    <xf numFmtId="0" fontId="1" fillId="0" borderId="2" xfId="1" applyFont="1" applyBorder="1"/>
    <xf numFmtId="0" fontId="1" fillId="0" borderId="1" xfId="1" applyFont="1" applyBorder="1"/>
    <xf numFmtId="0" fontId="1" fillId="0" borderId="40" xfId="1" applyFont="1" applyBorder="1"/>
    <xf numFmtId="0" fontId="1" fillId="0" borderId="49" xfId="1" applyFont="1" applyBorder="1"/>
    <xf numFmtId="0" fontId="34" fillId="13" borderId="88" xfId="1" applyFont="1" applyFill="1" applyBorder="1" applyAlignment="1">
      <alignment horizontal="center" vertical="top"/>
    </xf>
    <xf numFmtId="0" fontId="34" fillId="13" borderId="89" xfId="1" applyFont="1" applyFill="1" applyBorder="1" applyAlignment="1">
      <alignment horizontal="center" vertical="top"/>
    </xf>
    <xf numFmtId="0" fontId="34" fillId="13" borderId="90" xfId="1" applyFont="1" applyFill="1" applyBorder="1" applyAlignment="1">
      <alignment horizontal="center" vertical="top"/>
    </xf>
    <xf numFmtId="0" fontId="34" fillId="13" borderId="91" xfId="1" applyFont="1" applyFill="1" applyBorder="1" applyAlignment="1">
      <alignment horizontal="center" vertical="top" wrapText="1"/>
    </xf>
    <xf numFmtId="167" fontId="1" fillId="0" borderId="0" xfId="1" applyNumberFormat="1" applyFont="1" applyBorder="1"/>
    <xf numFmtId="0" fontId="33" fillId="0" borderId="14" xfId="1" applyFont="1" applyBorder="1" applyAlignment="1">
      <alignment vertical="top"/>
    </xf>
    <xf numFmtId="0" fontId="34" fillId="13" borderId="10" xfId="1" applyFont="1" applyFill="1" applyBorder="1" applyAlignment="1">
      <alignment horizontal="center" vertical="top"/>
    </xf>
    <xf numFmtId="0" fontId="34" fillId="13" borderId="11" xfId="1" applyFont="1" applyFill="1" applyBorder="1" applyAlignment="1">
      <alignment horizontal="center" vertical="top"/>
    </xf>
    <xf numFmtId="0" fontId="34" fillId="13" borderId="92" xfId="1" applyFont="1" applyFill="1" applyBorder="1" applyAlignment="1">
      <alignment horizontal="center" vertical="top"/>
    </xf>
    <xf numFmtId="0" fontId="33" fillId="13" borderId="93" xfId="1" applyFont="1" applyFill="1" applyBorder="1" applyAlignment="1">
      <alignment vertical="top"/>
    </xf>
    <xf numFmtId="0" fontId="34" fillId="13" borderId="94" xfId="1" applyFont="1" applyFill="1" applyBorder="1" applyAlignment="1">
      <alignment horizontal="center" vertical="top"/>
    </xf>
    <xf numFmtId="0" fontId="33" fillId="13" borderId="12" xfId="1" applyFont="1" applyFill="1" applyBorder="1" applyAlignment="1">
      <alignment vertical="top"/>
    </xf>
    <xf numFmtId="0" fontId="34" fillId="13" borderId="95" xfId="1" applyFont="1" applyFill="1" applyBorder="1" applyAlignment="1">
      <alignment horizontal="center" vertical="top"/>
    </xf>
    <xf numFmtId="167" fontId="1" fillId="0" borderId="2" xfId="1" applyNumberFormat="1" applyFont="1" applyBorder="1"/>
    <xf numFmtId="165" fontId="33" fillId="0" borderId="0" xfId="1" applyNumberFormat="1" applyFont="1" applyBorder="1" applyAlignment="1">
      <alignment vertical="top"/>
    </xf>
    <xf numFmtId="165" fontId="33" fillId="0" borderId="87" xfId="1" applyNumberFormat="1" applyFont="1" applyBorder="1" applyAlignment="1">
      <alignment vertical="top"/>
    </xf>
    <xf numFmtId="165" fontId="1" fillId="0" borderId="0" xfId="1" applyNumberFormat="1" applyFont="1" applyBorder="1"/>
    <xf numFmtId="165" fontId="1" fillId="0" borderId="87" xfId="1" applyNumberFormat="1" applyFont="1" applyBorder="1"/>
    <xf numFmtId="0" fontId="35" fillId="45" borderId="71" xfId="1" applyFont="1" applyFill="1" applyBorder="1" applyAlignment="1">
      <alignment horizontal="center" vertical="top"/>
    </xf>
    <xf numFmtId="0" fontId="46" fillId="0" borderId="16" xfId="1" applyFont="1" applyBorder="1" applyAlignment="1">
      <alignment horizontal="center" vertical="top"/>
    </xf>
    <xf numFmtId="0" fontId="47" fillId="4" borderId="24" xfId="1" applyFont="1" applyFill="1" applyBorder="1" applyAlignment="1">
      <alignment horizontal="centerContinuous" vertical="top"/>
    </xf>
    <xf numFmtId="0" fontId="46" fillId="7" borderId="16" xfId="1" applyFont="1" applyFill="1" applyBorder="1" applyAlignment="1">
      <alignment horizontal="center" vertical="top" wrapText="1"/>
    </xf>
    <xf numFmtId="0" fontId="46" fillId="0" borderId="20" xfId="1" applyFont="1" applyBorder="1" applyAlignment="1">
      <alignment horizontal="center" vertical="top"/>
    </xf>
    <xf numFmtId="0" fontId="47" fillId="0" borderId="22" xfId="1" applyFont="1" applyBorder="1" applyAlignment="1">
      <alignment horizontal="center" vertical="top" wrapText="1"/>
    </xf>
    <xf numFmtId="0" fontId="47" fillId="0" borderId="20" xfId="1" applyFont="1" applyBorder="1" applyAlignment="1">
      <alignment horizontal="center" vertical="top" wrapText="1"/>
    </xf>
    <xf numFmtId="0" fontId="47" fillId="7" borderId="20" xfId="1" applyFont="1" applyFill="1" applyBorder="1" applyAlignment="1">
      <alignment horizontal="centerContinuous" vertical="top" wrapText="1"/>
    </xf>
    <xf numFmtId="0" fontId="47" fillId="7" borderId="20" xfId="1" applyFont="1" applyFill="1" applyBorder="1" applyAlignment="1">
      <alignment horizontal="center" vertical="top" wrapText="1"/>
    </xf>
    <xf numFmtId="0" fontId="47" fillId="0" borderId="20" xfId="1" applyFont="1" applyBorder="1" applyAlignment="1">
      <alignment horizontal="center" vertical="top"/>
    </xf>
    <xf numFmtId="167" fontId="46" fillId="0" borderId="20" xfId="1" applyNumberFormat="1" applyFont="1" applyBorder="1" applyAlignment="1">
      <alignment horizontal="center" vertical="top"/>
    </xf>
    <xf numFmtId="167" fontId="47" fillId="0" borderId="25" xfId="1" applyNumberFormat="1" applyFont="1" applyBorder="1" applyAlignment="1">
      <alignment vertical="top"/>
    </xf>
    <xf numFmtId="0" fontId="47" fillId="0" borderId="20" xfId="0" applyFont="1" applyBorder="1" applyAlignment="1">
      <alignment horizontal="center" vertical="top" wrapText="1"/>
    </xf>
    <xf numFmtId="0" fontId="46" fillId="0" borderId="20" xfId="1" applyFont="1" applyBorder="1" applyAlignment="1">
      <alignment vertical="top"/>
    </xf>
    <xf numFmtId="0" fontId="16" fillId="45" borderId="0" xfId="0" applyFont="1" applyFill="1" applyAlignment="1">
      <alignment horizontal="center"/>
    </xf>
    <xf numFmtId="0" fontId="56" fillId="70" borderId="0" xfId="0" applyFont="1" applyFill="1" applyAlignment="1">
      <alignment horizontal="left"/>
    </xf>
    <xf numFmtId="0" fontId="27" fillId="71" borderId="0" xfId="0" applyFont="1" applyFill="1" applyAlignment="1">
      <alignment horizontal="left"/>
    </xf>
    <xf numFmtId="0" fontId="0" fillId="0" borderId="96" xfId="0" applyBorder="1"/>
    <xf numFmtId="0" fontId="57" fillId="0" borderId="96" xfId="0" applyFont="1" applyBorder="1" applyAlignment="1">
      <alignment horizontal="center"/>
    </xf>
    <xf numFmtId="0" fontId="58" fillId="0" borderId="96" xfId="0" applyFont="1" applyBorder="1"/>
    <xf numFmtId="3" fontId="57" fillId="0" borderId="96" xfId="0" applyNumberFormat="1" applyFont="1" applyBorder="1" applyAlignment="1">
      <alignment horizontal="center"/>
    </xf>
    <xf numFmtId="171" fontId="57" fillId="0" borderId="96" xfId="0" applyNumberFormat="1" applyFont="1" applyBorder="1" applyAlignment="1">
      <alignment horizontal="center"/>
    </xf>
    <xf numFmtId="172" fontId="57" fillId="0" borderId="96" xfId="0" applyNumberFormat="1" applyFont="1" applyBorder="1" applyAlignment="1">
      <alignment horizontal="center"/>
    </xf>
    <xf numFmtId="0" fontId="0" fillId="0" borderId="97" xfId="0" applyBorder="1"/>
    <xf numFmtId="0" fontId="57" fillId="0" borderId="97" xfId="0" applyFont="1" applyBorder="1" applyAlignment="1">
      <alignment horizontal="center"/>
    </xf>
    <xf numFmtId="0" fontId="58" fillId="0" borderId="97" xfId="0" applyFont="1" applyBorder="1"/>
    <xf numFmtId="0" fontId="2" fillId="0" borderId="97" xfId="0" applyFont="1" applyBorder="1"/>
    <xf numFmtId="171" fontId="57" fillId="0" borderId="97" xfId="0" applyNumberFormat="1" applyFont="1" applyBorder="1" applyAlignment="1">
      <alignment horizontal="right"/>
    </xf>
    <xf numFmtId="171" fontId="23" fillId="0" borderId="97" xfId="0" applyNumberFormat="1" applyFont="1" applyBorder="1" applyAlignment="1">
      <alignment horizontal="right"/>
    </xf>
    <xf numFmtId="0" fontId="2" fillId="0" borderId="98" xfId="0" applyFont="1" applyBorder="1"/>
    <xf numFmtId="171" fontId="57" fillId="0" borderId="98" xfId="0" applyNumberFormat="1" applyFont="1" applyBorder="1" applyAlignment="1">
      <alignment horizontal="right"/>
    </xf>
    <xf numFmtId="171" fontId="23" fillId="0" borderId="98" xfId="0" applyNumberFormat="1" applyFont="1" applyBorder="1" applyAlignment="1">
      <alignment horizontal="right"/>
    </xf>
    <xf numFmtId="0" fontId="58" fillId="0" borderId="98" xfId="0" applyFont="1" applyBorder="1"/>
    <xf numFmtId="0" fontId="60" fillId="7" borderId="0" xfId="1" applyFont="1" applyFill="1" applyAlignment="1">
      <alignment vertical="top"/>
    </xf>
    <xf numFmtId="0" fontId="23" fillId="0" borderId="99" xfId="0" applyFont="1" applyFill="1" applyBorder="1"/>
    <xf numFmtId="0" fontId="59" fillId="0" borderId="99" xfId="0" applyFont="1" applyFill="1" applyBorder="1"/>
    <xf numFmtId="173" fontId="41" fillId="0" borderId="20" xfId="1" applyNumberFormat="1" applyFont="1" applyBorder="1" applyAlignment="1">
      <alignment horizontal="center" vertical="top"/>
    </xf>
    <xf numFmtId="0" fontId="33" fillId="0" borderId="100" xfId="1" applyFont="1" applyBorder="1" applyAlignment="1">
      <alignment vertical="top"/>
    </xf>
    <xf numFmtId="0" fontId="37" fillId="0" borderId="88" xfId="1" applyFont="1" applyBorder="1" applyAlignment="1">
      <alignment vertical="top"/>
    </xf>
    <xf numFmtId="0" fontId="33" fillId="0" borderId="20" xfId="1" applyFont="1" applyBorder="1" applyAlignment="1">
      <alignment horizontal="centerContinuous" vertical="top"/>
    </xf>
    <xf numFmtId="0" fontId="61" fillId="45" borderId="0" xfId="0" applyFont="1" applyFill="1" applyAlignment="1">
      <alignment horizontal="center"/>
    </xf>
    <xf numFmtId="0" fontId="2" fillId="0" borderId="0" xfId="0" applyFont="1"/>
    <xf numFmtId="0" fontId="57" fillId="0" borderId="0" xfId="0" applyFont="1"/>
    <xf numFmtId="1" fontId="57" fillId="0" borderId="0" xfId="0" applyNumberFormat="1" applyFont="1"/>
    <xf numFmtId="172" fontId="57" fillId="0" borderId="0" xfId="0" applyNumberFormat="1" applyFont="1"/>
    <xf numFmtId="171" fontId="0" fillId="0" borderId="0" xfId="0" applyNumberFormat="1" applyFont="1" applyAlignment="1">
      <alignment horizontal="right"/>
    </xf>
    <xf numFmtId="1" fontId="0" fillId="0" borderId="96" xfId="0" applyNumberFormat="1" applyFont="1" applyBorder="1" applyAlignment="1">
      <alignment horizontal="center"/>
    </xf>
    <xf numFmtId="171" fontId="0" fillId="0" borderId="96" xfId="0" applyNumberFormat="1" applyFont="1" applyBorder="1"/>
    <xf numFmtId="0" fontId="61" fillId="45" borderId="0" xfId="0" applyFont="1" applyFill="1" applyAlignment="1">
      <alignment horizontal="center" wrapText="1"/>
    </xf>
    <xf numFmtId="171" fontId="0" fillId="0" borderId="0" xfId="0" applyNumberFormat="1"/>
    <xf numFmtId="0" fontId="0" fillId="45" borderId="103" xfId="0" applyFill="1" applyBorder="1"/>
    <xf numFmtId="0" fontId="16" fillId="45" borderId="103" xfId="0" applyFont="1" applyFill="1" applyBorder="1" applyAlignment="1">
      <alignment horizontal="center"/>
    </xf>
    <xf numFmtId="0" fontId="27" fillId="71" borderId="102" xfId="0" applyFont="1" applyFill="1" applyBorder="1" applyAlignment="1">
      <alignment horizontal="center"/>
    </xf>
    <xf numFmtId="0" fontId="0" fillId="45" borderId="104" xfId="0" applyFill="1" applyBorder="1"/>
    <xf numFmtId="171" fontId="2" fillId="0" borderId="102" xfId="0" applyNumberFormat="1" applyFont="1" applyBorder="1" applyAlignment="1">
      <alignment horizontal="right"/>
    </xf>
    <xf numFmtId="0" fontId="27" fillId="71" borderId="98" xfId="0" applyFont="1" applyFill="1" applyBorder="1" applyAlignment="1">
      <alignment horizontal="left"/>
    </xf>
    <xf numFmtId="0" fontId="0" fillId="0" borderId="102" xfId="0" applyFont="1" applyBorder="1" applyAlignment="1">
      <alignment horizontal="left"/>
    </xf>
    <xf numFmtId="1" fontId="2" fillId="0" borderId="102" xfId="0" applyNumberFormat="1" applyFont="1" applyBorder="1" applyAlignment="1">
      <alignment horizontal="right"/>
    </xf>
    <xf numFmtId="0" fontId="59" fillId="0" borderId="98" xfId="0" applyFont="1" applyBorder="1"/>
    <xf numFmtId="0" fontId="2" fillId="0" borderId="101" xfId="0" applyFont="1" applyBorder="1" applyAlignment="1">
      <alignment horizontal="left"/>
    </xf>
    <xf numFmtId="171" fontId="2" fillId="72" borderId="102" xfId="0" applyNumberFormat="1" applyFont="1" applyFill="1" applyBorder="1" applyAlignment="1">
      <alignment horizontal="right"/>
    </xf>
    <xf numFmtId="171" fontId="2" fillId="72" borderId="101" xfId="0" applyNumberFormat="1" applyFont="1" applyFill="1" applyBorder="1" applyAlignment="1">
      <alignment horizontal="right"/>
    </xf>
    <xf numFmtId="0" fontId="2" fillId="0" borderId="102" xfId="0" applyFont="1" applyBorder="1" applyAlignment="1">
      <alignment horizontal="left"/>
    </xf>
    <xf numFmtId="0" fontId="59" fillId="0" borderId="96" xfId="0" applyFont="1" applyFill="1" applyBorder="1"/>
    <xf numFmtId="166" fontId="0" fillId="0" borderId="0" xfId="0" applyNumberFormat="1"/>
    <xf numFmtId="0" fontId="0" fillId="52" borderId="0" xfId="0" applyFill="1" applyAlignment="1">
      <alignment horizontal="center" vertical="center" wrapText="1"/>
    </xf>
    <xf numFmtId="0" fontId="28" fillId="44" borderId="0" xfId="0" applyFont="1" applyFill="1" applyAlignment="1">
      <alignment horizontal="center"/>
    </xf>
    <xf numFmtId="0" fontId="29" fillId="47" borderId="0" xfId="0" applyFont="1" applyFill="1" applyAlignment="1">
      <alignment horizontal="center"/>
    </xf>
    <xf numFmtId="0" fontId="16" fillId="44" borderId="0" xfId="0" applyFont="1" applyFill="1" applyAlignment="1">
      <alignment horizontal="left"/>
    </xf>
    <xf numFmtId="0" fontId="0" fillId="0" borderId="0" xfId="0" applyAlignment="1">
      <alignment horizontal="center" wrapText="1"/>
    </xf>
    <xf numFmtId="0" fontId="0" fillId="0" borderId="0" xfId="0" applyAlignment="1">
      <alignment horizontal="center" vertical="center" wrapText="1"/>
    </xf>
    <xf numFmtId="0" fontId="34" fillId="13" borderId="67" xfId="1" applyFont="1" applyFill="1" applyBorder="1" applyAlignment="1">
      <alignment horizontal="center" vertical="top" wrapText="1"/>
    </xf>
    <xf numFmtId="0" fontId="34" fillId="8" borderId="42" xfId="1" applyFont="1" applyFill="1" applyBorder="1" applyAlignment="1">
      <alignment horizontal="center" vertical="top" wrapText="1"/>
    </xf>
    <xf numFmtId="0" fontId="34" fillId="8" borderId="43" xfId="1" applyFont="1" applyFill="1" applyBorder="1" applyAlignment="1">
      <alignment horizontal="center" vertical="top" wrapText="1"/>
    </xf>
    <xf numFmtId="0" fontId="34" fillId="14" borderId="66" xfId="1" applyFont="1" applyFill="1" applyBorder="1" applyAlignment="1">
      <alignment horizontal="center" vertical="top" wrapText="1"/>
    </xf>
    <xf numFmtId="0" fontId="35" fillId="45" borderId="0" xfId="1" applyFont="1" applyFill="1" applyAlignment="1">
      <alignment horizontal="center" vertical="top"/>
    </xf>
    <xf numFmtId="0" fontId="33" fillId="0" borderId="40" xfId="1" applyFont="1" applyBorder="1" applyAlignment="1">
      <alignment horizontal="center" vertical="top"/>
    </xf>
    <xf numFmtId="0" fontId="34" fillId="16" borderId="41" xfId="1" applyFont="1" applyFill="1" applyBorder="1" applyAlignment="1">
      <alignment horizontal="center" vertical="top" wrapText="1"/>
    </xf>
    <xf numFmtId="0" fontId="34" fillId="16" borderId="48" xfId="1" applyFont="1" applyFill="1" applyBorder="1" applyAlignment="1">
      <alignment horizontal="center" vertical="top" wrapText="1"/>
    </xf>
    <xf numFmtId="0" fontId="34" fillId="0" borderId="20" xfId="1" applyFont="1" applyBorder="1" applyAlignment="1">
      <alignment horizontal="center" vertical="top" wrapText="1"/>
    </xf>
    <xf numFmtId="0" fontId="34" fillId="0" borderId="41" xfId="1" applyFont="1" applyBorder="1" applyAlignment="1">
      <alignment horizontal="center" vertical="top" wrapText="1"/>
    </xf>
    <xf numFmtId="0" fontId="33" fillId="0" borderId="16" xfId="1" applyFont="1" applyBorder="1" applyAlignment="1">
      <alignment horizontal="center" vertical="top"/>
    </xf>
    <xf numFmtId="0" fontId="33" fillId="0" borderId="19" xfId="1" applyFont="1" applyBorder="1" applyAlignment="1">
      <alignment horizontal="center" vertical="top"/>
    </xf>
    <xf numFmtId="0" fontId="34" fillId="8" borderId="17" xfId="1" applyFont="1" applyFill="1" applyBorder="1" applyAlignment="1">
      <alignment horizontal="center" vertical="top"/>
    </xf>
    <xf numFmtId="0" fontId="33" fillId="8" borderId="18" xfId="1" applyFont="1" applyFill="1" applyBorder="1" applyAlignment="1">
      <alignment vertical="top"/>
    </xf>
    <xf numFmtId="0" fontId="34" fillId="8" borderId="18" xfId="1" applyFont="1" applyFill="1" applyBorder="1" applyAlignment="1">
      <alignment horizontal="center" vertical="top"/>
    </xf>
    <xf numFmtId="0" fontId="34" fillId="14" borderId="20" xfId="1" applyFont="1" applyFill="1" applyBorder="1" applyAlignment="1">
      <alignment horizontal="center" vertical="top"/>
    </xf>
    <xf numFmtId="0" fontId="33" fillId="14" borderId="20" xfId="1" applyFont="1" applyFill="1" applyBorder="1" applyAlignment="1">
      <alignment vertical="top"/>
    </xf>
    <xf numFmtId="0" fontId="33" fillId="14" borderId="25" xfId="1" applyFont="1" applyFill="1" applyBorder="1" applyAlignment="1">
      <alignment vertical="top"/>
    </xf>
    <xf numFmtId="0" fontId="34" fillId="13" borderId="67" xfId="1" applyFont="1" applyFill="1" applyBorder="1" applyAlignment="1">
      <alignment horizontal="center" vertical="top"/>
    </xf>
    <xf numFmtId="0" fontId="33" fillId="13" borderId="67" xfId="1" applyFont="1" applyFill="1" applyBorder="1" applyAlignment="1">
      <alignment vertical="top"/>
    </xf>
    <xf numFmtId="0" fontId="35" fillId="23" borderId="60" xfId="0" applyFont="1" applyFill="1" applyBorder="1" applyAlignment="1">
      <alignment horizontal="center" vertical="top" wrapText="1"/>
    </xf>
    <xf numFmtId="0" fontId="33" fillId="0" borderId="0" xfId="0" applyFont="1" applyAlignment="1">
      <alignment vertical="top"/>
    </xf>
    <xf numFmtId="0" fontId="35" fillId="45" borderId="69" xfId="0" applyFont="1" applyFill="1" applyBorder="1" applyAlignment="1">
      <alignment horizontal="center" vertical="top"/>
    </xf>
    <xf numFmtId="0" fontId="47" fillId="20" borderId="67" xfId="0" applyFont="1" applyFill="1" applyBorder="1" applyAlignment="1">
      <alignment horizontal="left" vertical="top"/>
    </xf>
    <xf numFmtId="0" fontId="33" fillId="0" borderId="67" xfId="0" applyFont="1" applyBorder="1" applyAlignment="1">
      <alignment vertical="top"/>
    </xf>
    <xf numFmtId="0" fontId="48" fillId="21" borderId="67" xfId="0" applyFont="1" applyFill="1" applyBorder="1" applyAlignment="1">
      <alignment horizontal="left" vertical="top"/>
    </xf>
    <xf numFmtId="10" fontId="49" fillId="20" borderId="67" xfId="0" applyNumberFormat="1" applyFont="1" applyFill="1" applyBorder="1" applyAlignment="1">
      <alignment horizontal="right" vertical="top"/>
    </xf>
    <xf numFmtId="0" fontId="35" fillId="22" borderId="52" xfId="0" applyFont="1" applyFill="1" applyBorder="1" applyAlignment="1">
      <alignment horizontal="left" vertical="top"/>
    </xf>
    <xf numFmtId="0" fontId="51" fillId="25" borderId="67" xfId="0" applyFont="1" applyFill="1" applyBorder="1" applyAlignment="1">
      <alignment horizontal="left" vertical="top" wrapText="1"/>
    </xf>
    <xf numFmtId="0" fontId="48" fillId="24" borderId="67" xfId="0" applyFont="1" applyFill="1" applyBorder="1" applyAlignment="1">
      <alignment horizontal="left" vertical="top"/>
    </xf>
    <xf numFmtId="0" fontId="35" fillId="26" borderId="60" xfId="0" applyFont="1" applyFill="1" applyBorder="1" applyAlignment="1">
      <alignment horizontal="left" vertical="top"/>
    </xf>
    <xf numFmtId="0" fontId="35" fillId="23" borderId="0" xfId="0" applyFont="1" applyFill="1" applyAlignment="1">
      <alignment horizontal="center" vertical="top" wrapText="1"/>
    </xf>
    <xf numFmtId="0" fontId="35" fillId="29" borderId="0" xfId="0" applyFont="1" applyFill="1" applyAlignment="1">
      <alignment horizontal="left" vertical="top"/>
    </xf>
    <xf numFmtId="0" fontId="35" fillId="30" borderId="60" xfId="0" applyFont="1" applyFill="1" applyBorder="1" applyAlignment="1">
      <alignment horizontal="left" vertical="top"/>
    </xf>
    <xf numFmtId="0" fontId="35" fillId="31" borderId="0" xfId="0" applyFont="1" applyFill="1" applyAlignment="1">
      <alignment horizontal="left" vertical="top"/>
    </xf>
    <xf numFmtId="0" fontId="51" fillId="25" borderId="0" xfId="0" applyFont="1" applyFill="1" applyAlignment="1">
      <alignment horizontal="left" vertical="top" wrapText="1"/>
    </xf>
    <xf numFmtId="0" fontId="35" fillId="32" borderId="0" xfId="0" applyFont="1" applyFill="1" applyAlignment="1">
      <alignment horizontal="left" vertical="top"/>
    </xf>
    <xf numFmtId="0" fontId="47" fillId="20" borderId="67" xfId="0" applyFont="1" applyFill="1" applyBorder="1" applyAlignment="1">
      <alignment horizontal="center" vertical="top"/>
    </xf>
    <xf numFmtId="0" fontId="53" fillId="33" borderId="67" xfId="0" applyFont="1" applyFill="1" applyBorder="1" applyAlignment="1">
      <alignment horizontal="left" vertical="top"/>
    </xf>
    <xf numFmtId="10" fontId="52" fillId="28" borderId="67" xfId="0" applyNumberFormat="1" applyFont="1" applyFill="1" applyBorder="1" applyAlignment="1">
      <alignment horizontal="right" vertical="top"/>
    </xf>
    <xf numFmtId="0" fontId="50" fillId="33" borderId="67" xfId="0" applyFont="1" applyFill="1" applyBorder="1" applyAlignment="1">
      <alignment horizontal="left" vertical="top"/>
    </xf>
    <xf numFmtId="0" fontId="35" fillId="45" borderId="56" xfId="0" applyFont="1" applyFill="1" applyBorder="1" applyAlignment="1">
      <alignment horizontal="center" vertical="top" wrapText="1"/>
    </xf>
    <xf numFmtId="0" fontId="35" fillId="45" borderId="0" xfId="0" applyFont="1" applyFill="1" applyAlignment="1">
      <alignment horizontal="center" vertical="top" wrapText="1"/>
    </xf>
    <xf numFmtId="0" fontId="35" fillId="45" borderId="57" xfId="0" applyFont="1" applyFill="1" applyBorder="1" applyAlignment="1">
      <alignment horizontal="center" vertical="top" wrapText="1"/>
    </xf>
    <xf numFmtId="0" fontId="35" fillId="45" borderId="58" xfId="0" applyFont="1" applyFill="1" applyBorder="1" applyAlignment="1">
      <alignment horizontal="center" vertical="top" wrapText="1"/>
    </xf>
    <xf numFmtId="0" fontId="35" fillId="45" borderId="59" xfId="0" applyFont="1" applyFill="1" applyBorder="1" applyAlignment="1">
      <alignment horizontal="center" vertical="top" wrapText="1"/>
    </xf>
    <xf numFmtId="0" fontId="35" fillId="45" borderId="54" xfId="0" applyFont="1" applyFill="1" applyBorder="1" applyAlignment="1">
      <alignment horizontal="center" vertical="top"/>
    </xf>
    <xf numFmtId="0" fontId="35" fillId="22" borderId="53" xfId="0" applyFont="1" applyFill="1" applyBorder="1" applyAlignment="1">
      <alignment horizontal="left" vertical="top"/>
    </xf>
    <xf numFmtId="0" fontId="35" fillId="23" borderId="53" xfId="0" applyFont="1" applyFill="1" applyBorder="1" applyAlignment="1">
      <alignment horizontal="center" vertical="top" wrapText="1"/>
    </xf>
    <xf numFmtId="0" fontId="34" fillId="0" borderId="0" xfId="0" applyFont="1" applyAlignment="1">
      <alignment vertical="top"/>
    </xf>
    <xf numFmtId="0" fontId="48" fillId="21" borderId="20" xfId="0" applyFont="1" applyFill="1" applyBorder="1" applyAlignment="1">
      <alignment horizontal="left" vertical="top"/>
    </xf>
    <xf numFmtId="0" fontId="33" fillId="0" borderId="20" xfId="0" applyFont="1" applyBorder="1" applyAlignment="1">
      <alignment vertical="top"/>
    </xf>
    <xf numFmtId="0" fontId="48" fillId="21" borderId="20" xfId="0" applyFont="1" applyFill="1" applyBorder="1" applyAlignment="1">
      <alignment horizontal="center" vertical="top"/>
    </xf>
    <xf numFmtId="0" fontId="33" fillId="0" borderId="20" xfId="0" applyFont="1" applyBorder="1" applyAlignment="1">
      <alignment horizontal="center" vertical="top"/>
    </xf>
    <xf numFmtId="0" fontId="48" fillId="24" borderId="20" xfId="0" applyFont="1" applyFill="1" applyBorder="1" applyAlignment="1">
      <alignment horizontal="left" vertical="top"/>
    </xf>
    <xf numFmtId="0" fontId="41" fillId="27" borderId="20" xfId="0" applyFont="1" applyFill="1" applyBorder="1" applyAlignment="1">
      <alignment horizontal="right" vertical="top"/>
    </xf>
    <xf numFmtId="3" fontId="41" fillId="27" borderId="20" xfId="0" applyNumberFormat="1" applyFont="1" applyFill="1" applyBorder="1" applyAlignment="1">
      <alignment horizontal="right" vertical="top"/>
    </xf>
    <xf numFmtId="0" fontId="48" fillId="24" borderId="25" xfId="0" applyFont="1" applyFill="1" applyBorder="1" applyAlignment="1">
      <alignment horizontal="left" vertical="top"/>
    </xf>
    <xf numFmtId="0" fontId="48" fillId="24" borderId="38" xfId="0" applyFont="1" applyFill="1" applyBorder="1" applyAlignment="1">
      <alignment horizontal="left" vertical="top"/>
    </xf>
    <xf numFmtId="0" fontId="48" fillId="24" borderId="50" xfId="0" applyFont="1" applyFill="1" applyBorder="1" applyAlignment="1">
      <alignment horizontal="left" vertical="top"/>
    </xf>
    <xf numFmtId="0" fontId="47" fillId="20" borderId="20" xfId="0" applyFont="1" applyFill="1" applyBorder="1" applyAlignment="1">
      <alignment horizontal="right" vertical="top"/>
    </xf>
    <xf numFmtId="0" fontId="35" fillId="29" borderId="60" xfId="0" applyFont="1" applyFill="1" applyBorder="1" applyAlignment="1">
      <alignment horizontal="left" vertical="top"/>
    </xf>
    <xf numFmtId="3" fontId="52" fillId="28" borderId="61" xfId="0" applyNumberFormat="1" applyFont="1" applyFill="1" applyBorder="1" applyAlignment="1">
      <alignment horizontal="center" vertical="top"/>
    </xf>
    <xf numFmtId="3" fontId="52" fillId="28" borderId="10" xfId="0" applyNumberFormat="1" applyFont="1" applyFill="1" applyBorder="1" applyAlignment="1">
      <alignment horizontal="center" vertical="top"/>
    </xf>
    <xf numFmtId="0" fontId="51" fillId="25" borderId="61" xfId="0" applyFont="1" applyFill="1" applyBorder="1" applyAlignment="1">
      <alignment horizontal="center" vertical="top" wrapText="1"/>
    </xf>
    <xf numFmtId="0" fontId="51" fillId="25" borderId="10" xfId="0" applyFont="1" applyFill="1" applyBorder="1" applyAlignment="1">
      <alignment horizontal="center" vertical="top" wrapText="1"/>
    </xf>
    <xf numFmtId="0" fontId="48" fillId="21" borderId="61" xfId="0" applyFont="1" applyFill="1" applyBorder="1" applyAlignment="1">
      <alignment horizontal="center" vertical="top"/>
    </xf>
    <xf numFmtId="0" fontId="48" fillId="21" borderId="10" xfId="0" applyFont="1" applyFill="1" applyBorder="1" applyAlignment="1">
      <alignment horizontal="center" vertical="top"/>
    </xf>
    <xf numFmtId="0" fontId="35" fillId="30" borderId="67" xfId="0" applyFont="1" applyFill="1" applyBorder="1" applyAlignment="1">
      <alignment horizontal="left" vertical="top"/>
    </xf>
    <xf numFmtId="0" fontId="35" fillId="23" borderId="67" xfId="0" applyFont="1" applyFill="1" applyBorder="1" applyAlignment="1">
      <alignment horizontal="center" vertical="top" wrapText="1"/>
    </xf>
    <xf numFmtId="0" fontId="35" fillId="32" borderId="67" xfId="0" applyFont="1" applyFill="1" applyBorder="1" applyAlignment="1">
      <alignment horizontal="left" vertical="top"/>
    </xf>
    <xf numFmtId="3" fontId="35" fillId="32" borderId="67" xfId="0" applyNumberFormat="1" applyFont="1" applyFill="1" applyBorder="1" applyAlignment="1">
      <alignment horizontal="right" vertical="top"/>
    </xf>
    <xf numFmtId="0" fontId="51" fillId="25" borderId="67" xfId="0" applyFont="1" applyFill="1" applyBorder="1" applyAlignment="1">
      <alignment horizontal="left" vertical="top"/>
    </xf>
    <xf numFmtId="3" fontId="35" fillId="30" borderId="67" xfId="0" applyNumberFormat="1" applyFont="1" applyFill="1" applyBorder="1" applyAlignment="1">
      <alignment horizontal="right" vertical="top"/>
    </xf>
    <xf numFmtId="0" fontId="35" fillId="26" borderId="67" xfId="0" applyFont="1" applyFill="1" applyBorder="1" applyAlignment="1">
      <alignment horizontal="left" vertical="top"/>
    </xf>
    <xf numFmtId="3" fontId="35" fillId="26" borderId="67" xfId="0" applyNumberFormat="1" applyFont="1" applyFill="1" applyBorder="1" applyAlignment="1">
      <alignment horizontal="right" vertical="top"/>
    </xf>
    <xf numFmtId="0" fontId="35" fillId="32" borderId="68" xfId="0" applyFont="1" applyFill="1" applyBorder="1" applyAlignment="1">
      <alignment horizontal="left" vertical="top"/>
    </xf>
    <xf numFmtId="0" fontId="35" fillId="29" borderId="67" xfId="0" applyFont="1" applyFill="1" applyBorder="1" applyAlignment="1">
      <alignment horizontal="left" vertical="top"/>
    </xf>
    <xf numFmtId="3" fontId="35" fillId="29" borderId="67" xfId="0" applyNumberFormat="1" applyFont="1" applyFill="1" applyBorder="1" applyAlignment="1">
      <alignment horizontal="right" vertical="top"/>
    </xf>
    <xf numFmtId="0" fontId="35" fillId="23" borderId="67" xfId="0" applyFont="1" applyFill="1" applyBorder="1" applyAlignment="1">
      <alignment horizontal="left" vertical="top"/>
    </xf>
    <xf numFmtId="3" fontId="35" fillId="23" borderId="67" xfId="0" applyNumberFormat="1" applyFont="1" applyFill="1" applyBorder="1" applyAlignment="1">
      <alignment horizontal="right" vertical="top"/>
    </xf>
    <xf numFmtId="0" fontId="50" fillId="21" borderId="67" xfId="0" applyFont="1" applyFill="1" applyBorder="1" applyAlignment="1">
      <alignment horizontal="left" vertical="top"/>
    </xf>
    <xf numFmtId="0" fontId="17" fillId="24" borderId="53" xfId="0" applyFont="1" applyFill="1" applyBorder="1" applyAlignment="1">
      <alignment horizontal="left" vertical="center"/>
    </xf>
    <xf numFmtId="0" fontId="0" fillId="0" borderId="0" xfId="0"/>
    <xf numFmtId="0" fontId="41" fillId="0" borderId="0" xfId="0" applyFont="1" applyAlignment="1">
      <alignment horizontal="center" vertical="top" wrapText="1"/>
    </xf>
    <xf numFmtId="0" fontId="23" fillId="0" borderId="0" xfId="0" applyFont="1" applyAlignment="1">
      <alignment horizontal="center" vertical="center" wrapText="1"/>
    </xf>
    <xf numFmtId="165" fontId="62" fillId="0" borderId="0" xfId="0" applyNumberFormat="1" applyFont="1"/>
    <xf numFmtId="174" fontId="62" fillId="0" borderId="0" xfId="0" applyNumberFormat="1" applyFont="1"/>
    <xf numFmtId="0" fontId="62" fillId="0" borderId="0" xfId="0" applyFont="1"/>
    <xf numFmtId="174" fontId="0" fillId="0" borderId="0" xfId="0" applyNumberFormat="1"/>
    <xf numFmtId="174" fontId="0" fillId="0" borderId="0" xfId="0" applyNumberFormat="1" applyAlignment="1">
      <alignment horizontal="center" vertical="center"/>
    </xf>
    <xf numFmtId="174" fontId="33" fillId="0" borderId="0" xfId="1" applyNumberFormat="1" applyFont="1" applyAlignment="1">
      <alignment vertical="top"/>
    </xf>
    <xf numFmtId="0" fontId="64" fillId="0" borderId="0" xfId="1" applyFont="1"/>
    <xf numFmtId="174" fontId="64" fillId="0" borderId="0" xfId="1" applyNumberFormat="1" applyFont="1"/>
    <xf numFmtId="0" fontId="34" fillId="73" borderId="0" xfId="1" applyFont="1" applyFill="1" applyAlignment="1">
      <alignment vertical="top"/>
    </xf>
    <xf numFmtId="0" fontId="2" fillId="0" borderId="107" xfId="1" applyFont="1" applyBorder="1"/>
    <xf numFmtId="1" fontId="1" fillId="0" borderId="0" xfId="1" applyNumberFormat="1" applyFont="1" applyBorder="1" applyAlignment="1">
      <alignment horizontal="center"/>
    </xf>
    <xf numFmtId="172" fontId="2" fillId="0" borderId="0" xfId="1" applyNumberFormat="1" applyFont="1" applyBorder="1" applyAlignment="1">
      <alignment horizontal="center"/>
    </xf>
    <xf numFmtId="0" fontId="2" fillId="0" borderId="108" xfId="1" applyFont="1" applyBorder="1"/>
    <xf numFmtId="0" fontId="1" fillId="0" borderId="105" xfId="1" applyFont="1" applyBorder="1"/>
    <xf numFmtId="0" fontId="2" fillId="73" borderId="106" xfId="1" applyFont="1" applyFill="1" applyBorder="1" applyAlignment="1">
      <alignment horizontal="center"/>
    </xf>
    <xf numFmtId="0" fontId="2" fillId="73" borderId="14" xfId="1" applyFont="1" applyFill="1" applyBorder="1" applyAlignment="1">
      <alignment horizontal="center"/>
    </xf>
    <xf numFmtId="0" fontId="2" fillId="73" borderId="72" xfId="1" applyFont="1" applyFill="1" applyBorder="1" applyAlignment="1">
      <alignment horizontal="center"/>
    </xf>
    <xf numFmtId="0" fontId="63" fillId="0" borderId="0" xfId="1" applyFont="1" applyBorder="1" applyAlignment="1">
      <alignment horizontal="center"/>
    </xf>
    <xf numFmtId="0" fontId="63" fillId="0" borderId="105" xfId="1" applyFont="1" applyBorder="1" applyAlignment="1">
      <alignment horizontal="center"/>
    </xf>
    <xf numFmtId="0" fontId="65" fillId="0" borderId="19" xfId="1" applyFont="1" applyBorder="1"/>
    <xf numFmtId="0" fontId="65" fillId="0" borderId="70" xfId="1" applyFont="1" applyBorder="1"/>
  </cellXfs>
  <cellStyles count="13">
    <cellStyle name="Bueno" xfId="11" builtinId="26"/>
    <cellStyle name="Hipervínculo 2" xfId="6" xr:uid="{E735286E-8ACD-4736-ADA4-FCFFC29F45C9}"/>
    <cellStyle name="Hipervínculo 3" xfId="9" xr:uid="{FE1B27C5-423D-4EC1-B2F2-9B8401DD8385}"/>
    <cellStyle name="Millares 2" xfId="3" xr:uid="{4792ADDF-9E9A-4F33-B4B4-D71EFEF2B2B6}"/>
    <cellStyle name="Moneda 2" xfId="2" xr:uid="{D236B6C9-5F6B-418D-9E3D-65A153ADAE90}"/>
    <cellStyle name="Moneda 3" xfId="8" xr:uid="{6F61249F-7547-4303-89CC-66DE14A08ACD}"/>
    <cellStyle name="Neutral" xfId="12" builtinId="28"/>
    <cellStyle name="Normal" xfId="0" builtinId="0"/>
    <cellStyle name="Normal 2" xfId="1" xr:uid="{402329F6-EDA3-4619-8478-567293C546E0}"/>
    <cellStyle name="Normal 2 2" xfId="4" xr:uid="{AA2EDE5B-DABF-4D85-88F1-2FA768ADB9FF}"/>
    <cellStyle name="Normal 3" xfId="7" xr:uid="{7344BF5A-20BB-4241-B1FB-80DF128804A4}"/>
    <cellStyle name="Normal 4" xfId="10" xr:uid="{ED2C6666-2D93-403D-B3E5-99AD2C57639A}"/>
    <cellStyle name="Porcentaje 2" xfId="5" xr:uid="{4B277790-A108-4CA9-8F60-F822A3B57048}"/>
  </cellStyles>
  <dxfs count="181">
    <dxf>
      <font>
        <color rgb="FF9C0006"/>
      </font>
      <fill>
        <patternFill>
          <bgColor rgb="FFFFC7CE"/>
        </patternFill>
      </fill>
    </dxf>
    <dxf>
      <font>
        <color rgb="FF806000"/>
      </font>
      <fill>
        <patternFill patternType="solid">
          <fgColor indexed="64"/>
          <bgColor rgb="FFFFE699"/>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ill>
        <patternFill>
          <bgColor theme="6" tint="0.59996337778862885"/>
        </patternFill>
      </fill>
    </dxf>
    <dxf>
      <fill>
        <patternFill>
          <bgColor theme="6" tint="0.5999633777886288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5" tint="0.59996337778862885"/>
        </patternFill>
      </fill>
    </dxf>
    <dxf>
      <fill>
        <patternFill>
          <bgColor theme="7" tint="0.59996337778862885"/>
        </patternFill>
      </fill>
    </dxf>
    <dxf>
      <fill>
        <patternFill>
          <bgColor theme="8" tint="0.59996337778862885"/>
        </patternFill>
      </fill>
    </dxf>
    <dxf>
      <fill>
        <patternFill>
          <bgColor theme="9"/>
        </patternFill>
      </fill>
    </dxf>
    <dxf>
      <fill>
        <patternFill>
          <bgColor theme="7" tint="0.39994506668294322"/>
        </patternFill>
      </fill>
    </dxf>
    <dxf>
      <font>
        <color rgb="FF006100"/>
      </font>
      <fill>
        <patternFill>
          <bgColor rgb="FFC6EFCE"/>
        </patternFill>
      </fill>
    </dxf>
    <dxf>
      <font>
        <color rgb="FF9C5700"/>
      </font>
      <fill>
        <patternFill>
          <bgColor rgb="FFFFEB9C"/>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rgb="FF00B0F0"/>
        </patternFill>
      </fill>
    </dxf>
    <dxf>
      <fill>
        <patternFill>
          <bgColor theme="9" tint="0.59996337778862885"/>
        </patternFill>
      </fill>
    </dxf>
    <dxf>
      <font>
        <b/>
        <i val="0"/>
        <color rgb="FF9C5700"/>
      </font>
      <fill>
        <patternFill patternType="solid">
          <fgColor indexed="64"/>
          <bgColor rgb="FFFFEB9C"/>
        </patternFill>
      </fill>
    </dxf>
    <dxf>
      <font>
        <b/>
        <i val="0"/>
        <color rgb="FF9C5700"/>
      </font>
      <fill>
        <patternFill patternType="solid">
          <fgColor indexed="64"/>
          <bgColor rgb="FFFFEB9C"/>
        </patternFill>
      </fill>
    </dxf>
    <dxf>
      <fill>
        <patternFill>
          <bgColor theme="9"/>
        </patternFill>
      </fill>
    </dxf>
    <dxf>
      <fill>
        <patternFill>
          <bgColor theme="8" tint="0.59996337778862885"/>
        </patternFill>
      </fill>
    </dxf>
    <dxf>
      <fill>
        <patternFill>
          <bgColor theme="7" tint="0.59996337778862885"/>
        </patternFill>
      </fill>
    </dxf>
    <dxf>
      <fill>
        <patternFill>
          <bgColor theme="5" tint="0.59996337778862885"/>
        </patternFill>
      </fill>
    </dxf>
    <dxf>
      <font>
        <color rgb="FF9C5700"/>
      </font>
      <fill>
        <patternFill>
          <bgColor rgb="FFFFEB9C"/>
        </patternFill>
      </fill>
    </dxf>
    <dxf>
      <font>
        <color rgb="FF006100"/>
      </font>
      <fill>
        <patternFill>
          <bgColor rgb="FFC6EFCE"/>
        </patternFill>
      </fill>
    </dxf>
    <dxf>
      <fill>
        <patternFill>
          <bgColor theme="7" tint="0.39994506668294322"/>
        </patternFill>
      </fill>
    </dxf>
    <dxf>
      <fill>
        <patternFill>
          <bgColor theme="9"/>
        </patternFill>
      </fill>
    </dxf>
    <dxf>
      <fill>
        <patternFill>
          <bgColor theme="8" tint="0.59996337778862885"/>
        </patternFill>
      </fill>
    </dxf>
    <dxf>
      <fill>
        <patternFill>
          <bgColor theme="7" tint="0.59996337778862885"/>
        </patternFill>
      </fill>
    </dxf>
    <dxf>
      <fill>
        <patternFill>
          <bgColor theme="5" tint="0.59996337778862885"/>
        </patternFill>
      </fill>
    </dxf>
    <dxf>
      <fill>
        <patternFill>
          <bgColor theme="9"/>
        </patternFill>
      </fill>
    </dxf>
    <dxf>
      <fill>
        <patternFill>
          <bgColor theme="5" tint="0.59996337778862885"/>
        </patternFill>
      </fill>
    </dxf>
    <dxf>
      <fill>
        <patternFill>
          <bgColor theme="7" tint="0.59996337778862885"/>
        </patternFill>
      </fill>
    </dxf>
    <dxf>
      <fill>
        <patternFill>
          <bgColor theme="8" tint="0.59996337778862885"/>
        </patternFill>
      </fill>
    </dxf>
    <dxf>
      <fill>
        <patternFill>
          <bgColor theme="9"/>
        </patternFill>
      </fill>
    </dxf>
    <dxf>
      <fill>
        <patternFill>
          <bgColor theme="8" tint="0.59996337778862885"/>
        </patternFill>
      </fill>
    </dxf>
    <dxf>
      <fill>
        <patternFill>
          <bgColor theme="7" tint="0.59996337778862885"/>
        </patternFill>
      </fill>
    </dxf>
    <dxf>
      <fill>
        <patternFill>
          <bgColor theme="5" tint="0.59996337778862885"/>
        </patternFill>
      </fill>
    </dxf>
    <dxf>
      <font>
        <color rgb="FF9C5700"/>
      </font>
      <fill>
        <patternFill>
          <bgColor rgb="FFFFEB9C"/>
        </patternFill>
      </fill>
    </dxf>
    <dxf>
      <font>
        <color rgb="FF006100"/>
      </font>
      <fill>
        <patternFill>
          <bgColor rgb="FFC6EFCE"/>
        </patternFill>
      </fill>
    </dxf>
    <dxf>
      <fill>
        <patternFill>
          <bgColor theme="7" tint="0.39994506668294322"/>
        </patternFill>
      </fill>
    </dxf>
    <dxf>
      <fill>
        <patternFill>
          <bgColor rgb="FF00B0F0"/>
        </patternFill>
      </fill>
    </dxf>
    <dxf>
      <fill>
        <patternFill>
          <bgColor theme="9" tint="0.59996337778862885"/>
        </patternFill>
      </fill>
    </dxf>
    <dxf>
      <fill>
        <patternFill>
          <bgColor rgb="FF00B0F0"/>
        </patternFill>
      </fill>
    </dxf>
    <dxf>
      <fill>
        <patternFill>
          <bgColor theme="9"/>
        </patternFill>
      </fill>
    </dxf>
    <dxf>
      <fill>
        <patternFill>
          <bgColor theme="5" tint="0.59996337778862885"/>
        </patternFill>
      </fill>
    </dxf>
    <dxf>
      <fill>
        <patternFill>
          <bgColor theme="9"/>
        </patternFill>
      </fill>
    </dxf>
    <dxf>
      <fill>
        <patternFill>
          <bgColor theme="9"/>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theme="8" tint="0.59996337778862885"/>
        </patternFill>
      </fill>
    </dxf>
    <dxf>
      <fill>
        <patternFill>
          <bgColor theme="7" tint="0.59996337778862885"/>
        </patternFill>
      </fill>
    </dxf>
    <dxf>
      <fill>
        <patternFill>
          <bgColor theme="5" tint="0.59996337778862885"/>
        </patternFill>
      </fill>
    </dxf>
    <dxf>
      <font>
        <color rgb="FF9C5700"/>
      </font>
      <fill>
        <patternFill>
          <bgColor rgb="FFFFEB9C"/>
        </patternFill>
      </fill>
    </dxf>
    <dxf>
      <font>
        <color rgb="FF006100"/>
      </font>
      <fill>
        <patternFill>
          <bgColor rgb="FFC6EFCE"/>
        </patternFill>
      </fill>
    </dxf>
    <dxf>
      <fill>
        <patternFill>
          <bgColor theme="9" tint="0.59996337778862885"/>
        </patternFill>
      </fill>
    </dxf>
    <dxf>
      <fill>
        <patternFill>
          <bgColor rgb="FF00B0F0"/>
        </patternFill>
      </fill>
    </dxf>
    <dxf>
      <fill>
        <patternFill>
          <bgColor theme="7" tint="0.39994506668294322"/>
        </patternFill>
      </fill>
    </dxf>
    <dxf>
      <fill>
        <patternFill>
          <bgColor rgb="FF7030A0"/>
        </patternFill>
      </fill>
    </dxf>
    <dxf>
      <fill>
        <patternFill>
          <bgColor rgb="FF00B0F0"/>
        </patternFill>
      </fill>
    </dxf>
    <dxf>
      <fill>
        <patternFill>
          <bgColor rgb="FF00B050"/>
        </patternFill>
      </fill>
    </dxf>
    <dxf>
      <fill>
        <patternFill>
          <bgColor theme="9"/>
        </patternFill>
      </fill>
    </dxf>
    <dxf>
      <fill>
        <patternFill>
          <bgColor theme="9" tint="0.59996337778862885"/>
        </patternFill>
      </fill>
    </dxf>
    <dxf>
      <fill>
        <patternFill>
          <bgColor rgb="FF00B0F0"/>
        </patternFill>
      </fill>
    </dxf>
    <dxf>
      <fill>
        <patternFill>
          <bgColor theme="9" tint="0.59996337778862885"/>
        </patternFill>
      </fill>
    </dxf>
    <dxf>
      <fill>
        <patternFill>
          <bgColor rgb="FF00B0F0"/>
        </patternFill>
      </fill>
    </dxf>
    <dxf>
      <fill>
        <patternFill>
          <bgColor theme="9" tint="0.59996337778862885"/>
        </patternFill>
      </fill>
    </dxf>
    <dxf>
      <fill>
        <patternFill>
          <bgColor rgb="FF00B0F0"/>
        </patternFill>
      </fill>
    </dxf>
    <dxf>
      <fill>
        <patternFill>
          <bgColor rgb="FF7030A0"/>
        </patternFill>
      </fill>
    </dxf>
    <dxf>
      <fill>
        <patternFill>
          <bgColor theme="7" tint="0.39994506668294322"/>
        </patternFill>
      </fill>
    </dxf>
    <dxf>
      <font>
        <sz val="11"/>
        <name val="Calibri"/>
      </font>
      <numFmt numFmtId="2" formatCode="0.00"/>
      <alignment horizontal="center" vertical="top" textRotation="0" wrapText="0" indent="0" justifyLastLine="0" shrinkToFit="0" readingOrder="0"/>
      <border diagonalUp="0" diagonalDown="0">
        <left style="thin">
          <color indexed="64"/>
        </left>
        <right/>
        <top style="thin">
          <color indexed="64"/>
        </top>
        <bottom style="thin">
          <color indexed="64"/>
        </bottom>
      </border>
    </dxf>
    <dxf>
      <font>
        <sz val="11"/>
        <name val="Calibri"/>
      </font>
      <numFmt numFmtId="169" formatCode="0.000"/>
      <alignment horizontal="center" vertical="top" textRotation="0" wrapText="0" indent="0" justifyLastLine="0" shrinkToFit="0" readingOrder="0"/>
      <border diagonalUp="0" diagonalDown="0">
        <left style="thin">
          <color indexed="64"/>
        </left>
        <right/>
        <top style="thin">
          <color indexed="64"/>
        </top>
        <bottom style="thin">
          <color indexed="64"/>
        </bottom>
      </border>
    </dxf>
    <dxf>
      <font>
        <sz val="11"/>
        <name val="Calibri"/>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1"/>
        <name val="Calibri"/>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1"/>
        <name val="Calibri"/>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1"/>
        <name val="Calibri"/>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1"/>
        <name val="Calibri"/>
      </font>
      <alignment horizontal="center" vertical="top" textRotation="0" wrapText="1" indent="0" justifyLastLine="0" shrinkToFit="0" readingOrder="0"/>
      <border diagonalUp="0" diagonalDown="0">
        <left style="thin">
          <color auto="1"/>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none"/>
      </font>
      <numFmt numFmtId="0" formatCode="General"/>
      <fill>
        <patternFill patternType="solid">
          <fgColor theme="4" tint="0.79998168889431442"/>
          <bgColor theme="0"/>
        </patternFill>
      </fill>
      <alignment horizontal="center" vertical="top" textRotation="0" wrapText="0" indent="0" justifyLastLine="0" shrinkToFit="0" readingOrder="0"/>
      <border diagonalUp="0" diagonalDown="0">
        <left style="thin">
          <color auto="1"/>
        </left>
        <right style="thin">
          <color auto="1"/>
        </right>
        <top style="thin">
          <color auto="1"/>
        </top>
        <bottom style="thin">
          <color auto="1"/>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z val="11"/>
        <name val="Calibri"/>
      </font>
      <alignment vertical="top"/>
    </dxf>
    <dxf>
      <border>
        <bottom style="thin">
          <color indexed="64"/>
        </bottom>
      </border>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center"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numFmt numFmtId="166" formatCode="0.0"/>
      <alignment horizontal="center" vertical="top" textRotation="0" indent="0" justifyLastLine="0" shrinkToFit="0" readingOrder="0"/>
      <border diagonalUp="0" diagonalDown="0">
        <left/>
        <right/>
        <top style="thin">
          <color indexed="64"/>
        </top>
        <bottom style="thin">
          <color indexed="64"/>
        </bottom>
      </border>
    </dxf>
    <dxf>
      <font>
        <b val="0"/>
        <i val="0"/>
        <strike val="0"/>
        <condense val="0"/>
        <extend val="0"/>
        <outline val="0"/>
        <shadow val="0"/>
        <u val="none"/>
        <vertAlign val="baseline"/>
        <sz val="11"/>
        <color theme="1"/>
        <name val="Calibri"/>
        <scheme val="none"/>
      </font>
      <numFmt numFmtId="166" formatCode="0.0"/>
      <fill>
        <patternFill patternType="none">
          <fgColor indexed="64"/>
          <bgColor indexed="65"/>
        </patternFill>
      </fill>
      <alignment horizontal="center" vertical="top" textRotation="0" wrapText="0" indent="0" justifyLastLine="0" shrinkToFit="0" readingOrder="0"/>
      <border diagonalUp="0" diagonalDown="0">
        <left style="thin">
          <color auto="1"/>
        </left>
        <right/>
        <top style="thin">
          <color auto="1"/>
        </top>
        <bottom style="thin">
          <color auto="1"/>
        </bottom>
      </border>
    </dxf>
    <dxf>
      <font>
        <b val="0"/>
        <i val="0"/>
        <strike val="0"/>
        <condense val="0"/>
        <extend val="0"/>
        <outline val="0"/>
        <shadow val="0"/>
        <u val="none"/>
        <vertAlign val="baseline"/>
        <sz val="11"/>
        <color theme="1"/>
        <name val="Calibri"/>
        <scheme val="none"/>
      </font>
      <numFmt numFmtId="1" formatCode="0"/>
      <alignment horizontal="center" vertical="top" textRotation="0" wrapText="0" indent="0" justifyLastLine="0" shrinkToFit="0" readingOrder="0"/>
      <border diagonalUp="0" diagonalDown="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alignment horizontal="center" vertical="top" textRotation="0" indent="0" justifyLastLine="0" shrinkToFit="0" readingOrder="0"/>
      <border diagonalUp="0" diagonalDown="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alignment horizontal="center" vertical="top" textRotation="0" indent="0" justifyLastLine="0" shrinkToFit="0" readingOrder="0"/>
    </dxf>
    <dxf>
      <border>
        <bottom style="thin">
          <color indexed="64"/>
        </bottom>
      </border>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center" vertical="top" textRotation="0" wrapText="1" indent="0" justifyLastLine="0" shrinkToFit="0" readingOrder="0"/>
      <border diagonalUp="0" diagonalDown="0">
        <left style="thin">
          <color indexed="64"/>
        </left>
        <right style="thin">
          <color indexed="64"/>
        </right>
        <top/>
        <bottom/>
      </border>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Arial"/>
        <family val="2"/>
        <scheme val="none"/>
      </font>
      <fill>
        <patternFill patternType="solid">
          <fgColor indexed="64"/>
          <bgColor rgb="FF7030A0"/>
        </patternFill>
      </fill>
      <alignment horizontal="left" vertical="center" textRotation="0" wrapText="1" indent="0" justifyLastLine="0" shrinkToFit="0" readingOrder="0"/>
    </dxf>
    <dxf>
      <font>
        <sz val="11"/>
        <name val="Calibri"/>
      </font>
      <alignment horizontal="center" vertical="top" textRotation="0" wrapText="1" indent="0" justifyLastLine="0" shrinkToFit="0" readingOrder="0"/>
    </dxf>
    <dxf>
      <font>
        <b/>
        <i val="0"/>
        <strike val="0"/>
        <condense val="0"/>
        <extend val="0"/>
        <outline val="0"/>
        <shadow val="0"/>
        <u val="none"/>
        <vertAlign val="baseline"/>
        <sz val="11"/>
        <color theme="1"/>
        <name val="Calibri"/>
        <scheme val="none"/>
      </font>
      <alignment horizontal="left" vertical="top" textRotation="0" wrapText="1" indent="0" justifyLastLine="0" shrinkToFit="0" readingOrder="0"/>
    </dxf>
    <dxf>
      <font>
        <sz val="11"/>
        <name val="Calibri"/>
      </font>
      <alignment vertical="top"/>
    </dxf>
    <dxf>
      <font>
        <sz val="11"/>
        <name val="Calibri"/>
      </font>
      <alignment vertical="top"/>
    </dxf>
    <dxf>
      <font>
        <sz val="11"/>
        <name val="Calibri"/>
      </font>
      <alignment vertical="top"/>
    </dxf>
    <dxf>
      <font>
        <sz val="11"/>
        <name val="Calibri"/>
      </font>
      <alignment horizontal="general" vertical="top" textRotation="0" wrapText="1" indent="0" justifyLastLine="0" shrinkToFit="0" readingOrder="0"/>
    </dxf>
    <dxf>
      <font>
        <sz val="11"/>
        <name val="Calibri"/>
      </font>
      <alignment vertical="top"/>
    </dxf>
    <dxf>
      <font>
        <sz val="11"/>
        <name val="Calibri"/>
      </font>
      <alignment vertical="top"/>
    </dxf>
    <dxf>
      <font>
        <sz val="11"/>
        <name val="Calibri"/>
      </font>
      <alignment vertical="top"/>
    </dxf>
    <dxf>
      <font>
        <sz val="11"/>
        <name val="Calibri"/>
      </font>
      <alignment vertical="top"/>
    </dxf>
    <dxf>
      <font>
        <b val="0"/>
        <i val="0"/>
        <strike val="0"/>
        <condense val="0"/>
        <extend val="0"/>
        <outline val="0"/>
        <shadow val="0"/>
        <u val="none"/>
        <vertAlign val="baseline"/>
        <sz val="11"/>
        <color theme="1"/>
        <name val="Calibri"/>
        <scheme val="none"/>
      </font>
      <alignment vertical="top"/>
    </dxf>
    <dxf>
      <font>
        <b val="0"/>
        <i val="0"/>
        <strike val="0"/>
        <condense val="0"/>
        <extend val="0"/>
        <outline val="0"/>
        <shadow val="0"/>
        <u val="none"/>
        <vertAlign val="baseline"/>
        <sz val="11"/>
        <color theme="1"/>
        <name val="Calibri"/>
        <scheme val="none"/>
      </font>
      <alignment vertical="top"/>
    </dxf>
    <dxf>
      <font>
        <b val="0"/>
        <i val="0"/>
        <strike val="0"/>
        <condense val="0"/>
        <extend val="0"/>
        <outline val="0"/>
        <shadow val="0"/>
        <u val="none"/>
        <vertAlign val="baseline"/>
        <sz val="11"/>
        <color theme="1"/>
        <name val="Calibri"/>
        <scheme val="none"/>
      </font>
      <alignment vertical="top"/>
    </dxf>
    <dxf>
      <font>
        <sz val="11"/>
        <name val="Calibri"/>
      </font>
      <alignment vertical="top"/>
    </dxf>
    <dxf>
      <font>
        <sz val="11"/>
        <name val="Calibri"/>
      </font>
      <alignment vertical="top"/>
    </dxf>
    <dxf>
      <font>
        <b val="0"/>
        <i val="0"/>
        <strike val="0"/>
        <condense val="0"/>
        <extend val="0"/>
        <outline val="0"/>
        <shadow val="0"/>
        <u val="none"/>
        <vertAlign val="baseline"/>
        <sz val="11"/>
        <color theme="1"/>
        <name val="Calibri"/>
        <scheme val="none"/>
      </font>
      <alignment vertical="top"/>
    </dxf>
    <dxf>
      <font>
        <b val="0"/>
        <i val="0"/>
        <strike val="0"/>
        <condense val="0"/>
        <extend val="0"/>
        <outline val="0"/>
        <shadow val="0"/>
        <u val="none"/>
        <vertAlign val="baseline"/>
        <sz val="11"/>
        <color theme="1"/>
        <name val="Calibri"/>
        <scheme val="none"/>
      </font>
      <alignment vertical="top"/>
    </dxf>
    <dxf>
      <font>
        <b val="0"/>
        <i val="0"/>
        <strike val="0"/>
        <condense val="0"/>
        <extend val="0"/>
        <outline val="0"/>
        <shadow val="0"/>
        <u val="none"/>
        <vertAlign val="baseline"/>
        <sz val="11"/>
        <color theme="1"/>
        <name val="Calibri"/>
        <scheme val="none"/>
      </font>
      <alignment vertical="top"/>
    </dxf>
    <dxf>
      <font>
        <b val="0"/>
        <i val="0"/>
        <strike val="0"/>
        <condense val="0"/>
        <extend val="0"/>
        <outline val="0"/>
        <shadow val="0"/>
        <u val="none"/>
        <vertAlign val="baseline"/>
        <sz val="11"/>
        <color theme="1"/>
        <name val="Calibri"/>
        <scheme val="none"/>
      </font>
      <alignment vertical="top"/>
    </dxf>
    <dxf>
      <font>
        <b val="0"/>
        <i val="0"/>
        <strike val="0"/>
        <condense val="0"/>
        <extend val="0"/>
        <outline val="0"/>
        <shadow val="0"/>
        <u val="none"/>
        <vertAlign val="baseline"/>
        <sz val="11"/>
        <color rgb="FF1F1F1F"/>
        <name val="Calibri"/>
        <scheme val="none"/>
      </font>
      <alignment horizontal="general" vertical="top" textRotation="0" wrapText="1" indent="0" justifyLastLine="0" shrinkToFit="0" readingOrder="1"/>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11"/>
        <color rgb="FF1F1F1F"/>
        <name val="Calibri"/>
        <scheme val="none"/>
      </font>
      <alignment horizontal="left" vertical="top"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Calibri"/>
        <scheme val="none"/>
      </font>
      <alignment horizontal="left" vertical="top"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i val="0"/>
        <strike val="0"/>
        <condense val="0"/>
        <extend val="0"/>
        <outline val="0"/>
        <shadow val="0"/>
        <u val="none"/>
        <vertAlign val="baseline"/>
        <sz val="11"/>
        <color rgb="FF1F1F1F"/>
        <name val="Calibri"/>
        <scheme val="none"/>
      </font>
      <alignment horizontal="left" vertical="top" textRotation="0" wrapText="1" indent="1" justifyLastLine="0" shrinkToFit="0" readingOrder="1"/>
      <border diagonalUp="0" diagonalDown="0">
        <left/>
        <right style="medium">
          <color rgb="FF000000"/>
        </right>
        <top style="medium">
          <color rgb="FF000000"/>
        </top>
        <bottom style="medium">
          <color rgb="FF000000"/>
        </bottom>
        <vertical/>
        <horizontal/>
      </border>
    </dxf>
    <dxf>
      <border outline="0">
        <top style="medium">
          <color rgb="FF000000"/>
        </top>
      </border>
    </dxf>
    <dxf>
      <border outline="0">
        <left style="medium">
          <color rgb="FF000000"/>
        </left>
        <right style="medium">
          <color rgb="FF000000"/>
        </right>
        <top style="medium">
          <color rgb="FF000000"/>
        </top>
        <bottom style="medium">
          <color rgb="FF000000"/>
        </bottom>
      </border>
    </dxf>
    <dxf>
      <font>
        <sz val="11"/>
        <name val="Calibri"/>
      </font>
      <alignment vertical="top"/>
    </dxf>
    <dxf>
      <border outline="0">
        <bottom style="medium">
          <color rgb="FF000000"/>
        </bottom>
      </border>
    </dxf>
    <dxf>
      <font>
        <b/>
        <i val="0"/>
        <strike val="0"/>
        <condense val="0"/>
        <extend val="0"/>
        <outline val="0"/>
        <shadow val="0"/>
        <u val="none"/>
        <vertAlign val="baseline"/>
        <sz val="11"/>
        <color rgb="FF1F1F1F"/>
        <name val="Calibri"/>
        <scheme val="none"/>
      </font>
      <alignment horizontal="left" vertical="top" textRotation="0" wrapText="1" indent="1" justifyLastLine="0" shrinkToFit="0" readingOrder="1"/>
      <border diagonalUp="0" diagonalDown="0">
        <left style="medium">
          <color rgb="FF000000"/>
        </left>
        <right style="medium">
          <color rgb="FF000000"/>
        </right>
        <top/>
        <bottom/>
      </border>
    </dxf>
    <dxf>
      <font>
        <b val="0"/>
        <i val="0"/>
        <strike val="0"/>
        <condense val="0"/>
        <extend val="0"/>
        <outline val="0"/>
        <shadow val="0"/>
        <u val="none"/>
        <vertAlign val="baseline"/>
        <sz val="11"/>
        <color rgb="FF1F1F1F"/>
        <name val="Calibri"/>
        <scheme val="none"/>
      </font>
      <alignment horizontal="general" vertical="top" textRotation="0" wrapText="1" indent="0" justifyLastLine="0" shrinkToFit="0" readingOrder="1"/>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11"/>
        <color rgb="FF1F1F1F"/>
        <name val="Calibri"/>
        <scheme val="none"/>
      </font>
      <alignment horizontal="left" vertical="top"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Calibri"/>
        <scheme val="none"/>
      </font>
      <alignment horizontal="left" vertical="top"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i val="0"/>
        <strike val="0"/>
        <condense val="0"/>
        <extend val="0"/>
        <outline val="0"/>
        <shadow val="0"/>
        <u val="none"/>
        <vertAlign val="baseline"/>
        <sz val="11"/>
        <color rgb="FF1F1F1F"/>
        <name val="Calibri"/>
        <scheme val="none"/>
      </font>
      <alignment horizontal="left" vertical="top" textRotation="0" wrapText="1" indent="1" justifyLastLine="0" shrinkToFit="0" readingOrder="1"/>
      <border diagonalUp="0" diagonalDown="0">
        <left/>
        <right style="medium">
          <color rgb="FF000000"/>
        </right>
        <top style="medium">
          <color rgb="FF000000"/>
        </top>
        <bottom style="medium">
          <color rgb="FF000000"/>
        </bottom>
        <vertical/>
        <horizontal/>
      </border>
    </dxf>
    <dxf>
      <border outline="0">
        <top style="medium">
          <color rgb="FF000000"/>
        </top>
      </border>
    </dxf>
    <dxf>
      <border outline="0">
        <left style="medium">
          <color rgb="FF000000"/>
        </left>
        <right style="medium">
          <color rgb="FF000000"/>
        </right>
        <top style="medium">
          <color rgb="FF000000"/>
        </top>
        <bottom style="medium">
          <color rgb="FF000000"/>
        </bottom>
      </border>
    </dxf>
    <dxf>
      <font>
        <sz val="11"/>
        <name val="Calibri"/>
      </font>
      <alignment vertical="top"/>
    </dxf>
    <dxf>
      <border outline="0">
        <bottom style="medium">
          <color rgb="FF000000"/>
        </bottom>
      </border>
    </dxf>
    <dxf>
      <font>
        <b/>
        <i val="0"/>
        <strike val="0"/>
        <condense val="0"/>
        <extend val="0"/>
        <outline val="0"/>
        <shadow val="0"/>
        <u val="none"/>
        <vertAlign val="baseline"/>
        <sz val="11"/>
        <color rgb="FF1F1F1F"/>
        <name val="Calibri"/>
        <scheme val="none"/>
      </font>
      <alignment horizontal="left" vertical="top" textRotation="0" wrapText="1" indent="1" justifyLastLine="0" shrinkToFit="0" readingOrder="1"/>
      <border diagonalUp="0" diagonalDown="0">
        <left style="medium">
          <color rgb="FF000000"/>
        </left>
        <right style="medium">
          <color rgb="FF000000"/>
        </right>
        <top/>
        <bottom/>
      </border>
    </dxf>
    <dxf>
      <font>
        <sz val="11"/>
        <name val="Calibri"/>
      </font>
      <alignment vertical="top"/>
    </dxf>
    <dxf>
      <font>
        <sz val="11"/>
        <name val="Calibri"/>
      </font>
      <alignment horizontal="general" vertical="top" textRotation="0" wrapText="1" indent="0" justifyLastLine="0" shrinkToFit="0" readingOrder="0"/>
    </dxf>
    <dxf>
      <font>
        <sz val="11"/>
        <name val="Calibri"/>
      </font>
      <alignment vertical="top"/>
    </dxf>
    <dxf>
      <font>
        <sz val="11"/>
        <name val="Calibri"/>
      </font>
      <alignment vertical="top"/>
    </dxf>
    <dxf>
      <font>
        <sz val="11"/>
        <name val="Calibri"/>
      </font>
      <alignment vertical="top"/>
    </dxf>
    <dxf>
      <font>
        <sz val="11"/>
        <name val="Calibri"/>
      </font>
      <alignment vertical="top"/>
    </dxf>
    <dxf>
      <font>
        <sz val="11"/>
        <name val="Calibri"/>
      </font>
      <alignment vertical="top"/>
    </dxf>
    <dxf>
      <font>
        <sz val="11"/>
        <name val="Calibri"/>
      </font>
      <alignment vertical="top"/>
    </dxf>
    <dxf>
      <font>
        <b/>
        <sz val="11"/>
        <color rgb="FFFFFFFF"/>
        <name val="Calibri"/>
      </font>
      <fill>
        <patternFill patternType="solid">
          <fgColor indexed="64"/>
          <bgColor rgb="FF1F4E78"/>
        </patternFill>
      </fill>
      <alignment horizontal="center" vertical="top"/>
    </dxf>
    <dxf>
      <font>
        <sz val="11"/>
        <name val="Calibri"/>
      </font>
      <alignment vertical="top"/>
    </dxf>
    <dxf>
      <font>
        <sz val="11"/>
        <name val="Calibri"/>
      </font>
      <alignment vertical="top"/>
    </dxf>
    <dxf>
      <font>
        <b/>
        <sz val="11"/>
        <color rgb="FFFFFFFF"/>
        <name val="Calibri"/>
      </font>
      <fill>
        <patternFill patternType="solid">
          <fgColor indexed="64"/>
          <bgColor rgb="FF1F4E78"/>
        </patternFill>
      </fill>
      <alignment horizontal="center" vertical="top"/>
    </dxf>
    <dxf>
      <font>
        <strike val="0"/>
        <outline val="0"/>
        <shadow val="0"/>
        <u val="none"/>
        <vertAlign val="baseline"/>
        <sz val="11"/>
        <color theme="1"/>
        <name val="Calibri"/>
        <scheme val="none"/>
      </font>
      <alignment horizontal="general" vertical="top" textRotation="0" wrapText="0" indent="0" justifyLastLine="0" shrinkToFit="0" readingOrder="0"/>
    </dxf>
    <dxf>
      <font>
        <strike val="0"/>
        <outline val="0"/>
        <shadow val="0"/>
        <u val="none"/>
        <vertAlign val="baseline"/>
        <sz val="11"/>
        <color theme="1"/>
        <name val="Calibri"/>
        <scheme val="none"/>
      </font>
      <alignment horizontal="general" vertical="top" textRotation="0" wrapText="0" indent="0" justifyLastLine="0" shrinkToFit="0" readingOrder="0"/>
    </dxf>
    <dxf>
      <font>
        <strike val="0"/>
        <outline val="0"/>
        <shadow val="0"/>
        <u val="none"/>
        <vertAlign val="baseline"/>
        <sz val="11"/>
        <color theme="1"/>
        <name val="Calibri"/>
        <scheme val="none"/>
      </font>
      <alignment horizontal="general" vertical="top" textRotation="0" wrapText="0" indent="0" justifyLastLine="0" shrinkToFit="0" readingOrder="0"/>
    </dxf>
    <dxf>
      <font>
        <strike val="0"/>
        <outline val="0"/>
        <shadow val="0"/>
        <u val="none"/>
        <vertAlign val="baseline"/>
        <sz val="11"/>
        <color theme="1"/>
        <name val="Calibri"/>
        <scheme val="none"/>
      </font>
      <alignment horizontal="general" vertical="top" textRotation="0" wrapText="0" indent="0" justifyLastLine="0" shrinkToFit="0" readingOrder="0"/>
    </dxf>
    <dxf>
      <font>
        <strike val="0"/>
        <outline val="0"/>
        <shadow val="0"/>
        <u val="none"/>
        <vertAlign val="baseline"/>
        <sz val="11"/>
        <color theme="1"/>
        <name val="Calibri"/>
        <scheme val="none"/>
      </font>
      <alignment horizontal="general" vertical="top" textRotation="0" wrapText="0" indent="0" justifyLastLine="0" shrinkToFit="0" readingOrder="0"/>
    </dxf>
    <dxf>
      <font>
        <sz val="11"/>
        <name val="Calibri"/>
      </font>
      <alignment vertical="top"/>
    </dxf>
    <dxf>
      <font>
        <sz val="11"/>
        <name val="Calibri"/>
      </font>
      <numFmt numFmtId="167" formatCode="&quot;$&quot;\ #,##0.00"/>
      <alignment horizontal="center" vertical="top" textRotation="0" wrapText="0" indent="0" justifyLastLine="0" shrinkToFit="0" readingOrder="0"/>
    </dxf>
    <dxf>
      <font>
        <b val="0"/>
        <i val="0"/>
        <strike val="0"/>
        <condense val="0"/>
        <extend val="0"/>
        <outline val="0"/>
        <shadow val="0"/>
        <u val="none"/>
        <vertAlign val="baseline"/>
        <sz val="11"/>
        <color auto="1"/>
        <name val="Calibri"/>
        <scheme val="none"/>
      </font>
      <numFmt numFmtId="166" formatCode="0.0"/>
      <alignment horizontal="center" vertical="top" textRotation="0" wrapText="0" indent="0" justifyLastLine="0" shrinkToFit="0" readingOrder="0"/>
      <border diagonalUp="0" diagonalDown="0">
        <left style="thin">
          <color rgb="FFCFD8DC"/>
        </left>
        <right style="thin">
          <color rgb="FFCFD8DC"/>
        </right>
        <top style="thin">
          <color rgb="FFCFD8DC"/>
        </top>
        <bottom style="thin">
          <color rgb="FFCFD8DC"/>
        </bottom>
        <vertical/>
        <horizontal/>
      </border>
    </dxf>
    <dxf>
      <font>
        <b val="0"/>
        <i val="0"/>
        <strike val="0"/>
        <condense val="0"/>
        <extend val="0"/>
        <outline val="0"/>
        <shadow val="0"/>
        <u val="none"/>
        <vertAlign val="baseline"/>
        <sz val="11"/>
        <color auto="1"/>
        <name val="Calibri"/>
        <scheme val="none"/>
      </font>
      <numFmt numFmtId="167" formatCode="&quot;$&quot;\ #,##0.00"/>
      <alignment horizontal="center" vertical="top" textRotation="0" wrapText="0" indent="0" justifyLastLine="0" shrinkToFit="0" readingOrder="0"/>
      <border diagonalUp="0" diagonalDown="0">
        <left style="thin">
          <color rgb="FFCFD8DC"/>
        </left>
        <right style="thin">
          <color rgb="FFCFD8DC"/>
        </right>
        <top style="thin">
          <color rgb="FFCFD8DC"/>
        </top>
        <bottom style="thin">
          <color rgb="FFCFD8DC"/>
        </bottom>
        <vertical/>
        <horizontal/>
      </border>
    </dxf>
    <dxf>
      <font>
        <b val="0"/>
        <i val="0"/>
        <strike val="0"/>
        <condense val="0"/>
        <extend val="0"/>
        <outline val="0"/>
        <shadow val="0"/>
        <u val="none"/>
        <vertAlign val="baseline"/>
        <sz val="11"/>
        <color auto="1"/>
        <name val="Calibri"/>
        <scheme val="none"/>
      </font>
      <numFmt numFmtId="167" formatCode="&quot;$&quot;\ #,##0.00"/>
      <alignment horizontal="center" vertical="top" textRotation="0" wrapText="0" indent="0" justifyLastLine="0" shrinkToFit="0" readingOrder="0"/>
      <border diagonalUp="0" diagonalDown="0">
        <left style="thin">
          <color rgb="FFCFD8DC"/>
        </left>
        <right style="thin">
          <color rgb="FFCFD8DC"/>
        </right>
        <top style="thin">
          <color rgb="FFCFD8DC"/>
        </top>
        <bottom style="thin">
          <color rgb="FFCFD8DC"/>
        </bottom>
        <vertical/>
        <horizontal/>
      </border>
    </dxf>
    <dxf>
      <font>
        <b val="0"/>
        <i val="0"/>
        <strike val="0"/>
        <condense val="0"/>
        <extend val="0"/>
        <outline val="0"/>
        <shadow val="0"/>
        <u val="none"/>
        <vertAlign val="baseline"/>
        <sz val="11"/>
        <color auto="1"/>
        <name val="Calibri"/>
        <scheme val="none"/>
      </font>
      <numFmt numFmtId="167" formatCode="&quot;$&quot;\ #,##0.00"/>
      <alignment horizontal="center" vertical="top" textRotation="0" wrapText="0" indent="0" justifyLastLine="0" shrinkToFit="0" readingOrder="0"/>
      <border diagonalUp="0" diagonalDown="0">
        <left style="thin">
          <color rgb="FFCFD8DC"/>
        </left>
        <right style="thin">
          <color rgb="FFCFD8DC"/>
        </right>
        <top style="thin">
          <color rgb="FFCFD8DC"/>
        </top>
        <bottom style="thin">
          <color rgb="FFCFD8DC"/>
        </bottom>
        <vertical/>
        <horizontal/>
      </border>
    </dxf>
    <dxf>
      <font>
        <b val="0"/>
        <i val="0"/>
        <strike val="0"/>
        <condense val="0"/>
        <extend val="0"/>
        <outline val="0"/>
        <shadow val="0"/>
        <u val="none"/>
        <vertAlign val="baseline"/>
        <sz val="11"/>
        <color auto="1"/>
        <name val="Calibri"/>
        <scheme val="none"/>
      </font>
      <numFmt numFmtId="167" formatCode="&quot;$&quot;\ #,##0.00"/>
      <alignment horizontal="center" vertical="top" textRotation="0" wrapText="0" indent="0" justifyLastLine="0" shrinkToFit="0" readingOrder="0"/>
      <border diagonalUp="0" diagonalDown="0">
        <left style="thin">
          <color rgb="FFCFD8DC"/>
        </left>
        <right style="thin">
          <color rgb="FFCFD8DC"/>
        </right>
        <top style="thin">
          <color rgb="FFCFD8DC"/>
        </top>
        <bottom style="thin">
          <color rgb="FFCFD8DC"/>
        </bottom>
        <vertical/>
        <horizontal/>
      </border>
    </dxf>
    <dxf>
      <font>
        <b val="0"/>
        <i val="0"/>
        <strike val="0"/>
        <condense val="0"/>
        <extend val="0"/>
        <outline val="0"/>
        <shadow val="0"/>
        <u val="none"/>
        <vertAlign val="baseline"/>
        <sz val="11"/>
        <color auto="1"/>
        <name val="Calibri"/>
        <scheme val="none"/>
      </font>
      <numFmt numFmtId="167" formatCode="&quot;$&quot;\ #,##0.00"/>
      <alignment horizontal="center" vertical="top" textRotation="0" wrapText="0" indent="0" justifyLastLine="0" shrinkToFit="0" readingOrder="0"/>
      <border diagonalUp="0" diagonalDown="0">
        <left style="thin">
          <color rgb="FFCFD8DC"/>
        </left>
        <right style="thin">
          <color rgb="FFCFD8DC"/>
        </right>
        <top style="thin">
          <color rgb="FFCFD8DC"/>
        </top>
        <bottom style="thin">
          <color rgb="FFCFD8DC"/>
        </bottom>
        <vertical/>
        <horizontal/>
      </border>
    </dxf>
    <dxf>
      <font>
        <b val="0"/>
        <i val="0"/>
        <strike val="0"/>
        <condense val="0"/>
        <extend val="0"/>
        <outline val="0"/>
        <shadow val="0"/>
        <u val="none"/>
        <vertAlign val="baseline"/>
        <sz val="11"/>
        <color auto="1"/>
        <name val="Calibri"/>
        <scheme val="none"/>
      </font>
      <numFmt numFmtId="167" formatCode="&quot;$&quot;\ #,##0.00"/>
      <alignment horizontal="center" vertical="top" textRotation="0" wrapText="0" indent="0" justifyLastLine="0" shrinkToFit="0" readingOrder="0"/>
      <border diagonalUp="0" diagonalDown="0">
        <left style="thin">
          <color rgb="FFCFD8DC"/>
        </left>
        <right style="thin">
          <color rgb="FFCFD8DC"/>
        </right>
        <top style="thin">
          <color rgb="FFCFD8DC"/>
        </top>
        <bottom style="thin">
          <color rgb="FFCFD8DC"/>
        </bottom>
        <vertical/>
        <horizontal/>
      </border>
    </dxf>
    <dxf>
      <font>
        <b val="0"/>
        <i val="0"/>
        <strike val="0"/>
        <condense val="0"/>
        <extend val="0"/>
        <outline val="0"/>
        <shadow val="0"/>
        <u val="none"/>
        <vertAlign val="baseline"/>
        <sz val="11"/>
        <color auto="1"/>
        <name val="Calibri"/>
        <scheme val="none"/>
      </font>
      <numFmt numFmtId="167" formatCode="&quot;$&quot;\ #,##0.00"/>
      <alignment horizontal="center" vertical="top" textRotation="0" wrapText="0" indent="0" justifyLastLine="0" shrinkToFit="0" readingOrder="0"/>
      <border diagonalUp="0" diagonalDown="0">
        <left style="thin">
          <color rgb="FFCFD8DC"/>
        </left>
        <right style="thin">
          <color rgb="FFCFD8DC"/>
        </right>
        <top style="thin">
          <color rgb="FFCFD8DC"/>
        </top>
        <bottom style="thin">
          <color rgb="FFCFD8DC"/>
        </bottom>
        <vertical/>
        <horizontal/>
      </border>
    </dxf>
    <dxf>
      <font>
        <b/>
        <i val="0"/>
        <strike val="0"/>
        <condense val="0"/>
        <extend val="0"/>
        <outline val="0"/>
        <shadow val="0"/>
        <u val="none"/>
        <vertAlign val="baseline"/>
        <sz val="11"/>
        <color rgb="FF1B4F72"/>
        <name val="Calibri"/>
        <scheme val="none"/>
      </font>
      <numFmt numFmtId="167" formatCode="&quot;$&quot;\ #,##0.00"/>
      <fill>
        <patternFill patternType="solid">
          <fgColor rgb="FFE8F8F0"/>
          <bgColor rgb="FFD6EAF8"/>
        </patternFill>
      </fill>
      <alignment horizontal="center" vertical="top" textRotation="0" wrapText="0" indent="0" justifyLastLine="0" shrinkToFit="0" readingOrder="0"/>
      <border diagonalUp="0" diagonalDown="0">
        <left style="thin">
          <color rgb="FFCFD8DC"/>
        </left>
        <right style="thin">
          <color rgb="FFCFD8DC"/>
        </right>
        <top style="thin">
          <color rgb="FFCFD8DC"/>
        </top>
        <bottom style="thin">
          <color rgb="FFCFD8DC"/>
        </bottom>
        <vertical/>
        <horizontal/>
      </border>
    </dxf>
    <dxf>
      <font>
        <b val="0"/>
        <i val="0"/>
        <strike val="0"/>
        <condense val="0"/>
        <extend val="0"/>
        <outline val="0"/>
        <shadow val="0"/>
        <u val="none"/>
        <vertAlign val="baseline"/>
        <sz val="11"/>
        <color auto="1"/>
        <name val="Calibri"/>
        <scheme val="none"/>
      </font>
      <numFmt numFmtId="3" formatCode="#,##0"/>
      <alignment horizontal="center" vertical="top" textRotation="0" wrapText="0" indent="0" justifyLastLine="0" shrinkToFit="0" readingOrder="0"/>
      <border diagonalUp="0" diagonalDown="0">
        <left style="thin">
          <color rgb="FFCFD8DC"/>
        </left>
        <right style="thin">
          <color rgb="FFCFD8DC"/>
        </right>
        <top style="thin">
          <color rgb="FFCFD8DC"/>
        </top>
        <bottom style="thin">
          <color rgb="FFCFD8DC"/>
        </bottom>
        <vertical/>
        <horizontal/>
      </border>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border diagonalUp="0" diagonalDown="0">
        <left style="thin">
          <color rgb="FFCFD8DC"/>
        </left>
        <right style="thin">
          <color rgb="FFCFD8DC"/>
        </right>
        <top style="thin">
          <color rgb="FFCFD8DC"/>
        </top>
        <bottom style="thin">
          <color rgb="FFCFD8DC"/>
        </bottom>
        <vertical/>
        <horizontal/>
      </border>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border diagonalUp="0" diagonalDown="0">
        <left style="thin">
          <color rgb="FFCFD8DC"/>
        </left>
        <right style="thin">
          <color rgb="FFCFD8DC"/>
        </right>
        <top style="thin">
          <color rgb="FFCFD8DC"/>
        </top>
        <bottom style="thin">
          <color rgb="FFCFD8DC"/>
        </bottom>
        <vertical/>
        <horizontal/>
      </border>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border diagonalUp="0" diagonalDown="0">
        <left style="thin">
          <color rgb="FFCFD8DC"/>
        </left>
        <right style="thin">
          <color rgb="FFCFD8DC"/>
        </right>
        <top style="thin">
          <color rgb="FFCFD8DC"/>
        </top>
        <bottom style="thin">
          <color rgb="FFCFD8DC"/>
        </bottom>
        <vertical/>
        <horizontal/>
      </border>
    </dxf>
    <dxf>
      <font>
        <b val="0"/>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center" vertical="top" textRotation="0" wrapText="1" indent="0" justifyLastLine="0" shrinkToFit="0" readingOrder="0"/>
      <border diagonalUp="0" diagonalDown="0">
        <left style="thin">
          <color rgb="FFCCCCCC"/>
        </left>
        <right style="thin">
          <color rgb="FFCCCCCC"/>
        </right>
        <top/>
        <bottom/>
      </border>
    </dxf>
  </dxfs>
  <tableStyles count="1" defaultTableStyle="TableStyleMedium2" defaultPivotStyle="PivotStyleLight16">
    <tableStyle name="Estilo de tabla 1" pivot="0" count="0" xr9:uid="{21D2CA2D-C93A-9F46-8EEA-6B91E2B285F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Flujo</a:t>
            </a:r>
            <a:r>
              <a:rPr lang="es-CO" baseline="0"/>
              <a:t>_Neto</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solidFill>
            <a:ln>
              <a:noFill/>
            </a:ln>
            <a:effectLst/>
          </c:spPr>
          <c:invertIfNegative val="0"/>
          <c:val>
            <c:numRef>
              <c:f>Calculos_generales!$G$2:$G$26</c:f>
              <c:numCache>
                <c:formatCode>"$"\ #,##0</c:formatCode>
                <c:ptCount val="25"/>
                <c:pt idx="0">
                  <c:v>20792263.274004485</c:v>
                </c:pt>
                <c:pt idx="1">
                  <c:v>51662976.469792321</c:v>
                </c:pt>
                <c:pt idx="2">
                  <c:v>48242976.469792321</c:v>
                </c:pt>
                <c:pt idx="3">
                  <c:v>44822976.469792321</c:v>
                </c:pt>
                <c:pt idx="4">
                  <c:v>41402976.469792321</c:v>
                </c:pt>
                <c:pt idx="5">
                  <c:v>36622176.469792321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0-A98C-43E7-953A-2590806871C7}"/>
            </c:ext>
          </c:extLst>
        </c:ser>
        <c:dLbls>
          <c:showLegendKey val="0"/>
          <c:showVal val="0"/>
          <c:showCatName val="0"/>
          <c:showSerName val="0"/>
          <c:showPercent val="0"/>
          <c:showBubbleSize val="0"/>
        </c:dLbls>
        <c:gapWidth val="150"/>
        <c:axId val="1100162720"/>
        <c:axId val="1100170400"/>
      </c:barChart>
      <c:catAx>
        <c:axId val="11001627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00170400"/>
        <c:crosses val="autoZero"/>
        <c:auto val="1"/>
        <c:lblAlgn val="ctr"/>
        <c:lblOffset val="100"/>
        <c:noMultiLvlLbl val="0"/>
      </c:catAx>
      <c:valAx>
        <c:axId val="1100170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0016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Flujo</a:t>
            </a:r>
            <a:r>
              <a:rPr lang="es-CO" baseline="0"/>
              <a:t>_Neto</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solidFill>
            <a:ln>
              <a:noFill/>
            </a:ln>
            <a:effectLst/>
          </c:spPr>
          <c:invertIfNegative val="0"/>
          <c:val>
            <c:numRef>
              <c:f>Calculo_etapa_productiva!$G$2:$G$26</c:f>
              <c:numCache>
                <c:formatCode>"$"\ #,##0</c:formatCode>
                <c:ptCount val="25"/>
                <c:pt idx="0">
                  <c:v>20792263.274004485</c:v>
                </c:pt>
                <c:pt idx="1">
                  <c:v>51662976.469792321</c:v>
                </c:pt>
                <c:pt idx="2">
                  <c:v>48242976.469792321</c:v>
                </c:pt>
                <c:pt idx="3">
                  <c:v>44822976.469792321</c:v>
                </c:pt>
                <c:pt idx="4">
                  <c:v>41402976.469792321</c:v>
                </c:pt>
                <c:pt idx="5">
                  <c:v>36622176.469792321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0-8EDA-4772-87C4-267C0A04039B}"/>
            </c:ext>
          </c:extLst>
        </c:ser>
        <c:dLbls>
          <c:showLegendKey val="0"/>
          <c:showVal val="0"/>
          <c:showCatName val="0"/>
          <c:showSerName val="0"/>
          <c:showPercent val="0"/>
          <c:showBubbleSize val="0"/>
        </c:dLbls>
        <c:gapWidth val="150"/>
        <c:axId val="1100162720"/>
        <c:axId val="1100170400"/>
      </c:barChart>
      <c:catAx>
        <c:axId val="11001627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00170400"/>
        <c:crosses val="autoZero"/>
        <c:auto val="1"/>
        <c:lblAlgn val="ctr"/>
        <c:lblOffset val="100"/>
        <c:noMultiLvlLbl val="0"/>
      </c:catAx>
      <c:valAx>
        <c:axId val="1100170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0016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Distribución del Valor Presente por Año Remanente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Grafico_Flujos!$C$6</c:f>
              <c:strCache>
                <c:ptCount val="1"/>
                <c:pt idx="0">
                  <c:v>Flujo Descontado ($/ha)</c:v>
                </c:pt>
              </c:strCache>
            </c:strRef>
          </c:tx>
          <c:spPr>
            <a:solidFill>
              <a:srgbClr val="1F4E78"/>
            </a:solidFill>
            <a:ln>
              <a:noFill/>
            </a:ln>
            <a:effectLst/>
          </c:spPr>
          <c:invertIfNegative val="0"/>
          <c:cat>
            <c:numRef>
              <c:f>Grafico_Flujos!$A$7:$A$33</c:f>
              <c:numCache>
                <c:formatCode>0</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cat>
          <c:val>
            <c:numRef>
              <c:f>Grafico_Flujos!$C$7:$C$33</c:f>
              <c:numCache>
                <c:formatCode>"$"#,##0;\("$"#,##0\);\-</c:formatCode>
                <c:ptCount val="27"/>
                <c:pt idx="0">
                  <c:v>0</c:v>
                </c:pt>
                <c:pt idx="1">
                  <c:v>0</c:v>
                </c:pt>
                <c:pt idx="2">
                  <c:v>33764877.062210448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numCache>
            </c:numRef>
          </c:val>
          <c:extLst>
            <c:ext xmlns:c16="http://schemas.microsoft.com/office/drawing/2014/chart" uri="{C3380CC4-5D6E-409C-BE32-E72D297353CC}">
              <c16:uniqueId val="{00000000-0CD9-47E1-AB2C-40E9EE352D83}"/>
            </c:ext>
          </c:extLst>
        </c:ser>
        <c:ser>
          <c:idx val="1"/>
          <c:order val="1"/>
          <c:tx>
            <c:strRef>
              <c:f>Grafico_Flujos!$E$6</c:f>
              <c:strCache>
                <c:ptCount val="1"/>
                <c:pt idx="0">
                  <c:v>METODO 1 VALOR DEL CULTIVO</c:v>
                </c:pt>
              </c:strCache>
            </c:strRef>
          </c:tx>
          <c:spPr>
            <a:solidFill>
              <a:schemeClr val="accent2"/>
            </a:solidFill>
            <a:ln>
              <a:noFill/>
            </a:ln>
            <a:effectLst/>
          </c:spPr>
          <c:invertIfNegative val="0"/>
          <c:cat>
            <c:numRef>
              <c:f>Grafico_Flujos!$A$7:$A$33</c:f>
              <c:numCache>
                <c:formatCode>0</c:formatCod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cat>
          <c:val>
            <c:numRef>
              <c:f>Grafico_Flujos!$E$7:$E$33</c:f>
              <c:numCache>
                <c:formatCode>"$"#,##0;\("$"#,##0\);\-</c:formatCode>
                <c:ptCount val="27"/>
                <c:pt idx="0">
                  <c:v>1986169.2389535557</c:v>
                </c:pt>
                <c:pt idx="1">
                  <c:v>2110304.816388153</c:v>
                </c:pt>
                <c:pt idx="2">
                  <c:v>2250991.8041473632</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1-0CD9-47E1-AB2C-40E9EE352D83}"/>
            </c:ext>
          </c:extLst>
        </c:ser>
        <c:dLbls>
          <c:showLegendKey val="0"/>
          <c:showVal val="0"/>
          <c:showCatName val="0"/>
          <c:showSerName val="0"/>
          <c:showPercent val="0"/>
          <c:showBubbleSize val="0"/>
        </c:dLbls>
        <c:gapWidth val="219"/>
        <c:overlap val="-27"/>
        <c:axId val="352962175"/>
        <c:axId val="352957375"/>
      </c:barChart>
      <c:catAx>
        <c:axId val="3529621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 remanente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52957375"/>
        <c:crosses val="autoZero"/>
        <c:auto val="1"/>
        <c:lblAlgn val="ctr"/>
        <c:lblOffset val="100"/>
        <c:noMultiLvlLbl val="0"/>
      </c:catAx>
      <c:valAx>
        <c:axId val="352957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Valor ($/ha)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quot;$&quot;#,##0;\(&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52962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0</xdr:col>
      <xdr:colOff>488155</xdr:colOff>
      <xdr:row>0</xdr:row>
      <xdr:rowOff>23814</xdr:rowOff>
    </xdr:from>
    <xdr:ext cx="857251" cy="666750"/>
    <xdr:pic>
      <xdr:nvPicPr>
        <xdr:cNvPr id="2" name="Imagen 1">
          <a:extLst>
            <a:ext uri="{FF2B5EF4-FFF2-40B4-BE49-F238E27FC236}">
              <a16:creationId xmlns:a16="http://schemas.microsoft.com/office/drawing/2014/main" id="{3B9EC235-17F3-43E6-9276-F93B8F0F7CA3}"/>
            </a:ext>
          </a:extLst>
        </xdr:cNvPr>
        <xdr:cNvPicPr>
          <a:picLocks noChangeAspect="1"/>
        </xdr:cNvPicPr>
      </xdr:nvPicPr>
      <xdr:blipFill>
        <a:blip xmlns:r="http://schemas.openxmlformats.org/officeDocument/2006/relationships" r:embed="rId1" cstate="print"/>
        <a:srcRect/>
        <a:stretch>
          <a:fillRect/>
        </a:stretch>
      </xdr:blipFill>
      <xdr:spPr>
        <a:xfrm>
          <a:off x="488155" y="23814"/>
          <a:ext cx="857251" cy="666750"/>
        </a:xfrm>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14</xdr:col>
      <xdr:colOff>485775</xdr:colOff>
      <xdr:row>11</xdr:row>
      <xdr:rowOff>42862</xdr:rowOff>
    </xdr:from>
    <xdr:to>
      <xdr:col>22</xdr:col>
      <xdr:colOff>180975</xdr:colOff>
      <xdr:row>25</xdr:row>
      <xdr:rowOff>119062</xdr:rowOff>
    </xdr:to>
    <xdr:graphicFrame macro="">
      <xdr:nvGraphicFramePr>
        <xdr:cNvPr id="2" name="Gráfico 1">
          <a:extLst>
            <a:ext uri="{FF2B5EF4-FFF2-40B4-BE49-F238E27FC236}">
              <a16:creationId xmlns:a16="http://schemas.microsoft.com/office/drawing/2014/main" id="{F5BCEB3D-75C6-4E07-B570-3D98746BCD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14</xdr:col>
      <xdr:colOff>485775</xdr:colOff>
      <xdr:row>11</xdr:row>
      <xdr:rowOff>42862</xdr:rowOff>
    </xdr:from>
    <xdr:to>
      <xdr:col>22</xdr:col>
      <xdr:colOff>180975</xdr:colOff>
      <xdr:row>25</xdr:row>
      <xdr:rowOff>119062</xdr:rowOff>
    </xdr:to>
    <xdr:graphicFrame macro="">
      <xdr:nvGraphicFramePr>
        <xdr:cNvPr id="2" name="Gráfico 1">
          <a:extLst>
            <a:ext uri="{FF2B5EF4-FFF2-40B4-BE49-F238E27FC236}">
              <a16:creationId xmlns:a16="http://schemas.microsoft.com/office/drawing/2014/main" id="{775A255D-B049-4D13-9CB8-9F6FE87C0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476250</xdr:colOff>
      <xdr:row>1</xdr:row>
      <xdr:rowOff>85725</xdr:rowOff>
    </xdr:from>
    <xdr:to>
      <xdr:col>20</xdr:col>
      <xdr:colOff>476250</xdr:colOff>
      <xdr:row>30</xdr:row>
      <xdr:rowOff>85725</xdr:rowOff>
    </xdr:to>
    <xdr:graphicFrame macro="">
      <xdr:nvGraphicFramePr>
        <xdr:cNvPr id="4" name="Gráfico 3">
          <a:extLst>
            <a:ext uri="{FF2B5EF4-FFF2-40B4-BE49-F238E27FC236}">
              <a16:creationId xmlns:a16="http://schemas.microsoft.com/office/drawing/2014/main" id="{F0D5EA17-9C89-125C-3A91-1C199A78C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19764D8-4ED1-6049-8B29-AF5701BA5E0A}" name="Tabla13" displayName="Tabla13" ref="A1:O193" totalsRowShown="0" headerRowDxfId="180" dataDxfId="179" dataCellStyle="Normal 4">
  <tableColumns count="15">
    <tableColumn id="1" xr3:uid="{E2161F45-6BB0-B14D-8593-995998A9D7FA}" name="Grupo" dataDxfId="178" dataCellStyle="Normal 4"/>
    <tableColumn id="2" xr3:uid="{A24E896E-11E9-1040-966C-706F999BEAA3}" name="Producto" dataDxfId="177" dataCellStyle="Normal 4"/>
    <tableColumn id="3" xr3:uid="{D51916B4-9D70-E742-8494-15EF52D8D1CB}" name="Mercado" dataDxfId="176" dataCellStyle="Normal 4"/>
    <tableColumn id="4" xr3:uid="{A273DED1-32C3-2F49-9646-250926714D32}" name="N Obs" dataDxfId="175" dataCellStyle="Normal 4"/>
    <tableColumn id="5" xr3:uid="{FD6A5E82-21FA-584E-8A64-D37898B460F6}" name="Precio Ref. ($/kg)" dataDxfId="174" dataCellStyle="Normal 4"/>
    <tableColumn id="6" xr3:uid="{C1B13731-D367-914E-9E0F-F1A8A00B975B}" name="Promedio ($/kg)" dataDxfId="173" dataCellStyle="Normal 4"/>
    <tableColumn id="7" xr3:uid="{8F00926C-37DD-9249-8C8C-5EBEDC734B63}" name="Mediana ($/kg)" dataDxfId="172" dataCellStyle="Normal 4"/>
    <tableColumn id="8" xr3:uid="{8D2CB4DE-2427-6449-A9A3-C802B381DFB5}" name="Mínimo ($/kg)" dataDxfId="171" dataCellStyle="Normal 4"/>
    <tableColumn id="9" xr3:uid="{46C51EE4-5F02-1745-8130-FBF5BE5CF2B4}" name="Máximo ($/kg)" dataDxfId="170" dataCellStyle="Normal 4"/>
    <tableColumn id="10" xr3:uid="{3A4AAD71-CBBD-6B4F-B747-235DFD537759}" name="P25 ($/kg)" dataDxfId="169" dataCellStyle="Normal 4"/>
    <tableColumn id="11" xr3:uid="{DB721868-69F4-E84A-93D7-E0F9AA3EAE0C}" name="P75 ($/kg)" dataDxfId="168" dataCellStyle="Normal 4"/>
    <tableColumn id="12" xr3:uid="{2D1302BA-D723-6D4E-8B55-C8B8C0E5E7AD}" name="Desv. Estándar" dataDxfId="167" dataCellStyle="Normal 4"/>
    <tableColumn id="13" xr3:uid="{6ED0C424-0897-0248-B66C-36750EB40173}" name="CV (%)" dataDxfId="166" dataCellStyle="Normal 4"/>
    <tableColumn id="14" xr3:uid="{1206EFE5-D849-3141-8119-22CA1B5B5175}" name="Precio de Referencia Ajustado ($/kg)" dataDxfId="165" dataCellStyle="Normal 4">
      <calculatedColumnFormula>IF(M2&lt;=20,G2,IF(M2&lt;=35,F2,(J2+K2)/2))</calculatedColumnFormula>
    </tableColumn>
    <tableColumn id="15" xr3:uid="{144783E9-8449-834A-85BF-0D9555B1DF11}" name="DIFERENCIA" dataDxfId="164" dataCellStyle="Normal 4">
      <calculatedColumnFormula>(N2-E2)/E2</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357CEF2-41ED-48C7-9C45-14BFB3F081BA}" name="Tabla18" displayName="Tabla18" ref="A2:C7" totalsRowShown="0" headerRowDxfId="163" dataDxfId="162">
  <autoFilter ref="A2:C7" xr:uid="{00000000-0009-0000-0100-000001000000}"/>
  <tableColumns count="3">
    <tableColumn id="1" xr3:uid="{DF0D615E-4AC4-497B-8363-63AF081F1092}" name="Columna1" dataDxfId="161"/>
    <tableColumn id="2" xr3:uid="{5BCC7399-5159-40C1-AF19-357C7024F6CA}" name="Rango de Altura (m)" dataDxfId="160"/>
    <tableColumn id="3" xr3:uid="{9B779093-D6E0-43CF-9D0D-85E41346DA91}" name="Temperatura (°C)" dataDxfId="15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DE3E16C-8FED-43D2-A610-4616EE966F2D}" name="Tabla4" displayName="Tabla4" ref="W1:W4" totalsRowShown="0" headerRowDxfId="158" dataDxfId="157">
  <autoFilter ref="W1:W4" xr:uid="{3CAEC64F-29EA-400B-9205-557D86D90AF2}"/>
  <tableColumns count="1">
    <tableColumn id="1" xr3:uid="{3DFE09B3-7F04-4E25-8F79-D0AA6293CA5F}" name="año" dataDxfId="15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7CA3FF0-8972-421C-9B7F-2FF7E3DB9B2B}" name="Tabla5" displayName="Tabla5" ref="Y1:Y3" totalsRowShown="0" headerRowDxfId="155" dataDxfId="154">
  <autoFilter ref="Y1:Y3" xr:uid="{07D6F143-6CB5-47C5-805A-8379E40039DC}"/>
  <tableColumns count="1">
    <tableColumn id="1" xr3:uid="{EE6B54A4-A334-4EAF-8B4E-75204375C4DD}" name="Marco de plantación" dataDxfId="15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B671247-190E-49D7-9AB6-2EE6A7453DD0}" name="Tabla7" displayName="Tabla7" ref="AA1:AD4" totalsRowShown="0" headerRowDxfId="152" dataDxfId="151">
  <autoFilter ref="AA1:AD4" xr:uid="{DF01491B-4AB2-444C-B788-C3FA0AFDE934}"/>
  <tableColumns count="4">
    <tableColumn id="1" xr3:uid="{5FC54B42-8627-4199-9984-559DA68DF2A1}" name="Calificación" dataDxfId="150"/>
    <tableColumn id="2" xr3:uid="{A89AFB1E-08FA-417B-82BB-A4BC4AE952CB}" name="Rango de Severidad (S)" dataDxfId="149"/>
    <tableColumn id="3" xr3:uid="{6206C11B-042F-440F-8B4A-9F5D7647AB79}" name="Impacto Fisiológico" dataDxfId="148"/>
    <tableColumn id="4" xr3:uid="{EB9BDFCE-D37E-4AE5-A698-D1093E230627}" name="factor de valoración" dataDxfId="14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B42E74B-31B8-42D7-B803-3E8E7CD0BE3A}" name="Tabla8" displayName="Tabla8" ref="A10:D16" totalsRowShown="0" headerRowDxfId="146" dataDxfId="144" headerRowBorderDxfId="145" tableBorderDxfId="143" totalsRowBorderDxfId="142">
  <autoFilter ref="A10:D16" xr:uid="{5B42E74B-31B8-42D7-B803-3E8E7CD0BE3A}"/>
  <tableColumns count="4">
    <tableColumn id="1" xr3:uid="{16495405-2183-4AAC-86A1-BA33BE5B1381}" name="Rango (mm/año)" dataDxfId="141"/>
    <tableColumn id="2" xr3:uid="{995F6AF4-CB5A-4832-9CA2-B2F4209F867C}" name="Clasificación Técnica" dataDxfId="140"/>
    <tableColumn id="3" xr3:uid="{E1ACA7A7-E1FF-42F7-8ABF-2D2A4FA058D9}" name="Caracterización Agrológica" dataDxfId="139"/>
    <tableColumn id="4" xr3:uid="{E1FE05A1-73BD-45C6-B577-973865B89C7C}" name="Fuente Principal" dataDxfId="13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479857E-B899-4187-97E6-8AFA27252DC0}" name="Tabla9" displayName="Tabla9" ref="F10:I14" totalsRowShown="0" headerRowDxfId="137" dataDxfId="135" headerRowBorderDxfId="136" tableBorderDxfId="134" totalsRowBorderDxfId="133">
  <autoFilter ref="F10:I14" xr:uid="{A479857E-B899-4187-97E6-8AFA27252DC0}"/>
  <tableColumns count="4">
    <tableColumn id="1" xr3:uid="{B0351727-CAD6-4D40-BC02-8106A379F471}" name="Régimen" dataDxfId="132"/>
    <tableColumn id="2" xr3:uid="{0AA39066-6A6B-47BF-BB65-3A80EB5E8E29}" name="Distribución Anual" dataDxfId="131"/>
    <tableColumn id="3" xr3:uid="{E0B6BAB1-CB36-4DE6-92C1-159E1785F49E}" name="Región Sugerida" dataDxfId="130"/>
    <tableColumn id="4" xr3:uid="{939D615F-8965-46C7-8CDC-841A961BAF96}" name="Fuente" dataDxfId="12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E480A51-B0FC-45A6-BF6B-14D3C511CA80}" name="Tabla10" displayName="Tabla10" ref="A20:A30" totalsRowShown="0" headerRowDxfId="128" dataDxfId="127" headerRowCellStyle="Normal 2" dataCellStyle="Normal 2">
  <autoFilter ref="A20:A30" xr:uid="{DE480A51-B0FC-45A6-BF6B-14D3C511CA80}"/>
  <tableColumns count="1">
    <tableColumn id="1" xr3:uid="{C8DE96FE-8C81-4FA9-A400-82755619AB98}" name="Cultivo" dataDxfId="126" dataCellStyle="Normal 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898B9CA-E9F7-44A8-B8D1-470DFA1EC656}" name="Tabla11" displayName="Tabla11" ref="C20:C33" totalsRowShown="0" headerRowDxfId="125" dataDxfId="124" headerRowCellStyle="Normal 2">
  <autoFilter ref="C20:C33" xr:uid="{3898B9CA-E9F7-44A8-B8D1-470DFA1EC656}"/>
  <tableColumns count="1">
    <tableColumn id="1" xr3:uid="{31F43ACC-3EF4-4E68-B099-B713E78857C7}" name="Variedad" dataDxfId="12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C250A1-F4B9-4AB3-9FF4-D834ABCBB77C}" name="Tabla1" displayName="Tabla1" ref="F20:F33" totalsRowShown="0" headerRowDxfId="122" dataDxfId="121" headerRowCellStyle="Normal 2" dataCellStyle="Normal 2">
  <autoFilter ref="F20:F33" xr:uid="{86C250A1-F4B9-4AB3-9FF4-D834ABCBB77C}"/>
  <tableColumns count="1">
    <tableColumn id="1" xr3:uid="{709026A0-5C12-49A3-80C1-E4A8CD45CBCA}" name="Cultivo variedad" dataDxfId="120" dataCellStyle="Normal 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2FF00D-CC2C-404F-B674-81F9AC48144A}" name="Tabla74" displayName="Tabla74" ref="A46:D49" totalsRowShown="0" headerRowDxfId="119" dataDxfId="118">
  <autoFilter ref="A46:D49" xr:uid="{AA2FF00D-CC2C-404F-B674-81F9AC48144A}"/>
  <tableColumns count="4">
    <tableColumn id="1" xr3:uid="{26DA45AC-B81B-4342-8C5E-D3F2F7C75DB4}" name="Condición Fitosanitaria" dataDxfId="117"/>
    <tableColumn id="2" xr3:uid="{5611AE75-2DF4-4B00-A70B-D41F88189805}" name="Rango de Severidad (S)" dataDxfId="116"/>
    <tableColumn id="3" xr3:uid="{013C0CA1-1BCE-4D28-93D9-565C68126F8E}" name="Impacto Fisiológico" dataDxfId="115"/>
    <tableColumn id="4" xr3:uid="{6A1F09EF-F624-4ACB-809E-D4F9EE337CAC}" name="factor de valoración" dataDxfId="114"/>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28CB915-D174-4A04-B955-261C8EBD231A}" name="Tabla12" displayName="Tabla12" ref="A59:B63" totalsRowShown="0" headerRowDxfId="113" dataDxfId="112">
  <autoFilter ref="A59:B63" xr:uid="{B28CB915-D174-4A04-B955-261C8EBD231A}"/>
  <tableColumns count="2">
    <tableColumn id="1" xr3:uid="{71073C6C-80A8-437D-99EB-EF7AB3A7D29B}" name="Rango de Pendiente (%)" dataDxfId="111"/>
    <tableColumn id="2" xr3:uid="{8D0B4ADF-2924-4C8D-9673-9D69E84D4D09}" name="Factor de Ajuste jornales" dataDxfId="11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A573B32-CACC-4541-A6FB-D34F1C9AD7BD}" name="Tabla116" displayName="Tabla116" ref="F46:I50" totalsRowShown="0" headerRowDxfId="109" dataDxfId="108">
  <autoFilter ref="F46:I50" xr:uid="{0A573B32-CACC-4541-A6FB-D34F1C9AD7BD}"/>
  <tableColumns count="4">
    <tableColumn id="1" xr3:uid="{5994ED84-7166-4C70-9D37-161CFF41CB69}" name="NIVEL" dataDxfId="107"/>
    <tableColumn id="2" xr3:uid="{910934B0-EABA-4641-92E1-F457206C3ABD}" name="% de area foliar funcional" dataDxfId="106"/>
    <tableColumn id="3" xr3:uid="{419C2B2F-B7BB-45D6-AFF4-DAC29ADAFB89}" name="Factor" dataDxfId="105"/>
    <tableColumn id="4" xr3:uid="{69F875F7-F4DC-4EAF-9AD7-159DC8EB82E1}" name="OBSERVACIONES" dataDxfId="104"/>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2E32E4D-2DE7-4542-95BE-FD5D6EB2093A}" name="Tabla1715" displayName="Tabla1715" ref="A1:G268" totalsRowShown="0" headerRowDxfId="103" dataDxfId="101" headerRowBorderDxfId="102" tableBorderDxfId="100" totalsRowBorderDxfId="99" dataCellStyle="Normal 2">
  <autoFilter ref="A1:G268" xr:uid="{71660271-9795-A344-8278-93A694A2EEA1}"/>
  <tableColumns count="7">
    <tableColumn id="1" xr3:uid="{BAA05037-60AE-4C16-A5FA-E1A1D6405BCE}" name="Edad" dataDxfId="98" dataCellStyle="Normal 2"/>
    <tableColumn id="2" xr3:uid="{78C89A10-F986-49E6-A84E-8C37269377D0}" name="Cultivo" dataDxfId="97" dataCellStyle="Normal 2"/>
    <tableColumn id="3" xr3:uid="{B1CBFD26-8F96-4FE9-B3FA-4FA5D361CB7F}" name="Etapa" dataDxfId="96" dataCellStyle="Normal 2"/>
    <tableColumn id="4" xr3:uid="{D6B80A8D-4AF0-4F5E-A67C-84E51F9E8D1C}" name="Rendimiento potencial Kg/ha" dataDxfId="95" dataCellStyle="Normal 2"/>
    <tableColumn id="6" xr3:uid="{F0DE5AB4-C914-41A6-9A2C-956EEC9F624A}" name=" Densidad Caracteristicas" dataDxfId="94" dataCellStyle="Normal 2"/>
    <tableColumn id="9" xr3:uid="{DC29251D-584B-4743-B2BA-61C32F1E6B49}" name="Factor Densidad" dataDxfId="93" dataCellStyle="Normal 2">
      <calculatedColumnFormula>$J$2/E2</calculatedColumnFormula>
    </tableColumn>
    <tableColumn id="7" xr3:uid="{A2A4A056-7D59-491C-BC6C-4E8D4F936926}" name="Agua" dataDxfId="92" dataCellStyle="Normal 2"/>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F165E8D-707F-E547-8AD4-637DEE493BC9}" name="Tabla16" displayName="Tabla16" ref="A1:I17" totalsRowShown="0" headerRowDxfId="91" dataDxfId="89" headerRowBorderDxfId="90" tableBorderDxfId="88" totalsRowBorderDxfId="87">
  <autoFilter ref="A1:I17" xr:uid="{6F165E8D-707F-E547-8AD4-637DEE493BC9}"/>
  <tableColumns count="9">
    <tableColumn id="1" xr3:uid="{9ABA2439-3712-C646-A226-1596F44BFC0A}" name="Cultivo" dataDxfId="86" dataCellStyle="Normal 2"/>
    <tableColumn id="2" xr3:uid="{E1A26991-52C1-0F4A-A93C-E8C84D1B51C1}" name="Rango Óptimo msnm" dataDxfId="85"/>
    <tableColumn id="3" xr3:uid="{0894ABE9-6A7B-4B42-B0B6-2EB2B9E68EFE}" name="Requerimiento hídrico (mm/año)" dataDxfId="84"/>
    <tableColumn id="4" xr3:uid="{9F517D77-3710-7A48-B384-6177C9A70AE6}" name="Límite de Tolerancia / Notas Técnicas" dataDxfId="83"/>
    <tableColumn id="5" xr3:uid="{FCCE70BE-B466-EE4E-9BF9-14AD63DD45D9}" name="Entidad / Documento de Referencia" dataDxfId="82"/>
    <tableColumn id="6" xr3:uid="{E0B008B7-6A39-AF46-ABC4-A878B5539DDD}" name="Rango Inferior" dataDxfId="81">
      <calculatedColumnFormula>VALUE(TRIM(LEFT(C2,SEARCH("-",C2)-1)))</calculatedColumnFormula>
    </tableColumn>
    <tableColumn id="7" xr3:uid="{3C93E2E3-54EB-2C42-89AA-C2BC2B083D0E}" name="Rango superior " dataDxfId="80">
      <calculatedColumnFormula>VALUE(TRIM(RIGHT(C2,LEN(C2)-SEARCH("-",C2))))</calculatedColumnFormula>
    </tableColumn>
    <tableColumn id="8" xr3:uid="{7EAE51B0-B95F-9A41-8FD2-8214D92FE1E2}" name="Aplica" dataDxfId="79">
      <calculatedColumnFormula>IF(AND($K$2&gt;=VALUE(SUBSTITUTE(TRIM(LEFT(C2,FIND("-",C2)-1)),".","")),$K$2&lt;=VALUE(SUBSTITUTE(TRIM(RIGHT(C2,LEN(C2)-FIND("-",C2))),".",""))),"Aplica","")</calculatedColumnFormula>
    </tableColumn>
    <tableColumn id="9" xr3:uid="{148AD39A-B6E6-934C-89C0-EB0482CA5095}" name="Porcentaje" dataDxfId="78">
      <calculatedColumnFormula>IF(H2="Aplica",$K$2/G2,"")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74C46ED-56B4-445C-91E4-F75F64F05A58}">
  <we:reference id="wa200009404" version="1.0.0.8" store="es-ES" storeType="OMEX"/>
  <we:alternateReferences>
    <we:reference id="wa200009404" version="1.0.0.8" store="wa200009404" storeType="OMEX"/>
  </we:alternateReferences>
  <we:properties>
    <we:property name="claude.fileId" value="&quot;eb0cfa84-4c2e-4479-b038-272a1553fefc&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vmlDrawing" Target="../drawings/vmlDrawing4.v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comments" Target="../comments4.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14.xml"/><Relationship Id="rId1" Type="http://schemas.openxmlformats.org/officeDocument/2006/relationships/vmlDrawing" Target="../drawings/vmlDrawing5.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CF1F4-8ABE-4330-B75B-A531502EF7BE}">
  <sheetPr codeName="Hoja5">
    <tabColor rgb="FF1F4E79"/>
  </sheetPr>
  <dimension ref="A1:D53"/>
  <sheetViews>
    <sheetView workbookViewId="0">
      <selection activeCell="A6" sqref="A6:C10"/>
    </sheetView>
    <sheetView workbookViewId="1">
      <selection sqref="A1:D1"/>
    </sheetView>
  </sheetViews>
  <sheetFormatPr baseColWidth="10" defaultRowHeight="14.25"/>
  <cols>
    <col min="1" max="1" width="30" style="54" customWidth="1"/>
    <col min="2" max="2" width="63.375" style="54" customWidth="1"/>
    <col min="3" max="3" width="36.625" style="54" customWidth="1"/>
    <col min="4" max="4" width="18.375" style="54" customWidth="1"/>
    <col min="5" max="16384" width="11" style="54"/>
  </cols>
  <sheetData>
    <row r="1" spans="1:4" ht="32.1" customHeight="1">
      <c r="A1" s="547" t="s">
        <v>4484</v>
      </c>
      <c r="B1" s="547"/>
      <c r="C1" s="547"/>
      <c r="D1" s="547"/>
    </row>
    <row r="2" spans="1:4">
      <c r="A2" s="548" t="s">
        <v>4485</v>
      </c>
      <c r="B2" s="548"/>
      <c r="C2" s="548"/>
      <c r="D2" s="548"/>
    </row>
    <row r="4" spans="1:4" ht="15.75">
      <c r="A4" s="549" t="s">
        <v>4486</v>
      </c>
      <c r="B4" s="549"/>
      <c r="C4" s="549"/>
      <c r="D4" s="549"/>
    </row>
    <row r="5" spans="1:4" ht="15">
      <c r="A5" s="64" t="s">
        <v>4487</v>
      </c>
      <c r="B5" s="64" t="s">
        <v>4488</v>
      </c>
      <c r="C5" s="64" t="s">
        <v>4489</v>
      </c>
    </row>
    <row r="6" spans="1:4" ht="29.25">
      <c r="A6" s="65" t="s">
        <v>4490</v>
      </c>
      <c r="B6" s="12" t="s">
        <v>4491</v>
      </c>
      <c r="C6" s="12" t="s">
        <v>4492</v>
      </c>
    </row>
    <row r="7" spans="1:4" ht="29.25">
      <c r="A7" s="66" t="s">
        <v>4493</v>
      </c>
      <c r="B7" s="12" t="s">
        <v>4494</v>
      </c>
      <c r="C7" s="12" t="s">
        <v>4495</v>
      </c>
    </row>
    <row r="8" spans="1:4" ht="15">
      <c r="A8" s="67" t="s">
        <v>4496</v>
      </c>
      <c r="B8" s="12" t="s">
        <v>4497</v>
      </c>
      <c r="C8" s="12" t="s">
        <v>4498</v>
      </c>
    </row>
    <row r="9" spans="1:4" ht="15">
      <c r="A9" s="68" t="s">
        <v>4499</v>
      </c>
      <c r="B9" s="12" t="s">
        <v>4500</v>
      </c>
      <c r="C9" s="12" t="s">
        <v>4501</v>
      </c>
    </row>
    <row r="10" spans="1:4" ht="15">
      <c r="A10" s="69" t="s">
        <v>4502</v>
      </c>
      <c r="B10" s="12" t="s">
        <v>4503</v>
      </c>
      <c r="C10" s="12" t="s">
        <v>4504</v>
      </c>
    </row>
    <row r="12" spans="1:4" ht="15.75">
      <c r="A12" s="549" t="s">
        <v>4505</v>
      </c>
      <c r="B12" s="549"/>
      <c r="C12" s="549"/>
      <c r="D12" s="549"/>
    </row>
    <row r="13" spans="1:4" ht="15">
      <c r="A13" s="64" t="s">
        <v>4506</v>
      </c>
      <c r="B13" s="64" t="s">
        <v>4474</v>
      </c>
      <c r="C13" s="64" t="s">
        <v>4507</v>
      </c>
      <c r="D13" s="64" t="s">
        <v>15</v>
      </c>
    </row>
    <row r="14" spans="1:4" ht="43.5">
      <c r="A14" s="63">
        <v>1</v>
      </c>
      <c r="B14" s="54" t="s">
        <v>4475</v>
      </c>
      <c r="C14" s="12" t="s">
        <v>4508</v>
      </c>
      <c r="D14" s="70" t="s">
        <v>4509</v>
      </c>
    </row>
    <row r="15" spans="1:4" ht="29.25">
      <c r="A15" s="63">
        <v>2</v>
      </c>
      <c r="B15" s="54" t="s">
        <v>4481</v>
      </c>
      <c r="C15" s="12" t="s">
        <v>4510</v>
      </c>
      <c r="D15" s="70" t="s">
        <v>4509</v>
      </c>
    </row>
    <row r="16" spans="1:4" ht="43.5">
      <c r="A16" s="63">
        <v>3</v>
      </c>
      <c r="B16" s="54" t="s">
        <v>4476</v>
      </c>
      <c r="C16" s="12" t="s">
        <v>4511</v>
      </c>
      <c r="D16" s="70" t="s">
        <v>4509</v>
      </c>
    </row>
    <row r="17" spans="1:4" ht="29.25">
      <c r="A17" s="63">
        <v>4</v>
      </c>
      <c r="B17" s="54" t="s">
        <v>4477</v>
      </c>
      <c r="C17" s="12" t="s">
        <v>4512</v>
      </c>
      <c r="D17" s="71" t="s">
        <v>4513</v>
      </c>
    </row>
    <row r="18" spans="1:4" ht="57.75">
      <c r="A18" s="63">
        <v>5</v>
      </c>
      <c r="B18" s="54" t="s">
        <v>4478</v>
      </c>
      <c r="C18" s="12" t="s">
        <v>4570</v>
      </c>
      <c r="D18" s="72" t="s">
        <v>4517</v>
      </c>
    </row>
    <row r="19" spans="1:4" s="445" customFormat="1" ht="15">
      <c r="A19" s="63">
        <v>6</v>
      </c>
      <c r="B19" s="54" t="s">
        <v>4104</v>
      </c>
      <c r="C19" s="12" t="s">
        <v>4516</v>
      </c>
      <c r="D19" s="71" t="s">
        <v>4513</v>
      </c>
    </row>
    <row r="20" spans="1:4" s="445" customFormat="1" ht="29.25">
      <c r="A20" s="63">
        <v>7</v>
      </c>
      <c r="B20" s="54" t="s">
        <v>4480</v>
      </c>
      <c r="C20" s="12" t="s">
        <v>4515</v>
      </c>
      <c r="D20" s="71" t="s">
        <v>4513</v>
      </c>
    </row>
    <row r="21" spans="1:4" s="445" customFormat="1" ht="29.25">
      <c r="A21" s="63">
        <v>8</v>
      </c>
      <c r="B21" s="54" t="s">
        <v>4479</v>
      </c>
      <c r="C21" s="12" t="s">
        <v>4514</v>
      </c>
      <c r="D21" s="71" t="s">
        <v>4513</v>
      </c>
    </row>
    <row r="22" spans="1:4" ht="29.25">
      <c r="A22" s="63">
        <v>9</v>
      </c>
      <c r="B22" s="54" t="s">
        <v>4473</v>
      </c>
      <c r="C22" s="12" t="s">
        <v>4518</v>
      </c>
      <c r="D22" s="73" t="s">
        <v>4519</v>
      </c>
    </row>
    <row r="23" spans="1:4" ht="15">
      <c r="A23" s="63">
        <v>10</v>
      </c>
      <c r="B23" s="54" t="s">
        <v>4482</v>
      </c>
      <c r="C23" s="12" t="s">
        <v>4520</v>
      </c>
      <c r="D23" s="73" t="s">
        <v>4519</v>
      </c>
    </row>
    <row r="24" spans="1:4" ht="29.25">
      <c r="A24" s="63">
        <v>11</v>
      </c>
      <c r="B24" s="54" t="s">
        <v>4563</v>
      </c>
      <c r="C24" s="12" t="s">
        <v>4521</v>
      </c>
      <c r="D24" s="74" t="s">
        <v>4522</v>
      </c>
    </row>
    <row r="26" spans="1:4" ht="15.75">
      <c r="A26" s="549" t="s">
        <v>4523</v>
      </c>
      <c r="B26" s="549"/>
      <c r="C26" s="549"/>
      <c r="D26" s="549"/>
    </row>
    <row r="27" spans="1:4" ht="15">
      <c r="A27" s="64" t="s">
        <v>4524</v>
      </c>
      <c r="B27" s="64" t="s">
        <v>4525</v>
      </c>
      <c r="C27" s="64" t="s">
        <v>4526</v>
      </c>
      <c r="D27" s="64" t="s">
        <v>4527</v>
      </c>
    </row>
    <row r="28" spans="1:4" ht="29.25">
      <c r="A28" s="75">
        <v>1</v>
      </c>
      <c r="B28" s="12" t="s">
        <v>4528</v>
      </c>
      <c r="C28" s="12" t="s">
        <v>4475</v>
      </c>
      <c r="D28" s="12" t="s">
        <v>4529</v>
      </c>
    </row>
    <row r="29" spans="1:4" ht="57.75">
      <c r="A29" s="75">
        <v>2</v>
      </c>
      <c r="B29" s="12" t="s">
        <v>4571</v>
      </c>
      <c r="C29" s="12" t="s">
        <v>4481</v>
      </c>
      <c r="D29" s="12" t="s">
        <v>4530</v>
      </c>
    </row>
    <row r="30" spans="1:4" ht="29.25">
      <c r="A30" s="75">
        <v>3</v>
      </c>
      <c r="B30" s="12" t="s">
        <v>4568</v>
      </c>
      <c r="C30" s="12" t="s">
        <v>4569</v>
      </c>
      <c r="D30" s="12" t="s">
        <v>4531</v>
      </c>
    </row>
    <row r="31" spans="1:4" ht="43.5">
      <c r="A31" s="75">
        <v>4</v>
      </c>
      <c r="B31" s="12" t="s">
        <v>4532</v>
      </c>
      <c r="C31" s="12" t="s">
        <v>4564</v>
      </c>
      <c r="D31" s="12" t="s">
        <v>4533</v>
      </c>
    </row>
    <row r="32" spans="1:4" ht="29.25">
      <c r="A32" s="75">
        <v>5</v>
      </c>
      <c r="B32" s="12" t="s">
        <v>4534</v>
      </c>
      <c r="C32" s="12" t="s">
        <v>4565</v>
      </c>
      <c r="D32" s="12" t="s">
        <v>4535</v>
      </c>
    </row>
    <row r="33" spans="1:4" ht="29.25">
      <c r="A33" s="75">
        <v>6</v>
      </c>
      <c r="B33" s="12" t="s">
        <v>4536</v>
      </c>
      <c r="C33" s="12" t="s">
        <v>4566</v>
      </c>
      <c r="D33" s="12" t="s">
        <v>4537</v>
      </c>
    </row>
    <row r="34" spans="1:4" ht="29.25">
      <c r="A34" s="75">
        <v>7</v>
      </c>
      <c r="B34" s="12" t="s">
        <v>4538</v>
      </c>
      <c r="C34" s="12" t="s">
        <v>4567</v>
      </c>
      <c r="D34" s="12" t="s">
        <v>4539</v>
      </c>
    </row>
    <row r="36" spans="1:4" ht="15.75">
      <c r="A36" s="549" t="s">
        <v>4540</v>
      </c>
      <c r="B36" s="549"/>
      <c r="C36" s="549"/>
      <c r="D36" s="549"/>
    </row>
    <row r="37" spans="1:4" ht="15">
      <c r="A37" s="64" t="s">
        <v>4325</v>
      </c>
      <c r="B37" s="64" t="s">
        <v>4541</v>
      </c>
      <c r="C37" s="64"/>
    </row>
    <row r="38" spans="1:4" ht="28.5">
      <c r="A38" s="54" t="s">
        <v>4542</v>
      </c>
      <c r="B38" s="12" t="s">
        <v>4543</v>
      </c>
    </row>
    <row r="39" spans="1:4" ht="28.5">
      <c r="A39" s="54" t="s">
        <v>4544</v>
      </c>
      <c r="B39" s="12" t="s">
        <v>4545</v>
      </c>
    </row>
    <row r="40" spans="1:4">
      <c r="A40" s="54" t="s">
        <v>4546</v>
      </c>
      <c r="B40" s="12" t="s">
        <v>4547</v>
      </c>
    </row>
    <row r="41" spans="1:4" ht="28.5">
      <c r="A41" s="54" t="s">
        <v>4548</v>
      </c>
      <c r="B41" s="12" t="s">
        <v>4549</v>
      </c>
    </row>
    <row r="42" spans="1:4" ht="28.5">
      <c r="A42" s="54" t="s">
        <v>4331</v>
      </c>
      <c r="B42" s="12" t="s">
        <v>4550</v>
      </c>
    </row>
    <row r="43" spans="1:4">
      <c r="A43" s="54" t="s">
        <v>4551</v>
      </c>
      <c r="B43" s="12" t="s">
        <v>4552</v>
      </c>
    </row>
    <row r="44" spans="1:4">
      <c r="A44" s="54" t="s">
        <v>4553</v>
      </c>
      <c r="B44" s="12" t="s">
        <v>4554</v>
      </c>
    </row>
    <row r="45" spans="1:4" ht="28.5">
      <c r="A45" s="54" t="s">
        <v>4555</v>
      </c>
      <c r="B45" s="12" t="s">
        <v>4556</v>
      </c>
    </row>
    <row r="47" spans="1:4" ht="15.75">
      <c r="A47" s="549" t="s">
        <v>4557</v>
      </c>
      <c r="B47" s="549"/>
      <c r="C47" s="549"/>
      <c r="D47" s="549"/>
    </row>
    <row r="48" spans="1:4" ht="42.75" customHeight="1">
      <c r="A48" s="550" t="s">
        <v>4558</v>
      </c>
      <c r="B48" s="550"/>
      <c r="C48" s="550"/>
      <c r="D48" s="550"/>
    </row>
    <row r="49" spans="1:4" ht="57" customHeight="1">
      <c r="A49" s="551" t="s">
        <v>4559</v>
      </c>
      <c r="B49" s="551"/>
      <c r="C49" s="551"/>
      <c r="D49" s="551"/>
    </row>
    <row r="50" spans="1:4" ht="57" customHeight="1">
      <c r="A50" s="551" t="s">
        <v>4560</v>
      </c>
      <c r="B50" s="551"/>
      <c r="C50" s="551"/>
      <c r="D50" s="551"/>
    </row>
    <row r="51" spans="1:4" ht="42.75" customHeight="1">
      <c r="A51" s="546" t="s">
        <v>4561</v>
      </c>
      <c r="B51" s="546"/>
      <c r="C51" s="546"/>
    </row>
    <row r="52" spans="1:4" ht="28.5" customHeight="1">
      <c r="A52" s="546" t="s">
        <v>4562</v>
      </c>
      <c r="B52" s="546"/>
      <c r="C52" s="546"/>
    </row>
    <row r="53" spans="1:4">
      <c r="A53" s="12"/>
    </row>
  </sheetData>
  <mergeCells count="12">
    <mergeCell ref="A52:C52"/>
    <mergeCell ref="A1:D1"/>
    <mergeCell ref="A2:D2"/>
    <mergeCell ref="A4:D4"/>
    <mergeCell ref="A12:D12"/>
    <mergeCell ref="A26:D26"/>
    <mergeCell ref="A36:D36"/>
    <mergeCell ref="A47:D47"/>
    <mergeCell ref="A48:D48"/>
    <mergeCell ref="A49:D49"/>
    <mergeCell ref="A50:D50"/>
    <mergeCell ref="A51:C5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F6A54-5312-4224-8C70-7C6F4C5A64F4}">
  <sheetPr codeName="Hoja4">
    <tabColor rgb="FFFFFF00"/>
  </sheetPr>
  <dimension ref="A1:V189"/>
  <sheetViews>
    <sheetView showGridLines="0" zoomScale="55" zoomScaleNormal="55" workbookViewId="0">
      <pane ySplit="405" topLeftCell="A2" activePane="bottomLeft"/>
      <selection activeCell="B1" sqref="B1"/>
      <selection pane="bottomLeft" activeCell="E23" sqref="E23"/>
    </sheetView>
    <sheetView topLeftCell="A14" workbookViewId="1">
      <selection activeCell="B22" sqref="B22"/>
    </sheetView>
  </sheetViews>
  <sheetFormatPr baseColWidth="10" defaultColWidth="10" defaultRowHeight="14.25"/>
  <cols>
    <col min="1" max="1" width="22" style="7" bestFit="1" customWidth="1"/>
    <col min="2" max="5" width="18.5" style="7" customWidth="1"/>
    <col min="6" max="6" width="33.375" style="7" customWidth="1"/>
    <col min="7" max="7" width="24" style="7" customWidth="1"/>
    <col min="8" max="9" width="25.125" style="7" customWidth="1"/>
    <col min="10" max="10" width="27.375" style="7" bestFit="1" customWidth="1"/>
    <col min="11" max="11" width="16.125" style="7" customWidth="1"/>
    <col min="12" max="12" width="17.875" style="7" bestFit="1" customWidth="1"/>
    <col min="13" max="17" width="10" style="7"/>
    <col min="18" max="18" width="11.375" style="7" bestFit="1" customWidth="1"/>
    <col min="19" max="16384" width="10" style="7"/>
  </cols>
  <sheetData>
    <row r="1" spans="1:18" ht="21.95" customHeight="1">
      <c r="A1" s="167" t="s">
        <v>0</v>
      </c>
      <c r="B1" s="168"/>
      <c r="C1" s="168"/>
      <c r="D1" s="168"/>
      <c r="E1" s="168"/>
      <c r="F1" s="168"/>
      <c r="G1" s="168"/>
      <c r="H1" s="168"/>
      <c r="I1" s="168"/>
      <c r="J1" s="169"/>
      <c r="K1" s="556" t="s">
        <v>1</v>
      </c>
      <c r="L1" s="557"/>
      <c r="M1" s="10"/>
    </row>
    <row r="2" spans="1:18" ht="18.75" customHeight="1">
      <c r="A2" s="81" t="s">
        <v>2</v>
      </c>
      <c r="B2" s="82"/>
      <c r="C2" s="82"/>
      <c r="D2" s="82"/>
      <c r="E2" s="82"/>
      <c r="F2" s="82"/>
      <c r="G2" s="82"/>
      <c r="H2" s="82"/>
      <c r="I2" s="82"/>
      <c r="J2" s="80"/>
      <c r="K2" s="80"/>
      <c r="L2" s="83"/>
      <c r="M2" s="10"/>
    </row>
    <row r="3" spans="1:18" ht="19.5" customHeight="1" thickBot="1">
      <c r="A3" s="84" t="s">
        <v>3</v>
      </c>
      <c r="B3" s="85"/>
      <c r="C3" s="85"/>
      <c r="D3" s="85"/>
      <c r="E3" s="85"/>
      <c r="F3" s="85"/>
      <c r="G3" s="85"/>
      <c r="H3" s="85"/>
      <c r="I3" s="85"/>
      <c r="J3" s="85"/>
      <c r="K3" s="85"/>
      <c r="L3" s="86"/>
      <c r="M3" s="10"/>
    </row>
    <row r="4" spans="1:18" ht="15.75" customHeight="1" thickBot="1">
      <c r="A4" s="87"/>
      <c r="B4" s="88"/>
      <c r="C4" s="88"/>
      <c r="D4" s="88"/>
      <c r="E4" s="88"/>
      <c r="F4" s="88"/>
      <c r="G4" s="88"/>
      <c r="H4" s="88"/>
      <c r="I4" s="88"/>
      <c r="J4" s="88"/>
      <c r="K4" s="88"/>
      <c r="L4" s="89"/>
    </row>
    <row r="5" spans="1:18" ht="15" customHeight="1" thickBot="1">
      <c r="A5" s="90" t="s">
        <v>4</v>
      </c>
      <c r="B5" s="91"/>
      <c r="C5" s="91"/>
      <c r="D5" s="91"/>
      <c r="E5" s="91"/>
      <c r="F5" s="91"/>
      <c r="G5" s="91"/>
      <c r="H5" s="91"/>
      <c r="I5" s="91"/>
      <c r="J5" s="91"/>
      <c r="K5" s="92"/>
      <c r="L5" s="93"/>
    </row>
    <row r="6" spans="1:18" ht="15">
      <c r="A6" s="87"/>
      <c r="B6" s="88"/>
      <c r="C6" s="88"/>
      <c r="D6" s="88"/>
      <c r="E6" s="88"/>
      <c r="F6" s="88"/>
      <c r="G6" s="88"/>
      <c r="H6" s="88"/>
      <c r="I6" s="88"/>
      <c r="J6" s="88"/>
      <c r="K6" s="88"/>
      <c r="L6" s="94"/>
    </row>
    <row r="7" spans="1:18" ht="15">
      <c r="A7" s="95" t="s">
        <v>5</v>
      </c>
      <c r="B7" s="563" t="s">
        <v>332</v>
      </c>
      <c r="C7" s="563"/>
      <c r="D7" s="88"/>
      <c r="E7" s="96" t="s">
        <v>7</v>
      </c>
      <c r="F7" s="563" t="s">
        <v>478</v>
      </c>
      <c r="G7" s="563"/>
      <c r="H7" s="88"/>
      <c r="I7" s="96" t="s">
        <v>9</v>
      </c>
      <c r="J7" s="97"/>
      <c r="K7" s="97"/>
      <c r="L7" s="452"/>
      <c r="M7" s="652" t="s">
        <v>4652</v>
      </c>
      <c r="N7" s="653"/>
      <c r="O7" s="653"/>
      <c r="P7" s="653"/>
      <c r="Q7" s="653"/>
      <c r="R7" s="654"/>
    </row>
    <row r="8" spans="1:18" ht="15">
      <c r="A8" s="99"/>
      <c r="B8" s="100"/>
      <c r="C8" s="100"/>
      <c r="D8" s="100"/>
      <c r="E8" s="100"/>
      <c r="F8" s="100"/>
      <c r="G8" s="100"/>
      <c r="H8" s="100"/>
      <c r="I8" s="100"/>
      <c r="J8" s="100"/>
      <c r="K8" s="88"/>
      <c r="L8" s="452"/>
      <c r="M8" s="647" t="s">
        <v>4653</v>
      </c>
      <c r="N8" s="454"/>
      <c r="O8" s="454"/>
      <c r="P8" s="648">
        <f>COUNTIFS(Base_datActividades_priorFIN!A17:A1215,A22,Base_datActividades_priorFIN!B17:B1215,B22,Base_datActividades_priorFIN!K17:K1215,"&lt;&gt;")</f>
        <v>54</v>
      </c>
      <c r="Q8" s="454"/>
      <c r="R8" s="651"/>
    </row>
    <row r="9" spans="1:18" ht="15">
      <c r="A9" s="99"/>
      <c r="B9" s="100"/>
      <c r="C9" s="100"/>
      <c r="D9" s="100"/>
      <c r="E9" s="100"/>
      <c r="F9" s="100"/>
      <c r="G9" s="100"/>
      <c r="H9" s="100"/>
      <c r="I9" s="100"/>
      <c r="J9" s="100"/>
      <c r="K9" s="88"/>
      <c r="L9" s="452"/>
      <c r="M9" s="647" t="s">
        <v>4654</v>
      </c>
      <c r="N9" s="454"/>
      <c r="O9" s="454"/>
      <c r="P9" s="648">
        <f>COUNTIFS(Base_datActividades_priorFIN!A17:A1215,A22,Base_datActividades_priorFIN!B17:B1215,B22,Base_datActividades_priorFIN!K17:K1215,"&lt;&gt;",Base_datActividades_priorFIN!N17:N1215,"&gt;0")</f>
        <v>54</v>
      </c>
      <c r="Q9" s="454"/>
      <c r="R9" s="651"/>
    </row>
    <row r="10" spans="1:18" ht="15.75" customHeight="1" thickBot="1">
      <c r="A10" s="101"/>
      <c r="B10" s="102"/>
      <c r="C10" s="102"/>
      <c r="D10" s="102"/>
      <c r="E10" s="102"/>
      <c r="F10" s="102"/>
      <c r="G10" s="102"/>
      <c r="H10" s="102"/>
      <c r="I10" s="102"/>
      <c r="J10" s="102"/>
      <c r="K10" s="88"/>
      <c r="L10" s="452"/>
      <c r="M10" s="647" t="s">
        <v>4655</v>
      </c>
      <c r="N10" s="454"/>
      <c r="O10" s="454"/>
      <c r="P10" s="649">
        <f>IFERROR(P9/P8,0)</f>
        <v>1</v>
      </c>
      <c r="Q10" s="454"/>
      <c r="R10" s="651"/>
    </row>
    <row r="11" spans="1:18" ht="15.75" customHeight="1" thickBot="1">
      <c r="A11" s="103" t="s">
        <v>10</v>
      </c>
      <c r="B11" s="103"/>
      <c r="C11" s="103"/>
      <c r="D11" s="103"/>
      <c r="E11" s="103"/>
      <c r="F11" s="103"/>
      <c r="G11" s="103"/>
      <c r="H11" s="103"/>
      <c r="I11" s="103"/>
      <c r="J11" s="103"/>
      <c r="K11" s="104"/>
      <c r="L11" s="103"/>
      <c r="M11" s="647" t="s">
        <v>4656</v>
      </c>
      <c r="N11" s="655" t="str">
        <f>IF(P8=0,"⚠ Cultivo sin datos",IF(P10&gt;=0.999,"✓ COBERTURA COMPLETA",IF(P10&gt;=0.8,"⚠ Cobertura parcial",IF(P10&gt;0,"✗ Cobertura insuficiente","✗ Sin cobertura en este depto"))))</f>
        <v>✓ COBERTURA COMPLETA</v>
      </c>
      <c r="O11" s="655"/>
      <c r="P11" s="655"/>
      <c r="Q11" s="655"/>
      <c r="R11" s="656"/>
    </row>
    <row r="12" spans="1:18" ht="15.75" customHeight="1" thickBot="1">
      <c r="A12" s="87"/>
      <c r="B12" s="88"/>
      <c r="C12" s="88"/>
      <c r="D12" s="88"/>
      <c r="E12" s="88"/>
      <c r="F12" s="88"/>
      <c r="G12" s="88"/>
      <c r="H12" s="88"/>
      <c r="I12" s="88"/>
      <c r="J12" s="88"/>
      <c r="K12" s="105"/>
      <c r="L12" s="452"/>
      <c r="M12" s="650" t="s">
        <v>4657</v>
      </c>
      <c r="N12" s="657" t="str">
        <f>IF(P8=0,"Verifica cultivo+variedad en A22:B22",IF(P10&gt;=0.999,"Todos los "&amp;P8&amp;" insumos tienen precio en "&amp;B7,IF(P9&gt;0,"Faltan "&amp;(P8-P9)&amp;" de "&amp;P8&amp;" insumos con precio en "&amp;B7,"Ningún insumo tiene precio en "&amp;B7)))</f>
        <v>Todos los 54 insumos tienen precio en CAUCA</v>
      </c>
      <c r="O12" s="657"/>
      <c r="P12" s="657"/>
      <c r="Q12" s="657"/>
      <c r="R12" s="658"/>
    </row>
    <row r="13" spans="1:18" ht="15.75" customHeight="1" thickBot="1">
      <c r="A13" s="106" t="s">
        <v>11</v>
      </c>
      <c r="B13" s="107"/>
      <c r="C13" s="107"/>
      <c r="D13" s="108"/>
      <c r="E13" s="88"/>
      <c r="F13" s="106" t="s">
        <v>12</v>
      </c>
      <c r="G13" s="106"/>
      <c r="H13" s="106"/>
      <c r="I13" s="106"/>
      <c r="J13" s="106"/>
      <c r="K13" s="109"/>
      <c r="L13" s="110"/>
      <c r="M13" s="10"/>
    </row>
    <row r="14" spans="1:18" ht="15">
      <c r="A14" s="99" t="s">
        <v>13</v>
      </c>
      <c r="B14" s="482" t="str">
        <f>VLOOKUP(F7,departamento!$B$2:$E$1123,4,0)</f>
        <v>6,909655</v>
      </c>
      <c r="C14" s="100" t="s">
        <v>14</v>
      </c>
      <c r="D14" s="482" t="str">
        <f>VLOOKUP(F7,departamento!$B$2:$E$1123,3,0)</f>
        <v>-75,077501</v>
      </c>
      <c r="E14" s="100"/>
      <c r="F14" s="100" t="s">
        <v>15</v>
      </c>
      <c r="G14" s="482" t="s">
        <v>16</v>
      </c>
      <c r="H14" s="100" t="s">
        <v>17</v>
      </c>
      <c r="I14" s="111" t="str">
        <f>VLOOKUP(G14,Tabla18[],3,0)</f>
        <v>T°&gt;24</v>
      </c>
      <c r="J14" s="100" t="s">
        <v>18</v>
      </c>
      <c r="K14" s="112" t="str">
        <f>VLOOKUP(G14,Tabla18[],2,0)</f>
        <v>0-1000</v>
      </c>
      <c r="L14" s="113"/>
      <c r="M14" s="10"/>
    </row>
    <row r="15" spans="1:18" ht="15.75" customHeight="1" thickBot="1">
      <c r="A15" s="99"/>
      <c r="B15" s="100"/>
      <c r="C15" s="100"/>
      <c r="D15" s="100"/>
      <c r="E15" s="100"/>
      <c r="F15" s="100"/>
      <c r="G15" s="100"/>
      <c r="H15" s="100"/>
      <c r="I15" s="100"/>
      <c r="J15" s="88"/>
      <c r="K15" s="114"/>
      <c r="L15" s="98"/>
      <c r="M15" s="10"/>
    </row>
    <row r="16" spans="1:18" ht="15.75" customHeight="1" thickBot="1">
      <c r="A16" s="106" t="s">
        <v>19</v>
      </c>
      <c r="B16" s="106"/>
      <c r="C16" s="106"/>
      <c r="D16" s="109"/>
      <c r="E16" s="100"/>
      <c r="F16" s="483" t="s">
        <v>20</v>
      </c>
      <c r="G16" s="116"/>
      <c r="H16" s="115"/>
      <c r="I16" s="116"/>
      <c r="J16" s="115"/>
      <c r="K16" s="117"/>
      <c r="L16" s="118"/>
      <c r="M16" s="10"/>
    </row>
    <row r="17" spans="1:13" ht="15">
      <c r="A17" s="99"/>
      <c r="B17" s="562"/>
      <c r="C17" s="562"/>
      <c r="D17" s="100"/>
      <c r="E17" s="100"/>
      <c r="F17" s="119" t="s">
        <v>21</v>
      </c>
      <c r="G17" s="484">
        <v>25</v>
      </c>
      <c r="H17" s="120" t="s">
        <v>22</v>
      </c>
      <c r="I17" s="482" t="s">
        <v>23</v>
      </c>
      <c r="J17" s="485" t="s">
        <v>24</v>
      </c>
      <c r="K17" s="111"/>
      <c r="L17" s="98"/>
      <c r="M17" s="10"/>
    </row>
    <row r="18" spans="1:13" ht="15.75" customHeight="1" thickBot="1">
      <c r="A18" s="87"/>
      <c r="B18" s="88"/>
      <c r="C18" s="88"/>
      <c r="D18" s="88"/>
      <c r="E18" s="88"/>
      <c r="F18" s="88"/>
      <c r="G18" s="88"/>
      <c r="H18" s="88"/>
      <c r="I18" s="88"/>
      <c r="J18" s="88"/>
      <c r="K18" s="88"/>
      <c r="L18" s="121"/>
      <c r="M18" s="10"/>
    </row>
    <row r="19" spans="1:13" ht="15.75" customHeight="1" thickBot="1">
      <c r="A19" s="122" t="s">
        <v>25</v>
      </c>
      <c r="B19" s="123"/>
      <c r="C19" s="123"/>
      <c r="D19" s="123"/>
      <c r="E19" s="123"/>
      <c r="F19" s="123"/>
      <c r="G19" s="123"/>
      <c r="H19" s="123"/>
      <c r="I19" s="123"/>
      <c r="J19" s="123"/>
      <c r="K19" s="124"/>
      <c r="L19" s="125"/>
      <c r="M19" s="10"/>
    </row>
    <row r="20" spans="1:13" ht="15">
      <c r="A20" s="87"/>
      <c r="B20" s="88"/>
      <c r="C20" s="88"/>
      <c r="D20" s="88"/>
      <c r="E20" s="88"/>
      <c r="F20" s="88"/>
      <c r="G20" s="88"/>
      <c r="H20" s="88"/>
      <c r="I20" s="88"/>
      <c r="J20" s="88"/>
      <c r="K20" s="126"/>
      <c r="L20" s="98"/>
      <c r="M20" s="10"/>
    </row>
    <row r="21" spans="1:13" ht="84" customHeight="1">
      <c r="A21" s="127" t="s">
        <v>26</v>
      </c>
      <c r="B21" s="128" t="s">
        <v>27</v>
      </c>
      <c r="C21" s="128" t="s">
        <v>28</v>
      </c>
      <c r="D21" s="128" t="s">
        <v>29</v>
      </c>
      <c r="E21" s="128" t="s">
        <v>30</v>
      </c>
      <c r="F21" s="128" t="s">
        <v>31</v>
      </c>
      <c r="G21" s="128" t="s">
        <v>32</v>
      </c>
      <c r="H21" s="128" t="s">
        <v>33</v>
      </c>
      <c r="I21" s="128" t="s">
        <v>34</v>
      </c>
      <c r="J21" s="129" t="s">
        <v>35</v>
      </c>
      <c r="K21" s="558" t="s">
        <v>36</v>
      </c>
      <c r="L21" s="559"/>
      <c r="M21" s="10"/>
    </row>
    <row r="22" spans="1:13" ht="47.25" customHeight="1">
      <c r="A22" s="486" t="s">
        <v>306</v>
      </c>
      <c r="B22" s="487" t="s">
        <v>307</v>
      </c>
      <c r="C22" s="487" t="s">
        <v>39</v>
      </c>
      <c r="D22" s="487" t="s">
        <v>40</v>
      </c>
      <c r="E22" s="487">
        <v>6</v>
      </c>
      <c r="F22" s="487" t="s">
        <v>4584</v>
      </c>
      <c r="G22" s="488" cm="1">
        <f t="array" ref="G22">IFERROR(_xlfn.LET(_xlpm.dato, _xlfn.XLOOKUP(1,(PERITO!A2:A20=A22)*(PERITO!B2:B20=B22),PERITO!C2:C20),IF(_xlpm.dato&lt;&gt;"",_xlpm.dato,_xlfn.XLOOKUP(1,(Caracteristicas_agronomicas!A2:A20=A22)*(Caracteristicas_agronomicas!B2:B20=B22),Caracteristicas_agronomicas!H2:H20))),_xlfn.XLOOKUP(1,(Caracteristicas_agronomicas!A2:A20=A22)*(Caracteristicas_agronomicas!B2:B20=B22),Caracteristicas_agronomicas!H2:H20))</f>
        <v>3</v>
      </c>
      <c r="H22" s="488" cm="1">
        <f t="array" ref="H22">IFERROR(_xlfn.LET(_xlpm.dato, _xlfn.XLOOKUP(1,(PERITO!A2:A20=A22)*(PERITO!B2:B20=B22),PERITO!D2:D20),IF(_xlpm.dato&lt;&gt;"", _xlpm.dato,_xlfn.XLOOKUP(1,(Caracteristicas_agronomicas!A2:A20=A22)*(Caracteristicas_agronomicas!B2:B20=B22),Caracteristicas_agronomicas!I2:I20))),_xlfn.XLOOKUP(1,(Caracteristicas_agronomicas!A2:A20=A22)*(Caracteristicas_agronomicas!B2:B20=B22),Caracteristicas_agronomicas!I2:I20))</f>
        <v>2.5</v>
      </c>
      <c r="I22" s="489" cm="1">
        <f t="array" ref="I22">IFERROR(IF(INDEX(PERITO!E:E,MATCH(1,(PERITO!A:A=A22)*(PERITO!B:B=B22),0))&lt;&gt;"",INDEX(PERITO!E:E,MATCH(1,(PERITO!A:A=A22)*(PERITO!B:B=B22),0)),ROUND(IF(H23="tres bolillo",10000/(G22*H22*0.866),IF(H23="cuadro",10000/(G22*H22),"")),0)),ROUND(IF(H23="tres bolillo",10000/(G22*H22*0.866),IF(H23="cuadro",10000/(G22*H22),"")),0))</f>
        <v>1540</v>
      </c>
      <c r="J22" s="485">
        <v>1</v>
      </c>
      <c r="K22" s="560"/>
      <c r="L22" s="561"/>
    </row>
    <row r="23" spans="1:13" ht="47.25" customHeight="1">
      <c r="A23" s="132" t="s">
        <v>42</v>
      </c>
      <c r="B23" s="133" t="s">
        <v>3683</v>
      </c>
      <c r="C23" s="128" t="s">
        <v>43</v>
      </c>
      <c r="D23" s="120" t="s">
        <v>44</v>
      </c>
      <c r="E23" s="134" t="s">
        <v>45</v>
      </c>
      <c r="F23" s="485">
        <v>1200</v>
      </c>
      <c r="G23" s="128" t="s">
        <v>46</v>
      </c>
      <c r="H23" s="490" t="s">
        <v>3658</v>
      </c>
      <c r="I23" s="128" t="s">
        <v>48</v>
      </c>
      <c r="J23" s="492">
        <v>500000</v>
      </c>
      <c r="K23" s="493" t="s">
        <v>49</v>
      </c>
      <c r="L23" s="137"/>
      <c r="M23" s="10"/>
    </row>
    <row r="24" spans="1:13" ht="47.25" customHeight="1">
      <c r="A24" s="132" t="s">
        <v>4442</v>
      </c>
      <c r="B24" s="517" cm="1">
        <f t="array" ref="B24">IFERROR(_xlfn.SWITCH(UPPER(TRIM(F22)),"BUENO",0.95,"BUENA",0.95,"ACEPTABLE",0.7,"REGULAR",0.475,"MALO",0.2,"MALA",0.2,""),"")</f>
        <v>0.95</v>
      </c>
      <c r="C24" s="131" t="s">
        <v>4455</v>
      </c>
      <c r="D24" s="491">
        <v>30000000</v>
      </c>
      <c r="E24" s="138"/>
      <c r="F24" s="100"/>
      <c r="G24" s="139"/>
      <c r="H24" s="96"/>
      <c r="I24" s="139"/>
      <c r="J24" s="96"/>
      <c r="K24" s="140"/>
      <c r="L24" s="98"/>
      <c r="M24" s="10"/>
    </row>
    <row r="25" spans="1:13" ht="47.25" customHeight="1">
      <c r="A25" s="79"/>
      <c r="B25" s="88"/>
      <c r="C25" s="96"/>
      <c r="D25" s="100"/>
      <c r="E25" s="141"/>
      <c r="F25" s="100"/>
      <c r="G25" s="139"/>
      <c r="H25" s="96"/>
      <c r="I25" s="139"/>
      <c r="J25" s="96"/>
      <c r="K25" s="96"/>
      <c r="L25" s="98"/>
      <c r="M25" s="10"/>
    </row>
    <row r="26" spans="1:13" ht="15.75" customHeight="1" thickBot="1">
      <c r="A26" s="142" t="s">
        <v>50</v>
      </c>
      <c r="B26" s="143"/>
      <c r="C26" s="143"/>
      <c r="D26" s="143"/>
      <c r="E26" s="143"/>
      <c r="F26" s="143"/>
      <c r="G26" s="143"/>
      <c r="H26" s="143"/>
      <c r="I26" s="143"/>
      <c r="J26" s="143"/>
      <c r="K26" s="144"/>
      <c r="L26" s="145"/>
      <c r="M26" s="10"/>
    </row>
    <row r="27" spans="1:13" ht="15">
      <c r="A27" s="87"/>
      <c r="B27" s="88"/>
      <c r="C27" s="88"/>
      <c r="D27" s="88"/>
      <c r="E27" s="88"/>
      <c r="F27" s="88"/>
      <c r="G27" s="88"/>
      <c r="H27" s="88"/>
      <c r="I27" s="88"/>
      <c r="J27" s="88"/>
      <c r="K27" s="88"/>
      <c r="L27" s="98"/>
      <c r="M27" s="10"/>
    </row>
    <row r="28" spans="1:13" ht="15">
      <c r="A28" s="146" t="s">
        <v>51</v>
      </c>
      <c r="B28" s="147" t="str">
        <f>CONCATENATE(A22," ",B22)</f>
        <v>Plátano Domínico hartón</v>
      </c>
      <c r="C28" s="100"/>
      <c r="D28" s="88"/>
      <c r="E28" s="146" t="s">
        <v>52</v>
      </c>
      <c r="F28" s="494" t="s">
        <v>53</v>
      </c>
      <c r="G28" s="88"/>
      <c r="H28" s="148" t="s">
        <v>54</v>
      </c>
      <c r="I28" s="120">
        <f>_xlfn.XLOOKUP(B28,Caracteristicas_agronomicas!$C$2:$C$17,Caracteristicas_agronomicas!$E$2:$E$17,0)</f>
        <v>5</v>
      </c>
      <c r="J28" s="149" t="s">
        <v>55</v>
      </c>
      <c r="K28" s="490">
        <v>4000</v>
      </c>
      <c r="L28" s="98"/>
      <c r="M28" s="10"/>
    </row>
    <row r="29" spans="1:13" ht="15">
      <c r="A29" s="99"/>
      <c r="B29" s="100"/>
      <c r="C29" s="100"/>
      <c r="D29" s="88"/>
      <c r="E29" s="100"/>
      <c r="F29" s="88"/>
      <c r="G29" s="88"/>
      <c r="H29" s="148" t="s">
        <v>56</v>
      </c>
      <c r="I29" s="120">
        <f>I28-E22</f>
        <v>-1</v>
      </c>
      <c r="J29" s="88"/>
      <c r="K29" s="88"/>
      <c r="L29" s="98"/>
      <c r="M29" s="10"/>
    </row>
    <row r="30" spans="1:13" ht="15.75" customHeight="1" thickBot="1">
      <c r="A30" s="87"/>
      <c r="B30" s="88"/>
      <c r="C30" s="88"/>
      <c r="D30" s="88"/>
      <c r="E30" s="88"/>
      <c r="F30" s="88"/>
      <c r="G30" s="88"/>
      <c r="H30" s="88"/>
      <c r="I30" s="88"/>
      <c r="J30" s="88"/>
      <c r="K30" s="88"/>
      <c r="L30" s="98"/>
      <c r="M30" s="10"/>
    </row>
    <row r="31" spans="1:13" ht="15">
      <c r="A31" s="564" t="s">
        <v>57</v>
      </c>
      <c r="B31" s="565"/>
      <c r="C31" s="566" t="s">
        <v>58</v>
      </c>
      <c r="D31" s="565"/>
      <c r="E31" s="566" t="s">
        <v>59</v>
      </c>
      <c r="F31" s="565"/>
      <c r="G31" s="566" t="s">
        <v>60</v>
      </c>
      <c r="H31" s="565"/>
      <c r="I31" s="565"/>
      <c r="J31" s="565"/>
      <c r="K31" s="565"/>
      <c r="L31" s="553" t="s">
        <v>61</v>
      </c>
      <c r="M31" s="10"/>
    </row>
    <row r="32" spans="1:13" ht="15.75" customHeight="1" thickBot="1">
      <c r="A32" s="150" t="s">
        <v>62</v>
      </c>
      <c r="B32" s="151" t="s">
        <v>63</v>
      </c>
      <c r="C32" s="151" t="s">
        <v>62</v>
      </c>
      <c r="D32" s="151" t="s">
        <v>63</v>
      </c>
      <c r="E32" s="151" t="s">
        <v>62</v>
      </c>
      <c r="F32" s="151" t="s">
        <v>63</v>
      </c>
      <c r="G32" s="151" t="s">
        <v>15</v>
      </c>
      <c r="H32" s="151" t="s">
        <v>63</v>
      </c>
      <c r="I32" s="151" t="s">
        <v>64</v>
      </c>
      <c r="J32" s="151" t="s">
        <v>65</v>
      </c>
      <c r="K32" s="151" t="s">
        <v>66</v>
      </c>
      <c r="L32" s="554"/>
    </row>
    <row r="33" spans="1:12" ht="15">
      <c r="A33" s="88" t="str" cm="1">
        <f t="array" ref="A33:L58">_xlfn._xlws.FILTER(Base_datActividades_priorFIN!D17:O1145, (Base_datActividades_priorFIN!P17:P1145=Formulario!B28) * (Base_datActividades_priorFIN!C17:C1145=Formulario!F28), "no corresponde")</f>
        <v>1.</v>
      </c>
      <c r="B33" s="88" t="str">
        <v>Labores</v>
      </c>
      <c r="C33" s="88" t="str">
        <v>1.3.</v>
      </c>
      <c r="D33" s="88" t="str">
        <v>Preparacion de Tierras</v>
      </c>
      <c r="E33" s="88" t="str">
        <v>1.3.10.</v>
      </c>
      <c r="F33" s="88" t="str">
        <v>Trazado y Hoyado</v>
      </c>
      <c r="G33" s="88" t="str">
        <v>Varios</v>
      </c>
      <c r="H33" s="88" t="str">
        <v>Mano de Obra</v>
      </c>
      <c r="I33" s="88" t="str">
        <v>Jornal</v>
      </c>
      <c r="J33" s="88">
        <v>26</v>
      </c>
      <c r="K33" s="643">
        <v>46666.666666666664</v>
      </c>
      <c r="L33" s="153">
        <v>1213333.3333333333</v>
      </c>
    </row>
    <row r="34" spans="1:12" ht="15">
      <c r="A34" s="88" t="str">
        <v>1.</v>
      </c>
      <c r="B34" s="88" t="str">
        <v>Labores</v>
      </c>
      <c r="C34" s="88" t="str">
        <v>1.3.</v>
      </c>
      <c r="D34" s="88" t="str">
        <v>Preparacion de Tierras</v>
      </c>
      <c r="E34" s="88" t="str">
        <v>1.3.12.</v>
      </c>
      <c r="F34" s="88" t="str">
        <v>Otras</v>
      </c>
      <c r="G34" s="88" t="str">
        <v>Varios</v>
      </c>
      <c r="H34" s="88" t="str">
        <v>Mano de Obra</v>
      </c>
      <c r="I34" s="88" t="str">
        <v>Jornal</v>
      </c>
      <c r="J34" s="88">
        <v>3</v>
      </c>
      <c r="K34" s="643">
        <v>46666.666666666664</v>
      </c>
      <c r="L34" s="153">
        <v>140000</v>
      </c>
    </row>
    <row r="35" spans="1:12" ht="15">
      <c r="A35" s="88" t="str">
        <v>1.</v>
      </c>
      <c r="B35" s="88" t="str">
        <v>Labores</v>
      </c>
      <c r="C35" s="88" t="str">
        <v>1.4.</v>
      </c>
      <c r="D35" s="88" t="str">
        <v>Siembra y Sostenimiento</v>
      </c>
      <c r="E35" s="88" t="str">
        <v>1.4.6.</v>
      </c>
      <c r="F35" s="88" t="str">
        <v>Plateo</v>
      </c>
      <c r="G35" s="88" t="str">
        <v>Varios</v>
      </c>
      <c r="H35" s="88" t="str">
        <v>Mano de Obra</v>
      </c>
      <c r="I35" s="88" t="str">
        <v>Jornal</v>
      </c>
      <c r="J35" s="88">
        <v>17</v>
      </c>
      <c r="K35" s="643">
        <v>46666.666666666664</v>
      </c>
      <c r="L35" s="153">
        <v>793333.33333333326</v>
      </c>
    </row>
    <row r="36" spans="1:12" ht="15">
      <c r="A36" s="88" t="str">
        <v>1.</v>
      </c>
      <c r="B36" s="88" t="str">
        <v>Labores</v>
      </c>
      <c r="C36" s="88" t="str">
        <v>1.4.</v>
      </c>
      <c r="D36" s="88" t="str">
        <v>Siembra y Sostenimiento</v>
      </c>
      <c r="E36" s="88" t="str">
        <v>1.4.7.</v>
      </c>
      <c r="F36" s="88" t="str">
        <v>Resiembra</v>
      </c>
      <c r="G36" s="88" t="str">
        <v>Varios</v>
      </c>
      <c r="H36" s="88" t="str">
        <v>Mano de Obra</v>
      </c>
      <c r="I36" s="88" t="str">
        <v>Jornal</v>
      </c>
      <c r="J36" s="88">
        <v>21</v>
      </c>
      <c r="K36" s="643">
        <v>46666.666666666664</v>
      </c>
      <c r="L36" s="153">
        <v>980000</v>
      </c>
    </row>
    <row r="37" spans="1:12" ht="15">
      <c r="A37" s="88" t="str">
        <v>1.</v>
      </c>
      <c r="B37" s="88" t="str">
        <v>Labores</v>
      </c>
      <c r="C37" s="88" t="str">
        <v>1.4.</v>
      </c>
      <c r="D37" s="88" t="str">
        <v>Siembra y Sostenimiento</v>
      </c>
      <c r="E37" s="88" t="str">
        <v>1.4.8.</v>
      </c>
      <c r="F37" s="88" t="str">
        <v>Siembra Abonamiento y Tapada</v>
      </c>
      <c r="G37" s="88" t="str">
        <v>Varios</v>
      </c>
      <c r="H37" s="88" t="str">
        <v>Mano de Obra</v>
      </c>
      <c r="I37" s="88" t="str">
        <v>Jornal</v>
      </c>
      <c r="J37" s="7">
        <v>21</v>
      </c>
      <c r="K37" s="643">
        <v>46666.666666666664</v>
      </c>
      <c r="L37" s="153">
        <v>980000</v>
      </c>
    </row>
    <row r="38" spans="1:12" ht="15">
      <c r="A38" s="88" t="str">
        <v>1.</v>
      </c>
      <c r="B38" s="88" t="str">
        <v>Labores</v>
      </c>
      <c r="C38" s="88" t="str">
        <v>1.5.</v>
      </c>
      <c r="D38" s="88" t="str">
        <v>Labores Culturales</v>
      </c>
      <c r="E38" s="88" t="str">
        <v>1.5.6.</v>
      </c>
      <c r="F38" s="88" t="str">
        <v>Deshije y Destronque</v>
      </c>
      <c r="G38" s="88" t="str">
        <v>Varios</v>
      </c>
      <c r="H38" s="88" t="str">
        <v>Mano de Obra</v>
      </c>
      <c r="I38" s="88" t="str">
        <v>Jornal</v>
      </c>
      <c r="J38" s="88">
        <v>17</v>
      </c>
      <c r="K38" s="643">
        <v>46666.666666666664</v>
      </c>
      <c r="L38" s="153">
        <v>793333.33333333326</v>
      </c>
    </row>
    <row r="39" spans="1:12" ht="15">
      <c r="A39" s="88" t="str">
        <v>1.</v>
      </c>
      <c r="B39" s="88" t="str">
        <v>Labores</v>
      </c>
      <c r="C39" s="88" t="str">
        <v>1.6.</v>
      </c>
      <c r="D39" s="88" t="str">
        <v>Control Sanitario</v>
      </c>
      <c r="E39" s="88" t="str">
        <v>1.6.1.</v>
      </c>
      <c r="F39" s="88" t="str">
        <v>Aplicación de Fungicidas</v>
      </c>
      <c r="G39" s="88" t="str">
        <v>Varios</v>
      </c>
      <c r="H39" s="88" t="str">
        <v>Mano de Obra</v>
      </c>
      <c r="I39" s="88" t="str">
        <v>Jornal</v>
      </c>
      <c r="J39" s="88">
        <v>19</v>
      </c>
      <c r="K39" s="643">
        <v>46666.666666666664</v>
      </c>
      <c r="L39" s="153">
        <v>886666.66666666663</v>
      </c>
    </row>
    <row r="40" spans="1:12" ht="15">
      <c r="A40" s="88" t="str">
        <v>1.</v>
      </c>
      <c r="B40" s="88" t="str">
        <v>Labores</v>
      </c>
      <c r="C40" s="88" t="str">
        <v>1.6.</v>
      </c>
      <c r="D40" s="88" t="str">
        <v>Control Sanitario</v>
      </c>
      <c r="E40" s="88" t="str">
        <v>1.6.2.</v>
      </c>
      <c r="F40" s="88" t="str">
        <v>Aplicación de Insecticidas</v>
      </c>
      <c r="G40" s="88" t="str">
        <v>Varios</v>
      </c>
      <c r="H40" s="88" t="str">
        <v>Mano de Obra</v>
      </c>
      <c r="I40" s="88" t="str">
        <v>Jornal</v>
      </c>
      <c r="J40" s="88">
        <v>19</v>
      </c>
      <c r="K40" s="643">
        <v>46666.666666666664</v>
      </c>
      <c r="L40" s="153">
        <v>886666.66666666663</v>
      </c>
    </row>
    <row r="41" spans="1:12" ht="15">
      <c r="A41" s="88" t="str">
        <v>1.</v>
      </c>
      <c r="B41" s="88" t="str">
        <v>Labores</v>
      </c>
      <c r="C41" s="88" t="str">
        <v>1.7.</v>
      </c>
      <c r="D41" s="88" t="str">
        <v>Control de Malezas</v>
      </c>
      <c r="E41" s="88" t="str">
        <v>1.7.1.</v>
      </c>
      <c r="F41" s="88" t="str">
        <v>Aplicación de Herbicidas Preemergentes</v>
      </c>
      <c r="G41" s="88" t="str">
        <v>Varios</v>
      </c>
      <c r="H41" s="88" t="str">
        <v>Mano de Obra</v>
      </c>
      <c r="I41" s="88" t="str">
        <v>Jornal</v>
      </c>
      <c r="J41" s="88">
        <v>10</v>
      </c>
      <c r="K41" s="643">
        <v>46666.666666666664</v>
      </c>
      <c r="L41" s="153">
        <v>466666.66666666663</v>
      </c>
    </row>
    <row r="42" spans="1:12" ht="15">
      <c r="A42" s="88" t="str">
        <v>1.</v>
      </c>
      <c r="B42" s="88" t="str">
        <v>Labores</v>
      </c>
      <c r="C42" s="88" t="str">
        <v>1.8.</v>
      </c>
      <c r="D42" s="88" t="str">
        <v>Fertilizacion</v>
      </c>
      <c r="E42" s="88" t="str">
        <v>1.8.2.</v>
      </c>
      <c r="F42" s="88" t="str">
        <v>Fertilizante Simple</v>
      </c>
      <c r="G42" s="88" t="str">
        <v>Varios</v>
      </c>
      <c r="H42" s="88" t="str">
        <v>Mano de Obra</v>
      </c>
      <c r="I42" s="88" t="str">
        <v>Jornal</v>
      </c>
      <c r="J42" s="88">
        <v>13</v>
      </c>
      <c r="K42" s="643">
        <v>46666.666666666664</v>
      </c>
      <c r="L42" s="153">
        <v>606666.66666666663</v>
      </c>
    </row>
    <row r="43" spans="1:12" ht="15">
      <c r="A43" s="88" t="str">
        <v>2.</v>
      </c>
      <c r="B43" s="88" t="str">
        <v>Insumos</v>
      </c>
      <c r="C43" s="88" t="str">
        <v>2.1.</v>
      </c>
      <c r="D43" s="88" t="str">
        <v>Material Vegetal</v>
      </c>
      <c r="E43" s="88" t="str">
        <v>2.1.1.</v>
      </c>
      <c r="F43" s="88" t="str">
        <v>Semillas o Plantulas</v>
      </c>
      <c r="G43" s="88" t="str">
        <v>Material_de_propagación</v>
      </c>
      <c r="H43" s="88" t="str">
        <v>Plátano domínico hartón colino</v>
      </c>
      <c r="I43" s="88" t="str">
        <v>unidad</v>
      </c>
      <c r="J43" s="88">
        <v>1540</v>
      </c>
      <c r="K43" s="643">
        <v>3000</v>
      </c>
      <c r="L43" s="153">
        <v>4620000</v>
      </c>
    </row>
    <row r="44" spans="1:12" ht="15">
      <c r="A44" s="88" t="str">
        <v>2.</v>
      </c>
      <c r="B44" s="88" t="str">
        <v>Insumos</v>
      </c>
      <c r="C44" s="88" t="str">
        <v>2.2.</v>
      </c>
      <c r="D44" s="88" t="str">
        <v>Fertilizacion</v>
      </c>
      <c r="E44" s="88" t="str">
        <v>2.2.1.</v>
      </c>
      <c r="F44" s="88" t="str">
        <v>Simples</v>
      </c>
      <c r="G44" s="88" t="str">
        <v>Fertilizantes_enmiendas_y_acondicionadores_de_suelo</v>
      </c>
      <c r="H44" s="88" t="str">
        <v>Cloruro de Potasio 0-0-60</v>
      </c>
      <c r="I44" s="88" t="str">
        <v>50 kilogramos</v>
      </c>
      <c r="J44" s="88">
        <v>11</v>
      </c>
      <c r="K44" s="643">
        <v>110000</v>
      </c>
      <c r="L44" s="153">
        <v>1210000</v>
      </c>
    </row>
    <row r="45" spans="1:12" ht="15">
      <c r="A45" s="88" t="str">
        <v>2.</v>
      </c>
      <c r="B45" s="88" t="str">
        <v>Insumos</v>
      </c>
      <c r="C45" s="88" t="str">
        <v>2.2.</v>
      </c>
      <c r="D45" s="88" t="str">
        <v>Fertilizacion</v>
      </c>
      <c r="E45" s="88" t="str">
        <v>2.2.2.</v>
      </c>
      <c r="F45" s="88" t="str">
        <v>compuestos</v>
      </c>
      <c r="G45" s="88" t="str">
        <v>Fertilizantes_enmiendas_y_acondicionadores_de_suelo</v>
      </c>
      <c r="H45" s="88" t="str">
        <v>Fosfato Diamónico (DAP) 18-46-0</v>
      </c>
      <c r="I45" s="88" t="str">
        <v>50 kilogramos</v>
      </c>
      <c r="J45" s="88">
        <v>2</v>
      </c>
      <c r="K45" s="643">
        <v>198055.68333333</v>
      </c>
      <c r="L45" s="153">
        <v>396111.36666666</v>
      </c>
    </row>
    <row r="46" spans="1:12" ht="15">
      <c r="A46" s="88" t="str">
        <v>2.</v>
      </c>
      <c r="B46" s="88" t="str">
        <v>Insumos</v>
      </c>
      <c r="C46" s="88" t="str">
        <v>2.2.</v>
      </c>
      <c r="D46" s="88" t="str">
        <v>Fertilizacion</v>
      </c>
      <c r="E46" s="88" t="str">
        <v>2.2.4.</v>
      </c>
      <c r="F46" s="88" t="str">
        <v>Correctivos</v>
      </c>
      <c r="G46" s="88" t="str">
        <v>Fertilizantes_enmiendas_y_acondicionadores_de_suelo</v>
      </c>
      <c r="H46" s="88" t="str">
        <v>Cal dolomita</v>
      </c>
      <c r="I46" s="88" t="str">
        <v>50 kilogramos</v>
      </c>
      <c r="J46" s="88">
        <v>14</v>
      </c>
      <c r="K46" s="643">
        <v>17212.5</v>
      </c>
      <c r="L46" s="153">
        <v>240975</v>
      </c>
    </row>
    <row r="47" spans="1:12" ht="15">
      <c r="A47" s="88" t="str">
        <v>2.</v>
      </c>
      <c r="B47" s="88" t="str">
        <v>Insumos</v>
      </c>
      <c r="C47" s="88" t="str">
        <v>2.2.</v>
      </c>
      <c r="D47" s="88" t="str">
        <v>Fertilizacion</v>
      </c>
      <c r="E47" s="88" t="str">
        <v>2.2.6.</v>
      </c>
      <c r="F47" s="88" t="str">
        <v>Foliares</v>
      </c>
      <c r="G47" s="88" t="str">
        <v>Fertilizantes_enmiendas_y_acondicionadores_de_suelo</v>
      </c>
      <c r="H47" s="88" t="str">
        <v>Nutrifoliar Completo</v>
      </c>
      <c r="I47" s="88" t="str">
        <v>1 litro</v>
      </c>
      <c r="J47" s="88">
        <v>9</v>
      </c>
      <c r="K47" s="643">
        <v>26190.48</v>
      </c>
      <c r="L47" s="153">
        <v>235714.32</v>
      </c>
    </row>
    <row r="48" spans="1:12" ht="15">
      <c r="A48" s="88" t="str">
        <v>2.</v>
      </c>
      <c r="B48" s="88" t="str">
        <v>Insumos</v>
      </c>
      <c r="C48" s="88" t="str">
        <v>2.2.</v>
      </c>
      <c r="D48" s="88" t="str">
        <v>Fertilizacion</v>
      </c>
      <c r="E48" s="88" t="str">
        <v>2.2.7.</v>
      </c>
      <c r="F48" s="88" t="str">
        <v>Menores</v>
      </c>
      <c r="G48" s="88" t="str">
        <v>Fertilizantes_enmiendas_y_acondicionadores_de_suelo</v>
      </c>
      <c r="H48" s="88" t="str">
        <v>Agrimins 8-5-0-6</v>
      </c>
      <c r="I48" s="88" t="str">
        <v>46 kilogramos</v>
      </c>
      <c r="J48" s="88">
        <v>2</v>
      </c>
      <c r="K48" s="643">
        <v>128084.44444445</v>
      </c>
      <c r="L48" s="153">
        <v>256168.88888889999</v>
      </c>
    </row>
    <row r="49" spans="1:12" ht="15">
      <c r="A49" s="88" t="str">
        <v>2.</v>
      </c>
      <c r="B49" s="88" t="str">
        <v>Insumos</v>
      </c>
      <c r="C49" s="88" t="str">
        <v>2.2.</v>
      </c>
      <c r="D49" s="88" t="str">
        <v>Fertilizacion</v>
      </c>
      <c r="E49" s="88" t="str">
        <v>2.2.8.</v>
      </c>
      <c r="F49" s="88" t="str">
        <v>Simples</v>
      </c>
      <c r="G49" s="88" t="str">
        <v>Fertilizantes_enmiendas_y_acondicionadores_de_suelo</v>
      </c>
      <c r="H49" s="88" t="str">
        <v>Urea 46%</v>
      </c>
      <c r="I49" s="88" t="str">
        <v>50 kilogramos</v>
      </c>
      <c r="J49" s="88">
        <v>12</v>
      </c>
      <c r="K49" s="643">
        <v>125849.2424242409</v>
      </c>
      <c r="L49" s="153">
        <v>1510190.9090908908</v>
      </c>
    </row>
    <row r="50" spans="1:12" ht="15">
      <c r="A50" s="88" t="str">
        <v>2.</v>
      </c>
      <c r="B50" s="88" t="str">
        <v>Insumos</v>
      </c>
      <c r="C50" s="88" t="str">
        <v>2.3.</v>
      </c>
      <c r="D50" s="88" t="str">
        <v>Control Sanitario</v>
      </c>
      <c r="E50" s="88" t="str">
        <v>2.3.3.</v>
      </c>
      <c r="F50" s="88" t="str">
        <v>Fungicida</v>
      </c>
      <c r="G50" s="88" t="str">
        <v>Fungicidas</v>
      </c>
      <c r="H50" s="88" t="str">
        <v>Siganex 60 Sc</v>
      </c>
      <c r="I50" s="88" t="str">
        <v>0,5 litro</v>
      </c>
      <c r="J50" s="88">
        <v>5</v>
      </c>
      <c r="K50" s="643">
        <v>78080.853020496768</v>
      </c>
      <c r="L50" s="153">
        <v>390404.26510248386</v>
      </c>
    </row>
    <row r="51" spans="1:12" ht="15">
      <c r="A51" s="88" t="str">
        <v>2.</v>
      </c>
      <c r="B51" s="88" t="str">
        <v>Insumos</v>
      </c>
      <c r="C51" s="88" t="str">
        <v>2.3.</v>
      </c>
      <c r="D51" s="88" t="str">
        <v>Control Sanitario</v>
      </c>
      <c r="E51" s="88" t="str">
        <v>2.3.3.</v>
      </c>
      <c r="F51" s="88" t="str">
        <v>Fungicida</v>
      </c>
      <c r="G51" s="88" t="str">
        <v>Fungicidas</v>
      </c>
      <c r="H51" s="88" t="str">
        <v>Daconil 720 Sc</v>
      </c>
      <c r="I51" s="88" t="str">
        <v>1 litro</v>
      </c>
      <c r="J51" s="88">
        <v>9</v>
      </c>
      <c r="K51" s="643">
        <v>45987.3</v>
      </c>
      <c r="L51" s="153">
        <v>413885.7</v>
      </c>
    </row>
    <row r="52" spans="1:12" ht="15">
      <c r="A52" s="88" t="str">
        <v>2.</v>
      </c>
      <c r="B52" s="88" t="str">
        <v>Insumos</v>
      </c>
      <c r="C52" s="88" t="str">
        <v>2.3.</v>
      </c>
      <c r="D52" s="88" t="str">
        <v>Control Sanitario</v>
      </c>
      <c r="E52" s="88" t="str">
        <v>2.3.4.</v>
      </c>
      <c r="F52" s="88" t="str">
        <v>Herbicida</v>
      </c>
      <c r="G52" s="88" t="str">
        <v>Herbicidas</v>
      </c>
      <c r="H52" s="88" t="str">
        <v>Roundup Activo</v>
      </c>
      <c r="I52" s="88" t="str">
        <v>1 litro</v>
      </c>
      <c r="J52" s="88">
        <v>16</v>
      </c>
      <c r="K52" s="643">
        <v>23177.15</v>
      </c>
      <c r="L52" s="153">
        <v>370834.4</v>
      </c>
    </row>
    <row r="53" spans="1:12" ht="15">
      <c r="A53" s="88" t="str">
        <v>2.</v>
      </c>
      <c r="B53" s="88" t="str">
        <v>Insumos</v>
      </c>
      <c r="C53" s="88" t="str">
        <v>2.3.</v>
      </c>
      <c r="D53" s="88" t="str">
        <v>Control Sanitario</v>
      </c>
      <c r="E53" s="88" t="str">
        <v>2.3.5.</v>
      </c>
      <c r="F53" s="88" t="str">
        <v>Insecticida</v>
      </c>
      <c r="G53" s="88" t="str">
        <v>Insecticidas_acaricidas_y_nematicidas</v>
      </c>
      <c r="H53" s="88" t="str">
        <v>Karate Zeon</v>
      </c>
      <c r="I53" s="88" t="str">
        <v>1 litro</v>
      </c>
      <c r="J53" s="88">
        <v>6</v>
      </c>
      <c r="K53" s="643">
        <v>146171.37</v>
      </c>
      <c r="L53" s="153">
        <v>877028.22</v>
      </c>
    </row>
    <row r="54" spans="1:12" ht="15">
      <c r="A54" s="88" t="str">
        <v>2.</v>
      </c>
      <c r="B54" s="88" t="str">
        <v>Insumos</v>
      </c>
      <c r="C54" s="88" t="str">
        <v>2.3.</v>
      </c>
      <c r="D54" s="88" t="str">
        <v>Control Sanitario</v>
      </c>
      <c r="E54" s="88" t="str">
        <v>2.3.5.</v>
      </c>
      <c r="F54" s="88" t="str">
        <v>Insecticida</v>
      </c>
      <c r="G54" s="88" t="str">
        <v>Insecticidas_acaricidas_y_nematicidas</v>
      </c>
      <c r="H54" s="88" t="str">
        <v>Nilo 300 Sc</v>
      </c>
      <c r="I54" s="88" t="str">
        <v>1 litro</v>
      </c>
      <c r="J54" s="88">
        <v>6</v>
      </c>
      <c r="K54" s="643">
        <v>149375.29999999999</v>
      </c>
      <c r="L54" s="153">
        <v>896251.79999999993</v>
      </c>
    </row>
    <row r="55" spans="1:12" ht="15">
      <c r="A55" s="88" t="str">
        <v>2.</v>
      </c>
      <c r="B55" s="88" t="str">
        <v>Insumos</v>
      </c>
      <c r="C55" s="88" t="str">
        <v>2.7.</v>
      </c>
      <c r="D55" s="88" t="str">
        <v>Analisis Laboratorio</v>
      </c>
      <c r="E55" s="88" t="str">
        <v>2.7.2.</v>
      </c>
      <c r="F55" s="88" t="str">
        <v>Analisis de Suelos</v>
      </c>
      <c r="G55" s="88" t="str">
        <v>Varios</v>
      </c>
      <c r="H55" s="88" t="str">
        <v>Analisis completo de suelos</v>
      </c>
      <c r="I55" s="88" t="str">
        <v>héctarea</v>
      </c>
      <c r="J55" s="88">
        <v>0.1</v>
      </c>
      <c r="K55" s="643">
        <v>175000</v>
      </c>
      <c r="L55" s="153">
        <v>17500</v>
      </c>
    </row>
    <row r="56" spans="1:12" ht="15">
      <c r="A56" s="88" t="str">
        <v>3.</v>
      </c>
      <c r="B56" s="88" t="str">
        <v>Otros Costos</v>
      </c>
      <c r="C56" s="88" t="str">
        <v>3.1.</v>
      </c>
      <c r="D56" s="88" t="str">
        <v>Administracion</v>
      </c>
      <c r="E56" s="88" t="str">
        <v>3.1.1.</v>
      </c>
      <c r="F56" s="88" t="str">
        <v>Administración</v>
      </c>
      <c r="G56" s="88" t="str">
        <v>Otros costos directos</v>
      </c>
      <c r="H56" s="88" t="str">
        <v>Administración del cultivo</v>
      </c>
      <c r="I56" s="88" t="str">
        <v>unidad</v>
      </c>
      <c r="J56" s="88">
        <v>1</v>
      </c>
      <c r="K56" s="643">
        <v>1206005.1895799148</v>
      </c>
      <c r="L56" s="153">
        <v>1206005.1895799148</v>
      </c>
    </row>
    <row r="57" spans="1:12" ht="15">
      <c r="A57" s="88" t="str">
        <v>3.</v>
      </c>
      <c r="B57" s="88" t="str">
        <v>Otros Costos</v>
      </c>
      <c r="C57" s="88" t="str">
        <v>3.2.</v>
      </c>
      <c r="D57" s="88" t="str">
        <v>Asistencia Tecnica</v>
      </c>
      <c r="E57" s="88" t="str">
        <v>3.2.1.</v>
      </c>
      <c r="F57" s="88" t="str">
        <v>Visitas</v>
      </c>
      <c r="G57" s="88" t="str">
        <v>Varios</v>
      </c>
      <c r="H57" s="88" t="str">
        <v>Asistencia Técnica</v>
      </c>
      <c r="I57" s="88" t="str">
        <v>Visita</v>
      </c>
      <c r="J57" s="88">
        <v>1</v>
      </c>
      <c r="K57" s="643">
        <v>120000</v>
      </c>
      <c r="L57" s="153">
        <v>120000</v>
      </c>
    </row>
    <row r="58" spans="1:12" ht="15">
      <c r="A58" s="88" t="str">
        <v>3.</v>
      </c>
      <c r="B58" s="88" t="str">
        <v>Otros Costos</v>
      </c>
      <c r="C58" s="88" t="str">
        <v>3.3.</v>
      </c>
      <c r="D58" s="88" t="str">
        <v>Arrendamiento</v>
      </c>
      <c r="E58" s="88" t="str">
        <v>3.3.1.</v>
      </c>
      <c r="F58" s="88" t="str">
        <v>Canon</v>
      </c>
      <c r="G58" s="88" t="str">
        <v>Arrendamiento_de_tierras</v>
      </c>
      <c r="H58" s="88" t="str">
        <v>Hectárea anual.</v>
      </c>
      <c r="I58" s="88" t="str">
        <v>unidad</v>
      </c>
      <c r="J58" s="88">
        <v>1</v>
      </c>
      <c r="K58" s="643">
        <v>500000</v>
      </c>
      <c r="L58" s="153">
        <v>500000</v>
      </c>
    </row>
    <row r="59" spans="1:12" ht="15">
      <c r="A59" s="88"/>
      <c r="B59" s="88"/>
      <c r="C59" s="88"/>
      <c r="D59" s="88"/>
      <c r="E59" s="88"/>
      <c r="F59" s="88"/>
      <c r="G59" s="88"/>
      <c r="H59" s="88"/>
      <c r="I59" s="88"/>
      <c r="J59" s="88"/>
      <c r="K59" s="643"/>
      <c r="L59" s="98"/>
    </row>
    <row r="60" spans="1:12" ht="15">
      <c r="A60" s="88"/>
      <c r="B60" s="88"/>
      <c r="C60" s="88"/>
      <c r="D60" s="88"/>
      <c r="E60" s="88"/>
      <c r="F60" s="88"/>
      <c r="G60" s="88"/>
      <c r="H60" s="88"/>
      <c r="I60" s="88"/>
      <c r="J60" s="88"/>
      <c r="K60" s="643"/>
      <c r="L60" s="98"/>
    </row>
    <row r="61" spans="1:12" ht="15">
      <c r="A61" s="88"/>
      <c r="B61" s="88"/>
      <c r="C61" s="88"/>
      <c r="D61" s="88"/>
      <c r="E61" s="88"/>
      <c r="F61" s="88"/>
      <c r="G61" s="88"/>
      <c r="H61" s="88"/>
      <c r="I61" s="88"/>
      <c r="J61" s="88"/>
      <c r="K61" s="88"/>
      <c r="L61" s="98"/>
    </row>
    <row r="62" spans="1:12" ht="15">
      <c r="A62" s="88"/>
      <c r="B62" s="88"/>
      <c r="C62" s="88"/>
      <c r="D62" s="88"/>
      <c r="E62" s="88"/>
      <c r="F62" s="88"/>
      <c r="G62" s="88"/>
      <c r="H62" s="88"/>
      <c r="I62" s="88"/>
      <c r="J62" s="88"/>
      <c r="K62" s="88"/>
      <c r="L62" s="98"/>
    </row>
    <row r="63" spans="1:12" ht="15">
      <c r="A63" s="88"/>
      <c r="B63" s="88"/>
      <c r="C63" s="88"/>
      <c r="D63" s="88"/>
      <c r="E63" s="88"/>
      <c r="F63" s="88"/>
      <c r="G63" s="88"/>
      <c r="H63" s="88"/>
      <c r="I63" s="88"/>
      <c r="J63" s="88"/>
      <c r="K63" s="88"/>
      <c r="L63" s="98"/>
    </row>
    <row r="64" spans="1:12" ht="15">
      <c r="A64" s="88"/>
      <c r="B64" s="88"/>
      <c r="C64" s="88"/>
      <c r="D64" s="88"/>
      <c r="E64" s="88"/>
      <c r="F64" s="88"/>
      <c r="G64" s="88"/>
      <c r="H64" s="88"/>
      <c r="I64" s="88"/>
      <c r="J64" s="88"/>
      <c r="K64" s="88"/>
      <c r="L64" s="98"/>
    </row>
    <row r="65" spans="1:18" ht="15">
      <c r="A65" s="88"/>
      <c r="B65" s="88"/>
      <c r="C65" s="88"/>
      <c r="D65" s="88"/>
      <c r="E65" s="88"/>
      <c r="F65" s="88"/>
      <c r="G65" s="88"/>
      <c r="H65" s="88"/>
      <c r="I65" s="88"/>
      <c r="J65" s="88"/>
      <c r="K65" s="154" t="s">
        <v>67</v>
      </c>
      <c r="L65" s="155">
        <f>SUM(L33:L64)</f>
        <v>21007736.725995515</v>
      </c>
    </row>
    <row r="66" spans="1:18" ht="15">
      <c r="A66" s="88"/>
      <c r="B66" s="88"/>
      <c r="C66" s="88"/>
      <c r="D66" s="88"/>
      <c r="E66" s="88"/>
      <c r="F66" s="88"/>
      <c r="G66" s="88"/>
      <c r="H66" s="88"/>
      <c r="I66" s="88"/>
      <c r="J66" s="88"/>
      <c r="K66" s="88"/>
      <c r="L66" s="156"/>
    </row>
    <row r="67" spans="1:18" ht="15">
      <c r="A67" s="88"/>
      <c r="B67" s="88"/>
      <c r="C67" s="88"/>
      <c r="D67" s="88"/>
      <c r="E67" s="88"/>
      <c r="F67" s="88"/>
      <c r="G67" s="88"/>
      <c r="H67" s="88"/>
      <c r="I67" s="88"/>
      <c r="J67" s="88"/>
      <c r="K67" s="88"/>
      <c r="L67" s="156"/>
      <c r="R67" s="11"/>
    </row>
    <row r="68" spans="1:18" ht="15">
      <c r="A68" s="157"/>
      <c r="B68" s="158"/>
      <c r="C68" s="158"/>
      <c r="D68" s="158"/>
      <c r="E68" s="158"/>
      <c r="F68" s="158"/>
      <c r="G68" s="158"/>
      <c r="H68" s="158"/>
      <c r="I68" s="158"/>
      <c r="J68" s="158"/>
      <c r="K68" s="158"/>
      <c r="L68" s="159"/>
      <c r="R68" s="11"/>
    </row>
    <row r="69" spans="1:18" ht="15">
      <c r="A69" s="88"/>
      <c r="B69" s="88"/>
      <c r="C69" s="88"/>
      <c r="D69" s="88"/>
      <c r="E69" s="88"/>
      <c r="F69" s="88"/>
      <c r="G69" s="88"/>
      <c r="H69" s="88"/>
      <c r="I69" s="88"/>
      <c r="J69" s="88"/>
      <c r="K69" s="88"/>
      <c r="L69" s="156"/>
      <c r="R69" s="11"/>
    </row>
    <row r="70" spans="1:18" ht="15">
      <c r="A70" s="88"/>
      <c r="B70" s="88"/>
      <c r="C70" s="88"/>
      <c r="D70" s="88"/>
      <c r="E70" s="88"/>
      <c r="F70" s="88"/>
      <c r="G70" s="88"/>
      <c r="H70" s="88"/>
      <c r="I70" s="88"/>
      <c r="J70" s="88"/>
      <c r="K70" s="88"/>
      <c r="L70" s="156"/>
    </row>
    <row r="71" spans="1:18" ht="15">
      <c r="A71" s="146" t="s">
        <v>51</v>
      </c>
      <c r="B71" s="147" t="str">
        <f>$B$28</f>
        <v>Plátano Domínico hartón</v>
      </c>
      <c r="C71" s="100"/>
      <c r="D71" s="88"/>
      <c r="E71" s="146" t="s">
        <v>52</v>
      </c>
      <c r="F71" s="485" t="s">
        <v>68</v>
      </c>
      <c r="G71" s="88"/>
      <c r="H71" s="88"/>
      <c r="I71" s="88"/>
      <c r="J71" s="88"/>
      <c r="K71" s="88"/>
      <c r="L71" s="156"/>
    </row>
    <row r="72" spans="1:18" ht="15">
      <c r="A72" s="88"/>
      <c r="B72" s="88"/>
      <c r="C72" s="88"/>
      <c r="D72" s="88"/>
      <c r="E72" s="88"/>
      <c r="F72" s="88"/>
      <c r="G72" s="88"/>
      <c r="H72" s="88"/>
      <c r="I72" s="88"/>
      <c r="J72" s="88"/>
      <c r="K72" s="88"/>
      <c r="L72" s="156"/>
    </row>
    <row r="73" spans="1:18" ht="15.75" thickBot="1">
      <c r="A73" s="88"/>
      <c r="B73" s="88"/>
      <c r="C73" s="88"/>
      <c r="D73" s="88"/>
      <c r="E73" s="88"/>
      <c r="F73" s="88"/>
      <c r="G73" s="88"/>
      <c r="H73" s="88"/>
      <c r="I73" s="88"/>
      <c r="J73" s="88"/>
      <c r="K73" s="88"/>
      <c r="L73" s="94"/>
    </row>
    <row r="74" spans="1:18" ht="16.5" thickTop="1" thickBot="1">
      <c r="A74" s="567" t="s">
        <v>57</v>
      </c>
      <c r="B74" s="568"/>
      <c r="C74" s="567" t="s">
        <v>58</v>
      </c>
      <c r="D74" s="568"/>
      <c r="E74" s="567" t="s">
        <v>59</v>
      </c>
      <c r="F74" s="568"/>
      <c r="G74" s="567" t="s">
        <v>60</v>
      </c>
      <c r="H74" s="568"/>
      <c r="I74" s="568"/>
      <c r="J74" s="568"/>
      <c r="K74" s="569"/>
      <c r="L74" s="555" t="s">
        <v>61</v>
      </c>
    </row>
    <row r="75" spans="1:18" ht="16.5" thickTop="1" thickBot="1">
      <c r="A75" s="160" t="s">
        <v>62</v>
      </c>
      <c r="B75" s="160" t="s">
        <v>63</v>
      </c>
      <c r="C75" s="160" t="s">
        <v>62</v>
      </c>
      <c r="D75" s="160" t="s">
        <v>63</v>
      </c>
      <c r="E75" s="160" t="s">
        <v>62</v>
      </c>
      <c r="F75" s="160" t="s">
        <v>63</v>
      </c>
      <c r="G75" s="160" t="s">
        <v>15</v>
      </c>
      <c r="H75" s="160" t="s">
        <v>63</v>
      </c>
      <c r="I75" s="160" t="s">
        <v>64</v>
      </c>
      <c r="J75" s="160" t="s">
        <v>65</v>
      </c>
      <c r="K75" s="161" t="s">
        <v>66</v>
      </c>
      <c r="L75" s="555"/>
    </row>
    <row r="76" spans="1:18" ht="15.75" thickTop="1">
      <c r="A76" s="88" t="str" cm="1">
        <f t="array" ref="A76">_xlfn._xlws.FILTER(Base_datActividades_priorFIN!D17:O1145, (Base_datActividades_priorFIN!P17:P1145=B71) * (Base_datActividades_priorFIN!C17:C1145=F71), "no corresponde")</f>
        <v>no corresponde</v>
      </c>
      <c r="B76" s="88"/>
      <c r="C76" s="88"/>
      <c r="D76" s="88"/>
      <c r="E76" s="88"/>
      <c r="F76" s="88"/>
      <c r="G76" s="88"/>
      <c r="H76" s="88"/>
      <c r="I76" s="88"/>
      <c r="J76" s="88"/>
      <c r="K76" s="152"/>
      <c r="L76" s="162"/>
    </row>
    <row r="77" spans="1:18" ht="15">
      <c r="A77" s="88"/>
      <c r="B77" s="88"/>
      <c r="C77" s="88"/>
      <c r="D77" s="88"/>
      <c r="E77" s="88"/>
      <c r="F77" s="88"/>
      <c r="G77" s="88"/>
      <c r="H77" s="88"/>
      <c r="I77" s="88"/>
      <c r="J77" s="88"/>
      <c r="K77" s="152"/>
      <c r="L77" s="153"/>
    </row>
    <row r="78" spans="1:18" ht="15">
      <c r="A78" s="88"/>
      <c r="B78" s="88"/>
      <c r="C78" s="88"/>
      <c r="D78" s="88"/>
      <c r="E78" s="88"/>
      <c r="F78" s="88"/>
      <c r="G78" s="88"/>
      <c r="H78" s="88"/>
      <c r="I78" s="88"/>
      <c r="J78" s="88"/>
      <c r="K78" s="152"/>
      <c r="L78" s="153"/>
    </row>
    <row r="79" spans="1:18" ht="15">
      <c r="A79" s="88"/>
      <c r="B79" s="88"/>
      <c r="C79" s="88"/>
      <c r="D79" s="88"/>
      <c r="E79" s="88"/>
      <c r="F79" s="88"/>
      <c r="G79" s="88"/>
      <c r="H79" s="88"/>
      <c r="I79" s="88"/>
      <c r="J79" s="88"/>
      <c r="K79" s="152"/>
      <c r="L79" s="153"/>
    </row>
    <row r="80" spans="1:18" ht="15">
      <c r="A80" s="88"/>
      <c r="B80" s="88"/>
      <c r="C80" s="88"/>
      <c r="D80" s="88"/>
      <c r="E80" s="88"/>
      <c r="F80" s="88"/>
      <c r="G80" s="88"/>
      <c r="H80" s="88"/>
      <c r="I80" s="88"/>
      <c r="J80" s="88"/>
      <c r="K80" s="152"/>
      <c r="L80" s="153"/>
    </row>
    <row r="81" spans="1:12" ht="15">
      <c r="A81" s="88"/>
      <c r="B81" s="88"/>
      <c r="C81" s="88"/>
      <c r="D81" s="88"/>
      <c r="E81" s="88"/>
      <c r="F81" s="88"/>
      <c r="G81" s="88"/>
      <c r="H81" s="88"/>
      <c r="I81" s="88"/>
      <c r="J81" s="88"/>
      <c r="K81" s="152"/>
      <c r="L81" s="153"/>
    </row>
    <row r="82" spans="1:12" ht="15">
      <c r="A82" s="88"/>
      <c r="B82" s="88"/>
      <c r="C82" s="88"/>
      <c r="D82" s="88"/>
      <c r="E82" s="88"/>
      <c r="F82" s="88"/>
      <c r="G82" s="88"/>
      <c r="H82" s="88"/>
      <c r="I82" s="88"/>
      <c r="J82" s="88"/>
      <c r="K82" s="152"/>
      <c r="L82" s="153"/>
    </row>
    <row r="83" spans="1:12" ht="15">
      <c r="A83" s="88"/>
      <c r="B83" s="88"/>
      <c r="C83" s="88"/>
      <c r="D83" s="88"/>
      <c r="E83" s="88"/>
      <c r="F83" s="88"/>
      <c r="G83" s="88"/>
      <c r="H83" s="88"/>
      <c r="I83" s="88"/>
      <c r="J83" s="88"/>
      <c r="K83" s="152"/>
      <c r="L83" s="153"/>
    </row>
    <row r="84" spans="1:12" ht="15">
      <c r="A84" s="88"/>
      <c r="B84" s="88"/>
      <c r="C84" s="88"/>
      <c r="D84" s="88"/>
      <c r="E84" s="88"/>
      <c r="F84" s="88"/>
      <c r="G84" s="88"/>
      <c r="H84" s="88"/>
      <c r="I84" s="88"/>
      <c r="J84" s="88"/>
      <c r="K84" s="152"/>
      <c r="L84" s="153"/>
    </row>
    <row r="85" spans="1:12" ht="15">
      <c r="A85" s="88"/>
      <c r="B85" s="88"/>
      <c r="C85" s="88"/>
      <c r="D85" s="88"/>
      <c r="E85" s="88"/>
      <c r="F85" s="88"/>
      <c r="G85" s="88"/>
      <c r="H85" s="88"/>
      <c r="I85" s="88"/>
      <c r="J85" s="88"/>
      <c r="K85" s="152"/>
      <c r="L85" s="153"/>
    </row>
    <row r="86" spans="1:12" ht="15">
      <c r="A86" s="88"/>
      <c r="B86" s="88"/>
      <c r="C86" s="88"/>
      <c r="D86" s="88"/>
      <c r="E86" s="88"/>
      <c r="F86" s="88"/>
      <c r="G86" s="88"/>
      <c r="H86" s="88"/>
      <c r="I86" s="88"/>
      <c r="J86" s="88"/>
      <c r="K86" s="152"/>
      <c r="L86" s="153"/>
    </row>
    <row r="87" spans="1:12" ht="15">
      <c r="A87" s="88"/>
      <c r="B87" s="88"/>
      <c r="C87" s="88"/>
      <c r="D87" s="88"/>
      <c r="E87" s="88"/>
      <c r="F87" s="88"/>
      <c r="G87" s="88"/>
      <c r="H87" s="88"/>
      <c r="I87" s="88"/>
      <c r="J87" s="88"/>
      <c r="K87" s="152"/>
      <c r="L87" s="153"/>
    </row>
    <row r="88" spans="1:12" ht="15">
      <c r="A88" s="88"/>
      <c r="B88" s="88"/>
      <c r="C88" s="88"/>
      <c r="D88" s="88"/>
      <c r="E88" s="88"/>
      <c r="F88" s="88"/>
      <c r="G88" s="88"/>
      <c r="H88" s="88"/>
      <c r="I88" s="88"/>
      <c r="J88" s="88"/>
      <c r="K88" s="152"/>
      <c r="L88" s="153"/>
    </row>
    <row r="89" spans="1:12" ht="15">
      <c r="A89" s="88"/>
      <c r="B89" s="88"/>
      <c r="C89" s="88"/>
      <c r="D89" s="88"/>
      <c r="E89" s="88"/>
      <c r="F89" s="88"/>
      <c r="G89" s="88"/>
      <c r="H89" s="88"/>
      <c r="I89" s="88"/>
      <c r="J89" s="88"/>
      <c r="K89" s="152"/>
      <c r="L89" s="153"/>
    </row>
    <row r="90" spans="1:12" ht="15">
      <c r="A90" s="88"/>
      <c r="B90" s="88"/>
      <c r="C90" s="88"/>
      <c r="D90" s="88"/>
      <c r="E90" s="88"/>
      <c r="F90" s="88"/>
      <c r="G90" s="88"/>
      <c r="H90" s="88"/>
      <c r="I90" s="88"/>
      <c r="J90" s="88"/>
      <c r="K90" s="152"/>
      <c r="L90" s="153"/>
    </row>
    <row r="91" spans="1:12" ht="15">
      <c r="A91" s="88"/>
      <c r="B91" s="88"/>
      <c r="C91" s="88"/>
      <c r="D91" s="88"/>
      <c r="E91" s="88"/>
      <c r="F91" s="88"/>
      <c r="G91" s="88"/>
      <c r="H91" s="88"/>
      <c r="I91" s="88"/>
      <c r="J91" s="88"/>
      <c r="K91" s="152"/>
      <c r="L91" s="153"/>
    </row>
    <row r="92" spans="1:12" ht="15">
      <c r="A92" s="88"/>
      <c r="B92" s="88"/>
      <c r="C92" s="88"/>
      <c r="D92" s="88"/>
      <c r="E92" s="88"/>
      <c r="F92" s="88"/>
      <c r="G92" s="88"/>
      <c r="H92" s="88"/>
      <c r="I92" s="88"/>
      <c r="J92" s="88"/>
      <c r="K92" s="152"/>
      <c r="L92" s="153"/>
    </row>
    <row r="93" spans="1:12" ht="15">
      <c r="A93" s="88"/>
      <c r="B93" s="88"/>
      <c r="C93" s="88"/>
      <c r="D93" s="88"/>
      <c r="E93" s="88"/>
      <c r="F93" s="88"/>
      <c r="G93" s="88"/>
      <c r="H93" s="88"/>
      <c r="I93" s="88"/>
      <c r="J93" s="88"/>
      <c r="K93" s="152"/>
      <c r="L93" s="153"/>
    </row>
    <row r="94" spans="1:12" ht="15">
      <c r="A94" s="88"/>
      <c r="B94" s="88"/>
      <c r="C94" s="88"/>
      <c r="D94" s="88"/>
      <c r="E94" s="88"/>
      <c r="F94" s="88"/>
      <c r="G94" s="88"/>
      <c r="H94" s="88"/>
      <c r="I94" s="88"/>
      <c r="J94" s="88"/>
      <c r="K94" s="152"/>
      <c r="L94" s="153"/>
    </row>
    <row r="95" spans="1:12" ht="15">
      <c r="A95" s="88"/>
      <c r="B95" s="88"/>
      <c r="C95" s="88"/>
      <c r="D95" s="88"/>
      <c r="E95" s="88"/>
      <c r="F95" s="88"/>
      <c r="G95" s="88"/>
      <c r="H95" s="88"/>
      <c r="I95" s="88"/>
      <c r="J95" s="88"/>
      <c r="K95" s="152"/>
      <c r="L95" s="153"/>
    </row>
    <row r="96" spans="1:12" ht="15">
      <c r="A96" s="88"/>
      <c r="B96" s="88"/>
      <c r="C96" s="88"/>
      <c r="D96" s="88"/>
      <c r="E96" s="88"/>
      <c r="F96" s="88"/>
      <c r="G96" s="88"/>
      <c r="H96" s="88"/>
      <c r="I96" s="88"/>
      <c r="J96" s="88"/>
      <c r="K96" s="152"/>
      <c r="L96" s="153"/>
    </row>
    <row r="97" spans="1:22" ht="15">
      <c r="A97" s="88"/>
      <c r="B97" s="88"/>
      <c r="C97" s="88"/>
      <c r="D97" s="88"/>
      <c r="E97" s="88"/>
      <c r="F97" s="88"/>
      <c r="G97" s="88"/>
      <c r="H97" s="88"/>
      <c r="I97" s="88"/>
      <c r="J97" s="88"/>
      <c r="K97" s="152"/>
      <c r="L97" s="153"/>
    </row>
    <row r="98" spans="1:22" ht="15">
      <c r="A98" s="88"/>
      <c r="B98" s="88"/>
      <c r="C98" s="88"/>
      <c r="D98" s="88"/>
      <c r="E98" s="88"/>
      <c r="F98" s="88"/>
      <c r="G98" s="88"/>
      <c r="H98" s="88"/>
      <c r="I98" s="88"/>
      <c r="J98" s="88"/>
      <c r="K98" s="152"/>
      <c r="L98" s="153"/>
    </row>
    <row r="99" spans="1:22" ht="15">
      <c r="A99" s="88"/>
      <c r="B99" s="88"/>
      <c r="C99" s="88"/>
      <c r="D99" s="88"/>
      <c r="E99" s="88"/>
      <c r="F99" s="88"/>
      <c r="G99" s="88"/>
      <c r="H99" s="88"/>
      <c r="I99" s="88"/>
      <c r="J99" s="88"/>
      <c r="K99" s="152"/>
      <c r="L99" s="153"/>
    </row>
    <row r="100" spans="1:22" ht="15">
      <c r="A100" s="88"/>
      <c r="B100" s="88"/>
      <c r="C100" s="88"/>
      <c r="D100" s="88"/>
      <c r="E100" s="88"/>
      <c r="F100" s="88"/>
      <c r="G100" s="88"/>
      <c r="H100" s="88"/>
      <c r="I100" s="88"/>
      <c r="J100" s="88"/>
      <c r="K100" s="152"/>
      <c r="L100" s="153"/>
    </row>
    <row r="101" spans="1:22" ht="15">
      <c r="A101" s="88"/>
      <c r="B101" s="88"/>
      <c r="C101" s="88"/>
      <c r="D101" s="88"/>
      <c r="E101" s="88"/>
      <c r="F101" s="88"/>
      <c r="G101" s="88"/>
      <c r="H101" s="88"/>
      <c r="I101" s="88"/>
      <c r="J101" s="88"/>
    </row>
    <row r="102" spans="1:22" ht="15">
      <c r="A102" s="88"/>
      <c r="B102" s="88"/>
      <c r="C102" s="88"/>
      <c r="D102" s="88"/>
      <c r="E102" s="88"/>
      <c r="F102" s="88"/>
      <c r="G102" s="88"/>
      <c r="H102" s="88"/>
      <c r="I102" s="88"/>
      <c r="J102" s="88"/>
      <c r="K102" s="88"/>
      <c r="L102" s="98"/>
    </row>
    <row r="103" spans="1:22" ht="15">
      <c r="A103" s="88"/>
      <c r="B103" s="88"/>
      <c r="C103" s="88"/>
      <c r="D103" s="88"/>
      <c r="E103" s="88"/>
      <c r="F103" s="88"/>
      <c r="G103" s="88"/>
      <c r="H103" s="88"/>
      <c r="I103" s="88"/>
      <c r="J103" s="88"/>
      <c r="K103" s="88"/>
      <c r="L103" s="98"/>
    </row>
    <row r="104" spans="1:22" ht="15">
      <c r="A104" s="88"/>
      <c r="B104" s="88"/>
      <c r="C104" s="88"/>
      <c r="D104" s="88"/>
      <c r="E104" s="88"/>
      <c r="F104" s="88"/>
      <c r="G104" s="88"/>
      <c r="H104" s="88"/>
      <c r="I104" s="88"/>
      <c r="J104" s="88"/>
      <c r="K104" s="163" t="s">
        <v>67</v>
      </c>
      <c r="L104" s="155">
        <f>SUM(L76:L100)</f>
        <v>0</v>
      </c>
      <c r="U104" s="7">
        <f>42/2</f>
        <v>21</v>
      </c>
      <c r="V104" s="7">
        <f>365/U104</f>
        <v>17.38095238095238</v>
      </c>
    </row>
    <row r="105" spans="1:22" ht="15">
      <c r="A105" s="88"/>
      <c r="B105" s="88"/>
      <c r="C105" s="88"/>
      <c r="D105" s="88"/>
      <c r="E105" s="88"/>
      <c r="F105" s="88"/>
      <c r="G105" s="88"/>
      <c r="H105" s="88"/>
      <c r="I105" s="88"/>
      <c r="J105" s="88"/>
      <c r="K105" s="88"/>
      <c r="L105" s="98"/>
    </row>
    <row r="106" spans="1:22" ht="15">
      <c r="A106" s="157"/>
      <c r="B106" s="158"/>
      <c r="C106" s="158"/>
      <c r="D106" s="158"/>
      <c r="E106" s="158"/>
      <c r="F106" s="158"/>
      <c r="G106" s="158"/>
      <c r="H106" s="158"/>
      <c r="I106" s="158"/>
      <c r="J106" s="158"/>
      <c r="K106" s="158"/>
      <c r="L106" s="158"/>
    </row>
    <row r="107" spans="1:22" ht="15">
      <c r="A107" s="88"/>
      <c r="B107" s="88"/>
      <c r="C107" s="88"/>
      <c r="D107" s="88"/>
      <c r="E107" s="88"/>
      <c r="F107" s="88"/>
      <c r="G107" s="88"/>
      <c r="H107" s="88"/>
      <c r="I107" s="88"/>
      <c r="J107" s="88"/>
      <c r="K107" s="88"/>
      <c r="L107" s="98"/>
    </row>
    <row r="108" spans="1:22" ht="15">
      <c r="A108" s="164" t="s">
        <v>51</v>
      </c>
      <c r="B108" s="147" t="str">
        <f>$B$28</f>
        <v>Plátano Domínico hartón</v>
      </c>
      <c r="C108" s="100"/>
      <c r="D108" s="88"/>
      <c r="E108" s="146" t="s">
        <v>52</v>
      </c>
      <c r="F108" s="494" t="s">
        <v>69</v>
      </c>
      <c r="G108" s="88"/>
      <c r="H108" s="88"/>
      <c r="I108" s="88"/>
      <c r="J108" s="88"/>
      <c r="K108" s="88"/>
      <c r="L108" s="165"/>
    </row>
    <row r="109" spans="1:22" ht="15">
      <c r="A109" s="88"/>
      <c r="B109" s="88"/>
      <c r="C109" s="88"/>
      <c r="D109" s="88"/>
      <c r="E109" s="88"/>
      <c r="F109" s="88"/>
      <c r="G109" s="88"/>
      <c r="H109" s="88"/>
      <c r="I109" s="88"/>
      <c r="J109" s="88"/>
      <c r="K109" s="88"/>
      <c r="L109" s="165"/>
    </row>
    <row r="110" spans="1:22" ht="15">
      <c r="A110" s="88"/>
      <c r="B110" s="88"/>
      <c r="C110" s="88"/>
      <c r="D110" s="88"/>
      <c r="E110" s="88"/>
      <c r="F110" s="88"/>
      <c r="G110" s="88"/>
      <c r="H110" s="88"/>
      <c r="I110" s="88"/>
      <c r="J110" s="88"/>
      <c r="K110" s="88"/>
      <c r="L110" s="98"/>
    </row>
    <row r="111" spans="1:22" ht="15">
      <c r="A111" s="570" t="s">
        <v>57</v>
      </c>
      <c r="B111" s="571"/>
      <c r="C111" s="570" t="s">
        <v>58</v>
      </c>
      <c r="D111" s="571"/>
      <c r="E111" s="570" t="s">
        <v>59</v>
      </c>
      <c r="F111" s="571"/>
      <c r="G111" s="570" t="s">
        <v>60</v>
      </c>
      <c r="H111" s="571"/>
      <c r="I111" s="571"/>
      <c r="J111" s="571"/>
      <c r="K111" s="571"/>
      <c r="L111" s="552" t="s">
        <v>61</v>
      </c>
    </row>
    <row r="112" spans="1:22" ht="15">
      <c r="A112" s="166" t="s">
        <v>62</v>
      </c>
      <c r="B112" s="166" t="s">
        <v>63</v>
      </c>
      <c r="C112" s="166" t="s">
        <v>62</v>
      </c>
      <c r="D112" s="166" t="s">
        <v>63</v>
      </c>
      <c r="E112" s="166" t="s">
        <v>62</v>
      </c>
      <c r="F112" s="166" t="s">
        <v>63</v>
      </c>
      <c r="G112" s="166" t="s">
        <v>15</v>
      </c>
      <c r="H112" s="166" t="s">
        <v>63</v>
      </c>
      <c r="I112" s="166" t="s">
        <v>64</v>
      </c>
      <c r="J112" s="166" t="s">
        <v>65</v>
      </c>
      <c r="K112" s="166" t="s">
        <v>66</v>
      </c>
      <c r="L112" s="552"/>
    </row>
    <row r="113" spans="1:12" ht="15">
      <c r="A113" s="88" t="str" cm="1">
        <f t="array" ref="A113:L136">_xlfn._xlws.FILTER(Base_datActividades_priorFIN!D17:O1145, (Base_datActividades_priorFIN!P17:P1145=B108) * (Base_datActividades_priorFIN!C17:C1145=F108), "no corresponde")</f>
        <v>1.</v>
      </c>
      <c r="B113" s="88" t="str">
        <v>Labores</v>
      </c>
      <c r="C113" s="88" t="str">
        <v>1.4.</v>
      </c>
      <c r="D113" s="88" t="str">
        <v>Siembra y Sostenimiento</v>
      </c>
      <c r="E113" s="88" t="str">
        <v>1.4.2.</v>
      </c>
      <c r="F113" s="88" t="str">
        <v>Apuntalada o Amarre Aéreo</v>
      </c>
      <c r="G113" s="88" t="str">
        <v>Varios</v>
      </c>
      <c r="H113" s="88" t="str">
        <v>Mano de Obra</v>
      </c>
      <c r="I113" s="88" t="str">
        <v>Jornal</v>
      </c>
      <c r="J113" s="88">
        <v>6</v>
      </c>
      <c r="K113" s="152">
        <v>46666.666666666664</v>
      </c>
      <c r="L113" s="153">
        <v>280000</v>
      </c>
    </row>
    <row r="114" spans="1:12" ht="15">
      <c r="A114" s="88" t="str">
        <v>1.</v>
      </c>
      <c r="B114" s="88" t="str">
        <v>Labores</v>
      </c>
      <c r="C114" s="88" t="str">
        <v>1.4.</v>
      </c>
      <c r="D114" s="88" t="str">
        <v>Siembra y Sostenimiento</v>
      </c>
      <c r="E114" s="88" t="str">
        <v>1.4.6.</v>
      </c>
      <c r="F114" s="88" t="str">
        <v>Plateo</v>
      </c>
      <c r="G114" s="88" t="str">
        <v>Varios</v>
      </c>
      <c r="H114" s="88" t="str">
        <v>Mano de Obra</v>
      </c>
      <c r="I114" s="88" t="str">
        <v>Jornal</v>
      </c>
      <c r="J114" s="88">
        <v>17</v>
      </c>
      <c r="K114" s="152">
        <v>46666.666666666664</v>
      </c>
      <c r="L114" s="153">
        <v>793333.33333333326</v>
      </c>
    </row>
    <row r="115" spans="1:12" ht="15">
      <c r="A115" s="88" t="str">
        <v>1.</v>
      </c>
      <c r="B115" s="88" t="str">
        <v>Labores</v>
      </c>
      <c r="C115" s="88" t="str">
        <v>1.5.</v>
      </c>
      <c r="D115" s="88" t="str">
        <v>Labores Culturales</v>
      </c>
      <c r="E115" s="88" t="str">
        <v>1.5.6.</v>
      </c>
      <c r="F115" s="88" t="str">
        <v>Deshije y Destronque</v>
      </c>
      <c r="G115" s="88" t="str">
        <v>Varios</v>
      </c>
      <c r="H115" s="88" t="str">
        <v>Mano de Obra</v>
      </c>
      <c r="I115" s="88" t="str">
        <v>Jornal</v>
      </c>
      <c r="J115" s="88">
        <v>17</v>
      </c>
      <c r="K115" s="152">
        <v>46666.666666666664</v>
      </c>
      <c r="L115" s="153">
        <v>793333.33333333326</v>
      </c>
    </row>
    <row r="116" spans="1:12" ht="15">
      <c r="A116" s="88" t="str">
        <v>1.</v>
      </c>
      <c r="B116" s="88" t="str">
        <v>Labores</v>
      </c>
      <c r="C116" s="88" t="str">
        <v>1.6.</v>
      </c>
      <c r="D116" s="88" t="str">
        <v>Control Sanitario</v>
      </c>
      <c r="E116" s="88" t="str">
        <v>1.6.1.</v>
      </c>
      <c r="F116" s="88" t="str">
        <v>Aplicación de Fungicidas</v>
      </c>
      <c r="G116" s="88" t="str">
        <v>Varios</v>
      </c>
      <c r="H116" s="88" t="str">
        <v>Mano de Obra</v>
      </c>
      <c r="I116" s="88" t="str">
        <v>Jornal</v>
      </c>
      <c r="J116" s="88">
        <v>19</v>
      </c>
      <c r="K116" s="152">
        <v>46666.666666666664</v>
      </c>
      <c r="L116" s="153">
        <v>886666.66666666663</v>
      </c>
    </row>
    <row r="117" spans="1:12" ht="15">
      <c r="A117" s="88" t="str">
        <v>1.</v>
      </c>
      <c r="B117" s="88" t="str">
        <v>Labores</v>
      </c>
      <c r="C117" s="88" t="str">
        <v>1.6.</v>
      </c>
      <c r="D117" s="88" t="str">
        <v>Control Sanitario</v>
      </c>
      <c r="E117" s="88" t="str">
        <v>1.6.2.</v>
      </c>
      <c r="F117" s="88" t="str">
        <v>Aplicación de Insecticidas</v>
      </c>
      <c r="G117" s="88" t="str">
        <v>Varios</v>
      </c>
      <c r="H117" s="88" t="str">
        <v>Mano de Obra</v>
      </c>
      <c r="I117" s="88" t="str">
        <v>Jornal</v>
      </c>
      <c r="J117" s="88">
        <v>19</v>
      </c>
      <c r="K117" s="152">
        <v>46666.666666666664</v>
      </c>
      <c r="L117" s="153">
        <v>886666.66666666663</v>
      </c>
    </row>
    <row r="118" spans="1:12" ht="15">
      <c r="A118" s="88" t="str">
        <v>1.</v>
      </c>
      <c r="B118" s="88" t="str">
        <v>Labores</v>
      </c>
      <c r="C118" s="88" t="str">
        <v>1.7.</v>
      </c>
      <c r="D118" s="88" t="str">
        <v>Control de Malezas</v>
      </c>
      <c r="E118" s="88" t="str">
        <v>1.7.3.</v>
      </c>
      <c r="F118" s="88" t="str">
        <v>Desyerbas - Postemergente</v>
      </c>
      <c r="G118" s="88" t="str">
        <v>Varios</v>
      </c>
      <c r="H118" s="88" t="str">
        <v>Mano de Obra</v>
      </c>
      <c r="I118" s="88" t="str">
        <v>Jornal</v>
      </c>
      <c r="J118" s="88">
        <v>10</v>
      </c>
      <c r="K118" s="152">
        <v>46666.666666666664</v>
      </c>
      <c r="L118" s="153">
        <v>466666.66666666663</v>
      </c>
    </row>
    <row r="119" spans="1:12" ht="15">
      <c r="A119" s="88" t="str">
        <v>1.</v>
      </c>
      <c r="B119" s="88" t="str">
        <v>Labores</v>
      </c>
      <c r="C119" s="88" t="str">
        <v>1.8.</v>
      </c>
      <c r="D119" s="88" t="str">
        <v>Fertilizacion</v>
      </c>
      <c r="E119" s="88" t="str">
        <v>1.8.2.</v>
      </c>
      <c r="F119" s="88" t="str">
        <v>Fertilizante Simple</v>
      </c>
      <c r="G119" s="88" t="str">
        <v>Varios</v>
      </c>
      <c r="H119" s="88" t="str">
        <v>Mano de Obra</v>
      </c>
      <c r="I119" s="88" t="str">
        <v>Jornal</v>
      </c>
      <c r="J119" s="88">
        <v>13</v>
      </c>
      <c r="K119" s="152">
        <v>46666.666666666664</v>
      </c>
      <c r="L119" s="153">
        <v>606666.66666666663</v>
      </c>
    </row>
    <row r="120" spans="1:12" ht="15">
      <c r="A120" s="88" t="str">
        <v>1.</v>
      </c>
      <c r="B120" s="88" t="str">
        <v>Labores</v>
      </c>
      <c r="C120" s="88" t="str">
        <v>1.9.</v>
      </c>
      <c r="D120" s="88" t="str">
        <v>Cosecha y Beneficio</v>
      </c>
      <c r="E120" s="88" t="str">
        <v>1.9.6.</v>
      </c>
      <c r="F120" s="88" t="str">
        <v>Pesada Limpieza y Secamiento</v>
      </c>
      <c r="G120" s="88" t="str">
        <v>Varios</v>
      </c>
      <c r="H120" s="88" t="str">
        <v>Mano de Obra</v>
      </c>
      <c r="I120" s="88" t="str">
        <v>Jornal</v>
      </c>
      <c r="J120" s="88">
        <v>6</v>
      </c>
      <c r="K120" s="152">
        <v>46666.666666666664</v>
      </c>
      <c r="L120" s="153">
        <v>280000</v>
      </c>
    </row>
    <row r="121" spans="1:12" ht="15">
      <c r="A121" s="88" t="str">
        <v>1.</v>
      </c>
      <c r="B121" s="88" t="str">
        <v>Labores</v>
      </c>
      <c r="C121" s="88" t="str">
        <v>1.9.</v>
      </c>
      <c r="D121" s="88" t="str">
        <v>Cosecha y Beneficio</v>
      </c>
      <c r="E121" s="88" t="str">
        <v>1.9.7.</v>
      </c>
      <c r="F121" s="88" t="str">
        <v>Recolección</v>
      </c>
      <c r="G121" s="88" t="str">
        <v>Varios</v>
      </c>
      <c r="H121" s="88" t="str">
        <v>Mano de Obra</v>
      </c>
      <c r="I121" s="88" t="str">
        <v>Jornal</v>
      </c>
      <c r="J121" s="88">
        <v>19</v>
      </c>
      <c r="K121" s="152">
        <v>46666.666666666664</v>
      </c>
      <c r="L121" s="153">
        <v>886666.66666666663</v>
      </c>
    </row>
    <row r="122" spans="1:12" ht="15">
      <c r="A122" s="88" t="str">
        <v>2.</v>
      </c>
      <c r="B122" s="88" t="str">
        <v>Insumos</v>
      </c>
      <c r="C122" s="88" t="str">
        <v>2.2.</v>
      </c>
      <c r="D122" s="88" t="str">
        <v>Fertilizacion</v>
      </c>
      <c r="E122" s="88" t="str">
        <v>2.2.1.</v>
      </c>
      <c r="F122" s="88" t="str">
        <v>Simples</v>
      </c>
      <c r="G122" s="88" t="str">
        <v>Fertilizantes_enmiendas_y_acondicionadores_de_suelo</v>
      </c>
      <c r="H122" s="88" t="str">
        <v>Urea 46%</v>
      </c>
      <c r="I122" s="88" t="str">
        <v>50 kilogramos</v>
      </c>
      <c r="J122" s="88">
        <v>21</v>
      </c>
      <c r="K122" s="152">
        <v>125849.2424242409</v>
      </c>
      <c r="L122" s="153">
        <v>2642834.0909090592</v>
      </c>
    </row>
    <row r="123" spans="1:12" ht="15">
      <c r="A123" s="88" t="str">
        <v>2.</v>
      </c>
      <c r="B123" s="88" t="str">
        <v>Insumos</v>
      </c>
      <c r="C123" s="88" t="str">
        <v>2.2.</v>
      </c>
      <c r="D123" s="88" t="str">
        <v>Fertilizacion</v>
      </c>
      <c r="E123" s="88" t="str">
        <v>2.2.2.</v>
      </c>
      <c r="F123" s="88" t="str">
        <v>compuestos</v>
      </c>
      <c r="G123" s="88" t="str">
        <v>Fertilizantes_enmiendas_y_acondicionadores_de_suelo</v>
      </c>
      <c r="H123" s="88" t="str">
        <v>Fosfato Diamónico (DAP) 18-46-0</v>
      </c>
      <c r="I123" s="88" t="str">
        <v>50 kilogramos</v>
      </c>
      <c r="J123" s="88">
        <v>4</v>
      </c>
      <c r="K123" s="152">
        <v>198055.68333333</v>
      </c>
      <c r="L123" s="153">
        <v>792222.73333332001</v>
      </c>
    </row>
    <row r="124" spans="1:12" ht="15">
      <c r="A124" s="88" t="str">
        <v>2.</v>
      </c>
      <c r="B124" s="88" t="str">
        <v>Insumos</v>
      </c>
      <c r="C124" s="88" t="str">
        <v>2.2.</v>
      </c>
      <c r="D124" s="88" t="str">
        <v>Fertilizacion</v>
      </c>
      <c r="E124" s="88" t="str">
        <v>2.2.4.</v>
      </c>
      <c r="F124" s="88" t="str">
        <v>Correctivos</v>
      </c>
      <c r="G124" s="88" t="str">
        <v>Fertilizantes_enmiendas_y_acondicionadores_de_suelo</v>
      </c>
      <c r="H124" s="88" t="str">
        <v>Cal dolomita</v>
      </c>
      <c r="I124" s="88" t="str">
        <v>50 kilogramos</v>
      </c>
      <c r="J124" s="88">
        <v>14</v>
      </c>
      <c r="K124" s="152">
        <v>17212.5</v>
      </c>
      <c r="L124" s="153">
        <v>240975</v>
      </c>
    </row>
    <row r="125" spans="1:12" ht="15">
      <c r="A125" s="88" t="str">
        <v>2.</v>
      </c>
      <c r="B125" s="88" t="str">
        <v>Insumos</v>
      </c>
      <c r="C125" s="88" t="str">
        <v>2.2.</v>
      </c>
      <c r="D125" s="88" t="str">
        <v>Fertilizacion</v>
      </c>
      <c r="E125" s="88" t="str">
        <v>2.2.6.</v>
      </c>
      <c r="F125" s="88" t="str">
        <v>Foliares</v>
      </c>
      <c r="G125" s="88" t="str">
        <v>Fertilizantes_enmiendas_y_acondicionadores_de_suelo</v>
      </c>
      <c r="H125" s="88" t="str">
        <v>Klip - K Calcio-Boro</v>
      </c>
      <c r="I125" s="88" t="str">
        <v>1 litro</v>
      </c>
      <c r="J125" s="88">
        <v>18</v>
      </c>
      <c r="K125" s="152">
        <v>26208.33</v>
      </c>
      <c r="L125" s="153">
        <v>471749.94000000006</v>
      </c>
    </row>
    <row r="126" spans="1:12" ht="15">
      <c r="A126" s="88" t="str">
        <v>2.</v>
      </c>
      <c r="B126" s="88" t="str">
        <v>Insumos</v>
      </c>
      <c r="C126" s="88" t="str">
        <v>2.2.</v>
      </c>
      <c r="D126" s="88" t="str">
        <v>Fertilizacion</v>
      </c>
      <c r="E126" s="88" t="str">
        <v>2.2.7.</v>
      </c>
      <c r="F126" s="88" t="str">
        <v>Menores</v>
      </c>
      <c r="G126" s="88" t="str">
        <v>Fertilizantes_enmiendas_y_acondicionadores_de_suelo</v>
      </c>
      <c r="H126" s="88" t="str">
        <v>Agrimins 8-5-0-6</v>
      </c>
      <c r="I126" s="88" t="str">
        <v>46 kilogramos</v>
      </c>
      <c r="J126" s="88">
        <v>2</v>
      </c>
      <c r="K126" s="152">
        <v>128084.44444445</v>
      </c>
      <c r="L126" s="153">
        <v>256168.88888889999</v>
      </c>
    </row>
    <row r="127" spans="1:12" ht="15">
      <c r="A127" s="88" t="str">
        <v>2.</v>
      </c>
      <c r="B127" s="88" t="str">
        <v>Insumos</v>
      </c>
      <c r="C127" s="88" t="str">
        <v>2.2.</v>
      </c>
      <c r="D127" s="88" t="str">
        <v>Fertilizacion</v>
      </c>
      <c r="E127" s="88" t="str">
        <v>2.2.8.</v>
      </c>
      <c r="F127" s="88" t="str">
        <v>Simples</v>
      </c>
      <c r="G127" s="88" t="str">
        <v>Fertilizantes_enmiendas_y_acondicionadores_de_suelo</v>
      </c>
      <c r="H127" s="88" t="str">
        <v>Cloruro de Potasio 0-0-60</v>
      </c>
      <c r="I127" s="88" t="str">
        <v>50 kilogramos</v>
      </c>
      <c r="J127" s="88">
        <v>15</v>
      </c>
      <c r="K127" s="152">
        <v>110000</v>
      </c>
      <c r="L127" s="153">
        <v>1650000</v>
      </c>
    </row>
    <row r="128" spans="1:12" ht="15">
      <c r="A128" s="88" t="str">
        <v>2.</v>
      </c>
      <c r="B128" s="88" t="str">
        <v>Insumos</v>
      </c>
      <c r="C128" s="88" t="str">
        <v>2.3.</v>
      </c>
      <c r="D128" s="88" t="str">
        <v>Control Sanitario</v>
      </c>
      <c r="E128" s="88" t="str">
        <v>2.3.3.</v>
      </c>
      <c r="F128" s="88" t="str">
        <v>Fungicida</v>
      </c>
      <c r="G128" s="88" t="str">
        <v>Fungicidas</v>
      </c>
      <c r="H128" s="88" t="str">
        <v>Siganex 60 Sc</v>
      </c>
      <c r="I128" s="88" t="str">
        <v>0,5 litro</v>
      </c>
      <c r="J128" s="88">
        <v>9</v>
      </c>
      <c r="K128" s="152">
        <v>78080.853020496768</v>
      </c>
      <c r="L128" s="153">
        <v>702727.67718447093</v>
      </c>
    </row>
    <row r="129" spans="1:12" ht="15">
      <c r="A129" s="88" t="str">
        <v>2.</v>
      </c>
      <c r="B129" s="88" t="str">
        <v>Insumos</v>
      </c>
      <c r="C129" s="88" t="str">
        <v>2.3.</v>
      </c>
      <c r="D129" s="88" t="str">
        <v>Control Sanitario</v>
      </c>
      <c r="E129" s="88" t="str">
        <v>2.3.3.</v>
      </c>
      <c r="F129" s="88" t="str">
        <v>Fungicida</v>
      </c>
      <c r="G129" s="88" t="str">
        <v>Fungicidas</v>
      </c>
      <c r="H129" s="88" t="str">
        <v>Daconil 720 Sc</v>
      </c>
      <c r="I129" s="88" t="str">
        <v>1 litro</v>
      </c>
      <c r="J129" s="88">
        <v>11</v>
      </c>
      <c r="K129" s="152">
        <v>45987.3</v>
      </c>
      <c r="L129" s="153">
        <v>505860.30000000005</v>
      </c>
    </row>
    <row r="130" spans="1:12" ht="15">
      <c r="A130" s="88" t="str">
        <v>2.</v>
      </c>
      <c r="B130" s="88" t="str">
        <v>Insumos</v>
      </c>
      <c r="C130" s="88" t="str">
        <v>2.3.</v>
      </c>
      <c r="D130" s="88" t="str">
        <v>Control Sanitario</v>
      </c>
      <c r="E130" s="88" t="str">
        <v>2.3.4.</v>
      </c>
      <c r="F130" s="88" t="str">
        <v>Herbicida</v>
      </c>
      <c r="G130" s="88" t="str">
        <v>Herbicidas</v>
      </c>
      <c r="H130" s="88" t="str">
        <v>Roundup Activo</v>
      </c>
      <c r="I130" s="88" t="str">
        <v>1 litro</v>
      </c>
      <c r="J130" s="88">
        <v>18</v>
      </c>
      <c r="K130" s="152">
        <v>23177.15</v>
      </c>
      <c r="L130" s="153">
        <v>417188.7</v>
      </c>
    </row>
    <row r="131" spans="1:12" ht="15">
      <c r="A131" s="88" t="str">
        <v>2.</v>
      </c>
      <c r="B131" s="88" t="str">
        <v>Insumos</v>
      </c>
      <c r="C131" s="88" t="str">
        <v>2.3.</v>
      </c>
      <c r="D131" s="88" t="str">
        <v>Control Sanitario</v>
      </c>
      <c r="E131" s="88" t="str">
        <v>2.3.5.</v>
      </c>
      <c r="F131" s="88" t="str">
        <v>Insecticida</v>
      </c>
      <c r="G131" s="88" t="str">
        <v>Insecticidas_acaricidas_y_nematicidas</v>
      </c>
      <c r="H131" s="88" t="str">
        <v>Karate Zeon</v>
      </c>
      <c r="I131" s="88" t="str">
        <v>1 litro</v>
      </c>
      <c r="J131" s="88">
        <v>9</v>
      </c>
      <c r="K131" s="152">
        <v>146171.37</v>
      </c>
      <c r="L131" s="153">
        <v>1315542.33</v>
      </c>
    </row>
    <row r="132" spans="1:12" ht="15">
      <c r="A132" s="88" t="str">
        <v>2.</v>
      </c>
      <c r="B132" s="88" t="str">
        <v>Insumos</v>
      </c>
      <c r="C132" s="88" t="str">
        <v>2.3.</v>
      </c>
      <c r="D132" s="88" t="str">
        <v>Control Sanitario</v>
      </c>
      <c r="E132" s="88" t="str">
        <v>2.3.5.</v>
      </c>
      <c r="F132" s="88" t="str">
        <v>Insecticida</v>
      </c>
      <c r="G132" s="88" t="str">
        <v>Insecticidas_acaricidas_y_nematicidas</v>
      </c>
      <c r="H132" s="88" t="str">
        <v>Numetrin 200 Ec</v>
      </c>
      <c r="I132" s="88" t="str">
        <v>1 litro</v>
      </c>
      <c r="J132" s="88">
        <v>6</v>
      </c>
      <c r="K132" s="152">
        <v>28111.98</v>
      </c>
      <c r="L132" s="153">
        <v>168671.88</v>
      </c>
    </row>
    <row r="133" spans="1:12" ht="15">
      <c r="A133" s="88" t="str">
        <v>2.</v>
      </c>
      <c r="B133" s="88" t="str">
        <v>Insumos</v>
      </c>
      <c r="C133" s="88" t="str">
        <v>2.7.</v>
      </c>
      <c r="D133" s="88" t="str">
        <v>Analisis Laboratorio</v>
      </c>
      <c r="E133" s="88" t="str">
        <v>2.7.2.</v>
      </c>
      <c r="F133" s="88" t="str">
        <v>Analisis de Suelos</v>
      </c>
      <c r="G133" s="88" t="str">
        <v>Varios</v>
      </c>
      <c r="H133" s="88" t="str">
        <v>Analisis completo de suelos</v>
      </c>
      <c r="I133" s="88" t="str">
        <v>héctarea</v>
      </c>
      <c r="J133" s="88">
        <v>0.1</v>
      </c>
      <c r="K133" s="152">
        <v>175000</v>
      </c>
      <c r="L133" s="153">
        <v>17500</v>
      </c>
    </row>
    <row r="134" spans="1:12" ht="15">
      <c r="A134" s="88" t="str">
        <v>3.</v>
      </c>
      <c r="B134" s="88" t="str">
        <v>Otros Costos</v>
      </c>
      <c r="C134" s="88" t="str">
        <v>3.1.</v>
      </c>
      <c r="D134" s="88" t="str">
        <v>Administracion</v>
      </c>
      <c r="E134" s="88" t="str">
        <v>3.1.1.</v>
      </c>
      <c r="F134" s="88" t="str">
        <v>Administración</v>
      </c>
      <c r="G134" s="88" t="str">
        <v>Otros costos directos</v>
      </c>
      <c r="H134" s="88" t="str">
        <v>Administración del cultivo</v>
      </c>
      <c r="I134" s="88" t="str">
        <v>unidad</v>
      </c>
      <c r="J134" s="88">
        <v>1</v>
      </c>
      <c r="K134" s="152">
        <v>1055581.9898919268</v>
      </c>
      <c r="L134" s="153">
        <v>1055581.9898919268</v>
      </c>
    </row>
    <row r="135" spans="1:12" ht="15">
      <c r="A135" s="88" t="str">
        <v>3.</v>
      </c>
      <c r="B135" s="88" t="str">
        <v>Otros Costos</v>
      </c>
      <c r="C135" s="88" t="str">
        <v>3.2.</v>
      </c>
      <c r="D135" s="88" t="str">
        <v>Asistencia Tecnica</v>
      </c>
      <c r="E135" s="88" t="str">
        <v>3.2.1.</v>
      </c>
      <c r="F135" s="88" t="str">
        <v>Visitas</v>
      </c>
      <c r="G135" s="88" t="str">
        <v>Varios</v>
      </c>
      <c r="H135" s="88" t="str">
        <v>Asistencia Técnica</v>
      </c>
      <c r="I135" s="88" t="str">
        <v>Visita</v>
      </c>
      <c r="J135" s="88">
        <v>1</v>
      </c>
      <c r="K135" s="152">
        <v>120000</v>
      </c>
      <c r="L135" s="153">
        <v>120000</v>
      </c>
    </row>
    <row r="136" spans="1:12" ht="15">
      <c r="A136" s="88" t="str">
        <v>3.</v>
      </c>
      <c r="B136" s="88" t="str">
        <v>Otros Costos</v>
      </c>
      <c r="C136" s="88" t="str">
        <v>3.3.</v>
      </c>
      <c r="D136" s="88" t="str">
        <v>Arrendamiento</v>
      </c>
      <c r="E136" s="88" t="str">
        <v>3.3.1.</v>
      </c>
      <c r="F136" s="88" t="str">
        <v>Canon</v>
      </c>
      <c r="G136" s="88" t="str">
        <v>Arrendamiento_de_tierras</v>
      </c>
      <c r="H136" s="88" t="str">
        <v>Hectárea anual.</v>
      </c>
      <c r="I136" s="88" t="str">
        <v>unidad</v>
      </c>
      <c r="J136" s="88">
        <v>1</v>
      </c>
      <c r="K136" s="152">
        <v>500000</v>
      </c>
      <c r="L136" s="153">
        <v>500000</v>
      </c>
    </row>
    <row r="137" spans="1:12" ht="15">
      <c r="A137" s="88"/>
      <c r="B137" s="88"/>
      <c r="C137" s="88"/>
      <c r="D137" s="88"/>
      <c r="E137" s="88"/>
      <c r="F137" s="88"/>
      <c r="G137" s="88"/>
      <c r="H137" s="88"/>
      <c r="I137" s="88"/>
      <c r="J137" s="88"/>
      <c r="K137" s="88"/>
      <c r="L137" s="98"/>
    </row>
    <row r="138" spans="1:12" ht="15">
      <c r="A138" s="88"/>
      <c r="B138" s="88"/>
      <c r="C138" s="88"/>
      <c r="D138" s="88"/>
      <c r="E138" s="88"/>
      <c r="F138" s="88"/>
      <c r="G138" s="88"/>
      <c r="H138" s="88"/>
      <c r="I138" s="88"/>
      <c r="J138" s="88"/>
      <c r="K138" s="88"/>
      <c r="L138" s="98"/>
    </row>
    <row r="139" spans="1:12" ht="15">
      <c r="A139" s="88"/>
      <c r="B139" s="88"/>
      <c r="C139" s="88"/>
      <c r="D139" s="88"/>
      <c r="E139" s="88"/>
      <c r="F139" s="88"/>
      <c r="G139" s="88"/>
      <c r="H139" s="88"/>
      <c r="I139" s="88"/>
      <c r="J139" s="88"/>
      <c r="K139" s="88"/>
      <c r="L139" s="98"/>
    </row>
    <row r="140" spans="1:12" ht="15">
      <c r="A140" s="88"/>
      <c r="B140" s="88"/>
      <c r="C140" s="88"/>
      <c r="D140" s="88"/>
      <c r="E140" s="88"/>
      <c r="F140" s="88"/>
      <c r="G140" s="88"/>
      <c r="H140" s="88"/>
      <c r="I140" s="88"/>
      <c r="J140" s="88"/>
      <c r="K140" s="88"/>
      <c r="L140" s="98"/>
    </row>
    <row r="141" spans="1:12" ht="15">
      <c r="A141" s="88"/>
      <c r="B141" s="88"/>
      <c r="C141" s="88"/>
      <c r="D141" s="88"/>
      <c r="E141" s="88"/>
      <c r="F141" s="88"/>
      <c r="G141" s="88"/>
      <c r="H141" s="88"/>
      <c r="I141" s="88"/>
      <c r="J141" s="88"/>
      <c r="K141" s="88"/>
      <c r="L141" s="98"/>
    </row>
    <row r="142" spans="1:12" ht="15">
      <c r="A142" s="88"/>
      <c r="B142" s="88"/>
      <c r="C142" s="88"/>
      <c r="D142" s="88"/>
      <c r="E142" s="88"/>
      <c r="F142" s="88"/>
      <c r="G142" s="88"/>
      <c r="H142" s="88"/>
      <c r="I142" s="88"/>
      <c r="J142" s="88"/>
      <c r="K142" s="88"/>
      <c r="L142" s="98"/>
    </row>
    <row r="143" spans="1:12" ht="15">
      <c r="A143" s="88"/>
      <c r="B143" s="88"/>
      <c r="C143" s="88"/>
      <c r="D143" s="88"/>
      <c r="E143" s="88"/>
      <c r="F143" s="88"/>
      <c r="G143" s="88"/>
      <c r="H143" s="88"/>
      <c r="I143" s="88"/>
      <c r="J143" s="88"/>
    </row>
    <row r="144" spans="1:12" ht="15">
      <c r="A144" s="88"/>
      <c r="B144" s="88"/>
      <c r="C144" s="88"/>
      <c r="D144" s="88"/>
      <c r="E144" s="88"/>
      <c r="F144" s="88"/>
      <c r="G144" s="88"/>
      <c r="H144" s="88"/>
      <c r="I144" s="88"/>
      <c r="J144" s="88"/>
      <c r="K144" s="88"/>
      <c r="L144" s="98"/>
    </row>
    <row r="145" spans="1:12">
      <c r="L145" s="461"/>
    </row>
    <row r="146" spans="1:12" ht="15.75" thickBot="1">
      <c r="A146" s="462"/>
      <c r="B146" s="462"/>
      <c r="C146" s="462"/>
      <c r="D146" s="462"/>
      <c r="E146" s="462"/>
      <c r="F146" s="462"/>
      <c r="G146" s="462"/>
      <c r="H146" s="462"/>
      <c r="I146" s="462"/>
      <c r="J146" s="462"/>
      <c r="K146" s="154" t="s">
        <v>67</v>
      </c>
      <c r="L146" s="155">
        <f>SUM(L113:L142)</f>
        <v>16737023.530207679</v>
      </c>
    </row>
    <row r="147" spans="1:12" ht="15" thickTop="1">
      <c r="L147" s="461"/>
    </row>
    <row r="148" spans="1:12">
      <c r="L148" s="461"/>
    </row>
    <row r="149" spans="1:12" ht="15">
      <c r="A149" s="164" t="s">
        <v>51</v>
      </c>
      <c r="B149" s="147" t="str">
        <f>$B$28</f>
        <v>Plátano Domínico hartón</v>
      </c>
      <c r="C149" s="100"/>
      <c r="D149" s="88"/>
      <c r="E149" s="146" t="s">
        <v>52</v>
      </c>
      <c r="F149" s="494" t="s">
        <v>4573</v>
      </c>
      <c r="G149" s="88"/>
      <c r="H149" s="88"/>
      <c r="I149" s="88"/>
      <c r="J149" s="88"/>
      <c r="K149" s="88"/>
      <c r="L149" s="165"/>
    </row>
    <row r="150" spans="1:12" ht="15">
      <c r="A150" s="88"/>
      <c r="B150" s="88"/>
      <c r="C150" s="88"/>
      <c r="D150" s="88"/>
      <c r="E150" s="88"/>
      <c r="F150" s="88"/>
      <c r="G150" s="88"/>
      <c r="H150" s="88"/>
      <c r="I150" s="88"/>
      <c r="J150" s="88"/>
      <c r="K150" s="88"/>
      <c r="L150" s="165"/>
    </row>
    <row r="151" spans="1:12" ht="15.75" customHeight="1" thickBot="1">
      <c r="A151" s="88"/>
      <c r="B151" s="88"/>
      <c r="C151" s="88"/>
      <c r="D151" s="88"/>
      <c r="E151" s="88"/>
      <c r="F151" s="452"/>
      <c r="G151" s="452"/>
      <c r="H151" s="452"/>
      <c r="I151" s="452"/>
      <c r="J151" s="452"/>
      <c r="K151" s="452"/>
      <c r="L151" s="98"/>
    </row>
    <row r="152" spans="1:12" ht="15.75" customHeight="1">
      <c r="A152" s="448" t="s">
        <v>57</v>
      </c>
      <c r="B152" s="449"/>
      <c r="C152" s="473" t="s">
        <v>58</v>
      </c>
      <c r="D152" s="474"/>
      <c r="E152" s="475" t="s">
        <v>59</v>
      </c>
      <c r="F152" s="472"/>
      <c r="G152" s="450" t="s">
        <v>60</v>
      </c>
      <c r="H152" s="449"/>
      <c r="I152" s="449"/>
      <c r="J152" s="449"/>
      <c r="K152" s="449"/>
      <c r="L152" s="451" t="s">
        <v>61</v>
      </c>
    </row>
    <row r="153" spans="1:12" ht="15.75" customHeight="1">
      <c r="A153" s="465" t="s">
        <v>62</v>
      </c>
      <c r="B153" s="463" t="s">
        <v>63</v>
      </c>
      <c r="C153" s="464" t="s">
        <v>62</v>
      </c>
      <c r="D153" s="469" t="s">
        <v>63</v>
      </c>
      <c r="E153" s="470" t="s">
        <v>62</v>
      </c>
      <c r="F153" s="471" t="s">
        <v>63</v>
      </c>
      <c r="G153" s="463" t="s">
        <v>15</v>
      </c>
      <c r="H153" s="463" t="s">
        <v>63</v>
      </c>
      <c r="I153" s="463" t="s">
        <v>64</v>
      </c>
      <c r="J153" s="463" t="s">
        <v>65</v>
      </c>
      <c r="K153" s="463" t="s">
        <v>66</v>
      </c>
      <c r="L153" s="466"/>
    </row>
    <row r="154" spans="1:12" ht="15.75" customHeight="1">
      <c r="A154" s="87" t="str" cm="1">
        <f t="array" ref="A154:L157">_xlfn._xlws.FILTER(Base_datActividades_priorFIN!D58:O1215, (Base_datActividades_priorFIN!P58:P1215=B149) * (Base_datActividades_priorFIN!C58:C1215=F149), "no corresponde")</f>
        <v>1.</v>
      </c>
      <c r="B154" s="452" t="str">
        <v>Labores</v>
      </c>
      <c r="C154" s="452" t="str">
        <v>1.3.</v>
      </c>
      <c r="D154" s="468" t="str">
        <v>Preparacion de Tierras</v>
      </c>
      <c r="E154" s="468" t="str">
        <v>1.3.6.</v>
      </c>
      <c r="F154" s="452" t="str">
        <v>Limpia Manual</v>
      </c>
      <c r="G154" s="452" t="str">
        <v>Varios</v>
      </c>
      <c r="H154" s="452" t="str">
        <v>Mano de Obra</v>
      </c>
      <c r="I154" s="452" t="str">
        <v>Jornal</v>
      </c>
      <c r="J154" s="452">
        <v>13</v>
      </c>
      <c r="K154" s="477">
        <v>46666.666666666664</v>
      </c>
      <c r="L154" s="478">
        <v>606666.66666666663</v>
      </c>
    </row>
    <row r="155" spans="1:12" ht="15">
      <c r="A155" s="87" t="str">
        <v>1.</v>
      </c>
      <c r="B155" s="452" t="str">
        <v>Labores</v>
      </c>
      <c r="C155" s="452" t="str">
        <v>1.3.</v>
      </c>
      <c r="D155" s="452" t="str">
        <v>Preparacion de Tierras</v>
      </c>
      <c r="E155" s="452" t="str">
        <v>1.3.11.</v>
      </c>
      <c r="F155" s="452" t="str">
        <v>Tumba - Socola - Repique</v>
      </c>
      <c r="G155" s="452" t="str">
        <v>Varios</v>
      </c>
      <c r="H155" s="452" t="str">
        <v>Mano de Obra</v>
      </c>
      <c r="I155" s="452" t="str">
        <v>Jornal</v>
      </c>
      <c r="J155" s="452">
        <v>7</v>
      </c>
      <c r="K155" s="477">
        <v>46666.666666666664</v>
      </c>
      <c r="L155" s="478">
        <v>326666.66666666663</v>
      </c>
    </row>
    <row r="156" spans="1:12" ht="15">
      <c r="A156" s="87" t="str">
        <v>1.</v>
      </c>
      <c r="B156" s="452" t="str">
        <v>Labores</v>
      </c>
      <c r="C156" s="452" t="str">
        <v>1.3.</v>
      </c>
      <c r="D156" s="452" t="str">
        <v>Preparacion de Tierras</v>
      </c>
      <c r="E156" s="452" t="str">
        <v>1.3.12.</v>
      </c>
      <c r="F156" s="452" t="str">
        <v>Otras</v>
      </c>
      <c r="G156" s="452" t="str">
        <v>Varios</v>
      </c>
      <c r="H156" s="452" t="str">
        <v>Mano de Obra</v>
      </c>
      <c r="I156" s="452" t="str">
        <v>Jornal</v>
      </c>
      <c r="J156" s="452">
        <v>7</v>
      </c>
      <c r="K156" s="477">
        <v>46666.666666666664</v>
      </c>
      <c r="L156" s="478">
        <v>326666.66666666663</v>
      </c>
    </row>
    <row r="157" spans="1:12">
      <c r="A157" s="453" t="str">
        <v>3.</v>
      </c>
      <c r="B157" s="454" t="str">
        <v>Otros Costos</v>
      </c>
      <c r="C157" s="454" t="str">
        <v>3.1.</v>
      </c>
      <c r="D157" s="454" t="str">
        <v>Administracion</v>
      </c>
      <c r="E157" s="454" t="str">
        <v>3.1.1.</v>
      </c>
      <c r="F157" s="454" t="str">
        <v>Administración</v>
      </c>
      <c r="G157" s="454" t="str">
        <v>Otros costos directos</v>
      </c>
      <c r="H157" s="454" t="str">
        <v>Administración del cultivo</v>
      </c>
      <c r="I157" s="454" t="str">
        <v>unidad</v>
      </c>
      <c r="J157" s="454">
        <v>1</v>
      </c>
      <c r="K157" s="479">
        <v>100800</v>
      </c>
      <c r="L157" s="480">
        <v>100800</v>
      </c>
    </row>
    <row r="158" spans="1:12">
      <c r="A158" s="453"/>
      <c r="B158" s="454"/>
      <c r="C158" s="454"/>
      <c r="D158" s="454"/>
      <c r="E158" s="454"/>
      <c r="F158" s="454"/>
      <c r="G158" s="454"/>
      <c r="H158" s="454"/>
      <c r="I158" s="454"/>
      <c r="J158" s="454"/>
      <c r="K158" s="454"/>
      <c r="L158" s="455"/>
    </row>
    <row r="159" spans="1:12">
      <c r="A159" s="453"/>
      <c r="B159" s="454"/>
      <c r="C159" s="454"/>
      <c r="D159" s="454"/>
      <c r="E159" s="454"/>
      <c r="F159" s="454"/>
      <c r="G159" s="454"/>
      <c r="H159" s="454"/>
      <c r="I159" s="454"/>
      <c r="J159" s="454"/>
      <c r="K159" s="454"/>
      <c r="L159" s="455"/>
    </row>
    <row r="160" spans="1:12">
      <c r="A160" s="453"/>
      <c r="B160" s="454"/>
      <c r="C160" s="454"/>
      <c r="D160" s="454"/>
      <c r="E160" s="454"/>
      <c r="F160" s="454"/>
      <c r="G160" s="454"/>
      <c r="H160" s="454"/>
      <c r="I160" s="454"/>
      <c r="J160" s="454"/>
      <c r="K160" s="454"/>
      <c r="L160" s="455"/>
    </row>
    <row r="161" spans="1:12">
      <c r="A161" s="453"/>
      <c r="B161" s="454"/>
      <c r="C161" s="454"/>
      <c r="D161" s="454"/>
      <c r="E161" s="454"/>
      <c r="F161" s="454"/>
      <c r="G161" s="454"/>
      <c r="H161" s="454"/>
      <c r="I161" s="454"/>
      <c r="J161" s="454"/>
      <c r="K161" s="454"/>
      <c r="L161" s="455"/>
    </row>
    <row r="162" spans="1:12">
      <c r="A162" s="453"/>
      <c r="B162" s="454"/>
      <c r="C162" s="454"/>
      <c r="D162" s="454"/>
      <c r="E162" s="454"/>
      <c r="F162" s="454"/>
      <c r="G162" s="454"/>
      <c r="H162" s="454"/>
      <c r="I162" s="454"/>
      <c r="J162" s="454"/>
      <c r="K162" s="454"/>
      <c r="L162" s="455"/>
    </row>
    <row r="163" spans="1:12" ht="15">
      <c r="A163" s="453"/>
      <c r="B163" s="454"/>
      <c r="C163" s="454"/>
      <c r="D163" s="467"/>
      <c r="E163" s="454"/>
      <c r="F163" s="454"/>
      <c r="G163" s="454"/>
      <c r="H163" s="454"/>
      <c r="I163" s="454"/>
      <c r="J163" s="454"/>
      <c r="K163" s="456" t="s">
        <v>4601</v>
      </c>
      <c r="L163" s="457">
        <f>SUM(L154:L162)</f>
        <v>1360800</v>
      </c>
    </row>
    <row r="164" spans="1:12" ht="15" thickBot="1">
      <c r="A164" s="458"/>
      <c r="B164" s="459"/>
      <c r="C164" s="459"/>
      <c r="D164" s="476"/>
      <c r="E164" s="459"/>
      <c r="F164" s="459"/>
      <c r="G164" s="459"/>
      <c r="H164" s="459"/>
      <c r="I164" s="459"/>
      <c r="J164" s="459"/>
      <c r="K164" s="459"/>
      <c r="L164" s="460"/>
    </row>
    <row r="165" spans="1:12">
      <c r="D165" s="20"/>
    </row>
    <row r="166" spans="1:12">
      <c r="D166" s="20"/>
    </row>
    <row r="167" spans="1:12">
      <c r="D167" s="20"/>
    </row>
    <row r="168" spans="1:12">
      <c r="D168" s="20"/>
    </row>
    <row r="169" spans="1:12">
      <c r="D169" s="20"/>
    </row>
    <row r="170" spans="1:12">
      <c r="D170" s="20"/>
    </row>
    <row r="171" spans="1:12">
      <c r="D171" s="20"/>
    </row>
    <row r="172" spans="1:12">
      <c r="D172" s="20"/>
    </row>
    <row r="173" spans="1:12">
      <c r="D173" s="20"/>
    </row>
    <row r="174" spans="1:12">
      <c r="D174" s="20"/>
      <c r="K174" s="454"/>
    </row>
    <row r="175" spans="1:12">
      <c r="D175" s="20"/>
    </row>
    <row r="176" spans="1:12">
      <c r="D176" s="20"/>
    </row>
    <row r="177" spans="4:4">
      <c r="D177" s="20"/>
    </row>
    <row r="178" spans="4:4">
      <c r="D178" s="20"/>
    </row>
    <row r="179" spans="4:4">
      <c r="D179" s="20"/>
    </row>
    <row r="180" spans="4:4">
      <c r="D180" s="20"/>
    </row>
    <row r="181" spans="4:4">
      <c r="D181" s="20"/>
    </row>
    <row r="182" spans="4:4">
      <c r="D182" s="20"/>
    </row>
    <row r="183" spans="4:4">
      <c r="D183" s="20"/>
    </row>
    <row r="184" spans="4:4">
      <c r="D184" s="20"/>
    </row>
    <row r="185" spans="4:4">
      <c r="D185" s="20"/>
    </row>
    <row r="186" spans="4:4">
      <c r="D186" s="20"/>
    </row>
    <row r="187" spans="4:4">
      <c r="D187" s="20"/>
    </row>
    <row r="188" spans="4:4">
      <c r="D188" s="20"/>
    </row>
    <row r="189" spans="4:4">
      <c r="D189" s="20"/>
    </row>
  </sheetData>
  <mergeCells count="24">
    <mergeCell ref="M7:R7"/>
    <mergeCell ref="N11:R11"/>
    <mergeCell ref="N12:R12"/>
    <mergeCell ref="A74:B74"/>
    <mergeCell ref="C74:D74"/>
    <mergeCell ref="E74:F74"/>
    <mergeCell ref="G74:K74"/>
    <mergeCell ref="A111:B111"/>
    <mergeCell ref="C111:D111"/>
    <mergeCell ref="E111:F111"/>
    <mergeCell ref="G111:K111"/>
    <mergeCell ref="B17:C17"/>
    <mergeCell ref="F7:G7"/>
    <mergeCell ref="B7:C7"/>
    <mergeCell ref="A31:B31"/>
    <mergeCell ref="C31:D31"/>
    <mergeCell ref="E31:F31"/>
    <mergeCell ref="G31:K31"/>
    <mergeCell ref="L111:L112"/>
    <mergeCell ref="L31:L32"/>
    <mergeCell ref="L74:L75"/>
    <mergeCell ref="K1:L1"/>
    <mergeCell ref="K21:L21"/>
    <mergeCell ref="K22:L22"/>
  </mergeCells>
  <conditionalFormatting sqref="N11">
    <cfRule type="cellIs" dxfId="4" priority="1" operator="equal">
      <formula>"✓ COBERTURA COMPLETA"</formula>
    </cfRule>
  </conditionalFormatting>
  <conditionalFormatting sqref="N11">
    <cfRule type="cellIs" dxfId="3" priority="2" operator="equal">
      <formula>"⚠ Cobertura parcial"</formula>
    </cfRule>
  </conditionalFormatting>
  <conditionalFormatting sqref="N11">
    <cfRule type="containsText" dxfId="2" priority="3" operator="containsText" text="✗">
      <formula>NOT(ISERROR(SEARCH("✗",N11)))</formula>
    </cfRule>
  </conditionalFormatting>
  <conditionalFormatting sqref="N11">
    <cfRule type="containsText" dxfId="1" priority="4" operator="containsText" text="Cultivo sin datos">
      <formula>NOT(ISERROR(SEARCH("Cultivo sin datos",N11)))</formula>
    </cfRule>
  </conditionalFormatting>
  <conditionalFormatting sqref="P10">
    <cfRule type="colorScale" priority="5">
      <colorScale>
        <cfvo type="num" val="0"/>
        <cfvo type="num" val="0.8"/>
        <cfvo type="num" val="1"/>
        <color rgb="FFF8696B"/>
        <color rgb="FFFFEB84"/>
        <color rgb="FF63BE7B"/>
      </colorScale>
    </cfRule>
  </conditionalFormatting>
  <dataValidations count="3">
    <dataValidation type="list" allowBlank="1" showInputMessage="1" showErrorMessage="1" sqref="F7:G7" xr:uid="{8D582EFE-2C44-4008-83BD-B0AAEB7F2390}">
      <formula1>INDIRECT($B$7)</formula1>
    </dataValidation>
    <dataValidation operator="equal" allowBlank="1" showInputMessage="1" showErrorMessage="1" sqref="F23" xr:uid="{AD6989AB-952C-479A-8AF5-298AD3646ACE}"/>
    <dataValidation type="list" allowBlank="1" showInputMessage="1" showErrorMessage="1" sqref="B22" xr:uid="{ECE4A90C-DE64-4E1F-A769-0F25BA60521F}">
      <formula1>INDIRECT($A$22)</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969B18AE-AA2F-4FD4-BB8A-97A6BEDBD90C}">
          <x14:formula1>
            <xm:f>departamento!$A$23:$A$1123</xm:f>
          </x14:formula1>
          <xm:sqref>C7</xm:sqref>
        </x14:dataValidation>
        <x14:dataValidation type="list" allowBlank="1" showInputMessage="1" showErrorMessage="1" xr:uid="{935AC5DF-72D9-427C-B0A4-F88F94E49B61}">
          <x14:formula1>
            <xm:f>Caracteristicas!$P$2:$P$9</xm:f>
          </x14:formula1>
          <xm:sqref>I17</xm:sqref>
        </x14:dataValidation>
        <x14:dataValidation type="list" allowBlank="1" showInputMessage="1" showErrorMessage="1" xr:uid="{35D06459-2314-4D73-A227-5E717858DF38}">
          <x14:formula1>
            <xm:f>Caracteristicas!$A$3:$A$7</xm:f>
          </x14:formula1>
          <xm:sqref>G14</xm:sqref>
        </x14:dataValidation>
        <x14:dataValidation type="list" allowBlank="1" showInputMessage="1" showErrorMessage="1" xr:uid="{4C87B2DA-2708-453C-B40D-61E83AD4CCDB}">
          <x14:formula1>
            <xm:f>Caracteristicas!$M$2:$M$3</xm:f>
          </x14:formula1>
          <xm:sqref>H23</xm:sqref>
        </x14:dataValidation>
        <x14:dataValidation type="list" allowBlank="1" showInputMessage="1" showErrorMessage="1" xr:uid="{393C786C-65CB-4526-AB2F-BDFDC2236D8E}">
          <x14:formula1>
            <xm:f>Caracteristicas!$F$11:$F$14</xm:f>
          </x14:formula1>
          <xm:sqref>D23</xm:sqref>
        </x14:dataValidation>
        <x14:dataValidation type="list" allowBlank="1" showInputMessage="1" showErrorMessage="1" xr:uid="{ED2797A6-2BED-48E9-A4A8-CE51B76E8E76}">
          <x14:formula1>
            <xm:f>Caracteristicas!$A$21:$A$30</xm:f>
          </x14:formula1>
          <xm:sqref>A22</xm:sqref>
        </x14:dataValidation>
        <x14:dataValidation type="list" allowBlank="1" showInputMessage="1" showErrorMessage="1" xr:uid="{8FE04EE0-3591-4818-A99C-7E778ECC29AB}">
          <x14:formula1>
            <xm:f>Caracteristicas!$K$2:$K$5</xm:f>
          </x14:formula1>
          <xm:sqref>F28 F149 F108 F71</xm:sqref>
        </x14:dataValidation>
        <x14:dataValidation type="list" allowBlank="1" showInputMessage="1" showErrorMessage="1" xr:uid="{73C7B481-0C8F-4FEC-ACEA-E0183748B5E9}">
          <x14:formula1>
            <xm:f>Caracteristicas!$F$47:$F$50</xm:f>
          </x14:formula1>
          <xm:sqref>F22</xm:sqref>
        </x14:dataValidation>
        <x14:dataValidation type="list" allowBlank="1" showInputMessage="1" showErrorMessage="1" xr:uid="{44F0310A-E576-49CB-8B0A-4D87FB1205FD}">
          <x14:formula1>
            <xm:f>Caracteristicas!$AF$2:$AF$5</xm:f>
          </x14:formula1>
          <xm:sqref>B23</xm:sqref>
        </x14:dataValidation>
        <x14:dataValidation type="list" errorStyle="warning" allowBlank="1" showInputMessage="1" showErrorMessage="1" errorTitle="Departamento no válido para este cultivo" error="El departamento ARCHIPIÉLAGO DE SAN ANDRÉS, PROVIDENCIA Y SANTA CATALINA fue excluido porque no es zona productiva de Aguacate Hass." xr:uid="{1D6D8A03-2726-4420-91F9-58A7E68AB268}">
          <x14:formula1>
            <xm:f>departamento!$G$2:$G$33</xm:f>
          </x14:formula1>
          <xm:sqref>B7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B2105-648C-464F-893B-C46BABB57F61}">
  <sheetPr codeName="Hoja17"/>
  <dimension ref="A1:E17"/>
  <sheetViews>
    <sheetView showGridLines="0" workbookViewId="0">
      <pane ySplit="1" topLeftCell="A2" activePane="bottomLeft" state="frozen"/>
      <selection pane="bottomLeft" activeCell="G13" sqref="G13"/>
    </sheetView>
    <sheetView workbookViewId="1"/>
  </sheetViews>
  <sheetFormatPr baseColWidth="10" defaultRowHeight="14.25"/>
  <cols>
    <col min="1" max="1" width="12.125" bestFit="1" customWidth="1"/>
    <col min="2" max="2" width="21.125" bestFit="1" customWidth="1"/>
    <col min="3" max="3" width="18.625" customWidth="1"/>
    <col min="4" max="4" width="18.5" customWidth="1"/>
    <col min="5" max="5" width="17.875" customWidth="1"/>
  </cols>
  <sheetData>
    <row r="1" spans="1:5" ht="21.95" customHeight="1">
      <c r="A1" s="179" t="s">
        <v>4044</v>
      </c>
      <c r="B1" s="179" t="s">
        <v>73</v>
      </c>
      <c r="C1" s="179" t="s">
        <v>4049</v>
      </c>
      <c r="D1" s="179" t="s">
        <v>4050</v>
      </c>
      <c r="E1" s="179" t="s">
        <v>4051</v>
      </c>
    </row>
    <row r="2" spans="1:5" ht="15">
      <c r="A2" s="171" t="s">
        <v>97</v>
      </c>
      <c r="B2" s="171" t="s">
        <v>98</v>
      </c>
      <c r="C2" s="172"/>
      <c r="D2" s="172"/>
      <c r="E2" s="173"/>
    </row>
    <row r="3" spans="1:5" ht="15">
      <c r="A3" s="171" t="s">
        <v>232</v>
      </c>
      <c r="B3" s="171" t="s">
        <v>233</v>
      </c>
      <c r="C3" s="172"/>
      <c r="D3" s="172"/>
      <c r="E3" s="173"/>
    </row>
    <row r="4" spans="1:5" ht="15">
      <c r="A4" s="171" t="s">
        <v>244</v>
      </c>
      <c r="B4" s="171" t="s">
        <v>245</v>
      </c>
      <c r="C4" s="174"/>
      <c r="D4" s="174"/>
      <c r="E4" s="173"/>
    </row>
    <row r="5" spans="1:5" ht="15">
      <c r="A5" s="120" t="s">
        <v>4055</v>
      </c>
      <c r="B5" s="120" t="s">
        <v>4056</v>
      </c>
      <c r="C5" s="175"/>
      <c r="D5" s="175"/>
      <c r="E5" s="173"/>
    </row>
    <row r="6" spans="1:5" ht="15">
      <c r="A6" s="120" t="s">
        <v>4055</v>
      </c>
      <c r="B6" s="120" t="s">
        <v>4058</v>
      </c>
      <c r="C6" s="176"/>
      <c r="D6" s="176"/>
      <c r="E6" s="173"/>
    </row>
    <row r="7" spans="1:5" ht="15">
      <c r="A7" s="120" t="s">
        <v>4055</v>
      </c>
      <c r="B7" s="120" t="s">
        <v>4060</v>
      </c>
      <c r="C7" s="120"/>
      <c r="D7" s="120"/>
      <c r="E7" s="173"/>
    </row>
    <row r="8" spans="1:5" ht="15">
      <c r="A8" s="120" t="s">
        <v>37</v>
      </c>
      <c r="B8" s="120" t="s">
        <v>265</v>
      </c>
      <c r="C8" s="176"/>
      <c r="D8" s="176"/>
      <c r="E8" s="173"/>
    </row>
    <row r="9" spans="1:5" ht="15">
      <c r="A9" s="120" t="s">
        <v>37</v>
      </c>
      <c r="B9" s="120" t="s">
        <v>258</v>
      </c>
      <c r="C9" s="176"/>
      <c r="D9" s="176"/>
      <c r="E9" s="173"/>
    </row>
    <row r="10" spans="1:5" ht="15">
      <c r="A10" s="120" t="s">
        <v>37</v>
      </c>
      <c r="B10" s="120" t="s">
        <v>38</v>
      </c>
      <c r="C10" s="176"/>
      <c r="D10" s="176"/>
      <c r="E10" s="173"/>
    </row>
    <row r="11" spans="1:5" ht="15">
      <c r="A11" s="120" t="s">
        <v>270</v>
      </c>
      <c r="B11" s="120" t="s">
        <v>258</v>
      </c>
      <c r="C11" s="177"/>
      <c r="D11" s="177"/>
      <c r="E11" s="173"/>
    </row>
    <row r="12" spans="1:5" ht="15">
      <c r="A12" s="120" t="s">
        <v>274</v>
      </c>
      <c r="B12" s="120" t="s">
        <v>275</v>
      </c>
      <c r="C12" s="177"/>
      <c r="D12" s="177"/>
      <c r="E12" s="173"/>
    </row>
    <row r="13" spans="1:5" ht="15">
      <c r="A13" s="120" t="s">
        <v>4062</v>
      </c>
      <c r="B13" s="120" t="s">
        <v>4063</v>
      </c>
      <c r="C13" s="175"/>
      <c r="D13" s="175"/>
      <c r="E13" s="173"/>
    </row>
    <row r="14" spans="1:5" ht="15">
      <c r="A14" s="120" t="s">
        <v>4062</v>
      </c>
      <c r="B14" s="120" t="s">
        <v>258</v>
      </c>
      <c r="C14" s="176"/>
      <c r="D14" s="176"/>
      <c r="E14" s="173"/>
    </row>
    <row r="15" spans="1:5" ht="15">
      <c r="A15" s="120" t="s">
        <v>3774</v>
      </c>
      <c r="B15" s="120" t="s">
        <v>301</v>
      </c>
      <c r="C15" s="175"/>
      <c r="D15" s="175"/>
      <c r="E15" s="173"/>
    </row>
    <row r="16" spans="1:5" ht="15">
      <c r="A16" s="120" t="s">
        <v>4603</v>
      </c>
      <c r="B16" s="178" t="s">
        <v>287</v>
      </c>
      <c r="C16" s="176"/>
      <c r="D16" s="176"/>
      <c r="E16" s="173"/>
    </row>
    <row r="17" spans="1:5" ht="15">
      <c r="A17" s="120" t="s">
        <v>306</v>
      </c>
      <c r="B17" s="120" t="s">
        <v>307</v>
      </c>
      <c r="C17" s="177"/>
      <c r="D17" s="177"/>
      <c r="E17" s="173"/>
    </row>
  </sheetData>
  <conditionalFormatting sqref="A2:E17">
    <cfRule type="expression" dxfId="77" priority="1">
      <formula>ROW()=CELL("fila")</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C1A16-0DB4-46B2-A4E8-20FAE4FF8D53}">
  <sheetPr codeName="Hoja7">
    <tabColor rgb="FF2E4057"/>
  </sheetPr>
  <dimension ref="A1:H64"/>
  <sheetViews>
    <sheetView showGridLines="0" workbookViewId="0">
      <pane ySplit="1" topLeftCell="A31" activePane="bottomLeft" state="frozen"/>
      <selection pane="bottomLeft" activeCell="C36" sqref="C36"/>
    </sheetView>
    <sheetView workbookViewId="1"/>
  </sheetViews>
  <sheetFormatPr baseColWidth="10" defaultRowHeight="14.25"/>
  <cols>
    <col min="1" max="1" width="3" customWidth="1"/>
    <col min="2" max="2" width="42" customWidth="1"/>
    <col min="3" max="3" width="14" customWidth="1"/>
    <col min="4" max="4" width="36" customWidth="1"/>
    <col min="5" max="8" width="12" customWidth="1"/>
  </cols>
  <sheetData>
    <row r="1" spans="1:8" ht="21.95" customHeight="1">
      <c r="A1" s="62"/>
      <c r="B1" s="574" t="s">
        <v>4230</v>
      </c>
      <c r="C1" s="573"/>
      <c r="D1" s="573"/>
      <c r="E1" s="573"/>
      <c r="F1" s="573"/>
      <c r="G1" s="573"/>
      <c r="H1" s="573"/>
    </row>
    <row r="2" spans="1:8" ht="15.95" customHeight="1">
      <c r="B2" s="575" t="s">
        <v>4231</v>
      </c>
      <c r="C2" s="576"/>
      <c r="D2" s="577" t="s">
        <v>4232</v>
      </c>
      <c r="E2" s="576"/>
      <c r="F2" s="578" t="s">
        <v>4233</v>
      </c>
      <c r="G2" s="576"/>
      <c r="H2" s="576"/>
    </row>
    <row r="3" spans="1:8" ht="15">
      <c r="B3" s="197"/>
      <c r="C3" s="197"/>
      <c r="D3" s="197"/>
      <c r="E3" s="197"/>
      <c r="F3" s="197"/>
      <c r="G3" s="197"/>
      <c r="H3" s="197"/>
    </row>
    <row r="4" spans="1:8" ht="20.100000000000001" customHeight="1">
      <c r="B4" s="579" t="s">
        <v>4334</v>
      </c>
      <c r="C4" s="573"/>
      <c r="D4" s="573"/>
      <c r="E4" s="573"/>
      <c r="F4" s="573"/>
      <c r="G4" s="573"/>
      <c r="H4" s="573"/>
    </row>
    <row r="5" spans="1:8" ht="18" customHeight="1">
      <c r="B5" s="310" t="s">
        <v>3757</v>
      </c>
      <c r="C5" s="310" t="s">
        <v>4234</v>
      </c>
      <c r="D5" s="310" t="s">
        <v>3731</v>
      </c>
      <c r="E5" s="572" t="s">
        <v>4235</v>
      </c>
      <c r="F5" s="573"/>
      <c r="G5" s="573"/>
      <c r="H5" s="573"/>
    </row>
    <row r="6" spans="1:8" ht="15" customHeight="1">
      <c r="B6" s="311" t="s">
        <v>4236</v>
      </c>
      <c r="C6" s="312">
        <v>0.1125</v>
      </c>
      <c r="D6" s="311" t="s">
        <v>4237</v>
      </c>
      <c r="E6" s="577" t="s">
        <v>4238</v>
      </c>
      <c r="F6" s="576"/>
      <c r="G6" s="576"/>
      <c r="H6" s="576"/>
    </row>
    <row r="7" spans="1:8" ht="15" customHeight="1">
      <c r="B7" s="313" t="s">
        <v>4239</v>
      </c>
      <c r="C7" s="314">
        <v>9.8199999999999996E-2</v>
      </c>
      <c r="D7" s="313" t="s">
        <v>4237</v>
      </c>
      <c r="E7" s="581" t="s">
        <v>4240</v>
      </c>
      <c r="F7" s="576"/>
      <c r="G7" s="576"/>
      <c r="H7" s="576"/>
    </row>
    <row r="8" spans="1:8" ht="15" customHeight="1">
      <c r="B8" s="311" t="s">
        <v>4341</v>
      </c>
      <c r="C8" s="312">
        <v>0.105</v>
      </c>
      <c r="D8" s="311" t="s">
        <v>4237</v>
      </c>
      <c r="E8" s="577" t="s">
        <v>4241</v>
      </c>
      <c r="F8" s="576"/>
      <c r="G8" s="576"/>
      <c r="H8" s="576"/>
    </row>
    <row r="9" spans="1:8" ht="15" customHeight="1">
      <c r="B9" s="313" t="s">
        <v>4242</v>
      </c>
      <c r="C9" s="314">
        <v>0.13200000000000001</v>
      </c>
      <c r="D9" s="313" t="s">
        <v>4243</v>
      </c>
      <c r="E9" s="581" t="s">
        <v>4244</v>
      </c>
      <c r="F9" s="576"/>
      <c r="G9" s="576"/>
      <c r="H9" s="576"/>
    </row>
    <row r="10" spans="1:8" ht="15" customHeight="1">
      <c r="B10" s="311" t="s">
        <v>4245</v>
      </c>
      <c r="C10" s="312">
        <v>5.0999999999999997E-2</v>
      </c>
      <c r="D10" s="311" t="s">
        <v>4246</v>
      </c>
      <c r="E10" s="577" t="s">
        <v>4247</v>
      </c>
      <c r="F10" s="576"/>
      <c r="G10" s="576"/>
      <c r="H10" s="576"/>
    </row>
    <row r="11" spans="1:8" ht="15" customHeight="1">
      <c r="B11" s="313" t="s">
        <v>4248</v>
      </c>
      <c r="C11" s="314">
        <v>5.2900000000000003E-2</v>
      </c>
      <c r="D11" s="313" t="s">
        <v>4246</v>
      </c>
      <c r="E11" s="581" t="s">
        <v>4249</v>
      </c>
      <c r="F11" s="576"/>
      <c r="G11" s="576"/>
      <c r="H11" s="576"/>
    </row>
    <row r="12" spans="1:8" ht="15" customHeight="1">
      <c r="B12" s="311" t="s">
        <v>4250</v>
      </c>
      <c r="C12" s="312">
        <v>5.45E-2</v>
      </c>
      <c r="D12" s="311" t="s">
        <v>4251</v>
      </c>
      <c r="E12" s="577" t="s">
        <v>4252</v>
      </c>
      <c r="F12" s="576"/>
      <c r="G12" s="576"/>
      <c r="H12" s="576"/>
    </row>
    <row r="13" spans="1:8" ht="15" customHeight="1">
      <c r="B13" s="313" t="s">
        <v>4253</v>
      </c>
      <c r="C13" s="314">
        <v>0.28000000000000003</v>
      </c>
      <c r="D13" s="313" t="s">
        <v>4254</v>
      </c>
      <c r="E13" s="581" t="s">
        <v>4252</v>
      </c>
      <c r="F13" s="576"/>
      <c r="G13" s="576"/>
      <c r="H13" s="576"/>
    </row>
    <row r="14" spans="1:8" ht="20.100000000000001" customHeight="1">
      <c r="B14" s="315" t="s">
        <v>4255</v>
      </c>
      <c r="C14" s="312">
        <v>5.2900000000000003E-2</v>
      </c>
      <c r="D14" s="580" t="s">
        <v>4256</v>
      </c>
      <c r="E14" s="576"/>
      <c r="F14" s="576"/>
      <c r="G14" s="576"/>
      <c r="H14" s="576"/>
    </row>
    <row r="15" spans="1:8" ht="15">
      <c r="B15" s="197"/>
      <c r="C15" s="197"/>
      <c r="D15" s="197"/>
      <c r="E15" s="197"/>
      <c r="F15" s="197"/>
      <c r="G15" s="197"/>
      <c r="H15" s="197"/>
    </row>
    <row r="16" spans="1:8" ht="20.100000000000001" customHeight="1">
      <c r="B16" s="582" t="s">
        <v>4335</v>
      </c>
      <c r="C16" s="573"/>
      <c r="D16" s="573"/>
      <c r="E16" s="573"/>
      <c r="F16" s="573"/>
      <c r="G16" s="573"/>
      <c r="H16" s="573"/>
    </row>
    <row r="17" spans="2:8" ht="15.95" customHeight="1">
      <c r="B17" s="316" t="s">
        <v>3757</v>
      </c>
      <c r="C17" s="316" t="s">
        <v>4080</v>
      </c>
      <c r="D17" s="583" t="s">
        <v>4257</v>
      </c>
      <c r="E17" s="573"/>
      <c r="F17" s="573"/>
      <c r="G17" s="573"/>
      <c r="H17" s="573"/>
    </row>
    <row r="18" spans="2:8" ht="15" customHeight="1">
      <c r="B18" s="311" t="s">
        <v>4258</v>
      </c>
      <c r="C18" s="317">
        <f>C7</f>
        <v>9.8199999999999996E-2</v>
      </c>
      <c r="D18" s="580" t="s">
        <v>4259</v>
      </c>
      <c r="E18" s="576"/>
      <c r="F18" s="576"/>
      <c r="G18" s="576"/>
      <c r="H18" s="576"/>
    </row>
    <row r="19" spans="2:8" ht="15" customHeight="1">
      <c r="B19" s="313" t="s">
        <v>4260</v>
      </c>
      <c r="C19" s="312">
        <v>0.1</v>
      </c>
      <c r="D19" s="580" t="s">
        <v>4261</v>
      </c>
      <c r="E19" s="576"/>
      <c r="F19" s="576"/>
      <c r="G19" s="576"/>
      <c r="H19" s="576"/>
    </row>
    <row r="20" spans="2:8" ht="15" customHeight="1">
      <c r="B20" s="311" t="s">
        <v>4262</v>
      </c>
      <c r="C20" s="318">
        <f>C18+C19</f>
        <v>0.19819999999999999</v>
      </c>
      <c r="D20" s="580" t="s">
        <v>4263</v>
      </c>
      <c r="E20" s="576"/>
      <c r="F20" s="576"/>
      <c r="G20" s="576"/>
      <c r="H20" s="576"/>
    </row>
    <row r="21" spans="2:8" ht="15" customHeight="1">
      <c r="B21" s="313" t="s">
        <v>4264</v>
      </c>
      <c r="C21" s="319">
        <f>(1+C20)/(1+C14)-1</f>
        <v>0.13799981004843764</v>
      </c>
      <c r="D21" s="580" t="s">
        <v>4265</v>
      </c>
      <c r="E21" s="576"/>
      <c r="F21" s="576"/>
      <c r="G21" s="576"/>
      <c r="H21" s="576"/>
    </row>
    <row r="22" spans="2:8" ht="15">
      <c r="B22" s="197"/>
      <c r="C22" s="197"/>
      <c r="D22" s="197"/>
      <c r="E22" s="197"/>
      <c r="F22" s="197"/>
      <c r="G22" s="197"/>
      <c r="H22" s="197"/>
    </row>
    <row r="23" spans="2:8" ht="20.100000000000001" customHeight="1">
      <c r="B23" s="584" t="s">
        <v>4367</v>
      </c>
      <c r="C23" s="573"/>
      <c r="D23" s="573"/>
      <c r="E23" s="573"/>
      <c r="F23" s="573"/>
      <c r="G23" s="573"/>
      <c r="H23" s="573"/>
    </row>
    <row r="24" spans="2:8" ht="15.95" customHeight="1">
      <c r="B24" s="316" t="s">
        <v>3757</v>
      </c>
      <c r="C24" s="316" t="s">
        <v>4080</v>
      </c>
      <c r="D24" s="583" t="s">
        <v>4257</v>
      </c>
      <c r="E24" s="573"/>
      <c r="F24" s="573"/>
      <c r="G24" s="573"/>
      <c r="H24" s="573"/>
    </row>
    <row r="25" spans="2:8" ht="15" customHeight="1">
      <c r="B25" s="311" t="s">
        <v>4266</v>
      </c>
      <c r="C25" s="312">
        <v>0.13200000000000001</v>
      </c>
      <c r="D25" s="580" t="s">
        <v>4267</v>
      </c>
      <c r="E25" s="576"/>
      <c r="F25" s="576"/>
      <c r="G25" s="576"/>
      <c r="H25" s="576"/>
    </row>
    <row r="26" spans="2:8" ht="15" customHeight="1">
      <c r="B26" s="313" t="s">
        <v>4268</v>
      </c>
      <c r="C26" s="312">
        <v>0.75</v>
      </c>
      <c r="D26" s="580" t="s">
        <v>4269</v>
      </c>
      <c r="E26" s="576"/>
      <c r="F26" s="576"/>
      <c r="G26" s="576"/>
      <c r="H26" s="576"/>
    </row>
    <row r="27" spans="2:8" ht="15" customHeight="1">
      <c r="B27" s="311" t="s">
        <v>4270</v>
      </c>
      <c r="C27" s="312">
        <v>7.4999999999999997E-2</v>
      </c>
      <c r="D27" s="580" t="s">
        <v>4271</v>
      </c>
      <c r="E27" s="576"/>
      <c r="F27" s="576"/>
      <c r="G27" s="576"/>
      <c r="H27" s="576"/>
    </row>
    <row r="28" spans="2:8" ht="15" customHeight="1">
      <c r="B28" s="313" t="s">
        <v>4272</v>
      </c>
      <c r="C28" s="318">
        <f>C25+(C26*C27)</f>
        <v>0.18825</v>
      </c>
      <c r="D28" s="580" t="s">
        <v>4263</v>
      </c>
      <c r="E28" s="576"/>
      <c r="F28" s="576"/>
      <c r="G28" s="576"/>
      <c r="H28" s="576"/>
    </row>
    <row r="29" spans="2:8" ht="15" customHeight="1">
      <c r="B29" s="311" t="s">
        <v>4264</v>
      </c>
      <c r="C29" s="319">
        <f>(1+C28)/(1+C14)-1</f>
        <v>0.12854971982144558</v>
      </c>
      <c r="D29" s="580" t="s">
        <v>4265</v>
      </c>
      <c r="E29" s="576"/>
      <c r="F29" s="576"/>
      <c r="G29" s="576"/>
      <c r="H29" s="576"/>
    </row>
    <row r="30" spans="2:8" ht="15">
      <c r="B30" s="197"/>
      <c r="C30" s="197"/>
      <c r="D30" s="197"/>
      <c r="E30" s="197"/>
      <c r="F30" s="197"/>
      <c r="G30" s="197"/>
      <c r="H30" s="197"/>
    </row>
    <row r="31" spans="2:8" ht="20.100000000000001" customHeight="1">
      <c r="B31" s="585" t="s">
        <v>4336</v>
      </c>
      <c r="C31" s="573"/>
      <c r="D31" s="573"/>
      <c r="E31" s="573"/>
      <c r="F31" s="573"/>
      <c r="G31" s="573"/>
      <c r="H31" s="573"/>
    </row>
    <row r="32" spans="2:8" ht="15.95" customHeight="1">
      <c r="B32" s="316" t="s">
        <v>3757</v>
      </c>
      <c r="C32" s="316" t="s">
        <v>4080</v>
      </c>
      <c r="D32" s="583" t="s">
        <v>4257</v>
      </c>
      <c r="E32" s="573"/>
      <c r="F32" s="573"/>
      <c r="G32" s="573"/>
      <c r="H32" s="573"/>
    </row>
    <row r="33" spans="2:8" ht="15" customHeight="1">
      <c r="B33" s="311" t="s">
        <v>4342</v>
      </c>
      <c r="C33" s="312">
        <v>7.0000000000000007E-2</v>
      </c>
      <c r="D33" s="580" t="s">
        <v>4625</v>
      </c>
      <c r="E33" s="576"/>
      <c r="F33" s="576"/>
      <c r="G33" s="576"/>
      <c r="H33" s="576"/>
    </row>
    <row r="34" spans="2:8" ht="15" customHeight="1">
      <c r="B34" s="313" t="s">
        <v>4273</v>
      </c>
      <c r="C34" s="320" t="s">
        <v>4624</v>
      </c>
      <c r="D34" s="580" t="s">
        <v>4274</v>
      </c>
      <c r="E34" s="576"/>
      <c r="F34" s="576"/>
      <c r="G34" s="576"/>
      <c r="H34" s="576"/>
    </row>
    <row r="35" spans="2:8" ht="15" customHeight="1">
      <c r="B35" s="311" t="s">
        <v>4275</v>
      </c>
      <c r="C35" s="312">
        <v>7.1999999999999995E-2</v>
      </c>
      <c r="D35" s="580" t="s">
        <v>4276</v>
      </c>
      <c r="E35" s="576"/>
      <c r="F35" s="576"/>
      <c r="G35" s="576"/>
      <c r="H35" s="576"/>
    </row>
    <row r="36" spans="2:8" ht="15" customHeight="1">
      <c r="B36" s="313" t="s">
        <v>4277</v>
      </c>
      <c r="C36" s="318">
        <f>C33+C35</f>
        <v>0.14200000000000002</v>
      </c>
      <c r="D36" s="580" t="s">
        <v>4278</v>
      </c>
      <c r="E36" s="576"/>
      <c r="F36" s="576"/>
      <c r="G36" s="576"/>
      <c r="H36" s="576"/>
    </row>
    <row r="37" spans="2:8" ht="15" customHeight="1">
      <c r="B37" s="311" t="s">
        <v>4264</v>
      </c>
      <c r="C37" s="319">
        <f>(1+C36)/(1+C14)-1</f>
        <v>8.4623421027637979E-2</v>
      </c>
      <c r="D37" s="580" t="s">
        <v>4265</v>
      </c>
      <c r="E37" s="576"/>
      <c r="F37" s="576"/>
      <c r="G37" s="576"/>
      <c r="H37" s="576"/>
    </row>
    <row r="38" spans="2:8" ht="15">
      <c r="B38" s="197"/>
      <c r="C38" s="197"/>
      <c r="D38" s="197"/>
      <c r="E38" s="197"/>
      <c r="F38" s="197"/>
      <c r="G38" s="197"/>
      <c r="H38" s="197"/>
    </row>
    <row r="39" spans="2:8" ht="20.100000000000001" customHeight="1">
      <c r="B39" s="586" t="s">
        <v>4337</v>
      </c>
      <c r="C39" s="573"/>
      <c r="D39" s="573"/>
      <c r="E39" s="573"/>
      <c r="F39" s="573"/>
      <c r="G39" s="573"/>
      <c r="H39" s="573"/>
    </row>
    <row r="40" spans="2:8" ht="18" customHeight="1">
      <c r="B40" s="321" t="s">
        <v>4279</v>
      </c>
      <c r="C40" s="322" t="s">
        <v>4280</v>
      </c>
      <c r="D40" s="587" t="s">
        <v>4281</v>
      </c>
      <c r="E40" s="573"/>
      <c r="F40" s="573"/>
      <c r="G40" s="573"/>
      <c r="H40" s="573"/>
    </row>
    <row r="41" spans="2:8" ht="15.95" customHeight="1">
      <c r="B41" s="316" t="s">
        <v>3757</v>
      </c>
      <c r="C41" s="316" t="s">
        <v>4080</v>
      </c>
      <c r="D41" s="583" t="s">
        <v>4257</v>
      </c>
      <c r="E41" s="573"/>
      <c r="F41" s="573"/>
      <c r="G41" s="573"/>
      <c r="H41" s="573"/>
    </row>
    <row r="42" spans="2:8" ht="15" customHeight="1">
      <c r="B42" s="311" t="s">
        <v>4282</v>
      </c>
      <c r="C42" s="312">
        <v>0.7</v>
      </c>
      <c r="D42" s="580" t="s">
        <v>4283</v>
      </c>
      <c r="E42" s="576"/>
      <c r="F42" s="576"/>
      <c r="G42" s="576"/>
      <c r="H42" s="576"/>
    </row>
    <row r="43" spans="2:8" ht="15" customHeight="1">
      <c r="B43" s="313" t="s">
        <v>4284</v>
      </c>
      <c r="C43" s="312">
        <v>0.17</v>
      </c>
      <c r="D43" s="580" t="s">
        <v>4285</v>
      </c>
      <c r="E43" s="576"/>
      <c r="F43" s="576"/>
      <c r="G43" s="576"/>
      <c r="H43" s="576"/>
    </row>
    <row r="44" spans="2:8" ht="15" customHeight="1">
      <c r="B44" s="311" t="s">
        <v>4286</v>
      </c>
      <c r="C44" s="318">
        <f>1-C42</f>
        <v>0.30000000000000004</v>
      </c>
      <c r="D44" s="580" t="s">
        <v>4263</v>
      </c>
      <c r="E44" s="576"/>
      <c r="F44" s="576"/>
      <c r="G44" s="576"/>
      <c r="H44" s="576"/>
    </row>
    <row r="45" spans="2:8" ht="15" customHeight="1">
      <c r="B45" s="313" t="s">
        <v>4287</v>
      </c>
      <c r="C45" s="317">
        <f>C28</f>
        <v>0.18825</v>
      </c>
      <c r="D45" s="580" t="s">
        <v>4288</v>
      </c>
      <c r="E45" s="576"/>
      <c r="F45" s="576"/>
      <c r="G45" s="576"/>
      <c r="H45" s="576"/>
    </row>
    <row r="46" spans="2:8" ht="15" customHeight="1">
      <c r="B46" s="311" t="s">
        <v>4289</v>
      </c>
      <c r="C46" s="318">
        <f>C42*C43+C44*C45</f>
        <v>0.17547499999999999</v>
      </c>
      <c r="D46" s="580" t="s">
        <v>4290</v>
      </c>
      <c r="E46" s="576"/>
      <c r="F46" s="576"/>
      <c r="G46" s="576"/>
      <c r="H46" s="576"/>
    </row>
    <row r="47" spans="2:8" ht="15" customHeight="1">
      <c r="B47" s="313" t="s">
        <v>4291</v>
      </c>
      <c r="C47" s="319">
        <f>(1+C46)/(1+C14)-1</f>
        <v>0.1164165637762371</v>
      </c>
      <c r="D47" s="580" t="s">
        <v>4292</v>
      </c>
      <c r="E47" s="576"/>
      <c r="F47" s="576"/>
      <c r="G47" s="576"/>
      <c r="H47" s="576"/>
    </row>
    <row r="48" spans="2:8" ht="15">
      <c r="B48" s="197"/>
      <c r="C48" s="197"/>
      <c r="D48" s="197"/>
      <c r="E48" s="197"/>
      <c r="F48" s="197"/>
      <c r="G48" s="197"/>
      <c r="H48" s="197"/>
    </row>
    <row r="49" spans="2:8" ht="15">
      <c r="B49" s="197"/>
      <c r="C49" s="197"/>
      <c r="D49" s="197"/>
      <c r="E49" s="197"/>
      <c r="F49" s="197"/>
      <c r="G49" s="197"/>
      <c r="H49" s="197"/>
    </row>
    <row r="50" spans="2:8" ht="20.100000000000001" customHeight="1">
      <c r="B50" s="588" t="s">
        <v>4338</v>
      </c>
      <c r="C50" s="573"/>
      <c r="D50" s="573"/>
      <c r="E50" s="573"/>
      <c r="F50" s="573"/>
      <c r="G50" s="573"/>
      <c r="H50" s="573"/>
    </row>
    <row r="51" spans="2:8" ht="15.95" customHeight="1">
      <c r="B51" s="316" t="s">
        <v>4293</v>
      </c>
      <c r="C51" s="316" t="s">
        <v>4294</v>
      </c>
      <c r="D51" s="583" t="s">
        <v>4295</v>
      </c>
      <c r="E51" s="573"/>
      <c r="F51" s="573"/>
      <c r="G51" s="583" t="s">
        <v>4296</v>
      </c>
      <c r="H51" s="583"/>
    </row>
    <row r="52" spans="2:8" ht="15" customHeight="1">
      <c r="B52" s="311" t="s">
        <v>4297</v>
      </c>
      <c r="C52" s="318">
        <f>C21</f>
        <v>0.13799981004843764</v>
      </c>
      <c r="D52" s="580" t="s">
        <v>4311</v>
      </c>
      <c r="E52" s="576"/>
      <c r="F52" s="576"/>
      <c r="G52" s="589" t="s">
        <v>4298</v>
      </c>
      <c r="H52" s="589"/>
    </row>
    <row r="53" spans="2:8" ht="15" customHeight="1">
      <c r="B53" s="313" t="s">
        <v>4299</v>
      </c>
      <c r="C53" s="318">
        <f>C29</f>
        <v>0.12854971982144558</v>
      </c>
      <c r="D53" s="580" t="s">
        <v>4312</v>
      </c>
      <c r="E53" s="576"/>
      <c r="F53" s="576"/>
      <c r="G53" s="589" t="s">
        <v>4298</v>
      </c>
      <c r="H53" s="589"/>
    </row>
    <row r="54" spans="2:8" ht="15" customHeight="1">
      <c r="B54" s="311" t="s">
        <v>4300</v>
      </c>
      <c r="C54" s="318">
        <f>C37</f>
        <v>8.4623421027637979E-2</v>
      </c>
      <c r="D54" s="580" t="s">
        <v>4301</v>
      </c>
      <c r="E54" s="576"/>
      <c r="F54" s="576"/>
      <c r="G54" s="589" t="s">
        <v>4298</v>
      </c>
      <c r="H54" s="589"/>
    </row>
    <row r="55" spans="2:8" ht="15" customHeight="1">
      <c r="B55" s="313" t="s">
        <v>4302</v>
      </c>
      <c r="C55" s="318">
        <f>C47</f>
        <v>0.1164165637762371</v>
      </c>
      <c r="D55" s="580" t="s">
        <v>4303</v>
      </c>
      <c r="E55" s="576"/>
      <c r="F55" s="576"/>
      <c r="G55" s="589" t="s">
        <v>4298</v>
      </c>
      <c r="H55" s="589"/>
    </row>
    <row r="56" spans="2:8" ht="15">
      <c r="B56" s="197"/>
      <c r="C56" s="197"/>
      <c r="D56" s="197"/>
      <c r="E56" s="197"/>
      <c r="F56" s="197"/>
      <c r="G56" s="197"/>
      <c r="H56" s="197"/>
    </row>
    <row r="57" spans="2:8" ht="21.95" customHeight="1">
      <c r="B57" s="315" t="s">
        <v>4304</v>
      </c>
      <c r="C57" s="575" t="s">
        <v>4300</v>
      </c>
      <c r="D57" s="576"/>
      <c r="E57" s="315" t="s">
        <v>4305</v>
      </c>
      <c r="F57" s="591">
        <f>IF(C57="DTF + Prima de Riesgo",C52,IF(C57="CAPM",C53,IF(C57="Finagro",C54,IF(C57="WACC",C55,0))))</f>
        <v>8.4623421027637979E-2</v>
      </c>
      <c r="G57" s="576"/>
      <c r="H57" s="576"/>
    </row>
    <row r="58" spans="2:8" ht="18" customHeight="1">
      <c r="B58" s="592" t="s">
        <v>4306</v>
      </c>
      <c r="C58" s="576"/>
      <c r="D58" s="576"/>
      <c r="E58" s="576"/>
      <c r="F58" s="576"/>
      <c r="G58" s="576"/>
      <c r="H58" s="576"/>
    </row>
    <row r="59" spans="2:8" ht="15">
      <c r="B59" s="590" t="s">
        <v>4307</v>
      </c>
      <c r="C59" s="576"/>
      <c r="D59" s="576"/>
      <c r="E59" s="576"/>
      <c r="F59" s="576"/>
      <c r="G59" s="576"/>
      <c r="H59" s="576"/>
    </row>
    <row r="60" spans="2:8" ht="18" customHeight="1">
      <c r="B60" s="590" t="s">
        <v>4308</v>
      </c>
      <c r="C60" s="576"/>
      <c r="D60" s="576"/>
      <c r="E60" s="576"/>
      <c r="F60" s="576"/>
      <c r="G60" s="576"/>
      <c r="H60" s="576"/>
    </row>
    <row r="61" spans="2:8" ht="15" customHeight="1">
      <c r="B61" s="590" t="s">
        <v>4309</v>
      </c>
      <c r="C61" s="576"/>
      <c r="D61" s="576"/>
      <c r="E61" s="576"/>
      <c r="F61" s="576"/>
      <c r="G61" s="576"/>
      <c r="H61" s="576"/>
    </row>
    <row r="62" spans="2:8" ht="15" customHeight="1">
      <c r="B62" s="590" t="s">
        <v>4310</v>
      </c>
      <c r="C62" s="576"/>
      <c r="D62" s="576"/>
      <c r="E62" s="576"/>
      <c r="F62" s="576"/>
      <c r="G62" s="576"/>
      <c r="H62" s="576"/>
    </row>
    <row r="63" spans="2:8" ht="15" customHeight="1"/>
    <row r="64" spans="2:8" ht="15" customHeight="1"/>
  </sheetData>
  <mergeCells count="62">
    <mergeCell ref="B62:H62"/>
    <mergeCell ref="C57:D57"/>
    <mergeCell ref="F57:H57"/>
    <mergeCell ref="B58:H58"/>
    <mergeCell ref="B59:H59"/>
    <mergeCell ref="B60:H60"/>
    <mergeCell ref="D54:F54"/>
    <mergeCell ref="G54:H54"/>
    <mergeCell ref="D55:F55"/>
    <mergeCell ref="G55:H55"/>
    <mergeCell ref="B61:H61"/>
    <mergeCell ref="B50:H50"/>
    <mergeCell ref="D51:F51"/>
    <mergeCell ref="D53:F53"/>
    <mergeCell ref="G53:H53"/>
    <mergeCell ref="D52:F52"/>
    <mergeCell ref="G52:H52"/>
    <mergeCell ref="G51:H51"/>
    <mergeCell ref="D41:H41"/>
    <mergeCell ref="D42:H42"/>
    <mergeCell ref="D43:H43"/>
    <mergeCell ref="D44:H44"/>
    <mergeCell ref="D47:H47"/>
    <mergeCell ref="D46:H46"/>
    <mergeCell ref="D45:H45"/>
    <mergeCell ref="D35:H35"/>
    <mergeCell ref="D36:H36"/>
    <mergeCell ref="D37:H37"/>
    <mergeCell ref="B39:H39"/>
    <mergeCell ref="D40:H40"/>
    <mergeCell ref="D26:H26"/>
    <mergeCell ref="D27:H27"/>
    <mergeCell ref="D28:H28"/>
    <mergeCell ref="D29:H29"/>
    <mergeCell ref="B31:H31"/>
    <mergeCell ref="D20:H20"/>
    <mergeCell ref="D21:H21"/>
    <mergeCell ref="B23:H23"/>
    <mergeCell ref="D24:H24"/>
    <mergeCell ref="D25:H25"/>
    <mergeCell ref="D33:H33"/>
    <mergeCell ref="D34:H34"/>
    <mergeCell ref="D18:H18"/>
    <mergeCell ref="E6:H6"/>
    <mergeCell ref="E7:H7"/>
    <mergeCell ref="E8:H8"/>
    <mergeCell ref="E9:H9"/>
    <mergeCell ref="E10:H10"/>
    <mergeCell ref="E11:H11"/>
    <mergeCell ref="E12:H12"/>
    <mergeCell ref="E13:H13"/>
    <mergeCell ref="D14:H14"/>
    <mergeCell ref="B16:H16"/>
    <mergeCell ref="D17:H17"/>
    <mergeCell ref="D32:H32"/>
    <mergeCell ref="D19:H19"/>
    <mergeCell ref="E5:H5"/>
    <mergeCell ref="B1:H1"/>
    <mergeCell ref="B2:C2"/>
    <mergeCell ref="D2:E2"/>
    <mergeCell ref="F2:H2"/>
    <mergeCell ref="B4:H4"/>
  </mergeCells>
  <dataValidations count="1">
    <dataValidation type="list" allowBlank="1" showInputMessage="1" showErrorMessage="1" errorTitle="Valor no válido" error="Debe seleccionar uno de los métodos de la lista: DTF + Prima de Riesgo, CAPM, Finagro o WACC." promptTitle="Seleccione el método" prompt="Elija una de las 4 opciones para definir la tasa de descuento real (Res. 620/2008)." sqref="C57" xr:uid="{7AFEA197-787E-4C2B-80F8-156EC1996487}">
      <formula1>"DTF + Prima de Riesgo,CAPM,Finagro,WACC"</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30F37-EE62-4C60-B78E-14B7C4D02B55}">
  <sheetPr codeName="Hoja12">
    <tabColor rgb="FF2E4057"/>
  </sheetPr>
  <dimension ref="A1:K41"/>
  <sheetViews>
    <sheetView showGridLines="0" workbookViewId="0">
      <pane ySplit="1" topLeftCell="A2" activePane="bottomLeft" state="frozen"/>
      <selection pane="bottomLeft" activeCell="H24" sqref="H24"/>
    </sheetView>
    <sheetView workbookViewId="1">
      <selection sqref="A1:C1"/>
    </sheetView>
  </sheetViews>
  <sheetFormatPr baseColWidth="10" defaultColWidth="8" defaultRowHeight="15"/>
  <cols>
    <col min="1" max="1" width="14.625" style="1" customWidth="1"/>
    <col min="2" max="2" width="6.625" style="1" customWidth="1"/>
    <col min="3" max="3" width="15.625" style="1" customWidth="1"/>
    <col min="4" max="4" width="8" style="1"/>
    <col min="5" max="5" width="10.5" style="1" customWidth="1"/>
    <col min="6" max="8" width="19.125" style="1" customWidth="1"/>
    <col min="9" max="9" width="13.125" style="1" bestFit="1" customWidth="1"/>
    <col min="10" max="10" width="15.625" style="1" customWidth="1"/>
    <col min="11" max="11" width="12.125" style="1" customWidth="1"/>
    <col min="12" max="16384" width="8" style="1"/>
  </cols>
  <sheetData>
    <row r="1" spans="1:11" ht="21.95" customHeight="1">
      <c r="A1" s="595" t="str">
        <f>Formulario!B28</f>
        <v>Plátano Domínico hartón</v>
      </c>
      <c r="B1" s="596"/>
      <c r="C1" s="597"/>
      <c r="D1" s="169"/>
      <c r="E1" s="593" t="s">
        <v>4082</v>
      </c>
      <c r="F1" s="594"/>
      <c r="G1" s="169"/>
      <c r="H1" s="169"/>
      <c r="I1" s="169"/>
      <c r="J1" s="370" t="s">
        <v>4079</v>
      </c>
      <c r="K1" s="371"/>
    </row>
    <row r="2" spans="1:11">
      <c r="A2" s="324" t="s">
        <v>4067</v>
      </c>
      <c r="B2" s="325" t="s">
        <v>4066</v>
      </c>
      <c r="C2" s="325" t="s">
        <v>4083</v>
      </c>
      <c r="D2" s="88"/>
      <c r="E2" s="326" t="s">
        <v>4066</v>
      </c>
      <c r="F2" s="519" t="s">
        <v>4084</v>
      </c>
      <c r="G2" s="327"/>
      <c r="H2" s="327"/>
      <c r="I2" s="88"/>
      <c r="J2" s="372" t="s">
        <v>4085</v>
      </c>
      <c r="K2" s="373">
        <f>Formulario!$E$22</f>
        <v>6</v>
      </c>
    </row>
    <row r="3" spans="1:11">
      <c r="A3" s="133" t="str" cm="1">
        <f t="array" ref="A3">IFERROR(INDEX('Rendimientos estandar_'!$C$2:$C$268,MATCH(1,(SUBSTITUTE(TRIM('Rendimientos estandar_'!$B$2:$B$268),"  "," ")=SUBSTITUTE(TRIM(SUBSTITUTE(Formulario!$B$28,"_"," ")),"  "," "))*('Rendimientos estandar_'!$A$2:$A$268=B3),0)),"")</f>
        <v>Establecimiento</v>
      </c>
      <c r="B3" s="120">
        <v>1</v>
      </c>
      <c r="C3" s="133" cm="1">
        <f t="array" ref="C3">IF(A3="","",_xlfn.IFS(A3="Establecimiento",Formulario!$L$65,A3="Improductivo",Formulario!$L$104,A3="Mantenimiento",Formulario!$L$146)+IF(AND(A3="Mantenimiento",A4&lt;&gt;"Mantenimiento"),Formulario!$L$163,0))</f>
        <v>21007736.725995515</v>
      </c>
      <c r="D3" s="88"/>
      <c r="E3" s="518">
        <v>1</v>
      </c>
      <c r="F3" s="520" cm="1">
        <f t="array" ref="F3">IFERROR(INDEX('Rendimientos estandar_'!$H$2:$H$268,MATCH(1,(SUBSTITUTE(TRIM('Rendimientos estandar_'!$B$2:$B$268),"  "," ")=SUBSTITUTE(TRIM(SUBSTITUTE($A$1,"_"," ")),"  "," "))*('Rendimientos estandar_'!$A$2:$A$268=E3),0)),"")</f>
        <v>10450</v>
      </c>
      <c r="G3" s="514" t="s">
        <v>4621</v>
      </c>
      <c r="H3" s="88"/>
      <c r="I3" s="88"/>
      <c r="J3" s="372" t="s">
        <v>4086</v>
      </c>
      <c r="K3" s="374">
        <f>Formulario!$K$28</f>
        <v>4000</v>
      </c>
    </row>
    <row r="4" spans="1:11" ht="15.75" thickBot="1">
      <c r="A4" s="133" t="str" cm="1">
        <f t="array" ref="A4">IFERROR(INDEX('Rendimientos estandar_'!$C$2:$C$268,MATCH(1,(SUBSTITUTE(TRIM('Rendimientos estandar_'!$B$2:$B$268),"  "," ")=SUBSTITUTE(TRIM(SUBSTITUTE(Formulario!$B$28,"_"," ")),"  "," "))*('Rendimientos estandar_'!$A$2:$A$268=B4),0)),"")</f>
        <v>Mantenimiento</v>
      </c>
      <c r="B4" s="120">
        <v>2</v>
      </c>
      <c r="C4" s="133" cm="1">
        <f t="array" ref="C4">IF(A4="","",_xlfn.IFS(A4="Establecimiento",Formulario!$L$65,A4="Improductivo",Formulario!$L$104,A4="Mantenimiento",Formulario!$L$146)+IF(AND(A4="Mantenimiento",A5&lt;&gt;"Mantenimiento"),Formulario!$L$163,0))</f>
        <v>16737023.530207679</v>
      </c>
      <c r="D4" s="88"/>
      <c r="E4" s="518">
        <v>2</v>
      </c>
      <c r="F4" s="520" cm="1">
        <f t="array" ref="F4">IFERROR(INDEX('Rendimientos estandar_'!$H$2:$H$268,MATCH(1,(SUBSTITUTE(TRIM('Rendimientos estandar_'!$B$2:$B$268),"  "," ")=SUBSTITUTE(TRIM(SUBSTITUTE($A$1,"_"," ")),"  "," "))*('Rendimientos estandar_'!$A$2:$A$268=E4),0)),"")</f>
        <v>17100</v>
      </c>
      <c r="G4" s="88"/>
      <c r="H4" s="88"/>
      <c r="I4" s="88"/>
      <c r="J4" s="375" t="s">
        <v>4081</v>
      </c>
      <c r="K4" s="376">
        <f>Entradas_Tasas!$F$57</f>
        <v>8.4623421027637979E-2</v>
      </c>
    </row>
    <row r="5" spans="1:11">
      <c r="A5" s="133" t="str" cm="1">
        <f t="array" ref="A5">IFERROR(INDEX('Rendimientos estandar_'!$C$2:$C$268,MATCH(1,(SUBSTITUTE(TRIM('Rendimientos estandar_'!$B$2:$B$268),"  "," ")=SUBSTITUTE(TRIM(SUBSTITUTE(Formulario!$B$28,"_"," ")),"  "," "))*('Rendimientos estandar_'!$A$2:$A$268=B5),0)),"")</f>
        <v>Mantenimiento</v>
      </c>
      <c r="B5" s="120">
        <v>3</v>
      </c>
      <c r="C5" s="133" cm="1">
        <f t="array" ref="C5">IF(A5="","",_xlfn.IFS(A5="Establecimiento",Formulario!$L$65,A5="Improductivo",Formulario!$L$104,A5="Mantenimiento",Formulario!$L$146)+IF(AND(A5="Mantenimiento",A6&lt;&gt;"Mantenimiento"),Formulario!$L$163,0))</f>
        <v>16737023.530207679</v>
      </c>
      <c r="D5" s="88"/>
      <c r="E5" s="518">
        <v>3</v>
      </c>
      <c r="F5" s="520" cm="1">
        <f t="array" ref="F5">IFERROR(INDEX('Rendimientos estandar_'!$H$2:$H$268,MATCH(1,(SUBSTITUTE(TRIM('Rendimientos estandar_'!$B$2:$B$268),"  "," ")=SUBSTITUTE(TRIM(SUBSTITUTE($A$1,"_"," ")),"  "," "))*('Rendimientos estandar_'!$A$2:$A$268=E5),0)),"")</f>
        <v>16245</v>
      </c>
      <c r="G5" s="88"/>
      <c r="H5" s="88"/>
      <c r="I5" s="88"/>
      <c r="J5" s="327"/>
      <c r="K5" s="88"/>
    </row>
    <row r="6" spans="1:11">
      <c r="A6" s="133" t="str" cm="1">
        <f t="array" ref="A6">IFERROR(INDEX('Rendimientos estandar_'!$C$2:$C$268,MATCH(1,(SUBSTITUTE(TRIM('Rendimientos estandar_'!$B$2:$B$268),"  "," ")=SUBSTITUTE(TRIM(SUBSTITUTE(Formulario!$B$28,"_"," ")),"  "," "))*('Rendimientos estandar_'!$A$2:$A$268=B6),0)),"")</f>
        <v>Mantenimiento</v>
      </c>
      <c r="B6" s="120">
        <v>4</v>
      </c>
      <c r="C6" s="133" cm="1">
        <f t="array" ref="C6">IF(A6="","",_xlfn.IFS(A6="Establecimiento",Formulario!$L$65,A6="Improductivo",Formulario!$L$104,A6="Mantenimiento",Formulario!$L$146)+IF(AND(A6="Mantenimiento",A7&lt;&gt;"Mantenimiento"),Formulario!$L$163,0))</f>
        <v>16737023.530207679</v>
      </c>
      <c r="D6" s="88"/>
      <c r="E6" s="518">
        <v>4</v>
      </c>
      <c r="F6" s="520" cm="1">
        <f t="array" ref="F6">IFERROR(INDEX('Rendimientos estandar_'!$H$2:$H$268,MATCH(1,(SUBSTITUTE(TRIM('Rendimientos estandar_'!$B$2:$B$268),"  "," ")=SUBSTITUTE(TRIM(SUBSTITUTE($A$1,"_"," ")),"  "," "))*('Rendimientos estandar_'!$A$2:$A$268=E6),0)),"")</f>
        <v>15390</v>
      </c>
      <c r="G6" s="88"/>
      <c r="H6" s="88"/>
      <c r="I6" s="88"/>
      <c r="J6" s="88"/>
      <c r="K6" s="88"/>
    </row>
    <row r="7" spans="1:11">
      <c r="A7" s="133" t="str" cm="1">
        <f t="array" ref="A7">IFERROR(INDEX('Rendimientos estandar_'!$C$2:$C$268,MATCH(1,(SUBSTITUTE(TRIM('Rendimientos estandar_'!$B$2:$B$268),"  "," ")=SUBSTITUTE(TRIM(SUBSTITUTE(Formulario!$B$28,"_"," ")),"  "," "))*('Rendimientos estandar_'!$A$2:$A$268=B7),0)),"")</f>
        <v>Mantenimiento</v>
      </c>
      <c r="B7" s="120">
        <v>5</v>
      </c>
      <c r="C7" s="133" cm="1">
        <f t="array" ref="C7">IF(A7="","",_xlfn.IFS(A7="Establecimiento",Formulario!$L$65,A7="Improductivo",Formulario!$L$104,A7="Mantenimiento",Formulario!$L$146)+IF(AND(A7="Mantenimiento",A8&lt;&gt;"Mantenimiento"),Formulario!$L$163,0))</f>
        <v>16737023.530207679</v>
      </c>
      <c r="D7" s="88"/>
      <c r="E7" s="518">
        <v>5</v>
      </c>
      <c r="F7" s="520" cm="1">
        <f t="array" ref="F7">IFERROR(INDEX('Rendimientos estandar_'!$H$2:$H$268,MATCH(1,(SUBSTITUTE(TRIM('Rendimientos estandar_'!$B$2:$B$268),"  "," ")=SUBSTITUTE(TRIM(SUBSTITUTE($A$1,"_"," ")),"  "," "))*('Rendimientos estandar_'!$A$2:$A$268=E7),0)),"")</f>
        <v>14535</v>
      </c>
      <c r="G7" s="88"/>
      <c r="H7" s="88"/>
      <c r="I7" s="88"/>
      <c r="J7" s="88"/>
      <c r="K7" s="88"/>
    </row>
    <row r="8" spans="1:11">
      <c r="A8" s="133" t="str" cm="1">
        <f t="array" ref="A8">IFERROR(INDEX('Rendimientos estandar_'!$C$2:$C$268,MATCH(1,(SUBSTITUTE(TRIM('Rendimientos estandar_'!$B$2:$B$268),"  "," ")=SUBSTITUTE(TRIM(SUBSTITUTE(Formulario!$B$28,"_"," ")),"  "," "))*('Rendimientos estandar_'!$A$2:$A$268=B8),0)),"")</f>
        <v>Mantenimiento</v>
      </c>
      <c r="B8" s="120">
        <v>6</v>
      </c>
      <c r="C8" s="133" cm="1">
        <f t="array" ref="C8">IF(A8="","",_xlfn.IFS(A8="Establecimiento",Formulario!$L$65,A8="Improductivo",Formulario!$L$104,A8="Mantenimiento",Formulario!$L$146)+IF(AND(A8="Mantenimiento",A9&lt;&gt;"Mantenimiento"),Formulario!$L$163,0))</f>
        <v>18097823.530207679</v>
      </c>
      <c r="D8" s="88"/>
      <c r="E8" s="518">
        <v>6</v>
      </c>
      <c r="F8" s="520" cm="1">
        <f t="array" ref="F8">IFERROR(INDEX('Rendimientos estandar_'!$H$2:$H$268,MATCH(1,(SUBSTITUTE(TRIM('Rendimientos estandar_'!$B$2:$B$268),"  "," ")=SUBSTITUTE(TRIM(SUBSTITUTE($A$1,"_"," ")),"  "," "))*('Rendimientos estandar_'!$A$2:$A$268=E8),0)),"")</f>
        <v>13680</v>
      </c>
      <c r="G8" s="88"/>
      <c r="H8" s="88"/>
      <c r="I8" s="88"/>
      <c r="J8" s="88"/>
      <c r="K8" s="88"/>
    </row>
    <row r="9" spans="1:11">
      <c r="A9" s="133" t="str" cm="1">
        <f t="array" ref="A9">IFERROR(INDEX('Rendimientos estandar_'!$C$2:$C$268,MATCH(1,(SUBSTITUTE(TRIM('Rendimientos estandar_'!$B$2:$B$268),"  "," ")=SUBSTITUTE(TRIM(SUBSTITUTE(Formulario!$B$28,"_"," ")),"  "," "))*('Rendimientos estandar_'!$A$2:$A$268=B9),0)),"")</f>
        <v/>
      </c>
      <c r="B9" s="120">
        <v>7</v>
      </c>
      <c r="C9" s="133" t="str" cm="1">
        <f t="array" ref="C9">IF(A9="","",_xlfn.IFS(A9="Establecimiento",Formulario!$L$65,A9="Improductivo",Formulario!$L$104,A9="Mantenimiento",Formulario!$L$146)+IF(AND(A9="Mantenimiento",A10&lt;&gt;"Mantenimiento"),Formulario!$L$163,0))</f>
        <v/>
      </c>
      <c r="D9" s="88"/>
      <c r="E9" s="518">
        <v>7</v>
      </c>
      <c r="F9" s="520" t="str" cm="1">
        <f t="array" ref="F9">IFERROR(INDEX('Rendimientos estandar_'!$H$2:$H$268,MATCH(1,(SUBSTITUTE(TRIM('Rendimientos estandar_'!$B$2:$B$268),"  "," ")=SUBSTITUTE(TRIM(SUBSTITUTE($A$1,"_"," ")),"  "," "))*('Rendimientos estandar_'!$A$2:$A$268=E9),0)),"")</f>
        <v/>
      </c>
      <c r="G9" s="88"/>
      <c r="H9" s="88"/>
      <c r="I9" s="88"/>
      <c r="J9" s="88"/>
      <c r="K9" s="88"/>
    </row>
    <row r="10" spans="1:11">
      <c r="A10" s="133" t="str" cm="1">
        <f t="array" ref="A10">IFERROR(INDEX('Rendimientos estandar_'!$C$2:$C$268,MATCH(1,(SUBSTITUTE(TRIM('Rendimientos estandar_'!$B$2:$B$268),"  "," ")=SUBSTITUTE(TRIM(SUBSTITUTE(Formulario!$B$28,"_"," ")),"  "," "))*('Rendimientos estandar_'!$A$2:$A$268=B10),0)),"")</f>
        <v/>
      </c>
      <c r="B10" s="120">
        <v>8</v>
      </c>
      <c r="C10" s="133" t="str" cm="1">
        <f t="array" ref="C10">IF(A10="","",_xlfn.IFS(A10="Establecimiento",Formulario!$L$65,A10="Improductivo",Formulario!$L$104,A10="Mantenimiento",Formulario!$L$146)+IF(AND(A10="Mantenimiento",A11&lt;&gt;"Mantenimiento"),Formulario!$L$163,0))</f>
        <v/>
      </c>
      <c r="D10" s="88"/>
      <c r="E10" s="518">
        <v>8</v>
      </c>
      <c r="F10" s="520" t="str" cm="1">
        <f t="array" ref="F10">IFERROR(INDEX('Rendimientos estandar_'!$H$2:$H$268,MATCH(1,(SUBSTITUTE(TRIM('Rendimientos estandar_'!$B$2:$B$268),"  "," ")=SUBSTITUTE(TRIM(SUBSTITUTE($A$1,"_"," ")),"  "," "))*('Rendimientos estandar_'!$A$2:$A$268=E10),0)),"")</f>
        <v/>
      </c>
      <c r="G10" s="88"/>
      <c r="H10" s="88"/>
      <c r="I10" s="88"/>
      <c r="J10" s="88"/>
      <c r="K10" s="88"/>
    </row>
    <row r="11" spans="1:11">
      <c r="A11" s="133" t="str" cm="1">
        <f t="array" ref="A11">IFERROR(INDEX('Rendimientos estandar_'!$C$2:$C$268,MATCH(1,(SUBSTITUTE(TRIM('Rendimientos estandar_'!$B$2:$B$268),"  "," ")=SUBSTITUTE(TRIM(SUBSTITUTE(Formulario!$B$28,"_"," ")),"  "," "))*('Rendimientos estandar_'!$A$2:$A$268=B11),0)),"")</f>
        <v/>
      </c>
      <c r="B11" s="120">
        <v>9</v>
      </c>
      <c r="C11" s="133" t="str" cm="1">
        <f t="array" ref="C11">IF(A11="","",_xlfn.IFS(A11="Establecimiento",Formulario!$L$65,A11="Improductivo",Formulario!$L$104,A11="Mantenimiento",Formulario!$L$146)+IF(AND(A11="Mantenimiento",A12&lt;&gt;"Mantenimiento"),Formulario!$L$163,0))</f>
        <v/>
      </c>
      <c r="D11" s="88"/>
      <c r="E11" s="518">
        <v>9</v>
      </c>
      <c r="F11" s="520" t="str" cm="1">
        <f t="array" ref="F11">IFERROR(INDEX('Rendimientos estandar_'!$H$2:$H$268,MATCH(1,(SUBSTITUTE(TRIM('Rendimientos estandar_'!$B$2:$B$268),"  "," ")=SUBSTITUTE(TRIM(SUBSTITUTE($A$1,"_"," ")),"  "," "))*('Rendimientos estandar_'!$A$2:$A$268=E11),0)),"")</f>
        <v/>
      </c>
      <c r="G11" s="88"/>
      <c r="H11" s="88"/>
      <c r="I11" s="88"/>
      <c r="J11" s="88"/>
      <c r="K11" s="88"/>
    </row>
    <row r="12" spans="1:11">
      <c r="A12" s="133" t="str" cm="1">
        <f t="array" ref="A12">IFERROR(INDEX('Rendimientos estandar_'!$C$2:$C$268,MATCH(1,(SUBSTITUTE(TRIM('Rendimientos estandar_'!$B$2:$B$268),"  "," ")=SUBSTITUTE(TRIM(SUBSTITUTE(Formulario!$B$28,"_"," ")),"  "," "))*('Rendimientos estandar_'!$A$2:$A$268=B12),0)),"")</f>
        <v/>
      </c>
      <c r="B12" s="120">
        <v>10</v>
      </c>
      <c r="C12" s="133" t="str" cm="1">
        <f t="array" ref="C12">IF(A12="","",_xlfn.IFS(A12="Establecimiento",Formulario!$L$65,A12="Improductivo",Formulario!$L$104,A12="Mantenimiento",Formulario!$L$146)+IF(AND(A12="Mantenimiento",A13&lt;&gt;"Mantenimiento"),Formulario!$L$163,0))</f>
        <v/>
      </c>
      <c r="D12" s="88"/>
      <c r="E12" s="518">
        <v>10</v>
      </c>
      <c r="F12" s="520" t="str" cm="1">
        <f t="array" ref="F12">IFERROR(INDEX('Rendimientos estandar_'!$H$2:$H$268,MATCH(1,(SUBSTITUTE(TRIM('Rendimientos estandar_'!$B$2:$B$268),"  "," ")=SUBSTITUTE(TRIM(SUBSTITUTE($A$1,"_"," ")),"  "," "))*('Rendimientos estandar_'!$A$2:$A$268=E12),0)),"")</f>
        <v/>
      </c>
      <c r="G12" s="88"/>
      <c r="H12" s="88"/>
      <c r="I12" s="88"/>
      <c r="J12" s="88"/>
      <c r="K12" s="277"/>
    </row>
    <row r="13" spans="1:11">
      <c r="A13" s="133" t="str" cm="1">
        <f t="array" ref="A13">IFERROR(INDEX('Rendimientos estandar_'!$C$2:$C$268,MATCH(1,(SUBSTITUTE(TRIM('Rendimientos estandar_'!$B$2:$B$268),"  "," ")=SUBSTITUTE(TRIM(SUBSTITUTE(Formulario!$B$28,"_"," ")),"  "," "))*('Rendimientos estandar_'!$A$2:$A$268=B13),0)),"")</f>
        <v/>
      </c>
      <c r="B13" s="120">
        <v>11</v>
      </c>
      <c r="C13" s="133" t="str" cm="1">
        <f t="array" ref="C13">IF(A13="","",_xlfn.IFS(A13="Establecimiento",Formulario!$L$65,A13="Improductivo",Formulario!$L$104,A13="Mantenimiento",Formulario!$L$146)+IF(AND(A13="Mantenimiento",A14&lt;&gt;"Mantenimiento"),Formulario!$L$163,0))</f>
        <v/>
      </c>
      <c r="D13" s="88"/>
      <c r="E13" s="518">
        <v>11</v>
      </c>
      <c r="F13" s="520" t="str" cm="1">
        <f t="array" ref="F13">IFERROR(INDEX('Rendimientos estandar_'!$H$2:$H$268,MATCH(1,(SUBSTITUTE(TRIM('Rendimientos estandar_'!$B$2:$B$268),"  "," ")=SUBSTITUTE(TRIM(SUBSTITUTE($A$1,"_"," ")),"  "," "))*('Rendimientos estandar_'!$A$2:$A$268=E13),0)),"")</f>
        <v/>
      </c>
      <c r="G13" s="88"/>
      <c r="H13" s="88"/>
      <c r="I13" s="88"/>
      <c r="J13" s="88"/>
      <c r="K13" s="277"/>
    </row>
    <row r="14" spans="1:11">
      <c r="A14" s="133" t="str" cm="1">
        <f t="array" ref="A14">IFERROR(INDEX('Rendimientos estandar_'!$C$2:$C$268,MATCH(1,(SUBSTITUTE(TRIM('Rendimientos estandar_'!$B$2:$B$268),"  "," ")=SUBSTITUTE(TRIM(SUBSTITUTE(Formulario!$B$28,"_"," ")),"  "," "))*('Rendimientos estandar_'!$A$2:$A$268=B14),0)),"")</f>
        <v/>
      </c>
      <c r="B14" s="120">
        <v>12</v>
      </c>
      <c r="C14" s="133" t="str" cm="1">
        <f t="array" ref="C14">IF(A14="","",_xlfn.IFS(A14="Establecimiento",Formulario!$L$65,A14="Improductivo",Formulario!$L$104,A14="Mantenimiento",Formulario!$L$146)+IF(AND(A14="Mantenimiento",A15&lt;&gt;"Mantenimiento"),Formulario!$L$163,0))</f>
        <v/>
      </c>
      <c r="D14" s="88"/>
      <c r="E14" s="518">
        <v>12</v>
      </c>
      <c r="F14" s="520" t="str" cm="1">
        <f t="array" ref="F14">IFERROR(INDEX('Rendimientos estandar_'!$H$2:$H$268,MATCH(1,(SUBSTITUTE(TRIM('Rendimientos estandar_'!$B$2:$B$268),"  "," ")=SUBSTITUTE(TRIM(SUBSTITUTE($A$1,"_"," ")),"  "," "))*('Rendimientos estandar_'!$A$2:$A$268=E14),0)),"")</f>
        <v/>
      </c>
      <c r="G14" s="88"/>
      <c r="H14" s="88"/>
      <c r="I14" s="88"/>
      <c r="J14" s="88"/>
      <c r="K14" s="277"/>
    </row>
    <row r="15" spans="1:11">
      <c r="A15" s="133" t="str" cm="1">
        <f t="array" ref="A15">IFERROR(INDEX('Rendimientos estandar_'!$C$2:$C$268,MATCH(1,(SUBSTITUTE(TRIM('Rendimientos estandar_'!$B$2:$B$268),"  "," ")=SUBSTITUTE(TRIM(SUBSTITUTE(Formulario!$B$28,"_"," ")),"  "," "))*('Rendimientos estandar_'!$A$2:$A$268=B15),0)),"")</f>
        <v/>
      </c>
      <c r="B15" s="120">
        <v>13</v>
      </c>
      <c r="C15" s="133" t="str" cm="1">
        <f t="array" ref="C15">IF(A15="","",_xlfn.IFS(A15="Establecimiento",Formulario!$L$65,A15="Improductivo",Formulario!$L$104,A15="Mantenimiento",Formulario!$L$146)+IF(AND(A15="Mantenimiento",A16&lt;&gt;"Mantenimiento"),Formulario!$L$163,0))</f>
        <v/>
      </c>
      <c r="D15" s="88"/>
      <c r="E15" s="518">
        <v>13</v>
      </c>
      <c r="F15" s="520" t="str" cm="1">
        <f t="array" ref="F15">IFERROR(INDEX('Rendimientos estandar_'!$H$2:$H$268,MATCH(1,(SUBSTITUTE(TRIM('Rendimientos estandar_'!$B$2:$B$268),"  "," ")=SUBSTITUTE(TRIM(SUBSTITUTE($A$1,"_"," ")),"  "," "))*('Rendimientos estandar_'!$A$2:$A$268=E15),0)),"")</f>
        <v/>
      </c>
      <c r="G15" s="88"/>
      <c r="H15" s="88"/>
      <c r="I15" s="88"/>
      <c r="J15" s="88"/>
      <c r="K15" s="277"/>
    </row>
    <row r="16" spans="1:11">
      <c r="A16" s="133" t="str" cm="1">
        <f t="array" ref="A16">IFERROR(INDEX('Rendimientos estandar_'!$C$2:$C$268,MATCH(1,(SUBSTITUTE(TRIM('Rendimientos estandar_'!$B$2:$B$268),"  "," ")=SUBSTITUTE(TRIM(SUBSTITUTE(Formulario!$B$28,"_"," ")),"  "," "))*('Rendimientos estandar_'!$A$2:$A$268=B16),0)),"")</f>
        <v/>
      </c>
      <c r="B16" s="120">
        <v>14</v>
      </c>
      <c r="C16" s="133" t="str" cm="1">
        <f t="array" ref="C16">IF(A16="","",_xlfn.IFS(A16="Establecimiento",Formulario!$L$65,A16="Improductivo",Formulario!$L$104,A16="Mantenimiento",Formulario!$L$146)+IF(AND(A16="Mantenimiento",A17&lt;&gt;"Mantenimiento"),Formulario!$L$163,0))</f>
        <v/>
      </c>
      <c r="D16" s="88"/>
      <c r="E16" s="518">
        <v>14</v>
      </c>
      <c r="F16" s="520" t="str" cm="1">
        <f t="array" ref="F16">IFERROR(INDEX('Rendimientos estandar_'!$H$2:$H$268,MATCH(1,(SUBSTITUTE(TRIM('Rendimientos estandar_'!$B$2:$B$268),"  "," ")=SUBSTITUTE(TRIM(SUBSTITUTE($A$1,"_"," ")),"  "," "))*('Rendimientos estandar_'!$A$2:$A$268=E16),0)),"")</f>
        <v/>
      </c>
      <c r="G16" s="88"/>
      <c r="H16" s="88"/>
      <c r="I16" s="88"/>
      <c r="J16" s="88"/>
      <c r="K16" s="277"/>
    </row>
    <row r="17" spans="1:11">
      <c r="A17" s="133" t="str" cm="1">
        <f t="array" ref="A17">IFERROR(INDEX('Rendimientos estandar_'!$C$2:$C$268,MATCH(1,(SUBSTITUTE(TRIM('Rendimientos estandar_'!$B$2:$B$268),"  "," ")=SUBSTITUTE(TRIM(SUBSTITUTE(Formulario!$B$28,"_"," ")),"  "," "))*('Rendimientos estandar_'!$A$2:$A$268=B17),0)),"")</f>
        <v/>
      </c>
      <c r="B17" s="120">
        <v>15</v>
      </c>
      <c r="C17" s="133" t="str" cm="1">
        <f t="array" ref="C17">IF(A17="","",_xlfn.IFS(A17="Establecimiento",Formulario!$L$65,A17="Improductivo",Formulario!$L$104,A17="Mantenimiento",Formulario!$L$146)+IF(AND(A17="Mantenimiento",A18&lt;&gt;"Mantenimiento"),Formulario!$L$163,0))</f>
        <v/>
      </c>
      <c r="D17" s="88"/>
      <c r="E17" s="518">
        <v>15</v>
      </c>
      <c r="F17" s="520" t="str" cm="1">
        <f t="array" ref="F17">IFERROR(INDEX('Rendimientos estandar_'!$H$2:$H$268,MATCH(1,(SUBSTITUTE(TRIM('Rendimientos estandar_'!$B$2:$B$268),"  "," ")=SUBSTITUTE(TRIM(SUBSTITUTE($A$1,"_"," ")),"  "," "))*('Rendimientos estandar_'!$A$2:$A$268=E17),0)),"")</f>
        <v/>
      </c>
      <c r="G17" s="88"/>
      <c r="H17" s="88"/>
      <c r="I17" s="88"/>
      <c r="J17" s="88"/>
      <c r="K17" s="277"/>
    </row>
    <row r="18" spans="1:11">
      <c r="A18" s="133" t="str" cm="1">
        <f t="array" ref="A18">IFERROR(INDEX('Rendimientos estandar_'!$C$2:$C$268,MATCH(1,(SUBSTITUTE(TRIM('Rendimientos estandar_'!$B$2:$B$268),"  "," ")=SUBSTITUTE(TRIM(SUBSTITUTE(Formulario!$B$28,"_"," ")),"  "," "))*('Rendimientos estandar_'!$A$2:$A$268=B18),0)),"")</f>
        <v/>
      </c>
      <c r="B18" s="120">
        <v>16</v>
      </c>
      <c r="C18" s="133" t="str" cm="1">
        <f t="array" ref="C18">IF(A18="","",_xlfn.IFS(A18="Establecimiento",Formulario!$L$65,A18="Improductivo",Formulario!$L$104,A18="Mantenimiento",Formulario!$L$146)+IF(AND(A18="Mantenimiento",A19&lt;&gt;"Mantenimiento"),Formulario!$L$163,0))</f>
        <v/>
      </c>
      <c r="D18" s="88"/>
      <c r="E18" s="518">
        <v>16</v>
      </c>
      <c r="F18" s="520" t="str" cm="1">
        <f t="array" ref="F18">IFERROR(INDEX('Rendimientos estandar_'!$H$2:$H$268,MATCH(1,(SUBSTITUTE(TRIM('Rendimientos estandar_'!$B$2:$B$268),"  "," ")=SUBSTITUTE(TRIM(SUBSTITUTE($A$1,"_"," ")),"  "," "))*('Rendimientos estandar_'!$A$2:$A$268=E18),0)),"")</f>
        <v/>
      </c>
      <c r="G18" s="88"/>
      <c r="H18" s="88"/>
      <c r="I18" s="88"/>
      <c r="J18" s="88"/>
      <c r="K18" s="277"/>
    </row>
    <row r="19" spans="1:11">
      <c r="A19" s="133" t="str" cm="1">
        <f t="array" ref="A19">IFERROR(INDEX('Rendimientos estandar_'!$C$2:$C$268,MATCH(1,(SUBSTITUTE(TRIM('Rendimientos estandar_'!$B$2:$B$268),"  "," ")=SUBSTITUTE(TRIM(SUBSTITUTE(Formulario!$B$28,"_"," ")),"  "," "))*('Rendimientos estandar_'!$A$2:$A$268=B19),0)),"")</f>
        <v/>
      </c>
      <c r="B19" s="120">
        <v>17</v>
      </c>
      <c r="C19" s="133" t="str" cm="1">
        <f t="array" ref="C19">IF(A19="","",_xlfn.IFS(A19="Establecimiento",Formulario!$L$65,A19="Improductivo",Formulario!$L$104,A19="Mantenimiento",Formulario!$L$146)+IF(AND(A19="Mantenimiento",A20&lt;&gt;"Mantenimiento"),Formulario!$L$163,0))</f>
        <v/>
      </c>
      <c r="D19" s="88"/>
      <c r="E19" s="518">
        <v>17</v>
      </c>
      <c r="F19" s="520" t="str" cm="1">
        <f t="array" ref="F19">IFERROR(INDEX('Rendimientos estandar_'!$H$2:$H$268,MATCH(1,(SUBSTITUTE(TRIM('Rendimientos estandar_'!$B$2:$B$268),"  "," ")=SUBSTITUTE(TRIM(SUBSTITUTE($A$1,"_"," ")),"  "," "))*('Rendimientos estandar_'!$A$2:$A$268=E19),0)),"")</f>
        <v/>
      </c>
      <c r="G19" s="88"/>
      <c r="H19" s="88"/>
      <c r="I19" s="88"/>
      <c r="J19" s="88"/>
      <c r="K19" s="277"/>
    </row>
    <row r="20" spans="1:11">
      <c r="A20" s="133" t="str" cm="1">
        <f t="array" ref="A20">IFERROR(INDEX('Rendimientos estandar_'!$C$2:$C$268,MATCH(1,(SUBSTITUTE(TRIM('Rendimientos estandar_'!$B$2:$B$268),"  "," ")=SUBSTITUTE(TRIM(SUBSTITUTE(Formulario!$B$28,"_"," ")),"  "," "))*('Rendimientos estandar_'!$A$2:$A$268=B20),0)),"")</f>
        <v/>
      </c>
      <c r="B20" s="120">
        <v>18</v>
      </c>
      <c r="C20" s="133" t="str" cm="1">
        <f t="array" ref="C20">IF(A20="","",_xlfn.IFS(A20="Establecimiento",Formulario!$L$65,A20="Improductivo",Formulario!$L$104,A20="Mantenimiento",Formulario!$L$146)+IF(AND(A20="Mantenimiento",A21&lt;&gt;"Mantenimiento"),Formulario!$L$163,0))</f>
        <v/>
      </c>
      <c r="D20" s="88"/>
      <c r="E20" s="518">
        <v>18</v>
      </c>
      <c r="F20" s="520" t="str" cm="1">
        <f t="array" ref="F20">IFERROR(INDEX('Rendimientos estandar_'!$H$2:$H$268,MATCH(1,(SUBSTITUTE(TRIM('Rendimientos estandar_'!$B$2:$B$268),"  "," ")=SUBSTITUTE(TRIM(SUBSTITUTE($A$1,"_"," ")),"  "," "))*('Rendimientos estandar_'!$A$2:$A$268=E20),0)),"")</f>
        <v/>
      </c>
      <c r="G20" s="88"/>
      <c r="H20" s="88"/>
      <c r="I20" s="88"/>
      <c r="J20" s="88"/>
      <c r="K20" s="277"/>
    </row>
    <row r="21" spans="1:11">
      <c r="A21" s="133" t="str" cm="1">
        <f t="array" ref="A21">IFERROR(INDEX('Rendimientos estandar_'!$C$2:$C$268,MATCH(1,(SUBSTITUTE(TRIM('Rendimientos estandar_'!$B$2:$B$268),"  "," ")=SUBSTITUTE(TRIM(SUBSTITUTE(Formulario!$B$28,"_"," ")),"  "," "))*('Rendimientos estandar_'!$A$2:$A$268=B21),0)),"")</f>
        <v/>
      </c>
      <c r="B21" s="120">
        <v>19</v>
      </c>
      <c r="C21" s="133" t="str" cm="1">
        <f t="array" ref="C21">IF(A21="","",_xlfn.IFS(A21="Establecimiento",Formulario!$L$65,A21="Improductivo",Formulario!$L$104,A21="Mantenimiento",Formulario!$L$146)+IF(AND(A21="Mantenimiento",A22&lt;&gt;"Mantenimiento"),Formulario!$L$163,0))</f>
        <v/>
      </c>
      <c r="D21" s="88"/>
      <c r="E21" s="518">
        <v>19</v>
      </c>
      <c r="F21" s="520" t="str" cm="1">
        <f t="array" ref="F21">IFERROR(INDEX('Rendimientos estandar_'!$H$2:$H$268,MATCH(1,(SUBSTITUTE(TRIM('Rendimientos estandar_'!$B$2:$B$268),"  "," ")=SUBSTITUTE(TRIM(SUBSTITUTE($A$1,"_"," ")),"  "," "))*('Rendimientos estandar_'!$A$2:$A$268=E21),0)),"")</f>
        <v/>
      </c>
      <c r="G21" s="88"/>
      <c r="H21" s="88"/>
      <c r="I21" s="88"/>
      <c r="J21" s="88"/>
      <c r="K21" s="277"/>
    </row>
    <row r="22" spans="1:11">
      <c r="A22" s="133" t="str" cm="1">
        <f t="array" ref="A22">IFERROR(INDEX('Rendimientos estandar_'!$C$2:$C$268,MATCH(1,(SUBSTITUTE(TRIM('Rendimientos estandar_'!$B$2:$B$268),"  "," ")=SUBSTITUTE(TRIM(SUBSTITUTE(Formulario!$B$28,"_"," ")),"  "," "))*('Rendimientos estandar_'!$A$2:$A$268=B22),0)),"")</f>
        <v/>
      </c>
      <c r="B22" s="120">
        <v>20</v>
      </c>
      <c r="C22" s="133" t="str" cm="1">
        <f t="array" ref="C22">IF(A22="","",_xlfn.IFS(A22="Establecimiento",Formulario!$L$65,A22="Improductivo",Formulario!$L$104,A22="Mantenimiento",Formulario!$L$146)+IF(AND(A22="Mantenimiento",A23&lt;&gt;"Mantenimiento"),Formulario!$L$163,0))</f>
        <v/>
      </c>
      <c r="D22" s="88"/>
      <c r="E22" s="518">
        <v>20</v>
      </c>
      <c r="F22" s="520" t="str" cm="1">
        <f t="array" ref="F22">IFERROR(INDEX('Rendimientos estandar_'!$H$2:$H$268,MATCH(1,(SUBSTITUTE(TRIM('Rendimientos estandar_'!$B$2:$B$268),"  "," ")=SUBSTITUTE(TRIM(SUBSTITUTE($A$1,"_"," ")),"  "," "))*('Rendimientos estandar_'!$A$2:$A$268=E22),0)),"")</f>
        <v/>
      </c>
      <c r="G22" s="88"/>
      <c r="H22" s="88"/>
      <c r="I22" s="88"/>
      <c r="J22" s="88"/>
      <c r="K22" s="277"/>
    </row>
    <row r="23" spans="1:11">
      <c r="A23" s="133" t="str" cm="1">
        <f t="array" ref="A23">IFERROR(INDEX('Rendimientos estandar_'!$C$2:$C$268,MATCH(1,(SUBSTITUTE(TRIM('Rendimientos estandar_'!$B$2:$B$268),"  "," ")=SUBSTITUTE(TRIM(SUBSTITUTE(Formulario!$B$28,"_"," ")),"  "," "))*('Rendimientos estandar_'!$A$2:$A$268=B23),0)),"")</f>
        <v/>
      </c>
      <c r="B23" s="120">
        <v>21</v>
      </c>
      <c r="C23" s="133" t="str" cm="1">
        <f t="array" ref="C23">IF(A23="","",_xlfn.IFS(A23="Establecimiento",Formulario!$L$65,A23="Improductivo",Formulario!$L$104,A23="Mantenimiento",Formulario!$L$146)+IF(AND(A23="Mantenimiento",A24&lt;&gt;"Mantenimiento"),Formulario!$L$163,0))</f>
        <v/>
      </c>
      <c r="D23" s="88"/>
      <c r="E23" s="518">
        <v>21</v>
      </c>
      <c r="F23" s="520" t="str" cm="1">
        <f t="array" ref="F23">IFERROR(INDEX('Rendimientos estandar_'!$H$2:$H$268,MATCH(1,(SUBSTITUTE(TRIM('Rendimientos estandar_'!$B$2:$B$268),"  "," ")=SUBSTITUTE(TRIM(SUBSTITUTE($A$1,"_"," ")),"  "," "))*('Rendimientos estandar_'!$A$2:$A$268=E23),0)),"")</f>
        <v/>
      </c>
      <c r="G23" s="88"/>
      <c r="H23" s="88"/>
      <c r="I23" s="88"/>
      <c r="J23" s="88"/>
      <c r="K23" s="277"/>
    </row>
    <row r="24" spans="1:11">
      <c r="A24" s="133" t="str" cm="1">
        <f t="array" ref="A24">IFERROR(INDEX('Rendimientos estandar_'!$C$2:$C$268,MATCH(1,(SUBSTITUTE(TRIM('Rendimientos estandar_'!$B$2:$B$268),"  "," ")=SUBSTITUTE(TRIM(SUBSTITUTE(Formulario!$B$28,"_"," ")),"  "," "))*('Rendimientos estandar_'!$A$2:$A$268=B24),0)),"")</f>
        <v/>
      </c>
      <c r="B24" s="120">
        <v>22</v>
      </c>
      <c r="C24" s="133" t="str" cm="1">
        <f t="array" ref="C24">IF(A24="","",_xlfn.IFS(A24="Establecimiento",Formulario!$L$65,A24="Improductivo",Formulario!$L$104,A24="Mantenimiento",Formulario!$L$146)+IF(AND(A24="Mantenimiento",A25&lt;&gt;"Mantenimiento"),Formulario!$L$163,0))</f>
        <v/>
      </c>
      <c r="D24" s="88"/>
      <c r="E24" s="518">
        <v>22</v>
      </c>
      <c r="F24" s="520" t="str" cm="1">
        <f t="array" ref="F24">IFERROR(INDEX('Rendimientos estandar_'!$H$2:$H$268,MATCH(1,(SUBSTITUTE(TRIM('Rendimientos estandar_'!$B$2:$B$268),"  "," ")=SUBSTITUTE(TRIM(SUBSTITUTE($A$1,"_"," ")),"  "," "))*('Rendimientos estandar_'!$A$2:$A$268=E24),0)),"")</f>
        <v/>
      </c>
      <c r="G24" s="88"/>
      <c r="H24" s="88"/>
      <c r="I24" s="88"/>
      <c r="J24" s="88"/>
      <c r="K24" s="277"/>
    </row>
    <row r="25" spans="1:11">
      <c r="A25" s="133" t="str" cm="1">
        <f t="array" ref="A25">IFERROR(INDEX('Rendimientos estandar_'!$C$2:$C$268,MATCH(1,(SUBSTITUTE(TRIM('Rendimientos estandar_'!$B$2:$B$268),"  "," ")=SUBSTITUTE(TRIM(SUBSTITUTE(Formulario!$B$28,"_"," ")),"  "," "))*('Rendimientos estandar_'!$A$2:$A$268=B25),0)),"")</f>
        <v/>
      </c>
      <c r="B25" s="120">
        <v>23</v>
      </c>
      <c r="C25" s="133" t="str" cm="1">
        <f t="array" ref="C25">IF(A25="","",_xlfn.IFS(A25="Establecimiento",Formulario!$L$65,A25="Improductivo",Formulario!$L$104,A25="Mantenimiento",Formulario!$L$146)+IF(AND(A25="Mantenimiento",A26&lt;&gt;"Mantenimiento"),Formulario!$L$163,0))</f>
        <v/>
      </c>
      <c r="D25" s="88"/>
      <c r="E25" s="518">
        <v>23</v>
      </c>
      <c r="F25" s="520" t="str" cm="1">
        <f t="array" ref="F25">IFERROR(INDEX('Rendimientos estandar_'!$H$2:$H$268,MATCH(1,(SUBSTITUTE(TRIM('Rendimientos estandar_'!$B$2:$B$268),"  "," ")=SUBSTITUTE(TRIM(SUBSTITUTE($A$1,"_"," ")),"  "," "))*('Rendimientos estandar_'!$A$2:$A$268=E25),0)),"")</f>
        <v/>
      </c>
      <c r="G25" s="88"/>
      <c r="H25" s="88"/>
      <c r="I25" s="88"/>
      <c r="J25" s="88"/>
      <c r="K25" s="277"/>
    </row>
    <row r="26" spans="1:11">
      <c r="A26" s="133" t="str" cm="1">
        <f t="array" ref="A26">IFERROR(INDEX('Rendimientos estandar_'!$C$2:$C$268,MATCH(1,(SUBSTITUTE(TRIM('Rendimientos estandar_'!$B$2:$B$268),"  "," ")=SUBSTITUTE(TRIM(SUBSTITUTE(Formulario!$B$28,"_"," ")),"  "," "))*('Rendimientos estandar_'!$A$2:$A$268=B26),0)),"")</f>
        <v/>
      </c>
      <c r="B26" s="120">
        <v>24</v>
      </c>
      <c r="C26" s="133" t="str" cm="1">
        <f t="array" ref="C26">IF(A26="","",_xlfn.IFS(A26="Establecimiento",Formulario!$L$65,A26="Improductivo",Formulario!$L$104,A26="Mantenimiento",Formulario!$L$146)+IF(AND(A26="Mantenimiento",A27&lt;&gt;"Mantenimiento"),Formulario!$L$163,0))</f>
        <v/>
      </c>
      <c r="D26" s="88"/>
      <c r="E26" s="518">
        <v>24</v>
      </c>
      <c r="F26" s="520" t="str" cm="1">
        <f t="array" ref="F26">IFERROR(INDEX('Rendimientos estandar_'!$H$2:$H$268,MATCH(1,(SUBSTITUTE(TRIM('Rendimientos estandar_'!$B$2:$B$268),"  "," ")=SUBSTITUTE(TRIM(SUBSTITUTE($A$1,"_"," ")),"  "," "))*('Rendimientos estandar_'!$A$2:$A$268=E26),0)),"")</f>
        <v/>
      </c>
      <c r="G26" s="88"/>
      <c r="H26" s="88"/>
      <c r="I26" s="88"/>
      <c r="J26" s="88"/>
      <c r="K26" s="277"/>
    </row>
    <row r="27" spans="1:11">
      <c r="A27" s="133" t="str" cm="1">
        <f t="array" ref="A27">IFERROR(INDEX('Rendimientos estandar_'!$C$2:$C$268,MATCH(1,(SUBSTITUTE(TRIM('Rendimientos estandar_'!$B$2:$B$268),"  "," ")=SUBSTITUTE(TRIM(SUBSTITUTE(Formulario!$B$28,"_"," ")),"  "," "))*('Rendimientos estandar_'!$A$2:$A$268=B27),0)),"")</f>
        <v/>
      </c>
      <c r="B27" s="120">
        <v>25</v>
      </c>
      <c r="C27" s="133" t="str" cm="1">
        <f t="array" ref="C27">IF(A27="","",_xlfn.IFS(A27="Establecimiento",Formulario!$L$65,A27="Improductivo",Formulario!$L$104,A27="Mantenimiento",Formulario!$L$146)+IF(AND(A27="Mantenimiento",A28&lt;&gt;"Mantenimiento"),Formulario!$L$163,0))</f>
        <v/>
      </c>
      <c r="D27" s="88"/>
      <c r="E27" s="518">
        <v>25</v>
      </c>
      <c r="F27" s="520" t="str" cm="1">
        <f t="array" ref="F27">IFERROR(INDEX('Rendimientos estandar_'!$H$2:$H$268,MATCH(1,(SUBSTITUTE(TRIM('Rendimientos estandar_'!$B$2:$B$268),"  "," ")=SUBSTITUTE(TRIM(SUBSTITUTE($A$1,"_"," ")),"  "," "))*('Rendimientos estandar_'!$A$2:$A$268=E27),0)),"")</f>
        <v/>
      </c>
      <c r="G27" s="88"/>
      <c r="H27" s="88"/>
      <c r="I27" s="88"/>
      <c r="J27" s="88"/>
      <c r="K27" s="277"/>
    </row>
    <row r="28" spans="1:11">
      <c r="A28" s="133" t="str" cm="1">
        <f t="array" ref="A28">IFERROR(INDEX('Rendimientos estandar_'!$C$2:$C$268,MATCH(1,(SUBSTITUTE(TRIM('Rendimientos estandar_'!$B$2:$B$268),"  "," ")=SUBSTITUTE(TRIM(SUBSTITUTE(Formulario!$B$28,"_"," ")),"  "," "))*('Rendimientos estandar_'!$A$2:$A$268=B28),0)),"")</f>
        <v/>
      </c>
      <c r="B28" s="120">
        <v>26</v>
      </c>
      <c r="C28" s="133" t="str" cm="1">
        <f t="array" ref="C28">IF(A28="","",_xlfn.IFS(A28="Establecimiento",Formulario!$L$65,A28="Improductivo",Formulario!$L$104,A28="Mantenimiento",Formulario!$L$146)+IF(AND(A28="Mantenimiento",A29&lt;&gt;"Mantenimiento"),Formulario!$L$163,0))</f>
        <v/>
      </c>
      <c r="D28" s="88"/>
      <c r="E28" s="518">
        <v>26</v>
      </c>
      <c r="F28" s="520" t="str" cm="1">
        <f t="array" ref="F28">IFERROR(INDEX('Rendimientos estandar_'!$H$2:$H$268,MATCH(1,(SUBSTITUTE(TRIM('Rendimientos estandar_'!$B$2:$B$268),"  "," ")=SUBSTITUTE(TRIM(SUBSTITUTE($A$1,"_"," ")),"  "," "))*('Rendimientos estandar_'!$A$2:$A$268=E28),0)),"")</f>
        <v/>
      </c>
      <c r="G28" s="88"/>
      <c r="H28" s="88"/>
      <c r="I28" s="88"/>
      <c r="J28" s="88"/>
      <c r="K28" s="277"/>
    </row>
    <row r="29" spans="1:11">
      <c r="A29" s="133" t="str" cm="1">
        <f t="array" ref="A29">IFERROR(INDEX('Rendimientos estandar_'!$C$2:$C$268,MATCH(1,(SUBSTITUTE(TRIM('Rendimientos estandar_'!$B$2:$B$268),"  "," ")=SUBSTITUTE(TRIM(SUBSTITUTE(Formulario!$B$28,"_"," ")),"  "," "))*('Rendimientos estandar_'!$A$2:$A$268=B29),0)),"")</f>
        <v/>
      </c>
      <c r="B29" s="120">
        <v>27</v>
      </c>
      <c r="C29" s="133" t="str" cm="1">
        <f t="array" ref="C29">IF(A29="","",_xlfn.IFS(A29="Establecimiento",Formulario!$L$65,A29="Improductivo",Formulario!$L$104,A29="Mantenimiento",Formulario!$L$146)+IF(AND(A29="Mantenimiento",A30&lt;&gt;"Mantenimiento"),Formulario!$L$163,0))</f>
        <v/>
      </c>
      <c r="D29" s="88"/>
      <c r="E29" s="518">
        <v>27</v>
      </c>
      <c r="F29" s="520" t="str" cm="1">
        <f t="array" ref="F29">IFERROR(INDEX('Rendimientos estandar_'!$H$2:$H$268,MATCH(1,(SUBSTITUTE(TRIM('Rendimientos estandar_'!$B$2:$B$268),"  "," ")=SUBSTITUTE(TRIM(SUBSTITUTE($A$1,"_"," ")),"  "," "))*('Rendimientos estandar_'!$A$2:$A$268=E29),0)),"")</f>
        <v/>
      </c>
      <c r="G29" s="88"/>
      <c r="H29" s="88"/>
      <c r="I29" s="88"/>
      <c r="J29" s="88"/>
      <c r="K29" s="277"/>
    </row>
    <row r="30" spans="1:11">
      <c r="A30" s="133" t="str" cm="1">
        <f t="array" ref="A30">IFERROR(INDEX('Rendimientos estandar_'!$C$2:$C$268,MATCH(1,(SUBSTITUTE(TRIM('Rendimientos estandar_'!$B$2:$B$268),"  "," ")=SUBSTITUTE(TRIM(SUBSTITUTE(Formulario!$B$28,"_"," ")),"  "," "))*('Rendimientos estandar_'!$A$2:$A$268=B30),0)),"")</f>
        <v/>
      </c>
      <c r="B30" s="120">
        <v>28</v>
      </c>
      <c r="C30" s="133" t="str" cm="1">
        <f t="array" ref="C30">IF(A30="","",_xlfn.IFS(A30="Establecimiento",Formulario!$L$65,A30="Improductivo",Formulario!$L$104,A30="Mantenimiento",Formulario!$L$146)+IF(AND(A30="Mantenimiento",A31&lt;&gt;"Mantenimiento"),Formulario!$L$163,0))</f>
        <v/>
      </c>
      <c r="D30" s="88"/>
      <c r="E30" s="518">
        <v>28</v>
      </c>
      <c r="F30" s="520" t="str" cm="1">
        <f t="array" ref="F30">IFERROR(INDEX('Rendimientos estandar_'!$H$2:$H$268,MATCH(1,(SUBSTITUTE(TRIM('Rendimientos estandar_'!$B$2:$B$268),"  "," ")=SUBSTITUTE(TRIM(SUBSTITUTE($A$1,"_"," ")),"  "," "))*('Rendimientos estandar_'!$A$2:$A$268=E30),0)),"")</f>
        <v/>
      </c>
      <c r="G30" s="88"/>
      <c r="H30" s="88"/>
      <c r="I30" s="88"/>
      <c r="J30" s="88"/>
      <c r="K30" s="277"/>
    </row>
    <row r="31" spans="1:11">
      <c r="A31" s="133" t="str" cm="1">
        <f t="array" ref="A31">IFERROR(INDEX('Rendimientos estandar_'!$C$2:$C$268,MATCH(1,(SUBSTITUTE(TRIM('Rendimientos estandar_'!$B$2:$B$268),"  "," ")=SUBSTITUTE(TRIM(SUBSTITUTE(Formulario!$B$28,"_"," ")),"  "," "))*('Rendimientos estandar_'!$A$2:$A$268=B31),0)),"")</f>
        <v/>
      </c>
      <c r="B31" s="120">
        <v>29</v>
      </c>
      <c r="C31" s="133" t="str" cm="1">
        <f t="array" ref="C31">IF(A31="","",_xlfn.IFS(A31="Establecimiento",Formulario!$L$65,A31="Improductivo",Formulario!$L$104,A31="Mantenimiento",Formulario!$L$146)+IF(AND(A31="Mantenimiento",A32&lt;&gt;"Mantenimiento"),Formulario!$L$163,0))</f>
        <v/>
      </c>
      <c r="D31" s="88"/>
      <c r="E31" s="518">
        <v>29</v>
      </c>
      <c r="F31" s="520" t="str" cm="1">
        <f t="array" ref="F31">IFERROR(INDEX('Rendimientos estandar_'!$H$2:$H$268,MATCH(1,(SUBSTITUTE(TRIM('Rendimientos estandar_'!$B$2:$B$268),"  "," ")=SUBSTITUTE(TRIM(SUBSTITUTE($A$1,"_"," ")),"  "," "))*('Rendimientos estandar_'!$A$2:$A$268=E31),0)),"")</f>
        <v/>
      </c>
      <c r="G31" s="88"/>
      <c r="H31" s="88"/>
      <c r="I31" s="88"/>
      <c r="J31" s="88"/>
      <c r="K31" s="277"/>
    </row>
    <row r="32" spans="1:11">
      <c r="A32" s="133" t="str" cm="1">
        <f t="array" ref="A32">IFERROR(INDEX('Rendimientos estandar_'!$C$2:$C$268,MATCH(1,(SUBSTITUTE(TRIM('Rendimientos estandar_'!$B$2:$B$268),"  "," ")=SUBSTITUTE(TRIM(SUBSTITUTE(Formulario!$B$28,"_"," ")),"  "," "))*('Rendimientos estandar_'!$A$2:$A$268=B32),0)),"")</f>
        <v/>
      </c>
      <c r="B32" s="120">
        <v>30</v>
      </c>
      <c r="C32" s="133" cm="1">
        <f t="array" ref="C32">IF(A32="",0,_xlfn.IFS(A32="Establecimiento",Formulario!$L$65,A32="Improductivo",Formulario!$L$104,A32="Mantenimiento",Formulario!$L$146)+IF(A32="Mantenimiento",Formulario!$L$163,0))</f>
        <v>0</v>
      </c>
      <c r="D32" s="88"/>
      <c r="E32" s="518">
        <v>30</v>
      </c>
      <c r="F32" s="520" t="str" cm="1">
        <f t="array" ref="F32">IFERROR(INDEX('Rendimientos estandar_'!$H$2:$H$268,MATCH(1,(SUBSTITUTE(TRIM('Rendimientos estandar_'!$B$2:$B$268),"  "," ")=SUBSTITUTE(TRIM(SUBSTITUTE($A$1,"_"," ")),"  "," "))*('Rendimientos estandar_'!$A$2:$A$268=E32),0)),"")</f>
        <v/>
      </c>
      <c r="G32" s="88"/>
      <c r="H32" s="88"/>
      <c r="I32" s="88"/>
      <c r="J32" s="88"/>
      <c r="K32" s="277"/>
    </row>
    <row r="33" spans="11:11">
      <c r="K33" s="9"/>
    </row>
    <row r="34" spans="11:11">
      <c r="K34" s="9"/>
    </row>
    <row r="35" spans="11:11">
      <c r="K35" s="9"/>
    </row>
    <row r="36" spans="11:11">
      <c r="K36" s="9"/>
    </row>
    <row r="37" spans="11:11">
      <c r="K37" s="9"/>
    </row>
    <row r="38" spans="11:11">
      <c r="K38" s="9"/>
    </row>
    <row r="39" spans="11:11">
      <c r="K39" s="9"/>
    </row>
    <row r="40" spans="11:11">
      <c r="K40" s="9"/>
    </row>
    <row r="41" spans="11:11">
      <c r="K41" s="9"/>
    </row>
  </sheetData>
  <mergeCells count="2">
    <mergeCell ref="E1:F1"/>
    <mergeCell ref="A1:C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4A980-D181-4D59-9F37-1131C73C34EE}">
  <sheetPr codeName="Hoja18">
    <tabColor rgb="FF1B4332"/>
  </sheetPr>
  <dimension ref="A1:Q31"/>
  <sheetViews>
    <sheetView showGridLines="0" zoomScale="85" zoomScaleNormal="85" workbookViewId="0">
      <pane ySplit="1" topLeftCell="A2" activePane="bottomLeft" state="frozen"/>
      <selection pane="bottomLeft" activeCell="G39" sqref="G39"/>
    </sheetView>
    <sheetView workbookViewId="1"/>
  </sheetViews>
  <sheetFormatPr baseColWidth="10" defaultColWidth="8" defaultRowHeight="15"/>
  <cols>
    <col min="1" max="1" width="4.625" style="1" bestFit="1" customWidth="1"/>
    <col min="2" max="2" width="10.5" style="1" bestFit="1" customWidth="1"/>
    <col min="3" max="3" width="9.125" style="1" bestFit="1" customWidth="1"/>
    <col min="4" max="4" width="17.625" style="13" bestFit="1" customWidth="1"/>
    <col min="5" max="5" width="10.625" style="9" bestFit="1" customWidth="1"/>
    <col min="6" max="6" width="13.625" style="9" bestFit="1" customWidth="1"/>
    <col min="7" max="7" width="10.625" style="9" bestFit="1" customWidth="1"/>
    <col min="8" max="8" width="7.125" style="1" bestFit="1" customWidth="1"/>
    <col min="9" max="9" width="6.375" style="1" bestFit="1" customWidth="1"/>
    <col min="10" max="10" width="14.375" style="1" bestFit="1" customWidth="1"/>
    <col min="11" max="11" width="13.125" style="9" bestFit="1" customWidth="1"/>
    <col min="12" max="12" width="13.625" style="1" bestFit="1" customWidth="1"/>
    <col min="13" max="13" width="18.5" style="1" bestFit="1" customWidth="1"/>
    <col min="14" max="15" width="8" style="1"/>
    <col min="16" max="16" width="9.625" style="1" customWidth="1"/>
    <col min="17" max="17" width="13.875" style="1" customWidth="1"/>
    <col min="18" max="16384" width="8" style="1"/>
  </cols>
  <sheetData>
    <row r="1" spans="1:17" ht="21.95" customHeight="1">
      <c r="A1" s="179" t="s">
        <v>4066</v>
      </c>
      <c r="B1" s="179" t="s">
        <v>4087</v>
      </c>
      <c r="C1" s="179" t="s">
        <v>4088</v>
      </c>
      <c r="D1" s="179" t="s">
        <v>4089</v>
      </c>
      <c r="E1" s="179" t="s">
        <v>4083</v>
      </c>
      <c r="F1" s="179" t="s">
        <v>4090</v>
      </c>
      <c r="G1" s="179" t="s">
        <v>4091</v>
      </c>
      <c r="H1" s="179" t="s">
        <v>4092</v>
      </c>
      <c r="I1" s="179" t="s">
        <v>4093</v>
      </c>
      <c r="J1" s="179" t="s">
        <v>4094</v>
      </c>
      <c r="K1" s="179" t="s">
        <v>4095</v>
      </c>
      <c r="L1" s="179" t="s">
        <v>4096</v>
      </c>
      <c r="M1" s="179" t="s">
        <v>4097</v>
      </c>
      <c r="N1" s="88"/>
      <c r="O1" s="88"/>
      <c r="P1" s="88"/>
      <c r="Q1" s="88"/>
    </row>
    <row r="2" spans="1:17">
      <c r="A2" s="88">
        <v>1</v>
      </c>
      <c r="B2" s="88">
        <f>IFERROR(VLOOKUP(A2,Entradas_calculos!$E$3:$F$32,2,FALSE),0)</f>
        <v>10450</v>
      </c>
      <c r="C2" s="328">
        <f>Entradas_calculos!$K$3</f>
        <v>4000</v>
      </c>
      <c r="D2" s="152">
        <f>IFERROR(B2*C2,0)</f>
        <v>41800000</v>
      </c>
      <c r="E2" s="152">
        <f>IFERROR(VLOOKUP(A2,Entradas_calculos!$B$3:$C$32,2,FALSE),0)</f>
        <v>21007736.725995515</v>
      </c>
      <c r="F2" s="152">
        <f>+IF(AND(A2&lt;=Amortización!$B$3,A2-Amortización!$B$4&gt;0),IFERROR(VLOOKUP(A2,Amortización!$A$8:$B$32,2,FALSE),0),0)</f>
        <v>0</v>
      </c>
      <c r="G2" s="152">
        <f>IFERROR(D2-E2-F2,0)</f>
        <v>20792263.274004485</v>
      </c>
      <c r="H2" s="88">
        <f>A2</f>
        <v>1</v>
      </c>
      <c r="I2" s="88">
        <f>Entradas_calculos!$K$4</f>
        <v>8.4623421027637979E-2</v>
      </c>
      <c r="J2" s="329">
        <f>(1+I2)^A2</f>
        <v>1.084623421027638</v>
      </c>
      <c r="K2" s="277">
        <f t="shared" ref="K2:K31" si="0">IF(J2="",0,G2/J2)</f>
        <v>19170029.773379441</v>
      </c>
      <c r="L2" s="330">
        <f>+NPV(Entradas_calculos!$K$4,G2:G31)</f>
        <v>183359996.65097311</v>
      </c>
      <c r="M2" s="88"/>
      <c r="N2" s="88"/>
      <c r="O2" s="88"/>
      <c r="P2" s="327" t="s">
        <v>4098</v>
      </c>
      <c r="Q2" s="331">
        <f>SUM(K2:K31)</f>
        <v>183359996.65097311</v>
      </c>
    </row>
    <row r="3" spans="1:17">
      <c r="A3" s="88">
        <v>2</v>
      </c>
      <c r="B3" s="88">
        <f>IFERROR(VLOOKUP(A3,Entradas_calculos!$E$3:$F$32,2,FALSE),0)</f>
        <v>17100</v>
      </c>
      <c r="C3" s="328">
        <f>Entradas_calculos!$K$3</f>
        <v>4000</v>
      </c>
      <c r="D3" s="152">
        <f t="shared" ref="D3:D21" si="1">IFERROR(B3*C3,0)</f>
        <v>68400000</v>
      </c>
      <c r="E3" s="152">
        <f>IFERROR(VLOOKUP(A3,Entradas_calculos!$B$3:$C$32,2,FALSE),0)</f>
        <v>16737023.530207679</v>
      </c>
      <c r="F3" s="152">
        <f>+IF(AND(A3&lt;=Amortización!$B$3,A3-Amortización!$B$4&gt;0),IFERROR(VLOOKUP(A3,Amortización!$A$8:$B$32,2,FALSE),0),0)</f>
        <v>0</v>
      </c>
      <c r="G3" s="152">
        <f t="shared" ref="G3:G31" si="2">IFERROR(D3-E3-F3,0)</f>
        <v>51662976.469792321</v>
      </c>
      <c r="H3" s="88">
        <f t="shared" ref="H3:H31" si="3">A3</f>
        <v>2</v>
      </c>
      <c r="I3" s="88">
        <f>Entradas_calculos!$K$4</f>
        <v>8.4623421027637979E-2</v>
      </c>
      <c r="J3" s="329">
        <f t="shared" ref="J3:J31" si="4">(1+I3)^A3</f>
        <v>1.1764079654416968</v>
      </c>
      <c r="K3" s="277">
        <f t="shared" si="0"/>
        <v>43915867.613489702</v>
      </c>
      <c r="L3" s="330">
        <f>+NPV(Entradas_calculos!$K$4,G3:G31)</f>
        <v>178084283.57319018</v>
      </c>
      <c r="M3" s="88"/>
      <c r="N3" s="88"/>
      <c r="O3" s="88"/>
      <c r="P3" s="154" t="s">
        <v>4099</v>
      </c>
      <c r="Q3" s="332" t="e">
        <f>IRR(G2:G31,0.1)</f>
        <v>#NUM!</v>
      </c>
    </row>
    <row r="4" spans="1:17">
      <c r="A4" s="88">
        <v>3</v>
      </c>
      <c r="B4" s="88">
        <f>IFERROR(VLOOKUP(A4,Entradas_calculos!$E$3:$F$32,2,FALSE),0)</f>
        <v>16245</v>
      </c>
      <c r="C4" s="333">
        <f>Entradas_calculos!$K$3</f>
        <v>4000</v>
      </c>
      <c r="D4" s="152">
        <f t="shared" si="1"/>
        <v>64980000</v>
      </c>
      <c r="E4" s="152">
        <f>IFERROR(VLOOKUP(A4,Entradas_calculos!$B$3:$C$32,2,FALSE),0)</f>
        <v>16737023.530207679</v>
      </c>
      <c r="F4" s="152">
        <f>+IF(AND(A4&lt;=Amortización!$B$3,A4-Amortización!$B$4&gt;0),IFERROR(VLOOKUP(A4,Amortización!$A$8:$B$32,2,FALSE),0),0)</f>
        <v>0</v>
      </c>
      <c r="G4" s="152">
        <f t="shared" si="2"/>
        <v>48242976.469792321</v>
      </c>
      <c r="H4" s="88">
        <f t="shared" si="3"/>
        <v>3</v>
      </c>
      <c r="I4" s="88">
        <f>Entradas_calculos!$K$4</f>
        <v>8.4623421027637979E-2</v>
      </c>
      <c r="J4" s="329">
        <f t="shared" si="4"/>
        <v>1.2759596320015365</v>
      </c>
      <c r="K4" s="277">
        <f t="shared" si="0"/>
        <v>37809171.434456654</v>
      </c>
      <c r="L4" s="330">
        <f>+NPV(Entradas_calculos!$K$4,G4:G31)</f>
        <v>141491408.41061723</v>
      </c>
      <c r="M4" s="197">
        <f>IF(H4="","",L4/((1+Entradas_calculos!$K$4)^H4))</f>
        <v>110890191.86968045</v>
      </c>
      <c r="N4" s="88"/>
      <c r="O4" s="88"/>
      <c r="P4" s="154" t="s">
        <v>4368</v>
      </c>
      <c r="Q4" s="334" t="str" cm="1">
        <f t="array" ref="Q4">IFERROR(NPV(Entradas_calculos!$K$4,D2:D30)/NPV(Entradas_calculos!$K$4,E2:E30+F2:F30),"-")</f>
        <v>-</v>
      </c>
    </row>
    <row r="5" spans="1:17">
      <c r="A5" s="88">
        <v>4</v>
      </c>
      <c r="B5" s="88">
        <f>IFERROR(VLOOKUP(A5,Entradas_calculos!$E$3:$F$32,2,FALSE),0)</f>
        <v>15390</v>
      </c>
      <c r="C5" s="328">
        <f>Entradas_calculos!$K$3</f>
        <v>4000</v>
      </c>
      <c r="D5" s="152">
        <f t="shared" si="1"/>
        <v>61560000</v>
      </c>
      <c r="E5" s="152">
        <f>IFERROR(VLOOKUP(A5,Entradas_calculos!$B$3:$C$32,2,FALSE),0)</f>
        <v>16737023.530207679</v>
      </c>
      <c r="F5" s="152">
        <f>+IF(AND(A5&lt;=Amortización!$B$3,A5-Amortización!$B$4&gt;0),IFERROR(VLOOKUP(A5,Amortización!$A$8:$B$32,2,FALSE),0),0)</f>
        <v>0</v>
      </c>
      <c r="G5" s="152">
        <f t="shared" si="2"/>
        <v>44822976.469792321</v>
      </c>
      <c r="H5" s="88">
        <f t="shared" si="3"/>
        <v>4</v>
      </c>
      <c r="I5" s="88">
        <f>Entradas_calculos!$K$4</f>
        <v>8.4623421027637979E-2</v>
      </c>
      <c r="J5" s="329">
        <f t="shared" si="4"/>
        <v>1.3839357011546725</v>
      </c>
      <c r="K5" s="277">
        <f t="shared" si="0"/>
        <v>32388048.398776572</v>
      </c>
      <c r="L5" s="330">
        <f>+NPV(Entradas_calculos!$K$4,G5:G31)</f>
        <v>105221918.96655005</v>
      </c>
      <c r="M5" s="197">
        <f>IF(H5="","",L5/((1+Entradas_calculos!$K$4)^H5))</f>
        <v>76030930.395652935</v>
      </c>
      <c r="N5" s="88"/>
      <c r="O5" s="88"/>
      <c r="P5" s="154" t="s">
        <v>4458</v>
      </c>
      <c r="Q5" s="335" t="str" cm="1">
        <f t="array" aca="1" ref="Q5" ca="1">IFERROR(_xlfn.LET(_xlpm.idx,MATCH(TRUE,MMULT(--(ROW(G2:G30)&gt;=TRANSPOSE(ROW(G2:G30))),G2:G30)&gt;=0,0),_xlpm.prev,SUM(OFFSET(G2,0,0,_xlpm.idx-1,1)),_xlpm.flujoAct,INDEX(G2:G30,_xlpm.idx),(_xlpm.idx-1)+(-_xlpm.prev/_xlpm.flujoAct)),"No alcanza")</f>
        <v>No alcanza</v>
      </c>
    </row>
    <row r="6" spans="1:17">
      <c r="A6" s="88">
        <v>5</v>
      </c>
      <c r="B6" s="88">
        <f>IFERROR(VLOOKUP(A6,Entradas_calculos!$E$3:$F$32,2,FALSE),0)</f>
        <v>14535</v>
      </c>
      <c r="C6" s="328">
        <f>Entradas_calculos!$K$3</f>
        <v>4000</v>
      </c>
      <c r="D6" s="152">
        <f t="shared" si="1"/>
        <v>58140000</v>
      </c>
      <c r="E6" s="152">
        <f>IFERROR(VLOOKUP(A6,Entradas_calculos!$B$3:$C$32,2,FALSE),0)</f>
        <v>16737023.530207679</v>
      </c>
      <c r="F6" s="152">
        <f>+IF(AND(A6&lt;=Amortización!$B$3,A6-Amortización!$B$4&gt;0),IFERROR(VLOOKUP(A6,Amortización!$A$8:$B$32,2,FALSE),0),0)</f>
        <v>0</v>
      </c>
      <c r="G6" s="152">
        <f t="shared" si="2"/>
        <v>41402976.469792321</v>
      </c>
      <c r="H6" s="88">
        <f t="shared" si="3"/>
        <v>5</v>
      </c>
      <c r="I6" s="88">
        <f>Entradas_calculos!$K$4</f>
        <v>8.4623421027637979E-2</v>
      </c>
      <c r="J6" s="329">
        <f t="shared" si="4"/>
        <v>1.5010490746686638</v>
      </c>
      <c r="K6" s="277">
        <f t="shared" si="0"/>
        <v>27582693.443205025</v>
      </c>
      <c r="L6" s="330">
        <f>+NPV(Entradas_calculos!$K$4,G6:G31)</f>
        <v>69303181.24680011</v>
      </c>
      <c r="M6" s="197">
        <f>IF(H6="","",L6/((1+Entradas_calculos!$K$4)^H6))</f>
        <v>46169830.431491956</v>
      </c>
      <c r="N6" s="88"/>
      <c r="O6" s="88"/>
      <c r="P6" s="88"/>
      <c r="Q6" s="88"/>
    </row>
    <row r="7" spans="1:17">
      <c r="A7" s="88">
        <v>6</v>
      </c>
      <c r="B7" s="88">
        <f>IFERROR(VLOOKUP(A7,Entradas_calculos!$E$3:$F$32,2,FALSE),0)</f>
        <v>13680</v>
      </c>
      <c r="C7" s="328">
        <f>Entradas_calculos!$K$3</f>
        <v>4000</v>
      </c>
      <c r="D7" s="152">
        <f t="shared" si="1"/>
        <v>54720000</v>
      </c>
      <c r="E7" s="152">
        <f>IFERROR(VLOOKUP(A7,Entradas_calculos!$B$3:$C$32,2,FALSE),0)</f>
        <v>18097823.530207679</v>
      </c>
      <c r="F7" s="152">
        <f>+IF(AND(A7&lt;=Amortización!$B$3,A7-Amortización!$B$4&gt;0),IFERROR(VLOOKUP(A7,Amortización!$A$8:$B$32,2,FALSE),0),0)</f>
        <v>0</v>
      </c>
      <c r="G7" s="152">
        <f t="shared" si="2"/>
        <v>36622176.469792321</v>
      </c>
      <c r="H7" s="88">
        <f t="shared" si="3"/>
        <v>6</v>
      </c>
      <c r="I7" s="88">
        <f>Entradas_calculos!$K$4</f>
        <v>8.4623421027637979E-2</v>
      </c>
      <c r="J7" s="329">
        <f t="shared" si="4"/>
        <v>1.6280729824974964</v>
      </c>
      <c r="K7" s="277">
        <f t="shared" si="0"/>
        <v>22494185.98766572</v>
      </c>
      <c r="L7" s="330">
        <f>+NPV(Entradas_calculos!$K$4,G7:G31)</f>
        <v>33764877.062210448</v>
      </c>
      <c r="M7" s="197">
        <f>IF(H7="","",L7/((1+Entradas_calculos!$K$4)^H7))</f>
        <v>20739166.748172712</v>
      </c>
      <c r="N7" s="88"/>
      <c r="O7" s="88"/>
      <c r="P7" s="88"/>
      <c r="Q7" s="88"/>
    </row>
    <row r="8" spans="1:17">
      <c r="A8" s="88">
        <v>7</v>
      </c>
      <c r="B8" s="88" t="str">
        <f>IFERROR(VLOOKUP(A8,Entradas_calculos!$E$3:$F$32,2,FALSE),0)</f>
        <v/>
      </c>
      <c r="C8" s="328">
        <f>Entradas_calculos!$K$3</f>
        <v>4000</v>
      </c>
      <c r="D8" s="152">
        <f t="shared" si="1"/>
        <v>0</v>
      </c>
      <c r="E8" s="152" t="str">
        <f>IFERROR(VLOOKUP(A8,Entradas_calculos!$B$3:$C$32,2,FALSE),0)</f>
        <v/>
      </c>
      <c r="F8" s="152">
        <f>+IF(AND(A8&lt;=Amortización!$B$3,A8-Amortización!$B$4&gt;0),IFERROR(VLOOKUP(A8,Amortización!$A$8:$B$32,2,FALSE),0),0)</f>
        <v>0</v>
      </c>
      <c r="G8" s="152">
        <f t="shared" si="2"/>
        <v>0</v>
      </c>
      <c r="H8" s="88">
        <f t="shared" si="3"/>
        <v>7</v>
      </c>
      <c r="I8" s="88">
        <f>Entradas_calculos!$K$4</f>
        <v>8.4623421027637979E-2</v>
      </c>
      <c r="J8" s="329">
        <f t="shared" si="4"/>
        <v>1.7658460879591042</v>
      </c>
      <c r="K8" s="277">
        <f t="shared" si="0"/>
        <v>0</v>
      </c>
      <c r="L8" s="330">
        <f>+NPV(Entradas_calculos!$K$4,G8:G31)</f>
        <v>0</v>
      </c>
      <c r="M8" s="197">
        <f>IF(H8="","",L8/((1+Entradas_calculos!$K$4)^H8))</f>
        <v>0</v>
      </c>
      <c r="N8" s="88"/>
      <c r="O8" s="88"/>
      <c r="P8" s="88"/>
      <c r="Q8" s="88"/>
    </row>
    <row r="9" spans="1:17">
      <c r="A9" s="88">
        <v>8</v>
      </c>
      <c r="B9" s="88" t="str">
        <f>IFERROR(VLOOKUP(A9,Entradas_calculos!$E$3:$F$32,2,FALSE),0)</f>
        <v/>
      </c>
      <c r="C9" s="328">
        <f>Entradas_calculos!$K$3</f>
        <v>4000</v>
      </c>
      <c r="D9" s="152">
        <f t="shared" si="1"/>
        <v>0</v>
      </c>
      <c r="E9" s="152" t="str">
        <f>IFERROR(VLOOKUP(A9,Entradas_calculos!$B$3:$C$32,2,FALSE),0)</f>
        <v/>
      </c>
      <c r="F9" s="152">
        <f>+IF(AND(A9&lt;=Amortización!$B$3,A9-Amortización!$B$4&gt;0),IFERROR(VLOOKUP(A9,Amortización!$A$8:$B$32,2,FALSE),0),0)</f>
        <v>0</v>
      </c>
      <c r="G9" s="152">
        <f t="shared" si="2"/>
        <v>0</v>
      </c>
      <c r="H9" s="88">
        <f t="shared" si="3"/>
        <v>8</v>
      </c>
      <c r="I9" s="88">
        <f>Entradas_calculos!$K$4</f>
        <v>8.4623421027637979E-2</v>
      </c>
      <c r="J9" s="329">
        <f t="shared" si="4"/>
        <v>1.9152780249304748</v>
      </c>
      <c r="K9" s="277">
        <f t="shared" si="0"/>
        <v>0</v>
      </c>
      <c r="L9" s="330">
        <f>+NPV(Entradas_calculos!$K$4,Calculos_generales!G9:G31)</f>
        <v>0</v>
      </c>
      <c r="M9" s="197">
        <f>IF(H9="","",L9/((1+Entradas_calculos!$K$4)^H9))</f>
        <v>0</v>
      </c>
      <c r="N9" s="88"/>
      <c r="O9" s="88"/>
      <c r="P9" s="88"/>
      <c r="Q9" s="88"/>
    </row>
    <row r="10" spans="1:17">
      <c r="A10" s="88">
        <v>9</v>
      </c>
      <c r="B10" s="88" t="str">
        <f>IFERROR(VLOOKUP(A10,Entradas_calculos!$E$3:$F$32,2,FALSE),0)</f>
        <v/>
      </c>
      <c r="C10" s="328">
        <f>Entradas_calculos!$K$3</f>
        <v>4000</v>
      </c>
      <c r="D10" s="152">
        <f t="shared" si="1"/>
        <v>0</v>
      </c>
      <c r="E10" s="152" t="str">
        <f>IFERROR(VLOOKUP(A10,Entradas_calculos!$B$3:$C$32,2,FALSE),0)</f>
        <v/>
      </c>
      <c r="F10" s="152">
        <f>+IF(AND(A10&lt;=Amortización!$B$3,A10-Amortización!$B$4&gt;0),IFERROR(VLOOKUP(A10,Amortización!$A$8:$B$32,2,FALSE),0),0)</f>
        <v>0</v>
      </c>
      <c r="G10" s="152">
        <f t="shared" si="2"/>
        <v>0</v>
      </c>
      <c r="H10" s="88">
        <f t="shared" si="3"/>
        <v>9</v>
      </c>
      <c r="I10" s="88">
        <f>Entradas_calculos!$K$4</f>
        <v>8.4623421027637979E-2</v>
      </c>
      <c r="J10" s="329">
        <f t="shared" si="4"/>
        <v>2.0773554036191495</v>
      </c>
      <c r="K10" s="277">
        <f t="shared" si="0"/>
        <v>0</v>
      </c>
      <c r="L10" s="330">
        <f>+NPV(Entradas_calculos!$K$4,Calculos_generales!G10:G32)</f>
        <v>0</v>
      </c>
      <c r="M10" s="197">
        <f>IF(H10="","",L10/((1+Entradas_calculos!$K$4)^H10))</f>
        <v>0</v>
      </c>
      <c r="N10" s="88"/>
      <c r="O10" s="88"/>
      <c r="P10" s="88"/>
      <c r="Q10" s="88"/>
    </row>
    <row r="11" spans="1:17">
      <c r="A11" s="88">
        <v>10</v>
      </c>
      <c r="B11" s="88" t="str">
        <f>IFERROR(VLOOKUP(A11,Entradas_calculos!$E$3:$F$32,2,FALSE),0)</f>
        <v/>
      </c>
      <c r="C11" s="328">
        <f>Entradas_calculos!$K$3</f>
        <v>4000</v>
      </c>
      <c r="D11" s="152">
        <f t="shared" si="1"/>
        <v>0</v>
      </c>
      <c r="E11" s="152" t="str">
        <f>IFERROR(VLOOKUP(A11,Entradas_calculos!$B$3:$C$32,2,FALSE),0)</f>
        <v/>
      </c>
      <c r="F11" s="152">
        <f>+IF(AND(A11&lt;=Amortización!$B$3,A11-Amortización!$B$4&gt;0),IFERROR(VLOOKUP(A11,Amortización!$A$8:$B$32,2,FALSE),0),0)</f>
        <v>0</v>
      </c>
      <c r="G11" s="152">
        <f t="shared" si="2"/>
        <v>0</v>
      </c>
      <c r="H11" s="88">
        <f t="shared" si="3"/>
        <v>10</v>
      </c>
      <c r="I11" s="88">
        <f>Entradas_calculos!$K$4</f>
        <v>8.4623421027637979E-2</v>
      </c>
      <c r="J11" s="329">
        <f t="shared" si="4"/>
        <v>2.2531483245636514</v>
      </c>
      <c r="K11" s="277">
        <f>IF(J11="",0,G11/J11)</f>
        <v>0</v>
      </c>
      <c r="L11" s="330">
        <f>+NPV(Entradas_calculos!$K$4,G11:G31)</f>
        <v>0</v>
      </c>
      <c r="M11" s="328">
        <f>+L11/((1+Entradas_calculos!$K$4)^Calculos_generales!H11)</f>
        <v>0</v>
      </c>
      <c r="N11" s="88"/>
      <c r="O11" s="88"/>
      <c r="P11" s="88"/>
      <c r="Q11" s="88"/>
    </row>
    <row r="12" spans="1:17">
      <c r="A12" s="88">
        <v>11</v>
      </c>
      <c r="B12" s="88" t="str">
        <f>IFERROR(VLOOKUP(A12,Entradas_calculos!$E$3:$F$32,2,FALSE),0)</f>
        <v/>
      </c>
      <c r="C12" s="328">
        <f>Entradas_calculos!$K$3</f>
        <v>4000</v>
      </c>
      <c r="D12" s="152">
        <f t="shared" si="1"/>
        <v>0</v>
      </c>
      <c r="E12" s="152" t="str">
        <f>IFERROR(VLOOKUP(A12,Entradas_calculos!$B$3:$C$32,2,FALSE),0)</f>
        <v/>
      </c>
      <c r="F12" s="152">
        <f>+IF(AND(A12&lt;=Amortización!$B$3,A12-Amortización!$B$4&gt;0),IFERROR(VLOOKUP(A12,Amortización!$A$8:$B$32,2,FALSE),0),0)</f>
        <v>0</v>
      </c>
      <c r="G12" s="152">
        <f t="shared" si="2"/>
        <v>0</v>
      </c>
      <c r="H12" s="88">
        <f t="shared" si="3"/>
        <v>11</v>
      </c>
      <c r="I12" s="88">
        <f>Entradas_calculos!$K$4</f>
        <v>8.4623421027637979E-2</v>
      </c>
      <c r="J12" s="329">
        <f t="shared" si="4"/>
        <v>2.4438174438709184</v>
      </c>
      <c r="K12" s="277">
        <f t="shared" si="0"/>
        <v>0</v>
      </c>
      <c r="L12" s="330">
        <f>+NPV(Entradas_calculos!$K$4,Calculos_generales!G12:G34)</f>
        <v>0</v>
      </c>
      <c r="M12" s="328">
        <f>+L12/((1+Entradas_calculos!$K$4)^Calculos_generales!H12)</f>
        <v>0</v>
      </c>
      <c r="N12" s="88"/>
      <c r="O12" s="88"/>
      <c r="P12" s="88"/>
      <c r="Q12" s="88"/>
    </row>
    <row r="13" spans="1:17">
      <c r="A13" s="88">
        <v>12</v>
      </c>
      <c r="B13" s="88" t="str">
        <f>IFERROR(VLOOKUP(A13,Entradas_calculos!$E$3:$F$32,2,FALSE),0)</f>
        <v/>
      </c>
      <c r="C13" s="328">
        <f>Entradas_calculos!$K$3</f>
        <v>4000</v>
      </c>
      <c r="D13" s="152">
        <f t="shared" si="1"/>
        <v>0</v>
      </c>
      <c r="E13" s="152" t="str">
        <f>IFERROR(VLOOKUP(A13,Entradas_calculos!$B$3:$C$32,2,FALSE),0)</f>
        <v/>
      </c>
      <c r="F13" s="152">
        <f>+IF(AND(A13&lt;=Amortización!$B$3,A13-Amortización!$B$4&gt;0),IFERROR(VLOOKUP(A13,Amortización!$A$8:$B$32,2,FALSE),0),0)</f>
        <v>0</v>
      </c>
      <c r="G13" s="152">
        <f t="shared" si="2"/>
        <v>0</v>
      </c>
      <c r="H13" s="88">
        <f t="shared" si="3"/>
        <v>12</v>
      </c>
      <c r="I13" s="88">
        <f>Entradas_calculos!$K$4</f>
        <v>8.4623421027637979E-2</v>
      </c>
      <c r="J13" s="329">
        <f t="shared" si="4"/>
        <v>2.6506216363382928</v>
      </c>
      <c r="K13" s="277">
        <f t="shared" si="0"/>
        <v>0</v>
      </c>
      <c r="L13" s="330">
        <f>+NPV(Entradas_calculos!$K$4,Calculos_generales!G13:G35)</f>
        <v>0</v>
      </c>
      <c r="M13" s="328">
        <f>+L13/((1+Entradas_calculos!$K$4)^Calculos_generales!H13)</f>
        <v>0</v>
      </c>
      <c r="N13" s="88"/>
      <c r="O13" s="88"/>
      <c r="P13" s="88"/>
      <c r="Q13" s="88"/>
    </row>
    <row r="14" spans="1:17">
      <c r="A14" s="88">
        <v>13</v>
      </c>
      <c r="B14" s="88" t="str">
        <f>IFERROR(VLOOKUP(A14,Entradas_calculos!$E$3:$F$32,2,FALSE),0)</f>
        <v/>
      </c>
      <c r="C14" s="328">
        <f>Entradas_calculos!$K$3</f>
        <v>4000</v>
      </c>
      <c r="D14" s="152">
        <f t="shared" si="1"/>
        <v>0</v>
      </c>
      <c r="E14" s="152" t="str">
        <f>IFERROR(VLOOKUP(A14,Entradas_calculos!$B$3:$C$32,2,FALSE),0)</f>
        <v/>
      </c>
      <c r="F14" s="152">
        <f>+IF(AND(A14&lt;=Amortización!$B$3,A14-Amortización!$B$4&gt;0),IFERROR(VLOOKUP(A14,Amortización!$A$8:$B$32,2,FALSE),0),0)</f>
        <v>0</v>
      </c>
      <c r="G14" s="152">
        <f t="shared" si="2"/>
        <v>0</v>
      </c>
      <c r="H14" s="88">
        <f t="shared" si="3"/>
        <v>13</v>
      </c>
      <c r="I14" s="88">
        <f>Entradas_calculos!$K$4</f>
        <v>8.4623421027637979E-2</v>
      </c>
      <c r="J14" s="329">
        <f t="shared" si="4"/>
        <v>2.874926307055115</v>
      </c>
      <c r="K14" s="277">
        <f t="shared" si="0"/>
        <v>0</v>
      </c>
      <c r="L14" s="330">
        <f>+NPV(Entradas_calculos!$K$4,Calculos_generales!G14:G36)</f>
        <v>0</v>
      </c>
      <c r="M14" s="328">
        <f>+L14/((1+Entradas_calculos!$K$4)^Calculos_generales!H14)</f>
        <v>0</v>
      </c>
      <c r="N14" s="88"/>
      <c r="O14" s="88"/>
      <c r="P14" s="88"/>
      <c r="Q14" s="88"/>
    </row>
    <row r="15" spans="1:17">
      <c r="A15" s="88">
        <v>14</v>
      </c>
      <c r="B15" s="88" t="str">
        <f>IFERROR(VLOOKUP(A15,Entradas_calculos!$E$3:$F$32,2,FALSE),0)</f>
        <v/>
      </c>
      <c r="C15" s="328">
        <f>Entradas_calculos!$K$3</f>
        <v>4000</v>
      </c>
      <c r="D15" s="152">
        <f t="shared" si="1"/>
        <v>0</v>
      </c>
      <c r="E15" s="152" t="str">
        <f>IFERROR(VLOOKUP(A15,Entradas_calculos!$B$3:$C$32,2,FALSE),0)</f>
        <v/>
      </c>
      <c r="F15" s="152">
        <f>+IF(AND(A15&lt;=Amortización!$B$3,A15-Amortización!$B$4&gt;0),IFERROR(VLOOKUP(A15,Amortización!$A$8:$B$32,2,FALSE),0),0)</f>
        <v>0</v>
      </c>
      <c r="G15" s="152">
        <f t="shared" si="2"/>
        <v>0</v>
      </c>
      <c r="H15" s="88">
        <f t="shared" si="3"/>
        <v>14</v>
      </c>
      <c r="I15" s="88">
        <f>Entradas_calculos!$K$4</f>
        <v>8.4623421027637979E-2</v>
      </c>
      <c r="J15" s="329">
        <f t="shared" si="4"/>
        <v>3.1182124063604726</v>
      </c>
      <c r="K15" s="277">
        <f t="shared" si="0"/>
        <v>0</v>
      </c>
      <c r="L15" s="330">
        <f>+NPV(Entradas_calculos!$K$4,Calculos_generales!G15:G37)</f>
        <v>0</v>
      </c>
      <c r="M15" s="328">
        <f>+L15/((1+Entradas_calculos!$K$4)^Calculos_generales!H15)</f>
        <v>0</v>
      </c>
      <c r="N15" s="88"/>
      <c r="O15" s="88"/>
      <c r="P15" s="88"/>
      <c r="Q15" s="88"/>
    </row>
    <row r="16" spans="1:17">
      <c r="A16" s="88">
        <v>15</v>
      </c>
      <c r="B16" s="88" t="str">
        <f>IFERROR(VLOOKUP(A16,Entradas_calculos!$E$3:$F$32,2,FALSE),0)</f>
        <v/>
      </c>
      <c r="C16" s="328">
        <f>Entradas_calculos!$K$3</f>
        <v>4000</v>
      </c>
      <c r="D16" s="152">
        <f t="shared" si="1"/>
        <v>0</v>
      </c>
      <c r="E16" s="152" t="str">
        <f>IFERROR(VLOOKUP(A16,Entradas_calculos!$B$3:$C$32,2,FALSE),0)</f>
        <v/>
      </c>
      <c r="F16" s="152">
        <f>+IF(AND(A16&lt;=Amortización!$B$3,A16-Amortización!$B$4&gt;0),IFERROR(VLOOKUP(A16,Amortización!$A$8:$B$32,2,FALSE),0),0)</f>
        <v>0</v>
      </c>
      <c r="G16" s="152">
        <f t="shared" si="2"/>
        <v>0</v>
      </c>
      <c r="H16" s="88">
        <f t="shared" si="3"/>
        <v>15</v>
      </c>
      <c r="I16" s="88">
        <f>Entradas_calculos!$K$4</f>
        <v>8.4623421027637979E-2</v>
      </c>
      <c r="J16" s="329">
        <f t="shared" si="4"/>
        <v>3.3820862076775189</v>
      </c>
      <c r="K16" s="277">
        <f t="shared" si="0"/>
        <v>0</v>
      </c>
      <c r="L16" s="330">
        <f>+NPV(Entradas_calculos!$K$4,Calculos_generales!G16:G38)</f>
        <v>0</v>
      </c>
      <c r="M16" s="328">
        <f>+L16/((1+Entradas_calculos!$K$4)^Calculos_generales!H16)</f>
        <v>0</v>
      </c>
      <c r="N16" s="88"/>
      <c r="O16" s="88"/>
      <c r="P16" s="88"/>
      <c r="Q16" s="88"/>
    </row>
    <row r="17" spans="1:17">
      <c r="A17" s="88">
        <v>16</v>
      </c>
      <c r="B17" s="88" t="str">
        <f>IFERROR(VLOOKUP(A17,Entradas_calculos!$E$3:$F$32,2,FALSE),0)</f>
        <v/>
      </c>
      <c r="C17" s="328">
        <f>Entradas_calculos!$K$3</f>
        <v>4000</v>
      </c>
      <c r="D17" s="152">
        <f t="shared" si="1"/>
        <v>0</v>
      </c>
      <c r="E17" s="152" t="str">
        <f>IFERROR(VLOOKUP(A17,Entradas_calculos!$B$3:$C$32,2,FALSE),0)</f>
        <v/>
      </c>
      <c r="F17" s="152">
        <f>+IF(AND(A17&lt;=Amortización!$B$3,A17-Amortización!$B$4&gt;0),IFERROR(VLOOKUP(A17,Amortización!$A$8:$B$32,2,FALSE),0),0)</f>
        <v>0</v>
      </c>
      <c r="G17" s="152">
        <f t="shared" si="2"/>
        <v>0</v>
      </c>
      <c r="H17" s="88">
        <f t="shared" si="3"/>
        <v>16</v>
      </c>
      <c r="I17" s="88">
        <f>Entradas_calculos!$K$4</f>
        <v>8.4623421027637979E-2</v>
      </c>
      <c r="J17" s="329">
        <f t="shared" si="4"/>
        <v>3.6682899127815807</v>
      </c>
      <c r="K17" s="277">
        <f t="shared" si="0"/>
        <v>0</v>
      </c>
      <c r="L17" s="330">
        <f>+NPV(Entradas_calculos!$K$4,Calculos_generales!G17:G39)</f>
        <v>0</v>
      </c>
      <c r="M17" s="328">
        <f>+L17/((1+Entradas_calculos!$K$4)^Calculos_generales!H17)</f>
        <v>0</v>
      </c>
      <c r="N17" s="88"/>
      <c r="O17" s="88"/>
      <c r="P17" s="88"/>
      <c r="Q17" s="88"/>
    </row>
    <row r="18" spans="1:17">
      <c r="A18" s="88">
        <v>17</v>
      </c>
      <c r="B18" s="88" t="str">
        <f>IFERROR(VLOOKUP(A18,Entradas_calculos!$E$3:$F$32,2,FALSE),0)</f>
        <v/>
      </c>
      <c r="C18" s="328">
        <f>Entradas_calculos!$K$3</f>
        <v>4000</v>
      </c>
      <c r="D18" s="152">
        <f t="shared" si="1"/>
        <v>0</v>
      </c>
      <c r="E18" s="152" t="str">
        <f>IFERROR(VLOOKUP(A18,Entradas_calculos!$B$3:$C$32,2,FALSE),0)</f>
        <v/>
      </c>
      <c r="F18" s="152">
        <f>+IF(AND(A18&lt;=Amortización!$B$3,A18-Amortización!$B$4&gt;0),IFERROR(VLOOKUP(A18,Amortización!$A$8:$B$32,2,FALSE),0),0)</f>
        <v>0</v>
      </c>
      <c r="G18" s="152">
        <f t="shared" si="2"/>
        <v>0</v>
      </c>
      <c r="H18" s="88">
        <f t="shared" si="3"/>
        <v>17</v>
      </c>
      <c r="I18" s="88">
        <f>Entradas_calculos!$K$4</f>
        <v>8.4623421027637979E-2</v>
      </c>
      <c r="J18" s="329">
        <f t="shared" si="4"/>
        <v>3.978713154522334</v>
      </c>
      <c r="K18" s="277">
        <f t="shared" si="0"/>
        <v>0</v>
      </c>
      <c r="L18" s="330">
        <f>+NPV(Entradas_calculos!$K$4,Calculos_generales!G18:G40)</f>
        <v>0</v>
      </c>
      <c r="M18" s="328">
        <f>+L18/((1+Entradas_calculos!$K$4)^Calculos_generales!H18)</f>
        <v>0</v>
      </c>
      <c r="N18" s="88"/>
      <c r="O18" s="88"/>
      <c r="P18" s="88"/>
      <c r="Q18" s="88"/>
    </row>
    <row r="19" spans="1:17">
      <c r="A19" s="88">
        <v>18</v>
      </c>
      <c r="B19" s="88" t="str">
        <f>IFERROR(VLOOKUP(A19,Entradas_calculos!$E$3:$F$32,2,FALSE),0)</f>
        <v/>
      </c>
      <c r="C19" s="328">
        <f>Entradas_calculos!$K$3</f>
        <v>4000</v>
      </c>
      <c r="D19" s="152">
        <f t="shared" si="1"/>
        <v>0</v>
      </c>
      <c r="E19" s="152" t="str">
        <f>IFERROR(VLOOKUP(A19,Entradas_calculos!$B$3:$C$32,2,FALSE),0)</f>
        <v/>
      </c>
      <c r="F19" s="152">
        <f>+IF(AND(A19&lt;=Amortización!$B$3,A19-Amortización!$B$4&gt;0),IFERROR(VLOOKUP(A19,Amortización!$A$8:$B$32,2,FALSE),0),0)</f>
        <v>0</v>
      </c>
      <c r="G19" s="152">
        <f t="shared" si="2"/>
        <v>0</v>
      </c>
      <c r="H19" s="88">
        <f t="shared" si="3"/>
        <v>18</v>
      </c>
      <c r="I19" s="88">
        <f>Entradas_calculos!$K$4</f>
        <v>8.4623421027637979E-2</v>
      </c>
      <c r="J19" s="329">
        <f t="shared" si="4"/>
        <v>4.3154054729456783</v>
      </c>
      <c r="K19" s="277">
        <f t="shared" si="0"/>
        <v>0</v>
      </c>
      <c r="L19" s="330">
        <f>+NPV(Entradas_calculos!$K$4,Calculos_generales!G19:G41)</f>
        <v>0</v>
      </c>
      <c r="M19" s="328">
        <f>+L19/((1+Entradas_calculos!$K$4)^Calculos_generales!H19)</f>
        <v>0</v>
      </c>
      <c r="N19" s="88"/>
      <c r="O19" s="88"/>
      <c r="P19" s="88"/>
      <c r="Q19" s="88"/>
    </row>
    <row r="20" spans="1:17">
      <c r="A20" s="88">
        <v>19</v>
      </c>
      <c r="B20" s="88" t="str">
        <f>IFERROR(VLOOKUP(A20,Entradas_calculos!$E$3:$F$32,2,FALSE),0)</f>
        <v/>
      </c>
      <c r="C20" s="328">
        <f>Entradas_calculos!$K$3</f>
        <v>4000</v>
      </c>
      <c r="D20" s="152">
        <f t="shared" si="1"/>
        <v>0</v>
      </c>
      <c r="E20" s="152" t="str">
        <f>IFERROR(VLOOKUP(A20,Entradas_calculos!$B$3:$C$32,2,FALSE),0)</f>
        <v/>
      </c>
      <c r="F20" s="152">
        <f>+IF(AND(A20&lt;=Amortización!$B$3,A20-Amortización!$B$4&gt;0),IFERROR(VLOOKUP(A20,Amortización!$A$8:$B$32,2,FALSE),0),0)</f>
        <v>0</v>
      </c>
      <c r="G20" s="152">
        <f t="shared" si="2"/>
        <v>0</v>
      </c>
      <c r="H20" s="88">
        <f t="shared" si="3"/>
        <v>19</v>
      </c>
      <c r="I20" s="88">
        <f>Entradas_calculos!$K$4</f>
        <v>8.4623421027637979E-2</v>
      </c>
      <c r="J20" s="329">
        <f t="shared" si="4"/>
        <v>4.6805898471877345</v>
      </c>
      <c r="K20" s="277">
        <f>IF(J20="",0,G20/J20)</f>
        <v>0</v>
      </c>
      <c r="L20" s="330">
        <f>+NPV(Entradas_calculos!$K$4,Calculos_generales!G20:G42)</f>
        <v>0</v>
      </c>
      <c r="M20" s="328">
        <f>+L20/((1+Entradas_calculos!$K$4)^Calculos_generales!H20)</f>
        <v>0</v>
      </c>
      <c r="N20" s="88"/>
      <c r="O20" s="88"/>
      <c r="P20" s="88"/>
      <c r="Q20" s="88"/>
    </row>
    <row r="21" spans="1:17">
      <c r="A21" s="88">
        <v>20</v>
      </c>
      <c r="B21" s="88" t="str">
        <f>IFERROR(VLOOKUP(A21,Entradas_calculos!$E$3:$F$32,2,FALSE),0)</f>
        <v/>
      </c>
      <c r="C21" s="328">
        <f>Entradas_calculos!$K$3</f>
        <v>4000</v>
      </c>
      <c r="D21" s="152">
        <f t="shared" si="1"/>
        <v>0</v>
      </c>
      <c r="E21" s="152" t="str">
        <f>IFERROR(VLOOKUP(A21,Entradas_calculos!$B$3:$C$32,2,FALSE),0)</f>
        <v/>
      </c>
      <c r="F21" s="152">
        <f>+IF(AND(A21&lt;=Amortización!$B$3,A21-Amortización!$B$4&gt;0),IFERROR(VLOOKUP(A21,Amortización!$A$8:$B$32,2,FALSE),0),0)</f>
        <v>0</v>
      </c>
      <c r="G21" s="152">
        <f t="shared" si="2"/>
        <v>0</v>
      </c>
      <c r="H21" s="88">
        <f t="shared" si="3"/>
        <v>20</v>
      </c>
      <c r="I21" s="88">
        <f>Entradas_calculos!$K$4</f>
        <v>8.4623421027637979E-2</v>
      </c>
      <c r="J21" s="329">
        <f t="shared" si="4"/>
        <v>5.0766773724839895</v>
      </c>
      <c r="K21" s="277">
        <f t="shared" si="0"/>
        <v>0</v>
      </c>
      <c r="L21" s="330">
        <f>+NPV(Entradas_calculos!$K$4,Calculos_generales!G21:G43)</f>
        <v>0</v>
      </c>
      <c r="M21" s="328">
        <f>+L21/((1+Entradas_calculos!$K$4)^Calculos_generales!H21)</f>
        <v>0</v>
      </c>
      <c r="N21" s="88"/>
      <c r="O21" s="88"/>
      <c r="P21" s="88"/>
      <c r="Q21" s="88"/>
    </row>
    <row r="22" spans="1:17">
      <c r="A22" s="88">
        <v>21</v>
      </c>
      <c r="B22" s="88" t="str">
        <f>IFERROR(VLOOKUP(A22,Entradas_calculos!$E$3:$F$32,2,FALSE),0)</f>
        <v/>
      </c>
      <c r="C22" s="328">
        <f>Entradas_calculos!$K$3</f>
        <v>4000</v>
      </c>
      <c r="D22" s="152">
        <f t="shared" ref="D22:D31" si="5">IFERROR(B22*C22,0)</f>
        <v>0</v>
      </c>
      <c r="E22" s="152" t="str">
        <f>IFERROR(VLOOKUP(A22,Entradas_calculos!$B$3:$C$32,2,FALSE),0)</f>
        <v/>
      </c>
      <c r="F22" s="152">
        <f>+IF(AND(A22&lt;=Amortización!$B$3,A22-Amortización!$B$4&gt;0),IFERROR(VLOOKUP(A22,Amortización!$A$8:$B$32,2,FALSE),0),0)</f>
        <v>0</v>
      </c>
      <c r="G22" s="152">
        <f t="shared" si="2"/>
        <v>0</v>
      </c>
      <c r="H22" s="88">
        <f t="shared" si="3"/>
        <v>21</v>
      </c>
      <c r="I22" s="88">
        <f>Entradas_calculos!$K$4</f>
        <v>8.4623421027637979E-2</v>
      </c>
      <c r="J22" s="329">
        <f t="shared" si="4"/>
        <v>5.5062831791971849</v>
      </c>
      <c r="K22" s="277">
        <f t="shared" si="0"/>
        <v>0</v>
      </c>
      <c r="L22" s="330">
        <f>+NPV(Entradas_calculos!$K$4,Calculos_generales!G22:G44)</f>
        <v>0</v>
      </c>
      <c r="M22" s="328">
        <f>+L22/((1+Entradas_calculos!$K$4)^Calculos_generales!H22)</f>
        <v>0</v>
      </c>
      <c r="N22" s="88"/>
      <c r="O22" s="88"/>
      <c r="P22" s="88"/>
      <c r="Q22" s="88"/>
    </row>
    <row r="23" spans="1:17">
      <c r="A23" s="88">
        <v>22</v>
      </c>
      <c r="B23" s="88" t="str">
        <f>IFERROR(VLOOKUP(A23,Entradas_calculos!$E$3:$F$32,2,FALSE),0)</f>
        <v/>
      </c>
      <c r="C23" s="328">
        <f>Entradas_calculos!$K$3</f>
        <v>4000</v>
      </c>
      <c r="D23" s="152">
        <f t="shared" si="5"/>
        <v>0</v>
      </c>
      <c r="E23" s="152" t="str">
        <f>IFERROR(VLOOKUP(A23,Entradas_calculos!$B$3:$C$32,2,FALSE),0)</f>
        <v/>
      </c>
      <c r="F23" s="152">
        <f>+IF(AND(A23&lt;=Amortización!$B$3,A23-Amortización!$B$4&gt;0),IFERROR(VLOOKUP(A23,Amortización!$A$8:$B$32,2,FALSE),0),0)</f>
        <v>0</v>
      </c>
      <c r="G23" s="152">
        <f t="shared" si="2"/>
        <v>0</v>
      </c>
      <c r="H23" s="88">
        <f t="shared" si="3"/>
        <v>22</v>
      </c>
      <c r="I23" s="88">
        <f>Entradas_calculos!$K$4</f>
        <v>8.4623421027637979E-2</v>
      </c>
      <c r="J23" s="329">
        <f t="shared" si="4"/>
        <v>5.9722436989677892</v>
      </c>
      <c r="K23" s="277">
        <f t="shared" si="0"/>
        <v>0</v>
      </c>
      <c r="L23" s="330">
        <f>+NPV(Entradas_calculos!$K$4,Calculos_generales!G23:G45)</f>
        <v>0</v>
      </c>
      <c r="M23" s="328">
        <f>+L23/((1+Entradas_calculos!$K$4)^Calculos_generales!H23)</f>
        <v>0</v>
      </c>
      <c r="N23" s="88"/>
      <c r="O23" s="88"/>
      <c r="P23" s="88"/>
      <c r="Q23" s="88"/>
    </row>
    <row r="24" spans="1:17">
      <c r="A24" s="88">
        <v>23</v>
      </c>
      <c r="B24" s="88" t="str">
        <f>IFERROR(VLOOKUP(A24,Entradas_calculos!$E$3:$F$32,2,FALSE),0)</f>
        <v/>
      </c>
      <c r="C24" s="328">
        <f>Entradas_calculos!$K$3</f>
        <v>4000</v>
      </c>
      <c r="D24" s="152">
        <f t="shared" si="5"/>
        <v>0</v>
      </c>
      <c r="E24" s="152" t="str">
        <f>IFERROR(VLOOKUP(A24,Entradas_calculos!$B$3:$C$32,2,FALSE),0)</f>
        <v/>
      </c>
      <c r="F24" s="152">
        <f>+IF(AND(A24&lt;=Amortización!$B$3,A24-Amortización!$B$4&gt;0),IFERROR(VLOOKUP(A24,Amortización!$A$8:$B$32,2,FALSE),0),0)</f>
        <v>0</v>
      </c>
      <c r="G24" s="152">
        <f t="shared" si="2"/>
        <v>0</v>
      </c>
      <c r="H24" s="88">
        <f t="shared" si="3"/>
        <v>23</v>
      </c>
      <c r="I24" s="88">
        <f>Entradas_calculos!$K$4</f>
        <v>8.4623421027637979E-2</v>
      </c>
      <c r="J24" s="329">
        <f t="shared" si="4"/>
        <v>6.4776353919851983</v>
      </c>
      <c r="K24" s="277">
        <f t="shared" si="0"/>
        <v>0</v>
      </c>
      <c r="L24" s="330">
        <f>+NPV(Entradas_calculos!$K$4,Calculos_generales!G24:G46)</f>
        <v>0</v>
      </c>
      <c r="M24" s="328">
        <f>+L24/((1+Entradas_calculos!$K$4)^Calculos_generales!H24)</f>
        <v>0</v>
      </c>
      <c r="N24" s="88"/>
      <c r="O24" s="88"/>
      <c r="P24" s="88"/>
      <c r="Q24" s="88"/>
    </row>
    <row r="25" spans="1:17">
      <c r="A25" s="88">
        <v>24</v>
      </c>
      <c r="B25" s="88" t="str">
        <f>IFERROR(VLOOKUP(A25,Entradas_calculos!$E$3:$F$32,2,FALSE),0)</f>
        <v/>
      </c>
      <c r="C25" s="328">
        <f>Entradas_calculos!$K$3</f>
        <v>4000</v>
      </c>
      <c r="D25" s="152">
        <f t="shared" si="5"/>
        <v>0</v>
      </c>
      <c r="E25" s="152" t="str">
        <f>IFERROR(VLOOKUP(A25,Entradas_calculos!$B$3:$C$32,2,FALSE),0)</f>
        <v/>
      </c>
      <c r="F25" s="152">
        <f>+IF(AND(A25&lt;=Amortización!$B$3,A25-Amortización!$B$4&gt;0),IFERROR(VLOOKUP(A25,Amortización!$A$8:$B$32,2,FALSE),0),0)</f>
        <v>0</v>
      </c>
      <c r="G25" s="152">
        <f t="shared" si="2"/>
        <v>0</v>
      </c>
      <c r="H25" s="88">
        <f t="shared" si="3"/>
        <v>24</v>
      </c>
      <c r="I25" s="88">
        <f>Entradas_calculos!$K$4</f>
        <v>8.4623421027637979E-2</v>
      </c>
      <c r="J25" s="329">
        <f t="shared" si="4"/>
        <v>7.0257950590246896</v>
      </c>
      <c r="K25" s="277">
        <f t="shared" si="0"/>
        <v>0</v>
      </c>
      <c r="L25" s="330">
        <f>+NPV(Entradas_calculos!$K$4,Calculos_generales!G25:G47)</f>
        <v>0</v>
      </c>
      <c r="M25" s="328">
        <f>+L25/((1+Entradas_calculos!$K$4)^Calculos_generales!H25)</f>
        <v>0</v>
      </c>
      <c r="N25" s="88"/>
      <c r="O25" s="88"/>
      <c r="P25" s="88"/>
      <c r="Q25" s="88"/>
    </row>
    <row r="26" spans="1:17">
      <c r="A26" s="88">
        <v>25</v>
      </c>
      <c r="B26" s="88" t="str">
        <f>IFERROR(VLOOKUP(A26,Entradas_calculos!$E$3:$F$32,2,FALSE),0)</f>
        <v/>
      </c>
      <c r="C26" s="328">
        <f>Entradas_calculos!$K$3</f>
        <v>4000</v>
      </c>
      <c r="D26" s="152">
        <f t="shared" si="5"/>
        <v>0</v>
      </c>
      <c r="E26" s="152" t="str">
        <f>IFERROR(VLOOKUP(A26,Entradas_calculos!$B$3:$C$32,2,FALSE),0)</f>
        <v/>
      </c>
      <c r="F26" s="152">
        <f>+IF(AND(A26&lt;=Amortización!$B$3,A26-Amortización!$B$4&gt;0),IFERROR(VLOOKUP(A26,Amortización!$A$8:$B$32,2,FALSE),0),0)</f>
        <v>0</v>
      </c>
      <c r="G26" s="152">
        <f t="shared" si="2"/>
        <v>0</v>
      </c>
      <c r="H26" s="88">
        <f t="shared" si="3"/>
        <v>25</v>
      </c>
      <c r="I26" s="88">
        <f>Entradas_calculos!$K$4</f>
        <v>8.4623421027637979E-2</v>
      </c>
      <c r="J26" s="329">
        <f t="shared" si="4"/>
        <v>7.6203418723584351</v>
      </c>
      <c r="K26" s="277">
        <f t="shared" si="0"/>
        <v>0</v>
      </c>
      <c r="L26" s="330">
        <f>+NPV(Entradas_calculos!$K$4,Calculos_generales!G26:G48)</f>
        <v>0</v>
      </c>
      <c r="M26" s="328">
        <f>+L26/((1+Entradas_calculos!$K$4)^Calculos_generales!H26)</f>
        <v>0</v>
      </c>
      <c r="N26" s="88"/>
      <c r="O26" s="88"/>
      <c r="P26" s="88"/>
      <c r="Q26" s="88"/>
    </row>
    <row r="27" spans="1:17">
      <c r="A27" s="88">
        <v>26</v>
      </c>
      <c r="B27" s="88" t="str">
        <f>IFERROR(VLOOKUP(A27,Entradas_calculos!$E$3:$F$32,2,FALSE),0)</f>
        <v/>
      </c>
      <c r="C27" s="328">
        <f>Entradas_calculos!$K$3</f>
        <v>4000</v>
      </c>
      <c r="D27" s="152">
        <f t="shared" si="5"/>
        <v>0</v>
      </c>
      <c r="E27" s="152" t="str">
        <f>IFERROR(VLOOKUP(A27,Entradas_calculos!$B$3:$C$32,2,FALSE),0)</f>
        <v/>
      </c>
      <c r="F27" s="152">
        <f>+IF(AND(A27&lt;=Amortización!$B$3,A27-Amortización!$B$4&gt;0),IFERROR(VLOOKUP(A27,Amortización!$A$8:$B$32,2,FALSE),0),0)</f>
        <v>0</v>
      </c>
      <c r="G27" s="152">
        <f t="shared" si="2"/>
        <v>0</v>
      </c>
      <c r="H27" s="88">
        <f t="shared" si="3"/>
        <v>26</v>
      </c>
      <c r="I27" s="88">
        <f>Entradas_calculos!$K$4</f>
        <v>8.4623421027637979E-2</v>
      </c>
      <c r="J27" s="329">
        <f t="shared" si="4"/>
        <v>8.2652012709975615</v>
      </c>
      <c r="K27" s="277">
        <f t="shared" si="0"/>
        <v>0</v>
      </c>
      <c r="L27" s="330">
        <f>+NPV(Entradas_calculos!$K$4,Calculos_generales!G27:G49)</f>
        <v>0</v>
      </c>
      <c r="M27" s="88"/>
      <c r="N27" s="88"/>
      <c r="O27" s="88"/>
      <c r="P27" s="88"/>
      <c r="Q27" s="88"/>
    </row>
    <row r="28" spans="1:17">
      <c r="A28" s="88">
        <v>27</v>
      </c>
      <c r="B28" s="88" t="str">
        <f>IFERROR(VLOOKUP(A28,Entradas_calculos!$E$3:$F$32,2,FALSE),0)</f>
        <v/>
      </c>
      <c r="C28" s="328">
        <f>Entradas_calculos!$K$3</f>
        <v>4000</v>
      </c>
      <c r="D28" s="152">
        <f t="shared" si="5"/>
        <v>0</v>
      </c>
      <c r="E28" s="152" t="str">
        <f>IFERROR(VLOOKUP(A28,Entradas_calculos!$B$3:$C$32,2,FALSE),0)</f>
        <v/>
      </c>
      <c r="F28" s="152">
        <f>+IF(AND(A28&lt;=Amortización!$B$3,A28-Amortización!$B$4&gt;0),IFERROR(VLOOKUP(A28,Amortización!$A$8:$B$32,2,FALSE),0),0)</f>
        <v>0</v>
      </c>
      <c r="G28" s="152">
        <f t="shared" si="2"/>
        <v>0</v>
      </c>
      <c r="H28" s="88">
        <f t="shared" si="3"/>
        <v>27</v>
      </c>
      <c r="I28" s="88">
        <f>Entradas_calculos!$K$4</f>
        <v>8.4623421027637979E-2</v>
      </c>
      <c r="J28" s="329">
        <f t="shared" si="4"/>
        <v>8.9646308780313557</v>
      </c>
      <c r="K28" s="277">
        <f t="shared" si="0"/>
        <v>0</v>
      </c>
      <c r="L28" s="330">
        <f>+NPV(Entradas_calculos!$K$4,Calculos_generales!G28:G50)</f>
        <v>0</v>
      </c>
      <c r="M28" s="88"/>
      <c r="N28" s="88"/>
      <c r="O28" s="88"/>
      <c r="P28" s="88"/>
      <c r="Q28" s="88"/>
    </row>
    <row r="29" spans="1:17">
      <c r="A29" s="88">
        <v>28</v>
      </c>
      <c r="B29" s="88" t="str">
        <f>IFERROR(VLOOKUP(A29,Entradas_calculos!$E$3:$F$32,2,FALSE),0)</f>
        <v/>
      </c>
      <c r="C29" s="328">
        <f>Entradas_calculos!$K$3</f>
        <v>4000</v>
      </c>
      <c r="D29" s="152">
        <f t="shared" si="5"/>
        <v>0</v>
      </c>
      <c r="E29" s="152" t="str">
        <f>IFERROR(VLOOKUP(A29,Entradas_calculos!$B$3:$C$32,2,FALSE),0)</f>
        <v/>
      </c>
      <c r="F29" s="152">
        <f>+IF(AND(A29&lt;=Amortización!$B$3,A29-Amortización!$B$4&gt;0),IFERROR(VLOOKUP(A29,Amortización!$A$8:$B$32,2,FALSE),0),0)</f>
        <v>0</v>
      </c>
      <c r="G29" s="152">
        <f t="shared" si="2"/>
        <v>0</v>
      </c>
      <c r="H29" s="88">
        <f t="shared" si="3"/>
        <v>28</v>
      </c>
      <c r="I29" s="88">
        <f>Entradas_calculos!$K$4</f>
        <v>8.4623421027637979E-2</v>
      </c>
      <c r="J29" s="329">
        <f t="shared" si="4"/>
        <v>9.7232486111803667</v>
      </c>
      <c r="K29" s="277">
        <f t="shared" si="0"/>
        <v>0</v>
      </c>
      <c r="L29" s="330">
        <f>+NPV(Entradas_calculos!$K$4,Calculos_generales!G29:G51)</f>
        <v>0</v>
      </c>
      <c r="M29" s="88"/>
      <c r="N29" s="88"/>
      <c r="O29" s="88"/>
      <c r="P29" s="88"/>
      <c r="Q29" s="88"/>
    </row>
    <row r="30" spans="1:17">
      <c r="A30" s="88">
        <v>29</v>
      </c>
      <c r="B30" s="88" t="str">
        <f>IFERROR(VLOOKUP(A30,Entradas_calculos!$E$3:$F$32,2,FALSE),0)</f>
        <v/>
      </c>
      <c r="C30" s="328">
        <f>Entradas_calculos!$K$3</f>
        <v>4000</v>
      </c>
      <c r="D30" s="152">
        <f t="shared" si="5"/>
        <v>0</v>
      </c>
      <c r="E30" s="152" t="str">
        <f>IFERROR(VLOOKUP(A30,Entradas_calculos!$B$3:$C$32,2,FALSE),0)</f>
        <v/>
      </c>
      <c r="F30" s="152">
        <f>+IF(AND(A30&lt;=Amortización!$B$3,A30-Amortización!$B$4&gt;0),IFERROR(VLOOKUP(A30,Amortización!$A$8:$B$32,2,FALSE),0),0)</f>
        <v>0</v>
      </c>
      <c r="G30" s="152">
        <f t="shared" si="2"/>
        <v>0</v>
      </c>
      <c r="H30" s="88">
        <f t="shared" si="3"/>
        <v>29</v>
      </c>
      <c r="I30" s="88">
        <f>Entradas_calculos!$K$4</f>
        <v>8.4623421027637979E-2</v>
      </c>
      <c r="J30" s="329">
        <f t="shared" si="4"/>
        <v>10.546063172160679</v>
      </c>
      <c r="K30" s="277">
        <f t="shared" si="0"/>
        <v>0</v>
      </c>
      <c r="L30" s="330">
        <f>+NPV(Entradas_calculos!$K$4,Calculos_generales!G30:G52)</f>
        <v>0</v>
      </c>
      <c r="M30" s="88"/>
      <c r="N30" s="88"/>
      <c r="O30" s="88"/>
      <c r="P30" s="88"/>
      <c r="Q30" s="88"/>
    </row>
    <row r="31" spans="1:17">
      <c r="A31" s="88">
        <v>30</v>
      </c>
      <c r="B31" s="88" t="str">
        <f>IFERROR(VLOOKUP(A31,Entradas_calculos!$E$3:$F$32,2,FALSE),0)</f>
        <v/>
      </c>
      <c r="C31" s="328">
        <f>Entradas_calculos!$K$3</f>
        <v>4000</v>
      </c>
      <c r="D31" s="152">
        <f t="shared" si="5"/>
        <v>0</v>
      </c>
      <c r="E31" s="152">
        <f>IFERROR(VLOOKUP(A31,Entradas_calculos!$B$3:$C$32,2,FALSE),0)</f>
        <v>0</v>
      </c>
      <c r="F31" s="152">
        <f>+IF(AND(A31&lt;=Amortización!$B$3,A31-Amortización!$B$4&gt;0),IFERROR(VLOOKUP(A31,Amortización!$A$8:$B$32,2,FALSE),0),0)</f>
        <v>0</v>
      </c>
      <c r="G31" s="152">
        <f t="shared" si="2"/>
        <v>0</v>
      </c>
      <c r="H31" s="88">
        <f t="shared" si="3"/>
        <v>30</v>
      </c>
      <c r="I31" s="88">
        <f>Entradas_calculos!$K$4</f>
        <v>8.4623421027637979E-2</v>
      </c>
      <c r="J31" s="329">
        <f t="shared" si="4"/>
        <v>11.438507116162501</v>
      </c>
      <c r="K31" s="277">
        <f t="shared" si="0"/>
        <v>0</v>
      </c>
      <c r="L31" s="330">
        <f>+NPV(Entradas_calculos!$K$4,Calculos_generales!G31:G53)</f>
        <v>0</v>
      </c>
      <c r="M31" s="88"/>
      <c r="N31" s="88"/>
      <c r="O31" s="88"/>
      <c r="P31" s="88"/>
      <c r="Q31" s="88"/>
    </row>
  </sheetData>
  <pageMargins left="0.75" right="0.75" top="1" bottom="1" header="0.5" footer="0.5"/>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703D2-B786-499A-8CE7-49B20D655B78}">
  <sheetPr codeName="Hoja15">
    <tabColor rgb="FF3B1F5E"/>
  </sheetPr>
  <dimension ref="A1:I307"/>
  <sheetViews>
    <sheetView showGridLines="0" workbookViewId="0">
      <pane ySplit="1" topLeftCell="A2" activePane="bottomLeft" state="frozen"/>
      <selection pane="bottomLeft" activeCell="J37" sqref="J37"/>
    </sheetView>
    <sheetView workbookViewId="1"/>
  </sheetViews>
  <sheetFormatPr baseColWidth="10" defaultColWidth="11" defaultRowHeight="15"/>
  <cols>
    <col min="1" max="1" width="13.125" style="1" bestFit="1" customWidth="1"/>
    <col min="2" max="2" width="14.625" style="1" bestFit="1" customWidth="1"/>
    <col min="3" max="3" width="13.125" style="1" bestFit="1" customWidth="1"/>
    <col min="4" max="4" width="12.375" style="1" bestFit="1" customWidth="1"/>
    <col min="5" max="5" width="12.125" style="1" bestFit="1" customWidth="1"/>
    <col min="6" max="8" width="11" style="1"/>
    <col min="9" max="9" width="10.375" style="1" bestFit="1" customWidth="1"/>
    <col min="10" max="16384" width="11" style="1"/>
  </cols>
  <sheetData>
    <row r="1" spans="1:5" ht="21.95" customHeight="1">
      <c r="A1" s="339" t="s">
        <v>4100</v>
      </c>
      <c r="B1" s="340">
        <f>Entradas_calculos!N4</f>
        <v>0</v>
      </c>
      <c r="C1" s="88"/>
      <c r="D1" s="88"/>
      <c r="E1" s="88"/>
    </row>
    <row r="2" spans="1:5">
      <c r="A2" s="133" t="s">
        <v>4101</v>
      </c>
      <c r="B2" s="133">
        <f>Entradas_calculos!N5</f>
        <v>0</v>
      </c>
      <c r="C2" s="88"/>
      <c r="D2" s="88"/>
      <c r="E2" s="88"/>
    </row>
    <row r="3" spans="1:5">
      <c r="A3" s="133" t="s">
        <v>4459</v>
      </c>
      <c r="B3" s="133">
        <f>Entradas_calculos!N6</f>
        <v>0</v>
      </c>
      <c r="C3" s="88"/>
      <c r="D3" s="88"/>
      <c r="E3" s="88"/>
    </row>
    <row r="4" spans="1:5">
      <c r="A4" s="133" t="s">
        <v>4102</v>
      </c>
      <c r="B4" s="133">
        <f>Entradas_calculos!N7</f>
        <v>0</v>
      </c>
      <c r="C4" s="88"/>
      <c r="D4" s="88"/>
      <c r="E4" s="88"/>
    </row>
    <row r="5" spans="1:5">
      <c r="A5" s="88" t="s">
        <v>4460</v>
      </c>
      <c r="B5" s="88">
        <f>Entradas_calculos!N2</f>
        <v>0</v>
      </c>
      <c r="C5" s="88"/>
      <c r="D5" s="88"/>
      <c r="E5" s="88"/>
    </row>
    <row r="6" spans="1:5">
      <c r="A6" s="336" t="s">
        <v>4461</v>
      </c>
      <c r="B6" s="336" t="s">
        <v>4103</v>
      </c>
      <c r="C6" s="336" t="s">
        <v>4104</v>
      </c>
      <c r="D6" s="336" t="s">
        <v>4093</v>
      </c>
      <c r="E6" s="336" t="s">
        <v>4462</v>
      </c>
    </row>
    <row r="7" spans="1:5">
      <c r="A7" s="88">
        <v>0</v>
      </c>
      <c r="B7" s="337">
        <f>IF($B$5="Sí",IFERROR(PMT($B$2,$B$3-$B$4,-($B$1*(1+$B$2)^$B$4)),0),0)</f>
        <v>0</v>
      </c>
      <c r="C7" s="337"/>
      <c r="D7" s="88"/>
      <c r="E7" s="338">
        <f>IF($B$5="Sí",$B$1*(1+$B$2)^$B$4,0)</f>
        <v>0</v>
      </c>
    </row>
    <row r="8" spans="1:5">
      <c r="A8" s="88">
        <v>1</v>
      </c>
      <c r="B8" s="337">
        <f t="shared" ref="B8:B32" si="0">IF($B$5="Sí",IF(A8&gt;$B$3,0,B7),0)</f>
        <v>0</v>
      </c>
      <c r="C8" s="337">
        <f t="shared" ref="C8:C32" si="1">IF($B$5="Sí",IF(A8&lt;=$B$4,0,B8-D8),0)</f>
        <v>0</v>
      </c>
      <c r="D8" s="337">
        <f t="shared" ref="D8:D32" si="2">IF($B$5="Sí",E7*$B$2,0)</f>
        <v>0</v>
      </c>
      <c r="E8" s="337">
        <f t="shared" ref="E8:E32" si="3">IF($B$5="Sí",MAX(E7-C8,0),0)</f>
        <v>0</v>
      </c>
    </row>
    <row r="9" spans="1:5">
      <c r="A9" s="88">
        <v>2</v>
      </c>
      <c r="B9" s="337">
        <f t="shared" si="0"/>
        <v>0</v>
      </c>
      <c r="C9" s="337">
        <f t="shared" si="1"/>
        <v>0</v>
      </c>
      <c r="D9" s="337">
        <f t="shared" si="2"/>
        <v>0</v>
      </c>
      <c r="E9" s="337">
        <f t="shared" si="3"/>
        <v>0</v>
      </c>
    </row>
    <row r="10" spans="1:5">
      <c r="A10" s="88">
        <v>3</v>
      </c>
      <c r="B10" s="337">
        <f t="shared" si="0"/>
        <v>0</v>
      </c>
      <c r="C10" s="337">
        <f t="shared" si="1"/>
        <v>0</v>
      </c>
      <c r="D10" s="337">
        <f t="shared" si="2"/>
        <v>0</v>
      </c>
      <c r="E10" s="337">
        <f t="shared" si="3"/>
        <v>0</v>
      </c>
    </row>
    <row r="11" spans="1:5">
      <c r="A11" s="88">
        <v>4</v>
      </c>
      <c r="B11" s="337">
        <f t="shared" si="0"/>
        <v>0</v>
      </c>
      <c r="C11" s="337">
        <f t="shared" si="1"/>
        <v>0</v>
      </c>
      <c r="D11" s="337">
        <f t="shared" si="2"/>
        <v>0</v>
      </c>
      <c r="E11" s="337">
        <f t="shared" si="3"/>
        <v>0</v>
      </c>
    </row>
    <row r="12" spans="1:5">
      <c r="A12" s="88">
        <v>5</v>
      </c>
      <c r="B12" s="337">
        <f t="shared" si="0"/>
        <v>0</v>
      </c>
      <c r="C12" s="337">
        <f t="shared" si="1"/>
        <v>0</v>
      </c>
      <c r="D12" s="337">
        <f t="shared" si="2"/>
        <v>0</v>
      </c>
      <c r="E12" s="337">
        <f t="shared" si="3"/>
        <v>0</v>
      </c>
    </row>
    <row r="13" spans="1:5">
      <c r="A13" s="88">
        <v>6</v>
      </c>
      <c r="B13" s="337">
        <f t="shared" si="0"/>
        <v>0</v>
      </c>
      <c r="C13" s="337">
        <f t="shared" si="1"/>
        <v>0</v>
      </c>
      <c r="D13" s="337">
        <f t="shared" si="2"/>
        <v>0</v>
      </c>
      <c r="E13" s="337">
        <f t="shared" si="3"/>
        <v>0</v>
      </c>
    </row>
    <row r="14" spans="1:5">
      <c r="A14" s="88">
        <v>7</v>
      </c>
      <c r="B14" s="337">
        <f t="shared" si="0"/>
        <v>0</v>
      </c>
      <c r="C14" s="337">
        <f t="shared" si="1"/>
        <v>0</v>
      </c>
      <c r="D14" s="337">
        <f t="shared" si="2"/>
        <v>0</v>
      </c>
      <c r="E14" s="337">
        <f t="shared" si="3"/>
        <v>0</v>
      </c>
    </row>
    <row r="15" spans="1:5">
      <c r="A15" s="88">
        <v>8</v>
      </c>
      <c r="B15" s="337">
        <f t="shared" si="0"/>
        <v>0</v>
      </c>
      <c r="C15" s="337">
        <f t="shared" si="1"/>
        <v>0</v>
      </c>
      <c r="D15" s="337">
        <f t="shared" si="2"/>
        <v>0</v>
      </c>
      <c r="E15" s="337">
        <f t="shared" si="3"/>
        <v>0</v>
      </c>
    </row>
    <row r="16" spans="1:5">
      <c r="A16" s="88">
        <v>9</v>
      </c>
      <c r="B16" s="337">
        <f t="shared" si="0"/>
        <v>0</v>
      </c>
      <c r="C16" s="337">
        <f t="shared" si="1"/>
        <v>0</v>
      </c>
      <c r="D16" s="337">
        <f t="shared" si="2"/>
        <v>0</v>
      </c>
      <c r="E16" s="337">
        <f t="shared" si="3"/>
        <v>0</v>
      </c>
    </row>
    <row r="17" spans="1:9">
      <c r="A17" s="88">
        <v>10</v>
      </c>
      <c r="B17" s="337">
        <f t="shared" si="0"/>
        <v>0</v>
      </c>
      <c r="C17" s="337">
        <f t="shared" si="1"/>
        <v>0</v>
      </c>
      <c r="D17" s="337">
        <f t="shared" si="2"/>
        <v>0</v>
      </c>
      <c r="E17" s="337">
        <f t="shared" si="3"/>
        <v>0</v>
      </c>
      <c r="I17" s="17"/>
    </row>
    <row r="18" spans="1:9">
      <c r="A18" s="88">
        <v>11</v>
      </c>
      <c r="B18" s="337">
        <f t="shared" si="0"/>
        <v>0</v>
      </c>
      <c r="C18" s="337">
        <f t="shared" si="1"/>
        <v>0</v>
      </c>
      <c r="D18" s="337">
        <f t="shared" si="2"/>
        <v>0</v>
      </c>
      <c r="E18" s="337">
        <f t="shared" si="3"/>
        <v>0</v>
      </c>
      <c r="I18" s="17"/>
    </row>
    <row r="19" spans="1:9">
      <c r="A19" s="88">
        <v>12</v>
      </c>
      <c r="B19" s="337">
        <f t="shared" si="0"/>
        <v>0</v>
      </c>
      <c r="C19" s="337">
        <f t="shared" si="1"/>
        <v>0</v>
      </c>
      <c r="D19" s="337">
        <f t="shared" si="2"/>
        <v>0</v>
      </c>
      <c r="E19" s="337">
        <f t="shared" si="3"/>
        <v>0</v>
      </c>
    </row>
    <row r="20" spans="1:9">
      <c r="A20" s="88">
        <v>13</v>
      </c>
      <c r="B20" s="337">
        <f t="shared" si="0"/>
        <v>0</v>
      </c>
      <c r="C20" s="337">
        <f t="shared" si="1"/>
        <v>0</v>
      </c>
      <c r="D20" s="337">
        <f t="shared" si="2"/>
        <v>0</v>
      </c>
      <c r="E20" s="337">
        <f t="shared" si="3"/>
        <v>0</v>
      </c>
    </row>
    <row r="21" spans="1:9">
      <c r="A21" s="88">
        <v>14</v>
      </c>
      <c r="B21" s="337">
        <f t="shared" si="0"/>
        <v>0</v>
      </c>
      <c r="C21" s="337">
        <f t="shared" si="1"/>
        <v>0</v>
      </c>
      <c r="D21" s="337">
        <f t="shared" si="2"/>
        <v>0</v>
      </c>
      <c r="E21" s="337">
        <f t="shared" si="3"/>
        <v>0</v>
      </c>
    </row>
    <row r="22" spans="1:9">
      <c r="A22" s="88">
        <v>15</v>
      </c>
      <c r="B22" s="337">
        <f t="shared" si="0"/>
        <v>0</v>
      </c>
      <c r="C22" s="337">
        <f t="shared" si="1"/>
        <v>0</v>
      </c>
      <c r="D22" s="337">
        <f t="shared" si="2"/>
        <v>0</v>
      </c>
      <c r="E22" s="337">
        <f t="shared" si="3"/>
        <v>0</v>
      </c>
    </row>
    <row r="23" spans="1:9">
      <c r="A23" s="88">
        <v>16</v>
      </c>
      <c r="B23" s="337">
        <f t="shared" si="0"/>
        <v>0</v>
      </c>
      <c r="C23" s="337">
        <f t="shared" si="1"/>
        <v>0</v>
      </c>
      <c r="D23" s="337">
        <f t="shared" si="2"/>
        <v>0</v>
      </c>
      <c r="E23" s="337">
        <f t="shared" si="3"/>
        <v>0</v>
      </c>
    </row>
    <row r="24" spans="1:9">
      <c r="A24" s="88">
        <v>17</v>
      </c>
      <c r="B24" s="337">
        <f t="shared" si="0"/>
        <v>0</v>
      </c>
      <c r="C24" s="337">
        <f t="shared" si="1"/>
        <v>0</v>
      </c>
      <c r="D24" s="337">
        <f t="shared" si="2"/>
        <v>0</v>
      </c>
      <c r="E24" s="337">
        <f t="shared" si="3"/>
        <v>0</v>
      </c>
    </row>
    <row r="25" spans="1:9">
      <c r="A25" s="88">
        <v>18</v>
      </c>
      <c r="B25" s="337">
        <f t="shared" si="0"/>
        <v>0</v>
      </c>
      <c r="C25" s="337">
        <f t="shared" si="1"/>
        <v>0</v>
      </c>
      <c r="D25" s="337">
        <f t="shared" si="2"/>
        <v>0</v>
      </c>
      <c r="E25" s="337">
        <f t="shared" si="3"/>
        <v>0</v>
      </c>
    </row>
    <row r="26" spans="1:9">
      <c r="A26" s="88">
        <v>19</v>
      </c>
      <c r="B26" s="337">
        <f t="shared" si="0"/>
        <v>0</v>
      </c>
      <c r="C26" s="337">
        <f t="shared" si="1"/>
        <v>0</v>
      </c>
      <c r="D26" s="337">
        <f t="shared" si="2"/>
        <v>0</v>
      </c>
      <c r="E26" s="337">
        <f t="shared" si="3"/>
        <v>0</v>
      </c>
    </row>
    <row r="27" spans="1:9">
      <c r="A27" s="88">
        <v>20</v>
      </c>
      <c r="B27" s="337">
        <f t="shared" si="0"/>
        <v>0</v>
      </c>
      <c r="C27" s="337">
        <f t="shared" si="1"/>
        <v>0</v>
      </c>
      <c r="D27" s="337">
        <f t="shared" si="2"/>
        <v>0</v>
      </c>
      <c r="E27" s="337">
        <f t="shared" si="3"/>
        <v>0</v>
      </c>
    </row>
    <row r="28" spans="1:9">
      <c r="A28" s="88">
        <v>21</v>
      </c>
      <c r="B28" s="337">
        <f t="shared" si="0"/>
        <v>0</v>
      </c>
      <c r="C28" s="337">
        <f t="shared" si="1"/>
        <v>0</v>
      </c>
      <c r="D28" s="337">
        <f t="shared" si="2"/>
        <v>0</v>
      </c>
      <c r="E28" s="337">
        <f t="shared" si="3"/>
        <v>0</v>
      </c>
    </row>
    <row r="29" spans="1:9">
      <c r="A29" s="88">
        <v>22</v>
      </c>
      <c r="B29" s="337">
        <f t="shared" si="0"/>
        <v>0</v>
      </c>
      <c r="C29" s="337">
        <f t="shared" si="1"/>
        <v>0</v>
      </c>
      <c r="D29" s="337">
        <f t="shared" si="2"/>
        <v>0</v>
      </c>
      <c r="E29" s="337">
        <f t="shared" si="3"/>
        <v>0</v>
      </c>
    </row>
    <row r="30" spans="1:9">
      <c r="A30" s="88">
        <v>23</v>
      </c>
      <c r="B30" s="337">
        <f t="shared" si="0"/>
        <v>0</v>
      </c>
      <c r="C30" s="337">
        <f t="shared" si="1"/>
        <v>0</v>
      </c>
      <c r="D30" s="337">
        <f t="shared" si="2"/>
        <v>0</v>
      </c>
      <c r="E30" s="337">
        <f t="shared" si="3"/>
        <v>0</v>
      </c>
    </row>
    <row r="31" spans="1:9">
      <c r="A31" s="88">
        <v>24</v>
      </c>
      <c r="B31" s="337">
        <f t="shared" si="0"/>
        <v>0</v>
      </c>
      <c r="C31" s="337">
        <f t="shared" si="1"/>
        <v>0</v>
      </c>
      <c r="D31" s="337">
        <f t="shared" si="2"/>
        <v>0</v>
      </c>
      <c r="E31" s="337">
        <f t="shared" si="3"/>
        <v>0</v>
      </c>
    </row>
    <row r="32" spans="1:9">
      <c r="A32" s="88">
        <v>25</v>
      </c>
      <c r="B32" s="337">
        <f t="shared" si="0"/>
        <v>0</v>
      </c>
      <c r="C32" s="337">
        <f t="shared" si="1"/>
        <v>0</v>
      </c>
      <c r="D32" s="337">
        <f t="shared" si="2"/>
        <v>0</v>
      </c>
      <c r="E32" s="337">
        <f t="shared" si="3"/>
        <v>0</v>
      </c>
    </row>
    <row r="33" spans="2:5">
      <c r="B33" s="17"/>
      <c r="C33" s="17"/>
      <c r="D33" s="17"/>
      <c r="E33" s="17"/>
    </row>
    <row r="34" spans="2:5">
      <c r="B34" s="17"/>
      <c r="C34" s="17"/>
      <c r="D34" s="17"/>
      <c r="E34" s="17"/>
    </row>
    <row r="35" spans="2:5">
      <c r="B35" s="17"/>
      <c r="C35" s="17"/>
      <c r="D35" s="17"/>
      <c r="E35" s="17"/>
    </row>
    <row r="36" spans="2:5">
      <c r="B36" s="17"/>
      <c r="C36" s="17"/>
      <c r="D36" s="17"/>
      <c r="E36" s="17"/>
    </row>
    <row r="37" spans="2:5">
      <c r="B37" s="17"/>
      <c r="C37" s="17"/>
      <c r="D37" s="17"/>
      <c r="E37" s="17"/>
    </row>
    <row r="38" spans="2:5">
      <c r="B38" s="17"/>
      <c r="C38" s="17"/>
      <c r="D38" s="17"/>
      <c r="E38" s="17"/>
    </row>
    <row r="39" spans="2:5">
      <c r="B39" s="17"/>
      <c r="C39" s="17"/>
      <c r="D39" s="17"/>
      <c r="E39" s="17"/>
    </row>
    <row r="40" spans="2:5">
      <c r="B40" s="17"/>
      <c r="C40" s="17"/>
      <c r="D40" s="17"/>
      <c r="E40" s="17"/>
    </row>
    <row r="41" spans="2:5">
      <c r="B41" s="17"/>
      <c r="C41" s="17"/>
      <c r="D41" s="17"/>
      <c r="E41" s="17"/>
    </row>
    <row r="42" spans="2:5">
      <c r="B42" s="17"/>
      <c r="C42" s="17"/>
      <c r="D42" s="17"/>
      <c r="E42" s="17"/>
    </row>
    <row r="43" spans="2:5">
      <c r="B43" s="17"/>
      <c r="C43" s="17"/>
      <c r="D43" s="17"/>
      <c r="E43" s="17"/>
    </row>
    <row r="44" spans="2:5">
      <c r="B44" s="17"/>
      <c r="C44" s="17"/>
      <c r="D44" s="17"/>
      <c r="E44" s="17"/>
    </row>
    <row r="45" spans="2:5">
      <c r="B45" s="17"/>
      <c r="C45" s="17"/>
      <c r="D45" s="17"/>
      <c r="E45" s="17"/>
    </row>
    <row r="46" spans="2:5">
      <c r="B46" s="17"/>
      <c r="C46" s="17"/>
      <c r="D46" s="17"/>
      <c r="E46" s="17"/>
    </row>
    <row r="47" spans="2:5">
      <c r="B47" s="17"/>
      <c r="C47" s="17"/>
      <c r="D47" s="17"/>
      <c r="E47" s="17"/>
    </row>
    <row r="48" spans="2:5">
      <c r="B48" s="17"/>
      <c r="C48" s="17"/>
      <c r="D48" s="17"/>
      <c r="E48" s="17"/>
    </row>
    <row r="49" spans="2:5">
      <c r="B49" s="17"/>
      <c r="C49" s="17"/>
      <c r="D49" s="17"/>
      <c r="E49" s="17"/>
    </row>
    <row r="50" spans="2:5">
      <c r="B50" s="17"/>
      <c r="C50" s="17"/>
      <c r="D50" s="17"/>
      <c r="E50" s="17"/>
    </row>
    <row r="51" spans="2:5">
      <c r="B51" s="17"/>
      <c r="C51" s="17"/>
      <c r="D51" s="17"/>
      <c r="E51" s="17"/>
    </row>
    <row r="52" spans="2:5">
      <c r="B52" s="17"/>
      <c r="C52" s="17"/>
      <c r="D52" s="17"/>
      <c r="E52" s="17"/>
    </row>
    <row r="53" spans="2:5">
      <c r="B53" s="17"/>
      <c r="C53" s="17"/>
      <c r="D53" s="17"/>
      <c r="E53" s="17"/>
    </row>
    <row r="54" spans="2:5">
      <c r="B54" s="17"/>
      <c r="C54" s="17"/>
      <c r="D54" s="17"/>
      <c r="E54" s="17"/>
    </row>
    <row r="55" spans="2:5">
      <c r="B55" s="17"/>
      <c r="C55" s="17"/>
      <c r="D55" s="17"/>
      <c r="E55" s="17"/>
    </row>
    <row r="56" spans="2:5">
      <c r="B56" s="17"/>
      <c r="C56" s="17"/>
      <c r="D56" s="17"/>
      <c r="E56" s="17"/>
    </row>
    <row r="57" spans="2:5">
      <c r="B57" s="17"/>
      <c r="C57" s="17"/>
      <c r="D57" s="17"/>
      <c r="E57" s="17"/>
    </row>
    <row r="58" spans="2:5">
      <c r="B58" s="17"/>
      <c r="C58" s="17"/>
      <c r="D58" s="17"/>
      <c r="E58" s="17"/>
    </row>
    <row r="59" spans="2:5">
      <c r="B59" s="17"/>
      <c r="C59" s="17"/>
      <c r="D59" s="17"/>
      <c r="E59" s="17"/>
    </row>
    <row r="60" spans="2:5">
      <c r="B60" s="17"/>
      <c r="C60" s="17"/>
      <c r="D60" s="17"/>
      <c r="E60" s="17"/>
    </row>
    <row r="61" spans="2:5">
      <c r="B61" s="17"/>
      <c r="C61" s="17"/>
      <c r="D61" s="17"/>
      <c r="E61" s="17"/>
    </row>
    <row r="62" spans="2:5">
      <c r="B62" s="17"/>
      <c r="C62" s="17"/>
      <c r="D62" s="17"/>
      <c r="E62" s="17"/>
    </row>
    <row r="63" spans="2:5">
      <c r="B63" s="17"/>
      <c r="C63" s="17"/>
      <c r="D63" s="17"/>
      <c r="E63" s="17"/>
    </row>
    <row r="64" spans="2:5">
      <c r="B64" s="17"/>
      <c r="C64" s="17"/>
      <c r="D64" s="17"/>
      <c r="E64" s="17"/>
    </row>
    <row r="65" spans="2:5">
      <c r="B65" s="17"/>
      <c r="C65" s="17"/>
      <c r="D65" s="17"/>
      <c r="E65" s="17"/>
    </row>
    <row r="66" spans="2:5">
      <c r="B66" s="17"/>
      <c r="C66" s="17"/>
      <c r="D66" s="17"/>
      <c r="E66" s="17"/>
    </row>
    <row r="67" spans="2:5">
      <c r="B67" s="17"/>
      <c r="C67" s="17"/>
      <c r="D67" s="17"/>
      <c r="E67" s="17"/>
    </row>
    <row r="68" spans="2:5">
      <c r="B68" s="17"/>
      <c r="C68" s="17"/>
      <c r="D68" s="17"/>
      <c r="E68" s="17"/>
    </row>
    <row r="69" spans="2:5">
      <c r="B69" s="17"/>
      <c r="C69" s="17"/>
      <c r="D69" s="17"/>
      <c r="E69" s="17"/>
    </row>
    <row r="70" spans="2:5">
      <c r="B70" s="17"/>
      <c r="C70" s="17"/>
      <c r="D70" s="17"/>
      <c r="E70" s="17"/>
    </row>
    <row r="71" spans="2:5">
      <c r="B71" s="17"/>
      <c r="C71" s="17"/>
      <c r="D71" s="17"/>
      <c r="E71" s="17"/>
    </row>
    <row r="72" spans="2:5">
      <c r="B72" s="17"/>
      <c r="C72" s="17"/>
      <c r="D72" s="17"/>
      <c r="E72" s="17"/>
    </row>
    <row r="73" spans="2:5">
      <c r="B73" s="17"/>
      <c r="C73" s="17"/>
      <c r="D73" s="17"/>
      <c r="E73" s="17"/>
    </row>
    <row r="74" spans="2:5">
      <c r="B74" s="17"/>
      <c r="C74" s="17"/>
      <c r="D74" s="17"/>
      <c r="E74" s="17"/>
    </row>
    <row r="75" spans="2:5">
      <c r="B75" s="17"/>
      <c r="C75" s="17"/>
      <c r="D75" s="17"/>
      <c r="E75" s="17"/>
    </row>
    <row r="76" spans="2:5">
      <c r="B76" s="17"/>
      <c r="C76" s="17"/>
      <c r="D76" s="17"/>
      <c r="E76" s="17"/>
    </row>
    <row r="77" spans="2:5">
      <c r="B77" s="17"/>
      <c r="C77" s="17"/>
      <c r="D77" s="17"/>
      <c r="E77" s="17"/>
    </row>
    <row r="78" spans="2:5">
      <c r="B78" s="17"/>
      <c r="C78" s="17"/>
      <c r="D78" s="17"/>
      <c r="E78" s="17"/>
    </row>
    <row r="79" spans="2:5">
      <c r="B79" s="17"/>
      <c r="C79" s="17"/>
      <c r="D79" s="17"/>
      <c r="E79" s="17"/>
    </row>
    <row r="80" spans="2:5">
      <c r="B80" s="17"/>
      <c r="C80" s="17"/>
      <c r="D80" s="17"/>
      <c r="E80" s="17"/>
    </row>
    <row r="81" spans="2:5">
      <c r="B81" s="17"/>
      <c r="C81" s="17"/>
      <c r="D81" s="17"/>
      <c r="E81" s="17"/>
    </row>
    <row r="82" spans="2:5">
      <c r="B82" s="17"/>
      <c r="C82" s="17"/>
      <c r="D82" s="17"/>
      <c r="E82" s="17"/>
    </row>
    <row r="83" spans="2:5">
      <c r="B83" s="17"/>
      <c r="C83" s="17"/>
      <c r="D83" s="17"/>
      <c r="E83" s="17"/>
    </row>
    <row r="84" spans="2:5">
      <c r="B84" s="17"/>
      <c r="C84" s="17"/>
      <c r="D84" s="17"/>
      <c r="E84" s="17"/>
    </row>
    <row r="85" spans="2:5">
      <c r="B85" s="17"/>
      <c r="C85" s="17"/>
      <c r="D85" s="17"/>
      <c r="E85" s="17"/>
    </row>
    <row r="86" spans="2:5">
      <c r="B86" s="17"/>
      <c r="C86" s="17"/>
      <c r="D86" s="17"/>
      <c r="E86" s="17"/>
    </row>
    <row r="87" spans="2:5">
      <c r="B87" s="17"/>
      <c r="C87" s="17"/>
      <c r="D87" s="17"/>
      <c r="E87" s="17"/>
    </row>
    <row r="88" spans="2:5">
      <c r="B88" s="17"/>
      <c r="C88" s="17"/>
      <c r="D88" s="17"/>
      <c r="E88" s="17"/>
    </row>
    <row r="89" spans="2:5">
      <c r="B89" s="17"/>
      <c r="C89" s="17"/>
      <c r="D89" s="17"/>
      <c r="E89" s="17"/>
    </row>
    <row r="90" spans="2:5">
      <c r="B90" s="17"/>
      <c r="C90" s="17"/>
      <c r="D90" s="17"/>
      <c r="E90" s="17"/>
    </row>
    <row r="91" spans="2:5">
      <c r="B91" s="17"/>
      <c r="C91" s="17"/>
      <c r="D91" s="17"/>
      <c r="E91" s="17"/>
    </row>
    <row r="92" spans="2:5">
      <c r="B92" s="17"/>
      <c r="C92" s="17"/>
      <c r="D92" s="17"/>
      <c r="E92" s="17"/>
    </row>
    <row r="93" spans="2:5">
      <c r="B93" s="17"/>
      <c r="C93" s="17"/>
      <c r="D93" s="17"/>
      <c r="E93" s="17"/>
    </row>
    <row r="94" spans="2:5">
      <c r="B94" s="17"/>
      <c r="C94" s="17"/>
      <c r="D94" s="17"/>
      <c r="E94" s="17"/>
    </row>
    <row r="95" spans="2:5">
      <c r="B95" s="17"/>
      <c r="C95" s="17"/>
      <c r="D95" s="17"/>
      <c r="E95" s="17"/>
    </row>
    <row r="96" spans="2:5">
      <c r="B96" s="17"/>
      <c r="C96" s="17"/>
      <c r="D96" s="17"/>
      <c r="E96" s="17"/>
    </row>
    <row r="97" spans="2:5">
      <c r="B97" s="17"/>
      <c r="C97" s="17"/>
      <c r="D97" s="17"/>
      <c r="E97" s="17"/>
    </row>
    <row r="98" spans="2:5">
      <c r="B98" s="17"/>
      <c r="C98" s="17"/>
      <c r="D98" s="17"/>
      <c r="E98" s="17"/>
    </row>
    <row r="99" spans="2:5">
      <c r="B99" s="17"/>
      <c r="C99" s="17"/>
      <c r="D99" s="17"/>
      <c r="E99" s="17"/>
    </row>
    <row r="100" spans="2:5">
      <c r="B100" s="17"/>
      <c r="C100" s="17"/>
      <c r="D100" s="17"/>
      <c r="E100" s="17"/>
    </row>
    <row r="101" spans="2:5">
      <c r="B101" s="17"/>
      <c r="C101" s="17"/>
      <c r="D101" s="17"/>
      <c r="E101" s="17"/>
    </row>
    <row r="102" spans="2:5">
      <c r="B102" s="17"/>
      <c r="C102" s="17"/>
      <c r="D102" s="17"/>
      <c r="E102" s="17"/>
    </row>
    <row r="103" spans="2:5">
      <c r="B103" s="17"/>
      <c r="C103" s="17"/>
      <c r="D103" s="17"/>
      <c r="E103" s="17"/>
    </row>
    <row r="104" spans="2:5">
      <c r="B104" s="17"/>
      <c r="C104" s="17"/>
      <c r="D104" s="17"/>
      <c r="E104" s="17"/>
    </row>
    <row r="105" spans="2:5">
      <c r="B105" s="17"/>
      <c r="C105" s="17"/>
      <c r="D105" s="17"/>
      <c r="E105" s="17"/>
    </row>
    <row r="106" spans="2:5">
      <c r="B106" s="17"/>
      <c r="C106" s="17"/>
      <c r="D106" s="17"/>
      <c r="E106" s="17"/>
    </row>
    <row r="107" spans="2:5">
      <c r="B107" s="17"/>
      <c r="C107" s="17"/>
      <c r="D107" s="17"/>
      <c r="E107" s="17"/>
    </row>
    <row r="108" spans="2:5">
      <c r="B108" s="17"/>
      <c r="C108" s="17"/>
      <c r="D108" s="17"/>
      <c r="E108" s="17"/>
    </row>
    <row r="109" spans="2:5">
      <c r="B109" s="17"/>
      <c r="C109" s="17"/>
      <c r="D109" s="17"/>
      <c r="E109" s="17"/>
    </row>
    <row r="110" spans="2:5">
      <c r="B110" s="17"/>
      <c r="C110" s="17"/>
      <c r="D110" s="17"/>
      <c r="E110" s="17"/>
    </row>
    <row r="111" spans="2:5">
      <c r="B111" s="17"/>
      <c r="C111" s="17"/>
      <c r="D111" s="17"/>
      <c r="E111" s="17"/>
    </row>
    <row r="112" spans="2:5">
      <c r="B112" s="17"/>
      <c r="C112" s="17"/>
      <c r="D112" s="17"/>
      <c r="E112" s="17"/>
    </row>
    <row r="113" spans="2:5">
      <c r="B113" s="17"/>
      <c r="C113" s="17"/>
      <c r="D113" s="17"/>
      <c r="E113" s="17"/>
    </row>
    <row r="114" spans="2:5">
      <c r="B114" s="17"/>
      <c r="C114" s="17"/>
      <c r="D114" s="17"/>
      <c r="E114" s="17"/>
    </row>
    <row r="115" spans="2:5">
      <c r="B115" s="17"/>
      <c r="C115" s="17"/>
      <c r="D115" s="17"/>
      <c r="E115" s="17"/>
    </row>
    <row r="116" spans="2:5">
      <c r="B116" s="17"/>
      <c r="C116" s="17"/>
      <c r="D116" s="17"/>
      <c r="E116" s="17"/>
    </row>
    <row r="117" spans="2:5">
      <c r="B117" s="17"/>
      <c r="C117" s="17"/>
      <c r="D117" s="17"/>
      <c r="E117" s="17"/>
    </row>
    <row r="118" spans="2:5">
      <c r="B118" s="17"/>
      <c r="C118" s="17"/>
      <c r="D118" s="17"/>
      <c r="E118" s="17"/>
    </row>
    <row r="119" spans="2:5">
      <c r="B119" s="17"/>
      <c r="C119" s="17"/>
      <c r="D119" s="17"/>
      <c r="E119" s="17"/>
    </row>
    <row r="120" spans="2:5">
      <c r="B120" s="17"/>
      <c r="C120" s="17"/>
      <c r="D120" s="17"/>
      <c r="E120" s="17"/>
    </row>
    <row r="121" spans="2:5">
      <c r="B121" s="17"/>
      <c r="C121" s="17"/>
      <c r="D121" s="17"/>
      <c r="E121" s="17"/>
    </row>
    <row r="122" spans="2:5">
      <c r="B122" s="17"/>
      <c r="C122" s="17"/>
      <c r="D122" s="17"/>
      <c r="E122" s="17"/>
    </row>
    <row r="123" spans="2:5">
      <c r="B123" s="17"/>
      <c r="C123" s="17"/>
      <c r="D123" s="17"/>
      <c r="E123" s="17"/>
    </row>
    <row r="124" spans="2:5">
      <c r="B124" s="17"/>
      <c r="C124" s="17"/>
      <c r="D124" s="17"/>
      <c r="E124" s="17"/>
    </row>
    <row r="125" spans="2:5">
      <c r="B125" s="17"/>
      <c r="C125" s="17"/>
      <c r="D125" s="17"/>
      <c r="E125" s="17"/>
    </row>
    <row r="126" spans="2:5">
      <c r="B126" s="17"/>
      <c r="C126" s="17"/>
      <c r="D126" s="17"/>
      <c r="E126" s="17"/>
    </row>
    <row r="127" spans="2:5">
      <c r="B127" s="17"/>
      <c r="C127" s="17"/>
      <c r="D127" s="17"/>
      <c r="E127" s="17"/>
    </row>
    <row r="128" spans="2:5">
      <c r="B128" s="17"/>
      <c r="C128" s="17"/>
      <c r="D128" s="17"/>
      <c r="E128" s="17"/>
    </row>
    <row r="129" spans="2:5">
      <c r="B129" s="17"/>
      <c r="C129" s="17"/>
      <c r="D129" s="17"/>
      <c r="E129" s="17"/>
    </row>
    <row r="130" spans="2:5">
      <c r="B130" s="17"/>
      <c r="C130" s="17"/>
      <c r="D130" s="17"/>
      <c r="E130" s="17"/>
    </row>
    <row r="131" spans="2:5">
      <c r="B131" s="17"/>
      <c r="C131" s="17"/>
      <c r="D131" s="17"/>
      <c r="E131" s="17"/>
    </row>
    <row r="132" spans="2:5">
      <c r="B132" s="17"/>
      <c r="C132" s="17"/>
      <c r="D132" s="17"/>
      <c r="E132" s="17"/>
    </row>
    <row r="133" spans="2:5">
      <c r="B133" s="17"/>
      <c r="C133" s="17"/>
      <c r="D133" s="17"/>
      <c r="E133" s="17"/>
    </row>
    <row r="134" spans="2:5">
      <c r="B134" s="17"/>
      <c r="C134" s="17"/>
      <c r="D134" s="17"/>
      <c r="E134" s="17"/>
    </row>
    <row r="135" spans="2:5">
      <c r="B135" s="17"/>
      <c r="C135" s="17"/>
      <c r="D135" s="17"/>
      <c r="E135" s="17"/>
    </row>
    <row r="136" spans="2:5">
      <c r="B136" s="17"/>
      <c r="C136" s="17"/>
      <c r="D136" s="17"/>
      <c r="E136" s="17"/>
    </row>
    <row r="137" spans="2:5">
      <c r="B137" s="17"/>
      <c r="C137" s="17"/>
      <c r="D137" s="17"/>
      <c r="E137" s="17"/>
    </row>
    <row r="138" spans="2:5">
      <c r="B138" s="17"/>
      <c r="C138" s="17"/>
      <c r="D138" s="17"/>
      <c r="E138" s="17"/>
    </row>
    <row r="139" spans="2:5">
      <c r="B139" s="17"/>
      <c r="C139" s="17"/>
      <c r="D139" s="17"/>
      <c r="E139" s="17"/>
    </row>
    <row r="140" spans="2:5">
      <c r="B140" s="17"/>
      <c r="C140" s="17"/>
      <c r="D140" s="17"/>
      <c r="E140" s="17"/>
    </row>
    <row r="141" spans="2:5">
      <c r="B141" s="17"/>
      <c r="C141" s="17"/>
      <c r="D141" s="17"/>
      <c r="E141" s="17"/>
    </row>
    <row r="142" spans="2:5">
      <c r="B142" s="17"/>
      <c r="C142" s="17"/>
      <c r="D142" s="17"/>
      <c r="E142" s="17"/>
    </row>
    <row r="143" spans="2:5">
      <c r="B143" s="17"/>
      <c r="C143" s="17"/>
      <c r="D143" s="17"/>
      <c r="E143" s="17"/>
    </row>
    <row r="144" spans="2:5">
      <c r="B144" s="17"/>
      <c r="C144" s="17"/>
      <c r="D144" s="17"/>
      <c r="E144" s="17"/>
    </row>
    <row r="145" spans="2:5">
      <c r="B145" s="17"/>
      <c r="C145" s="17"/>
      <c r="D145" s="17"/>
      <c r="E145" s="17"/>
    </row>
    <row r="146" spans="2:5">
      <c r="B146" s="17"/>
      <c r="C146" s="17"/>
      <c r="D146" s="17"/>
      <c r="E146" s="17"/>
    </row>
    <row r="147" spans="2:5">
      <c r="B147" s="17"/>
      <c r="C147" s="17"/>
      <c r="D147" s="17"/>
      <c r="E147" s="17"/>
    </row>
    <row r="148" spans="2:5">
      <c r="B148" s="17"/>
      <c r="C148" s="17"/>
      <c r="D148" s="17"/>
      <c r="E148" s="17"/>
    </row>
    <row r="149" spans="2:5">
      <c r="B149" s="17"/>
      <c r="C149" s="17"/>
      <c r="D149" s="17"/>
      <c r="E149" s="17"/>
    </row>
    <row r="150" spans="2:5">
      <c r="B150" s="17"/>
      <c r="C150" s="17"/>
      <c r="D150" s="17"/>
      <c r="E150" s="17"/>
    </row>
    <row r="151" spans="2:5">
      <c r="B151" s="17"/>
      <c r="C151" s="17"/>
      <c r="D151" s="17"/>
      <c r="E151" s="17"/>
    </row>
    <row r="152" spans="2:5">
      <c r="B152" s="17"/>
      <c r="C152" s="17"/>
      <c r="D152" s="17"/>
      <c r="E152" s="17"/>
    </row>
    <row r="153" spans="2:5">
      <c r="B153" s="17"/>
      <c r="C153" s="17"/>
      <c r="D153" s="17"/>
      <c r="E153" s="17"/>
    </row>
    <row r="154" spans="2:5">
      <c r="B154" s="17"/>
      <c r="C154" s="17"/>
      <c r="D154" s="17"/>
      <c r="E154" s="17"/>
    </row>
    <row r="155" spans="2:5">
      <c r="B155" s="17"/>
      <c r="C155" s="17"/>
      <c r="D155" s="17"/>
      <c r="E155" s="17"/>
    </row>
    <row r="156" spans="2:5">
      <c r="B156" s="17"/>
      <c r="C156" s="17"/>
      <c r="D156" s="17"/>
      <c r="E156" s="17"/>
    </row>
    <row r="157" spans="2:5">
      <c r="B157" s="17"/>
      <c r="C157" s="17"/>
      <c r="D157" s="17"/>
      <c r="E157" s="17"/>
    </row>
    <row r="158" spans="2:5">
      <c r="B158" s="17"/>
      <c r="C158" s="17"/>
      <c r="D158" s="17"/>
      <c r="E158" s="17"/>
    </row>
    <row r="159" spans="2:5">
      <c r="B159" s="17"/>
      <c r="C159" s="17"/>
      <c r="D159" s="17"/>
      <c r="E159" s="17"/>
    </row>
    <row r="160" spans="2:5">
      <c r="B160" s="17"/>
      <c r="C160" s="17"/>
      <c r="D160" s="17"/>
      <c r="E160" s="17"/>
    </row>
    <row r="161" spans="2:5">
      <c r="B161" s="17"/>
      <c r="C161" s="17"/>
      <c r="D161" s="17"/>
      <c r="E161" s="17"/>
    </row>
    <row r="162" spans="2:5">
      <c r="B162" s="17"/>
      <c r="C162" s="17"/>
      <c r="D162" s="17"/>
      <c r="E162" s="17"/>
    </row>
    <row r="163" spans="2:5">
      <c r="B163" s="17"/>
      <c r="C163" s="17"/>
      <c r="D163" s="17"/>
      <c r="E163" s="17"/>
    </row>
    <row r="164" spans="2:5">
      <c r="B164" s="17"/>
      <c r="C164" s="17"/>
      <c r="D164" s="17"/>
      <c r="E164" s="17"/>
    </row>
    <row r="165" spans="2:5">
      <c r="B165" s="17"/>
      <c r="C165" s="17"/>
      <c r="D165" s="17"/>
      <c r="E165" s="17"/>
    </row>
    <row r="166" spans="2:5">
      <c r="B166" s="17"/>
      <c r="C166" s="17"/>
      <c r="D166" s="17"/>
      <c r="E166" s="17"/>
    </row>
    <row r="167" spans="2:5">
      <c r="B167" s="17"/>
      <c r="C167" s="17"/>
      <c r="D167" s="17"/>
      <c r="E167" s="17"/>
    </row>
    <row r="168" spans="2:5">
      <c r="B168" s="17"/>
      <c r="C168" s="17"/>
      <c r="D168" s="17"/>
      <c r="E168" s="17"/>
    </row>
    <row r="169" spans="2:5">
      <c r="B169" s="17"/>
      <c r="C169" s="17"/>
      <c r="D169" s="17"/>
      <c r="E169" s="17"/>
    </row>
    <row r="170" spans="2:5">
      <c r="B170" s="17"/>
      <c r="C170" s="17"/>
      <c r="D170" s="17"/>
      <c r="E170" s="17"/>
    </row>
    <row r="171" spans="2:5">
      <c r="B171" s="17"/>
      <c r="C171" s="17"/>
      <c r="D171" s="17"/>
      <c r="E171" s="17"/>
    </row>
    <row r="172" spans="2:5">
      <c r="B172" s="17"/>
      <c r="C172" s="17"/>
      <c r="D172" s="17"/>
      <c r="E172" s="17"/>
    </row>
    <row r="173" spans="2:5">
      <c r="B173" s="17"/>
      <c r="C173" s="17"/>
      <c r="D173" s="17"/>
      <c r="E173" s="17"/>
    </row>
    <row r="174" spans="2:5">
      <c r="B174" s="17"/>
      <c r="C174" s="17"/>
      <c r="D174" s="17"/>
      <c r="E174" s="17"/>
    </row>
    <row r="175" spans="2:5">
      <c r="B175" s="17"/>
      <c r="C175" s="17"/>
      <c r="D175" s="17"/>
      <c r="E175" s="17"/>
    </row>
    <row r="176" spans="2:5">
      <c r="B176" s="17"/>
      <c r="C176" s="17"/>
      <c r="D176" s="17"/>
      <c r="E176" s="17"/>
    </row>
    <row r="177" spans="2:5">
      <c r="B177" s="17"/>
      <c r="C177" s="17"/>
      <c r="D177" s="17"/>
      <c r="E177" s="17"/>
    </row>
    <row r="178" spans="2:5">
      <c r="B178" s="17"/>
      <c r="C178" s="17"/>
      <c r="D178" s="17"/>
      <c r="E178" s="17"/>
    </row>
    <row r="179" spans="2:5">
      <c r="B179" s="17"/>
      <c r="C179" s="17"/>
      <c r="D179" s="17"/>
      <c r="E179" s="17"/>
    </row>
    <row r="180" spans="2:5">
      <c r="B180" s="17"/>
      <c r="C180" s="17"/>
      <c r="D180" s="17"/>
      <c r="E180" s="17"/>
    </row>
    <row r="181" spans="2:5">
      <c r="B181" s="17"/>
      <c r="C181" s="17"/>
      <c r="D181" s="17"/>
      <c r="E181" s="17"/>
    </row>
    <row r="182" spans="2:5">
      <c r="B182" s="17"/>
      <c r="C182" s="17"/>
      <c r="D182" s="17"/>
      <c r="E182" s="17"/>
    </row>
    <row r="183" spans="2:5">
      <c r="B183" s="17"/>
      <c r="C183" s="17"/>
      <c r="D183" s="17"/>
      <c r="E183" s="17"/>
    </row>
    <row r="184" spans="2:5">
      <c r="B184" s="17"/>
      <c r="C184" s="17"/>
      <c r="D184" s="17"/>
      <c r="E184" s="17"/>
    </row>
    <row r="185" spans="2:5">
      <c r="B185" s="17"/>
      <c r="C185" s="17"/>
      <c r="D185" s="17"/>
      <c r="E185" s="17"/>
    </row>
    <row r="186" spans="2:5">
      <c r="B186" s="17"/>
      <c r="C186" s="17"/>
      <c r="D186" s="17"/>
      <c r="E186" s="17"/>
    </row>
    <row r="187" spans="2:5">
      <c r="B187" s="17"/>
      <c r="C187" s="17"/>
      <c r="D187" s="17"/>
      <c r="E187" s="17"/>
    </row>
    <row r="188" spans="2:5">
      <c r="B188" s="17"/>
      <c r="C188" s="17"/>
      <c r="D188" s="17"/>
      <c r="E188" s="17"/>
    </row>
    <row r="189" spans="2:5">
      <c r="B189" s="17"/>
      <c r="C189" s="17"/>
      <c r="D189" s="17"/>
      <c r="E189" s="17"/>
    </row>
    <row r="190" spans="2:5">
      <c r="B190" s="17"/>
      <c r="C190" s="17"/>
      <c r="D190" s="17"/>
      <c r="E190" s="17"/>
    </row>
    <row r="191" spans="2:5">
      <c r="B191" s="17"/>
      <c r="C191" s="17"/>
      <c r="D191" s="17"/>
      <c r="E191" s="17"/>
    </row>
    <row r="192" spans="2:5">
      <c r="B192" s="17"/>
      <c r="C192" s="17"/>
      <c r="D192" s="17"/>
      <c r="E192" s="17"/>
    </row>
    <row r="193" spans="2:5">
      <c r="B193" s="17"/>
      <c r="C193" s="17"/>
      <c r="D193" s="17"/>
      <c r="E193" s="17"/>
    </row>
    <row r="194" spans="2:5">
      <c r="B194" s="17"/>
      <c r="C194" s="17"/>
      <c r="D194" s="17"/>
      <c r="E194" s="17"/>
    </row>
    <row r="195" spans="2:5">
      <c r="B195" s="17"/>
      <c r="C195" s="17"/>
      <c r="D195" s="17"/>
      <c r="E195" s="17"/>
    </row>
    <row r="196" spans="2:5">
      <c r="B196" s="17"/>
      <c r="C196" s="17"/>
      <c r="D196" s="17"/>
      <c r="E196" s="17"/>
    </row>
    <row r="197" spans="2:5">
      <c r="B197" s="17"/>
      <c r="C197" s="17"/>
      <c r="D197" s="17"/>
      <c r="E197" s="17"/>
    </row>
    <row r="198" spans="2:5">
      <c r="B198" s="17"/>
      <c r="C198" s="17"/>
      <c r="D198" s="17"/>
      <c r="E198" s="17"/>
    </row>
    <row r="199" spans="2:5">
      <c r="B199" s="17"/>
      <c r="C199" s="17"/>
      <c r="D199" s="17"/>
      <c r="E199" s="17"/>
    </row>
    <row r="200" spans="2:5">
      <c r="B200" s="17"/>
      <c r="C200" s="17"/>
      <c r="D200" s="17"/>
      <c r="E200" s="17"/>
    </row>
    <row r="201" spans="2:5">
      <c r="B201" s="17"/>
      <c r="C201" s="17"/>
      <c r="D201" s="17"/>
      <c r="E201" s="17"/>
    </row>
    <row r="202" spans="2:5">
      <c r="B202" s="17"/>
      <c r="C202" s="17"/>
      <c r="D202" s="17"/>
      <c r="E202" s="17"/>
    </row>
    <row r="203" spans="2:5">
      <c r="B203" s="17"/>
      <c r="C203" s="17"/>
      <c r="D203" s="17"/>
      <c r="E203" s="17"/>
    </row>
    <row r="204" spans="2:5">
      <c r="B204" s="17"/>
      <c r="C204" s="17"/>
      <c r="D204" s="17"/>
      <c r="E204" s="17"/>
    </row>
    <row r="205" spans="2:5">
      <c r="B205" s="17"/>
      <c r="C205" s="17"/>
      <c r="D205" s="17"/>
      <c r="E205" s="17"/>
    </row>
    <row r="206" spans="2:5">
      <c r="B206" s="17"/>
      <c r="C206" s="17"/>
      <c r="D206" s="17"/>
      <c r="E206" s="17"/>
    </row>
    <row r="207" spans="2:5">
      <c r="B207" s="17"/>
      <c r="C207" s="17"/>
      <c r="D207" s="17"/>
      <c r="E207" s="17"/>
    </row>
    <row r="208" spans="2:5">
      <c r="B208" s="17"/>
      <c r="C208" s="17"/>
      <c r="D208" s="17"/>
      <c r="E208" s="17"/>
    </row>
    <row r="209" spans="2:5">
      <c r="B209" s="17"/>
      <c r="C209" s="17"/>
      <c r="D209" s="17"/>
      <c r="E209" s="17"/>
    </row>
    <row r="210" spans="2:5">
      <c r="B210" s="17"/>
      <c r="C210" s="17"/>
      <c r="D210" s="17"/>
      <c r="E210" s="17"/>
    </row>
    <row r="211" spans="2:5">
      <c r="B211" s="17"/>
      <c r="C211" s="17"/>
      <c r="D211" s="17"/>
      <c r="E211" s="17"/>
    </row>
    <row r="212" spans="2:5">
      <c r="B212" s="17"/>
      <c r="C212" s="17"/>
      <c r="D212" s="17"/>
      <c r="E212" s="17"/>
    </row>
    <row r="213" spans="2:5">
      <c r="B213" s="17"/>
      <c r="C213" s="17"/>
      <c r="D213" s="17"/>
      <c r="E213" s="17"/>
    </row>
    <row r="214" spans="2:5">
      <c r="B214" s="17"/>
      <c r="C214" s="17"/>
      <c r="D214" s="17"/>
      <c r="E214" s="17"/>
    </row>
    <row r="215" spans="2:5">
      <c r="B215" s="17"/>
      <c r="C215" s="17"/>
      <c r="D215" s="17"/>
      <c r="E215" s="17"/>
    </row>
    <row r="216" spans="2:5">
      <c r="B216" s="17"/>
      <c r="C216" s="17"/>
      <c r="D216" s="17"/>
      <c r="E216" s="17"/>
    </row>
    <row r="217" spans="2:5">
      <c r="B217" s="17"/>
      <c r="C217" s="17"/>
      <c r="D217" s="17"/>
      <c r="E217" s="17"/>
    </row>
    <row r="218" spans="2:5">
      <c r="B218" s="17"/>
      <c r="C218" s="17"/>
      <c r="D218" s="17"/>
      <c r="E218" s="17"/>
    </row>
    <row r="219" spans="2:5">
      <c r="B219" s="17"/>
      <c r="C219" s="17"/>
      <c r="D219" s="17"/>
      <c r="E219" s="17"/>
    </row>
    <row r="220" spans="2:5">
      <c r="B220" s="17"/>
      <c r="C220" s="17"/>
      <c r="D220" s="17"/>
      <c r="E220" s="17"/>
    </row>
    <row r="221" spans="2:5">
      <c r="B221" s="17"/>
      <c r="C221" s="17"/>
      <c r="D221" s="17"/>
      <c r="E221" s="17"/>
    </row>
    <row r="222" spans="2:5">
      <c r="B222" s="17"/>
      <c r="C222" s="17"/>
      <c r="D222" s="17"/>
      <c r="E222" s="17"/>
    </row>
    <row r="223" spans="2:5">
      <c r="B223" s="17"/>
      <c r="C223" s="17"/>
      <c r="D223" s="17"/>
      <c r="E223" s="17"/>
    </row>
    <row r="224" spans="2:5">
      <c r="B224" s="17"/>
      <c r="C224" s="17"/>
      <c r="D224" s="17"/>
      <c r="E224" s="17"/>
    </row>
    <row r="225" spans="2:5">
      <c r="B225" s="17"/>
      <c r="C225" s="17"/>
      <c r="D225" s="17"/>
      <c r="E225" s="17"/>
    </row>
    <row r="226" spans="2:5">
      <c r="B226" s="17"/>
      <c r="C226" s="17"/>
      <c r="D226" s="17"/>
      <c r="E226" s="17"/>
    </row>
    <row r="227" spans="2:5">
      <c r="B227" s="17"/>
      <c r="C227" s="17"/>
      <c r="D227" s="17"/>
      <c r="E227" s="17"/>
    </row>
    <row r="228" spans="2:5">
      <c r="B228" s="17"/>
      <c r="C228" s="17"/>
      <c r="D228" s="17"/>
      <c r="E228" s="17"/>
    </row>
    <row r="229" spans="2:5">
      <c r="B229" s="17"/>
      <c r="C229" s="17"/>
      <c r="D229" s="17"/>
      <c r="E229" s="17"/>
    </row>
    <row r="230" spans="2:5">
      <c r="B230" s="17"/>
      <c r="C230" s="17"/>
      <c r="D230" s="17"/>
      <c r="E230" s="17"/>
    </row>
    <row r="231" spans="2:5">
      <c r="B231" s="17"/>
      <c r="C231" s="17"/>
      <c r="D231" s="17"/>
      <c r="E231" s="17"/>
    </row>
    <row r="232" spans="2:5">
      <c r="B232" s="17"/>
      <c r="C232" s="17"/>
      <c r="D232" s="17"/>
      <c r="E232" s="17"/>
    </row>
    <row r="233" spans="2:5">
      <c r="B233" s="17"/>
      <c r="C233" s="17"/>
      <c r="D233" s="17"/>
      <c r="E233" s="17"/>
    </row>
    <row r="234" spans="2:5">
      <c r="B234" s="17"/>
      <c r="C234" s="17"/>
      <c r="D234" s="17"/>
      <c r="E234" s="17"/>
    </row>
    <row r="235" spans="2:5">
      <c r="B235" s="17"/>
      <c r="C235" s="17"/>
      <c r="D235" s="17"/>
      <c r="E235" s="17"/>
    </row>
    <row r="236" spans="2:5">
      <c r="B236" s="17"/>
      <c r="C236" s="17"/>
      <c r="D236" s="17"/>
      <c r="E236" s="17"/>
    </row>
    <row r="237" spans="2:5">
      <c r="B237" s="17"/>
      <c r="C237" s="17"/>
      <c r="D237" s="17"/>
      <c r="E237" s="17"/>
    </row>
    <row r="238" spans="2:5">
      <c r="B238" s="17"/>
      <c r="C238" s="17"/>
      <c r="D238" s="17"/>
      <c r="E238" s="17"/>
    </row>
    <row r="239" spans="2:5">
      <c r="B239" s="17"/>
      <c r="C239" s="17"/>
      <c r="D239" s="17"/>
      <c r="E239" s="17"/>
    </row>
    <row r="240" spans="2:5">
      <c r="B240" s="17"/>
      <c r="C240" s="17"/>
      <c r="D240" s="17"/>
      <c r="E240" s="17"/>
    </row>
    <row r="241" spans="2:5">
      <c r="B241" s="17"/>
      <c r="C241" s="17"/>
      <c r="D241" s="17"/>
      <c r="E241" s="17"/>
    </row>
    <row r="242" spans="2:5">
      <c r="B242" s="17"/>
      <c r="C242" s="17"/>
      <c r="D242" s="17"/>
      <c r="E242" s="17"/>
    </row>
    <row r="243" spans="2:5">
      <c r="B243" s="17"/>
      <c r="C243" s="17"/>
      <c r="D243" s="17"/>
      <c r="E243" s="17"/>
    </row>
    <row r="244" spans="2:5">
      <c r="B244" s="17"/>
      <c r="C244" s="17"/>
      <c r="D244" s="17"/>
      <c r="E244" s="17"/>
    </row>
    <row r="245" spans="2:5">
      <c r="B245" s="17"/>
      <c r="C245" s="17"/>
      <c r="D245" s="17"/>
      <c r="E245" s="17"/>
    </row>
    <row r="246" spans="2:5">
      <c r="B246" s="17"/>
      <c r="C246" s="17"/>
      <c r="D246" s="17"/>
      <c r="E246" s="17"/>
    </row>
    <row r="247" spans="2:5">
      <c r="B247" s="17"/>
      <c r="C247" s="17"/>
      <c r="D247" s="17"/>
      <c r="E247" s="17"/>
    </row>
    <row r="248" spans="2:5">
      <c r="B248" s="17"/>
      <c r="C248" s="17"/>
      <c r="D248" s="17"/>
      <c r="E248" s="17"/>
    </row>
    <row r="249" spans="2:5">
      <c r="B249" s="17"/>
      <c r="C249" s="17"/>
      <c r="D249" s="17"/>
      <c r="E249" s="17"/>
    </row>
    <row r="250" spans="2:5">
      <c r="B250" s="17"/>
      <c r="C250" s="17"/>
      <c r="D250" s="17"/>
      <c r="E250" s="17"/>
    </row>
    <row r="251" spans="2:5">
      <c r="B251" s="17"/>
      <c r="C251" s="17"/>
      <c r="D251" s="17"/>
      <c r="E251" s="17"/>
    </row>
    <row r="252" spans="2:5">
      <c r="B252" s="17"/>
      <c r="C252" s="17"/>
      <c r="D252" s="17"/>
      <c r="E252" s="17"/>
    </row>
    <row r="253" spans="2:5">
      <c r="B253" s="17"/>
      <c r="C253" s="17"/>
      <c r="D253" s="17"/>
      <c r="E253" s="17"/>
    </row>
    <row r="254" spans="2:5">
      <c r="B254" s="17"/>
      <c r="C254" s="17"/>
      <c r="D254" s="17"/>
      <c r="E254" s="17"/>
    </row>
    <row r="255" spans="2:5">
      <c r="B255" s="17"/>
      <c r="C255" s="17"/>
      <c r="D255" s="17"/>
      <c r="E255" s="17"/>
    </row>
    <row r="256" spans="2:5">
      <c r="B256" s="17"/>
      <c r="C256" s="17"/>
      <c r="D256" s="17"/>
      <c r="E256" s="17"/>
    </row>
    <row r="257" spans="2:5">
      <c r="B257" s="17"/>
      <c r="C257" s="17"/>
      <c r="D257" s="17"/>
      <c r="E257" s="17"/>
    </row>
    <row r="258" spans="2:5">
      <c r="B258" s="17"/>
      <c r="C258" s="17"/>
      <c r="D258" s="17"/>
      <c r="E258" s="17"/>
    </row>
    <row r="259" spans="2:5">
      <c r="B259" s="17"/>
      <c r="C259" s="17"/>
      <c r="D259" s="17"/>
      <c r="E259" s="17"/>
    </row>
    <row r="260" spans="2:5">
      <c r="B260" s="17"/>
      <c r="C260" s="17"/>
      <c r="D260" s="17"/>
      <c r="E260" s="17"/>
    </row>
    <row r="261" spans="2:5">
      <c r="B261" s="17"/>
      <c r="C261" s="17"/>
      <c r="D261" s="17"/>
      <c r="E261" s="17"/>
    </row>
    <row r="262" spans="2:5">
      <c r="B262" s="17"/>
      <c r="C262" s="17"/>
      <c r="D262" s="17"/>
      <c r="E262" s="17"/>
    </row>
    <row r="263" spans="2:5">
      <c r="B263" s="17"/>
      <c r="C263" s="17"/>
      <c r="D263" s="17"/>
      <c r="E263" s="17"/>
    </row>
    <row r="264" spans="2:5">
      <c r="B264" s="17"/>
      <c r="C264" s="17"/>
      <c r="D264" s="17"/>
      <c r="E264" s="17"/>
    </row>
    <row r="265" spans="2:5">
      <c r="B265" s="17"/>
      <c r="C265" s="17"/>
      <c r="D265" s="17"/>
      <c r="E265" s="17"/>
    </row>
    <row r="266" spans="2:5">
      <c r="B266" s="17"/>
      <c r="C266" s="17"/>
      <c r="D266" s="17"/>
      <c r="E266" s="17"/>
    </row>
    <row r="267" spans="2:5">
      <c r="B267" s="17"/>
      <c r="C267" s="17"/>
      <c r="D267" s="17"/>
      <c r="E267" s="17"/>
    </row>
    <row r="268" spans="2:5">
      <c r="B268" s="17"/>
      <c r="C268" s="17"/>
      <c r="D268" s="17"/>
      <c r="E268" s="17"/>
    </row>
    <row r="269" spans="2:5">
      <c r="B269" s="17"/>
      <c r="C269" s="17"/>
      <c r="D269" s="17"/>
      <c r="E269" s="17"/>
    </row>
    <row r="270" spans="2:5">
      <c r="B270" s="17"/>
      <c r="C270" s="17"/>
      <c r="D270" s="17"/>
      <c r="E270" s="17"/>
    </row>
    <row r="271" spans="2:5">
      <c r="B271" s="17"/>
      <c r="C271" s="17"/>
      <c r="D271" s="17"/>
      <c r="E271" s="17"/>
    </row>
    <row r="272" spans="2:5">
      <c r="B272" s="17"/>
      <c r="C272" s="17"/>
      <c r="D272" s="17"/>
      <c r="E272" s="17"/>
    </row>
    <row r="273" spans="2:5">
      <c r="B273" s="17"/>
      <c r="C273" s="17"/>
      <c r="D273" s="17"/>
      <c r="E273" s="17"/>
    </row>
    <row r="274" spans="2:5">
      <c r="B274" s="17"/>
      <c r="C274" s="17"/>
      <c r="D274" s="17"/>
      <c r="E274" s="17"/>
    </row>
    <row r="275" spans="2:5">
      <c r="B275" s="17"/>
      <c r="C275" s="17"/>
      <c r="D275" s="17"/>
      <c r="E275" s="17"/>
    </row>
    <row r="276" spans="2:5">
      <c r="B276" s="17"/>
      <c r="C276" s="17"/>
      <c r="D276" s="17"/>
      <c r="E276" s="17"/>
    </row>
    <row r="277" spans="2:5">
      <c r="B277" s="17"/>
      <c r="C277" s="17"/>
      <c r="D277" s="17"/>
      <c r="E277" s="17"/>
    </row>
    <row r="278" spans="2:5">
      <c r="B278" s="17"/>
      <c r="C278" s="17"/>
      <c r="D278" s="17"/>
      <c r="E278" s="17"/>
    </row>
    <row r="279" spans="2:5">
      <c r="B279" s="17"/>
      <c r="C279" s="17"/>
      <c r="D279" s="17"/>
      <c r="E279" s="17"/>
    </row>
    <row r="280" spans="2:5">
      <c r="B280" s="17"/>
      <c r="C280" s="17"/>
      <c r="D280" s="17"/>
      <c r="E280" s="17"/>
    </row>
    <row r="281" spans="2:5">
      <c r="B281" s="17"/>
      <c r="C281" s="17"/>
      <c r="D281" s="17"/>
      <c r="E281" s="17"/>
    </row>
    <row r="282" spans="2:5">
      <c r="B282" s="17"/>
      <c r="C282" s="17"/>
      <c r="D282" s="17"/>
      <c r="E282" s="17"/>
    </row>
    <row r="283" spans="2:5">
      <c r="B283" s="17"/>
      <c r="C283" s="17"/>
      <c r="D283" s="17"/>
      <c r="E283" s="17"/>
    </row>
    <row r="284" spans="2:5">
      <c r="B284" s="17"/>
      <c r="C284" s="17"/>
      <c r="D284" s="17"/>
      <c r="E284" s="17"/>
    </row>
    <row r="285" spans="2:5">
      <c r="B285" s="17"/>
      <c r="C285" s="17"/>
      <c r="D285" s="17"/>
      <c r="E285" s="17"/>
    </row>
    <row r="286" spans="2:5">
      <c r="B286" s="17"/>
      <c r="C286" s="17"/>
      <c r="D286" s="17"/>
      <c r="E286" s="17"/>
    </row>
    <row r="287" spans="2:5">
      <c r="B287" s="17"/>
      <c r="C287" s="17"/>
      <c r="D287" s="17"/>
      <c r="E287" s="17"/>
    </row>
    <row r="288" spans="2:5">
      <c r="B288" s="17"/>
      <c r="C288" s="17"/>
      <c r="D288" s="17"/>
      <c r="E288" s="17"/>
    </row>
    <row r="289" spans="2:5">
      <c r="B289" s="17"/>
      <c r="C289" s="17"/>
      <c r="D289" s="17"/>
      <c r="E289" s="17"/>
    </row>
    <row r="290" spans="2:5">
      <c r="B290" s="17"/>
      <c r="C290" s="17"/>
      <c r="D290" s="17"/>
      <c r="E290" s="17"/>
    </row>
    <row r="291" spans="2:5">
      <c r="B291" s="17"/>
      <c r="C291" s="17"/>
      <c r="D291" s="17"/>
      <c r="E291" s="17"/>
    </row>
    <row r="292" spans="2:5">
      <c r="B292" s="17"/>
      <c r="C292" s="17"/>
      <c r="D292" s="17"/>
      <c r="E292" s="17"/>
    </row>
    <row r="293" spans="2:5">
      <c r="B293" s="17"/>
      <c r="C293" s="17"/>
      <c r="D293" s="17"/>
      <c r="E293" s="17"/>
    </row>
    <row r="294" spans="2:5">
      <c r="B294" s="17"/>
      <c r="C294" s="17"/>
      <c r="D294" s="17"/>
      <c r="E294" s="17"/>
    </row>
    <row r="295" spans="2:5">
      <c r="B295" s="17"/>
      <c r="C295" s="17"/>
      <c r="D295" s="17"/>
      <c r="E295" s="17"/>
    </row>
    <row r="296" spans="2:5">
      <c r="B296" s="17"/>
      <c r="C296" s="17"/>
      <c r="D296" s="17"/>
      <c r="E296" s="17"/>
    </row>
    <row r="297" spans="2:5">
      <c r="B297" s="17"/>
      <c r="C297" s="17"/>
      <c r="D297" s="17"/>
      <c r="E297" s="17"/>
    </row>
    <row r="298" spans="2:5">
      <c r="B298" s="17"/>
      <c r="C298" s="17"/>
      <c r="D298" s="17"/>
      <c r="E298" s="17"/>
    </row>
    <row r="299" spans="2:5">
      <c r="B299" s="17"/>
      <c r="C299" s="17"/>
      <c r="D299" s="17"/>
      <c r="E299" s="17"/>
    </row>
    <row r="300" spans="2:5">
      <c r="B300" s="17"/>
      <c r="C300" s="17"/>
      <c r="D300" s="17"/>
      <c r="E300" s="17"/>
    </row>
    <row r="301" spans="2:5">
      <c r="B301" s="17"/>
      <c r="C301" s="17"/>
      <c r="D301" s="17"/>
      <c r="E301" s="17"/>
    </row>
    <row r="302" spans="2:5">
      <c r="B302" s="17"/>
      <c r="C302" s="17"/>
      <c r="D302" s="17"/>
      <c r="E302" s="17"/>
    </row>
    <row r="303" spans="2:5">
      <c r="B303" s="17"/>
      <c r="C303" s="17"/>
      <c r="D303" s="17"/>
      <c r="E303" s="17"/>
    </row>
    <row r="304" spans="2:5">
      <c r="B304" s="17"/>
      <c r="C304" s="17"/>
      <c r="D304" s="17"/>
      <c r="E304" s="17"/>
    </row>
    <row r="305" spans="2:5">
      <c r="B305" s="17"/>
      <c r="C305" s="17"/>
      <c r="D305" s="17"/>
      <c r="E305" s="17"/>
    </row>
    <row r="306" spans="2:5">
      <c r="B306" s="17"/>
      <c r="C306" s="17"/>
      <c r="D306" s="17"/>
      <c r="E306" s="17"/>
    </row>
    <row r="307" spans="2:5">
      <c r="B307" s="17"/>
      <c r="C307" s="17"/>
      <c r="D307" s="17"/>
      <c r="E307" s="1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E2011-8865-4B9D-8C2E-98FAF5E69BD6}">
  <sheetPr codeName="Hoja16">
    <tabColor rgb="FF1B4332"/>
  </sheetPr>
  <dimension ref="A1:S34"/>
  <sheetViews>
    <sheetView showGridLines="0" workbookViewId="0">
      <pane ySplit="1" topLeftCell="A2" activePane="bottomLeft" state="frozen"/>
      <selection pane="bottomLeft" activeCell="F33" sqref="F33"/>
    </sheetView>
    <sheetView workbookViewId="1"/>
  </sheetViews>
  <sheetFormatPr baseColWidth="10" defaultColWidth="11" defaultRowHeight="15"/>
  <cols>
    <col min="1" max="1" width="9.125" style="1" customWidth="1"/>
    <col min="2" max="2" width="15" style="43" customWidth="1"/>
    <col min="3" max="3" width="15" style="1" customWidth="1"/>
    <col min="4" max="4" width="17.625" style="1" bestFit="1" customWidth="1"/>
    <col min="5" max="7" width="15" style="1" customWidth="1"/>
    <col min="8" max="8" width="11" style="1"/>
    <col min="9" max="9" width="12.375" style="1" bestFit="1" customWidth="1"/>
    <col min="10" max="16384" width="11" style="1"/>
  </cols>
  <sheetData>
    <row r="1" spans="1:9" ht="21.95" customHeight="1">
      <c r="A1" s="169" t="s">
        <v>4105</v>
      </c>
      <c r="B1" s="96"/>
      <c r="C1" s="82"/>
      <c r="D1" s="82"/>
      <c r="E1" s="82"/>
      <c r="F1" s="82"/>
      <c r="G1" s="82"/>
      <c r="H1" s="80"/>
      <c r="I1" s="18"/>
    </row>
    <row r="2" spans="1:9" ht="21.95" customHeight="1">
      <c r="A2" s="323" t="s">
        <v>52</v>
      </c>
      <c r="B2" s="323" t="s">
        <v>4126</v>
      </c>
      <c r="C2" s="323" t="s">
        <v>4090</v>
      </c>
      <c r="D2" s="323" t="s">
        <v>4366</v>
      </c>
      <c r="E2" s="323" t="s">
        <v>4106</v>
      </c>
      <c r="F2" s="323" t="s">
        <v>4107</v>
      </c>
      <c r="G2" s="88"/>
      <c r="H2" s="323" t="s">
        <v>4108</v>
      </c>
    </row>
    <row r="3" spans="1:9">
      <c r="A3" s="341">
        <v>1</v>
      </c>
      <c r="B3" s="342">
        <f>IFERROR(VLOOKUP(A3,Entradas_calculos!$B$2:$C$32,2,FALSE),0)</f>
        <v>21007736.725995515</v>
      </c>
      <c r="C3" s="342"/>
      <c r="D3" s="342">
        <f>(B3+C3)</f>
        <v>21007736.725995515</v>
      </c>
      <c r="E3" s="343">
        <f>IF(A3&gt;Entradas_calculos!$K$2,"",Entradas_calculos!$K$2-A3)</f>
        <v>5</v>
      </c>
      <c r="F3" s="342">
        <f>IFERROR(D3*(1+$H$3)^E3,0)</f>
        <v>31533643.773438472</v>
      </c>
      <c r="G3" s="88"/>
      <c r="H3" s="344">
        <f>Entradas_Tasas!$F$57</f>
        <v>8.4623421027637979E-2</v>
      </c>
    </row>
    <row r="4" spans="1:9">
      <c r="A4" s="341">
        <v>2</v>
      </c>
      <c r="B4" s="342">
        <f>IFERROR(VLOOKUP(A4,Entradas_calculos!$B$2:$C$32,2,FALSE),0)</f>
        <v>16737023.530207679</v>
      </c>
      <c r="C4" s="342"/>
      <c r="D4" s="342">
        <f t="shared" ref="D4:D5" si="0">(B4+C4)</f>
        <v>16737023.530207679</v>
      </c>
      <c r="E4" s="343">
        <f>IF(A4&gt;Entradas_calculos!$K$2,"",Entradas_calculos!$K$2-A4)</f>
        <v>4</v>
      </c>
      <c r="F4" s="342">
        <f t="shared" ref="F4:F32" si="1">IFERROR(D4*(1+$H$3)^E4,0)</f>
        <v>23162964.394520216</v>
      </c>
      <c r="G4" s="88"/>
      <c r="H4" s="88"/>
    </row>
    <row r="5" spans="1:9">
      <c r="A5" s="341">
        <v>3</v>
      </c>
      <c r="B5" s="342">
        <f>IFERROR(VLOOKUP(A5,Entradas_calculos!$B$2:$C$32,2,FALSE),0)</f>
        <v>16737023.530207679</v>
      </c>
      <c r="C5" s="342"/>
      <c r="D5" s="342">
        <f t="shared" si="0"/>
        <v>16737023.530207679</v>
      </c>
      <c r="E5" s="343">
        <f>IF(A5&gt;Entradas_calculos!$K$2,"",Entradas_calculos!$K$2-A5)</f>
        <v>3</v>
      </c>
      <c r="F5" s="342">
        <f t="shared" si="1"/>
        <v>21355766.384404846</v>
      </c>
      <c r="G5" s="88"/>
      <c r="H5" s="88"/>
    </row>
    <row r="6" spans="1:9">
      <c r="A6" s="341">
        <v>4</v>
      </c>
      <c r="B6" s="342">
        <f>IFERROR(VLOOKUP(A6,Entradas_calculos!$B$2:$C$32,2,FALSE),0)</f>
        <v>16737023.530207679</v>
      </c>
      <c r="C6" s="342"/>
      <c r="D6" s="342">
        <f t="shared" ref="D6:D32" si="2">IFERROR(B6+C6,0)</f>
        <v>16737023.530207679</v>
      </c>
      <c r="E6" s="343">
        <f>IF(A6&gt;Entradas_calculos!$K$2,"",Entradas_calculos!$K$2-A6)</f>
        <v>2</v>
      </c>
      <c r="F6" s="342">
        <f t="shared" si="1"/>
        <v>19689567.798721422</v>
      </c>
      <c r="G6" s="88"/>
      <c r="H6" s="88"/>
    </row>
    <row r="7" spans="1:9">
      <c r="A7" s="341">
        <v>5</v>
      </c>
      <c r="B7" s="342">
        <f>IFERROR(VLOOKUP(A7,Entradas_calculos!$B$2:$C$32,2,FALSE),0)</f>
        <v>16737023.530207679</v>
      </c>
      <c r="C7" s="342"/>
      <c r="D7" s="342">
        <f t="shared" si="2"/>
        <v>16737023.530207679</v>
      </c>
      <c r="E7" s="343">
        <f>IF(A7&gt;Entradas_calculos!$K$2,"",Entradas_calculos!$K$2-A7)</f>
        <v>1</v>
      </c>
      <c r="F7" s="342">
        <f t="shared" si="1"/>
        <v>18153367.719153926</v>
      </c>
      <c r="G7" s="88"/>
      <c r="H7" s="88"/>
    </row>
    <row r="8" spans="1:9">
      <c r="A8" s="341">
        <v>6</v>
      </c>
      <c r="B8" s="342">
        <f>IFERROR(VLOOKUP(A8,Entradas_calculos!$B$2:$C$32,2,FALSE),0)</f>
        <v>18097823.530207679</v>
      </c>
      <c r="C8" s="342"/>
      <c r="D8" s="342">
        <f t="shared" si="2"/>
        <v>18097823.530207679</v>
      </c>
      <c r="E8" s="343">
        <f>IF(A8&gt;Entradas_calculos!$K$2,"",Entradas_calculos!$K$2-A8)</f>
        <v>0</v>
      </c>
      <c r="F8" s="342">
        <f t="shared" si="1"/>
        <v>18097823.530207679</v>
      </c>
      <c r="G8" s="88"/>
      <c r="H8" s="88"/>
    </row>
    <row r="9" spans="1:9">
      <c r="A9" s="341">
        <v>7</v>
      </c>
      <c r="B9" s="342" t="str">
        <f>IFERROR(VLOOKUP(A9,Entradas_calculos!$B$2:$C$32,2,FALSE),0)</f>
        <v/>
      </c>
      <c r="C9" s="342"/>
      <c r="D9" s="342">
        <f t="shared" si="2"/>
        <v>0</v>
      </c>
      <c r="E9" s="343" t="str">
        <f>IF(A9&gt;Entradas_calculos!$K$2,"",Entradas_calculos!$K$2-A9)</f>
        <v/>
      </c>
      <c r="F9" s="342">
        <f t="shared" si="1"/>
        <v>0</v>
      </c>
      <c r="G9" s="88"/>
      <c r="H9" s="88"/>
    </row>
    <row r="10" spans="1:9">
      <c r="A10" s="341">
        <v>8</v>
      </c>
      <c r="B10" s="342" t="str">
        <f>IFERROR(VLOOKUP(A10,Entradas_calculos!$B$2:$C$32,2,FALSE),0)</f>
        <v/>
      </c>
      <c r="C10" s="342"/>
      <c r="D10" s="342">
        <f t="shared" si="2"/>
        <v>0</v>
      </c>
      <c r="E10" s="343" t="str">
        <f>IF(A10&gt;Entradas_calculos!$K$2,"",Entradas_calculos!$K$2-A10)</f>
        <v/>
      </c>
      <c r="F10" s="342">
        <f t="shared" si="1"/>
        <v>0</v>
      </c>
      <c r="G10" s="88"/>
      <c r="H10" s="88"/>
    </row>
    <row r="11" spans="1:9">
      <c r="A11" s="341">
        <v>9</v>
      </c>
      <c r="B11" s="342" t="str">
        <f>IFERROR(VLOOKUP(A11,Entradas_calculos!$B$2:$C$32,2,FALSE),0)</f>
        <v/>
      </c>
      <c r="C11" s="342"/>
      <c r="D11" s="342">
        <f t="shared" si="2"/>
        <v>0</v>
      </c>
      <c r="E11" s="343" t="str">
        <f>IF(A11&gt;Entradas_calculos!$K$2,"",Entradas_calculos!$K$2-A11)</f>
        <v/>
      </c>
      <c r="F11" s="342">
        <f t="shared" si="1"/>
        <v>0</v>
      </c>
      <c r="G11" s="88"/>
      <c r="H11" s="88"/>
      <c r="I11" s="16"/>
    </row>
    <row r="12" spans="1:9">
      <c r="A12" s="341">
        <v>10</v>
      </c>
      <c r="B12" s="342" t="str">
        <f>IFERROR(VLOOKUP(A12,Entradas_calculos!$B$2:$C$32,2,FALSE),0)</f>
        <v/>
      </c>
      <c r="C12" s="342"/>
      <c r="D12" s="342">
        <f t="shared" si="2"/>
        <v>0</v>
      </c>
      <c r="E12" s="343" t="str">
        <f>IF(A12&gt;Entradas_calculos!$K$2,"",Entradas_calculos!$K$2-A12)</f>
        <v/>
      </c>
      <c r="F12" s="342">
        <f t="shared" si="1"/>
        <v>0</v>
      </c>
      <c r="G12" s="88"/>
      <c r="H12" s="88"/>
    </row>
    <row r="13" spans="1:9">
      <c r="A13" s="341">
        <v>11</v>
      </c>
      <c r="B13" s="342" t="str">
        <f>IFERROR(VLOOKUP(A13,Entradas_calculos!$B$2:$C$32,2,FALSE),0)</f>
        <v/>
      </c>
      <c r="C13" s="342"/>
      <c r="D13" s="342">
        <f t="shared" si="2"/>
        <v>0</v>
      </c>
      <c r="E13" s="343" t="str">
        <f>IF(A13&gt;Entradas_calculos!$K$2,"",Entradas_calculos!$K$2-A13)</f>
        <v/>
      </c>
      <c r="F13" s="342">
        <f t="shared" si="1"/>
        <v>0</v>
      </c>
      <c r="G13" s="88"/>
      <c r="H13" s="88"/>
    </row>
    <row r="14" spans="1:9">
      <c r="A14" s="341">
        <v>12</v>
      </c>
      <c r="B14" s="342" t="str">
        <f>IFERROR(VLOOKUP(A14,Entradas_calculos!$B$2:$C$32,2,FALSE),0)</f>
        <v/>
      </c>
      <c r="C14" s="342"/>
      <c r="D14" s="342">
        <f t="shared" si="2"/>
        <v>0</v>
      </c>
      <c r="E14" s="343" t="str">
        <f>IF(A14&gt;Entradas_calculos!$K$2,"",Entradas_calculos!$K$2-A14)</f>
        <v/>
      </c>
      <c r="F14" s="342">
        <f t="shared" si="1"/>
        <v>0</v>
      </c>
      <c r="G14" s="88"/>
      <c r="H14" s="88"/>
    </row>
    <row r="15" spans="1:9">
      <c r="A15" s="341">
        <v>13</v>
      </c>
      <c r="B15" s="342" t="str">
        <f>IFERROR(VLOOKUP(A15,Entradas_calculos!$B$2:$C$32,2,FALSE),0)</f>
        <v/>
      </c>
      <c r="C15" s="342"/>
      <c r="D15" s="342">
        <f t="shared" si="2"/>
        <v>0</v>
      </c>
      <c r="E15" s="343" t="str">
        <f>IF(A15&gt;Entradas_calculos!$K$2,"",Entradas_calculos!$K$2-A15)</f>
        <v/>
      </c>
      <c r="F15" s="342">
        <f t="shared" si="1"/>
        <v>0</v>
      </c>
      <c r="G15" s="88"/>
      <c r="H15" s="88"/>
    </row>
    <row r="16" spans="1:9">
      <c r="A16" s="341">
        <v>14</v>
      </c>
      <c r="B16" s="342" t="str">
        <f>IFERROR(VLOOKUP(A16,Entradas_calculos!$B$2:$C$32,2,FALSE),0)</f>
        <v/>
      </c>
      <c r="C16" s="342"/>
      <c r="D16" s="342">
        <f t="shared" si="2"/>
        <v>0</v>
      </c>
      <c r="E16" s="343" t="str">
        <f>IF(A16&gt;Entradas_calculos!$K$2,"",Entradas_calculos!$K$2-A16)</f>
        <v/>
      </c>
      <c r="F16" s="342">
        <f t="shared" si="1"/>
        <v>0</v>
      </c>
      <c r="G16" s="88"/>
      <c r="H16" s="88"/>
    </row>
    <row r="17" spans="1:19">
      <c r="A17" s="341">
        <v>15</v>
      </c>
      <c r="B17" s="342" t="str">
        <f>IFERROR(VLOOKUP(A17,Entradas_calculos!$B$2:$C$32,2,FALSE),0)</f>
        <v/>
      </c>
      <c r="C17" s="342"/>
      <c r="D17" s="342">
        <f t="shared" si="2"/>
        <v>0</v>
      </c>
      <c r="E17" s="343" t="str">
        <f>IF(A17&gt;Entradas_calculos!$K$2,"",Entradas_calculos!$K$2-A17)</f>
        <v/>
      </c>
      <c r="F17" s="342">
        <f t="shared" si="1"/>
        <v>0</v>
      </c>
      <c r="G17" s="88"/>
      <c r="H17" s="88"/>
      <c r="P17" s="14"/>
      <c r="Q17" s="15"/>
      <c r="R17" s="15"/>
      <c r="S17" s="15"/>
    </row>
    <row r="18" spans="1:19">
      <c r="A18" s="341">
        <v>16</v>
      </c>
      <c r="B18" s="342" t="str">
        <f>IFERROR(VLOOKUP(A18,Entradas_calculos!$B$2:$C$32,2,FALSE),0)</f>
        <v/>
      </c>
      <c r="C18" s="342"/>
      <c r="D18" s="342">
        <f t="shared" si="2"/>
        <v>0</v>
      </c>
      <c r="E18" s="343" t="str">
        <f>IF(A18&gt;Entradas_calculos!$K$2,"",Entradas_calculos!$K$2-A18)</f>
        <v/>
      </c>
      <c r="F18" s="342">
        <f t="shared" si="1"/>
        <v>0</v>
      </c>
      <c r="G18" s="88"/>
      <c r="H18" s="88"/>
    </row>
    <row r="19" spans="1:19">
      <c r="A19" s="341">
        <v>17</v>
      </c>
      <c r="B19" s="342" t="str">
        <f>IFERROR(VLOOKUP(A19,Entradas_calculos!$B$2:$C$32,2,FALSE),0)</f>
        <v/>
      </c>
      <c r="C19" s="342"/>
      <c r="D19" s="342">
        <f t="shared" si="2"/>
        <v>0</v>
      </c>
      <c r="E19" s="343" t="str">
        <f>IF(A19&gt;Entradas_calculos!$K$2,"",Entradas_calculos!$K$2-A19)</f>
        <v/>
      </c>
      <c r="F19" s="342">
        <f t="shared" si="1"/>
        <v>0</v>
      </c>
      <c r="G19" s="88"/>
      <c r="H19" s="88"/>
    </row>
    <row r="20" spans="1:19">
      <c r="A20" s="341">
        <v>18</v>
      </c>
      <c r="B20" s="342" t="str">
        <f>IFERROR(VLOOKUP(A20,Entradas_calculos!$B$2:$C$32,2,FALSE),0)</f>
        <v/>
      </c>
      <c r="C20" s="342"/>
      <c r="D20" s="342">
        <f t="shared" si="2"/>
        <v>0</v>
      </c>
      <c r="E20" s="343" t="str">
        <f>IF(A20&gt;Entradas_calculos!$K$2,"",Entradas_calculos!$K$2-A20)</f>
        <v/>
      </c>
      <c r="F20" s="342">
        <f t="shared" si="1"/>
        <v>0</v>
      </c>
      <c r="G20" s="88"/>
      <c r="H20" s="88"/>
    </row>
    <row r="21" spans="1:19">
      <c r="A21" s="341">
        <v>19</v>
      </c>
      <c r="B21" s="342" t="str">
        <f>IFERROR(VLOOKUP(A21,Entradas_calculos!$B$2:$C$32,2,FALSE),0)</f>
        <v/>
      </c>
      <c r="C21" s="342"/>
      <c r="D21" s="342">
        <f t="shared" si="2"/>
        <v>0</v>
      </c>
      <c r="E21" s="343" t="str">
        <f>IF(A21&gt;Entradas_calculos!$K$2,"",Entradas_calculos!$K$2-A21)</f>
        <v/>
      </c>
      <c r="F21" s="342">
        <f t="shared" si="1"/>
        <v>0</v>
      </c>
      <c r="G21" s="88"/>
      <c r="H21" s="88"/>
    </row>
    <row r="22" spans="1:19">
      <c r="A22" s="341">
        <v>20</v>
      </c>
      <c r="B22" s="342" t="str">
        <f>IFERROR(VLOOKUP(A22,Entradas_calculos!$B$2:$C$32,2,FALSE),0)</f>
        <v/>
      </c>
      <c r="C22" s="342"/>
      <c r="D22" s="342">
        <f t="shared" si="2"/>
        <v>0</v>
      </c>
      <c r="E22" s="343" t="str">
        <f>IF(A22&gt;Entradas_calculos!$K$2,"",Entradas_calculos!$K$2-A22)</f>
        <v/>
      </c>
      <c r="F22" s="342">
        <f t="shared" si="1"/>
        <v>0</v>
      </c>
      <c r="G22" s="88"/>
      <c r="H22" s="88"/>
    </row>
    <row r="23" spans="1:19">
      <c r="A23" s="341">
        <v>21</v>
      </c>
      <c r="B23" s="342" t="str">
        <f>IFERROR(VLOOKUP(A23,Entradas_calculos!$B$2:$C$32,2,FALSE),0)</f>
        <v/>
      </c>
      <c r="C23" s="342"/>
      <c r="D23" s="342">
        <f t="shared" si="2"/>
        <v>0</v>
      </c>
      <c r="E23" s="343" t="str">
        <f>IF(A23&gt;Entradas_calculos!$K$2,"",Entradas_calculos!$K$2-A23)</f>
        <v/>
      </c>
      <c r="F23" s="342">
        <f t="shared" si="1"/>
        <v>0</v>
      </c>
      <c r="G23" s="88"/>
      <c r="H23" s="88"/>
    </row>
    <row r="24" spans="1:19">
      <c r="A24" s="341">
        <v>22</v>
      </c>
      <c r="B24" s="342" t="str">
        <f>IFERROR(VLOOKUP(A24,Entradas_calculos!$B$2:$C$32,2,FALSE),0)</f>
        <v/>
      </c>
      <c r="C24" s="342"/>
      <c r="D24" s="342">
        <f t="shared" si="2"/>
        <v>0</v>
      </c>
      <c r="E24" s="343" t="str">
        <f>IF(A24&gt;Entradas_calculos!$K$2,"",Entradas_calculos!$K$2-A24)</f>
        <v/>
      </c>
      <c r="F24" s="342">
        <f t="shared" si="1"/>
        <v>0</v>
      </c>
      <c r="G24" s="88"/>
      <c r="H24" s="88"/>
    </row>
    <row r="25" spans="1:19">
      <c r="A25" s="341">
        <v>23</v>
      </c>
      <c r="B25" s="342" t="str">
        <f>IFERROR(VLOOKUP(A25,Entradas_calculos!$B$2:$C$32,2,FALSE),0)</f>
        <v/>
      </c>
      <c r="C25" s="342"/>
      <c r="D25" s="342">
        <f t="shared" si="2"/>
        <v>0</v>
      </c>
      <c r="E25" s="343" t="str">
        <f>IF(A25&gt;Entradas_calculos!$K$2,"",Entradas_calculos!$K$2-A25)</f>
        <v/>
      </c>
      <c r="F25" s="342">
        <f t="shared" si="1"/>
        <v>0</v>
      </c>
      <c r="G25" s="88"/>
      <c r="H25" s="88"/>
    </row>
    <row r="26" spans="1:19">
      <c r="A26" s="341">
        <v>24</v>
      </c>
      <c r="B26" s="342" t="str">
        <f>IFERROR(VLOOKUP(A26,Entradas_calculos!$B$2:$C$32,2,FALSE),0)</f>
        <v/>
      </c>
      <c r="C26" s="342"/>
      <c r="D26" s="342">
        <f t="shared" si="2"/>
        <v>0</v>
      </c>
      <c r="E26" s="343" t="str">
        <f>IF(A26&gt;Entradas_calculos!$K$2,"",Entradas_calculos!$K$2-A26)</f>
        <v/>
      </c>
      <c r="F26" s="342">
        <f t="shared" si="1"/>
        <v>0</v>
      </c>
      <c r="G26" s="88"/>
      <c r="H26" s="88"/>
    </row>
    <row r="27" spans="1:19">
      <c r="A27" s="341">
        <v>25</v>
      </c>
      <c r="B27" s="342" t="str">
        <f>IFERROR(VLOOKUP(A27,Entradas_calculos!$B$2:$C$32,2,FALSE),0)</f>
        <v/>
      </c>
      <c r="C27" s="342"/>
      <c r="D27" s="342">
        <f t="shared" si="2"/>
        <v>0</v>
      </c>
      <c r="E27" s="343" t="str">
        <f>IF(A27&gt;Entradas_calculos!$K$2,"",Entradas_calculos!$K$2-A27)</f>
        <v/>
      </c>
      <c r="F27" s="342">
        <f t="shared" si="1"/>
        <v>0</v>
      </c>
      <c r="G27" s="88"/>
      <c r="H27" s="88"/>
    </row>
    <row r="28" spans="1:19">
      <c r="A28" s="341">
        <v>26</v>
      </c>
      <c r="B28" s="342" t="str">
        <f>IFERROR(VLOOKUP(A28,Entradas_calculos!$B$2:$C$32,2,FALSE),0)</f>
        <v/>
      </c>
      <c r="C28" s="342"/>
      <c r="D28" s="342">
        <f t="shared" si="2"/>
        <v>0</v>
      </c>
      <c r="E28" s="343" t="str">
        <f>IF(A28&gt;Entradas_calculos!$K$2,"",Entradas_calculos!$K$2-A28)</f>
        <v/>
      </c>
      <c r="F28" s="342">
        <f t="shared" si="1"/>
        <v>0</v>
      </c>
      <c r="G28" s="88"/>
      <c r="H28" s="88"/>
    </row>
    <row r="29" spans="1:19">
      <c r="A29" s="341">
        <v>27</v>
      </c>
      <c r="B29" s="342" t="str">
        <f>IFERROR(VLOOKUP(A29,Entradas_calculos!$B$2:$C$32,2,FALSE),0)</f>
        <v/>
      </c>
      <c r="C29" s="342"/>
      <c r="D29" s="342">
        <f t="shared" si="2"/>
        <v>0</v>
      </c>
      <c r="E29" s="343" t="str">
        <f>IF(A29&gt;Entradas_calculos!$K$2,"",Entradas_calculos!$K$2-A29)</f>
        <v/>
      </c>
      <c r="F29" s="342">
        <f t="shared" si="1"/>
        <v>0</v>
      </c>
      <c r="G29" s="88"/>
      <c r="H29" s="88"/>
    </row>
    <row r="30" spans="1:19">
      <c r="A30" s="341">
        <v>28</v>
      </c>
      <c r="B30" s="342" t="str">
        <f>IFERROR(VLOOKUP(A30,Entradas_calculos!$B$2:$C$32,2,FALSE),0)</f>
        <v/>
      </c>
      <c r="C30" s="342"/>
      <c r="D30" s="342">
        <f t="shared" si="2"/>
        <v>0</v>
      </c>
      <c r="E30" s="343" t="str">
        <f>IF(A30&gt;Entradas_calculos!$K$2,"",Entradas_calculos!$K$2-A30)</f>
        <v/>
      </c>
      <c r="F30" s="342">
        <f t="shared" si="1"/>
        <v>0</v>
      </c>
      <c r="G30" s="88"/>
      <c r="H30" s="88"/>
    </row>
    <row r="31" spans="1:19">
      <c r="A31" s="341">
        <v>29</v>
      </c>
      <c r="B31" s="342" t="str">
        <f>IFERROR(VLOOKUP(A31,Entradas_calculos!$B$2:$C$32,2,FALSE),0)</f>
        <v/>
      </c>
      <c r="C31" s="342"/>
      <c r="D31" s="342">
        <f t="shared" si="2"/>
        <v>0</v>
      </c>
      <c r="E31" s="343" t="str">
        <f>IF(A31&gt;Entradas_calculos!$K$2,"",Entradas_calculos!$K$2-A31)</f>
        <v/>
      </c>
      <c r="F31" s="342">
        <f t="shared" si="1"/>
        <v>0</v>
      </c>
      <c r="G31" s="88"/>
      <c r="H31" s="88"/>
    </row>
    <row r="32" spans="1:19">
      <c r="A32" s="341">
        <v>30</v>
      </c>
      <c r="B32" s="342">
        <f>IFERROR(VLOOKUP(A32,Entradas_calculos!$B$2:$C$32,2,FALSE),0)</f>
        <v>0</v>
      </c>
      <c r="C32" s="342"/>
      <c r="D32" s="342">
        <f t="shared" si="2"/>
        <v>0</v>
      </c>
      <c r="E32" s="343" t="str">
        <f>IF(A32&gt;Entradas_calculos!$K$2,"",Entradas_calculos!$K$2-A32)</f>
        <v/>
      </c>
      <c r="F32" s="342">
        <f t="shared" si="1"/>
        <v>0</v>
      </c>
      <c r="G32" s="88"/>
      <c r="H32" s="88"/>
    </row>
    <row r="33" spans="1:8">
      <c r="A33" s="88"/>
      <c r="B33" s="100"/>
      <c r="C33" s="88"/>
      <c r="D33" s="330" cm="1">
        <f t="array" ref="D33">SUMPRODUCT(ISNUMBER(E3:E32)*D3:D32)</f>
        <v>106053654.3770339</v>
      </c>
      <c r="E33" s="88"/>
      <c r="F33" s="330">
        <f>SUM(F3:F32)</f>
        <v>131993133.60044657</v>
      </c>
      <c r="G33" s="330">
        <f>F33-D33</f>
        <v>25939479.223412663</v>
      </c>
      <c r="H33" s="88"/>
    </row>
    <row r="34" spans="1:8">
      <c r="A34" s="154"/>
      <c r="B34" s="96"/>
      <c r="C34" s="154"/>
      <c r="D34" s="154"/>
      <c r="E34" s="154"/>
      <c r="F34" s="154"/>
      <c r="G34" s="154">
        <f>G33/F33</f>
        <v>0.19652142892473085</v>
      </c>
      <c r="H34" s="8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84311-B79C-4B17-90BF-114B5B3CFE3A}">
  <sheetPr codeName="Hoja14">
    <tabColor rgb="FF1B4332"/>
  </sheetPr>
  <dimension ref="A1:M35"/>
  <sheetViews>
    <sheetView showGridLines="0" workbookViewId="0">
      <pane ySplit="1" topLeftCell="A2" activePane="bottomLeft" state="frozen"/>
      <selection pane="bottomLeft" activeCell="K34" sqref="K34"/>
    </sheetView>
    <sheetView workbookViewId="1"/>
  </sheetViews>
  <sheetFormatPr baseColWidth="10" defaultColWidth="8" defaultRowHeight="15"/>
  <cols>
    <col min="1" max="1" width="4.625" style="1" bestFit="1" customWidth="1"/>
    <col min="2" max="2" width="10.5" style="1" bestFit="1" customWidth="1"/>
    <col min="3" max="3" width="9.125" style="1" bestFit="1" customWidth="1"/>
    <col min="4" max="4" width="17.625" style="13" bestFit="1" customWidth="1"/>
    <col min="5" max="5" width="10.625" style="9" bestFit="1" customWidth="1"/>
    <col min="6" max="6" width="13.625" style="9" bestFit="1" customWidth="1"/>
    <col min="7" max="7" width="10.625" style="9" bestFit="1" customWidth="1"/>
    <col min="8" max="8" width="7.125" style="1" bestFit="1" customWidth="1"/>
    <col min="9" max="9" width="6.375" style="1" bestFit="1" customWidth="1"/>
    <col min="10" max="10" width="14.375" style="1" bestFit="1" customWidth="1"/>
    <col min="11" max="11" width="13.25" style="9" bestFit="1" customWidth="1"/>
    <col min="12" max="12" width="13.625" style="1" bestFit="1" customWidth="1"/>
    <col min="13" max="13" width="20.5" style="1" hidden="1" customWidth="1"/>
    <col min="14" max="16384" width="8" style="1"/>
  </cols>
  <sheetData>
    <row r="1" spans="1:13" ht="21.95" customHeight="1">
      <c r="A1" s="179" t="s">
        <v>4066</v>
      </c>
      <c r="B1" s="179" t="s">
        <v>4087</v>
      </c>
      <c r="C1" s="179" t="s">
        <v>4088</v>
      </c>
      <c r="D1" s="179" t="s">
        <v>4089</v>
      </c>
      <c r="E1" s="179" t="s">
        <v>4083</v>
      </c>
      <c r="F1" s="179" t="s">
        <v>4090</v>
      </c>
      <c r="G1" s="179" t="s">
        <v>4091</v>
      </c>
      <c r="H1" s="179" t="s">
        <v>4092</v>
      </c>
      <c r="I1" s="179" t="s">
        <v>4093</v>
      </c>
      <c r="J1" s="179" t="s">
        <v>4094</v>
      </c>
      <c r="K1" s="179" t="s">
        <v>4095</v>
      </c>
      <c r="L1" s="179" t="s">
        <v>4096</v>
      </c>
      <c r="M1" s="179" t="s">
        <v>4097</v>
      </c>
    </row>
    <row r="2" spans="1:13">
      <c r="A2" s="88">
        <v>1</v>
      </c>
      <c r="B2" s="88">
        <f>IFERROR(VLOOKUP(A2,Entradas_calculos!$E$3:$F$32,2,FALSE),0)</f>
        <v>10450</v>
      </c>
      <c r="C2" s="328">
        <f>Entradas_calculos!$K$3</f>
        <v>4000</v>
      </c>
      <c r="D2" s="152">
        <f>IFERROR(B2*C2,0)</f>
        <v>41800000</v>
      </c>
      <c r="E2" s="152">
        <f>IFERROR(VLOOKUP(A2,Entradas_calculos!$B$3:$C$32,2,FALSE),0)</f>
        <v>21007736.725995515</v>
      </c>
      <c r="F2" s="152">
        <f>+IF(AND(A2&lt;=Amortización!$B$3,A2-Amortización!$B$4&gt;0),IFERROR(VLOOKUP(A2,Amortización!$A$8:$B$32,2,FALSE),0),0)</f>
        <v>0</v>
      </c>
      <c r="G2" s="152">
        <f>IFERROR(D2-E2-F2,0)</f>
        <v>20792263.274004485</v>
      </c>
      <c r="H2" s="88" t="str">
        <f>IF(A2&lt;Entradas_calculos!$K$2,"",A2-Entradas_calculos!$K$2+1)</f>
        <v/>
      </c>
      <c r="I2" s="88">
        <f>Entradas_calculos!$K$4</f>
        <v>8.4623421027637979E-2</v>
      </c>
      <c r="J2" s="329" t="str">
        <f t="shared" ref="J2:J3" si="0">IF(H2="","",(1+I2)^H2)</f>
        <v/>
      </c>
      <c r="K2" s="277">
        <f t="shared" ref="K2:K26" si="1">IF(J2="",0,G2/J2)</f>
        <v>0</v>
      </c>
      <c r="L2" s="330">
        <f>+NPV(Entradas_calculos!$K$4,G2:G31)</f>
        <v>183359996.65097311</v>
      </c>
      <c r="M2" s="88"/>
    </row>
    <row r="3" spans="1:13">
      <c r="A3" s="88">
        <v>2</v>
      </c>
      <c r="B3" s="88">
        <f>IFERROR(VLOOKUP(A3,Entradas_calculos!$E$3:$F$32,2,FALSE),0)</f>
        <v>17100</v>
      </c>
      <c r="C3" s="328">
        <f>Entradas_calculos!$K$3</f>
        <v>4000</v>
      </c>
      <c r="D3" s="152">
        <f t="shared" ref="D3:D21" si="2">IFERROR(B3*C3,0)</f>
        <v>68400000</v>
      </c>
      <c r="E3" s="152">
        <f>IFERROR(VLOOKUP(A3,Entradas_calculos!$B$3:$C$32,2,FALSE),0)</f>
        <v>16737023.530207679</v>
      </c>
      <c r="F3" s="152">
        <f>+IF(AND(A3&lt;=Amortización!$B$3,A3-Amortización!$B$4&gt;0),IFERROR(VLOOKUP(A3,Amortización!$A$8:$B$32,2,FALSE),0),0)</f>
        <v>0</v>
      </c>
      <c r="G3" s="152">
        <f t="shared" ref="G3:G26" si="3">IFERROR(D3-E3-F3,0)</f>
        <v>51662976.469792321</v>
      </c>
      <c r="H3" s="88" t="str">
        <f>IF(A3&lt;Entradas_calculos!$K$2,"",A3-Entradas_calculos!$K$2+1)</f>
        <v/>
      </c>
      <c r="I3" s="88">
        <f>Entradas_calculos!$K$4</f>
        <v>8.4623421027637979E-2</v>
      </c>
      <c r="J3" s="329" t="str">
        <f t="shared" si="0"/>
        <v/>
      </c>
      <c r="K3" s="277">
        <f t="shared" si="1"/>
        <v>0</v>
      </c>
      <c r="L3" s="330">
        <f>+NPV(Entradas_calculos!$K$4,G3:G31)</f>
        <v>178084283.57319018</v>
      </c>
      <c r="M3" s="88"/>
    </row>
    <row r="4" spans="1:13">
      <c r="A4" s="88">
        <v>3</v>
      </c>
      <c r="B4" s="88">
        <f>IFERROR(VLOOKUP(A4,Entradas_calculos!$E$3:$F$32,2,FALSE),0)</f>
        <v>16245</v>
      </c>
      <c r="C4" s="333">
        <f>Entradas_calculos!$K$3</f>
        <v>4000</v>
      </c>
      <c r="D4" s="152">
        <f t="shared" si="2"/>
        <v>64980000</v>
      </c>
      <c r="E4" s="152">
        <f>IFERROR(VLOOKUP(A4,Entradas_calculos!$B$3:$C$32,2,FALSE),0)</f>
        <v>16737023.530207679</v>
      </c>
      <c r="F4" s="152">
        <f>+IF(AND(A4&lt;=Amortización!$B$3,A4-Amortización!$B$4&gt;0),IFERROR(VLOOKUP(A4,Amortización!$A$8:$B$32,2,FALSE),0),0)</f>
        <v>0</v>
      </c>
      <c r="G4" s="152">
        <f t="shared" si="3"/>
        <v>48242976.469792321</v>
      </c>
      <c r="H4" s="88" t="str">
        <f>IF(A4&lt;Entradas_calculos!$K$2,"",A4-Entradas_calculos!$K$2+1)</f>
        <v/>
      </c>
      <c r="I4" s="88">
        <f>Entradas_calculos!$K$4</f>
        <v>8.4623421027637979E-2</v>
      </c>
      <c r="J4" s="329" t="str">
        <f>IF(H4="","",(1+I4)^H4)</f>
        <v/>
      </c>
      <c r="K4" s="277">
        <f t="shared" si="1"/>
        <v>0</v>
      </c>
      <c r="L4" s="330">
        <f>+NPV(Entradas_calculos!$K$4,G4:G31)</f>
        <v>141491408.41061723</v>
      </c>
      <c r="M4" s="197" t="str">
        <f>IF(H4="","",L4/((1+Entradas_calculos!$K$4)^H4))</f>
        <v/>
      </c>
    </row>
    <row r="5" spans="1:13">
      <c r="A5" s="88">
        <v>4</v>
      </c>
      <c r="B5" s="88">
        <f>IFERROR(VLOOKUP(A5,Entradas_calculos!$E$3:$F$32,2,FALSE),0)</f>
        <v>15390</v>
      </c>
      <c r="C5" s="328">
        <f>Entradas_calculos!$K$3</f>
        <v>4000</v>
      </c>
      <c r="D5" s="152">
        <f t="shared" si="2"/>
        <v>61560000</v>
      </c>
      <c r="E5" s="152">
        <f>IFERROR(VLOOKUP(A5,Entradas_calculos!$B$3:$C$32,2,FALSE),0)</f>
        <v>16737023.530207679</v>
      </c>
      <c r="F5" s="152">
        <f>+IF(AND(A5&lt;=Amortización!$B$3,A5-Amortización!$B$4&gt;0),IFERROR(VLOOKUP(A5,Amortización!$A$8:$B$32,2,FALSE),0),0)</f>
        <v>0</v>
      </c>
      <c r="G5" s="152">
        <f t="shared" si="3"/>
        <v>44822976.469792321</v>
      </c>
      <c r="H5" s="88" t="str">
        <f>IF(A5&lt;Entradas_calculos!$K$2,"",A5-Entradas_calculos!$K$2+1)</f>
        <v/>
      </c>
      <c r="I5" s="88">
        <f>Entradas_calculos!$K$4</f>
        <v>8.4623421027637979E-2</v>
      </c>
      <c r="J5" s="329" t="str">
        <f t="shared" ref="J5:J31" si="4">IF(H5="","",(1+I5)^H5)</f>
        <v/>
      </c>
      <c r="K5" s="277">
        <f t="shared" si="1"/>
        <v>0</v>
      </c>
      <c r="L5" s="330">
        <f>+NPV(Entradas_calculos!$K$4,G5:G31)</f>
        <v>105221918.96655005</v>
      </c>
      <c r="M5" s="197" t="str">
        <f>IF(H5="","",L5/((1+Entradas_calculos!$K$4)^H5))</f>
        <v/>
      </c>
    </row>
    <row r="6" spans="1:13">
      <c r="A6" s="88">
        <v>5</v>
      </c>
      <c r="B6" s="88">
        <f>IFERROR(VLOOKUP(A6,Entradas_calculos!$E$3:$F$32,2,FALSE),0)</f>
        <v>14535</v>
      </c>
      <c r="C6" s="328">
        <f>Entradas_calculos!$K$3</f>
        <v>4000</v>
      </c>
      <c r="D6" s="152">
        <f t="shared" si="2"/>
        <v>58140000</v>
      </c>
      <c r="E6" s="152">
        <f>IFERROR(VLOOKUP(A6,Entradas_calculos!$B$3:$C$32,2,FALSE),0)</f>
        <v>16737023.530207679</v>
      </c>
      <c r="F6" s="152">
        <f>+IF(AND(A6&lt;=Amortización!$B$3,A6-Amortización!$B$4&gt;0),IFERROR(VLOOKUP(A6,Amortización!$A$8:$B$32,2,FALSE),0),0)</f>
        <v>0</v>
      </c>
      <c r="G6" s="152">
        <f t="shared" si="3"/>
        <v>41402976.469792321</v>
      </c>
      <c r="H6" s="88" t="str">
        <f>IF(A6&lt;Entradas_calculos!$K$2,"",A6-Entradas_calculos!$K$2+1)</f>
        <v/>
      </c>
      <c r="I6" s="88">
        <f>Entradas_calculos!$K$4</f>
        <v>8.4623421027637979E-2</v>
      </c>
      <c r="J6" s="329" t="str">
        <f t="shared" si="4"/>
        <v/>
      </c>
      <c r="K6" s="277">
        <f t="shared" si="1"/>
        <v>0</v>
      </c>
      <c r="L6" s="330">
        <f>+NPV(Entradas_calculos!$K$4,G6:G31)</f>
        <v>69303181.24680011</v>
      </c>
      <c r="M6" s="197" t="str">
        <f>IF(H6="","",L6/((1+Entradas_calculos!$K$4)^H6))</f>
        <v/>
      </c>
    </row>
    <row r="7" spans="1:13">
      <c r="A7" s="88">
        <v>6</v>
      </c>
      <c r="B7" s="88">
        <f>IFERROR(VLOOKUP(A7,Entradas_calculos!$E$3:$F$32,2,FALSE),0)</f>
        <v>13680</v>
      </c>
      <c r="C7" s="328">
        <f>Entradas_calculos!$K$3</f>
        <v>4000</v>
      </c>
      <c r="D7" s="152">
        <f t="shared" si="2"/>
        <v>54720000</v>
      </c>
      <c r="E7" s="152">
        <f>IFERROR(VLOOKUP(A7,Entradas_calculos!$B$3:$C$32,2,FALSE),0)</f>
        <v>18097823.530207679</v>
      </c>
      <c r="F7" s="152">
        <f>+IF(AND(A7&lt;=Amortización!$B$3,A7-Amortización!$B$4&gt;0),IFERROR(VLOOKUP(A7,Amortización!$A$8:$B$32,2,FALSE),0),0)</f>
        <v>0</v>
      </c>
      <c r="G7" s="152">
        <f t="shared" si="3"/>
        <v>36622176.469792321</v>
      </c>
      <c r="H7" s="88">
        <f>IF(A7&lt;Entradas_calculos!$K$2,"",A7-Entradas_calculos!$K$2+1)</f>
        <v>1</v>
      </c>
      <c r="I7" s="88">
        <f>Entradas_calculos!$K$4</f>
        <v>8.4623421027637979E-2</v>
      </c>
      <c r="J7" s="329">
        <f t="shared" si="4"/>
        <v>1.084623421027638</v>
      </c>
      <c r="K7" s="277">
        <f t="shared" si="1"/>
        <v>33764877.062210448</v>
      </c>
      <c r="L7" s="330">
        <f>+NPV(Entradas_calculos!$K$4,G7:G31)</f>
        <v>33764877.062210448</v>
      </c>
      <c r="M7" s="197">
        <f>IF(H7="","",L7/((1+Entradas_calculos!$K$4)^H7))</f>
        <v>31130507.056743763</v>
      </c>
    </row>
    <row r="8" spans="1:13">
      <c r="A8" s="88">
        <v>7</v>
      </c>
      <c r="B8" s="88" t="str">
        <f>IFERROR(VLOOKUP(A8,Entradas_calculos!$E$3:$F$32,2,FALSE),0)</f>
        <v/>
      </c>
      <c r="C8" s="328">
        <f>Entradas_calculos!$K$3</f>
        <v>4000</v>
      </c>
      <c r="D8" s="152">
        <f t="shared" si="2"/>
        <v>0</v>
      </c>
      <c r="E8" s="152" t="str">
        <f>IFERROR(VLOOKUP(A8,Entradas_calculos!$B$3:$C$32,2,FALSE),0)</f>
        <v/>
      </c>
      <c r="F8" s="152">
        <f>+IF(AND(A8&lt;=Amortización!$B$3,A8-Amortización!$B$4&gt;0),IFERROR(VLOOKUP(A8,Amortización!$A$8:$B$32,2,FALSE),0),0)</f>
        <v>0</v>
      </c>
      <c r="G8" s="152">
        <f t="shared" si="3"/>
        <v>0</v>
      </c>
      <c r="H8" s="88">
        <f>IF(A8&lt;Entradas_calculos!$K$2,"",A8-Entradas_calculos!$K$2+1)</f>
        <v>2</v>
      </c>
      <c r="I8" s="88">
        <f>Entradas_calculos!$K$4</f>
        <v>8.4623421027637979E-2</v>
      </c>
      <c r="J8" s="329">
        <f t="shared" si="4"/>
        <v>1.1764079654416968</v>
      </c>
      <c r="K8" s="277">
        <f t="shared" si="1"/>
        <v>0</v>
      </c>
      <c r="L8" s="330">
        <f>+NPV(Entradas_calculos!$K$4,G8:G31)</f>
        <v>0</v>
      </c>
      <c r="M8" s="197">
        <f>IF(H8="","",L8/((1+Entradas_calculos!$K$4)^H8))</f>
        <v>0</v>
      </c>
    </row>
    <row r="9" spans="1:13">
      <c r="A9" s="88">
        <v>8</v>
      </c>
      <c r="B9" s="88" t="str">
        <f>IFERROR(VLOOKUP(A9,Entradas_calculos!$E$3:$F$32,2,FALSE),0)</f>
        <v/>
      </c>
      <c r="C9" s="328">
        <f>Entradas_calculos!$K$3</f>
        <v>4000</v>
      </c>
      <c r="D9" s="152">
        <f t="shared" si="2"/>
        <v>0</v>
      </c>
      <c r="E9" s="152" t="str">
        <f>IFERROR(VLOOKUP(A9,Entradas_calculos!$B$3:$C$32,2,FALSE),0)</f>
        <v/>
      </c>
      <c r="F9" s="152">
        <f>+IF(AND(A9&lt;=Amortización!$B$3,A9-Amortización!$B$4&gt;0),IFERROR(VLOOKUP(A9,Amortización!$A$8:$B$32,2,FALSE),0),0)</f>
        <v>0</v>
      </c>
      <c r="G9" s="152">
        <f t="shared" si="3"/>
        <v>0</v>
      </c>
      <c r="H9" s="88">
        <f>IF(A9&lt;Entradas_calculos!$K$2,"",A9-Entradas_calculos!$K$2+1)</f>
        <v>3</v>
      </c>
      <c r="I9" s="88">
        <f>Entradas_calculos!$K$4</f>
        <v>8.4623421027637979E-2</v>
      </c>
      <c r="J9" s="329">
        <f t="shared" si="4"/>
        <v>1.2759596320015365</v>
      </c>
      <c r="K9" s="277">
        <f t="shared" si="1"/>
        <v>0</v>
      </c>
      <c r="L9" s="330">
        <f>+NPV(Entradas_calculos!$K$4,Calculo_etapa_productiva!G9:G31)</f>
        <v>0</v>
      </c>
      <c r="M9" s="197">
        <f>IF(H9="","",L9/((1+Entradas_calculos!$K$4)^H9))</f>
        <v>0</v>
      </c>
    </row>
    <row r="10" spans="1:13">
      <c r="A10" s="88">
        <v>9</v>
      </c>
      <c r="B10" s="88" t="str">
        <f>IFERROR(VLOOKUP(A10,Entradas_calculos!$E$3:$F$32,2,FALSE),0)</f>
        <v/>
      </c>
      <c r="C10" s="328">
        <f>Entradas_calculos!$K$3</f>
        <v>4000</v>
      </c>
      <c r="D10" s="152">
        <f t="shared" si="2"/>
        <v>0</v>
      </c>
      <c r="E10" s="152" t="str">
        <f>IFERROR(VLOOKUP(A10,Entradas_calculos!$B$3:$C$32,2,FALSE),0)</f>
        <v/>
      </c>
      <c r="F10" s="152">
        <f>+IF(AND(A10&lt;=Amortización!$B$3,A10-Amortización!$B$4&gt;0),IFERROR(VLOOKUP(A10,Amortización!$A$8:$B$32,2,FALSE),0),0)</f>
        <v>0</v>
      </c>
      <c r="G10" s="152">
        <f t="shared" si="3"/>
        <v>0</v>
      </c>
      <c r="H10" s="88">
        <f>IF(A10&lt;Entradas_calculos!$K$2,"",A10-Entradas_calculos!$K$2+1)</f>
        <v>4</v>
      </c>
      <c r="I10" s="88">
        <f>Entradas_calculos!$K$4</f>
        <v>8.4623421027637979E-2</v>
      </c>
      <c r="J10" s="329">
        <f t="shared" si="4"/>
        <v>1.3839357011546725</v>
      </c>
      <c r="K10" s="277">
        <f t="shared" si="1"/>
        <v>0</v>
      </c>
      <c r="L10" s="330">
        <f>+NPV(Entradas_calculos!$K$4,Calculo_etapa_productiva!G10:G32)</f>
        <v>0</v>
      </c>
      <c r="M10" s="197">
        <f>IF(H10="","",L10/((1+Entradas_calculos!$K$4)^H10))</f>
        <v>0</v>
      </c>
    </row>
    <row r="11" spans="1:13">
      <c r="A11" s="88">
        <v>10</v>
      </c>
      <c r="B11" s="88" t="str">
        <f>IFERROR(VLOOKUP(A11,Entradas_calculos!$E$3:$F$32,2,FALSE),0)</f>
        <v/>
      </c>
      <c r="C11" s="328">
        <f>Entradas_calculos!$K$3</f>
        <v>4000</v>
      </c>
      <c r="D11" s="152">
        <f t="shared" si="2"/>
        <v>0</v>
      </c>
      <c r="E11" s="152" t="str">
        <f>IFERROR(VLOOKUP(A11,Entradas_calculos!$B$3:$C$32,2,FALSE),0)</f>
        <v/>
      </c>
      <c r="F11" s="152">
        <f>+IF(AND(A11&lt;=Amortización!$B$3,A11-Amortización!$B$4&gt;0),IFERROR(VLOOKUP(A11,Amortización!$A$8:$B$32,2,FALSE),0),0)</f>
        <v>0</v>
      </c>
      <c r="G11" s="152">
        <f t="shared" si="3"/>
        <v>0</v>
      </c>
      <c r="H11" s="88">
        <f>IF(A11&lt;Entradas_calculos!$K$2,"",A11-Entradas_calculos!$K$2+1)</f>
        <v>5</v>
      </c>
      <c r="I11" s="88">
        <f>Entradas_calculos!$K$4</f>
        <v>8.4623421027637979E-2</v>
      </c>
      <c r="J11" s="329">
        <f t="shared" si="4"/>
        <v>1.5010490746686638</v>
      </c>
      <c r="K11" s="277">
        <f>IF(J11="",0,G11/J11)</f>
        <v>0</v>
      </c>
      <c r="L11" s="330">
        <f>+NPV(Entradas_calculos!$K$4,G11:G31)</f>
        <v>0</v>
      </c>
      <c r="M11" s="328">
        <f>+L11/((1+Entradas_calculos!$K$4)^Calculo_etapa_productiva!H11)</f>
        <v>0</v>
      </c>
    </row>
    <row r="12" spans="1:13">
      <c r="A12" s="88">
        <v>11</v>
      </c>
      <c r="B12" s="88" t="str">
        <f>IFERROR(VLOOKUP(A12,Entradas_calculos!$E$3:$F$32,2,FALSE),0)</f>
        <v/>
      </c>
      <c r="C12" s="328">
        <f>Entradas_calculos!$K$3</f>
        <v>4000</v>
      </c>
      <c r="D12" s="152">
        <f t="shared" si="2"/>
        <v>0</v>
      </c>
      <c r="E12" s="152" t="str">
        <f>IFERROR(VLOOKUP(A12,Entradas_calculos!$B$3:$C$32,2,FALSE),0)</f>
        <v/>
      </c>
      <c r="F12" s="152">
        <f>+IF(AND(A12&lt;=Amortización!$B$3,A12-Amortización!$B$4&gt;0),IFERROR(VLOOKUP(A12,Amortización!$A$8:$B$32,2,FALSE),0),0)</f>
        <v>0</v>
      </c>
      <c r="G12" s="152">
        <f t="shared" si="3"/>
        <v>0</v>
      </c>
      <c r="H12" s="88">
        <f>IF(A12&lt;Entradas_calculos!$K$2,"",A12-Entradas_calculos!$K$2+1)</f>
        <v>6</v>
      </c>
      <c r="I12" s="88">
        <f>Entradas_calculos!$K$4</f>
        <v>8.4623421027637979E-2</v>
      </c>
      <c r="J12" s="329">
        <f t="shared" si="4"/>
        <v>1.6280729824974964</v>
      </c>
      <c r="K12" s="277">
        <f t="shared" si="1"/>
        <v>0</v>
      </c>
      <c r="L12" s="330">
        <f>+NPV(Entradas_calculos!$K$4,Calculo_etapa_productiva!G12:G34)</f>
        <v>0</v>
      </c>
      <c r="M12" s="328">
        <f>+L12/((1+Entradas_calculos!$K$4)^Calculo_etapa_productiva!H12)</f>
        <v>0</v>
      </c>
    </row>
    <row r="13" spans="1:13">
      <c r="A13" s="88">
        <v>12</v>
      </c>
      <c r="B13" s="88" t="str">
        <f>IFERROR(VLOOKUP(A13,Entradas_calculos!$E$3:$F$32,2,FALSE),0)</f>
        <v/>
      </c>
      <c r="C13" s="328">
        <f>Entradas_calculos!$K$3</f>
        <v>4000</v>
      </c>
      <c r="D13" s="152">
        <f t="shared" si="2"/>
        <v>0</v>
      </c>
      <c r="E13" s="152" t="str">
        <f>IFERROR(VLOOKUP(A13,Entradas_calculos!$B$3:$C$32,2,FALSE),0)</f>
        <v/>
      </c>
      <c r="F13" s="152">
        <f>+IF(AND(A13&lt;=Amortización!$B$3,A13-Amortización!$B$4&gt;0),IFERROR(VLOOKUP(A13,Amortización!$A$8:$B$32,2,FALSE),0),0)</f>
        <v>0</v>
      </c>
      <c r="G13" s="152">
        <f t="shared" si="3"/>
        <v>0</v>
      </c>
      <c r="H13" s="88">
        <f>IF(A13&lt;Entradas_calculos!$K$2,"",A13-Entradas_calculos!$K$2+1)</f>
        <v>7</v>
      </c>
      <c r="I13" s="88">
        <f>Entradas_calculos!$K$4</f>
        <v>8.4623421027637979E-2</v>
      </c>
      <c r="J13" s="329">
        <f t="shared" si="4"/>
        <v>1.7658460879591042</v>
      </c>
      <c r="K13" s="277">
        <f t="shared" si="1"/>
        <v>0</v>
      </c>
      <c r="L13" s="330">
        <f>+NPV(Entradas_calculos!$K$4,Calculo_etapa_productiva!G13:G35)</f>
        <v>0</v>
      </c>
      <c r="M13" s="328">
        <f>+L13/((1+Entradas_calculos!$K$4)^Calculo_etapa_productiva!H13)</f>
        <v>0</v>
      </c>
    </row>
    <row r="14" spans="1:13">
      <c r="A14" s="88">
        <v>13</v>
      </c>
      <c r="B14" s="88" t="str">
        <f>IFERROR(VLOOKUP(A14,Entradas_calculos!$E$3:$F$32,2,FALSE),0)</f>
        <v/>
      </c>
      <c r="C14" s="328">
        <f>Entradas_calculos!$K$3</f>
        <v>4000</v>
      </c>
      <c r="D14" s="152">
        <f t="shared" si="2"/>
        <v>0</v>
      </c>
      <c r="E14" s="152" t="str">
        <f>IFERROR(VLOOKUP(A14,Entradas_calculos!$B$3:$C$32,2,FALSE),0)</f>
        <v/>
      </c>
      <c r="F14" s="152">
        <f>+IF(AND(A14&lt;=Amortización!$B$3,A14-Amortización!$B$4&gt;0),IFERROR(VLOOKUP(A14,Amortización!$A$8:$B$32,2,FALSE),0),0)</f>
        <v>0</v>
      </c>
      <c r="G14" s="152">
        <f t="shared" si="3"/>
        <v>0</v>
      </c>
      <c r="H14" s="88">
        <f>IF(A14&lt;Entradas_calculos!$K$2,"",A14-Entradas_calculos!$K$2+1)</f>
        <v>8</v>
      </c>
      <c r="I14" s="88">
        <f>Entradas_calculos!$K$4</f>
        <v>8.4623421027637979E-2</v>
      </c>
      <c r="J14" s="329">
        <f t="shared" si="4"/>
        <v>1.9152780249304748</v>
      </c>
      <c r="K14" s="277">
        <f t="shared" si="1"/>
        <v>0</v>
      </c>
      <c r="L14" s="330">
        <f>+NPV(Entradas_calculos!$K$4,Calculo_etapa_productiva!G14:G36)</f>
        <v>0</v>
      </c>
      <c r="M14" s="328">
        <f>+L14/((1+Entradas_calculos!$K$4)^Calculo_etapa_productiva!H14)</f>
        <v>0</v>
      </c>
    </row>
    <row r="15" spans="1:13">
      <c r="A15" s="88">
        <v>14</v>
      </c>
      <c r="B15" s="88" t="str">
        <f>IFERROR(VLOOKUP(A15,Entradas_calculos!$E$3:$F$32,2,FALSE),0)</f>
        <v/>
      </c>
      <c r="C15" s="328">
        <f>Entradas_calculos!$K$3</f>
        <v>4000</v>
      </c>
      <c r="D15" s="152">
        <f t="shared" si="2"/>
        <v>0</v>
      </c>
      <c r="E15" s="152" t="str">
        <f>IFERROR(VLOOKUP(A15,Entradas_calculos!$B$3:$C$32,2,FALSE),0)</f>
        <v/>
      </c>
      <c r="F15" s="152">
        <f>+IF(AND(A15&lt;=Amortización!$B$3,A15-Amortización!$B$4&gt;0),IFERROR(VLOOKUP(A15,Amortización!$A$8:$B$32,2,FALSE),0),0)</f>
        <v>0</v>
      </c>
      <c r="G15" s="152">
        <f t="shared" si="3"/>
        <v>0</v>
      </c>
      <c r="H15" s="88">
        <f>IF(A15&lt;Entradas_calculos!$K$2,"",A15-Entradas_calculos!$K$2+1)</f>
        <v>9</v>
      </c>
      <c r="I15" s="88">
        <f>Entradas_calculos!$K$4</f>
        <v>8.4623421027637979E-2</v>
      </c>
      <c r="J15" s="329">
        <f t="shared" si="4"/>
        <v>2.0773554036191495</v>
      </c>
      <c r="K15" s="277">
        <f t="shared" si="1"/>
        <v>0</v>
      </c>
      <c r="L15" s="330">
        <f>+NPV(Entradas_calculos!$K$4,Calculo_etapa_productiva!G15:G37)</f>
        <v>0</v>
      </c>
      <c r="M15" s="328">
        <f>+L15/((1+Entradas_calculos!$K$4)^Calculo_etapa_productiva!H15)</f>
        <v>0</v>
      </c>
    </row>
    <row r="16" spans="1:13">
      <c r="A16" s="88">
        <v>15</v>
      </c>
      <c r="B16" s="88" t="str">
        <f>IFERROR(VLOOKUP(A16,Entradas_calculos!$E$3:$F$32,2,FALSE),0)</f>
        <v/>
      </c>
      <c r="C16" s="328">
        <f>Entradas_calculos!$K$3</f>
        <v>4000</v>
      </c>
      <c r="D16" s="152">
        <f t="shared" si="2"/>
        <v>0</v>
      </c>
      <c r="E16" s="152" t="str">
        <f>IFERROR(VLOOKUP(A16,Entradas_calculos!$B$3:$C$32,2,FALSE),0)</f>
        <v/>
      </c>
      <c r="F16" s="152">
        <f>+IF(AND(A16&lt;=Amortización!$B$3,A16-Amortización!$B$4&gt;0),IFERROR(VLOOKUP(A16,Amortización!$A$8:$B$32,2,FALSE),0),0)</f>
        <v>0</v>
      </c>
      <c r="G16" s="152">
        <f t="shared" si="3"/>
        <v>0</v>
      </c>
      <c r="H16" s="88">
        <f>IF(A16&lt;Entradas_calculos!$K$2,"",A16-Entradas_calculos!$K$2+1)</f>
        <v>10</v>
      </c>
      <c r="I16" s="88">
        <f>Entradas_calculos!$K$4</f>
        <v>8.4623421027637979E-2</v>
      </c>
      <c r="J16" s="329">
        <f t="shared" si="4"/>
        <v>2.2531483245636514</v>
      </c>
      <c r="K16" s="277">
        <f t="shared" si="1"/>
        <v>0</v>
      </c>
      <c r="L16" s="330">
        <f>+NPV(Entradas_calculos!$K$4,Calculo_etapa_productiva!G16:G38)</f>
        <v>0</v>
      </c>
      <c r="M16" s="328">
        <f>+L16/((1+Entradas_calculos!$K$4)^Calculo_etapa_productiva!H16)</f>
        <v>0</v>
      </c>
    </row>
    <row r="17" spans="1:13">
      <c r="A17" s="88">
        <v>16</v>
      </c>
      <c r="B17" s="88" t="str">
        <f>IFERROR(VLOOKUP(A17,Entradas_calculos!$E$3:$F$32,2,FALSE),0)</f>
        <v/>
      </c>
      <c r="C17" s="328">
        <f>Entradas_calculos!$K$3</f>
        <v>4000</v>
      </c>
      <c r="D17" s="152">
        <f t="shared" si="2"/>
        <v>0</v>
      </c>
      <c r="E17" s="152" t="str">
        <f>IFERROR(VLOOKUP(A17,Entradas_calculos!$B$3:$C$32,2,FALSE),0)</f>
        <v/>
      </c>
      <c r="F17" s="152">
        <f>+IF(AND(A17&lt;=Amortización!$B$3,A17-Amortización!$B$4&gt;0),IFERROR(VLOOKUP(A17,Amortización!$A$8:$B$32,2,FALSE),0),0)</f>
        <v>0</v>
      </c>
      <c r="G17" s="152">
        <f t="shared" si="3"/>
        <v>0</v>
      </c>
      <c r="H17" s="88">
        <f>IF(A17&lt;Entradas_calculos!$K$2,"",A17-Entradas_calculos!$K$2+1)</f>
        <v>11</v>
      </c>
      <c r="I17" s="88">
        <f>Entradas_calculos!$K$4</f>
        <v>8.4623421027637979E-2</v>
      </c>
      <c r="J17" s="329">
        <f t="shared" si="4"/>
        <v>2.4438174438709184</v>
      </c>
      <c r="K17" s="277">
        <f t="shared" si="1"/>
        <v>0</v>
      </c>
      <c r="L17" s="330">
        <f>+NPV(Entradas_calculos!$K$4,Calculo_etapa_productiva!G17:G39)</f>
        <v>0</v>
      </c>
      <c r="M17" s="328">
        <f>+L17/((1+Entradas_calculos!$K$4)^Calculo_etapa_productiva!H17)</f>
        <v>0</v>
      </c>
    </row>
    <row r="18" spans="1:13">
      <c r="A18" s="88">
        <v>17</v>
      </c>
      <c r="B18" s="88" t="str">
        <f>IFERROR(VLOOKUP(A18,Entradas_calculos!$E$3:$F$32,2,FALSE),0)</f>
        <v/>
      </c>
      <c r="C18" s="328">
        <f>Entradas_calculos!$K$3</f>
        <v>4000</v>
      </c>
      <c r="D18" s="152">
        <f t="shared" si="2"/>
        <v>0</v>
      </c>
      <c r="E18" s="152" t="str">
        <f>IFERROR(VLOOKUP(A18,Entradas_calculos!$B$3:$C$32,2,FALSE),0)</f>
        <v/>
      </c>
      <c r="F18" s="152">
        <f>+IF(AND(A18&lt;=Amortización!$B$3,A18-Amortización!$B$4&gt;0),IFERROR(VLOOKUP(A18,Amortización!$A$8:$B$32,2,FALSE),0),0)</f>
        <v>0</v>
      </c>
      <c r="G18" s="152">
        <f t="shared" si="3"/>
        <v>0</v>
      </c>
      <c r="H18" s="88">
        <f>IF(A18&lt;Entradas_calculos!$K$2,"",A18-Entradas_calculos!$K$2+1)</f>
        <v>12</v>
      </c>
      <c r="I18" s="88">
        <f>Entradas_calculos!$K$4</f>
        <v>8.4623421027637979E-2</v>
      </c>
      <c r="J18" s="329">
        <f t="shared" si="4"/>
        <v>2.6506216363382928</v>
      </c>
      <c r="K18" s="277">
        <f t="shared" si="1"/>
        <v>0</v>
      </c>
      <c r="L18" s="330">
        <f>+NPV(Entradas_calculos!$K$4,Calculo_etapa_productiva!G18:G40)</f>
        <v>0</v>
      </c>
      <c r="M18" s="328">
        <f>+L18/((1+Entradas_calculos!$K$4)^Calculo_etapa_productiva!H18)</f>
        <v>0</v>
      </c>
    </row>
    <row r="19" spans="1:13">
      <c r="A19" s="88">
        <v>18</v>
      </c>
      <c r="B19" s="88" t="str">
        <f>IFERROR(VLOOKUP(A19,Entradas_calculos!$E$3:$F$32,2,FALSE),0)</f>
        <v/>
      </c>
      <c r="C19" s="328">
        <f>Entradas_calculos!$K$3</f>
        <v>4000</v>
      </c>
      <c r="D19" s="152">
        <f t="shared" si="2"/>
        <v>0</v>
      </c>
      <c r="E19" s="152" t="str">
        <f>IFERROR(VLOOKUP(A19,Entradas_calculos!$B$3:$C$32,2,FALSE),0)</f>
        <v/>
      </c>
      <c r="F19" s="152">
        <f>+IF(AND(A19&lt;=Amortización!$B$3,A19-Amortización!$B$4&gt;0),IFERROR(VLOOKUP(A19,Amortización!$A$8:$B$32,2,FALSE),0),0)</f>
        <v>0</v>
      </c>
      <c r="G19" s="152">
        <f t="shared" si="3"/>
        <v>0</v>
      </c>
      <c r="H19" s="88">
        <f>IF(A19&lt;Entradas_calculos!$K$2,"",A19-Entradas_calculos!$K$2+1)</f>
        <v>13</v>
      </c>
      <c r="I19" s="88">
        <f>Entradas_calculos!$K$4</f>
        <v>8.4623421027637979E-2</v>
      </c>
      <c r="J19" s="329">
        <f t="shared" si="4"/>
        <v>2.874926307055115</v>
      </c>
      <c r="K19" s="277">
        <f t="shared" si="1"/>
        <v>0</v>
      </c>
      <c r="L19" s="330">
        <f>+NPV(Entradas_calculos!$K$4,Calculo_etapa_productiva!G19:G41)</f>
        <v>0</v>
      </c>
      <c r="M19" s="328">
        <f>+L19/((1+Entradas_calculos!$K$4)^Calculo_etapa_productiva!H19)</f>
        <v>0</v>
      </c>
    </row>
    <row r="20" spans="1:13">
      <c r="A20" s="88">
        <v>19</v>
      </c>
      <c r="B20" s="88" t="str">
        <f>IFERROR(VLOOKUP(A20,Entradas_calculos!$E$3:$F$32,2,FALSE),0)</f>
        <v/>
      </c>
      <c r="C20" s="328">
        <f>Entradas_calculos!$K$3</f>
        <v>4000</v>
      </c>
      <c r="D20" s="152">
        <f t="shared" si="2"/>
        <v>0</v>
      </c>
      <c r="E20" s="152" t="str">
        <f>IFERROR(VLOOKUP(A20,Entradas_calculos!$B$3:$C$32,2,FALSE),0)</f>
        <v/>
      </c>
      <c r="F20" s="152">
        <f>+IF(AND(A20&lt;=Amortización!$B$3,A20-Amortización!$B$4&gt;0),IFERROR(VLOOKUP(A20,Amortización!$A$8:$B$32,2,FALSE),0),0)</f>
        <v>0</v>
      </c>
      <c r="G20" s="152">
        <f t="shared" si="3"/>
        <v>0</v>
      </c>
      <c r="H20" s="88">
        <f>IF(A20&lt;Entradas_calculos!$K$2,"",A20-Entradas_calculos!$K$2+1)</f>
        <v>14</v>
      </c>
      <c r="I20" s="88">
        <f>Entradas_calculos!$K$4</f>
        <v>8.4623421027637979E-2</v>
      </c>
      <c r="J20" s="329">
        <f t="shared" si="4"/>
        <v>3.1182124063604726</v>
      </c>
      <c r="K20" s="277">
        <f>IF(J20="",0,G20/J20)</f>
        <v>0</v>
      </c>
      <c r="L20" s="330">
        <f>+NPV(Entradas_calculos!$K$4,Calculo_etapa_productiva!G20:G42)</f>
        <v>0</v>
      </c>
      <c r="M20" s="328">
        <f>+L20/((1+Entradas_calculos!$K$4)^Calculo_etapa_productiva!H20)</f>
        <v>0</v>
      </c>
    </row>
    <row r="21" spans="1:13">
      <c r="A21" s="88">
        <v>20</v>
      </c>
      <c r="B21" s="88" t="str">
        <f>IFERROR(VLOOKUP(A21,Entradas_calculos!$E$3:$F$32,2,FALSE),0)</f>
        <v/>
      </c>
      <c r="C21" s="328">
        <f>Entradas_calculos!$K$3</f>
        <v>4000</v>
      </c>
      <c r="D21" s="152">
        <f t="shared" si="2"/>
        <v>0</v>
      </c>
      <c r="E21" s="152" t="str">
        <f>IFERROR(VLOOKUP(A21,Entradas_calculos!$B$3:$C$32,2,FALSE),0)</f>
        <v/>
      </c>
      <c r="F21" s="152">
        <f>+IF(AND(A21&lt;=Amortización!$B$3,A21-Amortización!$B$4&gt;0),IFERROR(VLOOKUP(A21,Amortización!$A$8:$B$32,2,FALSE),0),0)</f>
        <v>0</v>
      </c>
      <c r="G21" s="152">
        <f t="shared" si="3"/>
        <v>0</v>
      </c>
      <c r="H21" s="88">
        <f>IF(A21&lt;Entradas_calculos!$K$2,"",A21-Entradas_calculos!$K$2+1)</f>
        <v>15</v>
      </c>
      <c r="I21" s="88">
        <f>Entradas_calculos!$K$4</f>
        <v>8.4623421027637979E-2</v>
      </c>
      <c r="J21" s="329">
        <f t="shared" si="4"/>
        <v>3.3820862076775189</v>
      </c>
      <c r="K21" s="277">
        <f t="shared" si="1"/>
        <v>0</v>
      </c>
      <c r="L21" s="330">
        <f>+NPV(Entradas_calculos!$K$4,Calculo_etapa_productiva!G21:G43)</f>
        <v>0</v>
      </c>
      <c r="M21" s="328">
        <f>+L21/((1+Entradas_calculos!$K$4)^Calculo_etapa_productiva!H21)</f>
        <v>0</v>
      </c>
    </row>
    <row r="22" spans="1:13">
      <c r="A22" s="88">
        <v>21</v>
      </c>
      <c r="B22" s="88" t="str">
        <f>IFERROR(VLOOKUP(A22,Entradas_calculos!$E$3:$F$32,2,FALSE),0)</f>
        <v/>
      </c>
      <c r="C22" s="328">
        <f>Entradas_calculos!$K$3</f>
        <v>4000</v>
      </c>
      <c r="D22" s="152">
        <f t="shared" ref="D22:D31" si="5">IFERROR(B22*C22,0)</f>
        <v>0</v>
      </c>
      <c r="E22" s="152" t="str">
        <f>IFERROR(VLOOKUP(A22,Entradas_calculos!$B$3:$C$32,2,FALSE),0)</f>
        <v/>
      </c>
      <c r="F22" s="152">
        <f>+IF(AND(A22&lt;=Amortización!$B$3,A22-Amortización!$B$4&gt;0),IFERROR(VLOOKUP(A22,Amortización!$A$8:$B$32,2,FALSE),0),0)</f>
        <v>0</v>
      </c>
      <c r="G22" s="152">
        <f t="shared" si="3"/>
        <v>0</v>
      </c>
      <c r="H22" s="88">
        <f>IF(A22&lt;Entradas_calculos!$K$2,"",A22-Entradas_calculos!$K$2+1)</f>
        <v>16</v>
      </c>
      <c r="I22" s="88">
        <f>Entradas_calculos!$K$4</f>
        <v>8.4623421027637979E-2</v>
      </c>
      <c r="J22" s="329">
        <f t="shared" si="4"/>
        <v>3.6682899127815807</v>
      </c>
      <c r="K22" s="277">
        <f t="shared" si="1"/>
        <v>0</v>
      </c>
      <c r="L22" s="330">
        <f>+NPV(Entradas_calculos!$K$4,Calculo_etapa_productiva!G22:G44)</f>
        <v>0</v>
      </c>
      <c r="M22" s="328">
        <f>+L22/((1+Entradas_calculos!$K$4)^Calculo_etapa_productiva!H22)</f>
        <v>0</v>
      </c>
    </row>
    <row r="23" spans="1:13">
      <c r="A23" s="88">
        <v>22</v>
      </c>
      <c r="B23" s="88" t="str">
        <f>IFERROR(VLOOKUP(A23,Entradas_calculos!$E$3:$F$32,2,FALSE),0)</f>
        <v/>
      </c>
      <c r="C23" s="328">
        <f>Entradas_calculos!$K$3</f>
        <v>4000</v>
      </c>
      <c r="D23" s="152">
        <f t="shared" si="5"/>
        <v>0</v>
      </c>
      <c r="E23" s="152" t="str">
        <f>IFERROR(VLOOKUP(A23,Entradas_calculos!$B$3:$C$32,2,FALSE),0)</f>
        <v/>
      </c>
      <c r="F23" s="152">
        <f>+IF(AND(A23&lt;=Amortización!$B$3,A23-Amortización!$B$4&gt;0),IFERROR(VLOOKUP(A23,Amortización!$A$8:$B$32,2,FALSE),0),0)</f>
        <v>0</v>
      </c>
      <c r="G23" s="152">
        <f t="shared" si="3"/>
        <v>0</v>
      </c>
      <c r="H23" s="88">
        <f>IF(A23&lt;Entradas_calculos!$K$2,"",A23-Entradas_calculos!$K$2+1)</f>
        <v>17</v>
      </c>
      <c r="I23" s="88">
        <f>Entradas_calculos!$K$4</f>
        <v>8.4623421027637979E-2</v>
      </c>
      <c r="J23" s="329">
        <f t="shared" si="4"/>
        <v>3.978713154522334</v>
      </c>
      <c r="K23" s="277">
        <f t="shared" si="1"/>
        <v>0</v>
      </c>
      <c r="L23" s="330">
        <f>+NPV(Entradas_calculos!$K$4,Calculo_etapa_productiva!G23:G45)</f>
        <v>0</v>
      </c>
      <c r="M23" s="328">
        <f>+L23/((1+Entradas_calculos!$K$4)^Calculo_etapa_productiva!H23)</f>
        <v>0</v>
      </c>
    </row>
    <row r="24" spans="1:13">
      <c r="A24" s="88">
        <v>23</v>
      </c>
      <c r="B24" s="88" t="str">
        <f>IFERROR(VLOOKUP(A24,Entradas_calculos!$E$3:$F$32,2,FALSE),0)</f>
        <v/>
      </c>
      <c r="C24" s="328">
        <f>Entradas_calculos!$K$3</f>
        <v>4000</v>
      </c>
      <c r="D24" s="152">
        <f t="shared" si="5"/>
        <v>0</v>
      </c>
      <c r="E24" s="152" t="str">
        <f>IFERROR(VLOOKUP(A24,Entradas_calculos!$B$3:$C$32,2,FALSE),0)</f>
        <v/>
      </c>
      <c r="F24" s="152">
        <f>+IF(AND(A24&lt;=Amortización!$B$3,A24-Amortización!$B$4&gt;0),IFERROR(VLOOKUP(A24,Amortización!$A$8:$B$32,2,FALSE),0),0)</f>
        <v>0</v>
      </c>
      <c r="G24" s="152">
        <f t="shared" si="3"/>
        <v>0</v>
      </c>
      <c r="H24" s="88">
        <f>IF(A24&lt;Entradas_calculos!$K$2,"",A24-Entradas_calculos!$K$2+1)</f>
        <v>18</v>
      </c>
      <c r="I24" s="88">
        <f>Entradas_calculos!$K$4</f>
        <v>8.4623421027637979E-2</v>
      </c>
      <c r="J24" s="329">
        <f t="shared" si="4"/>
        <v>4.3154054729456783</v>
      </c>
      <c r="K24" s="277">
        <f t="shared" si="1"/>
        <v>0</v>
      </c>
      <c r="L24" s="330">
        <f>+NPV(Entradas_calculos!$K$4,Calculo_etapa_productiva!G24:G46)</f>
        <v>0</v>
      </c>
      <c r="M24" s="328">
        <f>+L24/((1+Entradas_calculos!$K$4)^Calculo_etapa_productiva!H24)</f>
        <v>0</v>
      </c>
    </row>
    <row r="25" spans="1:13">
      <c r="A25" s="88">
        <v>24</v>
      </c>
      <c r="B25" s="88" t="str">
        <f>IFERROR(VLOOKUP(A25,Entradas_calculos!$E$3:$F$32,2,FALSE),0)</f>
        <v/>
      </c>
      <c r="C25" s="328">
        <f>Entradas_calculos!$K$3</f>
        <v>4000</v>
      </c>
      <c r="D25" s="152">
        <f t="shared" si="5"/>
        <v>0</v>
      </c>
      <c r="E25" s="152" t="str">
        <f>IFERROR(VLOOKUP(A25,Entradas_calculos!$B$3:$C$32,2,FALSE),0)</f>
        <v/>
      </c>
      <c r="F25" s="152">
        <f>+IF(AND(A25&lt;=Amortización!$B$3,A25-Amortización!$B$4&gt;0),IFERROR(VLOOKUP(A25,Amortización!$A$8:$B$32,2,FALSE),0),0)</f>
        <v>0</v>
      </c>
      <c r="G25" s="152">
        <f t="shared" si="3"/>
        <v>0</v>
      </c>
      <c r="H25" s="88">
        <f>IF(A25&lt;Entradas_calculos!$K$2,"",A25-Entradas_calculos!$K$2+1)</f>
        <v>19</v>
      </c>
      <c r="I25" s="88">
        <f>Entradas_calculos!$K$4</f>
        <v>8.4623421027637979E-2</v>
      </c>
      <c r="J25" s="329">
        <f t="shared" si="4"/>
        <v>4.6805898471877345</v>
      </c>
      <c r="K25" s="277">
        <f t="shared" si="1"/>
        <v>0</v>
      </c>
      <c r="L25" s="330">
        <f>+NPV(Entradas_calculos!$K$4,Calculo_etapa_productiva!G25:G47)</f>
        <v>0</v>
      </c>
      <c r="M25" s="328">
        <f>+L25/((1+Entradas_calculos!$K$4)^Calculo_etapa_productiva!H25)</f>
        <v>0</v>
      </c>
    </row>
    <row r="26" spans="1:13">
      <c r="A26" s="88">
        <v>25</v>
      </c>
      <c r="B26" s="88" t="str">
        <f>IFERROR(VLOOKUP(A26,Entradas_calculos!$E$3:$F$32,2,FALSE),0)</f>
        <v/>
      </c>
      <c r="C26" s="328">
        <f>Entradas_calculos!$K$3</f>
        <v>4000</v>
      </c>
      <c r="D26" s="152">
        <f t="shared" si="5"/>
        <v>0</v>
      </c>
      <c r="E26" s="152" t="str">
        <f>IFERROR(VLOOKUP(A26,Entradas_calculos!$B$3:$C$32,2,FALSE),0)</f>
        <v/>
      </c>
      <c r="F26" s="152">
        <f>+IF(AND(A26&lt;=Amortización!$B$3,A26-Amortización!$B$4&gt;0),IFERROR(VLOOKUP(A26,Amortización!$A$8:$B$32,2,FALSE),0),0)</f>
        <v>0</v>
      </c>
      <c r="G26" s="152">
        <f t="shared" si="3"/>
        <v>0</v>
      </c>
      <c r="H26" s="88">
        <f>IF(A26&lt;Entradas_calculos!$K$2,"",A26-Entradas_calculos!$K$2+1)</f>
        <v>20</v>
      </c>
      <c r="I26" s="88">
        <f>Entradas_calculos!$K$4</f>
        <v>8.4623421027637979E-2</v>
      </c>
      <c r="J26" s="329">
        <f t="shared" si="4"/>
        <v>5.0766773724839895</v>
      </c>
      <c r="K26" s="277">
        <f t="shared" si="1"/>
        <v>0</v>
      </c>
      <c r="L26" s="330">
        <f>+NPV(Entradas_calculos!$K$4,Calculo_etapa_productiva!G26:G48)</f>
        <v>0</v>
      </c>
      <c r="M26" s="328">
        <f>+L26/((1+Entradas_calculos!$K$4)^Calculo_etapa_productiva!H26)</f>
        <v>0</v>
      </c>
    </row>
    <row r="27" spans="1:13">
      <c r="A27" s="88">
        <v>26</v>
      </c>
      <c r="B27" s="88" t="str">
        <f>IFERROR(VLOOKUP(A27,Entradas_calculos!$E$3:$F$32,2,FALSE),0)</f>
        <v/>
      </c>
      <c r="C27" s="328">
        <f>Entradas_calculos!$K$3</f>
        <v>4000</v>
      </c>
      <c r="D27" s="152">
        <f t="shared" si="5"/>
        <v>0</v>
      </c>
      <c r="E27" s="152" t="str">
        <f>IFERROR(VLOOKUP(A27,Entradas_calculos!$B$3:$C$32,2,FALSE),0)</f>
        <v/>
      </c>
      <c r="F27" s="152">
        <f>+IF(AND(A27&lt;=Amortización!$B$3,A27-Amortización!$B$4&gt;0),IFERROR(VLOOKUP(A27,Amortización!$A$8:$B$32,2,FALSE),0),0)</f>
        <v>0</v>
      </c>
      <c r="G27" s="152">
        <f t="shared" ref="G27:G31" si="6">IFERROR(D27-E27-F27,0)</f>
        <v>0</v>
      </c>
      <c r="H27" s="88">
        <f>IF(A27&lt;Entradas_calculos!$K$2,"",A27-Entradas_calculos!$K$2+1)</f>
        <v>21</v>
      </c>
      <c r="I27" s="88">
        <f>Entradas_calculos!$K$4</f>
        <v>8.4623421027637979E-2</v>
      </c>
      <c r="J27" s="329">
        <f t="shared" si="4"/>
        <v>5.5062831791971849</v>
      </c>
      <c r="K27" s="277">
        <f t="shared" ref="K27:K31" si="7">IF(J27="",0,G27/J27)</f>
        <v>0</v>
      </c>
      <c r="L27" s="330">
        <f>+NPV(Entradas_calculos!$K$4,Calculo_etapa_productiva!G27:G49)</f>
        <v>0</v>
      </c>
      <c r="M27" s="88"/>
    </row>
    <row r="28" spans="1:13">
      <c r="A28" s="88">
        <v>27</v>
      </c>
      <c r="B28" s="88" t="str">
        <f>IFERROR(VLOOKUP(A28,Entradas_calculos!$E$3:$F$32,2,FALSE),0)</f>
        <v/>
      </c>
      <c r="C28" s="328">
        <f>Entradas_calculos!$K$3</f>
        <v>4000</v>
      </c>
      <c r="D28" s="152">
        <f t="shared" si="5"/>
        <v>0</v>
      </c>
      <c r="E28" s="152" t="str">
        <f>IFERROR(VLOOKUP(A28,Entradas_calculos!$B$3:$C$32,2,FALSE),0)</f>
        <v/>
      </c>
      <c r="F28" s="152">
        <f>+IF(AND(A28&lt;=Amortización!$B$3,A28-Amortización!$B$4&gt;0),IFERROR(VLOOKUP(A28,Amortización!$A$8:$B$32,2,FALSE),0),0)</f>
        <v>0</v>
      </c>
      <c r="G28" s="152">
        <f t="shared" si="6"/>
        <v>0</v>
      </c>
      <c r="H28" s="88">
        <f>IF(A28&lt;Entradas_calculos!$K$2,"",A28-Entradas_calculos!$K$2+1)</f>
        <v>22</v>
      </c>
      <c r="I28" s="88">
        <f>Entradas_calculos!$K$4</f>
        <v>8.4623421027637979E-2</v>
      </c>
      <c r="J28" s="329">
        <f t="shared" si="4"/>
        <v>5.9722436989677892</v>
      </c>
      <c r="K28" s="277">
        <f t="shared" si="7"/>
        <v>0</v>
      </c>
      <c r="L28" s="330">
        <f>+NPV(Entradas_calculos!$K$4,Calculo_etapa_productiva!G28:G50)</f>
        <v>0</v>
      </c>
      <c r="M28" s="88"/>
    </row>
    <row r="29" spans="1:13">
      <c r="A29" s="88">
        <v>28</v>
      </c>
      <c r="B29" s="88" t="str">
        <f>IFERROR(VLOOKUP(A29,Entradas_calculos!$E$3:$F$32,2,FALSE),0)</f>
        <v/>
      </c>
      <c r="C29" s="328">
        <f>Entradas_calculos!$K$3</f>
        <v>4000</v>
      </c>
      <c r="D29" s="152">
        <f t="shared" si="5"/>
        <v>0</v>
      </c>
      <c r="E29" s="152" t="str">
        <f>IFERROR(VLOOKUP(A29,Entradas_calculos!$B$3:$C$32,2,FALSE),0)</f>
        <v/>
      </c>
      <c r="F29" s="152">
        <f>+IF(AND(A29&lt;=Amortización!$B$3,A29-Amortización!$B$4&gt;0),IFERROR(VLOOKUP(A29,Amortización!$A$8:$B$32,2,FALSE),0),0)</f>
        <v>0</v>
      </c>
      <c r="G29" s="152">
        <f t="shared" si="6"/>
        <v>0</v>
      </c>
      <c r="H29" s="88">
        <f>IF(A29&lt;Entradas_calculos!$K$2,"",A29-Entradas_calculos!$K$2+1)</f>
        <v>23</v>
      </c>
      <c r="I29" s="88">
        <f>Entradas_calculos!$K$4</f>
        <v>8.4623421027637979E-2</v>
      </c>
      <c r="J29" s="329">
        <f t="shared" si="4"/>
        <v>6.4776353919851983</v>
      </c>
      <c r="K29" s="277">
        <f t="shared" si="7"/>
        <v>0</v>
      </c>
      <c r="L29" s="330">
        <f>+NPV(Entradas_calculos!$K$4,Calculo_etapa_productiva!G29:G51)</f>
        <v>0</v>
      </c>
      <c r="M29" s="88"/>
    </row>
    <row r="30" spans="1:13">
      <c r="A30" s="88">
        <v>29</v>
      </c>
      <c r="B30" s="88" t="str">
        <f>IFERROR(VLOOKUP(A30,Entradas_calculos!$E$3:$F$32,2,FALSE),0)</f>
        <v/>
      </c>
      <c r="C30" s="328">
        <f>Entradas_calculos!$K$3</f>
        <v>4000</v>
      </c>
      <c r="D30" s="152">
        <f t="shared" si="5"/>
        <v>0</v>
      </c>
      <c r="E30" s="152" t="str">
        <f>IFERROR(VLOOKUP(A30,Entradas_calculos!$B$3:$C$32,2,FALSE),0)</f>
        <v/>
      </c>
      <c r="F30" s="152">
        <f>+IF(AND(A30&lt;=Amortización!$B$3,A30-Amortización!$B$4&gt;0),IFERROR(VLOOKUP(A30,Amortización!$A$8:$B$32,2,FALSE),0),0)</f>
        <v>0</v>
      </c>
      <c r="G30" s="152">
        <f t="shared" si="6"/>
        <v>0</v>
      </c>
      <c r="H30" s="88">
        <f>IF(A30&lt;Entradas_calculos!$K$2,"",A30-Entradas_calculos!$K$2+1)</f>
        <v>24</v>
      </c>
      <c r="I30" s="88">
        <f>Entradas_calculos!$K$4</f>
        <v>8.4623421027637979E-2</v>
      </c>
      <c r="J30" s="329">
        <f t="shared" si="4"/>
        <v>7.0257950590246896</v>
      </c>
      <c r="K30" s="277">
        <f t="shared" si="7"/>
        <v>0</v>
      </c>
      <c r="L30" s="330">
        <f>+NPV(Entradas_calculos!$K$4,Calculo_etapa_productiva!G30:G52)</f>
        <v>0</v>
      </c>
      <c r="M30" s="88"/>
    </row>
    <row r="31" spans="1:13">
      <c r="A31" s="88">
        <v>30</v>
      </c>
      <c r="B31" s="88" t="str">
        <f>IFERROR(VLOOKUP(A31,Entradas_calculos!$E$3:$F$32,2,FALSE),0)</f>
        <v/>
      </c>
      <c r="C31" s="328">
        <f>Entradas_calculos!$K$3</f>
        <v>4000</v>
      </c>
      <c r="D31" s="152">
        <f t="shared" si="5"/>
        <v>0</v>
      </c>
      <c r="E31" s="152">
        <f>IFERROR(VLOOKUP(A31,Entradas_calculos!$B$3:$C$32,2,FALSE),0)</f>
        <v>0</v>
      </c>
      <c r="F31" s="152">
        <f>+IF(AND(A31&lt;=Amortización!$B$3,A31-Amortización!$B$4&gt;0),IFERROR(VLOOKUP(A31,Amortización!$A$8:$B$32,2,FALSE),0),0)</f>
        <v>0</v>
      </c>
      <c r="G31" s="152">
        <f t="shared" si="6"/>
        <v>0</v>
      </c>
      <c r="H31" s="88">
        <f>IF(A31&lt;Entradas_calculos!$K$2,"",A31-Entradas_calculos!$K$2+1)</f>
        <v>25</v>
      </c>
      <c r="I31" s="88">
        <f>Entradas_calculos!$K$4</f>
        <v>8.4623421027637979E-2</v>
      </c>
      <c r="J31" s="329">
        <f t="shared" si="4"/>
        <v>7.6203418723584351</v>
      </c>
      <c r="K31" s="277">
        <f t="shared" si="7"/>
        <v>0</v>
      </c>
      <c r="L31" s="330">
        <f>+NPV(Entradas_calculos!$K$4,Calculo_etapa_productiva!G31:G53)</f>
        <v>0</v>
      </c>
      <c r="M31" s="88"/>
    </row>
    <row r="32" spans="1:13">
      <c r="A32" s="88"/>
      <c r="B32" s="88"/>
      <c r="C32" s="88"/>
      <c r="D32" s="152"/>
      <c r="E32" s="277"/>
      <c r="F32" s="277"/>
      <c r="G32" s="277"/>
      <c r="H32" s="88"/>
      <c r="I32" s="88"/>
      <c r="J32" s="88"/>
      <c r="K32" s="277"/>
      <c r="L32" s="88"/>
      <c r="M32" s="88"/>
    </row>
    <row r="33" spans="1:13">
      <c r="A33" s="88"/>
      <c r="B33" s="88"/>
      <c r="C33" s="88"/>
      <c r="D33" s="152"/>
      <c r="E33" s="277"/>
      <c r="F33" s="277"/>
      <c r="G33" s="277"/>
      <c r="H33" s="88"/>
      <c r="I33" s="88"/>
      <c r="J33" s="88"/>
      <c r="K33" s="277"/>
      <c r="L33" s="88"/>
      <c r="M33" s="88"/>
    </row>
    <row r="34" spans="1:13">
      <c r="A34" s="88"/>
      <c r="B34" s="88"/>
      <c r="C34" s="88"/>
      <c r="D34" s="152"/>
      <c r="E34" s="277"/>
      <c r="F34" s="277"/>
      <c r="G34" s="277"/>
      <c r="H34" s="88"/>
      <c r="I34" s="88"/>
      <c r="J34" s="327" t="s">
        <v>4098</v>
      </c>
      <c r="K34" s="331">
        <f>SUM(K2:K31)</f>
        <v>33764877.062210448</v>
      </c>
      <c r="L34" s="88"/>
      <c r="M34" s="88"/>
    </row>
    <row r="35" spans="1:13">
      <c r="J35" s="5"/>
      <c r="K35" s="19"/>
    </row>
  </sheetData>
  <pageMargins left="0.75" right="0.75" top="1" bottom="1" header="0.5" footer="0.5"/>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9">
    <tabColor rgb="FF7A0000"/>
  </sheetPr>
  <dimension ref="A1:H39"/>
  <sheetViews>
    <sheetView showGridLines="0" workbookViewId="0">
      <pane xSplit="1" ySplit="1" topLeftCell="B12" activePane="bottomRight" state="frozen"/>
      <selection pane="topRight" activeCell="B1" sqref="B1"/>
      <selection pane="bottomLeft" activeCell="A2" sqref="A2"/>
      <selection pane="bottomRight" activeCell="D30" sqref="D30"/>
    </sheetView>
    <sheetView workbookViewId="1">
      <selection sqref="A1:H1"/>
    </sheetView>
  </sheetViews>
  <sheetFormatPr baseColWidth="10" defaultRowHeight="14.25"/>
  <cols>
    <col min="1" max="1" width="3" customWidth="1"/>
    <col min="2" max="2" width="38" customWidth="1"/>
    <col min="3" max="5" width="14" customWidth="1"/>
    <col min="6" max="6" width="18" customWidth="1"/>
    <col min="7" max="7" width="16" customWidth="1"/>
    <col min="8" max="8" width="14" customWidth="1"/>
  </cols>
  <sheetData>
    <row r="1" spans="1:8" ht="21.95" customHeight="1">
      <c r="A1" s="598" t="s">
        <v>4344</v>
      </c>
      <c r="B1" s="573"/>
      <c r="C1" s="573"/>
      <c r="D1" s="573"/>
      <c r="E1" s="573"/>
      <c r="F1" s="573"/>
      <c r="G1" s="573"/>
      <c r="H1" s="573"/>
    </row>
    <row r="2" spans="1:8" ht="15.95" customHeight="1">
      <c r="A2" s="345" t="s">
        <v>4345</v>
      </c>
      <c r="B2" s="197"/>
      <c r="C2" s="346" t="s">
        <v>4346</v>
      </c>
      <c r="D2" s="197"/>
      <c r="E2" s="346" t="s">
        <v>4347</v>
      </c>
      <c r="F2" s="197"/>
      <c r="G2" s="347" t="s">
        <v>4348</v>
      </c>
      <c r="H2" s="197"/>
    </row>
    <row r="3" spans="1:8" ht="15">
      <c r="A3" s="197"/>
      <c r="B3" s="197"/>
      <c r="C3" s="197"/>
      <c r="D3" s="197"/>
      <c r="E3" s="197"/>
      <c r="F3" s="197"/>
      <c r="G3" s="197"/>
      <c r="H3" s="197"/>
    </row>
    <row r="4" spans="1:8" ht="20.100000000000001" customHeight="1">
      <c r="A4" s="599" t="s">
        <v>4421</v>
      </c>
      <c r="B4" s="573"/>
      <c r="C4" s="573"/>
      <c r="D4" s="573"/>
      <c r="E4" s="573"/>
      <c r="F4" s="573"/>
      <c r="G4" s="573"/>
      <c r="H4" s="573"/>
    </row>
    <row r="5" spans="1:8" ht="15.95" customHeight="1">
      <c r="A5" s="600" t="s">
        <v>4349</v>
      </c>
      <c r="B5" s="573"/>
      <c r="C5" s="583" t="s">
        <v>4080</v>
      </c>
      <c r="D5" s="573"/>
      <c r="E5" s="583" t="s">
        <v>4349</v>
      </c>
      <c r="F5" s="573"/>
      <c r="G5" s="583" t="s">
        <v>4080</v>
      </c>
      <c r="H5" s="601"/>
    </row>
    <row r="6" spans="1:8" ht="15" customHeight="1">
      <c r="A6" s="602" t="s">
        <v>72</v>
      </c>
      <c r="B6" s="603"/>
      <c r="C6" s="604" t="str">
        <f>Entradas_calculos!A1</f>
        <v>Plátano Domínico hartón</v>
      </c>
      <c r="D6" s="605"/>
      <c r="E6" s="602" t="s">
        <v>4350</v>
      </c>
      <c r="F6" s="603"/>
      <c r="G6" s="606">
        <f>Entradas_calculos!K3</f>
        <v>4000</v>
      </c>
      <c r="H6" s="603"/>
    </row>
    <row r="7" spans="1:8" ht="15" customHeight="1">
      <c r="A7" s="602" t="s">
        <v>4313</v>
      </c>
      <c r="B7" s="603"/>
      <c r="C7" s="604">
        <f>Entradas_calculos!K2</f>
        <v>6</v>
      </c>
      <c r="D7" s="605"/>
      <c r="E7" s="602" t="s">
        <v>4351</v>
      </c>
      <c r="F7" s="603"/>
      <c r="G7" s="606">
        <f>Entradas_calculos!K4</f>
        <v>8.4623421027637979E-2</v>
      </c>
      <c r="H7" s="603"/>
    </row>
    <row r="8" spans="1:8" ht="15" customHeight="1">
      <c r="A8" s="602" t="s">
        <v>4352</v>
      </c>
      <c r="B8" s="603"/>
      <c r="C8" s="604" t="str">
        <f>Entradas_Tasas!C57</f>
        <v>Finagro</v>
      </c>
      <c r="D8" s="605"/>
      <c r="E8" s="602" t="s">
        <v>4353</v>
      </c>
      <c r="F8" s="603"/>
      <c r="G8" s="606">
        <f>INDEX(Calculo_etapa_productiva!$L$2:$L$31,Entradas_calculos!$K$2)</f>
        <v>33764877.062210448</v>
      </c>
      <c r="H8" s="603"/>
    </row>
    <row r="9" spans="1:8" ht="15">
      <c r="A9" s="197"/>
      <c r="B9" s="197"/>
      <c r="C9" s="197"/>
      <c r="D9" s="197"/>
      <c r="E9" s="197"/>
      <c r="F9" s="197"/>
      <c r="G9" s="197"/>
      <c r="H9" s="197"/>
    </row>
    <row r="10" spans="1:8" ht="20.100000000000001" customHeight="1">
      <c r="A10" s="582" t="s">
        <v>4420</v>
      </c>
      <c r="B10" s="573"/>
      <c r="C10" s="573"/>
      <c r="D10" s="573"/>
      <c r="E10" s="573"/>
      <c r="F10" s="573"/>
      <c r="G10" s="573"/>
      <c r="H10" s="573"/>
    </row>
    <row r="11" spans="1:8" ht="15.95" customHeight="1">
      <c r="A11" s="583" t="s">
        <v>4314</v>
      </c>
      <c r="B11" s="573"/>
      <c r="C11" s="583" t="s">
        <v>4315</v>
      </c>
      <c r="D11" s="573"/>
      <c r="E11" s="573"/>
      <c r="F11" s="583" t="s">
        <v>4316</v>
      </c>
      <c r="G11" s="583" t="s">
        <v>4317</v>
      </c>
      <c r="H11" s="573"/>
    </row>
    <row r="12" spans="1:8" ht="15" customHeight="1">
      <c r="A12" s="607">
        <f>Entradas_Tasas!C52</f>
        <v>0.13799981004843764</v>
      </c>
      <c r="B12" s="603"/>
      <c r="C12" s="602" t="s">
        <v>4354</v>
      </c>
      <c r="D12" s="603"/>
      <c r="E12" s="603"/>
      <c r="F12" s="348">
        <f ca="1">IFERROR(NPV(Entradas_Tasas!C52,OFFSET(Calculo_etapa_productiva!G1,Entradas_calculos!$K$2-1,0,32-Entradas_calculos!$K$2,1)),0)</f>
        <v>64660956.525576837</v>
      </c>
      <c r="G12" s="602" t="s">
        <v>4319</v>
      </c>
      <c r="H12" s="603"/>
    </row>
    <row r="13" spans="1:8" ht="15" customHeight="1">
      <c r="A13" s="607">
        <f>Entradas_Tasas!C53</f>
        <v>0.12854971982144558</v>
      </c>
      <c r="B13" s="603"/>
      <c r="C13" s="606" t="s">
        <v>4320</v>
      </c>
      <c r="D13" s="603"/>
      <c r="E13" s="603"/>
      <c r="F13" s="348">
        <f ca="1">IFERROR(NPV(Entradas_Tasas!C53,OFFSET(Calculo_etapa_productiva!G1,Entradas_calculos!$K$2-1,0,32-Entradas_calculos!$K$2,1)),0)</f>
        <v>65441184.52546151</v>
      </c>
      <c r="G13" s="608">
        <f ca="1">F13-F12</f>
        <v>780227.99988467246</v>
      </c>
      <c r="H13" s="603"/>
    </row>
    <row r="14" spans="1:8" ht="15" customHeight="1">
      <c r="A14" s="607">
        <f>Entradas_Tasas!C54</f>
        <v>8.4623421027637979E-2</v>
      </c>
      <c r="B14" s="603"/>
      <c r="C14" s="602" t="s">
        <v>4321</v>
      </c>
      <c r="D14" s="603"/>
      <c r="E14" s="603"/>
      <c r="F14" s="348">
        <f ca="1">IFERROR(NPV(Entradas_Tasas!C54,OFFSET(Calculo_etapa_productiva!G1,Entradas_calculos!$K$2-1,0,32-Entradas_calculos!$K$2,1)),0)</f>
        <v>69303181.24680011</v>
      </c>
      <c r="G14" s="608">
        <f ca="1">F14-F12</f>
        <v>4642224.7212232724</v>
      </c>
      <c r="H14" s="603"/>
    </row>
    <row r="15" spans="1:8" ht="15" customHeight="1">
      <c r="A15" s="607">
        <f>Entradas_Tasas!C55</f>
        <v>0.1164165637762371</v>
      </c>
      <c r="B15" s="603"/>
      <c r="C15" s="609" t="s">
        <v>4322</v>
      </c>
      <c r="D15" s="610"/>
      <c r="E15" s="611"/>
      <c r="F15" s="348">
        <f ca="1">IFERROR(NPV(Entradas_Tasas!C55,OFFSET(Calculo_etapa_productiva!G1,Entradas_calculos!$K$2-1,0,32-Entradas_calculos!$K$2,1)),0)</f>
        <v>66468292.263319358</v>
      </c>
      <c r="G15" s="608">
        <f ca="1">F15-F12</f>
        <v>1807335.7377425209</v>
      </c>
      <c r="H15" s="603"/>
    </row>
    <row r="16" spans="1:8" ht="15" customHeight="1">
      <c r="A16" s="607">
        <f>Entradas_Tasas!F57</f>
        <v>8.4623421027637979E-2</v>
      </c>
      <c r="B16" s="603"/>
      <c r="C16" s="602" t="s">
        <v>4318</v>
      </c>
      <c r="D16" s="603"/>
      <c r="E16" s="603"/>
      <c r="F16" s="348">
        <f ca="1">IFERROR(NPV(Entradas_Tasas!F57,OFFSET(Calculo_etapa_productiva!G1,Entradas_calculos!$K$2-1,0,32-Entradas_calculos!$K$2,1)),0)</f>
        <v>69303181.24680011</v>
      </c>
      <c r="G16" s="608">
        <f ca="1">F16-F12</f>
        <v>4642224.7212232724</v>
      </c>
      <c r="H16" s="603"/>
    </row>
    <row r="17" spans="1:8" ht="15" customHeight="1">
      <c r="A17" s="612">
        <v>0.18</v>
      </c>
      <c r="B17" s="603"/>
      <c r="C17" s="606" t="s">
        <v>4323</v>
      </c>
      <c r="D17" s="603"/>
      <c r="E17" s="603"/>
      <c r="F17" s="348">
        <f ca="1">IFERROR(NPV(0.18,OFFSET(Calculo_etapa_productiva!G1,Entradas_calculos!$K$2-1,0,32-Entradas_calculos!$K$2,1)),0)</f>
        <v>61388745.119324379</v>
      </c>
      <c r="G17" s="608">
        <f ca="1">F17-F12</f>
        <v>-3272211.4062524587</v>
      </c>
      <c r="H17" s="603"/>
    </row>
    <row r="18" spans="1:8" ht="15" customHeight="1">
      <c r="A18" s="612">
        <v>0.2</v>
      </c>
      <c r="B18" s="603"/>
      <c r="C18" s="602" t="s">
        <v>4324</v>
      </c>
      <c r="D18" s="603"/>
      <c r="E18" s="603"/>
      <c r="F18" s="348">
        <f ca="1">IFERROR(NPV(0.2,OFFSET(Calculo_etapa_productiva!G1,Entradas_calculos!$K$2-1,0,32-Entradas_calculos!$K$2,1)),0)</f>
        <v>59934547.384404942</v>
      </c>
      <c r="G18" s="608">
        <f ca="1">F18-F12</f>
        <v>-4726409.141171895</v>
      </c>
      <c r="H18" s="603"/>
    </row>
    <row r="19" spans="1:8" ht="15">
      <c r="A19" s="197"/>
      <c r="B19" s="197"/>
      <c r="C19" s="197"/>
      <c r="D19" s="197"/>
      <c r="E19" s="197"/>
      <c r="F19" s="197"/>
      <c r="G19" s="197"/>
      <c r="H19" s="197"/>
    </row>
    <row r="20" spans="1:8" ht="20.100000000000001" customHeight="1">
      <c r="A20" s="613" t="s">
        <v>4419</v>
      </c>
      <c r="B20" s="573"/>
      <c r="C20" s="573"/>
      <c r="D20" s="573"/>
      <c r="E20" s="573"/>
      <c r="F20" s="573"/>
      <c r="G20" s="573"/>
      <c r="H20" s="573"/>
    </row>
    <row r="21" spans="1:8" ht="15.95" customHeight="1">
      <c r="A21" s="583" t="s">
        <v>4325</v>
      </c>
      <c r="B21" s="573"/>
      <c r="C21" s="573"/>
      <c r="D21" s="583" t="s">
        <v>4355</v>
      </c>
      <c r="E21" s="583"/>
      <c r="F21" s="583" t="s">
        <v>4295</v>
      </c>
      <c r="G21" s="573"/>
      <c r="H21" s="573"/>
    </row>
    <row r="22" spans="1:8" ht="15" customHeight="1">
      <c r="A22" s="618" t="s">
        <v>4356</v>
      </c>
      <c r="B22" s="618"/>
      <c r="C22" s="618"/>
      <c r="D22" s="614">
        <f>calculo_etapa_vegetativa!F33</f>
        <v>131993133.60044657</v>
      </c>
      <c r="E22" s="614"/>
      <c r="F22" s="616" t="s">
        <v>4357</v>
      </c>
      <c r="G22" s="616"/>
      <c r="H22" s="616"/>
    </row>
    <row r="23" spans="1:8">
      <c r="A23" s="619"/>
      <c r="B23" s="619"/>
      <c r="C23" s="619"/>
      <c r="D23" s="615"/>
      <c r="E23" s="615"/>
      <c r="F23" s="617"/>
      <c r="G23" s="617"/>
      <c r="H23" s="617"/>
    </row>
    <row r="24" spans="1:8" ht="20.100000000000001" customHeight="1">
      <c r="A24" s="620" t="s">
        <v>4422</v>
      </c>
      <c r="B24" s="576"/>
      <c r="C24" s="576"/>
      <c r="D24" s="576"/>
      <c r="E24" s="576"/>
      <c r="F24" s="576"/>
      <c r="G24" s="576"/>
      <c r="H24" s="576"/>
    </row>
    <row r="25" spans="1:8" ht="15.95" customHeight="1">
      <c r="A25" s="621" t="s">
        <v>4326</v>
      </c>
      <c r="B25" s="576"/>
      <c r="C25" s="349" t="s">
        <v>4355</v>
      </c>
      <c r="D25" s="349" t="s">
        <v>4327</v>
      </c>
      <c r="E25" s="621" t="s">
        <v>4358</v>
      </c>
      <c r="F25" s="576"/>
      <c r="G25" s="576"/>
      <c r="H25" s="576"/>
    </row>
    <row r="26" spans="1:8" ht="21.95" customHeight="1">
      <c r="A26" s="622" t="s">
        <v>4328</v>
      </c>
      <c r="B26" s="576"/>
      <c r="C26" s="623">
        <f ca="1">F12</f>
        <v>64660956.525576837</v>
      </c>
      <c r="D26" s="350">
        <f>Entradas_Tasas!C52</f>
        <v>0.13799981004843764</v>
      </c>
      <c r="E26" s="624" t="s">
        <v>4329</v>
      </c>
      <c r="F26" s="576"/>
      <c r="G26" s="576"/>
      <c r="H26" s="576"/>
    </row>
    <row r="27" spans="1:8" ht="21.95" customHeight="1">
      <c r="A27" s="620" t="s">
        <v>4330</v>
      </c>
      <c r="B27" s="576"/>
      <c r="C27" s="625">
        <f ca="1">F14</f>
        <v>69303181.24680011</v>
      </c>
      <c r="D27" s="350">
        <f>Entradas_Tasas!C54</f>
        <v>8.4623421027637979E-2</v>
      </c>
      <c r="E27" s="580" t="s">
        <v>4359</v>
      </c>
      <c r="F27" s="576"/>
      <c r="G27" s="576"/>
      <c r="H27" s="576"/>
    </row>
    <row r="28" spans="1:8" ht="21.95" customHeight="1">
      <c r="A28" s="626" t="s">
        <v>4331</v>
      </c>
      <c r="B28" s="576"/>
      <c r="C28" s="627">
        <f ca="1">F17</f>
        <v>61388745.119324379</v>
      </c>
      <c r="D28" s="351">
        <v>0.18</v>
      </c>
      <c r="E28" s="580" t="s">
        <v>4360</v>
      </c>
      <c r="F28" s="576"/>
      <c r="G28" s="576"/>
      <c r="H28" s="576"/>
    </row>
    <row r="29" spans="1:8" ht="21.95" customHeight="1">
      <c r="A29" s="629" t="s">
        <v>4332</v>
      </c>
      <c r="B29" s="576"/>
      <c r="C29" s="630">
        <f ca="1">F18</f>
        <v>59934547.384404942</v>
      </c>
      <c r="D29" s="352">
        <v>0.2</v>
      </c>
      <c r="E29" s="580" t="s">
        <v>4361</v>
      </c>
      <c r="F29" s="576"/>
      <c r="G29" s="576"/>
      <c r="H29" s="576"/>
    </row>
    <row r="30" spans="1:8" ht="21.95" customHeight="1">
      <c r="A30" s="631" t="s">
        <v>4362</v>
      </c>
      <c r="B30" s="576"/>
      <c r="C30" s="632">
        <f>D22</f>
        <v>131993133.60044657</v>
      </c>
      <c r="D30" s="353" t="s">
        <v>4319</v>
      </c>
      <c r="E30" s="624" t="s">
        <v>4363</v>
      </c>
      <c r="F30" s="576"/>
      <c r="G30" s="576"/>
      <c r="H30" s="576"/>
    </row>
    <row r="31" spans="1:8" ht="15">
      <c r="A31" s="354"/>
      <c r="B31" s="354"/>
      <c r="C31" s="354"/>
      <c r="D31" s="354"/>
      <c r="E31" s="354"/>
      <c r="F31" s="354"/>
      <c r="G31" s="354"/>
      <c r="H31" s="354"/>
    </row>
    <row r="32" spans="1:8" ht="20.100000000000001" customHeight="1">
      <c r="A32" s="628" t="s">
        <v>4483</v>
      </c>
      <c r="B32" s="573"/>
      <c r="C32" s="573"/>
      <c r="D32" s="573"/>
      <c r="E32" s="573"/>
      <c r="F32" s="573"/>
      <c r="G32" s="573"/>
      <c r="H32" s="573"/>
    </row>
    <row r="33" spans="1:8" ht="30" customHeight="1">
      <c r="A33" s="633" t="s">
        <v>4333</v>
      </c>
      <c r="B33" s="576"/>
      <c r="C33" s="580" t="str">
        <f ca="1">"Con tasa bancaria privada (18-20%) el VNA cae a "&amp;TEXT(C28,"$#;##0")&amp;"-"&amp;TEXT(C29,"$#;##0")&amp;". El precio debe reflejar el costo real del capital privado (Res. 620/2008)."</f>
        <v>Con tasa bancaria privada (18-20%) el VNA cae a $61388745-$59934547. El precio debe reflejar el costo real del capital privado (Res. 620/2008).</v>
      </c>
      <c r="D33" s="576"/>
      <c r="E33" s="576"/>
      <c r="F33" s="576"/>
      <c r="G33" s="576"/>
      <c r="H33" s="576"/>
    </row>
    <row r="34" spans="1:8" ht="30" customHeight="1">
      <c r="A34" s="633" t="s">
        <v>4364</v>
      </c>
      <c r="B34" s="576"/>
      <c r="C34" s="580" t="s">
        <v>4365</v>
      </c>
      <c r="D34" s="576"/>
      <c r="E34" s="576"/>
      <c r="F34" s="576"/>
      <c r="G34" s="576"/>
      <c r="H34" s="576"/>
    </row>
    <row r="36" spans="1:8" ht="15.95" customHeight="1">
      <c r="A36" s="634"/>
      <c r="B36" s="635"/>
      <c r="C36" s="635"/>
      <c r="D36" s="635"/>
      <c r="E36" s="635"/>
      <c r="F36" s="635"/>
      <c r="G36" s="635"/>
      <c r="H36" s="635"/>
    </row>
    <row r="37" spans="1:8" ht="15" customHeight="1"/>
    <row r="38" spans="1:8" ht="15" customHeight="1"/>
    <row r="39" spans="1:8" ht="15" customHeight="1"/>
  </sheetData>
  <mergeCells count="75">
    <mergeCell ref="A33:B33"/>
    <mergeCell ref="C33:H33"/>
    <mergeCell ref="A34:B34"/>
    <mergeCell ref="C34:H34"/>
    <mergeCell ref="A36:H36"/>
    <mergeCell ref="A32:H32"/>
    <mergeCell ref="A29:B29"/>
    <mergeCell ref="C29"/>
    <mergeCell ref="E29:H29"/>
    <mergeCell ref="A30:B30"/>
    <mergeCell ref="C30"/>
    <mergeCell ref="E30:H30"/>
    <mergeCell ref="A27:B27"/>
    <mergeCell ref="C27"/>
    <mergeCell ref="E27:H27"/>
    <mergeCell ref="A28:B28"/>
    <mergeCell ref="C28"/>
    <mergeCell ref="E28:H28"/>
    <mergeCell ref="A24:H24"/>
    <mergeCell ref="E25:H25"/>
    <mergeCell ref="A25:B25"/>
    <mergeCell ref="A26:B26"/>
    <mergeCell ref="C26"/>
    <mergeCell ref="E26:H26"/>
    <mergeCell ref="A20:H20"/>
    <mergeCell ref="A21:C21"/>
    <mergeCell ref="F21:H21"/>
    <mergeCell ref="D21:E21"/>
    <mergeCell ref="D22:E23"/>
    <mergeCell ref="F22:H23"/>
    <mergeCell ref="A22:C23"/>
    <mergeCell ref="C17:E17"/>
    <mergeCell ref="A17:B17"/>
    <mergeCell ref="G17:H17"/>
    <mergeCell ref="C18:E18"/>
    <mergeCell ref="A18:B18"/>
    <mergeCell ref="G18:H18"/>
    <mergeCell ref="C15:E15"/>
    <mergeCell ref="A15:B15"/>
    <mergeCell ref="G15:H15"/>
    <mergeCell ref="C16:E16"/>
    <mergeCell ref="A16:B16"/>
    <mergeCell ref="G16:H16"/>
    <mergeCell ref="C13:E13"/>
    <mergeCell ref="A13:B13"/>
    <mergeCell ref="G13:H13"/>
    <mergeCell ref="C14:E14"/>
    <mergeCell ref="A14:B14"/>
    <mergeCell ref="G14:H14"/>
    <mergeCell ref="A11:B11"/>
    <mergeCell ref="C11:E11"/>
    <mergeCell ref="F11"/>
    <mergeCell ref="G11:H11"/>
    <mergeCell ref="C12:E12"/>
    <mergeCell ref="A12:B12"/>
    <mergeCell ref="G12:H12"/>
    <mergeCell ref="A8:B8"/>
    <mergeCell ref="C8:D8"/>
    <mergeCell ref="E8:F8"/>
    <mergeCell ref="G8:H8"/>
    <mergeCell ref="A10:H10"/>
    <mergeCell ref="A6:B6"/>
    <mergeCell ref="C6:D6"/>
    <mergeCell ref="E6:F6"/>
    <mergeCell ref="G6:H6"/>
    <mergeCell ref="A7:B7"/>
    <mergeCell ref="C7:D7"/>
    <mergeCell ref="E7:F7"/>
    <mergeCell ref="G7:H7"/>
    <mergeCell ref="A1:H1"/>
    <mergeCell ref="A4:H4"/>
    <mergeCell ref="A5:B5"/>
    <mergeCell ref="C5:D5"/>
    <mergeCell ref="E5:F5"/>
    <mergeCell ref="G5:H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E480D-C8E5-4CAC-B59E-D40EAE53DED0}">
  <sheetPr codeName="Hoja3"/>
  <dimension ref="A1:D15"/>
  <sheetViews>
    <sheetView workbookViewId="0">
      <selection activeCell="D7" sqref="D7"/>
    </sheetView>
    <sheetView tabSelected="1" topLeftCell="A3" workbookViewId="1"/>
  </sheetViews>
  <sheetFormatPr baseColWidth="10" defaultRowHeight="14.25"/>
  <cols>
    <col min="1" max="1" width="48.375" customWidth="1"/>
    <col min="2" max="2" width="27.25" bestFit="1" customWidth="1"/>
    <col min="3" max="5" width="24.125" customWidth="1"/>
    <col min="6" max="6" width="25" customWidth="1"/>
    <col min="7" max="7" width="29.75" bestFit="1" customWidth="1"/>
    <col min="8" max="8" width="25" customWidth="1"/>
    <col min="9" max="9" width="55" customWidth="1"/>
  </cols>
  <sheetData>
    <row r="1" spans="1:4" ht="26.1" customHeight="1">
      <c r="A1" s="495" t="s">
        <v>4607</v>
      </c>
    </row>
    <row r="2" spans="1:4">
      <c r="A2" s="496" t="s">
        <v>4608</v>
      </c>
    </row>
    <row r="4" spans="1:4" ht="15">
      <c r="A4" s="497" t="s">
        <v>4609</v>
      </c>
    </row>
    <row r="5" spans="1:4" ht="15">
      <c r="A5" s="497" t="s">
        <v>4349</v>
      </c>
      <c r="B5" s="497" t="s">
        <v>4080</v>
      </c>
      <c r="C5" s="497" t="s">
        <v>4257</v>
      </c>
    </row>
    <row r="6" spans="1:4">
      <c r="A6" s="504" t="s">
        <v>72</v>
      </c>
      <c r="B6" s="505" t="str">
        <f>Entradas_calculos!A1</f>
        <v>Plátano Domínico hartón</v>
      </c>
      <c r="C6" s="506"/>
    </row>
    <row r="7" spans="1:4">
      <c r="A7" s="498" t="s">
        <v>4313</v>
      </c>
      <c r="B7" s="499">
        <f>Entradas_calculos!K2</f>
        <v>6</v>
      </c>
      <c r="C7" s="498"/>
    </row>
    <row r="8" spans="1:4">
      <c r="A8" s="498" t="s">
        <v>4610</v>
      </c>
      <c r="B8" s="501">
        <f>IFERROR(INDEX(Caracteristicas_agronomicas!J:J,MATCH(Entradas_calculos!$A$1,Caracteristicas_agronomicas!C:C,0)),IFERROR(INDEX(Caracteristicas_agronomicas!J:J,MATCH("*"&amp;LEFT(Entradas_calculos!$A$1,FIND(" ",Entradas_calculos!$A$1&amp;" ")-1)&amp;"*",Caracteristicas_agronomicas!C:C,0)),0))</f>
        <v>1316</v>
      </c>
      <c r="C8" s="500"/>
    </row>
    <row r="9" spans="1:4">
      <c r="A9" s="498" t="s">
        <v>4611</v>
      </c>
      <c r="B9" s="502">
        <f>Entradas_calculos!K3</f>
        <v>4000</v>
      </c>
      <c r="C9" s="498"/>
    </row>
    <row r="10" spans="1:4">
      <c r="A10" s="498" t="s">
        <v>4612</v>
      </c>
      <c r="B10" s="503">
        <f>Entradas_Tasas!C54</f>
        <v>8.4623421027637979E-2</v>
      </c>
      <c r="C10" s="498"/>
    </row>
    <row r="11" spans="1:4" ht="15">
      <c r="A11" s="515" t="s">
        <v>4622</v>
      </c>
      <c r="B11" s="67" t="str">
        <f>IFERROR(TRIM(Formulario!F22) &amp; " (factor = " &amp; TEXT(Formulario!B24,"0,00") &amp; ")",Formulario!F22)</f>
        <v>BUENO (factor = 0,95)</v>
      </c>
      <c r="C11" s="516" t="s">
        <v>4626</v>
      </c>
    </row>
    <row r="12" spans="1:4" ht="15">
      <c r="A12" s="497" t="s">
        <v>4613</v>
      </c>
    </row>
    <row r="13" spans="1:4" ht="15">
      <c r="A13" s="497" t="s">
        <v>4067</v>
      </c>
      <c r="B13" s="497" t="s">
        <v>4614</v>
      </c>
      <c r="C13" s="497" t="s">
        <v>4615</v>
      </c>
      <c r="D13" s="497" t="s">
        <v>4315</v>
      </c>
    </row>
    <row r="14" spans="1:4" ht="15">
      <c r="A14" s="507" t="s">
        <v>4616</v>
      </c>
      <c r="B14" s="508">
        <f>calculo_etapa_vegetativa!F33</f>
        <v>131993133.60044657</v>
      </c>
      <c r="C14" s="509">
        <f>IFERROR(B14/$B$8,0)</f>
        <v>100298.73373894116</v>
      </c>
      <c r="D14" s="506" t="s">
        <v>4617</v>
      </c>
    </row>
    <row r="15" spans="1:4" ht="15">
      <c r="A15" s="510" t="s">
        <v>4618</v>
      </c>
      <c r="B15" s="511">
        <f>SUM(Calculo_etapa_productiva!K2:K31)</f>
        <v>33764877.062210448</v>
      </c>
      <c r="C15" s="512">
        <f>IFERROR(B15/$B$8,0)</f>
        <v>25657.201415053532</v>
      </c>
      <c r="D15" s="513" t="s">
        <v>4619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A42CC-CE40-4191-A715-734FBD727510}">
  <dimension ref="A1:F40"/>
  <sheetViews>
    <sheetView topLeftCell="A6" workbookViewId="0">
      <selection activeCell="E7" sqref="E7"/>
    </sheetView>
    <sheetView workbookViewId="1"/>
  </sheetViews>
  <sheetFormatPr baseColWidth="10" defaultRowHeight="14.25"/>
  <cols>
    <col min="1" max="1" width="65.75" bestFit="1" customWidth="1"/>
    <col min="2" max="2" width="14.5" bestFit="1" customWidth="1"/>
    <col min="3" max="3" width="24.75" bestFit="1" customWidth="1"/>
    <col min="4" max="4" width="20.625" bestFit="1" customWidth="1"/>
    <col min="5" max="5" width="22.125" bestFit="1" customWidth="1"/>
  </cols>
  <sheetData>
    <row r="1" spans="1:6" ht="16.5">
      <c r="A1" s="521" t="s">
        <v>4633</v>
      </c>
    </row>
    <row r="2" spans="1:6" ht="15">
      <c r="A2" s="522" t="s">
        <v>4627</v>
      </c>
      <c r="B2" s="523" t="str">
        <f>Precio_Final_Cultivo!B6</f>
        <v>Plátano Domínico hartón</v>
      </c>
    </row>
    <row r="3" spans="1:6" ht="15">
      <c r="A3" s="522" t="s">
        <v>4628</v>
      </c>
      <c r="B3" s="524">
        <f>Entradas_calculos!K2</f>
        <v>6</v>
      </c>
    </row>
    <row r="4" spans="1:6" ht="15">
      <c r="A4" s="522" t="s">
        <v>4629</v>
      </c>
      <c r="B4" s="525">
        <f>Entradas_calculos!K4</f>
        <v>8.4623421027637979E-2</v>
      </c>
    </row>
    <row r="6" spans="1:6" ht="66">
      <c r="A6" s="521" t="s">
        <v>4630</v>
      </c>
      <c r="B6" s="529" t="s">
        <v>4631</v>
      </c>
      <c r="C6" s="521" t="s">
        <v>4632</v>
      </c>
      <c r="D6" s="521" t="s">
        <v>4645</v>
      </c>
      <c r="E6" s="521" t="s">
        <v>4647</v>
      </c>
      <c r="F6" s="529" t="s">
        <v>4646</v>
      </c>
    </row>
    <row r="7" spans="1:6">
      <c r="A7" s="527">
        <v>1</v>
      </c>
      <c r="B7" s="502" t="str">
        <f>IFERROR(IF(Calculo_etapa_productiva!H5="","",Calculo_etapa_productiva!G5),"")</f>
        <v/>
      </c>
      <c r="C7" s="528" t="str">
        <f>IFERROR(IF(Calculo_etapa_productiva!H5="","",Calculo_etapa_productiva!K5),"")</f>
        <v/>
      </c>
      <c r="D7" s="526">
        <f>SUM(C7:C23)</f>
        <v>33764877.062210448</v>
      </c>
      <c r="E7" s="526">
        <f>D7/A23</f>
        <v>1986169.2389535557</v>
      </c>
      <c r="F7" s="545">
        <f>E7*100/D7</f>
        <v>5.882352941176471</v>
      </c>
    </row>
    <row r="8" spans="1:6">
      <c r="A8" s="527">
        <v>2</v>
      </c>
      <c r="B8" s="502" t="str">
        <f>IFERROR(IF(Calculo_etapa_productiva!H6="","",Calculo_etapa_productiva!G6),"")</f>
        <v/>
      </c>
      <c r="C8" s="528" t="str">
        <f>IFERROR(IF(Calculo_etapa_productiva!H6="","",Calculo_etapa_productiva!K6),"")</f>
        <v/>
      </c>
      <c r="D8" s="526">
        <f>SUM(C8:C23)</f>
        <v>33764877.062210448</v>
      </c>
      <c r="E8" s="526">
        <f>D8/A22</f>
        <v>2110304.816388153</v>
      </c>
      <c r="F8" s="545">
        <f t="shared" ref="F8:F23" si="0">E8*100/D8</f>
        <v>6.25</v>
      </c>
    </row>
    <row r="9" spans="1:6">
      <c r="A9" s="527">
        <v>3</v>
      </c>
      <c r="B9" s="502">
        <f>IFERROR(IF(Calculo_etapa_productiva!H7="","",Calculo_etapa_productiva!G7),"")</f>
        <v>36622176.469792321</v>
      </c>
      <c r="C9" s="528">
        <f>IFERROR(IF(Calculo_etapa_productiva!H7="","",Calculo_etapa_productiva!K7),"")</f>
        <v>33764877.062210448</v>
      </c>
      <c r="D9" s="526">
        <f>SUM(C9:C23)</f>
        <v>33764877.062210448</v>
      </c>
      <c r="E9" s="526">
        <f>D9/A21</f>
        <v>2250991.8041473632</v>
      </c>
      <c r="F9" s="545">
        <f t="shared" si="0"/>
        <v>6.666666666666667</v>
      </c>
    </row>
    <row r="10" spans="1:6">
      <c r="A10" s="527">
        <v>4</v>
      </c>
      <c r="B10" s="502">
        <f>IFERROR(IF(Calculo_etapa_productiva!H8="","",Calculo_etapa_productiva!G8),"")</f>
        <v>0</v>
      </c>
      <c r="C10" s="528">
        <f>IFERROR(IF(Calculo_etapa_productiva!H8="","",Calculo_etapa_productiva!K8),"")</f>
        <v>0</v>
      </c>
      <c r="D10" s="526">
        <f>SUM(C10:C23)</f>
        <v>0</v>
      </c>
      <c r="E10" s="526">
        <f>D10/A20</f>
        <v>0</v>
      </c>
      <c r="F10" s="545" t="e">
        <f t="shared" si="0"/>
        <v>#DIV/0!</v>
      </c>
    </row>
    <row r="11" spans="1:6">
      <c r="A11" s="527">
        <v>5</v>
      </c>
      <c r="B11" s="502">
        <f>IFERROR(IF(Calculo_etapa_productiva!H9="","",Calculo_etapa_productiva!G9),"")</f>
        <v>0</v>
      </c>
      <c r="C11" s="528">
        <f>IFERROR(IF(Calculo_etapa_productiva!H9="","",Calculo_etapa_productiva!K9),"")</f>
        <v>0</v>
      </c>
      <c r="D11" s="526">
        <f>SUM(C11:C23)</f>
        <v>0</v>
      </c>
      <c r="E11" s="526">
        <f>D11/A19</f>
        <v>0</v>
      </c>
      <c r="F11" s="545" t="e">
        <f t="shared" si="0"/>
        <v>#DIV/0!</v>
      </c>
    </row>
    <row r="12" spans="1:6">
      <c r="A12" s="527">
        <v>6</v>
      </c>
      <c r="B12" s="502">
        <f>IFERROR(IF(Calculo_etapa_productiva!H10="","",Calculo_etapa_productiva!G10),"")</f>
        <v>0</v>
      </c>
      <c r="C12" s="528">
        <f>IFERROR(IF(Calculo_etapa_productiva!H10="","",Calculo_etapa_productiva!K10),"")</f>
        <v>0</v>
      </c>
      <c r="D12" s="526">
        <f>SUM(C12:C23)</f>
        <v>0</v>
      </c>
      <c r="E12" s="526">
        <f>D12/A18</f>
        <v>0</v>
      </c>
      <c r="F12" s="545" t="e">
        <f t="shared" si="0"/>
        <v>#DIV/0!</v>
      </c>
    </row>
    <row r="13" spans="1:6">
      <c r="A13" s="527">
        <v>7</v>
      </c>
      <c r="B13" s="502">
        <f>IFERROR(IF(Calculo_etapa_productiva!H11="","",Calculo_etapa_productiva!G11),"")</f>
        <v>0</v>
      </c>
      <c r="C13" s="528">
        <f>IFERROR(IF(Calculo_etapa_productiva!H11="","",Calculo_etapa_productiva!K11),"")</f>
        <v>0</v>
      </c>
      <c r="D13" s="526">
        <f>SUM(C13:C23)</f>
        <v>0</v>
      </c>
      <c r="E13" s="526">
        <f>D13/A17</f>
        <v>0</v>
      </c>
      <c r="F13" s="545" t="e">
        <f t="shared" si="0"/>
        <v>#DIV/0!</v>
      </c>
    </row>
    <row r="14" spans="1:6">
      <c r="A14" s="527">
        <v>8</v>
      </c>
      <c r="B14" s="502">
        <f>IFERROR(IF(Calculo_etapa_productiva!H12="","",Calculo_etapa_productiva!G12),"")</f>
        <v>0</v>
      </c>
      <c r="C14" s="528">
        <f>IFERROR(IF(Calculo_etapa_productiva!H12="","",Calculo_etapa_productiva!K12),"")</f>
        <v>0</v>
      </c>
      <c r="D14" s="526">
        <f>SUM(C14:C23)</f>
        <v>0</v>
      </c>
      <c r="E14" s="526">
        <f>D14/A16</f>
        <v>0</v>
      </c>
      <c r="F14" s="545" t="e">
        <f t="shared" si="0"/>
        <v>#DIV/0!</v>
      </c>
    </row>
    <row r="15" spans="1:6">
      <c r="A15" s="527">
        <v>9</v>
      </c>
      <c r="B15" s="502">
        <f>IFERROR(IF(Calculo_etapa_productiva!H13="","",Calculo_etapa_productiva!G13),"")</f>
        <v>0</v>
      </c>
      <c r="C15" s="528">
        <f>IFERROR(IF(Calculo_etapa_productiva!H13="","",Calculo_etapa_productiva!K13),"")</f>
        <v>0</v>
      </c>
      <c r="D15" s="526">
        <f>SUM(C15:C23)</f>
        <v>0</v>
      </c>
      <c r="E15" s="526">
        <f>D15/A15</f>
        <v>0</v>
      </c>
      <c r="F15" s="545" t="e">
        <f t="shared" si="0"/>
        <v>#DIV/0!</v>
      </c>
    </row>
    <row r="16" spans="1:6">
      <c r="A16" s="527">
        <v>10</v>
      </c>
      <c r="B16" s="502">
        <f>IFERROR(IF(Calculo_etapa_productiva!H14="","",Calculo_etapa_productiva!G14),"")</f>
        <v>0</v>
      </c>
      <c r="C16" s="528">
        <f>IFERROR(IF(Calculo_etapa_productiva!H14="","",Calculo_etapa_productiva!K14),"")</f>
        <v>0</v>
      </c>
      <c r="D16" s="526">
        <f>SUM(C16:C23)</f>
        <v>0</v>
      </c>
      <c r="E16" s="526">
        <f>D16/A14</f>
        <v>0</v>
      </c>
      <c r="F16" s="545" t="e">
        <f t="shared" si="0"/>
        <v>#DIV/0!</v>
      </c>
    </row>
    <row r="17" spans="1:6">
      <c r="A17" s="527">
        <v>11</v>
      </c>
      <c r="B17" s="502">
        <f>IFERROR(IF(Calculo_etapa_productiva!H15="","",Calculo_etapa_productiva!G15),"")</f>
        <v>0</v>
      </c>
      <c r="C17" s="528">
        <f>IFERROR(IF(Calculo_etapa_productiva!H15="","",Calculo_etapa_productiva!K15),"")</f>
        <v>0</v>
      </c>
      <c r="D17" s="526">
        <f>SUM(C17:C23)</f>
        <v>0</v>
      </c>
      <c r="E17" s="526">
        <f>D17/A13</f>
        <v>0</v>
      </c>
      <c r="F17" s="545" t="e">
        <f t="shared" si="0"/>
        <v>#DIV/0!</v>
      </c>
    </row>
    <row r="18" spans="1:6">
      <c r="A18" s="527">
        <v>12</v>
      </c>
      <c r="B18" s="502">
        <f>IFERROR(IF(Calculo_etapa_productiva!H16="","",Calculo_etapa_productiva!G16),"")</f>
        <v>0</v>
      </c>
      <c r="C18" s="528">
        <f>IFERROR(IF(Calculo_etapa_productiva!H16="","",Calculo_etapa_productiva!K16),"")</f>
        <v>0</v>
      </c>
      <c r="D18" s="526">
        <f>SUM(C18:C23)</f>
        <v>0</v>
      </c>
      <c r="E18" s="526">
        <f>D18/A12</f>
        <v>0</v>
      </c>
      <c r="F18" s="545" t="e">
        <f t="shared" si="0"/>
        <v>#DIV/0!</v>
      </c>
    </row>
    <row r="19" spans="1:6">
      <c r="A19" s="527">
        <v>13</v>
      </c>
      <c r="B19" s="502">
        <f>IFERROR(IF(Calculo_etapa_productiva!H17="","",Calculo_etapa_productiva!G17),"")</f>
        <v>0</v>
      </c>
      <c r="C19" s="528">
        <f>IFERROR(IF(Calculo_etapa_productiva!H17="","",Calculo_etapa_productiva!K17),"")</f>
        <v>0</v>
      </c>
      <c r="D19" s="526">
        <f>SUM(C19:C23)</f>
        <v>0</v>
      </c>
      <c r="E19" s="526">
        <f>D19/A11</f>
        <v>0</v>
      </c>
      <c r="F19" s="545" t="e">
        <f t="shared" si="0"/>
        <v>#DIV/0!</v>
      </c>
    </row>
    <row r="20" spans="1:6">
      <c r="A20" s="527">
        <v>14</v>
      </c>
      <c r="B20" s="502">
        <f>IFERROR(IF(Calculo_etapa_productiva!H18="","",Calculo_etapa_productiva!G18),"")</f>
        <v>0</v>
      </c>
      <c r="C20" s="528">
        <f>IFERROR(IF(Calculo_etapa_productiva!H18="","",Calculo_etapa_productiva!K18),"")</f>
        <v>0</v>
      </c>
      <c r="D20" s="526">
        <f>SUM(C20:C23)</f>
        <v>0</v>
      </c>
      <c r="E20" s="526">
        <f>D20/A10</f>
        <v>0</v>
      </c>
      <c r="F20" s="545" t="e">
        <f t="shared" si="0"/>
        <v>#DIV/0!</v>
      </c>
    </row>
    <row r="21" spans="1:6">
      <c r="A21" s="527">
        <v>15</v>
      </c>
      <c r="B21" s="502">
        <f>IFERROR(IF(Calculo_etapa_productiva!H19="","",Calculo_etapa_productiva!G19),"")</f>
        <v>0</v>
      </c>
      <c r="C21" s="528">
        <f>IFERROR(IF(Calculo_etapa_productiva!H19="","",Calculo_etapa_productiva!K19),"")</f>
        <v>0</v>
      </c>
      <c r="D21" s="526">
        <f>SUM(C21:C23)</f>
        <v>0</v>
      </c>
      <c r="E21" s="526">
        <f>D21/A9</f>
        <v>0</v>
      </c>
      <c r="F21" s="545" t="e">
        <f t="shared" si="0"/>
        <v>#DIV/0!</v>
      </c>
    </row>
    <row r="22" spans="1:6">
      <c r="A22" s="527">
        <v>16</v>
      </c>
      <c r="B22" s="502">
        <f>IFERROR(IF(Calculo_etapa_productiva!H20="","",Calculo_etapa_productiva!G20),"")</f>
        <v>0</v>
      </c>
      <c r="C22" s="528">
        <f>IFERROR(IF(Calculo_etapa_productiva!H20="","",Calculo_etapa_productiva!K20),"")</f>
        <v>0</v>
      </c>
      <c r="D22" s="526">
        <f>SUM(C22:C23)</f>
        <v>0</v>
      </c>
      <c r="E22" s="526">
        <f>D22/A8</f>
        <v>0</v>
      </c>
      <c r="F22" s="545" t="e">
        <f t="shared" si="0"/>
        <v>#DIV/0!</v>
      </c>
    </row>
    <row r="23" spans="1:6">
      <c r="A23" s="527">
        <v>17</v>
      </c>
      <c r="B23" s="502">
        <f>IFERROR(IF(Calculo_etapa_productiva!H21="","",Calculo_etapa_productiva!G21),"")</f>
        <v>0</v>
      </c>
      <c r="C23" s="528">
        <f>IFERROR(IF(Calculo_etapa_productiva!H21="","",Calculo_etapa_productiva!K21),"")</f>
        <v>0</v>
      </c>
      <c r="D23" s="526">
        <f>SUM(C23:C23)</f>
        <v>0</v>
      </c>
      <c r="E23" s="526">
        <f>D23/A7</f>
        <v>0</v>
      </c>
      <c r="F23" s="545" t="e">
        <f t="shared" si="0"/>
        <v>#DIV/0!</v>
      </c>
    </row>
    <row r="24" spans="1:6">
      <c r="A24" s="527"/>
      <c r="B24" s="502">
        <f>IFERROR(IF(Calculo_etapa_productiva!H22="","",Calculo_etapa_productiva!G22),"")</f>
        <v>0</v>
      </c>
      <c r="C24" s="528">
        <f>IFERROR(IF(Calculo_etapa_productiva!H22="","",Calculo_etapa_productiva!K22),"")</f>
        <v>0</v>
      </c>
      <c r="D24" s="526"/>
      <c r="E24" s="526"/>
    </row>
    <row r="25" spans="1:6">
      <c r="A25" s="527"/>
      <c r="B25" s="502">
        <f>IFERROR(IF(Calculo_etapa_productiva!H23="","",Calculo_etapa_productiva!G23),"")</f>
        <v>0</v>
      </c>
      <c r="C25" s="528">
        <f>IFERROR(IF(Calculo_etapa_productiva!H23="","",Calculo_etapa_productiva!K23),"")</f>
        <v>0</v>
      </c>
      <c r="D25" s="526"/>
      <c r="E25" s="526"/>
    </row>
    <row r="26" spans="1:6">
      <c r="A26" s="527"/>
      <c r="B26" s="502">
        <f>IFERROR(IF(Calculo_etapa_productiva!H24="","",Calculo_etapa_productiva!G24),"")</f>
        <v>0</v>
      </c>
      <c r="C26" s="528">
        <f>IFERROR(IF(Calculo_etapa_productiva!H24="","",Calculo_etapa_productiva!K24),"")</f>
        <v>0</v>
      </c>
      <c r="D26" s="526"/>
      <c r="E26" s="526"/>
    </row>
    <row r="27" spans="1:6">
      <c r="A27" s="527"/>
      <c r="B27" s="502">
        <f>IFERROR(IF(Calculo_etapa_productiva!H25="","",Calculo_etapa_productiva!G25),"")</f>
        <v>0</v>
      </c>
      <c r="C27" s="528">
        <f>IFERROR(IF(Calculo_etapa_productiva!H25="","",Calculo_etapa_productiva!K25),"")</f>
        <v>0</v>
      </c>
      <c r="D27" s="526"/>
      <c r="E27" s="526"/>
    </row>
    <row r="28" spans="1:6">
      <c r="A28" s="527"/>
      <c r="B28" s="502">
        <f>IFERROR(IF(Calculo_etapa_productiva!H26="","",Calculo_etapa_productiva!G26),"")</f>
        <v>0</v>
      </c>
      <c r="C28" s="528">
        <f>IFERROR(IF(Calculo_etapa_productiva!H26="","",Calculo_etapa_productiva!K26),"")</f>
        <v>0</v>
      </c>
      <c r="D28" s="526"/>
      <c r="E28" s="526"/>
    </row>
    <row r="29" spans="1:6">
      <c r="A29" s="527"/>
      <c r="B29" s="502">
        <f>IFERROR(IF(Calculo_etapa_productiva!H27="","",Calculo_etapa_productiva!G27),"")</f>
        <v>0</v>
      </c>
      <c r="C29" s="528">
        <f>IFERROR(IF(Calculo_etapa_productiva!H27="","",Calculo_etapa_productiva!K27),"")</f>
        <v>0</v>
      </c>
      <c r="D29" s="526"/>
      <c r="E29" s="526"/>
    </row>
    <row r="30" spans="1:6">
      <c r="A30" s="527"/>
      <c r="B30" s="502">
        <f>IFERROR(IF(Calculo_etapa_productiva!H28="","",Calculo_etapa_productiva!G28),"")</f>
        <v>0</v>
      </c>
      <c r="C30" s="528">
        <f>IFERROR(IF(Calculo_etapa_productiva!H28="","",Calculo_etapa_productiva!K28),"")</f>
        <v>0</v>
      </c>
      <c r="D30" s="526"/>
      <c r="E30" s="526"/>
    </row>
    <row r="31" spans="1:6">
      <c r="A31" s="527"/>
      <c r="B31" s="502">
        <f>IFERROR(IF(Calculo_etapa_productiva!H29="","",Calculo_etapa_productiva!G29),"")</f>
        <v>0</v>
      </c>
      <c r="C31" s="528">
        <f>IFERROR(IF(Calculo_etapa_productiva!H29="","",Calculo_etapa_productiva!K29),"")</f>
        <v>0</v>
      </c>
      <c r="D31" s="526"/>
      <c r="E31" s="526"/>
    </row>
    <row r="32" spans="1:6">
      <c r="A32" s="527"/>
      <c r="B32" s="502">
        <f>IFERROR(IF(Calculo_etapa_productiva!H30="","",Calculo_etapa_productiva!G30),"")</f>
        <v>0</v>
      </c>
      <c r="C32" s="528">
        <f>IFERROR(IF(Calculo_etapa_productiva!H30="","",Calculo_etapa_productiva!K30),"")</f>
        <v>0</v>
      </c>
      <c r="D32" s="526"/>
      <c r="E32" s="526"/>
    </row>
    <row r="33" spans="1:6">
      <c r="A33" s="527"/>
      <c r="B33" s="502">
        <f>IFERROR(IF(Calculo_etapa_productiva!H31="","",Calculo_etapa_productiva!G31),"")</f>
        <v>0</v>
      </c>
      <c r="C33" s="528">
        <f>IFERROR(IF(Calculo_etapa_productiva!H31="","",Calculo_etapa_productiva!K31),"")</f>
        <v>0</v>
      </c>
      <c r="D33" s="526"/>
      <c r="E33" s="526"/>
    </row>
    <row r="34" spans="1:6">
      <c r="C34" s="530">
        <f>SUM(C7:C33)</f>
        <v>33764877.062210448</v>
      </c>
    </row>
    <row r="35" spans="1:6" ht="15.75">
      <c r="A35" s="532" t="s">
        <v>4634</v>
      </c>
      <c r="B35" s="531"/>
      <c r="C35" s="534"/>
      <c r="F35" t="s">
        <v>4644</v>
      </c>
    </row>
    <row r="36" spans="1:6" ht="15">
      <c r="A36" s="533" t="s">
        <v>4620</v>
      </c>
      <c r="B36" s="533" t="s">
        <v>4080</v>
      </c>
      <c r="C36" s="536" t="s">
        <v>4635</v>
      </c>
    </row>
    <row r="37" spans="1:6" ht="15">
      <c r="A37" s="537" t="s">
        <v>4636</v>
      </c>
      <c r="B37" s="535">
        <f>C34</f>
        <v>33764877.062210448</v>
      </c>
      <c r="C37" s="539" t="s">
        <v>4637</v>
      </c>
    </row>
    <row r="38" spans="1:6" ht="15">
      <c r="A38" s="537" t="s">
        <v>4638</v>
      </c>
      <c r="B38" s="538">
        <f>COUNTIF(C7:C33,"&gt;0")</f>
        <v>1</v>
      </c>
      <c r="C38" s="539" t="s">
        <v>4639</v>
      </c>
    </row>
    <row r="39" spans="1:6" ht="15">
      <c r="A39" s="543" t="s">
        <v>4640</v>
      </c>
      <c r="B39" s="541">
        <f>IFERROR(B37/B38,0)</f>
        <v>33764877.062210448</v>
      </c>
      <c r="C39" s="539" t="s">
        <v>4641</v>
      </c>
    </row>
    <row r="40" spans="1:6" ht="15">
      <c r="A40" s="540" t="s">
        <v>4642</v>
      </c>
      <c r="B40" s="542">
        <f>IFERROR(-PMT(B4,B38,B37),0)</f>
        <v>36622176.469792321</v>
      </c>
      <c r="C40" s="544" t="s">
        <v>4643</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99815-EA48-4694-9293-3EF9065B94E7}">
  <sheetPr codeName="Hoja19">
    <tabColor rgb="FFFFFF00"/>
  </sheetPr>
  <dimension ref="A1:AF210"/>
  <sheetViews>
    <sheetView showGridLines="0" zoomScale="87" zoomScaleNormal="100" workbookViewId="0">
      <pane ySplit="1" topLeftCell="A18" activePane="bottomLeft" state="frozen"/>
      <selection activeCell="D1" sqref="D1"/>
      <selection pane="bottomLeft" activeCell="B39" sqref="B39"/>
    </sheetView>
    <sheetView workbookViewId="1"/>
  </sheetViews>
  <sheetFormatPr baseColWidth="10" defaultColWidth="7.625" defaultRowHeight="15"/>
  <cols>
    <col min="1" max="1" width="27.125" style="21" customWidth="1"/>
    <col min="2" max="2" width="28" style="21" customWidth="1"/>
    <col min="3" max="3" width="36.625" style="21" customWidth="1"/>
    <col min="4" max="4" width="7.875" style="21" customWidth="1"/>
    <col min="5" max="5" width="17.5" style="21" customWidth="1"/>
    <col min="6" max="6" width="14.875" style="21" customWidth="1"/>
    <col min="7" max="7" width="14" style="21" customWidth="1"/>
    <col min="8" max="8" width="13.125" style="21" customWidth="1"/>
    <col min="9" max="9" width="13.5" style="21" customWidth="1"/>
    <col min="10" max="11" width="10.625" style="21" customWidth="1"/>
    <col min="12" max="12" width="14.375" style="21" customWidth="1"/>
    <col min="13" max="13" width="8.375" style="21" customWidth="1"/>
    <col min="14" max="14" width="31.625" style="45" customWidth="1"/>
    <col min="15" max="15" width="12.375" style="21" customWidth="1"/>
    <col min="16" max="16" width="7.625" style="21"/>
    <col min="17" max="17" width="7.625" style="21" customWidth="1"/>
    <col min="18" max="16384" width="7.625" style="21"/>
  </cols>
  <sheetData>
    <row r="1" spans="1:32" ht="21.95" customHeight="1">
      <c r="A1" s="179" t="s">
        <v>4109</v>
      </c>
      <c r="B1" s="179" t="s">
        <v>4146</v>
      </c>
      <c r="C1" s="179" t="s">
        <v>4147</v>
      </c>
      <c r="D1" s="179" t="s">
        <v>4148</v>
      </c>
      <c r="E1" s="179" t="s">
        <v>4149</v>
      </c>
      <c r="F1" s="179" t="s">
        <v>4150</v>
      </c>
      <c r="G1" s="179" t="s">
        <v>4151</v>
      </c>
      <c r="H1" s="179" t="s">
        <v>4152</v>
      </c>
      <c r="I1" s="179" t="s">
        <v>4153</v>
      </c>
      <c r="J1" s="179" t="s">
        <v>4154</v>
      </c>
      <c r="K1" s="179" t="s">
        <v>4155</v>
      </c>
      <c r="L1" s="179" t="s">
        <v>4156</v>
      </c>
      <c r="M1" s="179" t="s">
        <v>4157</v>
      </c>
      <c r="N1" s="191" t="s">
        <v>4423</v>
      </c>
      <c r="O1" s="192" t="s">
        <v>4424</v>
      </c>
      <c r="P1" s="180"/>
      <c r="Q1" s="180"/>
      <c r="R1" s="180"/>
      <c r="S1" s="180"/>
      <c r="T1" s="180"/>
      <c r="U1" s="180"/>
      <c r="V1" s="180"/>
      <c r="W1" s="180"/>
      <c r="X1" s="180"/>
      <c r="Y1" s="180"/>
    </row>
    <row r="2" spans="1:32">
      <c r="A2" s="181" t="s">
        <v>4158</v>
      </c>
      <c r="B2" s="181" t="s">
        <v>3767</v>
      </c>
      <c r="C2" s="181" t="s">
        <v>4159</v>
      </c>
      <c r="D2" s="182">
        <v>24</v>
      </c>
      <c r="E2" s="183">
        <v>7269.5</v>
      </c>
      <c r="F2" s="184">
        <v>7231.2</v>
      </c>
      <c r="G2" s="184">
        <v>7269.5</v>
      </c>
      <c r="H2" s="184">
        <v>5391</v>
      </c>
      <c r="I2" s="184">
        <v>10096</v>
      </c>
      <c r="J2" s="184">
        <v>6164.2</v>
      </c>
      <c r="K2" s="184">
        <v>7743.8</v>
      </c>
      <c r="L2" s="184">
        <v>1276.8</v>
      </c>
      <c r="M2" s="185">
        <v>17.7</v>
      </c>
      <c r="N2" s="186">
        <f>IF(M2&lt;=20,G2,IF(M2&lt;=35,F2,(J2+K2)/2))</f>
        <v>7269.5</v>
      </c>
      <c r="O2" s="180">
        <f>(N2-E2)/E2</f>
        <v>0</v>
      </c>
      <c r="P2" s="180"/>
      <c r="Q2" s="180"/>
      <c r="R2" s="180"/>
      <c r="S2" s="180"/>
      <c r="T2" s="180"/>
      <c r="U2" s="180"/>
      <c r="V2" s="180"/>
      <c r="W2" s="180"/>
      <c r="X2" s="180"/>
      <c r="Y2" s="180"/>
    </row>
    <row r="3" spans="1:32" ht="18" customHeight="1">
      <c r="A3" s="187" t="s">
        <v>4158</v>
      </c>
      <c r="B3" s="187" t="s">
        <v>3767</v>
      </c>
      <c r="C3" s="187" t="s">
        <v>4160</v>
      </c>
      <c r="D3" s="188">
        <v>24</v>
      </c>
      <c r="E3" s="183">
        <v>5648</v>
      </c>
      <c r="F3" s="189">
        <v>5676.2</v>
      </c>
      <c r="G3" s="189">
        <v>5648</v>
      </c>
      <c r="H3" s="189">
        <v>4352</v>
      </c>
      <c r="I3" s="189">
        <v>8583</v>
      </c>
      <c r="J3" s="189">
        <v>4801.8</v>
      </c>
      <c r="K3" s="189">
        <v>6161.5</v>
      </c>
      <c r="L3" s="189">
        <v>1101.5999999999999</v>
      </c>
      <c r="M3" s="190">
        <v>19.399999999999999</v>
      </c>
      <c r="N3" s="186">
        <f t="shared" ref="N3:N66" si="0">IF(M3&lt;=20,G3,IF(M3&lt;=35,F3,(J3+K3)/2))</f>
        <v>5648</v>
      </c>
      <c r="O3" s="180">
        <f t="shared" ref="O3:O66" si="1">(N3-E3)/E3</f>
        <v>0</v>
      </c>
      <c r="P3" s="180"/>
      <c r="Q3" s="636" t="s">
        <v>4425</v>
      </c>
      <c r="R3" s="636"/>
      <c r="S3" s="636"/>
      <c r="T3" s="636"/>
      <c r="U3" s="636"/>
      <c r="V3" s="636"/>
      <c r="W3" s="636"/>
      <c r="X3" s="636"/>
      <c r="Y3" s="636"/>
      <c r="Z3" s="46"/>
      <c r="AA3" s="46"/>
      <c r="AB3" s="46"/>
      <c r="AC3" s="46"/>
      <c r="AD3" s="46"/>
      <c r="AE3" s="46"/>
      <c r="AF3" s="46"/>
    </row>
    <row r="4" spans="1:32" ht="15" customHeight="1">
      <c r="A4" s="181" t="s">
        <v>4158</v>
      </c>
      <c r="B4" s="181" t="s">
        <v>3767</v>
      </c>
      <c r="C4" s="181" t="s">
        <v>4161</v>
      </c>
      <c r="D4" s="182">
        <v>17</v>
      </c>
      <c r="E4" s="183">
        <v>6083</v>
      </c>
      <c r="F4" s="184">
        <v>6026.6</v>
      </c>
      <c r="G4" s="184">
        <v>6083</v>
      </c>
      <c r="H4" s="184">
        <v>4550</v>
      </c>
      <c r="I4" s="184">
        <v>7722</v>
      </c>
      <c r="J4" s="184">
        <v>5167</v>
      </c>
      <c r="K4" s="184">
        <v>6472</v>
      </c>
      <c r="L4" s="184">
        <v>985.6</v>
      </c>
      <c r="M4" s="185">
        <v>16.399999999999999</v>
      </c>
      <c r="N4" s="186">
        <f t="shared" si="0"/>
        <v>6083</v>
      </c>
      <c r="O4" s="180">
        <f t="shared" si="1"/>
        <v>0</v>
      </c>
      <c r="P4" s="180"/>
      <c r="Q4" s="636"/>
      <c r="R4" s="636"/>
      <c r="S4" s="636"/>
      <c r="T4" s="636"/>
      <c r="U4" s="636"/>
      <c r="V4" s="636"/>
      <c r="W4" s="636"/>
      <c r="X4" s="636"/>
      <c r="Y4" s="636"/>
      <c r="Z4" s="46"/>
      <c r="AA4" s="46"/>
      <c r="AB4" s="46"/>
      <c r="AC4" s="46"/>
      <c r="AD4" s="46"/>
      <c r="AE4" s="46"/>
      <c r="AF4" s="46"/>
    </row>
    <row r="5" spans="1:32" ht="15" customHeight="1">
      <c r="A5" s="187" t="s">
        <v>4158</v>
      </c>
      <c r="B5" s="187" t="s">
        <v>3767</v>
      </c>
      <c r="C5" s="187" t="s">
        <v>4162</v>
      </c>
      <c r="D5" s="188">
        <v>24</v>
      </c>
      <c r="E5" s="183">
        <v>3897.5</v>
      </c>
      <c r="F5" s="189">
        <v>3936.8</v>
      </c>
      <c r="G5" s="189">
        <v>3897.5</v>
      </c>
      <c r="H5" s="189">
        <v>2690</v>
      </c>
      <c r="I5" s="189">
        <v>5420</v>
      </c>
      <c r="J5" s="189">
        <v>3357.2</v>
      </c>
      <c r="K5" s="189">
        <v>4298.2</v>
      </c>
      <c r="L5" s="189">
        <v>823.1</v>
      </c>
      <c r="M5" s="190">
        <v>20.9</v>
      </c>
      <c r="N5" s="186">
        <f t="shared" si="0"/>
        <v>3936.8</v>
      </c>
      <c r="O5" s="180">
        <f t="shared" si="1"/>
        <v>1.0083386786401586E-2</v>
      </c>
      <c r="P5" s="180"/>
      <c r="Q5" s="636"/>
      <c r="R5" s="636"/>
      <c r="S5" s="636"/>
      <c r="T5" s="636"/>
      <c r="U5" s="636"/>
      <c r="V5" s="636"/>
      <c r="W5" s="636"/>
      <c r="X5" s="636"/>
      <c r="Y5" s="636"/>
      <c r="Z5" s="46"/>
      <c r="AA5" s="46"/>
      <c r="AB5" s="46"/>
      <c r="AC5" s="46"/>
      <c r="AD5" s="46"/>
      <c r="AE5" s="46"/>
      <c r="AF5" s="46"/>
    </row>
    <row r="6" spans="1:32" ht="15" customHeight="1">
      <c r="A6" s="181" t="s">
        <v>4158</v>
      </c>
      <c r="B6" s="181" t="s">
        <v>3767</v>
      </c>
      <c r="C6" s="181" t="s">
        <v>4163</v>
      </c>
      <c r="D6" s="182">
        <v>24</v>
      </c>
      <c r="E6" s="183">
        <v>4594.5</v>
      </c>
      <c r="F6" s="184">
        <v>4617.5</v>
      </c>
      <c r="G6" s="184">
        <v>4594.5</v>
      </c>
      <c r="H6" s="184">
        <v>3160</v>
      </c>
      <c r="I6" s="184">
        <v>6513</v>
      </c>
      <c r="J6" s="184">
        <v>3947.2</v>
      </c>
      <c r="K6" s="184">
        <v>5127.5</v>
      </c>
      <c r="L6" s="184">
        <v>890.1</v>
      </c>
      <c r="M6" s="185">
        <v>19.3</v>
      </c>
      <c r="N6" s="186">
        <f t="shared" si="0"/>
        <v>4594.5</v>
      </c>
      <c r="O6" s="180">
        <f t="shared" si="1"/>
        <v>0</v>
      </c>
      <c r="P6" s="180"/>
      <c r="Q6" s="636"/>
      <c r="R6" s="636"/>
      <c r="S6" s="636"/>
      <c r="T6" s="636"/>
      <c r="U6" s="636"/>
      <c r="V6" s="636"/>
      <c r="W6" s="636"/>
      <c r="X6" s="636"/>
      <c r="Y6" s="636"/>
      <c r="Z6" s="46"/>
      <c r="AA6" s="46"/>
      <c r="AB6" s="46"/>
      <c r="AC6" s="46"/>
      <c r="AD6" s="46"/>
      <c r="AE6" s="46"/>
      <c r="AF6" s="46"/>
    </row>
    <row r="7" spans="1:32" ht="15" customHeight="1">
      <c r="A7" s="187" t="s">
        <v>4158</v>
      </c>
      <c r="B7" s="187" t="s">
        <v>3767</v>
      </c>
      <c r="C7" s="187" t="s">
        <v>4164</v>
      </c>
      <c r="D7" s="188">
        <v>24</v>
      </c>
      <c r="E7" s="183">
        <v>3915.5</v>
      </c>
      <c r="F7" s="189">
        <v>4052.4</v>
      </c>
      <c r="G7" s="189">
        <v>3915.5</v>
      </c>
      <c r="H7" s="189">
        <v>2656</v>
      </c>
      <c r="I7" s="189">
        <v>5764</v>
      </c>
      <c r="J7" s="189">
        <v>3343</v>
      </c>
      <c r="K7" s="189">
        <v>4705.2</v>
      </c>
      <c r="L7" s="189">
        <v>925.3</v>
      </c>
      <c r="M7" s="190">
        <v>22.8</v>
      </c>
      <c r="N7" s="186">
        <f t="shared" si="0"/>
        <v>4052.4</v>
      </c>
      <c r="O7" s="180">
        <f t="shared" si="1"/>
        <v>3.4963606180564447E-2</v>
      </c>
      <c r="P7" s="180"/>
      <c r="Q7" s="636"/>
      <c r="R7" s="636"/>
      <c r="S7" s="636"/>
      <c r="T7" s="636"/>
      <c r="U7" s="636"/>
      <c r="V7" s="636"/>
      <c r="W7" s="636"/>
      <c r="X7" s="636"/>
      <c r="Y7" s="636"/>
      <c r="Z7" s="46"/>
      <c r="AA7" s="46"/>
      <c r="AB7" s="46"/>
      <c r="AC7" s="46"/>
      <c r="AD7" s="46"/>
      <c r="AE7" s="46"/>
      <c r="AF7" s="46"/>
    </row>
    <row r="8" spans="1:32" ht="15" customHeight="1">
      <c r="A8" s="181" t="s">
        <v>4158</v>
      </c>
      <c r="B8" s="181" t="s">
        <v>3767</v>
      </c>
      <c r="C8" s="181" t="s">
        <v>4165</v>
      </c>
      <c r="D8" s="182">
        <v>23</v>
      </c>
      <c r="E8" s="183">
        <v>6726</v>
      </c>
      <c r="F8" s="184">
        <v>6960.6</v>
      </c>
      <c r="G8" s="184">
        <v>6726</v>
      </c>
      <c r="H8" s="184">
        <v>5750</v>
      </c>
      <c r="I8" s="184">
        <v>9203</v>
      </c>
      <c r="J8" s="184">
        <v>6000</v>
      </c>
      <c r="K8" s="184">
        <v>7926.5</v>
      </c>
      <c r="L8" s="184">
        <v>1141.5</v>
      </c>
      <c r="M8" s="185">
        <v>16.399999999999999</v>
      </c>
      <c r="N8" s="186">
        <f t="shared" si="0"/>
        <v>6726</v>
      </c>
      <c r="O8" s="180">
        <f t="shared" si="1"/>
        <v>0</v>
      </c>
      <c r="P8" s="180"/>
      <c r="Q8" s="636"/>
      <c r="R8" s="636"/>
      <c r="S8" s="636"/>
      <c r="T8" s="636"/>
      <c r="U8" s="636"/>
      <c r="V8" s="636"/>
      <c r="W8" s="636"/>
      <c r="X8" s="636"/>
      <c r="Y8" s="636"/>
      <c r="Z8" s="46"/>
      <c r="AA8" s="46"/>
      <c r="AB8" s="46"/>
      <c r="AC8" s="46"/>
      <c r="AD8" s="46"/>
      <c r="AE8" s="46"/>
      <c r="AF8" s="46"/>
    </row>
    <row r="9" spans="1:32" ht="15" customHeight="1">
      <c r="A9" s="187" t="s">
        <v>4158</v>
      </c>
      <c r="B9" s="187" t="s">
        <v>3767</v>
      </c>
      <c r="C9" s="187" t="s">
        <v>4166</v>
      </c>
      <c r="D9" s="188">
        <v>10</v>
      </c>
      <c r="E9" s="183">
        <v>3237.5</v>
      </c>
      <c r="F9" s="189">
        <v>3405.6</v>
      </c>
      <c r="G9" s="189">
        <v>3237.5</v>
      </c>
      <c r="H9" s="189">
        <v>2463</v>
      </c>
      <c r="I9" s="189">
        <v>4825</v>
      </c>
      <c r="J9" s="189">
        <v>2617.5</v>
      </c>
      <c r="K9" s="189">
        <v>4016.2</v>
      </c>
      <c r="L9" s="189">
        <v>868.9</v>
      </c>
      <c r="M9" s="190">
        <v>25.5</v>
      </c>
      <c r="N9" s="186">
        <f t="shared" si="0"/>
        <v>3405.6</v>
      </c>
      <c r="O9" s="180">
        <f t="shared" si="1"/>
        <v>5.1922779922779896E-2</v>
      </c>
      <c r="P9" s="180"/>
      <c r="Q9" s="636"/>
      <c r="R9" s="636"/>
      <c r="S9" s="636"/>
      <c r="T9" s="636"/>
      <c r="U9" s="636"/>
      <c r="V9" s="636"/>
      <c r="W9" s="636"/>
      <c r="X9" s="636"/>
      <c r="Y9" s="636"/>
      <c r="Z9" s="46"/>
      <c r="AA9" s="46"/>
      <c r="AB9" s="46"/>
      <c r="AC9" s="46"/>
      <c r="AD9" s="46"/>
      <c r="AE9" s="46"/>
      <c r="AF9" s="46"/>
    </row>
    <row r="10" spans="1:32" ht="15" customHeight="1">
      <c r="A10" s="181" t="s">
        <v>4158</v>
      </c>
      <c r="B10" s="181" t="s">
        <v>3767</v>
      </c>
      <c r="C10" s="181" t="s">
        <v>4167</v>
      </c>
      <c r="D10" s="182">
        <v>14</v>
      </c>
      <c r="E10" s="183">
        <v>4116.5</v>
      </c>
      <c r="F10" s="184">
        <v>4282.1000000000004</v>
      </c>
      <c r="G10" s="184">
        <v>4116.5</v>
      </c>
      <c r="H10" s="184">
        <v>2860</v>
      </c>
      <c r="I10" s="184">
        <v>6030</v>
      </c>
      <c r="J10" s="184">
        <v>3671</v>
      </c>
      <c r="K10" s="184">
        <v>4856</v>
      </c>
      <c r="L10" s="184">
        <v>872.9</v>
      </c>
      <c r="M10" s="185">
        <v>20.399999999999999</v>
      </c>
      <c r="N10" s="186">
        <f t="shared" si="0"/>
        <v>4282.1000000000004</v>
      </c>
      <c r="O10" s="180">
        <f t="shared" si="1"/>
        <v>4.0228349325883726E-2</v>
      </c>
      <c r="P10" s="180"/>
      <c r="Q10" s="636"/>
      <c r="R10" s="636"/>
      <c r="S10" s="636"/>
      <c r="T10" s="636"/>
      <c r="U10" s="636"/>
      <c r="V10" s="636"/>
      <c r="W10" s="636"/>
      <c r="X10" s="636"/>
      <c r="Y10" s="636"/>
      <c r="Z10" s="46"/>
      <c r="AA10" s="46"/>
      <c r="AB10" s="46"/>
      <c r="AC10" s="46"/>
      <c r="AD10" s="46"/>
      <c r="AE10" s="46"/>
      <c r="AF10" s="46"/>
    </row>
    <row r="11" spans="1:32" ht="15" customHeight="1">
      <c r="A11" s="187" t="s">
        <v>4158</v>
      </c>
      <c r="B11" s="187" t="s">
        <v>3767</v>
      </c>
      <c r="C11" s="187" t="s">
        <v>4168</v>
      </c>
      <c r="D11" s="188">
        <v>24</v>
      </c>
      <c r="E11" s="183">
        <v>4020</v>
      </c>
      <c r="F11" s="189">
        <v>4012.5</v>
      </c>
      <c r="G11" s="189">
        <v>4020</v>
      </c>
      <c r="H11" s="189">
        <v>2813</v>
      </c>
      <c r="I11" s="189">
        <v>5513</v>
      </c>
      <c r="J11" s="189">
        <v>3564</v>
      </c>
      <c r="K11" s="189">
        <v>4510.5</v>
      </c>
      <c r="L11" s="189">
        <v>707</v>
      </c>
      <c r="M11" s="190">
        <v>17.600000000000001</v>
      </c>
      <c r="N11" s="186">
        <f t="shared" si="0"/>
        <v>4020</v>
      </c>
      <c r="O11" s="180">
        <f t="shared" si="1"/>
        <v>0</v>
      </c>
      <c r="P11" s="180"/>
      <c r="Q11" s="636"/>
      <c r="R11" s="636"/>
      <c r="S11" s="636"/>
      <c r="T11" s="636"/>
      <c r="U11" s="636"/>
      <c r="V11" s="636"/>
      <c r="W11" s="636"/>
      <c r="X11" s="636"/>
      <c r="Y11" s="636"/>
      <c r="Z11" s="46"/>
      <c r="AA11" s="46"/>
      <c r="AB11" s="46"/>
      <c r="AC11" s="46"/>
      <c r="AD11" s="46"/>
      <c r="AE11" s="46"/>
      <c r="AF11" s="46"/>
    </row>
    <row r="12" spans="1:32" ht="15" customHeight="1">
      <c r="A12" s="181" t="s">
        <v>4158</v>
      </c>
      <c r="B12" s="181" t="s">
        <v>3767</v>
      </c>
      <c r="C12" s="181" t="s">
        <v>4169</v>
      </c>
      <c r="D12" s="182">
        <v>24</v>
      </c>
      <c r="E12" s="183">
        <v>6186</v>
      </c>
      <c r="F12" s="184">
        <v>6505.8</v>
      </c>
      <c r="G12" s="184">
        <v>6186</v>
      </c>
      <c r="H12" s="184">
        <v>4758</v>
      </c>
      <c r="I12" s="184">
        <v>8953</v>
      </c>
      <c r="J12" s="184">
        <v>5350.2</v>
      </c>
      <c r="K12" s="184">
        <v>7677.5</v>
      </c>
      <c r="L12" s="184">
        <v>1320.9</v>
      </c>
      <c r="M12" s="185">
        <v>20.3</v>
      </c>
      <c r="N12" s="186">
        <f t="shared" si="0"/>
        <v>6505.8</v>
      </c>
      <c r="O12" s="180">
        <f t="shared" si="1"/>
        <v>5.1697381183317195E-2</v>
      </c>
      <c r="P12" s="180"/>
      <c r="Q12" s="636"/>
      <c r="R12" s="636"/>
      <c r="S12" s="636"/>
      <c r="T12" s="636"/>
      <c r="U12" s="636"/>
      <c r="V12" s="636"/>
      <c r="W12" s="636"/>
      <c r="X12" s="636"/>
      <c r="Y12" s="636"/>
      <c r="Z12" s="46"/>
      <c r="AA12" s="46"/>
      <c r="AB12" s="46"/>
      <c r="AC12" s="46"/>
      <c r="AD12" s="46"/>
      <c r="AE12" s="46"/>
      <c r="AF12" s="46"/>
    </row>
    <row r="13" spans="1:32" ht="15" customHeight="1">
      <c r="A13" s="187" t="s">
        <v>4158</v>
      </c>
      <c r="B13" s="187" t="s">
        <v>3767</v>
      </c>
      <c r="C13" s="187" t="s">
        <v>4170</v>
      </c>
      <c r="D13" s="188">
        <v>24</v>
      </c>
      <c r="E13" s="183">
        <v>5375</v>
      </c>
      <c r="F13" s="189">
        <v>5344.5</v>
      </c>
      <c r="G13" s="189">
        <v>5375</v>
      </c>
      <c r="H13" s="189">
        <v>4078</v>
      </c>
      <c r="I13" s="189">
        <v>6769</v>
      </c>
      <c r="J13" s="189">
        <v>4653.8</v>
      </c>
      <c r="K13" s="189">
        <v>5912.2</v>
      </c>
      <c r="L13" s="189">
        <v>821.8</v>
      </c>
      <c r="M13" s="190">
        <v>15.4</v>
      </c>
      <c r="N13" s="186">
        <f t="shared" si="0"/>
        <v>5375</v>
      </c>
      <c r="O13" s="180">
        <f t="shared" si="1"/>
        <v>0</v>
      </c>
      <c r="P13" s="180"/>
      <c r="Q13" s="636"/>
      <c r="R13" s="636"/>
      <c r="S13" s="636"/>
      <c r="T13" s="636"/>
      <c r="U13" s="636"/>
      <c r="V13" s="636"/>
      <c r="W13" s="636"/>
      <c r="X13" s="636"/>
      <c r="Y13" s="636"/>
      <c r="Z13" s="46"/>
      <c r="AA13" s="46"/>
      <c r="AB13" s="46"/>
      <c r="AC13" s="46"/>
      <c r="AD13" s="46"/>
      <c r="AE13" s="46"/>
      <c r="AF13" s="46"/>
    </row>
    <row r="14" spans="1:32" ht="15" customHeight="1">
      <c r="A14" s="181" t="s">
        <v>4158</v>
      </c>
      <c r="B14" s="181" t="s">
        <v>3772</v>
      </c>
      <c r="C14" s="181" t="s">
        <v>4171</v>
      </c>
      <c r="D14" s="182">
        <v>24</v>
      </c>
      <c r="E14" s="183">
        <v>1872.5</v>
      </c>
      <c r="F14" s="184">
        <v>2286.8000000000002</v>
      </c>
      <c r="G14" s="184">
        <v>1872.5</v>
      </c>
      <c r="H14" s="184">
        <v>1053</v>
      </c>
      <c r="I14" s="184">
        <v>5678</v>
      </c>
      <c r="J14" s="184">
        <v>1257.2</v>
      </c>
      <c r="K14" s="184">
        <v>2767.8</v>
      </c>
      <c r="L14" s="184">
        <v>1316.5</v>
      </c>
      <c r="M14" s="185">
        <v>57.6</v>
      </c>
      <c r="N14" s="186">
        <f t="shared" si="0"/>
        <v>2012.5</v>
      </c>
      <c r="O14" s="180">
        <f t="shared" si="1"/>
        <v>7.476635514018691E-2</v>
      </c>
      <c r="P14" s="180"/>
      <c r="Q14" s="636"/>
      <c r="R14" s="636"/>
      <c r="S14" s="636"/>
      <c r="T14" s="636"/>
      <c r="U14" s="636"/>
      <c r="V14" s="636"/>
      <c r="W14" s="636"/>
      <c r="X14" s="636"/>
      <c r="Y14" s="636"/>
      <c r="Z14" s="46"/>
      <c r="AA14" s="46"/>
      <c r="AB14" s="46"/>
      <c r="AC14" s="46"/>
      <c r="AD14" s="46"/>
      <c r="AE14" s="46"/>
      <c r="AF14" s="46"/>
    </row>
    <row r="15" spans="1:32" ht="15" customHeight="1">
      <c r="A15" s="187" t="s">
        <v>4158</v>
      </c>
      <c r="B15" s="187" t="s">
        <v>3772</v>
      </c>
      <c r="C15" s="187" t="s">
        <v>4172</v>
      </c>
      <c r="D15" s="188">
        <v>24</v>
      </c>
      <c r="E15" s="183">
        <v>2190</v>
      </c>
      <c r="F15" s="189">
        <v>2576.5</v>
      </c>
      <c r="G15" s="189">
        <v>2190</v>
      </c>
      <c r="H15" s="189">
        <v>989</v>
      </c>
      <c r="I15" s="189">
        <v>5846</v>
      </c>
      <c r="J15" s="189">
        <v>1749</v>
      </c>
      <c r="K15" s="189">
        <v>3242</v>
      </c>
      <c r="L15" s="189">
        <v>1278.2</v>
      </c>
      <c r="M15" s="190">
        <v>49.6</v>
      </c>
      <c r="N15" s="186">
        <f t="shared" si="0"/>
        <v>2495.5</v>
      </c>
      <c r="O15" s="180">
        <f t="shared" si="1"/>
        <v>0.13949771689497717</v>
      </c>
      <c r="P15" s="180"/>
      <c r="Q15" s="636"/>
      <c r="R15" s="636"/>
      <c r="S15" s="636"/>
      <c r="T15" s="636"/>
      <c r="U15" s="636"/>
      <c r="V15" s="636"/>
      <c r="W15" s="636"/>
      <c r="X15" s="636"/>
      <c r="Y15" s="636"/>
      <c r="Z15" s="46"/>
      <c r="AA15" s="46"/>
      <c r="AB15" s="46"/>
      <c r="AC15" s="46"/>
      <c r="AD15" s="46"/>
      <c r="AE15" s="46"/>
      <c r="AF15" s="46"/>
    </row>
    <row r="16" spans="1:32">
      <c r="A16" s="181" t="s">
        <v>4158</v>
      </c>
      <c r="B16" s="181" t="s">
        <v>3772</v>
      </c>
      <c r="C16" s="181" t="s">
        <v>4159</v>
      </c>
      <c r="D16" s="182">
        <v>24</v>
      </c>
      <c r="E16" s="183">
        <v>2537</v>
      </c>
      <c r="F16" s="184">
        <v>2705.7</v>
      </c>
      <c r="G16" s="184">
        <v>2537</v>
      </c>
      <c r="H16" s="184">
        <v>685</v>
      </c>
      <c r="I16" s="184">
        <v>6039</v>
      </c>
      <c r="J16" s="184">
        <v>1639.8</v>
      </c>
      <c r="K16" s="184">
        <v>3584</v>
      </c>
      <c r="L16" s="184">
        <v>1300.0999999999999</v>
      </c>
      <c r="M16" s="185">
        <v>48</v>
      </c>
      <c r="N16" s="186">
        <f t="shared" si="0"/>
        <v>2611.9</v>
      </c>
      <c r="O16" s="180">
        <f t="shared" si="1"/>
        <v>2.9523058730784427E-2</v>
      </c>
      <c r="P16" s="180"/>
      <c r="Q16" s="180"/>
      <c r="R16" s="180"/>
      <c r="S16" s="180"/>
      <c r="T16" s="180"/>
      <c r="U16" s="180"/>
      <c r="V16" s="180"/>
      <c r="W16" s="180"/>
      <c r="X16" s="180"/>
      <c r="Y16" s="180"/>
    </row>
    <row r="17" spans="1:25">
      <c r="A17" s="187" t="s">
        <v>4158</v>
      </c>
      <c r="B17" s="187" t="s">
        <v>3772</v>
      </c>
      <c r="C17" s="187" t="s">
        <v>4173</v>
      </c>
      <c r="D17" s="188">
        <v>24</v>
      </c>
      <c r="E17" s="183">
        <v>1710.5</v>
      </c>
      <c r="F17" s="189">
        <v>2053.9</v>
      </c>
      <c r="G17" s="189">
        <v>1710.5</v>
      </c>
      <c r="H17" s="189">
        <v>527</v>
      </c>
      <c r="I17" s="189">
        <v>4997</v>
      </c>
      <c r="J17" s="189">
        <v>1284</v>
      </c>
      <c r="K17" s="189">
        <v>2789.2</v>
      </c>
      <c r="L17" s="189">
        <v>1182.9000000000001</v>
      </c>
      <c r="M17" s="190">
        <v>57.6</v>
      </c>
      <c r="N17" s="186">
        <f t="shared" si="0"/>
        <v>2036.6</v>
      </c>
      <c r="O17" s="180">
        <f t="shared" si="1"/>
        <v>0.19064600993861439</v>
      </c>
      <c r="P17" s="180"/>
      <c r="Q17" s="180"/>
      <c r="R17" s="180"/>
      <c r="S17" s="180"/>
      <c r="T17" s="180"/>
      <c r="U17" s="180"/>
      <c r="V17" s="180"/>
      <c r="W17" s="180"/>
      <c r="X17" s="180"/>
      <c r="Y17" s="180"/>
    </row>
    <row r="18" spans="1:25">
      <c r="A18" s="181" t="s">
        <v>4158</v>
      </c>
      <c r="B18" s="181" t="s">
        <v>3772</v>
      </c>
      <c r="C18" s="181" t="s">
        <v>4174</v>
      </c>
      <c r="D18" s="182">
        <v>22</v>
      </c>
      <c r="E18" s="183">
        <v>1742.5</v>
      </c>
      <c r="F18" s="184">
        <v>1910.3</v>
      </c>
      <c r="G18" s="184">
        <v>1742.5</v>
      </c>
      <c r="H18" s="184">
        <v>520</v>
      </c>
      <c r="I18" s="184">
        <v>3500</v>
      </c>
      <c r="J18" s="184">
        <v>1358</v>
      </c>
      <c r="K18" s="184">
        <v>2651.2</v>
      </c>
      <c r="L18" s="184">
        <v>933.5</v>
      </c>
      <c r="M18" s="185">
        <v>48.9</v>
      </c>
      <c r="N18" s="186">
        <f t="shared" si="0"/>
        <v>2004.6</v>
      </c>
      <c r="O18" s="180">
        <f t="shared" si="1"/>
        <v>0.15041606886657097</v>
      </c>
      <c r="P18" s="180"/>
      <c r="Q18" s="180"/>
      <c r="R18" s="180"/>
      <c r="S18" s="180"/>
      <c r="T18" s="180"/>
      <c r="U18" s="180"/>
      <c r="V18" s="180"/>
      <c r="W18" s="180"/>
      <c r="X18" s="180"/>
      <c r="Y18" s="180"/>
    </row>
    <row r="19" spans="1:25">
      <c r="A19" s="187" t="s">
        <v>4158</v>
      </c>
      <c r="B19" s="187" t="s">
        <v>3772</v>
      </c>
      <c r="C19" s="187" t="s">
        <v>4175</v>
      </c>
      <c r="D19" s="188">
        <v>24</v>
      </c>
      <c r="E19" s="183">
        <v>1886.5</v>
      </c>
      <c r="F19" s="189">
        <v>2154.5</v>
      </c>
      <c r="G19" s="189">
        <v>1886.5</v>
      </c>
      <c r="H19" s="189">
        <v>862</v>
      </c>
      <c r="I19" s="189">
        <v>4603</v>
      </c>
      <c r="J19" s="189">
        <v>1353.5</v>
      </c>
      <c r="K19" s="189">
        <v>2642.5</v>
      </c>
      <c r="L19" s="189">
        <v>1012.1</v>
      </c>
      <c r="M19" s="190">
        <v>47</v>
      </c>
      <c r="N19" s="186">
        <f t="shared" si="0"/>
        <v>1998</v>
      </c>
      <c r="O19" s="180">
        <f t="shared" si="1"/>
        <v>5.910416114497747E-2</v>
      </c>
      <c r="P19" s="180"/>
      <c r="Q19" s="180"/>
      <c r="R19" s="180"/>
      <c r="S19" s="180"/>
      <c r="T19" s="180"/>
      <c r="U19" s="180"/>
      <c r="V19" s="180"/>
      <c r="W19" s="180"/>
      <c r="X19" s="180"/>
      <c r="Y19" s="180"/>
    </row>
    <row r="20" spans="1:25">
      <c r="A20" s="181" t="s">
        <v>4158</v>
      </c>
      <c r="B20" s="181" t="s">
        <v>3772</v>
      </c>
      <c r="C20" s="181" t="s">
        <v>4176</v>
      </c>
      <c r="D20" s="182">
        <v>24</v>
      </c>
      <c r="E20" s="183">
        <v>1795</v>
      </c>
      <c r="F20" s="184">
        <v>2114.5</v>
      </c>
      <c r="G20" s="184">
        <v>1795</v>
      </c>
      <c r="H20" s="184">
        <v>844</v>
      </c>
      <c r="I20" s="184">
        <v>4713</v>
      </c>
      <c r="J20" s="184">
        <v>1187.2</v>
      </c>
      <c r="K20" s="184">
        <v>2707</v>
      </c>
      <c r="L20" s="184">
        <v>1040.7</v>
      </c>
      <c r="M20" s="185">
        <v>49.2</v>
      </c>
      <c r="N20" s="186">
        <f t="shared" si="0"/>
        <v>1947.1</v>
      </c>
      <c r="O20" s="180">
        <f t="shared" si="1"/>
        <v>8.4735376044568197E-2</v>
      </c>
      <c r="P20" s="180"/>
      <c r="Q20" s="180"/>
      <c r="R20" s="180"/>
      <c r="S20" s="180"/>
      <c r="T20" s="180"/>
      <c r="U20" s="180"/>
      <c r="V20" s="180"/>
      <c r="W20" s="180"/>
      <c r="X20" s="180"/>
      <c r="Y20" s="180"/>
    </row>
    <row r="21" spans="1:25">
      <c r="A21" s="187" t="s">
        <v>4158</v>
      </c>
      <c r="B21" s="187" t="s">
        <v>3772</v>
      </c>
      <c r="C21" s="187" t="s">
        <v>4177</v>
      </c>
      <c r="D21" s="188">
        <v>24</v>
      </c>
      <c r="E21" s="183">
        <v>2776</v>
      </c>
      <c r="F21" s="189">
        <v>2944.8</v>
      </c>
      <c r="G21" s="189">
        <v>2776</v>
      </c>
      <c r="H21" s="189">
        <v>1152</v>
      </c>
      <c r="I21" s="189">
        <v>5925</v>
      </c>
      <c r="J21" s="189">
        <v>2122</v>
      </c>
      <c r="K21" s="189">
        <v>3804.5</v>
      </c>
      <c r="L21" s="189">
        <v>1254.0999999999999</v>
      </c>
      <c r="M21" s="190">
        <v>42.6</v>
      </c>
      <c r="N21" s="186">
        <f t="shared" si="0"/>
        <v>2963.25</v>
      </c>
      <c r="O21" s="180">
        <f t="shared" si="1"/>
        <v>6.745317002881844E-2</v>
      </c>
      <c r="P21" s="180"/>
      <c r="Q21" s="180"/>
      <c r="R21" s="180"/>
      <c r="S21" s="180"/>
      <c r="T21" s="180"/>
      <c r="U21" s="180"/>
      <c r="V21" s="180"/>
      <c r="W21" s="180"/>
      <c r="X21" s="180"/>
      <c r="Y21" s="180"/>
    </row>
    <row r="22" spans="1:25">
      <c r="A22" s="181" t="s">
        <v>4158</v>
      </c>
      <c r="B22" s="181" t="s">
        <v>3772</v>
      </c>
      <c r="C22" s="181" t="s">
        <v>4178</v>
      </c>
      <c r="D22" s="182">
        <v>24</v>
      </c>
      <c r="E22" s="183">
        <v>2314</v>
      </c>
      <c r="F22" s="184">
        <v>2450.5</v>
      </c>
      <c r="G22" s="184">
        <v>2314</v>
      </c>
      <c r="H22" s="184">
        <v>1145</v>
      </c>
      <c r="I22" s="184">
        <v>5361</v>
      </c>
      <c r="J22" s="184">
        <v>1680.8</v>
      </c>
      <c r="K22" s="184">
        <v>3094.2</v>
      </c>
      <c r="L22" s="184">
        <v>1077.2</v>
      </c>
      <c r="M22" s="185">
        <v>44</v>
      </c>
      <c r="N22" s="186">
        <f t="shared" si="0"/>
        <v>2387.5</v>
      </c>
      <c r="O22" s="180">
        <f t="shared" si="1"/>
        <v>3.1763180639585137E-2</v>
      </c>
      <c r="P22" s="180"/>
      <c r="Q22" s="180"/>
      <c r="R22" s="180"/>
      <c r="S22" s="180"/>
      <c r="T22" s="180"/>
      <c r="U22" s="180"/>
      <c r="V22" s="180"/>
      <c r="W22" s="180"/>
      <c r="X22" s="180"/>
      <c r="Y22" s="180"/>
    </row>
    <row r="23" spans="1:25">
      <c r="A23" s="187" t="s">
        <v>4158</v>
      </c>
      <c r="B23" s="187" t="s">
        <v>3772</v>
      </c>
      <c r="C23" s="187" t="s">
        <v>4160</v>
      </c>
      <c r="D23" s="188">
        <v>24</v>
      </c>
      <c r="E23" s="183">
        <v>2090.5</v>
      </c>
      <c r="F23" s="189">
        <v>2492.5</v>
      </c>
      <c r="G23" s="189">
        <v>2090.5</v>
      </c>
      <c r="H23" s="189">
        <v>898</v>
      </c>
      <c r="I23" s="189">
        <v>5947</v>
      </c>
      <c r="J23" s="189">
        <v>1728</v>
      </c>
      <c r="K23" s="189">
        <v>3094.2</v>
      </c>
      <c r="L23" s="189">
        <v>1291.4000000000001</v>
      </c>
      <c r="M23" s="190">
        <v>51.8</v>
      </c>
      <c r="N23" s="186">
        <f t="shared" si="0"/>
        <v>2411.1</v>
      </c>
      <c r="O23" s="180">
        <f t="shared" si="1"/>
        <v>0.15336044008610375</v>
      </c>
      <c r="P23" s="180"/>
      <c r="Q23" s="180"/>
      <c r="R23" s="180"/>
      <c r="S23" s="180"/>
      <c r="T23" s="180"/>
      <c r="U23" s="180"/>
      <c r="V23" s="180"/>
      <c r="W23" s="180"/>
      <c r="X23" s="180"/>
      <c r="Y23" s="180"/>
    </row>
    <row r="24" spans="1:25">
      <c r="A24" s="181" t="s">
        <v>4158</v>
      </c>
      <c r="B24" s="181" t="s">
        <v>3772</v>
      </c>
      <c r="C24" s="181" t="s">
        <v>4179</v>
      </c>
      <c r="D24" s="182">
        <v>24</v>
      </c>
      <c r="E24" s="183">
        <v>2498</v>
      </c>
      <c r="F24" s="184">
        <v>2656.8</v>
      </c>
      <c r="G24" s="184">
        <v>2498</v>
      </c>
      <c r="H24" s="184">
        <v>1035</v>
      </c>
      <c r="I24" s="184">
        <v>5328</v>
      </c>
      <c r="J24" s="184">
        <v>1713</v>
      </c>
      <c r="K24" s="184">
        <v>3273.2</v>
      </c>
      <c r="L24" s="184">
        <v>1213.5999999999999</v>
      </c>
      <c r="M24" s="185">
        <v>45.7</v>
      </c>
      <c r="N24" s="186">
        <f t="shared" si="0"/>
        <v>2493.1</v>
      </c>
      <c r="O24" s="180">
        <f t="shared" si="1"/>
        <v>-1.9615692554043598E-3</v>
      </c>
      <c r="P24" s="180"/>
      <c r="Q24" s="180"/>
      <c r="R24" s="180"/>
      <c r="S24" s="180"/>
      <c r="T24" s="180"/>
      <c r="U24" s="180"/>
      <c r="V24" s="180"/>
      <c r="W24" s="180"/>
      <c r="X24" s="180"/>
      <c r="Y24" s="180"/>
    </row>
    <row r="25" spans="1:25">
      <c r="A25" s="187" t="s">
        <v>4158</v>
      </c>
      <c r="B25" s="187" t="s">
        <v>3772</v>
      </c>
      <c r="C25" s="187" t="s">
        <v>4161</v>
      </c>
      <c r="D25" s="188">
        <v>24</v>
      </c>
      <c r="E25" s="183">
        <v>2459.5</v>
      </c>
      <c r="F25" s="189">
        <v>2884.5</v>
      </c>
      <c r="G25" s="189">
        <v>2459.5</v>
      </c>
      <c r="H25" s="189">
        <v>985</v>
      </c>
      <c r="I25" s="189">
        <v>6515</v>
      </c>
      <c r="J25" s="189">
        <v>1954</v>
      </c>
      <c r="K25" s="189">
        <v>3602</v>
      </c>
      <c r="L25" s="189">
        <v>1477.8</v>
      </c>
      <c r="M25" s="190">
        <v>51.2</v>
      </c>
      <c r="N25" s="186">
        <f t="shared" si="0"/>
        <v>2778</v>
      </c>
      <c r="O25" s="180">
        <f t="shared" si="1"/>
        <v>0.12949786541980077</v>
      </c>
      <c r="P25" s="180"/>
      <c r="Q25" s="180"/>
      <c r="R25" s="180"/>
      <c r="S25" s="180"/>
      <c r="T25" s="180"/>
      <c r="U25" s="180"/>
      <c r="V25" s="180"/>
      <c r="W25" s="180"/>
      <c r="X25" s="180"/>
      <c r="Y25" s="180"/>
    </row>
    <row r="26" spans="1:25">
      <c r="A26" s="181" t="s">
        <v>4158</v>
      </c>
      <c r="B26" s="181" t="s">
        <v>3772</v>
      </c>
      <c r="C26" s="181" t="s">
        <v>4180</v>
      </c>
      <c r="D26" s="182">
        <v>24</v>
      </c>
      <c r="E26" s="183">
        <v>2128.5</v>
      </c>
      <c r="F26" s="184">
        <v>2481.9</v>
      </c>
      <c r="G26" s="184">
        <v>2128.5</v>
      </c>
      <c r="H26" s="184">
        <v>1195</v>
      </c>
      <c r="I26" s="184">
        <v>4747</v>
      </c>
      <c r="J26" s="184">
        <v>1868</v>
      </c>
      <c r="K26" s="184">
        <v>2925</v>
      </c>
      <c r="L26" s="184">
        <v>1051.0999999999999</v>
      </c>
      <c r="M26" s="185">
        <v>42.4</v>
      </c>
      <c r="N26" s="186">
        <f t="shared" si="0"/>
        <v>2396.5</v>
      </c>
      <c r="O26" s="180">
        <f t="shared" si="1"/>
        <v>0.12591026544514916</v>
      </c>
      <c r="P26" s="180"/>
      <c r="Q26" s="180"/>
      <c r="R26" s="180"/>
      <c r="S26" s="180"/>
      <c r="T26" s="180"/>
      <c r="U26" s="180"/>
      <c r="V26" s="180"/>
      <c r="W26" s="180"/>
      <c r="X26" s="180"/>
      <c r="Y26" s="180"/>
    </row>
    <row r="27" spans="1:25">
      <c r="A27" s="187" t="s">
        <v>4158</v>
      </c>
      <c r="B27" s="187" t="s">
        <v>3772</v>
      </c>
      <c r="C27" s="187" t="s">
        <v>4181</v>
      </c>
      <c r="D27" s="188">
        <v>24</v>
      </c>
      <c r="E27" s="183">
        <v>1850</v>
      </c>
      <c r="F27" s="189">
        <v>2154.1</v>
      </c>
      <c r="G27" s="189">
        <v>1850</v>
      </c>
      <c r="H27" s="189">
        <v>910</v>
      </c>
      <c r="I27" s="189">
        <v>4804</v>
      </c>
      <c r="J27" s="189">
        <v>1186</v>
      </c>
      <c r="K27" s="189">
        <v>2994.5</v>
      </c>
      <c r="L27" s="189">
        <v>1064.3</v>
      </c>
      <c r="M27" s="190">
        <v>49.4</v>
      </c>
      <c r="N27" s="186">
        <f t="shared" si="0"/>
        <v>2090.25</v>
      </c>
      <c r="O27" s="180">
        <f t="shared" si="1"/>
        <v>0.12986486486486487</v>
      </c>
      <c r="P27" s="180"/>
      <c r="Q27" s="180"/>
      <c r="R27" s="180"/>
      <c r="S27" s="180"/>
      <c r="T27" s="180"/>
      <c r="U27" s="180"/>
      <c r="V27" s="180"/>
      <c r="W27" s="180"/>
      <c r="X27" s="180"/>
      <c r="Y27" s="180"/>
    </row>
    <row r="28" spans="1:25">
      <c r="A28" s="181" t="s">
        <v>4158</v>
      </c>
      <c r="B28" s="181" t="s">
        <v>3772</v>
      </c>
      <c r="C28" s="181" t="s">
        <v>4182</v>
      </c>
      <c r="D28" s="182">
        <v>24</v>
      </c>
      <c r="E28" s="183">
        <v>1720.5</v>
      </c>
      <c r="F28" s="184">
        <v>1922.4</v>
      </c>
      <c r="G28" s="184">
        <v>1720.5</v>
      </c>
      <c r="H28" s="184">
        <v>858</v>
      </c>
      <c r="I28" s="184">
        <v>3867</v>
      </c>
      <c r="J28" s="184">
        <v>1250.2</v>
      </c>
      <c r="K28" s="184">
        <v>2446.5</v>
      </c>
      <c r="L28" s="184">
        <v>836.5</v>
      </c>
      <c r="M28" s="185">
        <v>43.5</v>
      </c>
      <c r="N28" s="186">
        <f t="shared" si="0"/>
        <v>1848.35</v>
      </c>
      <c r="O28" s="180">
        <f t="shared" si="1"/>
        <v>7.430979366463232E-2</v>
      </c>
      <c r="P28" s="180"/>
      <c r="Q28" s="180"/>
      <c r="R28" s="180"/>
      <c r="S28" s="180"/>
      <c r="T28" s="180"/>
      <c r="U28" s="180"/>
      <c r="V28" s="180"/>
      <c r="W28" s="180"/>
      <c r="X28" s="180"/>
      <c r="Y28" s="180"/>
    </row>
    <row r="29" spans="1:25">
      <c r="A29" s="187" t="s">
        <v>4158</v>
      </c>
      <c r="B29" s="187" t="s">
        <v>3772</v>
      </c>
      <c r="C29" s="187" t="s">
        <v>4163</v>
      </c>
      <c r="D29" s="188">
        <v>24</v>
      </c>
      <c r="E29" s="183">
        <v>2042</v>
      </c>
      <c r="F29" s="189">
        <v>2478.8000000000002</v>
      </c>
      <c r="G29" s="189">
        <v>2042</v>
      </c>
      <c r="H29" s="189">
        <v>842</v>
      </c>
      <c r="I29" s="189">
        <v>5888</v>
      </c>
      <c r="J29" s="189">
        <v>1576</v>
      </c>
      <c r="K29" s="189">
        <v>3284.8</v>
      </c>
      <c r="L29" s="189">
        <v>1366.2</v>
      </c>
      <c r="M29" s="190">
        <v>55.1</v>
      </c>
      <c r="N29" s="186">
        <f t="shared" si="0"/>
        <v>2430.4</v>
      </c>
      <c r="O29" s="180">
        <f t="shared" si="1"/>
        <v>0.19020568070519103</v>
      </c>
      <c r="P29" s="180"/>
      <c r="Q29" s="180"/>
      <c r="R29" s="180"/>
      <c r="S29" s="180"/>
      <c r="T29" s="180"/>
      <c r="U29" s="180"/>
      <c r="V29" s="180"/>
      <c r="W29" s="180"/>
      <c r="X29" s="180"/>
      <c r="Y29" s="180"/>
    </row>
    <row r="30" spans="1:25">
      <c r="A30" s="181" t="s">
        <v>4158</v>
      </c>
      <c r="B30" s="181" t="s">
        <v>3772</v>
      </c>
      <c r="C30" s="181" t="s">
        <v>4183</v>
      </c>
      <c r="D30" s="182">
        <v>24</v>
      </c>
      <c r="E30" s="183">
        <v>2109.5</v>
      </c>
      <c r="F30" s="184">
        <v>2457.5</v>
      </c>
      <c r="G30" s="184">
        <v>2109.5</v>
      </c>
      <c r="H30" s="184">
        <v>1002</v>
      </c>
      <c r="I30" s="184">
        <v>5498</v>
      </c>
      <c r="J30" s="184">
        <v>1509.8</v>
      </c>
      <c r="K30" s="184">
        <v>3015</v>
      </c>
      <c r="L30" s="184">
        <v>1247.9000000000001</v>
      </c>
      <c r="M30" s="185">
        <v>50.8</v>
      </c>
      <c r="N30" s="186">
        <f t="shared" si="0"/>
        <v>2262.4</v>
      </c>
      <c r="O30" s="180">
        <f t="shared" si="1"/>
        <v>7.2481630718179701E-2</v>
      </c>
      <c r="P30" s="180"/>
      <c r="Q30" s="180"/>
      <c r="R30" s="180"/>
      <c r="S30" s="180"/>
      <c r="T30" s="180"/>
      <c r="U30" s="180"/>
      <c r="V30" s="180"/>
      <c r="W30" s="180"/>
      <c r="X30" s="180"/>
      <c r="Y30" s="180"/>
    </row>
    <row r="31" spans="1:25">
      <c r="A31" s="187" t="s">
        <v>4158</v>
      </c>
      <c r="B31" s="187" t="s">
        <v>3772</v>
      </c>
      <c r="C31" s="187" t="s">
        <v>4184</v>
      </c>
      <c r="D31" s="188">
        <v>23</v>
      </c>
      <c r="E31" s="183">
        <v>1904</v>
      </c>
      <c r="F31" s="189">
        <v>2304.1999999999998</v>
      </c>
      <c r="G31" s="189">
        <v>1904</v>
      </c>
      <c r="H31" s="189">
        <v>968</v>
      </c>
      <c r="I31" s="189">
        <v>5133</v>
      </c>
      <c r="J31" s="189">
        <v>1420.5</v>
      </c>
      <c r="K31" s="189">
        <v>3002.5</v>
      </c>
      <c r="L31" s="189">
        <v>1174.3</v>
      </c>
      <c r="M31" s="190">
        <v>51</v>
      </c>
      <c r="N31" s="186">
        <f t="shared" si="0"/>
        <v>2211.5</v>
      </c>
      <c r="O31" s="180">
        <f t="shared" si="1"/>
        <v>0.16150210084033614</v>
      </c>
      <c r="P31" s="180"/>
      <c r="Q31" s="180"/>
      <c r="R31" s="180"/>
      <c r="S31" s="180"/>
      <c r="T31" s="180"/>
      <c r="U31" s="180"/>
      <c r="V31" s="180"/>
      <c r="W31" s="180"/>
      <c r="X31" s="180"/>
      <c r="Y31" s="180"/>
    </row>
    <row r="32" spans="1:25">
      <c r="A32" s="181" t="s">
        <v>4158</v>
      </c>
      <c r="B32" s="181" t="s">
        <v>3772</v>
      </c>
      <c r="C32" s="181" t="s">
        <v>4185</v>
      </c>
      <c r="D32" s="182">
        <v>24</v>
      </c>
      <c r="E32" s="183">
        <v>2055.5</v>
      </c>
      <c r="F32" s="184">
        <v>2299.3000000000002</v>
      </c>
      <c r="G32" s="184">
        <v>2055.5</v>
      </c>
      <c r="H32" s="184">
        <v>878</v>
      </c>
      <c r="I32" s="184">
        <v>4650</v>
      </c>
      <c r="J32" s="184">
        <v>1558.5</v>
      </c>
      <c r="K32" s="184">
        <v>2784.8</v>
      </c>
      <c r="L32" s="184">
        <v>1006</v>
      </c>
      <c r="M32" s="185">
        <v>43.8</v>
      </c>
      <c r="N32" s="186">
        <f t="shared" si="0"/>
        <v>2171.65</v>
      </c>
      <c r="O32" s="180">
        <f t="shared" si="1"/>
        <v>5.6506932619800582E-2</v>
      </c>
      <c r="P32" s="180"/>
      <c r="Q32" s="180"/>
      <c r="R32" s="180"/>
      <c r="S32" s="180"/>
      <c r="T32" s="180"/>
      <c r="U32" s="180"/>
      <c r="V32" s="180"/>
      <c r="W32" s="180"/>
      <c r="X32" s="180"/>
      <c r="Y32" s="180"/>
    </row>
    <row r="33" spans="1:25">
      <c r="A33" s="187" t="s">
        <v>4158</v>
      </c>
      <c r="B33" s="187" t="s">
        <v>3772</v>
      </c>
      <c r="C33" s="187" t="s">
        <v>4186</v>
      </c>
      <c r="D33" s="188">
        <v>24</v>
      </c>
      <c r="E33" s="183">
        <v>2330.5</v>
      </c>
      <c r="F33" s="189">
        <v>2461</v>
      </c>
      <c r="G33" s="189">
        <v>2330.5</v>
      </c>
      <c r="H33" s="189">
        <v>1129</v>
      </c>
      <c r="I33" s="189">
        <v>5208</v>
      </c>
      <c r="J33" s="189">
        <v>2012.5</v>
      </c>
      <c r="K33" s="189">
        <v>2837.2</v>
      </c>
      <c r="L33" s="189">
        <v>914.1</v>
      </c>
      <c r="M33" s="190">
        <v>37.1</v>
      </c>
      <c r="N33" s="186">
        <f t="shared" si="0"/>
        <v>2424.85</v>
      </c>
      <c r="O33" s="180">
        <f t="shared" si="1"/>
        <v>4.0484874490452655E-2</v>
      </c>
      <c r="P33" s="180"/>
      <c r="Q33" s="180"/>
      <c r="R33" s="180"/>
      <c r="S33" s="180"/>
      <c r="T33" s="180"/>
      <c r="U33" s="180"/>
      <c r="V33" s="180"/>
      <c r="W33" s="180"/>
      <c r="X33" s="180"/>
      <c r="Y33" s="180"/>
    </row>
    <row r="34" spans="1:25">
      <c r="A34" s="181" t="s">
        <v>4158</v>
      </c>
      <c r="B34" s="181" t="s">
        <v>3772</v>
      </c>
      <c r="C34" s="181" t="s">
        <v>4187</v>
      </c>
      <c r="D34" s="182">
        <v>24</v>
      </c>
      <c r="E34" s="183">
        <v>1477</v>
      </c>
      <c r="F34" s="184">
        <v>1773.1</v>
      </c>
      <c r="G34" s="184">
        <v>1477</v>
      </c>
      <c r="H34" s="184">
        <v>779</v>
      </c>
      <c r="I34" s="184">
        <v>3745</v>
      </c>
      <c r="J34" s="184">
        <v>1065.2</v>
      </c>
      <c r="K34" s="184">
        <v>2118.5</v>
      </c>
      <c r="L34" s="184">
        <v>890.3</v>
      </c>
      <c r="M34" s="185">
        <v>50.2</v>
      </c>
      <c r="N34" s="186">
        <f t="shared" si="0"/>
        <v>1591.85</v>
      </c>
      <c r="O34" s="180">
        <f t="shared" si="1"/>
        <v>7.7758970886932913E-2</v>
      </c>
      <c r="P34" s="180"/>
      <c r="Q34" s="180"/>
      <c r="R34" s="180"/>
      <c r="S34" s="180"/>
      <c r="T34" s="180"/>
      <c r="U34" s="180"/>
      <c r="V34" s="180"/>
      <c r="W34" s="180"/>
      <c r="X34" s="180"/>
      <c r="Y34" s="180"/>
    </row>
    <row r="35" spans="1:25">
      <c r="A35" s="187" t="s">
        <v>4158</v>
      </c>
      <c r="B35" s="187" t="s">
        <v>3772</v>
      </c>
      <c r="C35" s="187" t="s">
        <v>4188</v>
      </c>
      <c r="D35" s="188">
        <v>24</v>
      </c>
      <c r="E35" s="183">
        <v>2110</v>
      </c>
      <c r="F35" s="189">
        <v>2304.6</v>
      </c>
      <c r="G35" s="189">
        <v>2110</v>
      </c>
      <c r="H35" s="189">
        <v>959</v>
      </c>
      <c r="I35" s="189">
        <v>4967</v>
      </c>
      <c r="J35" s="189">
        <v>1605</v>
      </c>
      <c r="K35" s="189">
        <v>2839.5</v>
      </c>
      <c r="L35" s="189">
        <v>1083.0999999999999</v>
      </c>
      <c r="M35" s="190">
        <v>47</v>
      </c>
      <c r="N35" s="186">
        <f t="shared" si="0"/>
        <v>2222.25</v>
      </c>
      <c r="O35" s="180">
        <f t="shared" si="1"/>
        <v>5.3199052132701423E-2</v>
      </c>
      <c r="P35" s="180"/>
      <c r="Q35" s="180"/>
      <c r="R35" s="180"/>
      <c r="S35" s="180"/>
      <c r="T35" s="180"/>
      <c r="U35" s="180"/>
      <c r="V35" s="180"/>
      <c r="W35" s="180"/>
      <c r="X35" s="180"/>
      <c r="Y35" s="180"/>
    </row>
    <row r="36" spans="1:25">
      <c r="A36" s="181" t="s">
        <v>4158</v>
      </c>
      <c r="B36" s="181" t="s">
        <v>3772</v>
      </c>
      <c r="C36" s="181" t="s">
        <v>4189</v>
      </c>
      <c r="D36" s="182">
        <v>24</v>
      </c>
      <c r="E36" s="183">
        <v>1991</v>
      </c>
      <c r="F36" s="184">
        <v>2257.5</v>
      </c>
      <c r="G36" s="184">
        <v>1991</v>
      </c>
      <c r="H36" s="184">
        <v>865</v>
      </c>
      <c r="I36" s="184">
        <v>4990</v>
      </c>
      <c r="J36" s="184">
        <v>1456.8</v>
      </c>
      <c r="K36" s="184">
        <v>2813</v>
      </c>
      <c r="L36" s="184">
        <v>1106.9000000000001</v>
      </c>
      <c r="M36" s="185">
        <v>49</v>
      </c>
      <c r="N36" s="186">
        <f t="shared" si="0"/>
        <v>2134.9</v>
      </c>
      <c r="O36" s="180">
        <f t="shared" si="1"/>
        <v>7.227523857358116E-2</v>
      </c>
      <c r="P36" s="180"/>
      <c r="Q36" s="180"/>
      <c r="R36" s="180"/>
      <c r="S36" s="180"/>
      <c r="T36" s="180"/>
      <c r="U36" s="180"/>
      <c r="V36" s="180"/>
      <c r="W36" s="180"/>
      <c r="X36" s="180"/>
      <c r="Y36" s="180"/>
    </row>
    <row r="37" spans="1:25">
      <c r="A37" s="187" t="s">
        <v>4158</v>
      </c>
      <c r="B37" s="187" t="s">
        <v>3772</v>
      </c>
      <c r="C37" s="187" t="s">
        <v>4164</v>
      </c>
      <c r="D37" s="188">
        <v>24</v>
      </c>
      <c r="E37" s="183">
        <v>2545.5</v>
      </c>
      <c r="F37" s="189">
        <v>2921</v>
      </c>
      <c r="G37" s="189">
        <v>2545.5</v>
      </c>
      <c r="H37" s="189">
        <v>1295</v>
      </c>
      <c r="I37" s="189">
        <v>6572</v>
      </c>
      <c r="J37" s="189">
        <v>1896.2</v>
      </c>
      <c r="K37" s="189">
        <v>3638</v>
      </c>
      <c r="L37" s="189">
        <v>1428.2</v>
      </c>
      <c r="M37" s="190">
        <v>48.9</v>
      </c>
      <c r="N37" s="186">
        <f t="shared" si="0"/>
        <v>2767.1</v>
      </c>
      <c r="O37" s="180">
        <f t="shared" si="1"/>
        <v>8.7055588293066158E-2</v>
      </c>
      <c r="P37" s="180"/>
      <c r="Q37" s="180"/>
      <c r="R37" s="180"/>
      <c r="S37" s="180"/>
      <c r="T37" s="180"/>
      <c r="U37" s="180"/>
      <c r="V37" s="180"/>
      <c r="W37" s="180"/>
      <c r="X37" s="180"/>
      <c r="Y37" s="180"/>
    </row>
    <row r="38" spans="1:25">
      <c r="A38" s="181" t="s">
        <v>4158</v>
      </c>
      <c r="B38" s="181" t="s">
        <v>3772</v>
      </c>
      <c r="C38" s="181" t="s">
        <v>4165</v>
      </c>
      <c r="D38" s="182">
        <v>24</v>
      </c>
      <c r="E38" s="183">
        <v>1546.5</v>
      </c>
      <c r="F38" s="184">
        <v>1797.4</v>
      </c>
      <c r="G38" s="184">
        <v>1546.5</v>
      </c>
      <c r="H38" s="184">
        <v>398</v>
      </c>
      <c r="I38" s="184">
        <v>4563</v>
      </c>
      <c r="J38" s="184">
        <v>1009.8</v>
      </c>
      <c r="K38" s="184">
        <v>2470.8000000000002</v>
      </c>
      <c r="L38" s="184">
        <v>1085</v>
      </c>
      <c r="M38" s="185">
        <v>60.4</v>
      </c>
      <c r="N38" s="186">
        <f t="shared" si="0"/>
        <v>1740.3000000000002</v>
      </c>
      <c r="O38" s="180">
        <f t="shared" si="1"/>
        <v>0.12531522793404473</v>
      </c>
      <c r="P38" s="180"/>
      <c r="Q38" s="180"/>
      <c r="R38" s="180"/>
      <c r="S38" s="180"/>
      <c r="T38" s="180"/>
      <c r="U38" s="180"/>
      <c r="V38" s="180"/>
      <c r="W38" s="180"/>
      <c r="X38" s="180"/>
      <c r="Y38" s="180"/>
    </row>
    <row r="39" spans="1:25">
      <c r="A39" s="187" t="s">
        <v>4158</v>
      </c>
      <c r="B39" s="187" t="s">
        <v>3772</v>
      </c>
      <c r="C39" s="187" t="s">
        <v>4190</v>
      </c>
      <c r="D39" s="188">
        <v>24</v>
      </c>
      <c r="E39" s="183">
        <v>1094.5</v>
      </c>
      <c r="F39" s="189">
        <v>1427.2</v>
      </c>
      <c r="G39" s="189">
        <v>1094.5</v>
      </c>
      <c r="H39" s="189">
        <v>392</v>
      </c>
      <c r="I39" s="189">
        <v>3392</v>
      </c>
      <c r="J39" s="189">
        <v>778.2</v>
      </c>
      <c r="K39" s="189">
        <v>1931.8</v>
      </c>
      <c r="L39" s="189">
        <v>825.3</v>
      </c>
      <c r="M39" s="190">
        <v>57.8</v>
      </c>
      <c r="N39" s="186">
        <f t="shared" si="0"/>
        <v>1355</v>
      </c>
      <c r="O39" s="180">
        <f t="shared" si="1"/>
        <v>0.23800822293284604</v>
      </c>
      <c r="P39" s="180"/>
      <c r="Q39" s="180"/>
      <c r="R39" s="180"/>
      <c r="S39" s="180"/>
      <c r="T39" s="180"/>
      <c r="U39" s="180"/>
      <c r="V39" s="180"/>
      <c r="W39" s="180"/>
      <c r="X39" s="180"/>
      <c r="Y39" s="180"/>
    </row>
    <row r="40" spans="1:25">
      <c r="A40" s="181" t="s">
        <v>4158</v>
      </c>
      <c r="B40" s="181" t="s">
        <v>3772</v>
      </c>
      <c r="C40" s="181" t="s">
        <v>4191</v>
      </c>
      <c r="D40" s="182">
        <v>24</v>
      </c>
      <c r="E40" s="183">
        <v>1556.5</v>
      </c>
      <c r="F40" s="184">
        <v>1676.5</v>
      </c>
      <c r="G40" s="184">
        <v>1556.5</v>
      </c>
      <c r="H40" s="184">
        <v>400</v>
      </c>
      <c r="I40" s="184">
        <v>4133</v>
      </c>
      <c r="J40" s="184">
        <v>1061.8</v>
      </c>
      <c r="K40" s="184">
        <v>2158.8000000000002</v>
      </c>
      <c r="L40" s="184">
        <v>935.7</v>
      </c>
      <c r="M40" s="185">
        <v>55.8</v>
      </c>
      <c r="N40" s="186">
        <f t="shared" si="0"/>
        <v>1610.3000000000002</v>
      </c>
      <c r="O40" s="180">
        <f t="shared" si="1"/>
        <v>3.4564728557661538E-2</v>
      </c>
      <c r="P40" s="180"/>
      <c r="Q40" s="180"/>
      <c r="R40" s="180"/>
      <c r="S40" s="180"/>
      <c r="T40" s="180"/>
      <c r="U40" s="180"/>
      <c r="V40" s="180"/>
      <c r="W40" s="180"/>
      <c r="X40" s="180"/>
      <c r="Y40" s="180"/>
    </row>
    <row r="41" spans="1:25">
      <c r="A41" s="187" t="s">
        <v>4158</v>
      </c>
      <c r="B41" s="187" t="s">
        <v>3772</v>
      </c>
      <c r="C41" s="187" t="s">
        <v>4169</v>
      </c>
      <c r="D41" s="188">
        <v>24</v>
      </c>
      <c r="E41" s="183">
        <v>2405.5</v>
      </c>
      <c r="F41" s="189">
        <v>2795</v>
      </c>
      <c r="G41" s="189">
        <v>2405.5</v>
      </c>
      <c r="H41" s="189">
        <v>1087</v>
      </c>
      <c r="I41" s="189">
        <v>6204</v>
      </c>
      <c r="J41" s="189">
        <v>1926.2</v>
      </c>
      <c r="K41" s="189">
        <v>3604.8</v>
      </c>
      <c r="L41" s="189">
        <v>1333.4</v>
      </c>
      <c r="M41" s="190">
        <v>47.7</v>
      </c>
      <c r="N41" s="186">
        <f t="shared" si="0"/>
        <v>2765.5</v>
      </c>
      <c r="O41" s="180">
        <f t="shared" si="1"/>
        <v>0.14965703595926003</v>
      </c>
      <c r="P41" s="180"/>
      <c r="Q41" s="180"/>
      <c r="R41" s="180"/>
      <c r="S41" s="180"/>
      <c r="T41" s="180"/>
      <c r="U41" s="180"/>
      <c r="V41" s="180"/>
      <c r="W41" s="180"/>
      <c r="X41" s="180"/>
      <c r="Y41" s="180"/>
    </row>
    <row r="42" spans="1:25">
      <c r="A42" s="181" t="s">
        <v>4158</v>
      </c>
      <c r="B42" s="181" t="s">
        <v>3772</v>
      </c>
      <c r="C42" s="181" t="s">
        <v>4192</v>
      </c>
      <c r="D42" s="182">
        <v>24</v>
      </c>
      <c r="E42" s="183">
        <v>2159.5</v>
      </c>
      <c r="F42" s="184">
        <v>2309.3000000000002</v>
      </c>
      <c r="G42" s="184">
        <v>2159.5</v>
      </c>
      <c r="H42" s="184">
        <v>1033</v>
      </c>
      <c r="I42" s="184">
        <v>4321</v>
      </c>
      <c r="J42" s="184">
        <v>1654</v>
      </c>
      <c r="K42" s="184">
        <v>2661.5</v>
      </c>
      <c r="L42" s="184">
        <v>924</v>
      </c>
      <c r="M42" s="185">
        <v>40</v>
      </c>
      <c r="N42" s="186">
        <f t="shared" si="0"/>
        <v>2157.75</v>
      </c>
      <c r="O42" s="180">
        <f t="shared" si="1"/>
        <v>-8.1037277147487841E-4</v>
      </c>
      <c r="P42" s="180"/>
      <c r="Q42" s="180"/>
      <c r="R42" s="180"/>
      <c r="S42" s="180"/>
      <c r="T42" s="180"/>
      <c r="U42" s="180"/>
      <c r="V42" s="180"/>
      <c r="W42" s="180"/>
      <c r="X42" s="180"/>
      <c r="Y42" s="180"/>
    </row>
    <row r="43" spans="1:25">
      <c r="A43" s="187" t="s">
        <v>4158</v>
      </c>
      <c r="B43" s="187" t="s">
        <v>3772</v>
      </c>
      <c r="C43" s="187" t="s">
        <v>4170</v>
      </c>
      <c r="D43" s="188">
        <v>24</v>
      </c>
      <c r="E43" s="183">
        <v>1917.5</v>
      </c>
      <c r="F43" s="189">
        <v>2376.5</v>
      </c>
      <c r="G43" s="189">
        <v>1917.5</v>
      </c>
      <c r="H43" s="189">
        <v>918</v>
      </c>
      <c r="I43" s="189">
        <v>5346</v>
      </c>
      <c r="J43" s="189">
        <v>1555.5</v>
      </c>
      <c r="K43" s="189">
        <v>3223.8</v>
      </c>
      <c r="L43" s="189">
        <v>1243.0999999999999</v>
      </c>
      <c r="M43" s="190">
        <v>52.3</v>
      </c>
      <c r="N43" s="186">
        <f t="shared" si="0"/>
        <v>2389.65</v>
      </c>
      <c r="O43" s="180">
        <f t="shared" si="1"/>
        <v>0.24623207301173408</v>
      </c>
      <c r="P43" s="180"/>
      <c r="Q43" s="180"/>
      <c r="R43" s="180"/>
      <c r="S43" s="180"/>
      <c r="T43" s="180"/>
      <c r="U43" s="180"/>
      <c r="V43" s="180"/>
      <c r="W43" s="180"/>
      <c r="X43" s="180"/>
      <c r="Y43" s="180"/>
    </row>
    <row r="44" spans="1:25">
      <c r="A44" s="181" t="s">
        <v>4158</v>
      </c>
      <c r="B44" s="181" t="s">
        <v>3772</v>
      </c>
      <c r="C44" s="181" t="s">
        <v>4193</v>
      </c>
      <c r="D44" s="182">
        <v>24</v>
      </c>
      <c r="E44" s="183">
        <v>2221.5</v>
      </c>
      <c r="F44" s="184">
        <v>2471.5</v>
      </c>
      <c r="G44" s="184">
        <v>2221.5</v>
      </c>
      <c r="H44" s="184">
        <v>1054</v>
      </c>
      <c r="I44" s="184">
        <v>5434</v>
      </c>
      <c r="J44" s="184">
        <v>1786.2</v>
      </c>
      <c r="K44" s="184">
        <v>2964.5</v>
      </c>
      <c r="L44" s="184">
        <v>1100</v>
      </c>
      <c r="M44" s="185">
        <v>44.5</v>
      </c>
      <c r="N44" s="186">
        <f t="shared" si="0"/>
        <v>2375.35</v>
      </c>
      <c r="O44" s="180">
        <f t="shared" si="1"/>
        <v>6.9255007877560171E-2</v>
      </c>
      <c r="P44" s="180"/>
      <c r="Q44" s="180"/>
      <c r="R44" s="180"/>
      <c r="S44" s="180"/>
      <c r="T44" s="180"/>
      <c r="U44" s="180"/>
      <c r="V44" s="180"/>
      <c r="W44" s="180"/>
      <c r="X44" s="180"/>
      <c r="Y44" s="180"/>
    </row>
    <row r="45" spans="1:25">
      <c r="A45" s="187" t="s">
        <v>4158</v>
      </c>
      <c r="B45" s="187" t="s">
        <v>3772</v>
      </c>
      <c r="C45" s="187" t="s">
        <v>4194</v>
      </c>
      <c r="D45" s="188">
        <v>10</v>
      </c>
      <c r="E45" s="183">
        <v>2371</v>
      </c>
      <c r="F45" s="189">
        <v>2452.4</v>
      </c>
      <c r="G45" s="189">
        <v>2371</v>
      </c>
      <c r="H45" s="189">
        <v>1212</v>
      </c>
      <c r="I45" s="189">
        <v>3864</v>
      </c>
      <c r="J45" s="189">
        <v>1615.8</v>
      </c>
      <c r="K45" s="189">
        <v>3217.2</v>
      </c>
      <c r="L45" s="189">
        <v>956.4</v>
      </c>
      <c r="M45" s="190">
        <v>39</v>
      </c>
      <c r="N45" s="186">
        <f t="shared" si="0"/>
        <v>2416.5</v>
      </c>
      <c r="O45" s="180">
        <f t="shared" si="1"/>
        <v>1.9190215099114297E-2</v>
      </c>
      <c r="P45" s="180"/>
      <c r="Q45" s="180"/>
      <c r="R45" s="180"/>
      <c r="S45" s="180"/>
      <c r="T45" s="180"/>
      <c r="U45" s="180"/>
      <c r="V45" s="180"/>
      <c r="W45" s="180"/>
      <c r="X45" s="180"/>
      <c r="Y45" s="180"/>
    </row>
    <row r="46" spans="1:25">
      <c r="A46" s="181" t="s">
        <v>4158</v>
      </c>
      <c r="B46" s="181" t="s">
        <v>3791</v>
      </c>
      <c r="C46" s="181" t="s">
        <v>4171</v>
      </c>
      <c r="D46" s="182">
        <v>24</v>
      </c>
      <c r="E46" s="183">
        <v>3897.5</v>
      </c>
      <c r="F46" s="184">
        <v>3951.8</v>
      </c>
      <c r="G46" s="184">
        <v>3897.5</v>
      </c>
      <c r="H46" s="184">
        <v>3000</v>
      </c>
      <c r="I46" s="184">
        <v>5715</v>
      </c>
      <c r="J46" s="184">
        <v>3356.2</v>
      </c>
      <c r="K46" s="184">
        <v>4351.8</v>
      </c>
      <c r="L46" s="184">
        <v>743</v>
      </c>
      <c r="M46" s="185">
        <v>18.8</v>
      </c>
      <c r="N46" s="186">
        <f t="shared" si="0"/>
        <v>3897.5</v>
      </c>
      <c r="O46" s="180">
        <f t="shared" si="1"/>
        <v>0</v>
      </c>
      <c r="P46" s="180"/>
      <c r="Q46" s="180"/>
      <c r="R46" s="180"/>
      <c r="S46" s="180"/>
      <c r="T46" s="180"/>
      <c r="U46" s="180"/>
      <c r="V46" s="180"/>
      <c r="W46" s="180"/>
      <c r="X46" s="180"/>
      <c r="Y46" s="180"/>
    </row>
    <row r="47" spans="1:25">
      <c r="A47" s="187" t="s">
        <v>4158</v>
      </c>
      <c r="B47" s="187" t="s">
        <v>3791</v>
      </c>
      <c r="C47" s="187" t="s">
        <v>4159</v>
      </c>
      <c r="D47" s="188">
        <v>23</v>
      </c>
      <c r="E47" s="183">
        <v>1660</v>
      </c>
      <c r="F47" s="189">
        <v>1803.9</v>
      </c>
      <c r="G47" s="189">
        <v>1660</v>
      </c>
      <c r="H47" s="189">
        <v>989</v>
      </c>
      <c r="I47" s="189">
        <v>3429</v>
      </c>
      <c r="J47" s="189">
        <v>1339.5</v>
      </c>
      <c r="K47" s="189">
        <v>2180.5</v>
      </c>
      <c r="L47" s="189">
        <v>603.79999999999995</v>
      </c>
      <c r="M47" s="190">
        <v>33.5</v>
      </c>
      <c r="N47" s="186">
        <f t="shared" si="0"/>
        <v>1803.9</v>
      </c>
      <c r="O47" s="180">
        <f t="shared" si="1"/>
        <v>8.6686746987951868E-2</v>
      </c>
      <c r="P47" s="180"/>
      <c r="Q47" s="180"/>
      <c r="R47" s="180"/>
      <c r="S47" s="180"/>
      <c r="T47" s="180"/>
      <c r="U47" s="180"/>
      <c r="V47" s="180"/>
      <c r="W47" s="180"/>
      <c r="X47" s="180"/>
      <c r="Y47" s="180"/>
    </row>
    <row r="48" spans="1:25">
      <c r="A48" s="181" t="s">
        <v>4158</v>
      </c>
      <c r="B48" s="181" t="s">
        <v>3791</v>
      </c>
      <c r="C48" s="181" t="s">
        <v>4173</v>
      </c>
      <c r="D48" s="182">
        <v>24</v>
      </c>
      <c r="E48" s="183">
        <v>2013.5</v>
      </c>
      <c r="F48" s="184">
        <v>2324.9</v>
      </c>
      <c r="G48" s="184">
        <v>2013.5</v>
      </c>
      <c r="H48" s="184">
        <v>1126</v>
      </c>
      <c r="I48" s="184">
        <v>4008</v>
      </c>
      <c r="J48" s="184">
        <v>1745</v>
      </c>
      <c r="K48" s="184">
        <v>3141.2</v>
      </c>
      <c r="L48" s="184">
        <v>850.4</v>
      </c>
      <c r="M48" s="185">
        <v>36.6</v>
      </c>
      <c r="N48" s="186">
        <f t="shared" si="0"/>
        <v>2443.1</v>
      </c>
      <c r="O48" s="180">
        <f t="shared" si="1"/>
        <v>0.21335982120685371</v>
      </c>
      <c r="P48" s="180"/>
      <c r="Q48" s="180"/>
      <c r="R48" s="180"/>
      <c r="S48" s="180"/>
      <c r="T48" s="180"/>
      <c r="U48" s="180"/>
      <c r="V48" s="180"/>
      <c r="W48" s="180"/>
      <c r="X48" s="180"/>
      <c r="Y48" s="180"/>
    </row>
    <row r="49" spans="1:25">
      <c r="A49" s="187" t="s">
        <v>4158</v>
      </c>
      <c r="B49" s="187" t="s">
        <v>3791</v>
      </c>
      <c r="C49" s="187" t="s">
        <v>4174</v>
      </c>
      <c r="D49" s="188">
        <v>20</v>
      </c>
      <c r="E49" s="183">
        <v>1952.5</v>
      </c>
      <c r="F49" s="189">
        <v>2342.4</v>
      </c>
      <c r="G49" s="189">
        <v>1952.5</v>
      </c>
      <c r="H49" s="189">
        <v>1240</v>
      </c>
      <c r="I49" s="189">
        <v>4332</v>
      </c>
      <c r="J49" s="189">
        <v>1545</v>
      </c>
      <c r="K49" s="189">
        <v>3305</v>
      </c>
      <c r="L49" s="189">
        <v>991.3</v>
      </c>
      <c r="M49" s="190">
        <v>42.3</v>
      </c>
      <c r="N49" s="186">
        <f t="shared" si="0"/>
        <v>2425</v>
      </c>
      <c r="O49" s="180">
        <f t="shared" si="1"/>
        <v>0.24199743918053776</v>
      </c>
      <c r="P49" s="180"/>
      <c r="Q49" s="180"/>
      <c r="R49" s="180"/>
      <c r="S49" s="180"/>
      <c r="T49" s="180"/>
      <c r="U49" s="180"/>
      <c r="V49" s="180"/>
      <c r="W49" s="180"/>
      <c r="X49" s="180"/>
      <c r="Y49" s="180"/>
    </row>
    <row r="50" spans="1:25">
      <c r="A50" s="181" t="s">
        <v>4158</v>
      </c>
      <c r="B50" s="181" t="s">
        <v>3791</v>
      </c>
      <c r="C50" s="181" t="s">
        <v>4175</v>
      </c>
      <c r="D50" s="182">
        <v>24</v>
      </c>
      <c r="E50" s="183">
        <v>2201.5</v>
      </c>
      <c r="F50" s="184">
        <v>2512.9</v>
      </c>
      <c r="G50" s="184">
        <v>2201.5</v>
      </c>
      <c r="H50" s="184">
        <v>1318</v>
      </c>
      <c r="I50" s="184">
        <v>4833</v>
      </c>
      <c r="J50" s="184">
        <v>1797.2</v>
      </c>
      <c r="K50" s="184">
        <v>3223</v>
      </c>
      <c r="L50" s="184">
        <v>980.7</v>
      </c>
      <c r="M50" s="185">
        <v>39</v>
      </c>
      <c r="N50" s="186">
        <f t="shared" si="0"/>
        <v>2510.1</v>
      </c>
      <c r="O50" s="180">
        <f t="shared" si="1"/>
        <v>0.14017715194185779</v>
      </c>
      <c r="P50" s="180"/>
      <c r="Q50" s="180"/>
      <c r="R50" s="180"/>
      <c r="S50" s="180"/>
      <c r="T50" s="180"/>
      <c r="U50" s="180"/>
      <c r="V50" s="180"/>
      <c r="W50" s="180"/>
      <c r="X50" s="180"/>
      <c r="Y50" s="180"/>
    </row>
    <row r="51" spans="1:25">
      <c r="A51" s="187" t="s">
        <v>4158</v>
      </c>
      <c r="B51" s="187" t="s">
        <v>3791</v>
      </c>
      <c r="C51" s="187" t="s">
        <v>4176</v>
      </c>
      <c r="D51" s="188">
        <v>24</v>
      </c>
      <c r="E51" s="183">
        <v>2212.5</v>
      </c>
      <c r="F51" s="189">
        <v>2487.6</v>
      </c>
      <c r="G51" s="189">
        <v>2212.5</v>
      </c>
      <c r="H51" s="189">
        <v>1429</v>
      </c>
      <c r="I51" s="189">
        <v>4514</v>
      </c>
      <c r="J51" s="189">
        <v>1881.2</v>
      </c>
      <c r="K51" s="189">
        <v>3056.2</v>
      </c>
      <c r="L51" s="189">
        <v>854.8</v>
      </c>
      <c r="M51" s="190">
        <v>34.4</v>
      </c>
      <c r="N51" s="186">
        <f t="shared" si="0"/>
        <v>2487.6</v>
      </c>
      <c r="O51" s="180">
        <f t="shared" si="1"/>
        <v>0.12433898305084741</v>
      </c>
      <c r="P51" s="180"/>
      <c r="Q51" s="180"/>
      <c r="R51" s="180"/>
      <c r="S51" s="180"/>
      <c r="T51" s="180"/>
      <c r="U51" s="180"/>
      <c r="V51" s="180"/>
      <c r="W51" s="180"/>
      <c r="X51" s="180"/>
      <c r="Y51" s="180"/>
    </row>
    <row r="52" spans="1:25">
      <c r="A52" s="181" t="s">
        <v>4158</v>
      </c>
      <c r="B52" s="181" t="s">
        <v>3791</v>
      </c>
      <c r="C52" s="181" t="s">
        <v>4177</v>
      </c>
      <c r="D52" s="182">
        <v>24</v>
      </c>
      <c r="E52" s="183">
        <v>2529.5</v>
      </c>
      <c r="F52" s="184">
        <v>2593.8000000000002</v>
      </c>
      <c r="G52" s="184">
        <v>2529.5</v>
      </c>
      <c r="H52" s="184">
        <v>1544</v>
      </c>
      <c r="I52" s="184">
        <v>4140</v>
      </c>
      <c r="J52" s="184">
        <v>1905.8</v>
      </c>
      <c r="K52" s="184">
        <v>2942</v>
      </c>
      <c r="L52" s="184">
        <v>788</v>
      </c>
      <c r="M52" s="185">
        <v>30.4</v>
      </c>
      <c r="N52" s="186">
        <f t="shared" si="0"/>
        <v>2593.8000000000002</v>
      </c>
      <c r="O52" s="180">
        <f t="shared" si="1"/>
        <v>2.5420043486855181E-2</v>
      </c>
      <c r="P52" s="180"/>
      <c r="Q52" s="180"/>
      <c r="R52" s="180"/>
      <c r="S52" s="180"/>
      <c r="T52" s="180"/>
      <c r="U52" s="180"/>
      <c r="V52" s="180"/>
      <c r="W52" s="180"/>
      <c r="X52" s="180"/>
      <c r="Y52" s="180"/>
    </row>
    <row r="53" spans="1:25">
      <c r="A53" s="187" t="s">
        <v>4158</v>
      </c>
      <c r="B53" s="187" t="s">
        <v>3791</v>
      </c>
      <c r="C53" s="187" t="s">
        <v>4178</v>
      </c>
      <c r="D53" s="188">
        <v>24</v>
      </c>
      <c r="E53" s="183">
        <v>3047.5</v>
      </c>
      <c r="F53" s="189">
        <v>3170.2</v>
      </c>
      <c r="G53" s="189">
        <v>3047.5</v>
      </c>
      <c r="H53" s="189">
        <v>1196</v>
      </c>
      <c r="I53" s="189">
        <v>5561</v>
      </c>
      <c r="J53" s="189">
        <v>2154</v>
      </c>
      <c r="K53" s="189">
        <v>3916.5</v>
      </c>
      <c r="L53" s="189">
        <v>1300.8</v>
      </c>
      <c r="M53" s="190">
        <v>41</v>
      </c>
      <c r="N53" s="186">
        <f t="shared" si="0"/>
        <v>3035.25</v>
      </c>
      <c r="O53" s="180">
        <f t="shared" si="1"/>
        <v>-4.0196882690730108E-3</v>
      </c>
      <c r="P53" s="180"/>
      <c r="Q53" s="180"/>
      <c r="R53" s="180"/>
      <c r="S53" s="180"/>
      <c r="T53" s="180"/>
      <c r="U53" s="180"/>
      <c r="V53" s="180"/>
      <c r="W53" s="180"/>
      <c r="X53" s="180"/>
      <c r="Y53" s="180"/>
    </row>
    <row r="54" spans="1:25">
      <c r="A54" s="181" t="s">
        <v>4158</v>
      </c>
      <c r="B54" s="181" t="s">
        <v>3791</v>
      </c>
      <c r="C54" s="181" t="s">
        <v>4160</v>
      </c>
      <c r="D54" s="182">
        <v>22</v>
      </c>
      <c r="E54" s="183">
        <v>2425</v>
      </c>
      <c r="F54" s="184">
        <v>2773.5</v>
      </c>
      <c r="G54" s="184">
        <v>2425</v>
      </c>
      <c r="H54" s="184">
        <v>1343</v>
      </c>
      <c r="I54" s="184">
        <v>5367</v>
      </c>
      <c r="J54" s="184">
        <v>1869.2</v>
      </c>
      <c r="K54" s="184">
        <v>3187.2</v>
      </c>
      <c r="L54" s="184">
        <v>1191.9000000000001</v>
      </c>
      <c r="M54" s="185">
        <v>43</v>
      </c>
      <c r="N54" s="186">
        <f t="shared" si="0"/>
        <v>2528.1999999999998</v>
      </c>
      <c r="O54" s="180">
        <f t="shared" si="1"/>
        <v>4.2556701030927763E-2</v>
      </c>
      <c r="P54" s="180"/>
      <c r="Q54" s="180"/>
      <c r="R54" s="180"/>
      <c r="S54" s="180"/>
      <c r="T54" s="180"/>
      <c r="U54" s="180"/>
      <c r="V54" s="180"/>
      <c r="W54" s="180"/>
      <c r="X54" s="180"/>
      <c r="Y54" s="180"/>
    </row>
    <row r="55" spans="1:25">
      <c r="A55" s="187" t="s">
        <v>4158</v>
      </c>
      <c r="B55" s="187" t="s">
        <v>3791</v>
      </c>
      <c r="C55" s="187" t="s">
        <v>4179</v>
      </c>
      <c r="D55" s="188">
        <v>24</v>
      </c>
      <c r="E55" s="183">
        <v>4170</v>
      </c>
      <c r="F55" s="189">
        <v>4249</v>
      </c>
      <c r="G55" s="189">
        <v>4170</v>
      </c>
      <c r="H55" s="189">
        <v>2827</v>
      </c>
      <c r="I55" s="189">
        <v>5782</v>
      </c>
      <c r="J55" s="189">
        <v>3535.5</v>
      </c>
      <c r="K55" s="189">
        <v>5052</v>
      </c>
      <c r="L55" s="189">
        <v>910.8</v>
      </c>
      <c r="M55" s="190">
        <v>21.4</v>
      </c>
      <c r="N55" s="186">
        <f t="shared" si="0"/>
        <v>4249</v>
      </c>
      <c r="O55" s="180">
        <f t="shared" si="1"/>
        <v>1.8944844124700239E-2</v>
      </c>
      <c r="P55" s="180"/>
      <c r="Q55" s="180"/>
      <c r="R55" s="180"/>
      <c r="S55" s="180"/>
      <c r="T55" s="180"/>
      <c r="U55" s="180"/>
      <c r="V55" s="180"/>
      <c r="W55" s="180"/>
      <c r="X55" s="180"/>
      <c r="Y55" s="180"/>
    </row>
    <row r="56" spans="1:25">
      <c r="A56" s="181" t="s">
        <v>4158</v>
      </c>
      <c r="B56" s="181" t="s">
        <v>3791</v>
      </c>
      <c r="C56" s="181" t="s">
        <v>4195</v>
      </c>
      <c r="D56" s="182">
        <v>24</v>
      </c>
      <c r="E56" s="183">
        <v>3652</v>
      </c>
      <c r="F56" s="184">
        <v>3741.2</v>
      </c>
      <c r="G56" s="184">
        <v>3652</v>
      </c>
      <c r="H56" s="184">
        <v>2458</v>
      </c>
      <c r="I56" s="184">
        <v>5285</v>
      </c>
      <c r="J56" s="184">
        <v>3104.2</v>
      </c>
      <c r="K56" s="184">
        <v>4391</v>
      </c>
      <c r="L56" s="184">
        <v>858</v>
      </c>
      <c r="M56" s="185">
        <v>22.9</v>
      </c>
      <c r="N56" s="186">
        <f t="shared" si="0"/>
        <v>3741.2</v>
      </c>
      <c r="O56" s="180">
        <f t="shared" si="1"/>
        <v>2.4424972617743651E-2</v>
      </c>
      <c r="P56" s="180"/>
      <c r="Q56" s="180"/>
      <c r="R56" s="180"/>
      <c r="S56" s="180"/>
      <c r="T56" s="180"/>
      <c r="U56" s="180"/>
      <c r="V56" s="180"/>
      <c r="W56" s="180"/>
      <c r="X56" s="180"/>
      <c r="Y56" s="180"/>
    </row>
    <row r="57" spans="1:25">
      <c r="A57" s="187" t="s">
        <v>4158</v>
      </c>
      <c r="B57" s="187" t="s">
        <v>3791</v>
      </c>
      <c r="C57" s="187" t="s">
        <v>4180</v>
      </c>
      <c r="D57" s="188">
        <v>24</v>
      </c>
      <c r="E57" s="183">
        <v>2409</v>
      </c>
      <c r="F57" s="189">
        <v>2718.7</v>
      </c>
      <c r="G57" s="189">
        <v>2409</v>
      </c>
      <c r="H57" s="189">
        <v>1747</v>
      </c>
      <c r="I57" s="189">
        <v>5233</v>
      </c>
      <c r="J57" s="189">
        <v>1929.8</v>
      </c>
      <c r="K57" s="189">
        <v>3107.5</v>
      </c>
      <c r="L57" s="189">
        <v>1015.8</v>
      </c>
      <c r="M57" s="190">
        <v>37.4</v>
      </c>
      <c r="N57" s="186">
        <f t="shared" si="0"/>
        <v>2518.65</v>
      </c>
      <c r="O57" s="180">
        <f t="shared" si="1"/>
        <v>4.5516811955168157E-2</v>
      </c>
      <c r="P57" s="180"/>
      <c r="Q57" s="180"/>
      <c r="R57" s="180"/>
      <c r="S57" s="180"/>
      <c r="T57" s="180"/>
      <c r="U57" s="180"/>
      <c r="V57" s="180"/>
      <c r="W57" s="180"/>
      <c r="X57" s="180"/>
      <c r="Y57" s="180"/>
    </row>
    <row r="58" spans="1:25">
      <c r="A58" s="181" t="s">
        <v>4158</v>
      </c>
      <c r="B58" s="181" t="s">
        <v>3791</v>
      </c>
      <c r="C58" s="181" t="s">
        <v>4181</v>
      </c>
      <c r="D58" s="182">
        <v>24</v>
      </c>
      <c r="E58" s="183">
        <v>1868.5</v>
      </c>
      <c r="F58" s="184">
        <v>2117.1</v>
      </c>
      <c r="G58" s="184">
        <v>1868.5</v>
      </c>
      <c r="H58" s="184">
        <v>877</v>
      </c>
      <c r="I58" s="184">
        <v>4656</v>
      </c>
      <c r="J58" s="184">
        <v>1400.5</v>
      </c>
      <c r="K58" s="184">
        <v>2513.5</v>
      </c>
      <c r="L58" s="184">
        <v>1055.5999999999999</v>
      </c>
      <c r="M58" s="185">
        <v>49.9</v>
      </c>
      <c r="N58" s="186">
        <f t="shared" si="0"/>
        <v>1957</v>
      </c>
      <c r="O58" s="180">
        <f t="shared" si="1"/>
        <v>4.7364195879047367E-2</v>
      </c>
      <c r="P58" s="180"/>
      <c r="Q58" s="180"/>
      <c r="R58" s="180"/>
      <c r="S58" s="180"/>
      <c r="T58" s="180"/>
      <c r="U58" s="180"/>
      <c r="V58" s="180"/>
      <c r="W58" s="180"/>
      <c r="X58" s="180"/>
      <c r="Y58" s="180"/>
    </row>
    <row r="59" spans="1:25">
      <c r="A59" s="187" t="s">
        <v>4158</v>
      </c>
      <c r="B59" s="187" t="s">
        <v>3791</v>
      </c>
      <c r="C59" s="187" t="s">
        <v>4196</v>
      </c>
      <c r="D59" s="188">
        <v>1</v>
      </c>
      <c r="E59" s="183">
        <v>2508</v>
      </c>
      <c r="F59" s="189">
        <v>2508</v>
      </c>
      <c r="G59" s="189">
        <v>2508</v>
      </c>
      <c r="H59" s="189">
        <v>2508</v>
      </c>
      <c r="I59" s="189">
        <v>2508</v>
      </c>
      <c r="J59" s="189">
        <v>2508</v>
      </c>
      <c r="K59" s="189">
        <v>2508</v>
      </c>
      <c r="L59" s="189"/>
      <c r="M59" s="190"/>
      <c r="N59" s="186">
        <f t="shared" si="0"/>
        <v>2508</v>
      </c>
      <c r="O59" s="180">
        <f t="shared" si="1"/>
        <v>0</v>
      </c>
      <c r="P59" s="180"/>
      <c r="Q59" s="180"/>
      <c r="R59" s="180"/>
      <c r="S59" s="180"/>
      <c r="T59" s="180"/>
      <c r="U59" s="180"/>
      <c r="V59" s="180"/>
      <c r="W59" s="180"/>
      <c r="X59" s="180"/>
      <c r="Y59" s="180"/>
    </row>
    <row r="60" spans="1:25">
      <c r="A60" s="181" t="s">
        <v>4158</v>
      </c>
      <c r="B60" s="181" t="s">
        <v>3791</v>
      </c>
      <c r="C60" s="181" t="s">
        <v>4163</v>
      </c>
      <c r="D60" s="182">
        <v>23</v>
      </c>
      <c r="E60" s="183">
        <v>2055</v>
      </c>
      <c r="F60" s="184">
        <v>2051</v>
      </c>
      <c r="G60" s="184">
        <v>2055</v>
      </c>
      <c r="H60" s="184">
        <v>1167</v>
      </c>
      <c r="I60" s="184">
        <v>3651</v>
      </c>
      <c r="J60" s="184">
        <v>1476.5</v>
      </c>
      <c r="K60" s="184">
        <v>2427</v>
      </c>
      <c r="L60" s="184">
        <v>693.3</v>
      </c>
      <c r="M60" s="185">
        <v>33.799999999999997</v>
      </c>
      <c r="N60" s="186">
        <f t="shared" si="0"/>
        <v>2051</v>
      </c>
      <c r="O60" s="180">
        <f t="shared" si="1"/>
        <v>-1.9464720194647203E-3</v>
      </c>
      <c r="P60" s="180"/>
      <c r="Q60" s="180"/>
      <c r="R60" s="180"/>
      <c r="S60" s="180"/>
      <c r="T60" s="180"/>
      <c r="U60" s="180"/>
      <c r="V60" s="180"/>
      <c r="W60" s="180"/>
      <c r="X60" s="180"/>
      <c r="Y60" s="180"/>
    </row>
    <row r="61" spans="1:25">
      <c r="A61" s="187" t="s">
        <v>4158</v>
      </c>
      <c r="B61" s="187" t="s">
        <v>3791</v>
      </c>
      <c r="C61" s="187" t="s">
        <v>4183</v>
      </c>
      <c r="D61" s="188">
        <v>24</v>
      </c>
      <c r="E61" s="183">
        <v>2272</v>
      </c>
      <c r="F61" s="189">
        <v>2342.9</v>
      </c>
      <c r="G61" s="189">
        <v>2272</v>
      </c>
      <c r="H61" s="189">
        <v>1643</v>
      </c>
      <c r="I61" s="189">
        <v>3681</v>
      </c>
      <c r="J61" s="189">
        <v>1838.8</v>
      </c>
      <c r="K61" s="189">
        <v>2711</v>
      </c>
      <c r="L61" s="189">
        <v>551.6</v>
      </c>
      <c r="M61" s="190">
        <v>23.5</v>
      </c>
      <c r="N61" s="186">
        <f t="shared" si="0"/>
        <v>2342.9</v>
      </c>
      <c r="O61" s="180">
        <f t="shared" si="1"/>
        <v>3.1205985915492999E-2</v>
      </c>
      <c r="P61" s="180"/>
      <c r="Q61" s="180"/>
      <c r="R61" s="180"/>
      <c r="S61" s="180"/>
      <c r="T61" s="180"/>
      <c r="U61" s="180"/>
      <c r="V61" s="180"/>
      <c r="W61" s="180"/>
      <c r="X61" s="180"/>
      <c r="Y61" s="180"/>
    </row>
    <row r="62" spans="1:25">
      <c r="A62" s="181" t="s">
        <v>4158</v>
      </c>
      <c r="B62" s="181" t="s">
        <v>3791</v>
      </c>
      <c r="C62" s="181" t="s">
        <v>4197</v>
      </c>
      <c r="D62" s="182">
        <v>24</v>
      </c>
      <c r="E62" s="183">
        <v>1999.5</v>
      </c>
      <c r="F62" s="184">
        <v>2212.5</v>
      </c>
      <c r="G62" s="184">
        <v>1999.5</v>
      </c>
      <c r="H62" s="184">
        <v>1266</v>
      </c>
      <c r="I62" s="184">
        <v>4214</v>
      </c>
      <c r="J62" s="184">
        <v>1705.2</v>
      </c>
      <c r="K62" s="184">
        <v>2677.2</v>
      </c>
      <c r="L62" s="184">
        <v>713.5</v>
      </c>
      <c r="M62" s="185">
        <v>32.200000000000003</v>
      </c>
      <c r="N62" s="186">
        <f t="shared" si="0"/>
        <v>2212.5</v>
      </c>
      <c r="O62" s="180">
        <f t="shared" si="1"/>
        <v>0.10652663165791448</v>
      </c>
      <c r="P62" s="180"/>
      <c r="Q62" s="180"/>
      <c r="R62" s="180"/>
      <c r="S62" s="180"/>
      <c r="T62" s="180"/>
      <c r="U62" s="180"/>
      <c r="V62" s="180"/>
      <c r="W62" s="180"/>
      <c r="X62" s="180"/>
      <c r="Y62" s="180"/>
    </row>
    <row r="63" spans="1:25">
      <c r="A63" s="187" t="s">
        <v>4158</v>
      </c>
      <c r="B63" s="187" t="s">
        <v>3791</v>
      </c>
      <c r="C63" s="187" t="s">
        <v>4184</v>
      </c>
      <c r="D63" s="188">
        <v>24</v>
      </c>
      <c r="E63" s="183">
        <v>1855.5</v>
      </c>
      <c r="F63" s="189">
        <v>2046</v>
      </c>
      <c r="G63" s="189">
        <v>1855.5</v>
      </c>
      <c r="H63" s="189">
        <v>939</v>
      </c>
      <c r="I63" s="189">
        <v>4385</v>
      </c>
      <c r="J63" s="189">
        <v>1316</v>
      </c>
      <c r="K63" s="189">
        <v>2342.5</v>
      </c>
      <c r="L63" s="189">
        <v>970.3</v>
      </c>
      <c r="M63" s="190">
        <v>47.4</v>
      </c>
      <c r="N63" s="186">
        <f t="shared" si="0"/>
        <v>1829.25</v>
      </c>
      <c r="O63" s="180">
        <f t="shared" si="1"/>
        <v>-1.4147130153597413E-2</v>
      </c>
      <c r="P63" s="180"/>
      <c r="Q63" s="180"/>
      <c r="R63" s="180"/>
      <c r="S63" s="180"/>
      <c r="T63" s="180"/>
      <c r="U63" s="180"/>
      <c r="V63" s="180"/>
      <c r="W63" s="180"/>
      <c r="X63" s="180"/>
      <c r="Y63" s="180"/>
    </row>
    <row r="64" spans="1:25">
      <c r="A64" s="181" t="s">
        <v>4158</v>
      </c>
      <c r="B64" s="181" t="s">
        <v>3791</v>
      </c>
      <c r="C64" s="181" t="s">
        <v>4186</v>
      </c>
      <c r="D64" s="182">
        <v>24</v>
      </c>
      <c r="E64" s="183">
        <v>4014.5</v>
      </c>
      <c r="F64" s="184">
        <v>4320.2</v>
      </c>
      <c r="G64" s="184">
        <v>4014.5</v>
      </c>
      <c r="H64" s="184">
        <v>2893</v>
      </c>
      <c r="I64" s="184">
        <v>6192</v>
      </c>
      <c r="J64" s="184">
        <v>3828</v>
      </c>
      <c r="K64" s="184">
        <v>5054</v>
      </c>
      <c r="L64" s="184">
        <v>949.7</v>
      </c>
      <c r="M64" s="185">
        <v>22</v>
      </c>
      <c r="N64" s="186">
        <f t="shared" si="0"/>
        <v>4320.2</v>
      </c>
      <c r="O64" s="180">
        <f t="shared" si="1"/>
        <v>7.6148960019927714E-2</v>
      </c>
      <c r="P64" s="180"/>
      <c r="Q64" s="180"/>
      <c r="R64" s="180"/>
      <c r="S64" s="180"/>
      <c r="T64" s="180"/>
      <c r="U64" s="180"/>
      <c r="V64" s="180"/>
      <c r="W64" s="180"/>
      <c r="X64" s="180"/>
      <c r="Y64" s="180"/>
    </row>
    <row r="65" spans="1:25">
      <c r="A65" s="187" t="s">
        <v>4158</v>
      </c>
      <c r="B65" s="187" t="s">
        <v>3791</v>
      </c>
      <c r="C65" s="187" t="s">
        <v>4188</v>
      </c>
      <c r="D65" s="188">
        <v>24</v>
      </c>
      <c r="E65" s="183">
        <v>3014.5</v>
      </c>
      <c r="F65" s="189">
        <v>3169.8</v>
      </c>
      <c r="G65" s="189">
        <v>3014.5</v>
      </c>
      <c r="H65" s="189">
        <v>2094</v>
      </c>
      <c r="I65" s="189">
        <v>4698</v>
      </c>
      <c r="J65" s="189">
        <v>2586.5</v>
      </c>
      <c r="K65" s="189">
        <v>3632.5</v>
      </c>
      <c r="L65" s="189">
        <v>754.6</v>
      </c>
      <c r="M65" s="190">
        <v>23.8</v>
      </c>
      <c r="N65" s="186">
        <f t="shared" si="0"/>
        <v>3169.8</v>
      </c>
      <c r="O65" s="180">
        <f t="shared" si="1"/>
        <v>5.151766462099857E-2</v>
      </c>
      <c r="P65" s="180"/>
      <c r="Q65" s="180"/>
      <c r="R65" s="180"/>
      <c r="S65" s="180"/>
      <c r="T65" s="180"/>
      <c r="U65" s="180"/>
      <c r="V65" s="180"/>
      <c r="W65" s="180"/>
      <c r="X65" s="180"/>
      <c r="Y65" s="180"/>
    </row>
    <row r="66" spans="1:25">
      <c r="A66" s="181" t="s">
        <v>4158</v>
      </c>
      <c r="B66" s="181" t="s">
        <v>3791</v>
      </c>
      <c r="C66" s="181" t="s">
        <v>4189</v>
      </c>
      <c r="D66" s="182">
        <v>24</v>
      </c>
      <c r="E66" s="183">
        <v>2973</v>
      </c>
      <c r="F66" s="184">
        <v>3163.5</v>
      </c>
      <c r="G66" s="184">
        <v>2973</v>
      </c>
      <c r="H66" s="184">
        <v>1845</v>
      </c>
      <c r="I66" s="184">
        <v>5123</v>
      </c>
      <c r="J66" s="184">
        <v>2572.5</v>
      </c>
      <c r="K66" s="184">
        <v>3671.8</v>
      </c>
      <c r="L66" s="184">
        <v>897.7</v>
      </c>
      <c r="M66" s="185">
        <v>28.4</v>
      </c>
      <c r="N66" s="186">
        <f t="shared" si="0"/>
        <v>3163.5</v>
      </c>
      <c r="O66" s="180">
        <f t="shared" si="1"/>
        <v>6.4076690211907164E-2</v>
      </c>
      <c r="P66" s="180"/>
      <c r="Q66" s="180"/>
      <c r="R66" s="180"/>
      <c r="S66" s="180"/>
      <c r="T66" s="180"/>
      <c r="U66" s="180"/>
      <c r="V66" s="180"/>
      <c r="W66" s="180"/>
      <c r="X66" s="180"/>
      <c r="Y66" s="180"/>
    </row>
    <row r="67" spans="1:25">
      <c r="A67" s="187" t="s">
        <v>4158</v>
      </c>
      <c r="B67" s="187" t="s">
        <v>3791</v>
      </c>
      <c r="C67" s="187" t="s">
        <v>4165</v>
      </c>
      <c r="D67" s="188">
        <v>24</v>
      </c>
      <c r="E67" s="183">
        <v>2148.5</v>
      </c>
      <c r="F67" s="189">
        <v>2446.8000000000002</v>
      </c>
      <c r="G67" s="189">
        <v>2148.5</v>
      </c>
      <c r="H67" s="189">
        <v>871</v>
      </c>
      <c r="I67" s="189">
        <v>4600</v>
      </c>
      <c r="J67" s="189">
        <v>1822.8</v>
      </c>
      <c r="K67" s="189">
        <v>3332.2</v>
      </c>
      <c r="L67" s="189">
        <v>1026.4000000000001</v>
      </c>
      <c r="M67" s="190">
        <v>41.9</v>
      </c>
      <c r="N67" s="186">
        <f t="shared" ref="N67:N130" si="2">IF(M67&lt;=20,G67,IF(M67&lt;=35,F67,(J67+K67)/2))</f>
        <v>2577.5</v>
      </c>
      <c r="O67" s="180">
        <f t="shared" ref="O67:O130" si="3">(N67-E67)/E67</f>
        <v>0.19967419129625319</v>
      </c>
      <c r="P67" s="180"/>
      <c r="Q67" s="180"/>
      <c r="R67" s="180"/>
      <c r="S67" s="180"/>
      <c r="T67" s="180"/>
      <c r="U67" s="180"/>
      <c r="V67" s="180"/>
      <c r="W67" s="180"/>
      <c r="X67" s="180"/>
      <c r="Y67" s="180"/>
    </row>
    <row r="68" spans="1:25">
      <c r="A68" s="181" t="s">
        <v>4158</v>
      </c>
      <c r="B68" s="181" t="s">
        <v>3791</v>
      </c>
      <c r="C68" s="181" t="s">
        <v>4198</v>
      </c>
      <c r="D68" s="182">
        <v>24</v>
      </c>
      <c r="E68" s="183">
        <v>2281</v>
      </c>
      <c r="F68" s="184">
        <v>2336.6</v>
      </c>
      <c r="G68" s="184">
        <v>2281</v>
      </c>
      <c r="H68" s="184">
        <v>1321</v>
      </c>
      <c r="I68" s="184">
        <v>4046</v>
      </c>
      <c r="J68" s="184">
        <v>1822.2</v>
      </c>
      <c r="K68" s="184">
        <v>2644.5</v>
      </c>
      <c r="L68" s="184">
        <v>685.7</v>
      </c>
      <c r="M68" s="185">
        <v>29.3</v>
      </c>
      <c r="N68" s="186">
        <f t="shared" si="2"/>
        <v>2336.6</v>
      </c>
      <c r="O68" s="180">
        <f t="shared" si="3"/>
        <v>2.4375274002630384E-2</v>
      </c>
      <c r="P68" s="180"/>
      <c r="Q68" s="180"/>
      <c r="R68" s="180"/>
      <c r="S68" s="180"/>
      <c r="T68" s="180"/>
      <c r="U68" s="180"/>
      <c r="V68" s="180"/>
      <c r="W68" s="180"/>
      <c r="X68" s="180"/>
      <c r="Y68" s="180"/>
    </row>
    <row r="69" spans="1:25">
      <c r="A69" s="187" t="s">
        <v>4158</v>
      </c>
      <c r="B69" s="187" t="s">
        <v>3791</v>
      </c>
      <c r="C69" s="187" t="s">
        <v>4191</v>
      </c>
      <c r="D69" s="188">
        <v>24</v>
      </c>
      <c r="E69" s="183">
        <v>2475</v>
      </c>
      <c r="F69" s="189">
        <v>2553.9</v>
      </c>
      <c r="G69" s="189">
        <v>2475</v>
      </c>
      <c r="H69" s="189">
        <v>757</v>
      </c>
      <c r="I69" s="189">
        <v>4700</v>
      </c>
      <c r="J69" s="189">
        <v>1806.8</v>
      </c>
      <c r="K69" s="189">
        <v>3393.5</v>
      </c>
      <c r="L69" s="189">
        <v>1100</v>
      </c>
      <c r="M69" s="190">
        <v>43.1</v>
      </c>
      <c r="N69" s="186">
        <f t="shared" si="2"/>
        <v>2600.15</v>
      </c>
      <c r="O69" s="180">
        <f t="shared" si="3"/>
        <v>5.0565656565656605E-2</v>
      </c>
      <c r="P69" s="180"/>
      <c r="Q69" s="180"/>
      <c r="R69" s="180"/>
      <c r="S69" s="180"/>
      <c r="T69" s="180"/>
      <c r="U69" s="180"/>
      <c r="V69" s="180"/>
      <c r="W69" s="180"/>
      <c r="X69" s="180"/>
      <c r="Y69" s="180"/>
    </row>
    <row r="70" spans="1:25">
      <c r="A70" s="181" t="s">
        <v>4158</v>
      </c>
      <c r="B70" s="181" t="s">
        <v>3791</v>
      </c>
      <c r="C70" s="181" t="s">
        <v>4199</v>
      </c>
      <c r="D70" s="182">
        <v>24</v>
      </c>
      <c r="E70" s="183">
        <v>2804</v>
      </c>
      <c r="F70" s="184">
        <v>3153.3</v>
      </c>
      <c r="G70" s="184">
        <v>2804</v>
      </c>
      <c r="H70" s="184">
        <v>1945</v>
      </c>
      <c r="I70" s="184">
        <v>4904</v>
      </c>
      <c r="J70" s="184">
        <v>2425.1999999999998</v>
      </c>
      <c r="K70" s="184">
        <v>3938.8</v>
      </c>
      <c r="L70" s="184">
        <v>929.7</v>
      </c>
      <c r="M70" s="185">
        <v>29.5</v>
      </c>
      <c r="N70" s="186">
        <f t="shared" si="2"/>
        <v>3153.3</v>
      </c>
      <c r="O70" s="180">
        <f t="shared" si="3"/>
        <v>0.12457203994293872</v>
      </c>
      <c r="P70" s="180"/>
      <c r="Q70" s="180"/>
      <c r="R70" s="180"/>
      <c r="S70" s="180"/>
      <c r="T70" s="180"/>
      <c r="U70" s="180"/>
      <c r="V70" s="180"/>
      <c r="W70" s="180"/>
      <c r="X70" s="180"/>
      <c r="Y70" s="180"/>
    </row>
    <row r="71" spans="1:25">
      <c r="A71" s="187" t="s">
        <v>4158</v>
      </c>
      <c r="B71" s="187" t="s">
        <v>3791</v>
      </c>
      <c r="C71" s="187" t="s">
        <v>4200</v>
      </c>
      <c r="D71" s="188">
        <v>24</v>
      </c>
      <c r="E71" s="183">
        <v>2233.5</v>
      </c>
      <c r="F71" s="189">
        <v>2461.5</v>
      </c>
      <c r="G71" s="189">
        <v>2233.5</v>
      </c>
      <c r="H71" s="189">
        <v>1494</v>
      </c>
      <c r="I71" s="189">
        <v>4140</v>
      </c>
      <c r="J71" s="189">
        <v>1827.8</v>
      </c>
      <c r="K71" s="189">
        <v>3070</v>
      </c>
      <c r="L71" s="189">
        <v>773</v>
      </c>
      <c r="M71" s="190">
        <v>31.4</v>
      </c>
      <c r="N71" s="186">
        <f t="shared" si="2"/>
        <v>2461.5</v>
      </c>
      <c r="O71" s="180">
        <f t="shared" si="3"/>
        <v>0.10208193418401612</v>
      </c>
      <c r="P71" s="180"/>
      <c r="Q71" s="180"/>
      <c r="R71" s="180"/>
      <c r="S71" s="180"/>
      <c r="T71" s="180"/>
      <c r="U71" s="180"/>
      <c r="V71" s="180"/>
      <c r="W71" s="180"/>
      <c r="X71" s="180"/>
      <c r="Y71" s="180"/>
    </row>
    <row r="72" spans="1:25">
      <c r="A72" s="181" t="s">
        <v>4158</v>
      </c>
      <c r="B72" s="181" t="s">
        <v>3791</v>
      </c>
      <c r="C72" s="181" t="s">
        <v>4193</v>
      </c>
      <c r="D72" s="182">
        <v>24</v>
      </c>
      <c r="E72" s="183">
        <v>2537.5</v>
      </c>
      <c r="F72" s="184">
        <v>2634</v>
      </c>
      <c r="G72" s="184">
        <v>2537.5</v>
      </c>
      <c r="H72" s="184">
        <v>1220</v>
      </c>
      <c r="I72" s="184">
        <v>4281</v>
      </c>
      <c r="J72" s="184">
        <v>2157</v>
      </c>
      <c r="K72" s="184">
        <v>3056.8</v>
      </c>
      <c r="L72" s="184">
        <v>878.8</v>
      </c>
      <c r="M72" s="185">
        <v>33.4</v>
      </c>
      <c r="N72" s="186">
        <f t="shared" si="2"/>
        <v>2634</v>
      </c>
      <c r="O72" s="180">
        <f t="shared" si="3"/>
        <v>3.8029556650246307E-2</v>
      </c>
      <c r="P72" s="180"/>
      <c r="Q72" s="180"/>
      <c r="R72" s="180"/>
      <c r="S72" s="180"/>
      <c r="T72" s="180"/>
      <c r="U72" s="180"/>
      <c r="V72" s="180"/>
      <c r="W72" s="180"/>
      <c r="X72" s="180"/>
      <c r="Y72" s="180"/>
    </row>
    <row r="73" spans="1:25">
      <c r="A73" s="187" t="s">
        <v>4158</v>
      </c>
      <c r="B73" s="187" t="s">
        <v>3790</v>
      </c>
      <c r="C73" s="187" t="s">
        <v>4171</v>
      </c>
      <c r="D73" s="188">
        <v>24</v>
      </c>
      <c r="E73" s="183">
        <v>1975</v>
      </c>
      <c r="F73" s="189">
        <v>1977.8</v>
      </c>
      <c r="G73" s="189">
        <v>1975</v>
      </c>
      <c r="H73" s="189">
        <v>1154</v>
      </c>
      <c r="I73" s="189">
        <v>2713</v>
      </c>
      <c r="J73" s="189">
        <v>1732.2</v>
      </c>
      <c r="K73" s="189">
        <v>2279</v>
      </c>
      <c r="L73" s="189">
        <v>401.2</v>
      </c>
      <c r="M73" s="190">
        <v>20.3</v>
      </c>
      <c r="N73" s="186">
        <f t="shared" si="2"/>
        <v>1977.8</v>
      </c>
      <c r="O73" s="180">
        <f t="shared" si="3"/>
        <v>1.4177215189873187E-3</v>
      </c>
      <c r="P73" s="180"/>
      <c r="Q73" s="180"/>
      <c r="R73" s="180"/>
      <c r="S73" s="180"/>
      <c r="T73" s="180"/>
      <c r="U73" s="180"/>
      <c r="V73" s="180"/>
      <c r="W73" s="180"/>
      <c r="X73" s="180"/>
      <c r="Y73" s="180"/>
    </row>
    <row r="74" spans="1:25">
      <c r="A74" s="181" t="s">
        <v>4158</v>
      </c>
      <c r="B74" s="181" t="s">
        <v>3790</v>
      </c>
      <c r="C74" s="181" t="s">
        <v>4201</v>
      </c>
      <c r="D74" s="182">
        <v>24</v>
      </c>
      <c r="E74" s="183">
        <v>1763</v>
      </c>
      <c r="F74" s="184">
        <v>1825.8</v>
      </c>
      <c r="G74" s="184">
        <v>1763</v>
      </c>
      <c r="H74" s="184">
        <v>1164</v>
      </c>
      <c r="I74" s="184">
        <v>2447</v>
      </c>
      <c r="J74" s="184">
        <v>1513</v>
      </c>
      <c r="K74" s="184">
        <v>2162.5</v>
      </c>
      <c r="L74" s="184">
        <v>388.2</v>
      </c>
      <c r="M74" s="185">
        <v>21.3</v>
      </c>
      <c r="N74" s="186">
        <f t="shared" si="2"/>
        <v>1825.8</v>
      </c>
      <c r="O74" s="180">
        <f t="shared" si="3"/>
        <v>3.5621100397050458E-2</v>
      </c>
      <c r="P74" s="180"/>
      <c r="Q74" s="180"/>
      <c r="R74" s="180"/>
      <c r="S74" s="180"/>
      <c r="T74" s="180"/>
      <c r="U74" s="180"/>
      <c r="V74" s="180"/>
      <c r="W74" s="180"/>
      <c r="X74" s="180"/>
      <c r="Y74" s="180"/>
    </row>
    <row r="75" spans="1:25">
      <c r="A75" s="187" t="s">
        <v>4158</v>
      </c>
      <c r="B75" s="187" t="s">
        <v>3790</v>
      </c>
      <c r="C75" s="187" t="s">
        <v>4181</v>
      </c>
      <c r="D75" s="188">
        <v>22</v>
      </c>
      <c r="E75" s="183">
        <v>1602</v>
      </c>
      <c r="F75" s="189">
        <v>1493.1</v>
      </c>
      <c r="G75" s="189">
        <v>1602</v>
      </c>
      <c r="H75" s="189">
        <v>921</v>
      </c>
      <c r="I75" s="189">
        <v>1917</v>
      </c>
      <c r="J75" s="189">
        <v>1235.8</v>
      </c>
      <c r="K75" s="189">
        <v>1666.8</v>
      </c>
      <c r="L75" s="189">
        <v>302.89999999999998</v>
      </c>
      <c r="M75" s="190">
        <v>20.3</v>
      </c>
      <c r="N75" s="186">
        <f t="shared" si="2"/>
        <v>1493.1</v>
      </c>
      <c r="O75" s="180">
        <f t="shared" si="3"/>
        <v>-6.7977528089887704E-2</v>
      </c>
      <c r="P75" s="180"/>
      <c r="Q75" s="180"/>
      <c r="R75" s="180"/>
      <c r="S75" s="180"/>
      <c r="T75" s="180"/>
      <c r="U75" s="180"/>
      <c r="V75" s="180"/>
      <c r="W75" s="180"/>
      <c r="X75" s="180"/>
      <c r="Y75" s="180"/>
    </row>
    <row r="76" spans="1:25">
      <c r="A76" s="181" t="s">
        <v>4158</v>
      </c>
      <c r="B76" s="181" t="s">
        <v>3790</v>
      </c>
      <c r="C76" s="181" t="s">
        <v>4162</v>
      </c>
      <c r="D76" s="182">
        <v>24</v>
      </c>
      <c r="E76" s="183">
        <v>1597.5</v>
      </c>
      <c r="F76" s="184">
        <v>1708</v>
      </c>
      <c r="G76" s="184">
        <v>1597.5</v>
      </c>
      <c r="H76" s="184">
        <v>559</v>
      </c>
      <c r="I76" s="184">
        <v>2971</v>
      </c>
      <c r="J76" s="184">
        <v>1073.5</v>
      </c>
      <c r="K76" s="184">
        <v>2560.8000000000002</v>
      </c>
      <c r="L76" s="184">
        <v>779.4</v>
      </c>
      <c r="M76" s="185">
        <v>45.6</v>
      </c>
      <c r="N76" s="186">
        <f t="shared" si="2"/>
        <v>1817.15</v>
      </c>
      <c r="O76" s="180">
        <f t="shared" si="3"/>
        <v>0.13749608763693277</v>
      </c>
      <c r="P76" s="180"/>
      <c r="Q76" s="180"/>
      <c r="R76" s="180"/>
      <c r="S76" s="180"/>
      <c r="T76" s="180"/>
      <c r="U76" s="180"/>
      <c r="V76" s="180"/>
      <c r="W76" s="180"/>
      <c r="X76" s="180"/>
      <c r="Y76" s="180"/>
    </row>
    <row r="77" spans="1:25">
      <c r="A77" s="187" t="s">
        <v>4158</v>
      </c>
      <c r="B77" s="187" t="s">
        <v>3790</v>
      </c>
      <c r="C77" s="187" t="s">
        <v>4163</v>
      </c>
      <c r="D77" s="188">
        <v>24</v>
      </c>
      <c r="E77" s="183">
        <v>1581</v>
      </c>
      <c r="F77" s="189">
        <v>1893.3</v>
      </c>
      <c r="G77" s="189">
        <v>1581</v>
      </c>
      <c r="H77" s="189">
        <v>681</v>
      </c>
      <c r="I77" s="189">
        <v>3208</v>
      </c>
      <c r="J77" s="189">
        <v>1155.2</v>
      </c>
      <c r="K77" s="189">
        <v>2944.8</v>
      </c>
      <c r="L77" s="189">
        <v>908.2</v>
      </c>
      <c r="M77" s="190">
        <v>48</v>
      </c>
      <c r="N77" s="186">
        <f t="shared" si="2"/>
        <v>2050</v>
      </c>
      <c r="O77" s="180">
        <f t="shared" si="3"/>
        <v>0.29664769133459834</v>
      </c>
      <c r="P77" s="180"/>
      <c r="Q77" s="180"/>
      <c r="R77" s="180"/>
      <c r="S77" s="180"/>
      <c r="T77" s="180"/>
      <c r="U77" s="180"/>
      <c r="V77" s="180"/>
      <c r="W77" s="180"/>
      <c r="X77" s="180"/>
      <c r="Y77" s="180"/>
    </row>
    <row r="78" spans="1:25">
      <c r="A78" s="181" t="s">
        <v>4158</v>
      </c>
      <c r="B78" s="181" t="s">
        <v>3790</v>
      </c>
      <c r="C78" s="181" t="s">
        <v>4183</v>
      </c>
      <c r="D78" s="182">
        <v>24</v>
      </c>
      <c r="E78" s="183">
        <v>1830.5</v>
      </c>
      <c r="F78" s="184">
        <v>1977.9</v>
      </c>
      <c r="G78" s="184">
        <v>1830.5</v>
      </c>
      <c r="H78" s="184">
        <v>860</v>
      </c>
      <c r="I78" s="184">
        <v>3218</v>
      </c>
      <c r="J78" s="184">
        <v>1187.5</v>
      </c>
      <c r="K78" s="184">
        <v>2795</v>
      </c>
      <c r="L78" s="184">
        <v>814.3</v>
      </c>
      <c r="M78" s="185">
        <v>41.2</v>
      </c>
      <c r="N78" s="186">
        <f t="shared" si="2"/>
        <v>1991.25</v>
      </c>
      <c r="O78" s="180">
        <f t="shared" si="3"/>
        <v>8.781753619229718E-2</v>
      </c>
      <c r="P78" s="180"/>
      <c r="Q78" s="180"/>
      <c r="R78" s="180"/>
      <c r="S78" s="180"/>
      <c r="T78" s="180"/>
      <c r="U78" s="180"/>
      <c r="V78" s="180"/>
      <c r="W78" s="180"/>
      <c r="X78" s="180"/>
      <c r="Y78" s="180"/>
    </row>
    <row r="79" spans="1:25">
      <c r="A79" s="187" t="s">
        <v>4158</v>
      </c>
      <c r="B79" s="187" t="s">
        <v>3790</v>
      </c>
      <c r="C79" s="187" t="s">
        <v>4188</v>
      </c>
      <c r="D79" s="188">
        <v>24</v>
      </c>
      <c r="E79" s="183">
        <v>2341</v>
      </c>
      <c r="F79" s="189">
        <v>2202.6</v>
      </c>
      <c r="G79" s="189">
        <v>2341</v>
      </c>
      <c r="H79" s="189">
        <v>985</v>
      </c>
      <c r="I79" s="189">
        <v>3102</v>
      </c>
      <c r="J79" s="189">
        <v>1604.2</v>
      </c>
      <c r="K79" s="189">
        <v>2739.5</v>
      </c>
      <c r="L79" s="189">
        <v>659.6</v>
      </c>
      <c r="M79" s="190">
        <v>29.9</v>
      </c>
      <c r="N79" s="186">
        <f t="shared" si="2"/>
        <v>2202.6</v>
      </c>
      <c r="O79" s="180">
        <f t="shared" si="3"/>
        <v>-5.9120034173430196E-2</v>
      </c>
      <c r="P79" s="180"/>
      <c r="Q79" s="180"/>
      <c r="R79" s="180"/>
      <c r="S79" s="180"/>
      <c r="T79" s="180"/>
      <c r="U79" s="180"/>
      <c r="V79" s="180"/>
      <c r="W79" s="180"/>
      <c r="X79" s="180"/>
      <c r="Y79" s="180"/>
    </row>
    <row r="80" spans="1:25">
      <c r="A80" s="181" t="s">
        <v>4158</v>
      </c>
      <c r="B80" s="181" t="s">
        <v>3790</v>
      </c>
      <c r="C80" s="181" t="s">
        <v>4189</v>
      </c>
      <c r="D80" s="182">
        <v>24</v>
      </c>
      <c r="E80" s="183">
        <v>2338.5</v>
      </c>
      <c r="F80" s="184">
        <v>2181.8000000000002</v>
      </c>
      <c r="G80" s="184">
        <v>2338.5</v>
      </c>
      <c r="H80" s="184">
        <v>902</v>
      </c>
      <c r="I80" s="184">
        <v>3167</v>
      </c>
      <c r="J80" s="184">
        <v>1520.5</v>
      </c>
      <c r="K80" s="184">
        <v>2894.8</v>
      </c>
      <c r="L80" s="184">
        <v>715</v>
      </c>
      <c r="M80" s="185">
        <v>32.799999999999997</v>
      </c>
      <c r="N80" s="186">
        <f t="shared" si="2"/>
        <v>2181.8000000000002</v>
      </c>
      <c r="O80" s="180">
        <f t="shared" si="3"/>
        <v>-6.7008766303185724E-2</v>
      </c>
      <c r="P80" s="180"/>
      <c r="Q80" s="180"/>
      <c r="R80" s="180"/>
      <c r="S80" s="180"/>
      <c r="T80" s="180"/>
      <c r="U80" s="180"/>
      <c r="V80" s="180"/>
      <c r="W80" s="180"/>
      <c r="X80" s="180"/>
      <c r="Y80" s="180"/>
    </row>
    <row r="81" spans="1:25">
      <c r="A81" s="187" t="s">
        <v>4158</v>
      </c>
      <c r="B81" s="187" t="s">
        <v>3790</v>
      </c>
      <c r="C81" s="187" t="s">
        <v>4202</v>
      </c>
      <c r="D81" s="188">
        <v>24</v>
      </c>
      <c r="E81" s="183">
        <v>1284.5</v>
      </c>
      <c r="F81" s="189">
        <v>1467.3</v>
      </c>
      <c r="G81" s="189">
        <v>1284.5</v>
      </c>
      <c r="H81" s="189">
        <v>704</v>
      </c>
      <c r="I81" s="189">
        <v>2600</v>
      </c>
      <c r="J81" s="189">
        <v>954.8</v>
      </c>
      <c r="K81" s="189">
        <v>1931</v>
      </c>
      <c r="L81" s="189">
        <v>631</v>
      </c>
      <c r="M81" s="190">
        <v>43</v>
      </c>
      <c r="N81" s="186">
        <f t="shared" si="2"/>
        <v>1442.9</v>
      </c>
      <c r="O81" s="180">
        <f t="shared" si="3"/>
        <v>0.12331646555079805</v>
      </c>
      <c r="P81" s="180"/>
      <c r="Q81" s="180"/>
      <c r="R81" s="180"/>
      <c r="S81" s="180"/>
      <c r="T81" s="180"/>
      <c r="U81" s="180"/>
      <c r="V81" s="180"/>
      <c r="W81" s="180"/>
      <c r="X81" s="180"/>
      <c r="Y81" s="180"/>
    </row>
    <row r="82" spans="1:25">
      <c r="A82" s="181" t="s">
        <v>4158</v>
      </c>
      <c r="B82" s="181" t="s">
        <v>3790</v>
      </c>
      <c r="C82" s="181" t="s">
        <v>4190</v>
      </c>
      <c r="D82" s="182">
        <v>24</v>
      </c>
      <c r="E82" s="183">
        <v>907</v>
      </c>
      <c r="F82" s="184">
        <v>1253.4000000000001</v>
      </c>
      <c r="G82" s="184">
        <v>907</v>
      </c>
      <c r="H82" s="184">
        <v>383</v>
      </c>
      <c r="I82" s="184">
        <v>2338</v>
      </c>
      <c r="J82" s="184">
        <v>693.8</v>
      </c>
      <c r="K82" s="184">
        <v>1991.5</v>
      </c>
      <c r="L82" s="184">
        <v>711.2</v>
      </c>
      <c r="M82" s="185">
        <v>56.7</v>
      </c>
      <c r="N82" s="186">
        <f t="shared" si="2"/>
        <v>1342.65</v>
      </c>
      <c r="O82" s="180">
        <f t="shared" si="3"/>
        <v>0.48031973539140033</v>
      </c>
      <c r="P82" s="180"/>
      <c r="Q82" s="180"/>
      <c r="R82" s="180"/>
      <c r="S82" s="180"/>
      <c r="T82" s="180"/>
      <c r="U82" s="180"/>
      <c r="V82" s="180"/>
      <c r="W82" s="180"/>
      <c r="X82" s="180"/>
      <c r="Y82" s="180"/>
    </row>
    <row r="83" spans="1:25">
      <c r="A83" s="187" t="s">
        <v>4158</v>
      </c>
      <c r="B83" s="187" t="s">
        <v>3790</v>
      </c>
      <c r="C83" s="187" t="s">
        <v>4193</v>
      </c>
      <c r="D83" s="188">
        <v>24</v>
      </c>
      <c r="E83" s="183">
        <v>2209.5</v>
      </c>
      <c r="F83" s="189">
        <v>2037.8</v>
      </c>
      <c r="G83" s="189">
        <v>2209.5</v>
      </c>
      <c r="H83" s="189">
        <v>838</v>
      </c>
      <c r="I83" s="189">
        <v>3400</v>
      </c>
      <c r="J83" s="189">
        <v>1431.8</v>
      </c>
      <c r="K83" s="189">
        <v>2501</v>
      </c>
      <c r="L83" s="189">
        <v>725.3</v>
      </c>
      <c r="M83" s="190">
        <v>35.6</v>
      </c>
      <c r="N83" s="186">
        <f t="shared" si="2"/>
        <v>1966.4</v>
      </c>
      <c r="O83" s="180">
        <f t="shared" si="3"/>
        <v>-0.11002489250961751</v>
      </c>
      <c r="P83" s="180"/>
      <c r="Q83" s="180"/>
      <c r="R83" s="180"/>
      <c r="S83" s="180"/>
      <c r="T83" s="180"/>
      <c r="U83" s="180"/>
      <c r="V83" s="180"/>
      <c r="W83" s="180"/>
      <c r="X83" s="180"/>
      <c r="Y83" s="180"/>
    </row>
    <row r="84" spans="1:25">
      <c r="A84" s="181" t="s">
        <v>4158</v>
      </c>
      <c r="B84" s="181" t="s">
        <v>3790</v>
      </c>
      <c r="C84" s="181" t="s">
        <v>4194</v>
      </c>
      <c r="D84" s="182">
        <v>24</v>
      </c>
      <c r="E84" s="183">
        <v>1656</v>
      </c>
      <c r="F84" s="184">
        <v>2005.7</v>
      </c>
      <c r="G84" s="184">
        <v>1656</v>
      </c>
      <c r="H84" s="184">
        <v>1206</v>
      </c>
      <c r="I84" s="184">
        <v>3719</v>
      </c>
      <c r="J84" s="184">
        <v>1398.2</v>
      </c>
      <c r="K84" s="184">
        <v>2650</v>
      </c>
      <c r="L84" s="184">
        <v>802.4</v>
      </c>
      <c r="M84" s="185">
        <v>40</v>
      </c>
      <c r="N84" s="186">
        <f t="shared" si="2"/>
        <v>2024.1</v>
      </c>
      <c r="O84" s="180">
        <f t="shared" si="3"/>
        <v>0.22228260869565211</v>
      </c>
      <c r="P84" s="180"/>
      <c r="Q84" s="180"/>
      <c r="R84" s="180"/>
      <c r="S84" s="180"/>
      <c r="T84" s="180"/>
      <c r="U84" s="180"/>
      <c r="V84" s="180"/>
      <c r="W84" s="180"/>
      <c r="X84" s="180"/>
      <c r="Y84" s="180"/>
    </row>
    <row r="85" spans="1:25">
      <c r="A85" s="187" t="s">
        <v>4158</v>
      </c>
      <c r="B85" s="187" t="s">
        <v>4203</v>
      </c>
      <c r="C85" s="187" t="s">
        <v>4204</v>
      </c>
      <c r="D85" s="188">
        <v>24</v>
      </c>
      <c r="E85" s="183">
        <v>3669</v>
      </c>
      <c r="F85" s="189">
        <v>3886.9</v>
      </c>
      <c r="G85" s="189">
        <v>3669</v>
      </c>
      <c r="H85" s="189">
        <v>2331</v>
      </c>
      <c r="I85" s="189">
        <v>7244</v>
      </c>
      <c r="J85" s="189">
        <v>2887</v>
      </c>
      <c r="K85" s="189">
        <v>4580.2</v>
      </c>
      <c r="L85" s="189">
        <v>1342.8</v>
      </c>
      <c r="M85" s="190">
        <v>34.5</v>
      </c>
      <c r="N85" s="186">
        <f t="shared" si="2"/>
        <v>3886.9</v>
      </c>
      <c r="O85" s="180">
        <f t="shared" si="3"/>
        <v>5.9389479422185906E-2</v>
      </c>
      <c r="P85" s="180"/>
      <c r="Q85" s="180"/>
      <c r="R85" s="180"/>
      <c r="S85" s="180"/>
      <c r="T85" s="180"/>
      <c r="U85" s="180"/>
      <c r="V85" s="180"/>
      <c r="W85" s="180"/>
      <c r="X85" s="180"/>
      <c r="Y85" s="180"/>
    </row>
    <row r="86" spans="1:25">
      <c r="A86" s="181" t="s">
        <v>4158</v>
      </c>
      <c r="B86" s="181" t="s">
        <v>4203</v>
      </c>
      <c r="C86" s="181" t="s">
        <v>4172</v>
      </c>
      <c r="D86" s="182">
        <v>24</v>
      </c>
      <c r="E86" s="183">
        <v>3801</v>
      </c>
      <c r="F86" s="184">
        <v>3982.1</v>
      </c>
      <c r="G86" s="184">
        <v>3801</v>
      </c>
      <c r="H86" s="184">
        <v>2306</v>
      </c>
      <c r="I86" s="184">
        <v>7356</v>
      </c>
      <c r="J86" s="184">
        <v>2978.5</v>
      </c>
      <c r="K86" s="184">
        <v>4773.5</v>
      </c>
      <c r="L86" s="184">
        <v>1363.1</v>
      </c>
      <c r="M86" s="185">
        <v>34.200000000000003</v>
      </c>
      <c r="N86" s="186">
        <f t="shared" si="2"/>
        <v>3982.1</v>
      </c>
      <c r="O86" s="180">
        <f t="shared" si="3"/>
        <v>4.7645356485135466E-2</v>
      </c>
      <c r="P86" s="180"/>
      <c r="Q86" s="180"/>
      <c r="R86" s="180"/>
      <c r="S86" s="180"/>
      <c r="T86" s="180"/>
      <c r="U86" s="180"/>
      <c r="V86" s="180"/>
      <c r="W86" s="180"/>
      <c r="X86" s="180"/>
      <c r="Y86" s="180"/>
    </row>
    <row r="87" spans="1:25">
      <c r="A87" s="187" t="s">
        <v>4158</v>
      </c>
      <c r="B87" s="187" t="s">
        <v>4203</v>
      </c>
      <c r="C87" s="187" t="s">
        <v>4173</v>
      </c>
      <c r="D87" s="188">
        <v>23</v>
      </c>
      <c r="E87" s="183">
        <v>3188</v>
      </c>
      <c r="F87" s="189">
        <v>3280.5</v>
      </c>
      <c r="G87" s="189">
        <v>3188</v>
      </c>
      <c r="H87" s="189">
        <v>1436</v>
      </c>
      <c r="I87" s="189">
        <v>5326</v>
      </c>
      <c r="J87" s="189">
        <v>2227</v>
      </c>
      <c r="K87" s="189">
        <v>4484.5</v>
      </c>
      <c r="L87" s="189">
        <v>1245.7</v>
      </c>
      <c r="M87" s="190">
        <v>38</v>
      </c>
      <c r="N87" s="186">
        <f t="shared" si="2"/>
        <v>3355.75</v>
      </c>
      <c r="O87" s="180">
        <f t="shared" si="3"/>
        <v>5.261919698870765E-2</v>
      </c>
      <c r="P87" s="180"/>
      <c r="Q87" s="180"/>
      <c r="R87" s="180"/>
      <c r="S87" s="180"/>
      <c r="T87" s="180"/>
      <c r="U87" s="180"/>
      <c r="V87" s="180"/>
      <c r="W87" s="180"/>
      <c r="X87" s="180"/>
      <c r="Y87" s="180"/>
    </row>
    <row r="88" spans="1:25">
      <c r="A88" s="181" t="s">
        <v>4158</v>
      </c>
      <c r="B88" s="181" t="s">
        <v>4203</v>
      </c>
      <c r="C88" s="181" t="s">
        <v>4177</v>
      </c>
      <c r="D88" s="182">
        <v>18</v>
      </c>
      <c r="E88" s="183">
        <v>3420</v>
      </c>
      <c r="F88" s="184">
        <v>3394.7</v>
      </c>
      <c r="G88" s="184">
        <v>3420</v>
      </c>
      <c r="H88" s="184">
        <v>2106</v>
      </c>
      <c r="I88" s="184">
        <v>4595</v>
      </c>
      <c r="J88" s="184">
        <v>2773</v>
      </c>
      <c r="K88" s="184">
        <v>4091</v>
      </c>
      <c r="L88" s="184">
        <v>777.4</v>
      </c>
      <c r="M88" s="185">
        <v>22.9</v>
      </c>
      <c r="N88" s="186">
        <f t="shared" si="2"/>
        <v>3394.7</v>
      </c>
      <c r="O88" s="180">
        <f t="shared" si="3"/>
        <v>-7.3976608187135036E-3</v>
      </c>
      <c r="P88" s="180"/>
      <c r="Q88" s="180"/>
      <c r="R88" s="180"/>
      <c r="S88" s="180"/>
      <c r="T88" s="180"/>
      <c r="U88" s="180"/>
      <c r="V88" s="180"/>
      <c r="W88" s="180"/>
      <c r="X88" s="180"/>
      <c r="Y88" s="180"/>
    </row>
    <row r="89" spans="1:25">
      <c r="A89" s="187" t="s">
        <v>4158</v>
      </c>
      <c r="B89" s="187" t="s">
        <v>4203</v>
      </c>
      <c r="C89" s="187" t="s">
        <v>4179</v>
      </c>
      <c r="D89" s="188">
        <v>24</v>
      </c>
      <c r="E89" s="183">
        <v>3575.5</v>
      </c>
      <c r="F89" s="189">
        <v>3750</v>
      </c>
      <c r="G89" s="189">
        <v>3575.5</v>
      </c>
      <c r="H89" s="189">
        <v>1881</v>
      </c>
      <c r="I89" s="189">
        <v>5633</v>
      </c>
      <c r="J89" s="189">
        <v>2775</v>
      </c>
      <c r="K89" s="189">
        <v>5041.8</v>
      </c>
      <c r="L89" s="189">
        <v>1226.8</v>
      </c>
      <c r="M89" s="190">
        <v>32.700000000000003</v>
      </c>
      <c r="N89" s="186">
        <f t="shared" si="2"/>
        <v>3750</v>
      </c>
      <c r="O89" s="180">
        <f t="shared" si="3"/>
        <v>4.880436302615019E-2</v>
      </c>
      <c r="P89" s="180"/>
      <c r="Q89" s="180"/>
      <c r="R89" s="180"/>
      <c r="S89" s="180"/>
      <c r="T89" s="180"/>
      <c r="U89" s="180"/>
      <c r="V89" s="180"/>
      <c r="W89" s="180"/>
      <c r="X89" s="180"/>
      <c r="Y89" s="180"/>
    </row>
    <row r="90" spans="1:25">
      <c r="A90" s="181" t="s">
        <v>4158</v>
      </c>
      <c r="B90" s="181" t="s">
        <v>4203</v>
      </c>
      <c r="C90" s="181" t="s">
        <v>4195</v>
      </c>
      <c r="D90" s="182">
        <v>9</v>
      </c>
      <c r="E90" s="183">
        <v>2445</v>
      </c>
      <c r="F90" s="184">
        <v>2413.8000000000002</v>
      </c>
      <c r="G90" s="184">
        <v>2445</v>
      </c>
      <c r="H90" s="184">
        <v>1798</v>
      </c>
      <c r="I90" s="184">
        <v>3244</v>
      </c>
      <c r="J90" s="184">
        <v>2041</v>
      </c>
      <c r="K90" s="184">
        <v>2695</v>
      </c>
      <c r="L90" s="184">
        <v>475.6</v>
      </c>
      <c r="M90" s="185">
        <v>19.7</v>
      </c>
      <c r="N90" s="186">
        <f t="shared" si="2"/>
        <v>2445</v>
      </c>
      <c r="O90" s="180">
        <f t="shared" si="3"/>
        <v>0</v>
      </c>
      <c r="P90" s="180"/>
      <c r="Q90" s="180"/>
      <c r="R90" s="180"/>
      <c r="S90" s="180"/>
      <c r="T90" s="180"/>
      <c r="U90" s="180"/>
      <c r="V90" s="180"/>
      <c r="W90" s="180"/>
      <c r="X90" s="180"/>
      <c r="Y90" s="180"/>
    </row>
    <row r="91" spans="1:25">
      <c r="A91" s="187" t="s">
        <v>4158</v>
      </c>
      <c r="B91" s="187" t="s">
        <v>4203</v>
      </c>
      <c r="C91" s="187" t="s">
        <v>4205</v>
      </c>
      <c r="D91" s="188">
        <v>22</v>
      </c>
      <c r="E91" s="183">
        <v>2083</v>
      </c>
      <c r="F91" s="189">
        <v>2019.5</v>
      </c>
      <c r="G91" s="189">
        <v>2083</v>
      </c>
      <c r="H91" s="189">
        <v>955</v>
      </c>
      <c r="I91" s="189">
        <v>3020</v>
      </c>
      <c r="J91" s="189">
        <v>1755.5</v>
      </c>
      <c r="K91" s="189">
        <v>2335.5</v>
      </c>
      <c r="L91" s="189">
        <v>504</v>
      </c>
      <c r="M91" s="190">
        <v>25</v>
      </c>
      <c r="N91" s="186">
        <f t="shared" si="2"/>
        <v>2019.5</v>
      </c>
      <c r="O91" s="180">
        <f t="shared" si="3"/>
        <v>-3.0484877580412868E-2</v>
      </c>
      <c r="P91" s="180"/>
      <c r="Q91" s="180"/>
      <c r="R91" s="180"/>
      <c r="S91" s="180"/>
      <c r="T91" s="180"/>
      <c r="U91" s="180"/>
      <c r="V91" s="180"/>
      <c r="W91" s="180"/>
      <c r="X91" s="180"/>
      <c r="Y91" s="180"/>
    </row>
    <row r="92" spans="1:25">
      <c r="A92" s="181" t="s">
        <v>4158</v>
      </c>
      <c r="B92" s="181" t="s">
        <v>4203</v>
      </c>
      <c r="C92" s="181" t="s">
        <v>4197</v>
      </c>
      <c r="D92" s="182">
        <v>21</v>
      </c>
      <c r="E92" s="183">
        <v>2442</v>
      </c>
      <c r="F92" s="184">
        <v>2440.1</v>
      </c>
      <c r="G92" s="184">
        <v>2442</v>
      </c>
      <c r="H92" s="184">
        <v>1921</v>
      </c>
      <c r="I92" s="184">
        <v>3067</v>
      </c>
      <c r="J92" s="184">
        <v>2300</v>
      </c>
      <c r="K92" s="184">
        <v>2529</v>
      </c>
      <c r="L92" s="184">
        <v>255.2</v>
      </c>
      <c r="M92" s="185">
        <v>10.5</v>
      </c>
      <c r="N92" s="186">
        <f t="shared" si="2"/>
        <v>2442</v>
      </c>
      <c r="O92" s="180">
        <f t="shared" si="3"/>
        <v>0</v>
      </c>
      <c r="P92" s="180"/>
      <c r="Q92" s="180"/>
      <c r="R92" s="180"/>
      <c r="S92" s="180"/>
      <c r="T92" s="180"/>
      <c r="U92" s="180"/>
      <c r="V92" s="180"/>
      <c r="W92" s="180"/>
      <c r="X92" s="180"/>
      <c r="Y92" s="180"/>
    </row>
    <row r="93" spans="1:25">
      <c r="A93" s="187" t="s">
        <v>4158</v>
      </c>
      <c r="B93" s="187" t="s">
        <v>4203</v>
      </c>
      <c r="C93" s="187" t="s">
        <v>4186</v>
      </c>
      <c r="D93" s="188">
        <v>22</v>
      </c>
      <c r="E93" s="183">
        <v>3018.5</v>
      </c>
      <c r="F93" s="189">
        <v>3280</v>
      </c>
      <c r="G93" s="189">
        <v>3018.5</v>
      </c>
      <c r="H93" s="189">
        <v>2000</v>
      </c>
      <c r="I93" s="189">
        <v>5280</v>
      </c>
      <c r="J93" s="189">
        <v>2598.1999999999998</v>
      </c>
      <c r="K93" s="189">
        <v>3982.2</v>
      </c>
      <c r="L93" s="189">
        <v>970.8</v>
      </c>
      <c r="M93" s="190">
        <v>29.6</v>
      </c>
      <c r="N93" s="186">
        <f t="shared" si="2"/>
        <v>3280</v>
      </c>
      <c r="O93" s="180">
        <f t="shared" si="3"/>
        <v>8.6632433327811828E-2</v>
      </c>
      <c r="P93" s="180"/>
      <c r="Q93" s="180"/>
      <c r="R93" s="180"/>
      <c r="S93" s="180"/>
      <c r="T93" s="180"/>
      <c r="U93" s="180"/>
      <c r="V93" s="180"/>
      <c r="W93" s="180"/>
      <c r="X93" s="180"/>
      <c r="Y93" s="180"/>
    </row>
    <row r="94" spans="1:25">
      <c r="A94" s="181" t="s">
        <v>4158</v>
      </c>
      <c r="B94" s="181" t="s">
        <v>4203</v>
      </c>
      <c r="C94" s="181" t="s">
        <v>4165</v>
      </c>
      <c r="D94" s="182">
        <v>11</v>
      </c>
      <c r="E94" s="183">
        <v>1400</v>
      </c>
      <c r="F94" s="184">
        <v>1797.7</v>
      </c>
      <c r="G94" s="184">
        <v>1400</v>
      </c>
      <c r="H94" s="184">
        <v>1044</v>
      </c>
      <c r="I94" s="184">
        <v>3243</v>
      </c>
      <c r="J94" s="184">
        <v>1217</v>
      </c>
      <c r="K94" s="184">
        <v>2375</v>
      </c>
      <c r="L94" s="184">
        <v>839.1</v>
      </c>
      <c r="M94" s="185">
        <v>46.7</v>
      </c>
      <c r="N94" s="186">
        <f t="shared" si="2"/>
        <v>1796</v>
      </c>
      <c r="O94" s="180">
        <f t="shared" si="3"/>
        <v>0.28285714285714286</v>
      </c>
      <c r="P94" s="180"/>
      <c r="Q94" s="180"/>
      <c r="R94" s="180"/>
      <c r="S94" s="180"/>
      <c r="T94" s="180"/>
      <c r="U94" s="180"/>
      <c r="V94" s="180"/>
      <c r="W94" s="180"/>
      <c r="X94" s="180"/>
      <c r="Y94" s="180"/>
    </row>
    <row r="95" spans="1:25">
      <c r="A95" s="187" t="s">
        <v>4158</v>
      </c>
      <c r="B95" s="187" t="s">
        <v>4203</v>
      </c>
      <c r="C95" s="187" t="s">
        <v>4190</v>
      </c>
      <c r="D95" s="188">
        <v>15</v>
      </c>
      <c r="E95" s="183">
        <v>1275</v>
      </c>
      <c r="F95" s="189">
        <v>1243.3</v>
      </c>
      <c r="G95" s="189">
        <v>1275</v>
      </c>
      <c r="H95" s="189">
        <v>682</v>
      </c>
      <c r="I95" s="189">
        <v>1701</v>
      </c>
      <c r="J95" s="189">
        <v>1105</v>
      </c>
      <c r="K95" s="189">
        <v>1379</v>
      </c>
      <c r="L95" s="189">
        <v>258.8</v>
      </c>
      <c r="M95" s="190">
        <v>20.8</v>
      </c>
      <c r="N95" s="186">
        <f t="shared" si="2"/>
        <v>1243.3</v>
      </c>
      <c r="O95" s="180">
        <f t="shared" si="3"/>
        <v>-2.4862745098039252E-2</v>
      </c>
      <c r="P95" s="180"/>
      <c r="Q95" s="180"/>
      <c r="R95" s="180"/>
      <c r="S95" s="180"/>
      <c r="T95" s="180"/>
      <c r="U95" s="180"/>
      <c r="V95" s="180"/>
      <c r="W95" s="180"/>
      <c r="X95" s="180"/>
      <c r="Y95" s="180"/>
    </row>
    <row r="96" spans="1:25">
      <c r="A96" s="181" t="s">
        <v>4158</v>
      </c>
      <c r="B96" s="181" t="s">
        <v>4203</v>
      </c>
      <c r="C96" s="181" t="s">
        <v>4206</v>
      </c>
      <c r="D96" s="182">
        <v>10</v>
      </c>
      <c r="E96" s="183">
        <v>2114.5</v>
      </c>
      <c r="F96" s="184">
        <v>2220.4</v>
      </c>
      <c r="G96" s="184">
        <v>2114.5</v>
      </c>
      <c r="H96" s="184">
        <v>1826</v>
      </c>
      <c r="I96" s="184">
        <v>3229</v>
      </c>
      <c r="J96" s="184">
        <v>1904.8</v>
      </c>
      <c r="K96" s="184">
        <v>2180.1999999999998</v>
      </c>
      <c r="L96" s="184">
        <v>464.1</v>
      </c>
      <c r="M96" s="185">
        <v>20.9</v>
      </c>
      <c r="N96" s="186">
        <f t="shared" si="2"/>
        <v>2220.4</v>
      </c>
      <c r="O96" s="180">
        <f t="shared" si="3"/>
        <v>5.0082761882241707E-2</v>
      </c>
      <c r="P96" s="180"/>
      <c r="Q96" s="180"/>
      <c r="R96" s="180"/>
      <c r="S96" s="180"/>
      <c r="T96" s="180"/>
      <c r="U96" s="180"/>
      <c r="V96" s="180"/>
      <c r="W96" s="180"/>
      <c r="X96" s="180"/>
      <c r="Y96" s="180"/>
    </row>
    <row r="97" spans="1:25">
      <c r="A97" s="187" t="s">
        <v>4158</v>
      </c>
      <c r="B97" s="187" t="s">
        <v>4203</v>
      </c>
      <c r="C97" s="187" t="s">
        <v>4198</v>
      </c>
      <c r="D97" s="188">
        <v>16</v>
      </c>
      <c r="E97" s="183">
        <v>2841.5</v>
      </c>
      <c r="F97" s="189">
        <v>2836</v>
      </c>
      <c r="G97" s="189">
        <v>2841.5</v>
      </c>
      <c r="H97" s="189">
        <v>2043</v>
      </c>
      <c r="I97" s="189">
        <v>4050</v>
      </c>
      <c r="J97" s="189">
        <v>2416.5</v>
      </c>
      <c r="K97" s="189">
        <v>3175.2</v>
      </c>
      <c r="L97" s="189">
        <v>541.20000000000005</v>
      </c>
      <c r="M97" s="190">
        <v>19.100000000000001</v>
      </c>
      <c r="N97" s="186">
        <f t="shared" si="2"/>
        <v>2841.5</v>
      </c>
      <c r="O97" s="180">
        <f t="shared" si="3"/>
        <v>0</v>
      </c>
      <c r="P97" s="180"/>
      <c r="Q97" s="180"/>
      <c r="R97" s="180"/>
      <c r="S97" s="180"/>
      <c r="T97" s="180"/>
      <c r="U97" s="180"/>
      <c r="V97" s="180"/>
      <c r="W97" s="180"/>
      <c r="X97" s="180"/>
      <c r="Y97" s="180"/>
    </row>
    <row r="98" spans="1:25">
      <c r="A98" s="181" t="s">
        <v>4158</v>
      </c>
      <c r="B98" s="181" t="s">
        <v>4203</v>
      </c>
      <c r="C98" s="181" t="s">
        <v>4191</v>
      </c>
      <c r="D98" s="182">
        <v>7</v>
      </c>
      <c r="E98" s="183">
        <v>1078</v>
      </c>
      <c r="F98" s="184">
        <v>1119.7</v>
      </c>
      <c r="G98" s="184">
        <v>1078</v>
      </c>
      <c r="H98" s="184">
        <v>800</v>
      </c>
      <c r="I98" s="184">
        <v>1503</v>
      </c>
      <c r="J98" s="184">
        <v>1013.5</v>
      </c>
      <c r="K98" s="184">
        <v>1215</v>
      </c>
      <c r="L98" s="184">
        <v>222.2</v>
      </c>
      <c r="M98" s="185">
        <v>19.8</v>
      </c>
      <c r="N98" s="186">
        <f t="shared" si="2"/>
        <v>1078</v>
      </c>
      <c r="O98" s="180">
        <f t="shared" si="3"/>
        <v>0</v>
      </c>
      <c r="P98" s="180"/>
      <c r="Q98" s="180"/>
      <c r="R98" s="180"/>
      <c r="S98" s="180"/>
      <c r="T98" s="180"/>
      <c r="U98" s="180"/>
      <c r="V98" s="180"/>
      <c r="W98" s="180"/>
      <c r="X98" s="180"/>
      <c r="Y98" s="180"/>
    </row>
    <row r="99" spans="1:25">
      <c r="A99" s="187" t="s">
        <v>4158</v>
      </c>
      <c r="B99" s="187" t="s">
        <v>4203</v>
      </c>
      <c r="C99" s="187" t="s">
        <v>4169</v>
      </c>
      <c r="D99" s="188">
        <v>23</v>
      </c>
      <c r="E99" s="183">
        <v>3796</v>
      </c>
      <c r="F99" s="189">
        <v>3827.3</v>
      </c>
      <c r="G99" s="189">
        <v>3796</v>
      </c>
      <c r="H99" s="189">
        <v>1840</v>
      </c>
      <c r="I99" s="189">
        <v>7386</v>
      </c>
      <c r="J99" s="189">
        <v>2814.5</v>
      </c>
      <c r="K99" s="189">
        <v>4639</v>
      </c>
      <c r="L99" s="189">
        <v>1350.3</v>
      </c>
      <c r="M99" s="190">
        <v>35.299999999999997</v>
      </c>
      <c r="N99" s="186">
        <f t="shared" si="2"/>
        <v>3726.75</v>
      </c>
      <c r="O99" s="180">
        <f t="shared" si="3"/>
        <v>-1.8242887249736564E-2</v>
      </c>
      <c r="P99" s="180"/>
      <c r="Q99" s="180"/>
      <c r="R99" s="180"/>
      <c r="S99" s="180"/>
      <c r="T99" s="180"/>
      <c r="U99" s="180"/>
      <c r="V99" s="180"/>
      <c r="W99" s="180"/>
      <c r="X99" s="180"/>
      <c r="Y99" s="180"/>
    </row>
    <row r="100" spans="1:25">
      <c r="A100" s="181" t="s">
        <v>4158</v>
      </c>
      <c r="B100" s="181" t="s">
        <v>4203</v>
      </c>
      <c r="C100" s="181" t="s">
        <v>4170</v>
      </c>
      <c r="D100" s="182">
        <v>5</v>
      </c>
      <c r="E100" s="183">
        <v>1503</v>
      </c>
      <c r="F100" s="184">
        <v>1664.8</v>
      </c>
      <c r="G100" s="184">
        <v>1503</v>
      </c>
      <c r="H100" s="184">
        <v>1388</v>
      </c>
      <c r="I100" s="184">
        <v>2210</v>
      </c>
      <c r="J100" s="184">
        <v>1492</v>
      </c>
      <c r="K100" s="184">
        <v>1731</v>
      </c>
      <c r="L100" s="184">
        <v>329.5</v>
      </c>
      <c r="M100" s="185">
        <v>19.8</v>
      </c>
      <c r="N100" s="186">
        <f t="shared" si="2"/>
        <v>1503</v>
      </c>
      <c r="O100" s="180">
        <f t="shared" si="3"/>
        <v>0</v>
      </c>
      <c r="P100" s="180"/>
      <c r="Q100" s="180"/>
      <c r="R100" s="180"/>
      <c r="S100" s="180"/>
      <c r="T100" s="180"/>
      <c r="U100" s="180"/>
      <c r="V100" s="180"/>
      <c r="W100" s="180"/>
      <c r="X100" s="180"/>
      <c r="Y100" s="180"/>
    </row>
    <row r="101" spans="1:25">
      <c r="A101" s="187" t="s">
        <v>4158</v>
      </c>
      <c r="B101" s="187" t="s">
        <v>4203</v>
      </c>
      <c r="C101" s="187" t="s">
        <v>4207</v>
      </c>
      <c r="D101" s="188">
        <v>11</v>
      </c>
      <c r="E101" s="183">
        <v>2149</v>
      </c>
      <c r="F101" s="189">
        <v>2364.6999999999998</v>
      </c>
      <c r="G101" s="189">
        <v>2149</v>
      </c>
      <c r="H101" s="189">
        <v>1490</v>
      </c>
      <c r="I101" s="189">
        <v>3667</v>
      </c>
      <c r="J101" s="189">
        <v>1974.5</v>
      </c>
      <c r="K101" s="189">
        <v>2645.5</v>
      </c>
      <c r="L101" s="189">
        <v>704.1</v>
      </c>
      <c r="M101" s="190">
        <v>29.8</v>
      </c>
      <c r="N101" s="186">
        <f t="shared" si="2"/>
        <v>2364.6999999999998</v>
      </c>
      <c r="O101" s="180">
        <f t="shared" si="3"/>
        <v>0.10037226617031168</v>
      </c>
      <c r="P101" s="180"/>
      <c r="Q101" s="180"/>
      <c r="R101" s="180"/>
      <c r="S101" s="180"/>
      <c r="T101" s="180"/>
      <c r="U101" s="180"/>
      <c r="V101" s="180"/>
      <c r="W101" s="180"/>
      <c r="X101" s="180"/>
      <c r="Y101" s="180"/>
    </row>
    <row r="102" spans="1:25">
      <c r="A102" s="181" t="s">
        <v>4158</v>
      </c>
      <c r="B102" s="181" t="s">
        <v>4203</v>
      </c>
      <c r="C102" s="181" t="s">
        <v>4199</v>
      </c>
      <c r="D102" s="182">
        <v>13</v>
      </c>
      <c r="E102" s="183">
        <v>2583</v>
      </c>
      <c r="F102" s="184">
        <v>3158.5</v>
      </c>
      <c r="G102" s="184">
        <v>2583</v>
      </c>
      <c r="H102" s="184">
        <v>2063</v>
      </c>
      <c r="I102" s="184">
        <v>5300</v>
      </c>
      <c r="J102" s="184">
        <v>2482</v>
      </c>
      <c r="K102" s="184">
        <v>3756</v>
      </c>
      <c r="L102" s="184">
        <v>1055.9000000000001</v>
      </c>
      <c r="M102" s="185">
        <v>33.4</v>
      </c>
      <c r="N102" s="186">
        <f t="shared" si="2"/>
        <v>3158.5</v>
      </c>
      <c r="O102" s="180">
        <f t="shared" si="3"/>
        <v>0.22280294231513745</v>
      </c>
      <c r="P102" s="180"/>
      <c r="Q102" s="180"/>
      <c r="R102" s="180"/>
      <c r="S102" s="180"/>
      <c r="T102" s="180"/>
      <c r="U102" s="180"/>
      <c r="V102" s="180"/>
      <c r="W102" s="180"/>
      <c r="X102" s="180"/>
      <c r="Y102" s="180"/>
    </row>
    <row r="103" spans="1:25">
      <c r="A103" s="187" t="s">
        <v>4158</v>
      </c>
      <c r="B103" s="187" t="s">
        <v>3776</v>
      </c>
      <c r="C103" s="187" t="s">
        <v>4204</v>
      </c>
      <c r="D103" s="188">
        <v>19</v>
      </c>
      <c r="E103" s="183">
        <v>3821</v>
      </c>
      <c r="F103" s="189">
        <v>3911.9</v>
      </c>
      <c r="G103" s="189">
        <v>3821</v>
      </c>
      <c r="H103" s="189">
        <v>2465</v>
      </c>
      <c r="I103" s="189">
        <v>6673</v>
      </c>
      <c r="J103" s="189">
        <v>2961.5</v>
      </c>
      <c r="K103" s="189">
        <v>4572.5</v>
      </c>
      <c r="L103" s="189">
        <v>1146.0999999999999</v>
      </c>
      <c r="M103" s="190">
        <v>29.3</v>
      </c>
      <c r="N103" s="186">
        <f t="shared" si="2"/>
        <v>3911.9</v>
      </c>
      <c r="O103" s="180">
        <f t="shared" si="3"/>
        <v>2.3789583878565845E-2</v>
      </c>
      <c r="P103" s="180"/>
      <c r="Q103" s="180"/>
      <c r="R103" s="180"/>
      <c r="S103" s="180"/>
      <c r="T103" s="180"/>
      <c r="U103" s="180"/>
      <c r="V103" s="180"/>
      <c r="W103" s="180"/>
      <c r="X103" s="180"/>
      <c r="Y103" s="180"/>
    </row>
    <row r="104" spans="1:25">
      <c r="A104" s="181" t="s">
        <v>4158</v>
      </c>
      <c r="B104" s="181" t="s">
        <v>3776</v>
      </c>
      <c r="C104" s="181" t="s">
        <v>4171</v>
      </c>
      <c r="D104" s="182">
        <v>11</v>
      </c>
      <c r="E104" s="183">
        <v>1288</v>
      </c>
      <c r="F104" s="184">
        <v>1603.5</v>
      </c>
      <c r="G104" s="184">
        <v>1288</v>
      </c>
      <c r="H104" s="184">
        <v>700</v>
      </c>
      <c r="I104" s="184">
        <v>2750</v>
      </c>
      <c r="J104" s="184">
        <v>1225</v>
      </c>
      <c r="K104" s="184">
        <v>2078.5</v>
      </c>
      <c r="L104" s="184">
        <v>687</v>
      </c>
      <c r="M104" s="185">
        <v>42.8</v>
      </c>
      <c r="N104" s="186">
        <f t="shared" si="2"/>
        <v>1651.75</v>
      </c>
      <c r="O104" s="180">
        <f t="shared" si="3"/>
        <v>0.28241459627329191</v>
      </c>
      <c r="P104" s="180"/>
      <c r="Q104" s="180"/>
      <c r="R104" s="180"/>
      <c r="S104" s="180"/>
      <c r="T104" s="180"/>
      <c r="U104" s="180"/>
      <c r="V104" s="180"/>
      <c r="W104" s="180"/>
      <c r="X104" s="180"/>
      <c r="Y104" s="180"/>
    </row>
    <row r="105" spans="1:25">
      <c r="A105" s="187" t="s">
        <v>4158</v>
      </c>
      <c r="B105" s="187" t="s">
        <v>3776</v>
      </c>
      <c r="C105" s="187" t="s">
        <v>4172</v>
      </c>
      <c r="D105" s="188">
        <v>24</v>
      </c>
      <c r="E105" s="183">
        <v>4065.5</v>
      </c>
      <c r="F105" s="189">
        <v>4430.1000000000004</v>
      </c>
      <c r="G105" s="189">
        <v>4065.5</v>
      </c>
      <c r="H105" s="189">
        <v>2350</v>
      </c>
      <c r="I105" s="189">
        <v>7583</v>
      </c>
      <c r="J105" s="189">
        <v>2924.8</v>
      </c>
      <c r="K105" s="189">
        <v>5576.5</v>
      </c>
      <c r="L105" s="189">
        <v>1760.5</v>
      </c>
      <c r="M105" s="190">
        <v>39.700000000000003</v>
      </c>
      <c r="N105" s="186">
        <f t="shared" si="2"/>
        <v>4250.6499999999996</v>
      </c>
      <c r="O105" s="180">
        <f t="shared" si="3"/>
        <v>4.5541753781822562E-2</v>
      </c>
      <c r="P105" s="180"/>
      <c r="Q105" s="180"/>
      <c r="R105" s="180"/>
      <c r="S105" s="180"/>
      <c r="T105" s="180"/>
      <c r="U105" s="180"/>
      <c r="V105" s="180"/>
      <c r="W105" s="180"/>
      <c r="X105" s="180"/>
      <c r="Y105" s="180"/>
    </row>
    <row r="106" spans="1:25">
      <c r="A106" s="181" t="s">
        <v>4158</v>
      </c>
      <c r="B106" s="181" t="s">
        <v>3776</v>
      </c>
      <c r="C106" s="181" t="s">
        <v>4159</v>
      </c>
      <c r="D106" s="182">
        <v>24</v>
      </c>
      <c r="E106" s="183">
        <v>4075.5</v>
      </c>
      <c r="F106" s="184">
        <v>4875.8</v>
      </c>
      <c r="G106" s="184">
        <v>4075.5</v>
      </c>
      <c r="H106" s="184">
        <v>1510</v>
      </c>
      <c r="I106" s="184">
        <v>9789</v>
      </c>
      <c r="J106" s="184">
        <v>3131</v>
      </c>
      <c r="K106" s="184">
        <v>6664.2</v>
      </c>
      <c r="L106" s="184">
        <v>2312.1</v>
      </c>
      <c r="M106" s="185">
        <v>47.4</v>
      </c>
      <c r="N106" s="186">
        <f t="shared" si="2"/>
        <v>4897.6000000000004</v>
      </c>
      <c r="O106" s="180">
        <f t="shared" si="3"/>
        <v>0.20171758066494919</v>
      </c>
      <c r="P106" s="180"/>
      <c r="Q106" s="180"/>
      <c r="R106" s="180"/>
      <c r="S106" s="180"/>
      <c r="T106" s="180"/>
      <c r="U106" s="180"/>
      <c r="V106" s="180"/>
      <c r="W106" s="180"/>
      <c r="X106" s="180"/>
      <c r="Y106" s="180"/>
    </row>
    <row r="107" spans="1:25">
      <c r="A107" s="187" t="s">
        <v>4158</v>
      </c>
      <c r="B107" s="187" t="s">
        <v>3776</v>
      </c>
      <c r="C107" s="187" t="s">
        <v>4173</v>
      </c>
      <c r="D107" s="188">
        <v>24</v>
      </c>
      <c r="E107" s="183">
        <v>3808.5</v>
      </c>
      <c r="F107" s="189">
        <v>4468.5</v>
      </c>
      <c r="G107" s="189">
        <v>3808.5</v>
      </c>
      <c r="H107" s="189">
        <v>1566</v>
      </c>
      <c r="I107" s="189">
        <v>9176</v>
      </c>
      <c r="J107" s="189">
        <v>2745</v>
      </c>
      <c r="K107" s="189">
        <v>5762</v>
      </c>
      <c r="L107" s="189">
        <v>2285.3000000000002</v>
      </c>
      <c r="M107" s="190">
        <v>51.1</v>
      </c>
      <c r="N107" s="186">
        <f t="shared" si="2"/>
        <v>4253.5</v>
      </c>
      <c r="O107" s="180">
        <f t="shared" si="3"/>
        <v>0.11684390179860837</v>
      </c>
      <c r="P107" s="180"/>
      <c r="Q107" s="180"/>
      <c r="R107" s="180"/>
      <c r="S107" s="180"/>
      <c r="T107" s="180"/>
      <c r="U107" s="180"/>
      <c r="V107" s="180"/>
      <c r="W107" s="180"/>
      <c r="X107" s="180"/>
      <c r="Y107" s="180"/>
    </row>
    <row r="108" spans="1:25">
      <c r="A108" s="181" t="s">
        <v>4158</v>
      </c>
      <c r="B108" s="181" t="s">
        <v>3776</v>
      </c>
      <c r="C108" s="181" t="s">
        <v>4175</v>
      </c>
      <c r="D108" s="182">
        <v>24</v>
      </c>
      <c r="E108" s="183">
        <v>4328</v>
      </c>
      <c r="F108" s="184">
        <v>4641.1000000000004</v>
      </c>
      <c r="G108" s="184">
        <v>4328</v>
      </c>
      <c r="H108" s="184">
        <v>1845</v>
      </c>
      <c r="I108" s="184">
        <v>9150</v>
      </c>
      <c r="J108" s="184">
        <v>2753</v>
      </c>
      <c r="K108" s="184">
        <v>5752</v>
      </c>
      <c r="L108" s="184">
        <v>2179.8000000000002</v>
      </c>
      <c r="M108" s="185">
        <v>47</v>
      </c>
      <c r="N108" s="186">
        <f t="shared" si="2"/>
        <v>4252.5</v>
      </c>
      <c r="O108" s="180">
        <f t="shared" si="3"/>
        <v>-1.7444547134935304E-2</v>
      </c>
      <c r="P108" s="180"/>
      <c r="Q108" s="180"/>
      <c r="R108" s="180"/>
      <c r="S108" s="180"/>
      <c r="T108" s="180"/>
      <c r="U108" s="180"/>
      <c r="V108" s="180"/>
      <c r="W108" s="180"/>
      <c r="X108" s="180"/>
      <c r="Y108" s="180"/>
    </row>
    <row r="109" spans="1:25">
      <c r="A109" s="187" t="s">
        <v>4158</v>
      </c>
      <c r="B109" s="187" t="s">
        <v>3776</v>
      </c>
      <c r="C109" s="187" t="s">
        <v>4176</v>
      </c>
      <c r="D109" s="188">
        <v>24</v>
      </c>
      <c r="E109" s="183">
        <v>3834.5</v>
      </c>
      <c r="F109" s="189">
        <v>4269.3999999999996</v>
      </c>
      <c r="G109" s="189">
        <v>3834.5</v>
      </c>
      <c r="H109" s="189">
        <v>1589</v>
      </c>
      <c r="I109" s="189">
        <v>8731</v>
      </c>
      <c r="J109" s="189">
        <v>2554.5</v>
      </c>
      <c r="K109" s="189">
        <v>5265.5</v>
      </c>
      <c r="L109" s="189">
        <v>2088.4</v>
      </c>
      <c r="M109" s="190">
        <v>48.9</v>
      </c>
      <c r="N109" s="186">
        <f t="shared" si="2"/>
        <v>3910</v>
      </c>
      <c r="O109" s="180">
        <f t="shared" si="3"/>
        <v>1.9689659668796454E-2</v>
      </c>
      <c r="P109" s="180"/>
      <c r="Q109" s="180"/>
      <c r="R109" s="180"/>
      <c r="S109" s="180"/>
      <c r="T109" s="180"/>
      <c r="U109" s="180"/>
      <c r="V109" s="180"/>
      <c r="W109" s="180"/>
      <c r="X109" s="180"/>
      <c r="Y109" s="180"/>
    </row>
    <row r="110" spans="1:25">
      <c r="A110" s="181" t="s">
        <v>4158</v>
      </c>
      <c r="B110" s="181" t="s">
        <v>3776</v>
      </c>
      <c r="C110" s="181" t="s">
        <v>4177</v>
      </c>
      <c r="D110" s="182">
        <v>9</v>
      </c>
      <c r="E110" s="183">
        <v>3280</v>
      </c>
      <c r="F110" s="184">
        <v>3484.7</v>
      </c>
      <c r="G110" s="184">
        <v>3280</v>
      </c>
      <c r="H110" s="184">
        <v>2236</v>
      </c>
      <c r="I110" s="184">
        <v>5267</v>
      </c>
      <c r="J110" s="184">
        <v>2810</v>
      </c>
      <c r="K110" s="184">
        <v>4190</v>
      </c>
      <c r="L110" s="184">
        <v>1024.5999999999999</v>
      </c>
      <c r="M110" s="185">
        <v>29.4</v>
      </c>
      <c r="N110" s="186">
        <f t="shared" si="2"/>
        <v>3484.7</v>
      </c>
      <c r="O110" s="180">
        <f t="shared" si="3"/>
        <v>6.2408536585365798E-2</v>
      </c>
      <c r="P110" s="180"/>
      <c r="Q110" s="180"/>
      <c r="R110" s="180"/>
      <c r="S110" s="180"/>
      <c r="T110" s="180"/>
      <c r="U110" s="180"/>
      <c r="V110" s="180"/>
      <c r="W110" s="180"/>
      <c r="X110" s="180"/>
      <c r="Y110" s="180"/>
    </row>
    <row r="111" spans="1:25">
      <c r="A111" s="187" t="s">
        <v>4158</v>
      </c>
      <c r="B111" s="187" t="s">
        <v>3776</v>
      </c>
      <c r="C111" s="187" t="s">
        <v>4178</v>
      </c>
      <c r="D111" s="188">
        <v>24</v>
      </c>
      <c r="E111" s="183">
        <v>4672</v>
      </c>
      <c r="F111" s="189">
        <v>5172.8999999999996</v>
      </c>
      <c r="G111" s="189">
        <v>4672</v>
      </c>
      <c r="H111" s="189">
        <v>2134</v>
      </c>
      <c r="I111" s="189">
        <v>10278</v>
      </c>
      <c r="J111" s="189">
        <v>3098.8</v>
      </c>
      <c r="K111" s="189">
        <v>6373.5</v>
      </c>
      <c r="L111" s="189">
        <v>2417.9</v>
      </c>
      <c r="M111" s="190">
        <v>46.7</v>
      </c>
      <c r="N111" s="186">
        <f t="shared" si="2"/>
        <v>4736.1499999999996</v>
      </c>
      <c r="O111" s="180">
        <f t="shared" si="3"/>
        <v>1.3730736301369785E-2</v>
      </c>
      <c r="P111" s="180"/>
      <c r="Q111" s="180"/>
      <c r="R111" s="180"/>
      <c r="S111" s="180"/>
      <c r="T111" s="180"/>
      <c r="U111" s="180"/>
      <c r="V111" s="180"/>
      <c r="W111" s="180"/>
      <c r="X111" s="180"/>
      <c r="Y111" s="180"/>
    </row>
    <row r="112" spans="1:25">
      <c r="A112" s="181" t="s">
        <v>4158</v>
      </c>
      <c r="B112" s="181" t="s">
        <v>3776</v>
      </c>
      <c r="C112" s="181" t="s">
        <v>4160</v>
      </c>
      <c r="D112" s="182">
        <v>24</v>
      </c>
      <c r="E112" s="183">
        <v>3031</v>
      </c>
      <c r="F112" s="184">
        <v>3403.5</v>
      </c>
      <c r="G112" s="184">
        <v>3031</v>
      </c>
      <c r="H112" s="184">
        <v>1275</v>
      </c>
      <c r="I112" s="184">
        <v>6720</v>
      </c>
      <c r="J112" s="184">
        <v>1939.2</v>
      </c>
      <c r="K112" s="184">
        <v>4591</v>
      </c>
      <c r="L112" s="184">
        <v>1688.3</v>
      </c>
      <c r="M112" s="185">
        <v>49.6</v>
      </c>
      <c r="N112" s="186">
        <f t="shared" si="2"/>
        <v>3265.1</v>
      </c>
      <c r="O112" s="180">
        <f t="shared" si="3"/>
        <v>7.7235235895743951E-2</v>
      </c>
      <c r="P112" s="180"/>
      <c r="Q112" s="180"/>
      <c r="R112" s="180"/>
      <c r="S112" s="180"/>
      <c r="T112" s="180"/>
      <c r="U112" s="180"/>
      <c r="V112" s="180"/>
      <c r="W112" s="180"/>
      <c r="X112" s="180"/>
      <c r="Y112" s="180"/>
    </row>
    <row r="113" spans="1:25">
      <c r="A113" s="187" t="s">
        <v>4158</v>
      </c>
      <c r="B113" s="187" t="s">
        <v>3776</v>
      </c>
      <c r="C113" s="187" t="s">
        <v>4179</v>
      </c>
      <c r="D113" s="188">
        <v>22</v>
      </c>
      <c r="E113" s="183">
        <v>3627</v>
      </c>
      <c r="F113" s="189">
        <v>4109.2</v>
      </c>
      <c r="G113" s="189">
        <v>3627</v>
      </c>
      <c r="H113" s="189">
        <v>2166</v>
      </c>
      <c r="I113" s="189">
        <v>8700</v>
      </c>
      <c r="J113" s="189">
        <v>2961.5</v>
      </c>
      <c r="K113" s="189">
        <v>5196.2</v>
      </c>
      <c r="L113" s="189">
        <v>1560</v>
      </c>
      <c r="M113" s="190">
        <v>38</v>
      </c>
      <c r="N113" s="186">
        <f t="shared" si="2"/>
        <v>4078.85</v>
      </c>
      <c r="O113" s="180">
        <f t="shared" si="3"/>
        <v>0.12457954232147778</v>
      </c>
      <c r="P113" s="180"/>
      <c r="Q113" s="180"/>
      <c r="R113" s="180"/>
      <c r="S113" s="180"/>
      <c r="T113" s="180"/>
      <c r="U113" s="180"/>
      <c r="V113" s="180"/>
      <c r="W113" s="180"/>
      <c r="X113" s="180"/>
      <c r="Y113" s="180"/>
    </row>
    <row r="114" spans="1:25">
      <c r="A114" s="181" t="s">
        <v>4158</v>
      </c>
      <c r="B114" s="181" t="s">
        <v>3776</v>
      </c>
      <c r="C114" s="181" t="s">
        <v>4161</v>
      </c>
      <c r="D114" s="182">
        <v>21</v>
      </c>
      <c r="E114" s="183">
        <v>2653</v>
      </c>
      <c r="F114" s="184">
        <v>2880.1</v>
      </c>
      <c r="G114" s="184">
        <v>2653</v>
      </c>
      <c r="H114" s="184">
        <v>1452</v>
      </c>
      <c r="I114" s="184">
        <v>6071</v>
      </c>
      <c r="J114" s="184">
        <v>1994</v>
      </c>
      <c r="K114" s="184">
        <v>3356</v>
      </c>
      <c r="L114" s="184">
        <v>1248.4000000000001</v>
      </c>
      <c r="M114" s="185">
        <v>43.3</v>
      </c>
      <c r="N114" s="186">
        <f t="shared" si="2"/>
        <v>2675</v>
      </c>
      <c r="O114" s="180">
        <f t="shared" si="3"/>
        <v>8.2924990576705611E-3</v>
      </c>
      <c r="P114" s="180"/>
      <c r="Q114" s="180"/>
      <c r="R114" s="180"/>
      <c r="S114" s="180"/>
      <c r="T114" s="180"/>
      <c r="U114" s="180"/>
      <c r="V114" s="180"/>
      <c r="W114" s="180"/>
      <c r="X114" s="180"/>
      <c r="Y114" s="180"/>
    </row>
    <row r="115" spans="1:25">
      <c r="A115" s="187" t="s">
        <v>4158</v>
      </c>
      <c r="B115" s="187" t="s">
        <v>3776</v>
      </c>
      <c r="C115" s="187" t="s">
        <v>4181</v>
      </c>
      <c r="D115" s="188">
        <v>20</v>
      </c>
      <c r="E115" s="183">
        <v>2650</v>
      </c>
      <c r="F115" s="189">
        <v>2907.7</v>
      </c>
      <c r="G115" s="189">
        <v>2650</v>
      </c>
      <c r="H115" s="189">
        <v>1244</v>
      </c>
      <c r="I115" s="189">
        <v>6000</v>
      </c>
      <c r="J115" s="189">
        <v>2012</v>
      </c>
      <c r="K115" s="189">
        <v>3432.2</v>
      </c>
      <c r="L115" s="189">
        <v>1340.8</v>
      </c>
      <c r="M115" s="190">
        <v>46.1</v>
      </c>
      <c r="N115" s="186">
        <f t="shared" si="2"/>
        <v>2722.1</v>
      </c>
      <c r="O115" s="180">
        <f t="shared" si="3"/>
        <v>2.7207547169811285E-2</v>
      </c>
      <c r="P115" s="180"/>
      <c r="Q115" s="180"/>
      <c r="R115" s="180"/>
      <c r="S115" s="180"/>
      <c r="T115" s="180"/>
      <c r="U115" s="180"/>
      <c r="V115" s="180"/>
      <c r="W115" s="180"/>
      <c r="X115" s="180"/>
      <c r="Y115" s="180"/>
    </row>
    <row r="116" spans="1:25">
      <c r="A116" s="181" t="s">
        <v>4158</v>
      </c>
      <c r="B116" s="181" t="s">
        <v>3776</v>
      </c>
      <c r="C116" s="181" t="s">
        <v>4205</v>
      </c>
      <c r="D116" s="182">
        <v>17</v>
      </c>
      <c r="E116" s="183">
        <v>2458</v>
      </c>
      <c r="F116" s="184">
        <v>2611.5</v>
      </c>
      <c r="G116" s="184">
        <v>2458</v>
      </c>
      <c r="H116" s="184">
        <v>1706</v>
      </c>
      <c r="I116" s="184">
        <v>3564</v>
      </c>
      <c r="J116" s="184">
        <v>2266</v>
      </c>
      <c r="K116" s="184">
        <v>2848</v>
      </c>
      <c r="L116" s="184">
        <v>508.4</v>
      </c>
      <c r="M116" s="185">
        <v>19.5</v>
      </c>
      <c r="N116" s="186">
        <f t="shared" si="2"/>
        <v>2458</v>
      </c>
      <c r="O116" s="180">
        <f t="shared" si="3"/>
        <v>0</v>
      </c>
      <c r="P116" s="180"/>
      <c r="Q116" s="180"/>
      <c r="R116" s="180"/>
      <c r="S116" s="180"/>
      <c r="T116" s="180"/>
      <c r="U116" s="180"/>
      <c r="V116" s="180"/>
      <c r="W116" s="180"/>
      <c r="X116" s="180"/>
      <c r="Y116" s="180"/>
    </row>
    <row r="117" spans="1:25">
      <c r="A117" s="187" t="s">
        <v>4158</v>
      </c>
      <c r="B117" s="187" t="s">
        <v>3776</v>
      </c>
      <c r="C117" s="187" t="s">
        <v>4162</v>
      </c>
      <c r="D117" s="188">
        <v>24</v>
      </c>
      <c r="E117" s="183">
        <v>4128</v>
      </c>
      <c r="F117" s="189">
        <v>4393.2</v>
      </c>
      <c r="G117" s="189">
        <v>4128</v>
      </c>
      <c r="H117" s="189">
        <v>1795</v>
      </c>
      <c r="I117" s="189">
        <v>8000</v>
      </c>
      <c r="J117" s="189">
        <v>2739</v>
      </c>
      <c r="K117" s="189">
        <v>5405.2</v>
      </c>
      <c r="L117" s="189">
        <v>1944.6</v>
      </c>
      <c r="M117" s="190">
        <v>44.3</v>
      </c>
      <c r="N117" s="186">
        <f t="shared" si="2"/>
        <v>4072.1</v>
      </c>
      <c r="O117" s="180">
        <f t="shared" si="3"/>
        <v>-1.3541666666666688E-2</v>
      </c>
      <c r="P117" s="180"/>
      <c r="Q117" s="180"/>
      <c r="R117" s="180"/>
      <c r="S117" s="180"/>
      <c r="T117" s="180"/>
      <c r="U117" s="180"/>
      <c r="V117" s="180"/>
      <c r="W117" s="180"/>
      <c r="X117" s="180"/>
      <c r="Y117" s="180"/>
    </row>
    <row r="118" spans="1:25">
      <c r="A118" s="181" t="s">
        <v>4158</v>
      </c>
      <c r="B118" s="181" t="s">
        <v>3776</v>
      </c>
      <c r="C118" s="181" t="s">
        <v>4196</v>
      </c>
      <c r="D118" s="182">
        <v>9</v>
      </c>
      <c r="E118" s="183">
        <v>3438</v>
      </c>
      <c r="F118" s="184">
        <v>3497.8</v>
      </c>
      <c r="G118" s="184">
        <v>3438</v>
      </c>
      <c r="H118" s="184">
        <v>2216</v>
      </c>
      <c r="I118" s="184">
        <v>4850</v>
      </c>
      <c r="J118" s="184">
        <v>3155</v>
      </c>
      <c r="K118" s="184">
        <v>4067</v>
      </c>
      <c r="L118" s="184">
        <v>812.9</v>
      </c>
      <c r="M118" s="185">
        <v>23.2</v>
      </c>
      <c r="N118" s="186">
        <f t="shared" si="2"/>
        <v>3497.8</v>
      </c>
      <c r="O118" s="180">
        <f t="shared" si="3"/>
        <v>1.7393833624200168E-2</v>
      </c>
      <c r="P118" s="180"/>
      <c r="Q118" s="180"/>
      <c r="R118" s="180"/>
      <c r="S118" s="180"/>
      <c r="T118" s="180"/>
      <c r="U118" s="180"/>
      <c r="V118" s="180"/>
      <c r="W118" s="180"/>
      <c r="X118" s="180"/>
      <c r="Y118" s="180"/>
    </row>
    <row r="119" spans="1:25">
      <c r="A119" s="187" t="s">
        <v>4158</v>
      </c>
      <c r="B119" s="187" t="s">
        <v>3776</v>
      </c>
      <c r="C119" s="187" t="s">
        <v>4182</v>
      </c>
      <c r="D119" s="188">
        <v>24</v>
      </c>
      <c r="E119" s="183">
        <v>4196.5</v>
      </c>
      <c r="F119" s="189">
        <v>4635.3999999999996</v>
      </c>
      <c r="G119" s="189">
        <v>4196.5</v>
      </c>
      <c r="H119" s="189">
        <v>2081</v>
      </c>
      <c r="I119" s="189">
        <v>9259</v>
      </c>
      <c r="J119" s="189">
        <v>3007</v>
      </c>
      <c r="K119" s="189">
        <v>5672.5</v>
      </c>
      <c r="L119" s="189">
        <v>2022.2</v>
      </c>
      <c r="M119" s="190">
        <v>43.6</v>
      </c>
      <c r="N119" s="186">
        <f t="shared" si="2"/>
        <v>4339.75</v>
      </c>
      <c r="O119" s="180">
        <f t="shared" si="3"/>
        <v>3.4135589181460743E-2</v>
      </c>
      <c r="P119" s="180"/>
      <c r="Q119" s="180"/>
      <c r="R119" s="180"/>
      <c r="S119" s="180"/>
      <c r="T119" s="180"/>
      <c r="U119" s="180"/>
      <c r="V119" s="180"/>
      <c r="W119" s="180"/>
      <c r="X119" s="180"/>
      <c r="Y119" s="180"/>
    </row>
    <row r="120" spans="1:25">
      <c r="A120" s="181" t="s">
        <v>4158</v>
      </c>
      <c r="B120" s="181" t="s">
        <v>3776</v>
      </c>
      <c r="C120" s="181" t="s">
        <v>4163</v>
      </c>
      <c r="D120" s="182">
        <v>24</v>
      </c>
      <c r="E120" s="183">
        <v>3506.5</v>
      </c>
      <c r="F120" s="184">
        <v>4089.4</v>
      </c>
      <c r="G120" s="184">
        <v>3506.5</v>
      </c>
      <c r="H120" s="184">
        <v>1153</v>
      </c>
      <c r="I120" s="184">
        <v>8639</v>
      </c>
      <c r="J120" s="184">
        <v>2420</v>
      </c>
      <c r="K120" s="184">
        <v>5024.8</v>
      </c>
      <c r="L120" s="184">
        <v>2175.6</v>
      </c>
      <c r="M120" s="185">
        <v>53.2</v>
      </c>
      <c r="N120" s="186">
        <f t="shared" si="2"/>
        <v>3722.4</v>
      </c>
      <c r="O120" s="180">
        <f t="shared" si="3"/>
        <v>6.1571367460430654E-2</v>
      </c>
      <c r="P120" s="180"/>
      <c r="Q120" s="180"/>
      <c r="R120" s="180"/>
      <c r="S120" s="180"/>
      <c r="T120" s="180"/>
      <c r="U120" s="180"/>
      <c r="V120" s="180"/>
      <c r="W120" s="180"/>
      <c r="X120" s="180"/>
      <c r="Y120" s="180"/>
    </row>
    <row r="121" spans="1:25">
      <c r="A121" s="187" t="s">
        <v>4158</v>
      </c>
      <c r="B121" s="187" t="s">
        <v>3776</v>
      </c>
      <c r="C121" s="187" t="s">
        <v>4183</v>
      </c>
      <c r="D121" s="188">
        <v>24</v>
      </c>
      <c r="E121" s="183">
        <v>3315</v>
      </c>
      <c r="F121" s="189">
        <v>3730.1</v>
      </c>
      <c r="G121" s="189">
        <v>3315</v>
      </c>
      <c r="H121" s="189">
        <v>1372</v>
      </c>
      <c r="I121" s="189">
        <v>7624</v>
      </c>
      <c r="J121" s="189">
        <v>2065.1999999999998</v>
      </c>
      <c r="K121" s="189">
        <v>4670.5</v>
      </c>
      <c r="L121" s="189">
        <v>1937.2</v>
      </c>
      <c r="M121" s="190">
        <v>51.9</v>
      </c>
      <c r="N121" s="186">
        <f t="shared" si="2"/>
        <v>3367.85</v>
      </c>
      <c r="O121" s="180">
        <f t="shared" si="3"/>
        <v>1.594268476621415E-2</v>
      </c>
      <c r="P121" s="180"/>
      <c r="Q121" s="180"/>
      <c r="R121" s="180"/>
      <c r="S121" s="180"/>
      <c r="T121" s="180"/>
      <c r="U121" s="180"/>
      <c r="V121" s="180"/>
      <c r="W121" s="180"/>
      <c r="X121" s="180"/>
      <c r="Y121" s="180"/>
    </row>
    <row r="122" spans="1:25">
      <c r="A122" s="181" t="s">
        <v>4158</v>
      </c>
      <c r="B122" s="181" t="s">
        <v>3776</v>
      </c>
      <c r="C122" s="181" t="s">
        <v>4197</v>
      </c>
      <c r="D122" s="182">
        <v>12</v>
      </c>
      <c r="E122" s="183">
        <v>2025</v>
      </c>
      <c r="F122" s="184">
        <v>2187.8000000000002</v>
      </c>
      <c r="G122" s="184">
        <v>2025</v>
      </c>
      <c r="H122" s="184">
        <v>1200</v>
      </c>
      <c r="I122" s="184">
        <v>3433</v>
      </c>
      <c r="J122" s="184">
        <v>1820.5</v>
      </c>
      <c r="K122" s="184">
        <v>2533</v>
      </c>
      <c r="L122" s="184">
        <v>688.6</v>
      </c>
      <c r="M122" s="185">
        <v>31.5</v>
      </c>
      <c r="N122" s="186">
        <f t="shared" si="2"/>
        <v>2187.8000000000002</v>
      </c>
      <c r="O122" s="180">
        <f t="shared" si="3"/>
        <v>8.0395061728395154E-2</v>
      </c>
      <c r="P122" s="180"/>
      <c r="Q122" s="180"/>
      <c r="R122" s="180"/>
      <c r="S122" s="180"/>
      <c r="T122" s="180"/>
      <c r="U122" s="180"/>
      <c r="V122" s="180"/>
      <c r="W122" s="180"/>
      <c r="X122" s="180"/>
      <c r="Y122" s="180"/>
    </row>
    <row r="123" spans="1:25">
      <c r="A123" s="187" t="s">
        <v>4158</v>
      </c>
      <c r="B123" s="187" t="s">
        <v>3776</v>
      </c>
      <c r="C123" s="187" t="s">
        <v>4184</v>
      </c>
      <c r="D123" s="188">
        <v>24</v>
      </c>
      <c r="E123" s="183">
        <v>3163.5</v>
      </c>
      <c r="F123" s="189">
        <v>3571.5</v>
      </c>
      <c r="G123" s="189">
        <v>3163.5</v>
      </c>
      <c r="H123" s="189">
        <v>1191</v>
      </c>
      <c r="I123" s="189">
        <v>7089</v>
      </c>
      <c r="J123" s="189">
        <v>2126.5</v>
      </c>
      <c r="K123" s="189">
        <v>4754.5</v>
      </c>
      <c r="L123" s="189">
        <v>1732.8</v>
      </c>
      <c r="M123" s="190">
        <v>48.5</v>
      </c>
      <c r="N123" s="186">
        <f t="shared" si="2"/>
        <v>3440.5</v>
      </c>
      <c r="O123" s="180">
        <f t="shared" si="3"/>
        <v>8.7561245455982303E-2</v>
      </c>
      <c r="P123" s="180"/>
      <c r="Q123" s="180"/>
      <c r="R123" s="180"/>
      <c r="S123" s="180"/>
      <c r="T123" s="180"/>
      <c r="U123" s="180"/>
      <c r="V123" s="180"/>
      <c r="W123" s="180"/>
      <c r="X123" s="180"/>
      <c r="Y123" s="180"/>
    </row>
    <row r="124" spans="1:25">
      <c r="A124" s="181" t="s">
        <v>4158</v>
      </c>
      <c r="B124" s="181" t="s">
        <v>3776</v>
      </c>
      <c r="C124" s="181" t="s">
        <v>4185</v>
      </c>
      <c r="D124" s="182">
        <v>23</v>
      </c>
      <c r="E124" s="183">
        <v>4613</v>
      </c>
      <c r="F124" s="184">
        <v>4642.1000000000004</v>
      </c>
      <c r="G124" s="184">
        <v>4613</v>
      </c>
      <c r="H124" s="184">
        <v>1867</v>
      </c>
      <c r="I124" s="184">
        <v>8857</v>
      </c>
      <c r="J124" s="184">
        <v>2820</v>
      </c>
      <c r="K124" s="184">
        <v>5806.5</v>
      </c>
      <c r="L124" s="184">
        <v>2223.8000000000002</v>
      </c>
      <c r="M124" s="185">
        <v>47.9</v>
      </c>
      <c r="N124" s="186">
        <f t="shared" si="2"/>
        <v>4313.25</v>
      </c>
      <c r="O124" s="180">
        <f t="shared" si="3"/>
        <v>-6.4979406026447001E-2</v>
      </c>
      <c r="P124" s="180"/>
      <c r="Q124" s="180"/>
      <c r="R124" s="180"/>
      <c r="S124" s="180"/>
      <c r="T124" s="180"/>
      <c r="U124" s="180"/>
      <c r="V124" s="180"/>
      <c r="W124" s="180"/>
      <c r="X124" s="180"/>
      <c r="Y124" s="180"/>
    </row>
    <row r="125" spans="1:25">
      <c r="A125" s="187" t="s">
        <v>4158</v>
      </c>
      <c r="B125" s="187" t="s">
        <v>3776</v>
      </c>
      <c r="C125" s="187" t="s">
        <v>4187</v>
      </c>
      <c r="D125" s="188">
        <v>19</v>
      </c>
      <c r="E125" s="183">
        <v>2603</v>
      </c>
      <c r="F125" s="189">
        <v>2994.5</v>
      </c>
      <c r="G125" s="189">
        <v>2603</v>
      </c>
      <c r="H125" s="189">
        <v>1840</v>
      </c>
      <c r="I125" s="189">
        <v>6096</v>
      </c>
      <c r="J125" s="189">
        <v>2401</v>
      </c>
      <c r="K125" s="189">
        <v>3371</v>
      </c>
      <c r="L125" s="189">
        <v>991.6</v>
      </c>
      <c r="M125" s="190">
        <v>33.1</v>
      </c>
      <c r="N125" s="186">
        <f t="shared" si="2"/>
        <v>2994.5</v>
      </c>
      <c r="O125" s="180">
        <f t="shared" si="3"/>
        <v>0.15040338071456014</v>
      </c>
      <c r="P125" s="180"/>
      <c r="Q125" s="180"/>
      <c r="R125" s="180"/>
      <c r="S125" s="180"/>
      <c r="T125" s="180"/>
      <c r="U125" s="180"/>
      <c r="V125" s="180"/>
      <c r="W125" s="180"/>
      <c r="X125" s="180"/>
      <c r="Y125" s="180"/>
    </row>
    <row r="126" spans="1:25">
      <c r="A126" s="181" t="s">
        <v>4158</v>
      </c>
      <c r="B126" s="181" t="s">
        <v>3776</v>
      </c>
      <c r="C126" s="181" t="s">
        <v>4188</v>
      </c>
      <c r="D126" s="182">
        <v>24</v>
      </c>
      <c r="E126" s="183">
        <v>4129.5</v>
      </c>
      <c r="F126" s="184">
        <v>4611.8</v>
      </c>
      <c r="G126" s="184">
        <v>4129.5</v>
      </c>
      <c r="H126" s="184">
        <v>2117</v>
      </c>
      <c r="I126" s="184">
        <v>8557</v>
      </c>
      <c r="J126" s="184">
        <v>2986.5</v>
      </c>
      <c r="K126" s="184">
        <v>5852</v>
      </c>
      <c r="L126" s="184">
        <v>2037.1</v>
      </c>
      <c r="M126" s="185">
        <v>44.2</v>
      </c>
      <c r="N126" s="186">
        <f t="shared" si="2"/>
        <v>4419.25</v>
      </c>
      <c r="O126" s="180">
        <f t="shared" si="3"/>
        <v>7.01658796464463E-2</v>
      </c>
      <c r="P126" s="180"/>
      <c r="Q126" s="180"/>
      <c r="R126" s="180"/>
      <c r="S126" s="180"/>
      <c r="T126" s="180"/>
      <c r="U126" s="180"/>
      <c r="V126" s="180"/>
      <c r="W126" s="180"/>
      <c r="X126" s="180"/>
      <c r="Y126" s="180"/>
    </row>
    <row r="127" spans="1:25">
      <c r="A127" s="187" t="s">
        <v>4158</v>
      </c>
      <c r="B127" s="187" t="s">
        <v>3776</v>
      </c>
      <c r="C127" s="187" t="s">
        <v>4189</v>
      </c>
      <c r="D127" s="188">
        <v>24</v>
      </c>
      <c r="E127" s="183">
        <v>4268.5</v>
      </c>
      <c r="F127" s="189">
        <v>4702.8</v>
      </c>
      <c r="G127" s="189">
        <v>4268.5</v>
      </c>
      <c r="H127" s="189">
        <v>1909</v>
      </c>
      <c r="I127" s="189">
        <v>9331</v>
      </c>
      <c r="J127" s="189">
        <v>3113.5</v>
      </c>
      <c r="K127" s="189">
        <v>5863</v>
      </c>
      <c r="L127" s="189">
        <v>2119.4</v>
      </c>
      <c r="M127" s="190">
        <v>45.1</v>
      </c>
      <c r="N127" s="186">
        <f t="shared" si="2"/>
        <v>4488.25</v>
      </c>
      <c r="O127" s="180">
        <f t="shared" si="3"/>
        <v>5.1481785170434578E-2</v>
      </c>
      <c r="P127" s="180"/>
      <c r="Q127" s="180"/>
      <c r="R127" s="180"/>
      <c r="S127" s="180"/>
      <c r="T127" s="180"/>
      <c r="U127" s="180"/>
      <c r="V127" s="180"/>
      <c r="W127" s="180"/>
      <c r="X127" s="180"/>
      <c r="Y127" s="180"/>
    </row>
    <row r="128" spans="1:25">
      <c r="A128" s="181" t="s">
        <v>4158</v>
      </c>
      <c r="B128" s="181" t="s">
        <v>3776</v>
      </c>
      <c r="C128" s="181" t="s">
        <v>4208</v>
      </c>
      <c r="D128" s="182">
        <v>24</v>
      </c>
      <c r="E128" s="183">
        <v>3456.5</v>
      </c>
      <c r="F128" s="184">
        <v>3849.5</v>
      </c>
      <c r="G128" s="184">
        <v>3456.5</v>
      </c>
      <c r="H128" s="184">
        <v>1953</v>
      </c>
      <c r="I128" s="184">
        <v>7287</v>
      </c>
      <c r="J128" s="184">
        <v>2592.8000000000002</v>
      </c>
      <c r="K128" s="184">
        <v>4732</v>
      </c>
      <c r="L128" s="184">
        <v>1631</v>
      </c>
      <c r="M128" s="185">
        <v>42.4</v>
      </c>
      <c r="N128" s="186">
        <f t="shared" si="2"/>
        <v>3662.4</v>
      </c>
      <c r="O128" s="180">
        <f t="shared" si="3"/>
        <v>5.9568928106466107E-2</v>
      </c>
      <c r="P128" s="180"/>
      <c r="Q128" s="180"/>
      <c r="R128" s="180"/>
      <c r="S128" s="180"/>
      <c r="T128" s="180"/>
      <c r="U128" s="180"/>
      <c r="V128" s="180"/>
      <c r="W128" s="180"/>
      <c r="X128" s="180"/>
      <c r="Y128" s="180"/>
    </row>
    <row r="129" spans="1:25">
      <c r="A129" s="187" t="s">
        <v>4158</v>
      </c>
      <c r="B129" s="187" t="s">
        <v>3776</v>
      </c>
      <c r="C129" s="187" t="s">
        <v>4164</v>
      </c>
      <c r="D129" s="188">
        <v>24</v>
      </c>
      <c r="E129" s="183">
        <v>4187</v>
      </c>
      <c r="F129" s="189">
        <v>4731</v>
      </c>
      <c r="G129" s="189">
        <v>4187</v>
      </c>
      <c r="H129" s="189">
        <v>1792</v>
      </c>
      <c r="I129" s="189">
        <v>9669</v>
      </c>
      <c r="J129" s="189">
        <v>2884.2</v>
      </c>
      <c r="K129" s="189">
        <v>5945.2</v>
      </c>
      <c r="L129" s="189">
        <v>2286.1</v>
      </c>
      <c r="M129" s="190">
        <v>48.3</v>
      </c>
      <c r="N129" s="186">
        <f t="shared" si="2"/>
        <v>4414.7</v>
      </c>
      <c r="O129" s="180">
        <f t="shared" si="3"/>
        <v>5.4382612849295395E-2</v>
      </c>
      <c r="P129" s="180"/>
      <c r="Q129" s="180"/>
      <c r="R129" s="180"/>
      <c r="S129" s="180"/>
      <c r="T129" s="180"/>
      <c r="U129" s="180"/>
      <c r="V129" s="180"/>
      <c r="W129" s="180"/>
      <c r="X129" s="180"/>
      <c r="Y129" s="180"/>
    </row>
    <row r="130" spans="1:25">
      <c r="A130" s="181" t="s">
        <v>4158</v>
      </c>
      <c r="B130" s="181" t="s">
        <v>3776</v>
      </c>
      <c r="C130" s="181" t="s">
        <v>4165</v>
      </c>
      <c r="D130" s="182">
        <v>18</v>
      </c>
      <c r="E130" s="183">
        <v>2524</v>
      </c>
      <c r="F130" s="184">
        <v>2736.1</v>
      </c>
      <c r="G130" s="184">
        <v>2524</v>
      </c>
      <c r="H130" s="184">
        <v>1148</v>
      </c>
      <c r="I130" s="184">
        <v>5388</v>
      </c>
      <c r="J130" s="184">
        <v>1812.5</v>
      </c>
      <c r="K130" s="184">
        <v>3604.8</v>
      </c>
      <c r="L130" s="184">
        <v>1234.0999999999999</v>
      </c>
      <c r="M130" s="185">
        <v>45.1</v>
      </c>
      <c r="N130" s="186">
        <f t="shared" si="2"/>
        <v>2708.65</v>
      </c>
      <c r="O130" s="180">
        <f t="shared" si="3"/>
        <v>7.3157686212361364E-2</v>
      </c>
      <c r="P130" s="180"/>
      <c r="Q130" s="180"/>
      <c r="R130" s="180"/>
      <c r="S130" s="180"/>
      <c r="T130" s="180"/>
      <c r="U130" s="180"/>
      <c r="V130" s="180"/>
      <c r="W130" s="180"/>
      <c r="X130" s="180"/>
      <c r="Y130" s="180"/>
    </row>
    <row r="131" spans="1:25">
      <c r="A131" s="187" t="s">
        <v>4158</v>
      </c>
      <c r="B131" s="187" t="s">
        <v>3776</v>
      </c>
      <c r="C131" s="187" t="s">
        <v>4191</v>
      </c>
      <c r="D131" s="188">
        <v>18</v>
      </c>
      <c r="E131" s="183">
        <v>2532</v>
      </c>
      <c r="F131" s="189">
        <v>2528.4</v>
      </c>
      <c r="G131" s="189">
        <v>2532</v>
      </c>
      <c r="H131" s="189">
        <v>840</v>
      </c>
      <c r="I131" s="189">
        <v>4775</v>
      </c>
      <c r="J131" s="189">
        <v>1535</v>
      </c>
      <c r="K131" s="189">
        <v>3256.2</v>
      </c>
      <c r="L131" s="189">
        <v>1113.5</v>
      </c>
      <c r="M131" s="190">
        <v>44</v>
      </c>
      <c r="N131" s="186">
        <f t="shared" ref="N131:N193" si="4">IF(M131&lt;=20,G131,IF(M131&lt;=35,F131,(J131+K131)/2))</f>
        <v>2395.6</v>
      </c>
      <c r="O131" s="180">
        <f t="shared" ref="O131:O193" si="5">(N131-E131)/E131</f>
        <v>-5.3870458135861013E-2</v>
      </c>
      <c r="P131" s="180"/>
      <c r="Q131" s="180"/>
      <c r="R131" s="180"/>
      <c r="S131" s="180"/>
      <c r="T131" s="180"/>
      <c r="U131" s="180"/>
      <c r="V131" s="180"/>
      <c r="W131" s="180"/>
      <c r="X131" s="180"/>
      <c r="Y131" s="180"/>
    </row>
    <row r="132" spans="1:25">
      <c r="A132" s="181" t="s">
        <v>4158</v>
      </c>
      <c r="B132" s="181" t="s">
        <v>3776</v>
      </c>
      <c r="C132" s="181" t="s">
        <v>4169</v>
      </c>
      <c r="D132" s="182">
        <v>24</v>
      </c>
      <c r="E132" s="183">
        <v>3203.5</v>
      </c>
      <c r="F132" s="184">
        <v>3610.4</v>
      </c>
      <c r="G132" s="184">
        <v>3203.5</v>
      </c>
      <c r="H132" s="184">
        <v>1493</v>
      </c>
      <c r="I132" s="184">
        <v>7996</v>
      </c>
      <c r="J132" s="184">
        <v>2175.1999999999998</v>
      </c>
      <c r="K132" s="184">
        <v>4572.8</v>
      </c>
      <c r="L132" s="184">
        <v>1749.5</v>
      </c>
      <c r="M132" s="185">
        <v>48.5</v>
      </c>
      <c r="N132" s="186">
        <f t="shared" si="4"/>
        <v>3374</v>
      </c>
      <c r="O132" s="180">
        <f t="shared" si="5"/>
        <v>5.3223037302949895E-2</v>
      </c>
      <c r="P132" s="180"/>
      <c r="Q132" s="180"/>
      <c r="R132" s="180"/>
      <c r="S132" s="180"/>
      <c r="T132" s="180"/>
      <c r="U132" s="180"/>
      <c r="V132" s="180"/>
      <c r="W132" s="180"/>
      <c r="X132" s="180"/>
      <c r="Y132" s="180"/>
    </row>
    <row r="133" spans="1:25">
      <c r="A133" s="187" t="s">
        <v>4158</v>
      </c>
      <c r="B133" s="187" t="s">
        <v>3776</v>
      </c>
      <c r="C133" s="187" t="s">
        <v>4192</v>
      </c>
      <c r="D133" s="188">
        <v>24</v>
      </c>
      <c r="E133" s="183">
        <v>3910</v>
      </c>
      <c r="F133" s="189">
        <v>4354.5</v>
      </c>
      <c r="G133" s="189">
        <v>3910</v>
      </c>
      <c r="H133" s="189">
        <v>1718</v>
      </c>
      <c r="I133" s="189">
        <v>8825</v>
      </c>
      <c r="J133" s="189">
        <v>2682.8</v>
      </c>
      <c r="K133" s="189">
        <v>5392.8</v>
      </c>
      <c r="L133" s="189">
        <v>2003.2</v>
      </c>
      <c r="M133" s="190">
        <v>46</v>
      </c>
      <c r="N133" s="186">
        <f t="shared" si="4"/>
        <v>4037.8</v>
      </c>
      <c r="O133" s="180">
        <f t="shared" si="5"/>
        <v>3.2685421994884958E-2</v>
      </c>
      <c r="P133" s="180"/>
      <c r="Q133" s="180"/>
      <c r="R133" s="180"/>
      <c r="S133" s="180"/>
      <c r="T133" s="180"/>
      <c r="U133" s="180"/>
      <c r="V133" s="180"/>
      <c r="W133" s="180"/>
      <c r="X133" s="180"/>
      <c r="Y133" s="180"/>
    </row>
    <row r="134" spans="1:25">
      <c r="A134" s="181" t="s">
        <v>4158</v>
      </c>
      <c r="B134" s="181" t="s">
        <v>3776</v>
      </c>
      <c r="C134" s="181" t="s">
        <v>4170</v>
      </c>
      <c r="D134" s="182">
        <v>24</v>
      </c>
      <c r="E134" s="183">
        <v>2842</v>
      </c>
      <c r="F134" s="184">
        <v>3182.6</v>
      </c>
      <c r="G134" s="184">
        <v>2842</v>
      </c>
      <c r="H134" s="184">
        <v>1200</v>
      </c>
      <c r="I134" s="184">
        <v>6399</v>
      </c>
      <c r="J134" s="184">
        <v>1964</v>
      </c>
      <c r="K134" s="184">
        <v>4093</v>
      </c>
      <c r="L134" s="184">
        <v>1573.3</v>
      </c>
      <c r="M134" s="185">
        <v>49.4</v>
      </c>
      <c r="N134" s="186">
        <f t="shared" si="4"/>
        <v>3028.5</v>
      </c>
      <c r="O134" s="180">
        <f t="shared" si="5"/>
        <v>6.562280084447572E-2</v>
      </c>
      <c r="P134" s="180"/>
      <c r="Q134" s="180"/>
      <c r="R134" s="180"/>
      <c r="S134" s="180"/>
      <c r="T134" s="180"/>
      <c r="U134" s="180"/>
      <c r="V134" s="180"/>
      <c r="W134" s="180"/>
      <c r="X134" s="180"/>
      <c r="Y134" s="180"/>
    </row>
    <row r="135" spans="1:25">
      <c r="A135" s="187" t="s">
        <v>4158</v>
      </c>
      <c r="B135" s="187" t="s">
        <v>3776</v>
      </c>
      <c r="C135" s="187" t="s">
        <v>4207</v>
      </c>
      <c r="D135" s="188">
        <v>19</v>
      </c>
      <c r="E135" s="183">
        <v>2587</v>
      </c>
      <c r="F135" s="189">
        <v>2745.2</v>
      </c>
      <c r="G135" s="189">
        <v>2587</v>
      </c>
      <c r="H135" s="189">
        <v>2071</v>
      </c>
      <c r="I135" s="189">
        <v>3600</v>
      </c>
      <c r="J135" s="189">
        <v>2429</v>
      </c>
      <c r="K135" s="189">
        <v>2995</v>
      </c>
      <c r="L135" s="189">
        <v>456.9</v>
      </c>
      <c r="M135" s="190">
        <v>16.600000000000001</v>
      </c>
      <c r="N135" s="186">
        <f t="shared" si="4"/>
        <v>2587</v>
      </c>
      <c r="O135" s="180">
        <f t="shared" si="5"/>
        <v>0</v>
      </c>
      <c r="P135" s="180"/>
      <c r="Q135" s="180"/>
      <c r="R135" s="180"/>
      <c r="S135" s="180"/>
      <c r="T135" s="180"/>
      <c r="U135" s="180"/>
      <c r="V135" s="180"/>
      <c r="W135" s="180"/>
      <c r="X135" s="180"/>
      <c r="Y135" s="180"/>
    </row>
    <row r="136" spans="1:25">
      <c r="A136" s="181" t="s">
        <v>4158</v>
      </c>
      <c r="B136" s="181" t="s">
        <v>3776</v>
      </c>
      <c r="C136" s="181" t="s">
        <v>4193</v>
      </c>
      <c r="D136" s="182">
        <v>24</v>
      </c>
      <c r="E136" s="183">
        <v>4120.5</v>
      </c>
      <c r="F136" s="184">
        <v>4713</v>
      </c>
      <c r="G136" s="184">
        <v>4120.5</v>
      </c>
      <c r="H136" s="184">
        <v>1813</v>
      </c>
      <c r="I136" s="184">
        <v>9821</v>
      </c>
      <c r="J136" s="184">
        <v>2753.2</v>
      </c>
      <c r="K136" s="184">
        <v>6505.5</v>
      </c>
      <c r="L136" s="184">
        <v>2355.4</v>
      </c>
      <c r="M136" s="185">
        <v>50</v>
      </c>
      <c r="N136" s="186">
        <f t="shared" si="4"/>
        <v>4629.3500000000004</v>
      </c>
      <c r="O136" s="180">
        <f t="shared" si="5"/>
        <v>0.12349229462443886</v>
      </c>
      <c r="P136" s="180"/>
      <c r="Q136" s="180"/>
      <c r="R136" s="180"/>
      <c r="S136" s="180"/>
      <c r="T136" s="180"/>
      <c r="U136" s="180"/>
      <c r="V136" s="180"/>
      <c r="W136" s="180"/>
      <c r="X136" s="180"/>
      <c r="Y136" s="180"/>
    </row>
    <row r="137" spans="1:25">
      <c r="A137" s="187" t="s">
        <v>4158</v>
      </c>
      <c r="B137" s="187" t="s">
        <v>3776</v>
      </c>
      <c r="C137" s="187" t="s">
        <v>4194</v>
      </c>
      <c r="D137" s="188">
        <v>24</v>
      </c>
      <c r="E137" s="183">
        <v>3729</v>
      </c>
      <c r="F137" s="189">
        <v>3819.5</v>
      </c>
      <c r="G137" s="189">
        <v>3729</v>
      </c>
      <c r="H137" s="189">
        <v>1830</v>
      </c>
      <c r="I137" s="189">
        <v>6450</v>
      </c>
      <c r="J137" s="189">
        <v>2724.5</v>
      </c>
      <c r="K137" s="189">
        <v>4660</v>
      </c>
      <c r="L137" s="189">
        <v>1305</v>
      </c>
      <c r="M137" s="190">
        <v>34.200000000000003</v>
      </c>
      <c r="N137" s="186">
        <f t="shared" si="4"/>
        <v>3819.5</v>
      </c>
      <c r="O137" s="180">
        <f t="shared" si="5"/>
        <v>2.4269241083400374E-2</v>
      </c>
      <c r="P137" s="180"/>
      <c r="Q137" s="180"/>
      <c r="R137" s="180"/>
      <c r="S137" s="180"/>
      <c r="T137" s="180"/>
      <c r="U137" s="180"/>
      <c r="V137" s="180"/>
      <c r="W137" s="180"/>
      <c r="X137" s="180"/>
      <c r="Y137" s="180"/>
    </row>
    <row r="138" spans="1:25">
      <c r="A138" s="181" t="s">
        <v>4158</v>
      </c>
      <c r="B138" s="181" t="s">
        <v>4064</v>
      </c>
      <c r="C138" s="181" t="s">
        <v>4172</v>
      </c>
      <c r="D138" s="182">
        <v>8</v>
      </c>
      <c r="E138" s="183">
        <v>1761.5</v>
      </c>
      <c r="F138" s="184">
        <v>1752.6</v>
      </c>
      <c r="G138" s="184">
        <v>1761.5</v>
      </c>
      <c r="H138" s="184">
        <v>1350</v>
      </c>
      <c r="I138" s="184">
        <v>2000</v>
      </c>
      <c r="J138" s="184">
        <v>1613.5</v>
      </c>
      <c r="K138" s="184">
        <v>2000</v>
      </c>
      <c r="L138" s="184">
        <v>246.2</v>
      </c>
      <c r="M138" s="185">
        <v>14</v>
      </c>
      <c r="N138" s="186">
        <f t="shared" si="4"/>
        <v>1761.5</v>
      </c>
      <c r="O138" s="180">
        <f t="shared" si="5"/>
        <v>0</v>
      </c>
      <c r="P138" s="180"/>
      <c r="Q138" s="180"/>
      <c r="R138" s="180"/>
      <c r="S138" s="180"/>
      <c r="T138" s="180"/>
      <c r="U138" s="180"/>
      <c r="V138" s="180"/>
      <c r="W138" s="180"/>
      <c r="X138" s="180"/>
      <c r="Y138" s="180"/>
    </row>
    <row r="139" spans="1:25">
      <c r="A139" s="187" t="s">
        <v>4158</v>
      </c>
      <c r="B139" s="187" t="s">
        <v>4064</v>
      </c>
      <c r="C139" s="187" t="s">
        <v>4159</v>
      </c>
      <c r="D139" s="188">
        <v>24</v>
      </c>
      <c r="E139" s="183">
        <v>1995</v>
      </c>
      <c r="F139" s="189">
        <v>2009.5</v>
      </c>
      <c r="G139" s="189">
        <v>1995</v>
      </c>
      <c r="H139" s="189">
        <v>1272</v>
      </c>
      <c r="I139" s="189">
        <v>2678</v>
      </c>
      <c r="J139" s="189">
        <v>1910.8</v>
      </c>
      <c r="K139" s="189">
        <v>2133.5</v>
      </c>
      <c r="L139" s="189">
        <v>335.9</v>
      </c>
      <c r="M139" s="190">
        <v>16.7</v>
      </c>
      <c r="N139" s="186">
        <f t="shared" si="4"/>
        <v>1995</v>
      </c>
      <c r="O139" s="180">
        <f t="shared" si="5"/>
        <v>0</v>
      </c>
      <c r="P139" s="180"/>
      <c r="Q139" s="180"/>
      <c r="R139" s="180"/>
      <c r="S139" s="180"/>
      <c r="T139" s="180"/>
      <c r="U139" s="180"/>
      <c r="V139" s="180"/>
      <c r="W139" s="180"/>
      <c r="X139" s="180"/>
      <c r="Y139" s="180"/>
    </row>
    <row r="140" spans="1:25">
      <c r="A140" s="181" t="s">
        <v>4158</v>
      </c>
      <c r="B140" s="181" t="s">
        <v>4064</v>
      </c>
      <c r="C140" s="181" t="s">
        <v>4173</v>
      </c>
      <c r="D140" s="182">
        <v>24</v>
      </c>
      <c r="E140" s="183">
        <v>1210.5</v>
      </c>
      <c r="F140" s="184">
        <v>1267.0999999999999</v>
      </c>
      <c r="G140" s="184">
        <v>1210.5</v>
      </c>
      <c r="H140" s="184">
        <v>641</v>
      </c>
      <c r="I140" s="184">
        <v>1978</v>
      </c>
      <c r="J140" s="184">
        <v>1022.5</v>
      </c>
      <c r="K140" s="184">
        <v>1487</v>
      </c>
      <c r="L140" s="184">
        <v>388.6</v>
      </c>
      <c r="M140" s="185">
        <v>30.7</v>
      </c>
      <c r="N140" s="186">
        <f t="shared" si="4"/>
        <v>1267.0999999999999</v>
      </c>
      <c r="O140" s="180">
        <f t="shared" si="5"/>
        <v>4.6757538207352262E-2</v>
      </c>
      <c r="P140" s="180"/>
      <c r="Q140" s="180"/>
      <c r="R140" s="180"/>
      <c r="S140" s="180"/>
      <c r="T140" s="180"/>
      <c r="U140" s="180"/>
      <c r="V140" s="180"/>
      <c r="W140" s="180"/>
      <c r="X140" s="180"/>
      <c r="Y140" s="180"/>
    </row>
    <row r="141" spans="1:25">
      <c r="A141" s="187" t="s">
        <v>4158</v>
      </c>
      <c r="B141" s="187" t="s">
        <v>4064</v>
      </c>
      <c r="C141" s="187" t="s">
        <v>4174</v>
      </c>
      <c r="D141" s="188">
        <v>23</v>
      </c>
      <c r="E141" s="183">
        <v>1348</v>
      </c>
      <c r="F141" s="189">
        <v>1344.1</v>
      </c>
      <c r="G141" s="189">
        <v>1348</v>
      </c>
      <c r="H141" s="189">
        <v>683</v>
      </c>
      <c r="I141" s="189">
        <v>2047</v>
      </c>
      <c r="J141" s="189">
        <v>1048</v>
      </c>
      <c r="K141" s="189">
        <v>1577</v>
      </c>
      <c r="L141" s="189">
        <v>396.4</v>
      </c>
      <c r="M141" s="190">
        <v>29.5</v>
      </c>
      <c r="N141" s="186">
        <f t="shared" si="4"/>
        <v>1344.1</v>
      </c>
      <c r="O141" s="180">
        <f t="shared" si="5"/>
        <v>-2.8931750741840439E-3</v>
      </c>
      <c r="P141" s="180"/>
      <c r="Q141" s="180"/>
      <c r="R141" s="180"/>
      <c r="S141" s="180"/>
      <c r="T141" s="180"/>
      <c r="U141" s="180"/>
      <c r="V141" s="180"/>
      <c r="W141" s="180"/>
      <c r="X141" s="180"/>
      <c r="Y141" s="180"/>
    </row>
    <row r="142" spans="1:25">
      <c r="A142" s="181" t="s">
        <v>4158</v>
      </c>
      <c r="B142" s="181" t="s">
        <v>4064</v>
      </c>
      <c r="C142" s="181" t="s">
        <v>4209</v>
      </c>
      <c r="D142" s="182">
        <v>24</v>
      </c>
      <c r="E142" s="183">
        <v>1917</v>
      </c>
      <c r="F142" s="184">
        <v>1878.7</v>
      </c>
      <c r="G142" s="184">
        <v>1917</v>
      </c>
      <c r="H142" s="184">
        <v>1663</v>
      </c>
      <c r="I142" s="184">
        <v>2060</v>
      </c>
      <c r="J142" s="184">
        <v>1736.8</v>
      </c>
      <c r="K142" s="184">
        <v>2009.2</v>
      </c>
      <c r="L142" s="184">
        <v>137.4</v>
      </c>
      <c r="M142" s="185">
        <v>7.3</v>
      </c>
      <c r="N142" s="186">
        <f t="shared" si="4"/>
        <v>1917</v>
      </c>
      <c r="O142" s="180">
        <f t="shared" si="5"/>
        <v>0</v>
      </c>
      <c r="P142" s="180"/>
      <c r="Q142" s="180"/>
      <c r="R142" s="180"/>
      <c r="S142" s="180"/>
      <c r="T142" s="180"/>
      <c r="U142" s="180"/>
      <c r="V142" s="180"/>
      <c r="W142" s="180"/>
      <c r="X142" s="180"/>
      <c r="Y142" s="180"/>
    </row>
    <row r="143" spans="1:25">
      <c r="A143" s="187" t="s">
        <v>4158</v>
      </c>
      <c r="B143" s="187" t="s">
        <v>4064</v>
      </c>
      <c r="C143" s="187" t="s">
        <v>4177</v>
      </c>
      <c r="D143" s="188">
        <v>22</v>
      </c>
      <c r="E143" s="183">
        <v>1673.5</v>
      </c>
      <c r="F143" s="189">
        <v>1676.1</v>
      </c>
      <c r="G143" s="189">
        <v>1673.5</v>
      </c>
      <c r="H143" s="189">
        <v>1200</v>
      </c>
      <c r="I143" s="189">
        <v>2300</v>
      </c>
      <c r="J143" s="189">
        <v>1573.2</v>
      </c>
      <c r="K143" s="189">
        <v>1799.8</v>
      </c>
      <c r="L143" s="189">
        <v>302.89999999999998</v>
      </c>
      <c r="M143" s="190">
        <v>18.100000000000001</v>
      </c>
      <c r="N143" s="186">
        <f t="shared" si="4"/>
        <v>1673.5</v>
      </c>
      <c r="O143" s="180">
        <f t="shared" si="5"/>
        <v>0</v>
      </c>
      <c r="P143" s="180"/>
      <c r="Q143" s="180"/>
      <c r="R143" s="180"/>
      <c r="S143" s="180"/>
      <c r="T143" s="180"/>
      <c r="U143" s="180"/>
      <c r="V143" s="180"/>
      <c r="W143" s="180"/>
      <c r="X143" s="180"/>
      <c r="Y143" s="180"/>
    </row>
    <row r="144" spans="1:25">
      <c r="A144" s="181" t="s">
        <v>4158</v>
      </c>
      <c r="B144" s="181" t="s">
        <v>4064</v>
      </c>
      <c r="C144" s="181" t="s">
        <v>4178</v>
      </c>
      <c r="D144" s="182">
        <v>24</v>
      </c>
      <c r="E144" s="183">
        <v>1333.5</v>
      </c>
      <c r="F144" s="184">
        <v>1297.0999999999999</v>
      </c>
      <c r="G144" s="184">
        <v>1333.5</v>
      </c>
      <c r="H144" s="184">
        <v>862</v>
      </c>
      <c r="I144" s="184">
        <v>1794</v>
      </c>
      <c r="J144" s="184">
        <v>1108</v>
      </c>
      <c r="K144" s="184">
        <v>1484.8</v>
      </c>
      <c r="L144" s="184">
        <v>277</v>
      </c>
      <c r="M144" s="185">
        <v>21.4</v>
      </c>
      <c r="N144" s="186">
        <f t="shared" si="4"/>
        <v>1297.0999999999999</v>
      </c>
      <c r="O144" s="180">
        <f t="shared" si="5"/>
        <v>-2.7296587926509255E-2</v>
      </c>
      <c r="P144" s="180"/>
      <c r="Q144" s="180"/>
      <c r="R144" s="180"/>
      <c r="S144" s="180"/>
      <c r="T144" s="180"/>
      <c r="U144" s="180"/>
      <c r="V144" s="180"/>
      <c r="W144" s="180"/>
      <c r="X144" s="180"/>
      <c r="Y144" s="180"/>
    </row>
    <row r="145" spans="1:25">
      <c r="A145" s="187" t="s">
        <v>4158</v>
      </c>
      <c r="B145" s="187" t="s">
        <v>4064</v>
      </c>
      <c r="C145" s="187" t="s">
        <v>4161</v>
      </c>
      <c r="D145" s="188">
        <v>23</v>
      </c>
      <c r="E145" s="183">
        <v>2056</v>
      </c>
      <c r="F145" s="189">
        <v>1994.8</v>
      </c>
      <c r="G145" s="189">
        <v>2056</v>
      </c>
      <c r="H145" s="189">
        <v>1258</v>
      </c>
      <c r="I145" s="189">
        <v>2763</v>
      </c>
      <c r="J145" s="189">
        <v>1614.5</v>
      </c>
      <c r="K145" s="189">
        <v>2313.5</v>
      </c>
      <c r="L145" s="189">
        <v>454.6</v>
      </c>
      <c r="M145" s="190">
        <v>22.8</v>
      </c>
      <c r="N145" s="186">
        <f t="shared" si="4"/>
        <v>1994.8</v>
      </c>
      <c r="O145" s="180">
        <f t="shared" si="5"/>
        <v>-2.9766536964980567E-2</v>
      </c>
      <c r="P145" s="180"/>
      <c r="Q145" s="180"/>
      <c r="R145" s="180"/>
      <c r="S145" s="180"/>
      <c r="T145" s="180"/>
      <c r="U145" s="180"/>
      <c r="V145" s="180"/>
      <c r="W145" s="180"/>
      <c r="X145" s="180"/>
      <c r="Y145" s="180"/>
    </row>
    <row r="146" spans="1:25">
      <c r="A146" s="181" t="s">
        <v>4158</v>
      </c>
      <c r="B146" s="181" t="s">
        <v>4064</v>
      </c>
      <c r="C146" s="181" t="s">
        <v>4180</v>
      </c>
      <c r="D146" s="182">
        <v>24</v>
      </c>
      <c r="E146" s="183">
        <v>1315</v>
      </c>
      <c r="F146" s="184">
        <v>1350.1</v>
      </c>
      <c r="G146" s="184">
        <v>1315</v>
      </c>
      <c r="H146" s="184">
        <v>1070</v>
      </c>
      <c r="I146" s="184">
        <v>1785</v>
      </c>
      <c r="J146" s="184">
        <v>1254.5</v>
      </c>
      <c r="K146" s="184">
        <v>1403.5</v>
      </c>
      <c r="L146" s="184">
        <v>174.5</v>
      </c>
      <c r="M146" s="185">
        <v>12.9</v>
      </c>
      <c r="N146" s="186">
        <f t="shared" si="4"/>
        <v>1315</v>
      </c>
      <c r="O146" s="180">
        <f t="shared" si="5"/>
        <v>0</v>
      </c>
      <c r="P146" s="180"/>
      <c r="Q146" s="180"/>
      <c r="R146" s="180"/>
      <c r="S146" s="180"/>
      <c r="T146" s="180"/>
      <c r="U146" s="180"/>
      <c r="V146" s="180"/>
      <c r="W146" s="180"/>
      <c r="X146" s="180"/>
      <c r="Y146" s="180"/>
    </row>
    <row r="147" spans="1:25">
      <c r="A147" s="187" t="s">
        <v>4158</v>
      </c>
      <c r="B147" s="187" t="s">
        <v>4064</v>
      </c>
      <c r="C147" s="187" t="s">
        <v>4205</v>
      </c>
      <c r="D147" s="188">
        <v>24</v>
      </c>
      <c r="E147" s="183">
        <v>1540</v>
      </c>
      <c r="F147" s="189">
        <v>1467.6</v>
      </c>
      <c r="G147" s="189">
        <v>1540</v>
      </c>
      <c r="H147" s="189">
        <v>973</v>
      </c>
      <c r="I147" s="189">
        <v>2044</v>
      </c>
      <c r="J147" s="189">
        <v>1139</v>
      </c>
      <c r="K147" s="189">
        <v>1729.5</v>
      </c>
      <c r="L147" s="189">
        <v>321.39999999999998</v>
      </c>
      <c r="M147" s="190">
        <v>21.9</v>
      </c>
      <c r="N147" s="186">
        <f t="shared" si="4"/>
        <v>1467.6</v>
      </c>
      <c r="O147" s="180">
        <f t="shared" si="5"/>
        <v>-4.7012987012987069E-2</v>
      </c>
      <c r="P147" s="180"/>
      <c r="Q147" s="180"/>
      <c r="R147" s="180"/>
      <c r="S147" s="180"/>
      <c r="T147" s="180"/>
      <c r="U147" s="180"/>
      <c r="V147" s="180"/>
      <c r="W147" s="180"/>
      <c r="X147" s="180"/>
      <c r="Y147" s="180"/>
    </row>
    <row r="148" spans="1:25">
      <c r="A148" s="181" t="s">
        <v>4158</v>
      </c>
      <c r="B148" s="181" t="s">
        <v>4064</v>
      </c>
      <c r="C148" s="181" t="s">
        <v>4162</v>
      </c>
      <c r="D148" s="182">
        <v>24</v>
      </c>
      <c r="E148" s="183">
        <v>2318.5</v>
      </c>
      <c r="F148" s="184">
        <v>2258.1999999999998</v>
      </c>
      <c r="G148" s="184">
        <v>2318.5</v>
      </c>
      <c r="H148" s="184">
        <v>1498</v>
      </c>
      <c r="I148" s="184">
        <v>2998</v>
      </c>
      <c r="J148" s="184">
        <v>2108.8000000000002</v>
      </c>
      <c r="K148" s="184">
        <v>2499</v>
      </c>
      <c r="L148" s="184">
        <v>419.1</v>
      </c>
      <c r="M148" s="185">
        <v>18.600000000000001</v>
      </c>
      <c r="N148" s="186">
        <f t="shared" si="4"/>
        <v>2318.5</v>
      </c>
      <c r="O148" s="180">
        <f t="shared" si="5"/>
        <v>0</v>
      </c>
      <c r="P148" s="180"/>
      <c r="Q148" s="180"/>
      <c r="R148" s="180"/>
      <c r="S148" s="180"/>
      <c r="T148" s="180"/>
      <c r="U148" s="180"/>
      <c r="V148" s="180"/>
      <c r="W148" s="180"/>
      <c r="X148" s="180"/>
      <c r="Y148" s="180"/>
    </row>
    <row r="149" spans="1:25">
      <c r="A149" s="187" t="s">
        <v>4158</v>
      </c>
      <c r="B149" s="187" t="s">
        <v>4064</v>
      </c>
      <c r="C149" s="187" t="s">
        <v>4182</v>
      </c>
      <c r="D149" s="188">
        <v>24</v>
      </c>
      <c r="E149" s="183">
        <v>1361</v>
      </c>
      <c r="F149" s="189">
        <v>1403.7</v>
      </c>
      <c r="G149" s="189">
        <v>1361</v>
      </c>
      <c r="H149" s="189">
        <v>907</v>
      </c>
      <c r="I149" s="189">
        <v>2022</v>
      </c>
      <c r="J149" s="189">
        <v>1134.5</v>
      </c>
      <c r="K149" s="189">
        <v>1601.8</v>
      </c>
      <c r="L149" s="189">
        <v>306.2</v>
      </c>
      <c r="M149" s="190">
        <v>21.8</v>
      </c>
      <c r="N149" s="186">
        <f t="shared" si="4"/>
        <v>1403.7</v>
      </c>
      <c r="O149" s="180">
        <f t="shared" si="5"/>
        <v>3.1373989713446029E-2</v>
      </c>
      <c r="P149" s="180"/>
      <c r="Q149" s="180"/>
      <c r="R149" s="180"/>
      <c r="S149" s="180"/>
      <c r="T149" s="180"/>
      <c r="U149" s="180"/>
      <c r="V149" s="180"/>
      <c r="W149" s="180"/>
      <c r="X149" s="180"/>
      <c r="Y149" s="180"/>
    </row>
    <row r="150" spans="1:25">
      <c r="A150" s="181" t="s">
        <v>4158</v>
      </c>
      <c r="B150" s="181" t="s">
        <v>4064</v>
      </c>
      <c r="C150" s="181" t="s">
        <v>4163</v>
      </c>
      <c r="D150" s="182">
        <v>24</v>
      </c>
      <c r="E150" s="183">
        <v>2253.5</v>
      </c>
      <c r="F150" s="184">
        <v>2254.1999999999998</v>
      </c>
      <c r="G150" s="184">
        <v>2253.5</v>
      </c>
      <c r="H150" s="184">
        <v>1555</v>
      </c>
      <c r="I150" s="184">
        <v>2977</v>
      </c>
      <c r="J150" s="184">
        <v>2116.5</v>
      </c>
      <c r="K150" s="184">
        <v>2443.5</v>
      </c>
      <c r="L150" s="184">
        <v>378.6</v>
      </c>
      <c r="M150" s="185">
        <v>16.8</v>
      </c>
      <c r="N150" s="186">
        <f t="shared" si="4"/>
        <v>2253.5</v>
      </c>
      <c r="O150" s="180">
        <f t="shared" si="5"/>
        <v>0</v>
      </c>
      <c r="P150" s="180"/>
      <c r="Q150" s="180"/>
      <c r="R150" s="180"/>
      <c r="S150" s="180"/>
      <c r="T150" s="180"/>
      <c r="U150" s="180"/>
      <c r="V150" s="180"/>
      <c r="W150" s="180"/>
      <c r="X150" s="180"/>
      <c r="Y150" s="180"/>
    </row>
    <row r="151" spans="1:25">
      <c r="A151" s="187" t="s">
        <v>4158</v>
      </c>
      <c r="B151" s="187" t="s">
        <v>4064</v>
      </c>
      <c r="C151" s="187" t="s">
        <v>4183</v>
      </c>
      <c r="D151" s="188">
        <v>24</v>
      </c>
      <c r="E151" s="183">
        <v>2316.5</v>
      </c>
      <c r="F151" s="189">
        <v>2269.5</v>
      </c>
      <c r="G151" s="189">
        <v>2316.5</v>
      </c>
      <c r="H151" s="189">
        <v>1543</v>
      </c>
      <c r="I151" s="189">
        <v>3022</v>
      </c>
      <c r="J151" s="189">
        <v>2111</v>
      </c>
      <c r="K151" s="189">
        <v>2463.5</v>
      </c>
      <c r="L151" s="189">
        <v>373.7</v>
      </c>
      <c r="M151" s="190">
        <v>16.5</v>
      </c>
      <c r="N151" s="186">
        <f t="shared" si="4"/>
        <v>2316.5</v>
      </c>
      <c r="O151" s="180">
        <f t="shared" si="5"/>
        <v>0</v>
      </c>
      <c r="P151" s="180"/>
      <c r="Q151" s="180"/>
      <c r="R151" s="180"/>
      <c r="S151" s="180"/>
      <c r="T151" s="180"/>
      <c r="U151" s="180"/>
      <c r="V151" s="180"/>
      <c r="W151" s="180"/>
      <c r="X151" s="180"/>
      <c r="Y151" s="180"/>
    </row>
    <row r="152" spans="1:25">
      <c r="A152" s="181" t="s">
        <v>4158</v>
      </c>
      <c r="B152" s="181" t="s">
        <v>4064</v>
      </c>
      <c r="C152" s="181" t="s">
        <v>4197</v>
      </c>
      <c r="D152" s="182">
        <v>24</v>
      </c>
      <c r="E152" s="183">
        <v>1854</v>
      </c>
      <c r="F152" s="184">
        <v>1854.2</v>
      </c>
      <c r="G152" s="184">
        <v>1854</v>
      </c>
      <c r="H152" s="184">
        <v>1216</v>
      </c>
      <c r="I152" s="184">
        <v>2541</v>
      </c>
      <c r="J152" s="184">
        <v>1744.2</v>
      </c>
      <c r="K152" s="184">
        <v>2030</v>
      </c>
      <c r="L152" s="184">
        <v>329.9</v>
      </c>
      <c r="M152" s="185">
        <v>17.8</v>
      </c>
      <c r="N152" s="186">
        <f t="shared" si="4"/>
        <v>1854</v>
      </c>
      <c r="O152" s="180">
        <f t="shared" si="5"/>
        <v>0</v>
      </c>
      <c r="P152" s="180"/>
      <c r="Q152" s="180"/>
      <c r="R152" s="180"/>
      <c r="S152" s="180"/>
      <c r="T152" s="180"/>
      <c r="U152" s="180"/>
      <c r="V152" s="180"/>
      <c r="W152" s="180"/>
      <c r="X152" s="180"/>
      <c r="Y152" s="180"/>
    </row>
    <row r="153" spans="1:25">
      <c r="A153" s="187" t="s">
        <v>4158</v>
      </c>
      <c r="B153" s="187" t="s">
        <v>4064</v>
      </c>
      <c r="C153" s="187" t="s">
        <v>4189</v>
      </c>
      <c r="D153" s="188">
        <v>24</v>
      </c>
      <c r="E153" s="183">
        <v>1661</v>
      </c>
      <c r="F153" s="189">
        <v>1632.5</v>
      </c>
      <c r="G153" s="189">
        <v>1661</v>
      </c>
      <c r="H153" s="189">
        <v>1071</v>
      </c>
      <c r="I153" s="189">
        <v>2089</v>
      </c>
      <c r="J153" s="189">
        <v>1418</v>
      </c>
      <c r="K153" s="189">
        <v>1871.5</v>
      </c>
      <c r="L153" s="189">
        <v>310.10000000000002</v>
      </c>
      <c r="M153" s="190">
        <v>19</v>
      </c>
      <c r="N153" s="186">
        <f t="shared" si="4"/>
        <v>1661</v>
      </c>
      <c r="O153" s="180">
        <f t="shared" si="5"/>
        <v>0</v>
      </c>
      <c r="P153" s="180"/>
      <c r="Q153" s="180"/>
      <c r="R153" s="180"/>
      <c r="S153" s="180"/>
      <c r="T153" s="180"/>
      <c r="U153" s="180"/>
      <c r="V153" s="180"/>
      <c r="W153" s="180"/>
      <c r="X153" s="180"/>
      <c r="Y153" s="180"/>
    </row>
    <row r="154" spans="1:25">
      <c r="A154" s="181" t="s">
        <v>4158</v>
      </c>
      <c r="B154" s="181" t="s">
        <v>4064</v>
      </c>
      <c r="C154" s="181" t="s">
        <v>4164</v>
      </c>
      <c r="D154" s="182">
        <v>24</v>
      </c>
      <c r="E154" s="183">
        <v>2513.5</v>
      </c>
      <c r="F154" s="184">
        <v>2424.6999999999998</v>
      </c>
      <c r="G154" s="184">
        <v>2513.5</v>
      </c>
      <c r="H154" s="184">
        <v>1760</v>
      </c>
      <c r="I154" s="184">
        <v>3146</v>
      </c>
      <c r="J154" s="184">
        <v>2174.8000000000002</v>
      </c>
      <c r="K154" s="184">
        <v>2662</v>
      </c>
      <c r="L154" s="184">
        <v>357</v>
      </c>
      <c r="M154" s="185">
        <v>14.7</v>
      </c>
      <c r="N154" s="186">
        <f t="shared" si="4"/>
        <v>2513.5</v>
      </c>
      <c r="O154" s="180">
        <f t="shared" si="5"/>
        <v>0</v>
      </c>
      <c r="P154" s="180"/>
      <c r="Q154" s="180"/>
      <c r="R154" s="180"/>
      <c r="S154" s="180"/>
      <c r="T154" s="180"/>
      <c r="U154" s="180"/>
      <c r="V154" s="180"/>
      <c r="W154" s="180"/>
      <c r="X154" s="180"/>
      <c r="Y154" s="180"/>
    </row>
    <row r="155" spans="1:25">
      <c r="A155" s="187" t="s">
        <v>4158</v>
      </c>
      <c r="B155" s="187" t="s">
        <v>4064</v>
      </c>
      <c r="C155" s="187" t="s">
        <v>4206</v>
      </c>
      <c r="D155" s="188">
        <v>5</v>
      </c>
      <c r="E155" s="183">
        <v>1500</v>
      </c>
      <c r="F155" s="189">
        <v>1384</v>
      </c>
      <c r="G155" s="189">
        <v>1500</v>
      </c>
      <c r="H155" s="189">
        <v>1060</v>
      </c>
      <c r="I155" s="189">
        <v>1680</v>
      </c>
      <c r="J155" s="189">
        <v>1080</v>
      </c>
      <c r="K155" s="189">
        <v>1600</v>
      </c>
      <c r="L155" s="189">
        <v>293.7</v>
      </c>
      <c r="M155" s="190">
        <v>21.2</v>
      </c>
      <c r="N155" s="186">
        <f t="shared" si="4"/>
        <v>1384</v>
      </c>
      <c r="O155" s="180">
        <f t="shared" si="5"/>
        <v>-7.7333333333333337E-2</v>
      </c>
      <c r="P155" s="180"/>
      <c r="Q155" s="180"/>
      <c r="R155" s="180"/>
      <c r="S155" s="180"/>
      <c r="T155" s="180"/>
      <c r="U155" s="180"/>
      <c r="V155" s="180"/>
      <c r="W155" s="180"/>
      <c r="X155" s="180"/>
      <c r="Y155" s="180"/>
    </row>
    <row r="156" spans="1:25">
      <c r="A156" s="181" t="s">
        <v>4158</v>
      </c>
      <c r="B156" s="181" t="s">
        <v>4064</v>
      </c>
      <c r="C156" s="181" t="s">
        <v>4198</v>
      </c>
      <c r="D156" s="182">
        <v>24</v>
      </c>
      <c r="E156" s="183">
        <v>1742</v>
      </c>
      <c r="F156" s="184">
        <v>1748.7</v>
      </c>
      <c r="G156" s="184">
        <v>1742</v>
      </c>
      <c r="H156" s="184">
        <v>1203</v>
      </c>
      <c r="I156" s="184">
        <v>2479</v>
      </c>
      <c r="J156" s="184">
        <v>1583.8</v>
      </c>
      <c r="K156" s="184">
        <v>1863</v>
      </c>
      <c r="L156" s="184">
        <v>322.5</v>
      </c>
      <c r="M156" s="185">
        <v>18.399999999999999</v>
      </c>
      <c r="N156" s="186">
        <f t="shared" si="4"/>
        <v>1742</v>
      </c>
      <c r="O156" s="180">
        <f t="shared" si="5"/>
        <v>0</v>
      </c>
      <c r="P156" s="180"/>
      <c r="Q156" s="180"/>
      <c r="R156" s="180"/>
      <c r="S156" s="180"/>
      <c r="T156" s="180"/>
      <c r="U156" s="180"/>
      <c r="V156" s="180"/>
      <c r="W156" s="180"/>
      <c r="X156" s="180"/>
      <c r="Y156" s="180"/>
    </row>
    <row r="157" spans="1:25">
      <c r="A157" s="187" t="s">
        <v>4158</v>
      </c>
      <c r="B157" s="187" t="s">
        <v>4064</v>
      </c>
      <c r="C157" s="187" t="s">
        <v>4169</v>
      </c>
      <c r="D157" s="188">
        <v>24</v>
      </c>
      <c r="E157" s="183">
        <v>2229</v>
      </c>
      <c r="F157" s="189">
        <v>2233.5</v>
      </c>
      <c r="G157" s="189">
        <v>2229</v>
      </c>
      <c r="H157" s="189">
        <v>1349</v>
      </c>
      <c r="I157" s="189">
        <v>3093</v>
      </c>
      <c r="J157" s="189">
        <v>2020.8</v>
      </c>
      <c r="K157" s="189">
        <v>2337.5</v>
      </c>
      <c r="L157" s="189">
        <v>421.3</v>
      </c>
      <c r="M157" s="190">
        <v>18.899999999999999</v>
      </c>
      <c r="N157" s="186">
        <f t="shared" si="4"/>
        <v>2229</v>
      </c>
      <c r="O157" s="180">
        <f t="shared" si="5"/>
        <v>0</v>
      </c>
      <c r="P157" s="180"/>
      <c r="Q157" s="180"/>
      <c r="R157" s="180"/>
      <c r="S157" s="180"/>
      <c r="T157" s="180"/>
      <c r="U157" s="180"/>
      <c r="V157" s="180"/>
      <c r="W157" s="180"/>
      <c r="X157" s="180"/>
      <c r="Y157" s="180"/>
    </row>
    <row r="158" spans="1:25">
      <c r="A158" s="181" t="s">
        <v>4158</v>
      </c>
      <c r="B158" s="181" t="s">
        <v>4064</v>
      </c>
      <c r="C158" s="181" t="s">
        <v>4170</v>
      </c>
      <c r="D158" s="182">
        <v>24</v>
      </c>
      <c r="E158" s="183">
        <v>1686</v>
      </c>
      <c r="F158" s="184">
        <v>1658</v>
      </c>
      <c r="G158" s="184">
        <v>1686</v>
      </c>
      <c r="H158" s="184">
        <v>1076</v>
      </c>
      <c r="I158" s="184">
        <v>2299</v>
      </c>
      <c r="J158" s="184">
        <v>1537.5</v>
      </c>
      <c r="K158" s="184">
        <v>1799</v>
      </c>
      <c r="L158" s="184">
        <v>304.7</v>
      </c>
      <c r="M158" s="185">
        <v>18.399999999999999</v>
      </c>
      <c r="N158" s="186">
        <f t="shared" si="4"/>
        <v>1686</v>
      </c>
      <c r="O158" s="180">
        <f t="shared" si="5"/>
        <v>0</v>
      </c>
      <c r="P158" s="180"/>
      <c r="Q158" s="180"/>
      <c r="R158" s="180"/>
      <c r="S158" s="180"/>
      <c r="T158" s="180"/>
      <c r="U158" s="180"/>
      <c r="V158" s="180"/>
      <c r="W158" s="180"/>
      <c r="X158" s="180"/>
      <c r="Y158" s="180"/>
    </row>
    <row r="159" spans="1:25">
      <c r="A159" s="187" t="s">
        <v>4158</v>
      </c>
      <c r="B159" s="187" t="s">
        <v>4064</v>
      </c>
      <c r="C159" s="187" t="s">
        <v>4207</v>
      </c>
      <c r="D159" s="188">
        <v>24</v>
      </c>
      <c r="E159" s="183">
        <v>1550.5</v>
      </c>
      <c r="F159" s="189">
        <v>1562.9</v>
      </c>
      <c r="G159" s="189">
        <v>1550.5</v>
      </c>
      <c r="H159" s="189">
        <v>1022</v>
      </c>
      <c r="I159" s="189">
        <v>2000</v>
      </c>
      <c r="J159" s="189">
        <v>1316</v>
      </c>
      <c r="K159" s="189">
        <v>1842.8</v>
      </c>
      <c r="L159" s="189">
        <v>290.5</v>
      </c>
      <c r="M159" s="190">
        <v>18.600000000000001</v>
      </c>
      <c r="N159" s="186">
        <f t="shared" si="4"/>
        <v>1550.5</v>
      </c>
      <c r="O159" s="180">
        <f t="shared" si="5"/>
        <v>0</v>
      </c>
      <c r="P159" s="180"/>
      <c r="Q159" s="180"/>
      <c r="R159" s="180"/>
      <c r="S159" s="180"/>
      <c r="T159" s="180"/>
      <c r="U159" s="180"/>
      <c r="V159" s="180"/>
      <c r="W159" s="180"/>
      <c r="X159" s="180"/>
      <c r="Y159" s="180"/>
    </row>
    <row r="160" spans="1:25">
      <c r="A160" s="181" t="s">
        <v>4158</v>
      </c>
      <c r="B160" s="181" t="s">
        <v>4064</v>
      </c>
      <c r="C160" s="181" t="s">
        <v>4199</v>
      </c>
      <c r="D160" s="182">
        <v>24</v>
      </c>
      <c r="E160" s="183">
        <v>1845</v>
      </c>
      <c r="F160" s="184">
        <v>1927.8</v>
      </c>
      <c r="G160" s="184">
        <v>1845</v>
      </c>
      <c r="H160" s="184">
        <v>1151</v>
      </c>
      <c r="I160" s="184">
        <v>2603</v>
      </c>
      <c r="J160" s="184">
        <v>1704</v>
      </c>
      <c r="K160" s="184">
        <v>2227.1999999999998</v>
      </c>
      <c r="L160" s="184">
        <v>409.3</v>
      </c>
      <c r="M160" s="185">
        <v>21.2</v>
      </c>
      <c r="N160" s="186">
        <f t="shared" si="4"/>
        <v>1927.8</v>
      </c>
      <c r="O160" s="180">
        <f t="shared" si="5"/>
        <v>4.4878048780487782E-2</v>
      </c>
      <c r="P160" s="180"/>
      <c r="Q160" s="180"/>
      <c r="R160" s="180"/>
      <c r="S160" s="180"/>
      <c r="T160" s="180"/>
      <c r="U160" s="180"/>
      <c r="V160" s="180"/>
      <c r="W160" s="180"/>
      <c r="X160" s="180"/>
      <c r="Y160" s="180"/>
    </row>
    <row r="161" spans="1:25">
      <c r="A161" s="187" t="s">
        <v>4158</v>
      </c>
      <c r="B161" s="187" t="s">
        <v>4064</v>
      </c>
      <c r="C161" s="187" t="s">
        <v>4200</v>
      </c>
      <c r="D161" s="188">
        <v>12</v>
      </c>
      <c r="E161" s="183">
        <v>1934.5</v>
      </c>
      <c r="F161" s="189">
        <v>1867.7</v>
      </c>
      <c r="G161" s="189">
        <v>1934.5</v>
      </c>
      <c r="H161" s="189">
        <v>1586</v>
      </c>
      <c r="I161" s="189">
        <v>2000</v>
      </c>
      <c r="J161" s="189">
        <v>1776.2</v>
      </c>
      <c r="K161" s="189">
        <v>2000</v>
      </c>
      <c r="L161" s="189">
        <v>157.80000000000001</v>
      </c>
      <c r="M161" s="190">
        <v>8.4</v>
      </c>
      <c r="N161" s="186">
        <f t="shared" si="4"/>
        <v>1934.5</v>
      </c>
      <c r="O161" s="180">
        <f t="shared" si="5"/>
        <v>0</v>
      </c>
      <c r="P161" s="180"/>
      <c r="Q161" s="180"/>
      <c r="R161" s="180"/>
      <c r="S161" s="180"/>
      <c r="T161" s="180"/>
      <c r="U161" s="180"/>
      <c r="V161" s="180"/>
      <c r="W161" s="180"/>
      <c r="X161" s="180"/>
      <c r="Y161" s="180"/>
    </row>
    <row r="162" spans="1:25">
      <c r="A162" s="181" t="s">
        <v>4158</v>
      </c>
      <c r="B162" s="181" t="s">
        <v>4064</v>
      </c>
      <c r="C162" s="181" t="s">
        <v>4193</v>
      </c>
      <c r="D162" s="182">
        <v>24</v>
      </c>
      <c r="E162" s="183">
        <v>1478.5</v>
      </c>
      <c r="F162" s="184">
        <v>1490</v>
      </c>
      <c r="G162" s="184">
        <v>1478.5</v>
      </c>
      <c r="H162" s="184">
        <v>750</v>
      </c>
      <c r="I162" s="184">
        <v>2077</v>
      </c>
      <c r="J162" s="184">
        <v>1384</v>
      </c>
      <c r="K162" s="184">
        <v>1650.2</v>
      </c>
      <c r="L162" s="184">
        <v>338.8</v>
      </c>
      <c r="M162" s="185">
        <v>22.7</v>
      </c>
      <c r="N162" s="186">
        <f t="shared" si="4"/>
        <v>1490</v>
      </c>
      <c r="O162" s="180">
        <f t="shared" si="5"/>
        <v>7.7781535339871491E-3</v>
      </c>
      <c r="P162" s="180"/>
      <c r="Q162" s="180"/>
      <c r="R162" s="180"/>
      <c r="S162" s="180"/>
      <c r="T162" s="180"/>
      <c r="U162" s="180"/>
      <c r="V162" s="180"/>
      <c r="W162" s="180"/>
      <c r="X162" s="180"/>
      <c r="Y162" s="180"/>
    </row>
    <row r="163" spans="1:25">
      <c r="A163" s="187" t="s">
        <v>4158</v>
      </c>
      <c r="B163" s="187" t="s">
        <v>4064</v>
      </c>
      <c r="C163" s="187" t="s">
        <v>4194</v>
      </c>
      <c r="D163" s="188">
        <v>20</v>
      </c>
      <c r="E163" s="183">
        <v>1788</v>
      </c>
      <c r="F163" s="189">
        <v>1685.3</v>
      </c>
      <c r="G163" s="189">
        <v>1788</v>
      </c>
      <c r="H163" s="189">
        <v>1070</v>
      </c>
      <c r="I163" s="189">
        <v>2426</v>
      </c>
      <c r="J163" s="189">
        <v>1283.8</v>
      </c>
      <c r="K163" s="189">
        <v>1934.8</v>
      </c>
      <c r="L163" s="189">
        <v>435.1</v>
      </c>
      <c r="M163" s="190">
        <v>25.8</v>
      </c>
      <c r="N163" s="186">
        <f t="shared" si="4"/>
        <v>1685.3</v>
      </c>
      <c r="O163" s="180">
        <f t="shared" si="5"/>
        <v>-5.7438478747203606E-2</v>
      </c>
      <c r="P163" s="180"/>
      <c r="Q163" s="180"/>
      <c r="R163" s="180"/>
      <c r="S163" s="180"/>
      <c r="T163" s="180"/>
      <c r="U163" s="180"/>
      <c r="V163" s="180"/>
      <c r="W163" s="180"/>
      <c r="X163" s="180"/>
      <c r="Y163" s="180"/>
    </row>
    <row r="164" spans="1:25">
      <c r="A164" s="181" t="s">
        <v>4158</v>
      </c>
      <c r="B164" s="181" t="s">
        <v>4210</v>
      </c>
      <c r="C164" s="181" t="s">
        <v>4204</v>
      </c>
      <c r="D164" s="182">
        <v>24</v>
      </c>
      <c r="E164" s="183">
        <v>2037</v>
      </c>
      <c r="F164" s="184">
        <v>2006.3</v>
      </c>
      <c r="G164" s="184">
        <v>2037</v>
      </c>
      <c r="H164" s="184">
        <v>1326</v>
      </c>
      <c r="I164" s="184">
        <v>2924</v>
      </c>
      <c r="J164" s="184">
        <v>1766</v>
      </c>
      <c r="K164" s="184">
        <v>2136.8000000000002</v>
      </c>
      <c r="L164" s="184">
        <v>410</v>
      </c>
      <c r="M164" s="185">
        <v>20.399999999999999</v>
      </c>
      <c r="N164" s="186">
        <f t="shared" si="4"/>
        <v>2006.3</v>
      </c>
      <c r="O164" s="180">
        <f t="shared" si="5"/>
        <v>-1.5071183112420249E-2</v>
      </c>
      <c r="P164" s="180"/>
      <c r="Q164" s="180"/>
      <c r="R164" s="180"/>
      <c r="S164" s="180"/>
      <c r="T164" s="180"/>
      <c r="U164" s="180"/>
      <c r="V164" s="180"/>
      <c r="W164" s="180"/>
      <c r="X164" s="180"/>
      <c r="Y164" s="180"/>
    </row>
    <row r="165" spans="1:25">
      <c r="A165" s="187" t="s">
        <v>4158</v>
      </c>
      <c r="B165" s="187" t="s">
        <v>4210</v>
      </c>
      <c r="C165" s="187" t="s">
        <v>4172</v>
      </c>
      <c r="D165" s="188">
        <v>6</v>
      </c>
      <c r="E165" s="183">
        <v>1196.5</v>
      </c>
      <c r="F165" s="189">
        <v>1174.5</v>
      </c>
      <c r="G165" s="189">
        <v>1196.5</v>
      </c>
      <c r="H165" s="189">
        <v>1100</v>
      </c>
      <c r="I165" s="189">
        <v>1206</v>
      </c>
      <c r="J165" s="189">
        <v>1159.2</v>
      </c>
      <c r="K165" s="189">
        <v>1200</v>
      </c>
      <c r="L165" s="189">
        <v>42.2</v>
      </c>
      <c r="M165" s="190">
        <v>3.6</v>
      </c>
      <c r="N165" s="186">
        <f t="shared" si="4"/>
        <v>1196.5</v>
      </c>
      <c r="O165" s="180">
        <f t="shared" si="5"/>
        <v>0</v>
      </c>
      <c r="P165" s="180"/>
      <c r="Q165" s="180"/>
      <c r="R165" s="180"/>
      <c r="S165" s="180"/>
      <c r="T165" s="180"/>
      <c r="U165" s="180"/>
      <c r="V165" s="180"/>
      <c r="W165" s="180"/>
      <c r="X165" s="180"/>
      <c r="Y165" s="180"/>
    </row>
    <row r="166" spans="1:25">
      <c r="A166" s="181" t="s">
        <v>4158</v>
      </c>
      <c r="B166" s="181" t="s">
        <v>4210</v>
      </c>
      <c r="C166" s="181" t="s">
        <v>4177</v>
      </c>
      <c r="D166" s="182">
        <v>15</v>
      </c>
      <c r="E166" s="183">
        <v>1517</v>
      </c>
      <c r="F166" s="184">
        <v>1403.2</v>
      </c>
      <c r="G166" s="184">
        <v>1517</v>
      </c>
      <c r="H166" s="184">
        <v>832</v>
      </c>
      <c r="I166" s="184">
        <v>2205</v>
      </c>
      <c r="J166" s="184">
        <v>1103</v>
      </c>
      <c r="K166" s="184">
        <v>1563.5</v>
      </c>
      <c r="L166" s="184">
        <v>415.3</v>
      </c>
      <c r="M166" s="185">
        <v>29.6</v>
      </c>
      <c r="N166" s="186">
        <f t="shared" si="4"/>
        <v>1403.2</v>
      </c>
      <c r="O166" s="180">
        <f t="shared" si="5"/>
        <v>-7.5016479894528643E-2</v>
      </c>
      <c r="P166" s="180"/>
      <c r="Q166" s="180"/>
      <c r="R166" s="180"/>
      <c r="S166" s="180"/>
      <c r="T166" s="180"/>
      <c r="U166" s="180"/>
      <c r="V166" s="180"/>
      <c r="W166" s="180"/>
      <c r="X166" s="180"/>
      <c r="Y166" s="180"/>
    </row>
    <row r="167" spans="1:25">
      <c r="A167" s="187" t="s">
        <v>4158</v>
      </c>
      <c r="B167" s="187" t="s">
        <v>4210</v>
      </c>
      <c r="C167" s="187" t="s">
        <v>4160</v>
      </c>
      <c r="D167" s="188">
        <v>24</v>
      </c>
      <c r="E167" s="183">
        <v>948.5</v>
      </c>
      <c r="F167" s="189">
        <v>938.3</v>
      </c>
      <c r="G167" s="189">
        <v>948.5</v>
      </c>
      <c r="H167" s="189">
        <v>638</v>
      </c>
      <c r="I167" s="189">
        <v>1377</v>
      </c>
      <c r="J167" s="189">
        <v>809.8</v>
      </c>
      <c r="K167" s="189">
        <v>1047</v>
      </c>
      <c r="L167" s="189">
        <v>193.3</v>
      </c>
      <c r="M167" s="190">
        <v>20.6</v>
      </c>
      <c r="N167" s="186">
        <f t="shared" si="4"/>
        <v>938.3</v>
      </c>
      <c r="O167" s="180">
        <f t="shared" si="5"/>
        <v>-1.0753821823932573E-2</v>
      </c>
      <c r="P167" s="180"/>
      <c r="Q167" s="180"/>
      <c r="R167" s="180"/>
      <c r="S167" s="180"/>
      <c r="T167" s="180"/>
      <c r="U167" s="180"/>
      <c r="V167" s="180"/>
      <c r="W167" s="180"/>
      <c r="X167" s="180"/>
      <c r="Y167" s="180"/>
    </row>
    <row r="168" spans="1:25">
      <c r="A168" s="181" t="s">
        <v>4158</v>
      </c>
      <c r="B168" s="181" t="s">
        <v>4210</v>
      </c>
      <c r="C168" s="181" t="s">
        <v>4179</v>
      </c>
      <c r="D168" s="182">
        <v>24</v>
      </c>
      <c r="E168" s="183">
        <v>1469.5</v>
      </c>
      <c r="F168" s="184">
        <v>1634.2</v>
      </c>
      <c r="G168" s="184">
        <v>1469.5</v>
      </c>
      <c r="H168" s="184">
        <v>927</v>
      </c>
      <c r="I168" s="184">
        <v>2850</v>
      </c>
      <c r="J168" s="184">
        <v>1245.8</v>
      </c>
      <c r="K168" s="184">
        <v>1953.8</v>
      </c>
      <c r="L168" s="184">
        <v>559.5</v>
      </c>
      <c r="M168" s="185">
        <v>34.200000000000003</v>
      </c>
      <c r="N168" s="186">
        <f t="shared" si="4"/>
        <v>1634.2</v>
      </c>
      <c r="O168" s="180">
        <f t="shared" si="5"/>
        <v>0.1120789384144267</v>
      </c>
      <c r="P168" s="180"/>
      <c r="Q168" s="180"/>
      <c r="R168" s="180"/>
      <c r="S168" s="180"/>
      <c r="T168" s="180"/>
      <c r="U168" s="180"/>
      <c r="V168" s="180"/>
      <c r="W168" s="180"/>
      <c r="X168" s="180"/>
      <c r="Y168" s="180"/>
    </row>
    <row r="169" spans="1:25">
      <c r="A169" s="187" t="s">
        <v>4158</v>
      </c>
      <c r="B169" s="187" t="s">
        <v>4210</v>
      </c>
      <c r="C169" s="187" t="s">
        <v>4195</v>
      </c>
      <c r="D169" s="188">
        <v>24</v>
      </c>
      <c r="E169" s="183">
        <v>1415.5</v>
      </c>
      <c r="F169" s="189">
        <v>1594.9</v>
      </c>
      <c r="G169" s="189">
        <v>1415.5</v>
      </c>
      <c r="H169" s="189">
        <v>896</v>
      </c>
      <c r="I169" s="189">
        <v>2827</v>
      </c>
      <c r="J169" s="189">
        <v>1229.8</v>
      </c>
      <c r="K169" s="189">
        <v>1859</v>
      </c>
      <c r="L169" s="189">
        <v>535.20000000000005</v>
      </c>
      <c r="M169" s="190">
        <v>33.6</v>
      </c>
      <c r="N169" s="186">
        <f t="shared" si="4"/>
        <v>1594.9</v>
      </c>
      <c r="O169" s="180">
        <f t="shared" si="5"/>
        <v>0.12673966796185099</v>
      </c>
      <c r="P169" s="180"/>
      <c r="Q169" s="180"/>
      <c r="R169" s="180"/>
      <c r="S169" s="180"/>
      <c r="T169" s="180"/>
      <c r="U169" s="180"/>
      <c r="V169" s="180"/>
      <c r="W169" s="180"/>
      <c r="X169" s="180"/>
      <c r="Y169" s="180"/>
    </row>
    <row r="170" spans="1:25">
      <c r="A170" s="181" t="s">
        <v>4158</v>
      </c>
      <c r="B170" s="181" t="s">
        <v>4210</v>
      </c>
      <c r="C170" s="181" t="s">
        <v>4161</v>
      </c>
      <c r="D170" s="182">
        <v>16</v>
      </c>
      <c r="E170" s="183">
        <v>1159.5</v>
      </c>
      <c r="F170" s="184">
        <v>1108.5</v>
      </c>
      <c r="G170" s="184">
        <v>1159.5</v>
      </c>
      <c r="H170" s="184">
        <v>672</v>
      </c>
      <c r="I170" s="184">
        <v>1528</v>
      </c>
      <c r="J170" s="184">
        <v>850.2</v>
      </c>
      <c r="K170" s="184">
        <v>1333</v>
      </c>
      <c r="L170" s="184">
        <v>283.60000000000002</v>
      </c>
      <c r="M170" s="185">
        <v>25.6</v>
      </c>
      <c r="N170" s="186">
        <f t="shared" si="4"/>
        <v>1108.5</v>
      </c>
      <c r="O170" s="180">
        <f t="shared" si="5"/>
        <v>-4.3984476067270378E-2</v>
      </c>
      <c r="P170" s="180"/>
      <c r="Q170" s="180"/>
      <c r="R170" s="180"/>
      <c r="S170" s="180"/>
      <c r="T170" s="180"/>
      <c r="U170" s="180"/>
      <c r="V170" s="180"/>
      <c r="W170" s="180"/>
      <c r="X170" s="180"/>
      <c r="Y170" s="180"/>
    </row>
    <row r="171" spans="1:25">
      <c r="A171" s="187" t="s">
        <v>4158</v>
      </c>
      <c r="B171" s="187" t="s">
        <v>4210</v>
      </c>
      <c r="C171" s="187" t="s">
        <v>4197</v>
      </c>
      <c r="D171" s="188">
        <v>17</v>
      </c>
      <c r="E171" s="183">
        <v>1120</v>
      </c>
      <c r="F171" s="189">
        <v>1194.4000000000001</v>
      </c>
      <c r="G171" s="189">
        <v>1120</v>
      </c>
      <c r="H171" s="189">
        <v>763</v>
      </c>
      <c r="I171" s="189">
        <v>1600</v>
      </c>
      <c r="J171" s="189">
        <v>969</v>
      </c>
      <c r="K171" s="189">
        <v>1329</v>
      </c>
      <c r="L171" s="189">
        <v>266.39999999999998</v>
      </c>
      <c r="M171" s="190">
        <v>22.3</v>
      </c>
      <c r="N171" s="186">
        <f t="shared" si="4"/>
        <v>1194.4000000000001</v>
      </c>
      <c r="O171" s="180">
        <f t="shared" si="5"/>
        <v>6.6428571428571503E-2</v>
      </c>
      <c r="P171" s="180"/>
      <c r="Q171" s="180"/>
      <c r="R171" s="180"/>
      <c r="S171" s="180"/>
      <c r="T171" s="180"/>
      <c r="U171" s="180"/>
      <c r="V171" s="180"/>
      <c r="W171" s="180"/>
      <c r="X171" s="180"/>
      <c r="Y171" s="180"/>
    </row>
    <row r="172" spans="1:25">
      <c r="A172" s="181" t="s">
        <v>4158</v>
      </c>
      <c r="B172" s="181" t="s">
        <v>4210</v>
      </c>
      <c r="C172" s="181" t="s">
        <v>4184</v>
      </c>
      <c r="D172" s="182">
        <v>23</v>
      </c>
      <c r="E172" s="183">
        <v>967</v>
      </c>
      <c r="F172" s="184">
        <v>995</v>
      </c>
      <c r="G172" s="184">
        <v>967</v>
      </c>
      <c r="H172" s="184">
        <v>742</v>
      </c>
      <c r="I172" s="184">
        <v>1341</v>
      </c>
      <c r="J172" s="184">
        <v>889</v>
      </c>
      <c r="K172" s="184">
        <v>1093.5</v>
      </c>
      <c r="L172" s="184">
        <v>172.1</v>
      </c>
      <c r="M172" s="185">
        <v>17.3</v>
      </c>
      <c r="N172" s="186">
        <f t="shared" si="4"/>
        <v>967</v>
      </c>
      <c r="O172" s="180">
        <f t="shared" si="5"/>
        <v>0</v>
      </c>
      <c r="P172" s="180"/>
      <c r="Q172" s="180"/>
      <c r="R172" s="180"/>
      <c r="S172" s="180"/>
      <c r="T172" s="180"/>
      <c r="U172" s="180"/>
      <c r="V172" s="180"/>
      <c r="W172" s="180"/>
      <c r="X172" s="180"/>
      <c r="Y172" s="180"/>
    </row>
    <row r="173" spans="1:25">
      <c r="A173" s="187" t="s">
        <v>4158</v>
      </c>
      <c r="B173" s="187" t="s">
        <v>4210</v>
      </c>
      <c r="C173" s="187" t="s">
        <v>4186</v>
      </c>
      <c r="D173" s="188">
        <v>20</v>
      </c>
      <c r="E173" s="183">
        <v>735.5</v>
      </c>
      <c r="F173" s="189">
        <v>805.9</v>
      </c>
      <c r="G173" s="189">
        <v>735.5</v>
      </c>
      <c r="H173" s="189">
        <v>570</v>
      </c>
      <c r="I173" s="189">
        <v>1332</v>
      </c>
      <c r="J173" s="189">
        <v>627.5</v>
      </c>
      <c r="K173" s="189">
        <v>944</v>
      </c>
      <c r="L173" s="189">
        <v>224.4</v>
      </c>
      <c r="M173" s="190">
        <v>27.9</v>
      </c>
      <c r="N173" s="186">
        <f t="shared" si="4"/>
        <v>805.9</v>
      </c>
      <c r="O173" s="180">
        <f t="shared" si="5"/>
        <v>9.5717199184228385E-2</v>
      </c>
      <c r="P173" s="180"/>
      <c r="Q173" s="180"/>
      <c r="R173" s="180"/>
      <c r="S173" s="180"/>
      <c r="T173" s="180"/>
      <c r="U173" s="180"/>
      <c r="V173" s="180"/>
      <c r="W173" s="180"/>
      <c r="X173" s="180"/>
      <c r="Y173" s="180"/>
    </row>
    <row r="174" spans="1:25">
      <c r="A174" s="181" t="s">
        <v>4158</v>
      </c>
      <c r="B174" s="181" t="s">
        <v>4210</v>
      </c>
      <c r="C174" s="181" t="s">
        <v>4165</v>
      </c>
      <c r="D174" s="182">
        <v>20</v>
      </c>
      <c r="E174" s="183">
        <v>929</v>
      </c>
      <c r="F174" s="184">
        <v>1011.3</v>
      </c>
      <c r="G174" s="184">
        <v>929</v>
      </c>
      <c r="H174" s="184">
        <v>632</v>
      </c>
      <c r="I174" s="184">
        <v>1775</v>
      </c>
      <c r="J174" s="184">
        <v>713</v>
      </c>
      <c r="K174" s="184">
        <v>1207.8</v>
      </c>
      <c r="L174" s="184">
        <v>357.5</v>
      </c>
      <c r="M174" s="185">
        <v>35.299999999999997</v>
      </c>
      <c r="N174" s="186">
        <f t="shared" si="4"/>
        <v>960.4</v>
      </c>
      <c r="O174" s="180">
        <f t="shared" si="5"/>
        <v>3.3799784714747018E-2</v>
      </c>
      <c r="P174" s="180"/>
      <c r="Q174" s="180"/>
      <c r="R174" s="180"/>
      <c r="S174" s="180"/>
      <c r="T174" s="180"/>
      <c r="U174" s="180"/>
      <c r="V174" s="180"/>
      <c r="W174" s="180"/>
      <c r="X174" s="180"/>
      <c r="Y174" s="180"/>
    </row>
    <row r="175" spans="1:25">
      <c r="A175" s="187" t="s">
        <v>4158</v>
      </c>
      <c r="B175" s="187" t="s">
        <v>4210</v>
      </c>
      <c r="C175" s="187" t="s">
        <v>4190</v>
      </c>
      <c r="D175" s="188">
        <v>24</v>
      </c>
      <c r="E175" s="183">
        <v>753</v>
      </c>
      <c r="F175" s="189">
        <v>785.8</v>
      </c>
      <c r="G175" s="189">
        <v>753</v>
      </c>
      <c r="H175" s="189">
        <v>600</v>
      </c>
      <c r="I175" s="189">
        <v>1379</v>
      </c>
      <c r="J175" s="189">
        <v>689.8</v>
      </c>
      <c r="K175" s="189">
        <v>824.5</v>
      </c>
      <c r="L175" s="189">
        <v>172.8</v>
      </c>
      <c r="M175" s="190">
        <v>22</v>
      </c>
      <c r="N175" s="186">
        <f t="shared" si="4"/>
        <v>785.8</v>
      </c>
      <c r="O175" s="180">
        <f t="shared" si="5"/>
        <v>4.3559096945551067E-2</v>
      </c>
      <c r="P175" s="180"/>
      <c r="Q175" s="180"/>
      <c r="R175" s="180"/>
      <c r="S175" s="180"/>
      <c r="T175" s="180"/>
      <c r="U175" s="180"/>
      <c r="V175" s="180"/>
      <c r="W175" s="180"/>
      <c r="X175" s="180"/>
      <c r="Y175" s="180"/>
    </row>
    <row r="176" spans="1:25">
      <c r="A176" s="181" t="s">
        <v>4158</v>
      </c>
      <c r="B176" s="181" t="s">
        <v>4210</v>
      </c>
      <c r="C176" s="181" t="s">
        <v>4206</v>
      </c>
      <c r="D176" s="182">
        <v>2</v>
      </c>
      <c r="E176" s="183">
        <v>1330</v>
      </c>
      <c r="F176" s="184">
        <v>1330</v>
      </c>
      <c r="G176" s="184">
        <v>1330</v>
      </c>
      <c r="H176" s="184">
        <v>960</v>
      </c>
      <c r="I176" s="184">
        <v>1700</v>
      </c>
      <c r="J176" s="184">
        <v>1145</v>
      </c>
      <c r="K176" s="184">
        <v>1515</v>
      </c>
      <c r="L176" s="184">
        <v>523.29999999999995</v>
      </c>
      <c r="M176" s="185">
        <v>39.299999999999997</v>
      </c>
      <c r="N176" s="186">
        <f t="shared" si="4"/>
        <v>1330</v>
      </c>
      <c r="O176" s="180">
        <f t="shared" si="5"/>
        <v>0</v>
      </c>
      <c r="P176" s="180"/>
      <c r="Q176" s="180"/>
      <c r="R176" s="180"/>
      <c r="S176" s="180"/>
      <c r="T176" s="180"/>
      <c r="U176" s="180"/>
      <c r="V176" s="180"/>
      <c r="W176" s="180"/>
      <c r="X176" s="180"/>
      <c r="Y176" s="180"/>
    </row>
    <row r="177" spans="1:25">
      <c r="A177" s="187" t="s">
        <v>4158</v>
      </c>
      <c r="B177" s="187" t="s">
        <v>4210</v>
      </c>
      <c r="C177" s="187" t="s">
        <v>4191</v>
      </c>
      <c r="D177" s="188">
        <v>20</v>
      </c>
      <c r="E177" s="183">
        <v>802</v>
      </c>
      <c r="F177" s="189">
        <v>1028.9000000000001</v>
      </c>
      <c r="G177" s="189">
        <v>802</v>
      </c>
      <c r="H177" s="189">
        <v>587</v>
      </c>
      <c r="I177" s="189">
        <v>2500</v>
      </c>
      <c r="J177" s="189">
        <v>621</v>
      </c>
      <c r="K177" s="189">
        <v>1305</v>
      </c>
      <c r="L177" s="189">
        <v>534.4</v>
      </c>
      <c r="M177" s="190">
        <v>51.9</v>
      </c>
      <c r="N177" s="186">
        <f t="shared" si="4"/>
        <v>963</v>
      </c>
      <c r="O177" s="180">
        <f t="shared" si="5"/>
        <v>0.20074812967581046</v>
      </c>
      <c r="P177" s="180"/>
      <c r="Q177" s="180"/>
      <c r="R177" s="180"/>
      <c r="S177" s="180"/>
      <c r="T177" s="180"/>
      <c r="U177" s="180"/>
      <c r="V177" s="180"/>
      <c r="W177" s="180"/>
      <c r="X177" s="180"/>
      <c r="Y177" s="180"/>
    </row>
    <row r="178" spans="1:25">
      <c r="A178" s="181" t="s">
        <v>4158</v>
      </c>
      <c r="B178" s="181" t="s">
        <v>4210</v>
      </c>
      <c r="C178" s="181" t="s">
        <v>4168</v>
      </c>
      <c r="D178" s="182">
        <v>24</v>
      </c>
      <c r="E178" s="183">
        <v>1006.5</v>
      </c>
      <c r="F178" s="184">
        <v>1020.1</v>
      </c>
      <c r="G178" s="184">
        <v>1006.5</v>
      </c>
      <c r="H178" s="184">
        <v>640</v>
      </c>
      <c r="I178" s="184">
        <v>1481</v>
      </c>
      <c r="J178" s="184">
        <v>934.8</v>
      </c>
      <c r="K178" s="184">
        <v>1063</v>
      </c>
      <c r="L178" s="184">
        <v>195.4</v>
      </c>
      <c r="M178" s="185">
        <v>19.2</v>
      </c>
      <c r="N178" s="186">
        <f t="shared" si="4"/>
        <v>1006.5</v>
      </c>
      <c r="O178" s="180">
        <f t="shared" si="5"/>
        <v>0</v>
      </c>
      <c r="P178" s="180"/>
      <c r="Q178" s="180"/>
      <c r="R178" s="180"/>
      <c r="S178" s="180"/>
      <c r="T178" s="180"/>
      <c r="U178" s="180"/>
      <c r="V178" s="180"/>
      <c r="W178" s="180"/>
      <c r="X178" s="180"/>
      <c r="Y178" s="180"/>
    </row>
    <row r="179" spans="1:25">
      <c r="A179" s="187" t="s">
        <v>4158</v>
      </c>
      <c r="B179" s="187" t="s">
        <v>4210</v>
      </c>
      <c r="C179" s="187" t="s">
        <v>4170</v>
      </c>
      <c r="D179" s="188">
        <v>24</v>
      </c>
      <c r="E179" s="183">
        <v>1413.5</v>
      </c>
      <c r="F179" s="189">
        <v>1326</v>
      </c>
      <c r="G179" s="189">
        <v>1413.5</v>
      </c>
      <c r="H179" s="189">
        <v>743</v>
      </c>
      <c r="I179" s="189">
        <v>1817</v>
      </c>
      <c r="J179" s="189">
        <v>1088.8</v>
      </c>
      <c r="K179" s="189">
        <v>1540</v>
      </c>
      <c r="L179" s="189">
        <v>302.3</v>
      </c>
      <c r="M179" s="190">
        <v>22.8</v>
      </c>
      <c r="N179" s="186">
        <f t="shared" si="4"/>
        <v>1326</v>
      </c>
      <c r="O179" s="180">
        <f t="shared" si="5"/>
        <v>-6.1903077467279799E-2</v>
      </c>
      <c r="P179" s="180"/>
      <c r="Q179" s="180"/>
      <c r="R179" s="180"/>
      <c r="S179" s="180"/>
      <c r="T179" s="180"/>
      <c r="U179" s="180"/>
      <c r="V179" s="180"/>
      <c r="W179" s="180"/>
      <c r="X179" s="180"/>
      <c r="Y179" s="180"/>
    </row>
    <row r="180" spans="1:25">
      <c r="A180" s="181" t="s">
        <v>4158</v>
      </c>
      <c r="B180" s="181" t="s">
        <v>4210</v>
      </c>
      <c r="C180" s="181" t="s">
        <v>4200</v>
      </c>
      <c r="D180" s="182">
        <v>10</v>
      </c>
      <c r="E180" s="183">
        <v>1484.5</v>
      </c>
      <c r="F180" s="184">
        <v>1614</v>
      </c>
      <c r="G180" s="184">
        <v>1484.5</v>
      </c>
      <c r="H180" s="184">
        <v>740</v>
      </c>
      <c r="I180" s="184">
        <v>2500</v>
      </c>
      <c r="J180" s="184">
        <v>1400</v>
      </c>
      <c r="K180" s="184">
        <v>1681.2</v>
      </c>
      <c r="L180" s="184">
        <v>534.20000000000005</v>
      </c>
      <c r="M180" s="185">
        <v>33.1</v>
      </c>
      <c r="N180" s="186">
        <f t="shared" si="4"/>
        <v>1614</v>
      </c>
      <c r="O180" s="180">
        <f t="shared" si="5"/>
        <v>8.723475917817447E-2</v>
      </c>
      <c r="P180" s="180"/>
      <c r="Q180" s="180"/>
      <c r="R180" s="180"/>
      <c r="S180" s="180"/>
      <c r="T180" s="180"/>
      <c r="U180" s="180"/>
      <c r="V180" s="180"/>
      <c r="W180" s="180"/>
      <c r="X180" s="180"/>
      <c r="Y180" s="180"/>
    </row>
    <row r="181" spans="1:25">
      <c r="A181" s="187" t="s">
        <v>4211</v>
      </c>
      <c r="B181" s="187" t="s">
        <v>4212</v>
      </c>
      <c r="C181" s="187" t="s">
        <v>4182</v>
      </c>
      <c r="D181" s="188">
        <v>24</v>
      </c>
      <c r="E181" s="183">
        <v>2563.5</v>
      </c>
      <c r="F181" s="189">
        <v>2466.6</v>
      </c>
      <c r="G181" s="189">
        <v>2563.5</v>
      </c>
      <c r="H181" s="189">
        <v>1637</v>
      </c>
      <c r="I181" s="189">
        <v>3273</v>
      </c>
      <c r="J181" s="189">
        <v>2157.1999999999998</v>
      </c>
      <c r="K181" s="189">
        <v>2794.5</v>
      </c>
      <c r="L181" s="189">
        <v>467.4</v>
      </c>
      <c r="M181" s="190">
        <v>18.899999999999999</v>
      </c>
      <c r="N181" s="186">
        <f t="shared" si="4"/>
        <v>2563.5</v>
      </c>
      <c r="O181" s="180">
        <f t="shared" si="5"/>
        <v>0</v>
      </c>
      <c r="P181" s="180"/>
      <c r="Q181" s="180"/>
      <c r="R181" s="180"/>
      <c r="S181" s="180"/>
      <c r="T181" s="180"/>
      <c r="U181" s="180"/>
      <c r="V181" s="180"/>
      <c r="W181" s="180"/>
      <c r="X181" s="180"/>
      <c r="Y181" s="180"/>
    </row>
    <row r="182" spans="1:25">
      <c r="A182" s="181" t="s">
        <v>4211</v>
      </c>
      <c r="B182" s="181" t="s">
        <v>4212</v>
      </c>
      <c r="C182" s="181" t="s">
        <v>4188</v>
      </c>
      <c r="D182" s="182">
        <v>24</v>
      </c>
      <c r="E182" s="183">
        <v>2234</v>
      </c>
      <c r="F182" s="184">
        <v>2279</v>
      </c>
      <c r="G182" s="184">
        <v>2234</v>
      </c>
      <c r="H182" s="184">
        <v>1550</v>
      </c>
      <c r="I182" s="184">
        <v>3056</v>
      </c>
      <c r="J182" s="184">
        <v>1834.5</v>
      </c>
      <c r="K182" s="184">
        <v>2693</v>
      </c>
      <c r="L182" s="184">
        <v>461.5</v>
      </c>
      <c r="M182" s="185">
        <v>20.3</v>
      </c>
      <c r="N182" s="186">
        <f t="shared" si="4"/>
        <v>2279</v>
      </c>
      <c r="O182" s="180">
        <f t="shared" si="5"/>
        <v>2.0143240823634737E-2</v>
      </c>
      <c r="P182" s="180"/>
      <c r="Q182" s="180"/>
      <c r="R182" s="180"/>
      <c r="S182" s="180"/>
      <c r="T182" s="180"/>
      <c r="U182" s="180"/>
      <c r="V182" s="180"/>
      <c r="W182" s="180"/>
      <c r="X182" s="180"/>
      <c r="Y182" s="180"/>
    </row>
    <row r="183" spans="1:25">
      <c r="A183" s="187" t="s">
        <v>4211</v>
      </c>
      <c r="B183" s="187" t="s">
        <v>4212</v>
      </c>
      <c r="C183" s="187" t="s">
        <v>4189</v>
      </c>
      <c r="D183" s="188">
        <v>24</v>
      </c>
      <c r="E183" s="183">
        <v>2246</v>
      </c>
      <c r="F183" s="189">
        <v>2313.4</v>
      </c>
      <c r="G183" s="189">
        <v>2246</v>
      </c>
      <c r="H183" s="189">
        <v>1665</v>
      </c>
      <c r="I183" s="189">
        <v>3038</v>
      </c>
      <c r="J183" s="189">
        <v>1895.2</v>
      </c>
      <c r="K183" s="189">
        <v>2713.5</v>
      </c>
      <c r="L183" s="189">
        <v>446.4</v>
      </c>
      <c r="M183" s="190">
        <v>19.3</v>
      </c>
      <c r="N183" s="186">
        <f t="shared" si="4"/>
        <v>2246</v>
      </c>
      <c r="O183" s="180">
        <f t="shared" si="5"/>
        <v>0</v>
      </c>
      <c r="P183" s="180"/>
      <c r="Q183" s="180"/>
      <c r="R183" s="180"/>
      <c r="S183" s="180"/>
      <c r="T183" s="180"/>
      <c r="U183" s="180"/>
      <c r="V183" s="180"/>
      <c r="W183" s="180"/>
      <c r="X183" s="180"/>
      <c r="Y183" s="180"/>
    </row>
    <row r="184" spans="1:25">
      <c r="A184" s="181" t="s">
        <v>4211</v>
      </c>
      <c r="B184" s="181" t="s">
        <v>4213</v>
      </c>
      <c r="C184" s="181" t="s">
        <v>4201</v>
      </c>
      <c r="D184" s="182">
        <v>24</v>
      </c>
      <c r="E184" s="183">
        <v>1813.5</v>
      </c>
      <c r="F184" s="184">
        <v>1887.6</v>
      </c>
      <c r="G184" s="184">
        <v>1813.5</v>
      </c>
      <c r="H184" s="184">
        <v>1323</v>
      </c>
      <c r="I184" s="184">
        <v>2965</v>
      </c>
      <c r="J184" s="184">
        <v>1510.5</v>
      </c>
      <c r="K184" s="184">
        <v>2240.8000000000002</v>
      </c>
      <c r="L184" s="184">
        <v>453.9</v>
      </c>
      <c r="M184" s="185">
        <v>24</v>
      </c>
      <c r="N184" s="186">
        <f t="shared" si="4"/>
        <v>1887.6</v>
      </c>
      <c r="O184" s="180">
        <f t="shared" si="5"/>
        <v>4.0860215053763388E-2</v>
      </c>
      <c r="P184" s="180"/>
      <c r="Q184" s="180"/>
      <c r="R184" s="180"/>
      <c r="S184" s="180"/>
      <c r="T184" s="180"/>
      <c r="U184" s="180"/>
      <c r="V184" s="180"/>
      <c r="W184" s="180"/>
      <c r="X184" s="180"/>
      <c r="Y184" s="180"/>
    </row>
    <row r="185" spans="1:25">
      <c r="A185" s="187" t="s">
        <v>4211</v>
      </c>
      <c r="B185" s="187" t="s">
        <v>4213</v>
      </c>
      <c r="C185" s="187" t="s">
        <v>4178</v>
      </c>
      <c r="D185" s="188">
        <v>24</v>
      </c>
      <c r="E185" s="183">
        <v>2247</v>
      </c>
      <c r="F185" s="189">
        <v>2361.8000000000002</v>
      </c>
      <c r="G185" s="189">
        <v>2247</v>
      </c>
      <c r="H185" s="189">
        <v>1711</v>
      </c>
      <c r="I185" s="189">
        <v>3129</v>
      </c>
      <c r="J185" s="189">
        <v>2025.2</v>
      </c>
      <c r="K185" s="189">
        <v>2774</v>
      </c>
      <c r="L185" s="189">
        <v>433.3</v>
      </c>
      <c r="M185" s="190">
        <v>18.3</v>
      </c>
      <c r="N185" s="186">
        <f t="shared" si="4"/>
        <v>2247</v>
      </c>
      <c r="O185" s="180">
        <f t="shared" si="5"/>
        <v>0</v>
      </c>
      <c r="P185" s="180"/>
      <c r="Q185" s="180"/>
      <c r="R185" s="180"/>
      <c r="S185" s="180"/>
      <c r="T185" s="180"/>
      <c r="U185" s="180"/>
      <c r="V185" s="180"/>
      <c r="W185" s="180"/>
      <c r="X185" s="180"/>
      <c r="Y185" s="180"/>
    </row>
    <row r="186" spans="1:25">
      <c r="A186" s="181" t="s">
        <v>4211</v>
      </c>
      <c r="B186" s="181" t="s">
        <v>4213</v>
      </c>
      <c r="C186" s="181" t="s">
        <v>4182</v>
      </c>
      <c r="D186" s="182">
        <v>24</v>
      </c>
      <c r="E186" s="183">
        <v>2563.5</v>
      </c>
      <c r="F186" s="184">
        <v>2467.4</v>
      </c>
      <c r="G186" s="184">
        <v>2563.5</v>
      </c>
      <c r="H186" s="184">
        <v>1637</v>
      </c>
      <c r="I186" s="184">
        <v>3273</v>
      </c>
      <c r="J186" s="184">
        <v>2157.1999999999998</v>
      </c>
      <c r="K186" s="184">
        <v>2794.5</v>
      </c>
      <c r="L186" s="184">
        <v>467.7</v>
      </c>
      <c r="M186" s="185">
        <v>19</v>
      </c>
      <c r="N186" s="186">
        <f t="shared" si="4"/>
        <v>2563.5</v>
      </c>
      <c r="O186" s="180">
        <f t="shared" si="5"/>
        <v>0</v>
      </c>
      <c r="P186" s="180"/>
      <c r="Q186" s="180"/>
      <c r="R186" s="180"/>
      <c r="S186" s="180"/>
      <c r="T186" s="180"/>
      <c r="U186" s="180"/>
      <c r="V186" s="180"/>
      <c r="W186" s="180"/>
      <c r="X186" s="180"/>
      <c r="Y186" s="180"/>
    </row>
    <row r="187" spans="1:25">
      <c r="A187" s="187" t="s">
        <v>4211</v>
      </c>
      <c r="B187" s="187" t="s">
        <v>4213</v>
      </c>
      <c r="C187" s="187" t="s">
        <v>4188</v>
      </c>
      <c r="D187" s="188">
        <v>24</v>
      </c>
      <c r="E187" s="183">
        <v>2234</v>
      </c>
      <c r="F187" s="189">
        <v>2279.1999999999998</v>
      </c>
      <c r="G187" s="189">
        <v>2234</v>
      </c>
      <c r="H187" s="189">
        <v>1550</v>
      </c>
      <c r="I187" s="189">
        <v>3056</v>
      </c>
      <c r="J187" s="189">
        <v>1834.5</v>
      </c>
      <c r="K187" s="189">
        <v>2693</v>
      </c>
      <c r="L187" s="189">
        <v>461.7</v>
      </c>
      <c r="M187" s="190">
        <v>20.3</v>
      </c>
      <c r="N187" s="186">
        <f t="shared" si="4"/>
        <v>2279.1999999999998</v>
      </c>
      <c r="O187" s="180">
        <f t="shared" si="5"/>
        <v>2.0232766338406365E-2</v>
      </c>
      <c r="P187" s="180"/>
      <c r="Q187" s="180"/>
      <c r="R187" s="180"/>
      <c r="S187" s="180"/>
      <c r="T187" s="180"/>
      <c r="U187" s="180"/>
      <c r="V187" s="180"/>
      <c r="W187" s="180"/>
      <c r="X187" s="180"/>
      <c r="Y187" s="180"/>
    </row>
    <row r="188" spans="1:25">
      <c r="A188" s="181" t="s">
        <v>4211</v>
      </c>
      <c r="B188" s="181" t="s">
        <v>4213</v>
      </c>
      <c r="C188" s="181" t="s">
        <v>4189</v>
      </c>
      <c r="D188" s="182">
        <v>24</v>
      </c>
      <c r="E188" s="183">
        <v>2246</v>
      </c>
      <c r="F188" s="184">
        <v>2313.6999999999998</v>
      </c>
      <c r="G188" s="184">
        <v>2246</v>
      </c>
      <c r="H188" s="184">
        <v>1665</v>
      </c>
      <c r="I188" s="184">
        <v>3038</v>
      </c>
      <c r="J188" s="184">
        <v>1895.2</v>
      </c>
      <c r="K188" s="184">
        <v>2713.5</v>
      </c>
      <c r="L188" s="184">
        <v>446</v>
      </c>
      <c r="M188" s="185">
        <v>19.3</v>
      </c>
      <c r="N188" s="186">
        <f t="shared" si="4"/>
        <v>2246</v>
      </c>
      <c r="O188" s="180">
        <f t="shared" si="5"/>
        <v>0</v>
      </c>
      <c r="P188" s="180"/>
      <c r="Q188" s="180"/>
      <c r="R188" s="180"/>
      <c r="S188" s="180"/>
      <c r="T188" s="180"/>
      <c r="U188" s="180"/>
      <c r="V188" s="180"/>
      <c r="W188" s="180"/>
      <c r="X188" s="180"/>
      <c r="Y188" s="180"/>
    </row>
    <row r="189" spans="1:25">
      <c r="A189" s="187" t="s">
        <v>4211</v>
      </c>
      <c r="B189" s="187" t="s">
        <v>4214</v>
      </c>
      <c r="C189" s="187" t="s">
        <v>4163</v>
      </c>
      <c r="D189" s="188">
        <v>12</v>
      </c>
      <c r="E189" s="183">
        <v>1311</v>
      </c>
      <c r="F189" s="189">
        <v>1493.8</v>
      </c>
      <c r="G189" s="189">
        <v>1311</v>
      </c>
      <c r="H189" s="189">
        <v>1230</v>
      </c>
      <c r="I189" s="189">
        <v>2522</v>
      </c>
      <c r="J189" s="189">
        <v>1260.2</v>
      </c>
      <c r="K189" s="189">
        <v>1572.2</v>
      </c>
      <c r="L189" s="189">
        <v>377.2</v>
      </c>
      <c r="M189" s="190">
        <v>25.2</v>
      </c>
      <c r="N189" s="186">
        <f t="shared" si="4"/>
        <v>1493.8</v>
      </c>
      <c r="O189" s="180">
        <f t="shared" si="5"/>
        <v>0.13943554538520211</v>
      </c>
      <c r="P189" s="180"/>
      <c r="Q189" s="180"/>
      <c r="R189" s="180"/>
      <c r="S189" s="180"/>
      <c r="T189" s="180"/>
      <c r="U189" s="180"/>
      <c r="V189" s="180"/>
      <c r="W189" s="180"/>
      <c r="X189" s="180"/>
      <c r="Y189" s="180"/>
    </row>
    <row r="190" spans="1:25">
      <c r="A190" s="181" t="s">
        <v>4211</v>
      </c>
      <c r="B190" s="181" t="s">
        <v>4214</v>
      </c>
      <c r="C190" s="181" t="s">
        <v>4190</v>
      </c>
      <c r="D190" s="182">
        <v>12</v>
      </c>
      <c r="E190" s="183">
        <v>1009.5</v>
      </c>
      <c r="F190" s="184">
        <v>1069.3</v>
      </c>
      <c r="G190" s="184">
        <v>1009.5</v>
      </c>
      <c r="H190" s="184">
        <v>761</v>
      </c>
      <c r="I190" s="184">
        <v>1478</v>
      </c>
      <c r="J190" s="184">
        <v>894.2</v>
      </c>
      <c r="K190" s="184">
        <v>1266.5</v>
      </c>
      <c r="L190" s="184">
        <v>231.9</v>
      </c>
      <c r="M190" s="185">
        <v>21.7</v>
      </c>
      <c r="N190" s="186">
        <f t="shared" si="4"/>
        <v>1069.3</v>
      </c>
      <c r="O190" s="180">
        <f t="shared" si="5"/>
        <v>5.9237246161466028E-2</v>
      </c>
      <c r="P190" s="180"/>
      <c r="Q190" s="180"/>
      <c r="R190" s="180"/>
      <c r="S190" s="180"/>
      <c r="T190" s="180"/>
      <c r="U190" s="180"/>
      <c r="V190" s="180"/>
      <c r="W190" s="180"/>
      <c r="X190" s="180"/>
      <c r="Y190" s="180"/>
    </row>
    <row r="191" spans="1:25">
      <c r="A191" s="187" t="s">
        <v>4211</v>
      </c>
      <c r="B191" s="187" t="s">
        <v>4214</v>
      </c>
      <c r="C191" s="187" t="s">
        <v>4168</v>
      </c>
      <c r="D191" s="188">
        <v>12</v>
      </c>
      <c r="E191" s="183">
        <v>1670</v>
      </c>
      <c r="F191" s="189">
        <v>1599.2</v>
      </c>
      <c r="G191" s="189">
        <v>1670</v>
      </c>
      <c r="H191" s="189">
        <v>1056</v>
      </c>
      <c r="I191" s="189">
        <v>2200</v>
      </c>
      <c r="J191" s="189">
        <v>1278.5</v>
      </c>
      <c r="K191" s="189">
        <v>1816.8</v>
      </c>
      <c r="L191" s="189">
        <v>363</v>
      </c>
      <c r="M191" s="190">
        <v>22.7</v>
      </c>
      <c r="N191" s="186">
        <f t="shared" si="4"/>
        <v>1599.2</v>
      </c>
      <c r="O191" s="180">
        <f t="shared" si="5"/>
        <v>-4.2395209580838297E-2</v>
      </c>
      <c r="P191" s="180"/>
      <c r="Q191" s="180"/>
      <c r="R191" s="180"/>
      <c r="S191" s="180"/>
      <c r="T191" s="180"/>
      <c r="U191" s="180"/>
      <c r="V191" s="180"/>
      <c r="W191" s="180"/>
      <c r="X191" s="180"/>
      <c r="Y191" s="180"/>
    </row>
    <row r="192" spans="1:25">
      <c r="A192" s="187"/>
      <c r="B192" s="187" t="s">
        <v>4339</v>
      </c>
      <c r="C192" s="187" t="s">
        <v>4340</v>
      </c>
      <c r="D192" s="188">
        <v>193</v>
      </c>
      <c r="E192" s="183">
        <v>14765.8</v>
      </c>
      <c r="F192" s="189">
        <v>17847.3</v>
      </c>
      <c r="G192" s="189">
        <v>14765.8</v>
      </c>
      <c r="H192" s="189">
        <v>7789.2</v>
      </c>
      <c r="I192" s="189">
        <v>38636.699999999997</v>
      </c>
      <c r="J192" s="189">
        <v>11929.2</v>
      </c>
      <c r="K192" s="189">
        <v>28234.7</v>
      </c>
      <c r="L192" s="189">
        <v>8012.4</v>
      </c>
      <c r="M192" s="190">
        <v>0.44900000000000001</v>
      </c>
      <c r="N192" s="186">
        <f t="shared" si="4"/>
        <v>14765.8</v>
      </c>
      <c r="O192" s="180">
        <f t="shared" si="5"/>
        <v>0</v>
      </c>
      <c r="P192" s="180"/>
      <c r="Q192" s="180"/>
      <c r="R192" s="180"/>
      <c r="S192" s="180"/>
      <c r="T192" s="180"/>
      <c r="U192" s="180"/>
      <c r="V192" s="180"/>
      <c r="W192" s="180"/>
      <c r="X192" s="180"/>
      <c r="Y192" s="180"/>
    </row>
    <row r="193" spans="1:25">
      <c r="A193" s="187"/>
      <c r="B193" s="187" t="s">
        <v>4343</v>
      </c>
      <c r="C193" s="187" t="s">
        <v>4340</v>
      </c>
      <c r="D193" s="188">
        <v>60</v>
      </c>
      <c r="E193" s="183">
        <v>708.05</v>
      </c>
      <c r="F193" s="189">
        <v>736.08</v>
      </c>
      <c r="G193" s="189">
        <v>708.05</v>
      </c>
      <c r="H193" s="189">
        <v>546</v>
      </c>
      <c r="I193" s="189">
        <v>1065</v>
      </c>
      <c r="J193" s="189">
        <v>656</v>
      </c>
      <c r="K193" s="189">
        <v>813</v>
      </c>
      <c r="L193" s="189">
        <v>126.5</v>
      </c>
      <c r="M193" s="190">
        <v>0.1719</v>
      </c>
      <c r="N193" s="186">
        <f t="shared" si="4"/>
        <v>708.05</v>
      </c>
      <c r="O193" s="180">
        <f t="shared" si="5"/>
        <v>0</v>
      </c>
      <c r="P193" s="180"/>
      <c r="Q193" s="180"/>
      <c r="R193" s="180"/>
      <c r="S193" s="180"/>
      <c r="T193" s="180"/>
      <c r="U193" s="180"/>
      <c r="V193" s="180"/>
      <c r="W193" s="180"/>
      <c r="X193" s="180"/>
      <c r="Y193" s="180"/>
    </row>
    <row r="198" spans="1:25">
      <c r="C198" s="24"/>
      <c r="D198" s="24"/>
      <c r="E198" s="24"/>
    </row>
    <row r="199" spans="1:25">
      <c r="C199" s="24"/>
      <c r="D199" s="41"/>
      <c r="E199" s="23"/>
    </row>
    <row r="200" spans="1:25">
      <c r="C200" s="24"/>
      <c r="D200" s="41"/>
      <c r="E200" s="23"/>
    </row>
    <row r="201" spans="1:25">
      <c r="C201" s="24"/>
      <c r="D201" s="41"/>
      <c r="E201" s="23"/>
    </row>
    <row r="202" spans="1:25">
      <c r="C202" s="24"/>
      <c r="D202" s="41"/>
      <c r="E202" s="23"/>
      <c r="F202" s="8"/>
    </row>
    <row r="203" spans="1:25">
      <c r="C203" s="24"/>
      <c r="D203" s="41"/>
      <c r="E203" s="23"/>
      <c r="F203" s="39"/>
    </row>
    <row r="204" spans="1:25">
      <c r="C204" s="24"/>
      <c r="D204" s="41"/>
      <c r="E204" s="23"/>
      <c r="F204" s="39"/>
    </row>
    <row r="205" spans="1:25">
      <c r="C205" s="24"/>
      <c r="D205" s="24"/>
      <c r="E205" s="23"/>
      <c r="F205" s="39"/>
    </row>
    <row r="206" spans="1:25">
      <c r="C206" s="24"/>
      <c r="D206" s="42"/>
      <c r="E206" s="23"/>
      <c r="F206" s="39"/>
    </row>
    <row r="207" spans="1:25">
      <c r="E207" s="38"/>
      <c r="F207" s="39"/>
    </row>
    <row r="208" spans="1:25">
      <c r="E208" s="38"/>
      <c r="F208" s="39"/>
    </row>
    <row r="209" spans="5:6">
      <c r="E209" s="38"/>
      <c r="F209" s="39"/>
    </row>
    <row r="210" spans="5:6">
      <c r="E210" s="38"/>
      <c r="F210" s="40"/>
    </row>
  </sheetData>
  <mergeCells count="1">
    <mergeCell ref="Q3:Y15"/>
  </mergeCells>
  <pageMargins left="0.75" right="0.75" top="1" bottom="1" header="0.511811023622047" footer="0.511811023622047"/>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66A08-EBBD-48C2-B63F-6C629ED27589}">
  <sheetPr codeName="Hoja6">
    <tabColor rgb="FFFFFF00"/>
  </sheetPr>
  <dimension ref="A1:S3199"/>
  <sheetViews>
    <sheetView showGridLines="0" zoomScale="63" zoomScaleNormal="63" workbookViewId="0">
      <pane ySplit="1" topLeftCell="A2" activePane="bottomLeft" state="frozen"/>
      <selection pane="bottomLeft" activeCell="E2929" sqref="E2929"/>
    </sheetView>
    <sheetView workbookViewId="1"/>
  </sheetViews>
  <sheetFormatPr baseColWidth="10" defaultColWidth="9" defaultRowHeight="14.25"/>
  <cols>
    <col min="1" max="2" width="22" customWidth="1"/>
    <col min="3" max="3" width="26" customWidth="1"/>
    <col min="4" max="4" width="14" customWidth="1"/>
    <col min="5" max="5" width="22" style="6" customWidth="1"/>
    <col min="6" max="7" width="26" customWidth="1"/>
    <col min="8" max="8" width="15.625" style="6" customWidth="1"/>
    <col min="9" max="9" width="14.875" style="6" customWidth="1"/>
    <col min="10" max="10" width="21.125" style="47" customWidth="1"/>
    <col min="11" max="11" width="9.875" customWidth="1"/>
  </cols>
  <sheetData>
    <row r="1" spans="1:19" ht="21.95" customHeight="1">
      <c r="A1" s="179" t="s">
        <v>5</v>
      </c>
      <c r="B1" s="179" t="s">
        <v>4068</v>
      </c>
      <c r="C1" s="179" t="s">
        <v>4069</v>
      </c>
      <c r="D1" s="179" t="s">
        <v>64</v>
      </c>
      <c r="E1" s="179" t="s">
        <v>4070</v>
      </c>
      <c r="F1" s="179" t="s">
        <v>4071</v>
      </c>
      <c r="G1" s="77" t="s">
        <v>4432</v>
      </c>
      <c r="H1" s="240" t="s">
        <v>4426</v>
      </c>
      <c r="I1" s="239" t="s">
        <v>4427</v>
      </c>
      <c r="J1" s="240" t="s">
        <v>4431</v>
      </c>
      <c r="K1" s="241"/>
      <c r="L1" s="241" t="s">
        <v>4428</v>
      </c>
      <c r="M1" s="197"/>
      <c r="N1" s="197"/>
      <c r="O1" s="197"/>
      <c r="P1" s="197"/>
      <c r="Q1" s="197"/>
      <c r="R1" s="197"/>
      <c r="S1" s="197"/>
    </row>
    <row r="2" spans="1:19" ht="18" customHeight="1">
      <c r="A2" s="27" t="s">
        <v>3831</v>
      </c>
      <c r="B2" s="27" t="s">
        <v>4072</v>
      </c>
      <c r="C2" s="27" t="s">
        <v>316</v>
      </c>
      <c r="D2" s="27" t="s">
        <v>172</v>
      </c>
      <c r="E2" s="28">
        <v>46378.17</v>
      </c>
      <c r="F2" s="27" t="s">
        <v>4073</v>
      </c>
      <c r="G2" s="48"/>
      <c r="H2" s="47" t="str">
        <f t="shared" ref="H2:H65" si="0">IF(OR(A2="Antioquia",A2="Bogotá, D.C.",A2="Boyacá",A2="Cundinamarca",A2="Caldas",A2="Risaralda",A2="Quindío",A2="Tolima",A2="Huila",A2="Santander",A2="Norte de Santander"),"ANDINA",
IF(OR(A2="Atlántico",A2="Bolívar",A2="Cesar",A2="Córdoba",A2="Sucre",A2="Magdalena"),"CARIBE",
IF(OR(A2="Valle del Cauca",A2="Cauca",A2="Nariño"),"PACIFICO",
IF(OR(A2="Meta",A2="Casanare",A2="Arauca"),"ORINOQUIA",
"AMAZONIA"))))</f>
        <v>ANDINA</v>
      </c>
      <c r="I2" s="6">
        <f t="shared" ref="I2:I65" si="1">IF(F2="Departamental",E2,
AVERAGEIFS($E:$E,$H:$H,H2,$B:$B,B2,$C:$C,C2))</f>
        <v>46393.717272727263</v>
      </c>
      <c r="J2" s="47">
        <f>IF(G2&lt;&gt;"",G2,I2)</f>
        <v>46393.717272727263</v>
      </c>
      <c r="L2" s="637" t="s">
        <v>4429</v>
      </c>
      <c r="M2" s="637"/>
      <c r="N2" s="637"/>
      <c r="O2" s="637"/>
      <c r="P2" s="637"/>
      <c r="Q2" s="637"/>
      <c r="R2" s="637"/>
      <c r="S2" s="637"/>
    </row>
    <row r="3" spans="1:19">
      <c r="A3" s="27" t="s">
        <v>3831</v>
      </c>
      <c r="B3" s="27" t="s">
        <v>137</v>
      </c>
      <c r="C3" s="27" t="s">
        <v>291</v>
      </c>
      <c r="D3" s="27" t="s">
        <v>172</v>
      </c>
      <c r="E3" s="28">
        <v>22086.61</v>
      </c>
      <c r="F3" s="27" t="s">
        <v>4073</v>
      </c>
      <c r="G3" s="48"/>
      <c r="H3" s="47" t="str">
        <f t="shared" si="0"/>
        <v>ANDINA</v>
      </c>
      <c r="I3" s="6">
        <f t="shared" si="1"/>
        <v>22820.238181818186</v>
      </c>
      <c r="J3" s="47">
        <f t="shared" ref="J3:J66" si="2">IF(G3&lt;&gt;"",G3,I3)</f>
        <v>22820.238181818186</v>
      </c>
      <c r="L3" s="637"/>
      <c r="M3" s="637"/>
      <c r="N3" s="637"/>
      <c r="O3" s="637"/>
      <c r="P3" s="637"/>
      <c r="Q3" s="637"/>
      <c r="R3" s="637"/>
      <c r="S3" s="637"/>
    </row>
    <row r="4" spans="1:19">
      <c r="A4" s="27" t="s">
        <v>3831</v>
      </c>
      <c r="B4" s="27" t="s">
        <v>137</v>
      </c>
      <c r="C4" s="27" t="s">
        <v>243</v>
      </c>
      <c r="D4" s="27" t="s">
        <v>172</v>
      </c>
      <c r="E4" s="28">
        <v>21080.63</v>
      </c>
      <c r="F4" s="27" t="s">
        <v>4074</v>
      </c>
      <c r="G4" s="48"/>
      <c r="H4" s="47" t="str">
        <f t="shared" si="0"/>
        <v>ANDINA</v>
      </c>
      <c r="I4" s="6">
        <f t="shared" si="1"/>
        <v>21080.63</v>
      </c>
      <c r="J4" s="47">
        <f t="shared" si="2"/>
        <v>21080.63</v>
      </c>
      <c r="L4" s="637"/>
      <c r="M4" s="637"/>
      <c r="N4" s="637"/>
      <c r="O4" s="637"/>
      <c r="P4" s="637"/>
      <c r="Q4" s="637"/>
      <c r="R4" s="637"/>
      <c r="S4" s="637"/>
    </row>
    <row r="5" spans="1:19">
      <c r="A5" s="27" t="s">
        <v>3831</v>
      </c>
      <c r="B5" s="27" t="s">
        <v>137</v>
      </c>
      <c r="C5" s="27" t="s">
        <v>237</v>
      </c>
      <c r="D5" s="27" t="s">
        <v>172</v>
      </c>
      <c r="E5" s="28">
        <v>28221.84</v>
      </c>
      <c r="F5" s="27" t="s">
        <v>4074</v>
      </c>
      <c r="G5" s="48"/>
      <c r="H5" s="47" t="str">
        <f t="shared" si="0"/>
        <v>ANDINA</v>
      </c>
      <c r="I5" s="6">
        <f t="shared" si="1"/>
        <v>28221.84</v>
      </c>
      <c r="J5" s="47">
        <f t="shared" si="2"/>
        <v>28221.84</v>
      </c>
      <c r="L5" s="637"/>
      <c r="M5" s="637"/>
      <c r="N5" s="637"/>
      <c r="O5" s="637"/>
      <c r="P5" s="637"/>
      <c r="Q5" s="637"/>
      <c r="R5" s="637"/>
      <c r="S5" s="637"/>
    </row>
    <row r="6" spans="1:19">
      <c r="A6" s="27" t="s">
        <v>3831</v>
      </c>
      <c r="B6" s="27" t="s">
        <v>137</v>
      </c>
      <c r="C6" s="27" t="s">
        <v>246</v>
      </c>
      <c r="D6" s="27" t="s">
        <v>172</v>
      </c>
      <c r="E6" s="28">
        <v>65385.32</v>
      </c>
      <c r="F6" s="27" t="s">
        <v>4074</v>
      </c>
      <c r="G6" s="48"/>
      <c r="H6" s="47" t="str">
        <f t="shared" si="0"/>
        <v>ANDINA</v>
      </c>
      <c r="I6" s="6">
        <f t="shared" si="1"/>
        <v>65385.32</v>
      </c>
      <c r="J6" s="47">
        <f t="shared" si="2"/>
        <v>65385.32</v>
      </c>
      <c r="L6" s="637"/>
      <c r="M6" s="637"/>
      <c r="N6" s="637"/>
      <c r="O6" s="637"/>
      <c r="P6" s="637"/>
      <c r="Q6" s="637"/>
      <c r="R6" s="637"/>
      <c r="S6" s="637"/>
    </row>
    <row r="7" spans="1:19">
      <c r="A7" s="27" t="s">
        <v>3831</v>
      </c>
      <c r="B7" s="27" t="s">
        <v>170</v>
      </c>
      <c r="C7" s="27" t="s">
        <v>259</v>
      </c>
      <c r="D7" s="27" t="s">
        <v>172</v>
      </c>
      <c r="E7" s="28">
        <v>238388.71</v>
      </c>
      <c r="F7" s="27" t="s">
        <v>4074</v>
      </c>
      <c r="G7" s="48"/>
      <c r="H7" s="47" t="str">
        <f t="shared" si="0"/>
        <v>ANDINA</v>
      </c>
      <c r="I7" s="6">
        <f t="shared" si="1"/>
        <v>238388.71</v>
      </c>
      <c r="J7" s="47">
        <f t="shared" si="2"/>
        <v>238388.71</v>
      </c>
      <c r="L7" s="637"/>
      <c r="M7" s="637"/>
      <c r="N7" s="637"/>
      <c r="O7" s="637"/>
      <c r="P7" s="637"/>
      <c r="Q7" s="637"/>
      <c r="R7" s="637"/>
      <c r="S7" s="637"/>
    </row>
    <row r="8" spans="1:19">
      <c r="A8" s="27" t="s">
        <v>3831</v>
      </c>
      <c r="B8" s="27" t="s">
        <v>170</v>
      </c>
      <c r="C8" s="27" t="s">
        <v>276</v>
      </c>
      <c r="D8" s="27" t="s">
        <v>172</v>
      </c>
      <c r="E8" s="28">
        <v>83813.89</v>
      </c>
      <c r="F8" s="27" t="s">
        <v>4074</v>
      </c>
      <c r="G8" s="48"/>
      <c r="H8" s="47" t="str">
        <f t="shared" si="0"/>
        <v>ANDINA</v>
      </c>
      <c r="I8" s="6">
        <f t="shared" si="1"/>
        <v>83813.89</v>
      </c>
      <c r="J8" s="47">
        <f t="shared" si="2"/>
        <v>83813.89</v>
      </c>
      <c r="L8" s="637"/>
      <c r="M8" s="637"/>
      <c r="N8" s="637"/>
      <c r="O8" s="637"/>
      <c r="P8" s="637"/>
      <c r="Q8" s="637"/>
      <c r="R8" s="637"/>
      <c r="S8" s="637"/>
    </row>
    <row r="9" spans="1:19">
      <c r="A9" s="27" t="s">
        <v>3831</v>
      </c>
      <c r="B9" s="27" t="s">
        <v>170</v>
      </c>
      <c r="C9" s="27" t="s">
        <v>240</v>
      </c>
      <c r="D9" s="27" t="s">
        <v>172</v>
      </c>
      <c r="E9" s="28">
        <v>23149.93</v>
      </c>
      <c r="F9" s="27" t="s">
        <v>4074</v>
      </c>
      <c r="G9" s="48"/>
      <c r="H9" s="47" t="str">
        <f t="shared" si="0"/>
        <v>ANDINA</v>
      </c>
      <c r="I9" s="6">
        <f t="shared" si="1"/>
        <v>23149.93</v>
      </c>
      <c r="J9" s="47">
        <f t="shared" si="2"/>
        <v>23149.93</v>
      </c>
      <c r="L9" s="637"/>
      <c r="M9" s="637"/>
      <c r="N9" s="637"/>
      <c r="O9" s="637"/>
      <c r="P9" s="637"/>
      <c r="Q9" s="637"/>
      <c r="R9" s="637"/>
      <c r="S9" s="637"/>
    </row>
    <row r="10" spans="1:19">
      <c r="A10" s="27" t="s">
        <v>3831</v>
      </c>
      <c r="B10" s="27" t="s">
        <v>170</v>
      </c>
      <c r="C10" s="27" t="s">
        <v>251</v>
      </c>
      <c r="D10" s="27" t="s">
        <v>226</v>
      </c>
      <c r="E10" s="28">
        <v>50900</v>
      </c>
      <c r="F10" s="27" t="s">
        <v>4074</v>
      </c>
      <c r="G10" s="48"/>
      <c r="H10" s="47" t="str">
        <f t="shared" si="0"/>
        <v>ANDINA</v>
      </c>
      <c r="I10" s="6">
        <f t="shared" si="1"/>
        <v>50900</v>
      </c>
      <c r="J10" s="47">
        <f t="shared" si="2"/>
        <v>50900</v>
      </c>
      <c r="L10" s="637"/>
      <c r="M10" s="637"/>
      <c r="N10" s="637"/>
      <c r="O10" s="637"/>
      <c r="P10" s="637"/>
      <c r="Q10" s="637"/>
      <c r="R10" s="637"/>
      <c r="S10" s="637"/>
    </row>
    <row r="11" spans="1:19">
      <c r="A11" s="27" t="s">
        <v>3831</v>
      </c>
      <c r="B11" s="27" t="s">
        <v>170</v>
      </c>
      <c r="C11" s="27" t="s">
        <v>256</v>
      </c>
      <c r="D11" s="27" t="s">
        <v>172</v>
      </c>
      <c r="E11" s="28">
        <v>27047.360000000001</v>
      </c>
      <c r="F11" s="27" t="s">
        <v>4074</v>
      </c>
      <c r="G11" s="48"/>
      <c r="H11" s="47" t="str">
        <f t="shared" si="0"/>
        <v>ANDINA</v>
      </c>
      <c r="I11" s="6">
        <f t="shared" si="1"/>
        <v>27047.360000000001</v>
      </c>
      <c r="J11" s="47">
        <f t="shared" si="2"/>
        <v>27047.360000000001</v>
      </c>
      <c r="L11" s="637"/>
      <c r="M11" s="637"/>
      <c r="N11" s="637"/>
      <c r="O11" s="637"/>
      <c r="P11" s="637"/>
      <c r="Q11" s="637"/>
      <c r="R11" s="637"/>
      <c r="S11" s="637"/>
    </row>
    <row r="12" spans="1:19">
      <c r="A12" s="27" t="s">
        <v>3831</v>
      </c>
      <c r="B12" s="27" t="s">
        <v>170</v>
      </c>
      <c r="C12" s="27" t="s">
        <v>311</v>
      </c>
      <c r="D12" s="27" t="s">
        <v>172</v>
      </c>
      <c r="E12" s="28">
        <v>36738.19</v>
      </c>
      <c r="F12" s="27" t="s">
        <v>4074</v>
      </c>
      <c r="G12" s="48"/>
      <c r="H12" s="47" t="str">
        <f t="shared" si="0"/>
        <v>ANDINA</v>
      </c>
      <c r="I12" s="6">
        <f t="shared" si="1"/>
        <v>36738.19</v>
      </c>
      <c r="J12" s="47">
        <f t="shared" si="2"/>
        <v>36738.19</v>
      </c>
      <c r="L12" s="637"/>
      <c r="M12" s="637"/>
      <c r="N12" s="637"/>
      <c r="O12" s="637"/>
      <c r="P12" s="637"/>
      <c r="Q12" s="637"/>
      <c r="R12" s="637"/>
      <c r="S12" s="637"/>
    </row>
    <row r="13" spans="1:19">
      <c r="A13" s="27" t="s">
        <v>3831</v>
      </c>
      <c r="B13" s="27" t="s">
        <v>170</v>
      </c>
      <c r="C13" s="27" t="s">
        <v>171</v>
      </c>
      <c r="D13" s="27" t="s">
        <v>172</v>
      </c>
      <c r="E13" s="28">
        <v>112220.5</v>
      </c>
      <c r="F13" s="27" t="s">
        <v>4074</v>
      </c>
      <c r="G13" s="48"/>
      <c r="H13" s="47" t="str">
        <f t="shared" si="0"/>
        <v>ANDINA</v>
      </c>
      <c r="I13" s="6">
        <f t="shared" si="1"/>
        <v>112220.5</v>
      </c>
      <c r="J13" s="47">
        <f t="shared" si="2"/>
        <v>112220.5</v>
      </c>
      <c r="L13" s="637"/>
      <c r="M13" s="637"/>
      <c r="N13" s="637"/>
      <c r="O13" s="637"/>
      <c r="P13" s="637"/>
      <c r="Q13" s="637"/>
      <c r="R13" s="637"/>
      <c r="S13" s="637"/>
    </row>
    <row r="14" spans="1:19">
      <c r="A14" s="27" t="s">
        <v>3831</v>
      </c>
      <c r="B14" s="27" t="s">
        <v>170</v>
      </c>
      <c r="C14" s="27" t="s">
        <v>252</v>
      </c>
      <c r="D14" s="27" t="s">
        <v>226</v>
      </c>
      <c r="E14" s="28">
        <v>19786.38</v>
      </c>
      <c r="F14" s="27" t="s">
        <v>4074</v>
      </c>
      <c r="G14" s="48"/>
      <c r="H14" s="47" t="str">
        <f t="shared" si="0"/>
        <v>ANDINA</v>
      </c>
      <c r="I14" s="6">
        <f t="shared" si="1"/>
        <v>19786.38</v>
      </c>
      <c r="J14" s="47">
        <f t="shared" si="2"/>
        <v>19786.38</v>
      </c>
      <c r="L14" s="637"/>
      <c r="M14" s="637"/>
      <c r="N14" s="637"/>
      <c r="O14" s="637"/>
      <c r="P14" s="637"/>
      <c r="Q14" s="637"/>
      <c r="R14" s="637"/>
      <c r="S14" s="637"/>
    </row>
    <row r="15" spans="1:19">
      <c r="A15" s="27" t="s">
        <v>3831</v>
      </c>
      <c r="B15" s="27" t="s">
        <v>170</v>
      </c>
      <c r="C15" s="27" t="s">
        <v>296</v>
      </c>
      <c r="D15" s="27" t="s">
        <v>226</v>
      </c>
      <c r="E15" s="28">
        <v>23167.62</v>
      </c>
      <c r="F15" s="27" t="s">
        <v>4073</v>
      </c>
      <c r="G15" s="48"/>
      <c r="H15" s="47" t="str">
        <f t="shared" si="0"/>
        <v>ANDINA</v>
      </c>
      <c r="I15" s="6">
        <f t="shared" si="1"/>
        <v>23368.076363636363</v>
      </c>
      <c r="J15" s="47">
        <f t="shared" si="2"/>
        <v>23368.076363636363</v>
      </c>
      <c r="L15" s="637"/>
      <c r="M15" s="637"/>
      <c r="N15" s="637"/>
      <c r="O15" s="637"/>
      <c r="P15" s="637"/>
      <c r="Q15" s="637"/>
      <c r="R15" s="637"/>
      <c r="S15" s="637"/>
    </row>
    <row r="16" spans="1:19">
      <c r="A16" s="27" t="s">
        <v>3831</v>
      </c>
      <c r="B16" s="27" t="s">
        <v>170</v>
      </c>
      <c r="C16" s="27" t="s">
        <v>173</v>
      </c>
      <c r="D16" s="27" t="s">
        <v>172</v>
      </c>
      <c r="E16" s="28">
        <v>150429.76999999999</v>
      </c>
      <c r="F16" s="27" t="s">
        <v>4074</v>
      </c>
      <c r="G16" s="48"/>
      <c r="H16" s="47" t="str">
        <f t="shared" si="0"/>
        <v>ANDINA</v>
      </c>
      <c r="I16" s="6">
        <f t="shared" si="1"/>
        <v>150429.76999999999</v>
      </c>
      <c r="J16" s="47">
        <f t="shared" si="2"/>
        <v>150429.76999999999</v>
      </c>
    </row>
    <row r="17" spans="1:19" ht="14.1" customHeight="1">
      <c r="A17" s="27" t="s">
        <v>3831</v>
      </c>
      <c r="B17" s="27" t="s">
        <v>170</v>
      </c>
      <c r="C17" s="27" t="s">
        <v>225</v>
      </c>
      <c r="D17" s="27" t="s">
        <v>226</v>
      </c>
      <c r="E17" s="28">
        <v>37023.54</v>
      </c>
      <c r="F17" s="27" t="s">
        <v>4074</v>
      </c>
      <c r="G17" s="48"/>
      <c r="H17" s="47" t="str">
        <f t="shared" si="0"/>
        <v>ANDINA</v>
      </c>
      <c r="I17" s="6">
        <f t="shared" si="1"/>
        <v>37023.54</v>
      </c>
      <c r="J17" s="47">
        <f t="shared" si="2"/>
        <v>37023.54</v>
      </c>
      <c r="L17" s="637" t="s">
        <v>4430</v>
      </c>
      <c r="M17" s="637"/>
      <c r="N17" s="637"/>
      <c r="O17" s="637"/>
      <c r="P17" s="637"/>
      <c r="Q17" s="637"/>
      <c r="R17" s="637"/>
      <c r="S17" s="637"/>
    </row>
    <row r="18" spans="1:19">
      <c r="A18" s="27" t="s">
        <v>3831</v>
      </c>
      <c r="B18" s="27" t="s">
        <v>176</v>
      </c>
      <c r="C18" s="27" t="s">
        <v>262</v>
      </c>
      <c r="D18" s="27" t="s">
        <v>172</v>
      </c>
      <c r="E18" s="28">
        <v>19100</v>
      </c>
      <c r="F18" s="27" t="s">
        <v>4074</v>
      </c>
      <c r="G18" s="48"/>
      <c r="H18" s="47" t="str">
        <f t="shared" si="0"/>
        <v>ANDINA</v>
      </c>
      <c r="I18" s="6">
        <f t="shared" si="1"/>
        <v>19100</v>
      </c>
      <c r="J18" s="47">
        <f t="shared" si="2"/>
        <v>19100</v>
      </c>
      <c r="L18" s="637"/>
      <c r="M18" s="637"/>
      <c r="N18" s="637"/>
      <c r="O18" s="637"/>
      <c r="P18" s="637"/>
      <c r="Q18" s="637"/>
      <c r="R18" s="637"/>
      <c r="S18" s="637"/>
    </row>
    <row r="19" spans="1:19">
      <c r="A19" s="27" t="s">
        <v>3831</v>
      </c>
      <c r="B19" s="27" t="s">
        <v>176</v>
      </c>
      <c r="C19" s="27" t="s">
        <v>253</v>
      </c>
      <c r="D19" s="27" t="s">
        <v>172</v>
      </c>
      <c r="E19" s="28">
        <v>24023.33</v>
      </c>
      <c r="F19" s="27" t="s">
        <v>4073</v>
      </c>
      <c r="G19" s="48"/>
      <c r="H19" s="47" t="str">
        <f t="shared" si="0"/>
        <v>ANDINA</v>
      </c>
      <c r="I19" s="6">
        <f t="shared" si="1"/>
        <v>25145.120909090914</v>
      </c>
      <c r="J19" s="47">
        <f t="shared" si="2"/>
        <v>25145.120909090914</v>
      </c>
      <c r="L19" s="637"/>
      <c r="M19" s="637"/>
      <c r="N19" s="637"/>
      <c r="O19" s="637"/>
      <c r="P19" s="637"/>
      <c r="Q19" s="637"/>
      <c r="R19" s="637"/>
      <c r="S19" s="637"/>
    </row>
    <row r="20" spans="1:19">
      <c r="A20" s="27" t="s">
        <v>3831</v>
      </c>
      <c r="B20" s="27" t="s">
        <v>176</v>
      </c>
      <c r="C20" s="27" t="s">
        <v>177</v>
      </c>
      <c r="D20" s="27" t="s">
        <v>172</v>
      </c>
      <c r="E20" s="28">
        <v>19388.04</v>
      </c>
      <c r="F20" s="27" t="s">
        <v>4074</v>
      </c>
      <c r="G20" s="48"/>
      <c r="H20" s="47" t="str">
        <f t="shared" si="0"/>
        <v>ANDINA</v>
      </c>
      <c r="I20" s="6">
        <f t="shared" si="1"/>
        <v>19388.04</v>
      </c>
      <c r="J20" s="47">
        <f t="shared" si="2"/>
        <v>19388.04</v>
      </c>
      <c r="L20" s="637"/>
      <c r="M20" s="637"/>
      <c r="N20" s="637"/>
      <c r="O20" s="637"/>
      <c r="P20" s="637"/>
      <c r="Q20" s="637"/>
      <c r="R20" s="637"/>
      <c r="S20" s="637"/>
    </row>
    <row r="21" spans="1:19">
      <c r="A21" s="27" t="s">
        <v>3831</v>
      </c>
      <c r="B21" s="27" t="s">
        <v>176</v>
      </c>
      <c r="C21" s="27" t="s">
        <v>231</v>
      </c>
      <c r="D21" s="27" t="s">
        <v>172</v>
      </c>
      <c r="E21" s="28">
        <v>23049.55</v>
      </c>
      <c r="F21" s="27" t="s">
        <v>4074</v>
      </c>
      <c r="G21" s="48"/>
      <c r="H21" s="47" t="str">
        <f t="shared" si="0"/>
        <v>ANDINA</v>
      </c>
      <c r="I21" s="6">
        <f t="shared" si="1"/>
        <v>23049.55</v>
      </c>
      <c r="J21" s="47">
        <f t="shared" si="2"/>
        <v>23049.55</v>
      </c>
      <c r="L21" s="637"/>
      <c r="M21" s="637"/>
      <c r="N21" s="637"/>
      <c r="O21" s="637"/>
      <c r="P21" s="637"/>
      <c r="Q21" s="637"/>
      <c r="R21" s="637"/>
      <c r="S21" s="637"/>
    </row>
    <row r="22" spans="1:19">
      <c r="A22" s="27" t="s">
        <v>3831</v>
      </c>
      <c r="B22" s="27" t="s">
        <v>180</v>
      </c>
      <c r="C22" s="27" t="s">
        <v>181</v>
      </c>
      <c r="D22" s="27" t="s">
        <v>172</v>
      </c>
      <c r="E22" s="28">
        <v>34056.25</v>
      </c>
      <c r="F22" s="27" t="s">
        <v>4073</v>
      </c>
      <c r="G22" s="48"/>
      <c r="H22" s="47" t="str">
        <f t="shared" si="0"/>
        <v>ANDINA</v>
      </c>
      <c r="I22" s="6">
        <f t="shared" si="1"/>
        <v>33820.26545454545</v>
      </c>
      <c r="J22" s="47">
        <f t="shared" si="2"/>
        <v>33820.26545454545</v>
      </c>
    </row>
    <row r="23" spans="1:19">
      <c r="A23" s="27" t="s">
        <v>3831</v>
      </c>
      <c r="B23" s="27" t="s">
        <v>180</v>
      </c>
      <c r="C23" s="27" t="s">
        <v>263</v>
      </c>
      <c r="D23" s="27" t="s">
        <v>172</v>
      </c>
      <c r="E23" s="28">
        <v>188160.82</v>
      </c>
      <c r="F23" s="27" t="s">
        <v>4074</v>
      </c>
      <c r="G23" s="48"/>
      <c r="H23" s="47" t="str">
        <f t="shared" si="0"/>
        <v>ANDINA</v>
      </c>
      <c r="I23" s="6">
        <f t="shared" si="1"/>
        <v>188160.82</v>
      </c>
      <c r="J23" s="47">
        <f t="shared" si="2"/>
        <v>188160.82</v>
      </c>
    </row>
    <row r="24" spans="1:19">
      <c r="A24" s="27" t="s">
        <v>3831</v>
      </c>
      <c r="B24" s="27" t="s">
        <v>180</v>
      </c>
      <c r="C24" s="27" t="s">
        <v>277</v>
      </c>
      <c r="D24" s="27" t="s">
        <v>172</v>
      </c>
      <c r="E24" s="28">
        <v>90689.07</v>
      </c>
      <c r="F24" s="27" t="s">
        <v>4073</v>
      </c>
      <c r="G24" s="48"/>
      <c r="H24" s="47" t="str">
        <f t="shared" si="0"/>
        <v>ANDINA</v>
      </c>
      <c r="I24" s="6">
        <f t="shared" si="1"/>
        <v>88565.010909090925</v>
      </c>
      <c r="J24" s="47">
        <f t="shared" si="2"/>
        <v>88565.010909090925</v>
      </c>
    </row>
    <row r="25" spans="1:19">
      <c r="A25" s="27" t="s">
        <v>3831</v>
      </c>
      <c r="B25" s="27" t="s">
        <v>180</v>
      </c>
      <c r="C25" s="27" t="s">
        <v>300</v>
      </c>
      <c r="D25" s="27" t="s">
        <v>172</v>
      </c>
      <c r="E25" s="28">
        <v>63931.02</v>
      </c>
      <c r="F25" s="27" t="s">
        <v>4074</v>
      </c>
      <c r="G25" s="48"/>
      <c r="H25" s="47" t="str">
        <f t="shared" si="0"/>
        <v>ANDINA</v>
      </c>
      <c r="I25" s="6">
        <f t="shared" si="1"/>
        <v>63931.02</v>
      </c>
      <c r="J25" s="47">
        <f t="shared" si="2"/>
        <v>63931.02</v>
      </c>
    </row>
    <row r="26" spans="1:19">
      <c r="A26" s="27" t="s">
        <v>3831</v>
      </c>
      <c r="B26" s="27" t="s">
        <v>180</v>
      </c>
      <c r="C26" s="27" t="s">
        <v>242</v>
      </c>
      <c r="D26" s="27" t="s">
        <v>172</v>
      </c>
      <c r="E26" s="28">
        <v>28514.22</v>
      </c>
      <c r="F26" s="27" t="s">
        <v>4074</v>
      </c>
      <c r="G26" s="48"/>
      <c r="H26" s="47" t="str">
        <f t="shared" si="0"/>
        <v>ANDINA</v>
      </c>
      <c r="I26" s="6">
        <f t="shared" si="1"/>
        <v>28514.22</v>
      </c>
      <c r="J26" s="47">
        <f t="shared" si="2"/>
        <v>28514.22</v>
      </c>
    </row>
    <row r="27" spans="1:19">
      <c r="A27" s="27" t="s">
        <v>3831</v>
      </c>
      <c r="B27" s="27" t="s">
        <v>180</v>
      </c>
      <c r="C27" s="27" t="s">
        <v>254</v>
      </c>
      <c r="D27" s="27" t="s">
        <v>172</v>
      </c>
      <c r="E27" s="28">
        <v>142727.60999999999</v>
      </c>
      <c r="F27" s="27" t="s">
        <v>4074</v>
      </c>
      <c r="G27" s="48"/>
      <c r="H27" s="47" t="str">
        <f t="shared" si="0"/>
        <v>ANDINA</v>
      </c>
      <c r="I27" s="6">
        <f t="shared" si="1"/>
        <v>142727.60999999999</v>
      </c>
      <c r="J27" s="47">
        <f t="shared" si="2"/>
        <v>142727.60999999999</v>
      </c>
    </row>
    <row r="28" spans="1:19">
      <c r="A28" s="27" t="s">
        <v>3831</v>
      </c>
      <c r="B28" s="27" t="s">
        <v>180</v>
      </c>
      <c r="C28" s="27" t="s">
        <v>305</v>
      </c>
      <c r="D28" s="27" t="s">
        <v>172</v>
      </c>
      <c r="E28" s="28">
        <v>70814.740000000005</v>
      </c>
      <c r="F28" s="27" t="s">
        <v>4074</v>
      </c>
      <c r="G28" s="48"/>
      <c r="H28" s="47" t="str">
        <f t="shared" si="0"/>
        <v>ANDINA</v>
      </c>
      <c r="I28" s="6">
        <f t="shared" si="1"/>
        <v>70814.740000000005</v>
      </c>
      <c r="J28" s="47">
        <f t="shared" si="2"/>
        <v>70814.740000000005</v>
      </c>
    </row>
    <row r="29" spans="1:19">
      <c r="A29" s="27" t="s">
        <v>3831</v>
      </c>
      <c r="B29" s="27" t="s">
        <v>180</v>
      </c>
      <c r="C29" s="27" t="s">
        <v>297</v>
      </c>
      <c r="D29" s="27" t="s">
        <v>172</v>
      </c>
      <c r="E29" s="28">
        <v>148344.98000000001</v>
      </c>
      <c r="F29" s="27" t="s">
        <v>4074</v>
      </c>
      <c r="G29" s="48"/>
      <c r="H29" s="47" t="str">
        <f t="shared" si="0"/>
        <v>ANDINA</v>
      </c>
      <c r="I29" s="6">
        <f t="shared" si="1"/>
        <v>148344.98000000001</v>
      </c>
      <c r="J29" s="47">
        <f t="shared" si="2"/>
        <v>148344.98000000001</v>
      </c>
    </row>
    <row r="30" spans="1:19">
      <c r="A30" s="27" t="s">
        <v>3831</v>
      </c>
      <c r="B30" s="27" t="s">
        <v>180</v>
      </c>
      <c r="C30" s="27" t="s">
        <v>314</v>
      </c>
      <c r="D30" s="27" t="s">
        <v>172</v>
      </c>
      <c r="E30" s="28">
        <v>30435.42</v>
      </c>
      <c r="F30" s="27" t="s">
        <v>4074</v>
      </c>
      <c r="G30" s="48"/>
      <c r="H30" s="47" t="str">
        <f t="shared" si="0"/>
        <v>ANDINA</v>
      </c>
      <c r="I30" s="6">
        <f t="shared" si="1"/>
        <v>30435.42</v>
      </c>
      <c r="J30" s="47">
        <f t="shared" si="2"/>
        <v>30435.42</v>
      </c>
    </row>
    <row r="31" spans="1:19">
      <c r="A31" s="27" t="s">
        <v>3831</v>
      </c>
      <c r="B31" s="27" t="s">
        <v>180</v>
      </c>
      <c r="C31" s="27" t="s">
        <v>182</v>
      </c>
      <c r="D31" s="27" t="s">
        <v>172</v>
      </c>
      <c r="E31" s="28">
        <v>153113.67000000001</v>
      </c>
      <c r="F31" s="27" t="s">
        <v>4074</v>
      </c>
      <c r="G31" s="48"/>
      <c r="H31" s="47" t="str">
        <f t="shared" si="0"/>
        <v>ANDINA</v>
      </c>
      <c r="I31" s="6">
        <f t="shared" si="1"/>
        <v>153113.67000000001</v>
      </c>
      <c r="J31" s="47">
        <f t="shared" si="2"/>
        <v>153113.67000000001</v>
      </c>
    </row>
    <row r="32" spans="1:19" ht="18" customHeight="1">
      <c r="A32" s="27" t="s">
        <v>3832</v>
      </c>
      <c r="B32" s="27" t="s">
        <v>4072</v>
      </c>
      <c r="C32" s="27" t="s">
        <v>316</v>
      </c>
      <c r="D32" s="27" t="s">
        <v>172</v>
      </c>
      <c r="E32" s="28">
        <v>46378.17</v>
      </c>
      <c r="F32" s="27" t="s">
        <v>4073</v>
      </c>
      <c r="G32" s="48"/>
      <c r="H32" s="47" t="str">
        <f t="shared" si="0"/>
        <v>ORINOQUIA</v>
      </c>
      <c r="I32" s="6">
        <f t="shared" si="1"/>
        <v>46378.170000000006</v>
      </c>
      <c r="J32" s="47">
        <f t="shared" si="2"/>
        <v>46378.170000000006</v>
      </c>
      <c r="L32" s="46"/>
      <c r="M32" s="46"/>
      <c r="N32" s="46"/>
      <c r="O32" s="46"/>
      <c r="P32" s="46"/>
      <c r="Q32" s="46"/>
      <c r="R32" s="46"/>
      <c r="S32" s="46"/>
    </row>
    <row r="33" spans="1:19" ht="14.1" customHeight="1">
      <c r="A33" s="27" t="s">
        <v>3832</v>
      </c>
      <c r="B33" s="27" t="s">
        <v>137</v>
      </c>
      <c r="C33" s="27" t="s">
        <v>291</v>
      </c>
      <c r="D33" s="27" t="s">
        <v>172</v>
      </c>
      <c r="E33" s="28">
        <v>22086.61</v>
      </c>
      <c r="F33" s="27" t="s">
        <v>4073</v>
      </c>
      <c r="G33" s="48"/>
      <c r="H33" s="47" t="str">
        <f t="shared" si="0"/>
        <v>ORINOQUIA</v>
      </c>
      <c r="I33" s="6">
        <f t="shared" si="1"/>
        <v>22086.61</v>
      </c>
      <c r="J33" s="47">
        <f t="shared" si="2"/>
        <v>22086.61</v>
      </c>
      <c r="L33" s="44"/>
      <c r="M33" s="44"/>
      <c r="N33" s="44"/>
      <c r="O33" s="44"/>
      <c r="P33" s="44"/>
      <c r="Q33" s="44"/>
      <c r="R33" s="44"/>
      <c r="S33" s="44"/>
    </row>
    <row r="34" spans="1:19" ht="14.1" customHeight="1">
      <c r="A34" s="27" t="s">
        <v>3832</v>
      </c>
      <c r="B34" s="27" t="s">
        <v>137</v>
      </c>
      <c r="C34" s="27" t="s">
        <v>243</v>
      </c>
      <c r="D34" s="27" t="s">
        <v>172</v>
      </c>
      <c r="E34" s="28">
        <v>21754.73</v>
      </c>
      <c r="F34" s="27" t="s">
        <v>4073</v>
      </c>
      <c r="G34" s="48"/>
      <c r="H34" s="47" t="str">
        <f t="shared" si="0"/>
        <v>ORINOQUIA</v>
      </c>
      <c r="I34" s="6">
        <f t="shared" si="1"/>
        <v>21754.73</v>
      </c>
      <c r="J34" s="47">
        <f t="shared" si="2"/>
        <v>21754.73</v>
      </c>
      <c r="L34" s="44"/>
      <c r="M34" s="44"/>
      <c r="N34" s="44"/>
      <c r="O34" s="44"/>
      <c r="P34" s="44"/>
      <c r="Q34" s="44"/>
      <c r="R34" s="44"/>
      <c r="S34" s="44"/>
    </row>
    <row r="35" spans="1:19" ht="14.1" customHeight="1">
      <c r="A35" s="27" t="s">
        <v>3832</v>
      </c>
      <c r="B35" s="27" t="s">
        <v>137</v>
      </c>
      <c r="C35" s="27" t="s">
        <v>237</v>
      </c>
      <c r="D35" s="27" t="s">
        <v>172</v>
      </c>
      <c r="E35" s="28">
        <v>28933.31</v>
      </c>
      <c r="F35" s="27" t="s">
        <v>4073</v>
      </c>
      <c r="G35" s="48"/>
      <c r="H35" s="47" t="str">
        <f t="shared" si="0"/>
        <v>ORINOQUIA</v>
      </c>
      <c r="I35" s="6">
        <f t="shared" si="1"/>
        <v>28933.31</v>
      </c>
      <c r="J35" s="47">
        <f t="shared" si="2"/>
        <v>28933.31</v>
      </c>
      <c r="L35" s="44"/>
      <c r="M35" s="44"/>
      <c r="N35" s="44"/>
      <c r="O35" s="44"/>
      <c r="P35" s="44"/>
      <c r="Q35" s="44"/>
      <c r="R35" s="44"/>
      <c r="S35" s="44"/>
    </row>
    <row r="36" spans="1:19" ht="14.1" customHeight="1">
      <c r="A36" s="27" t="s">
        <v>3832</v>
      </c>
      <c r="B36" s="27" t="s">
        <v>137</v>
      </c>
      <c r="C36" s="27" t="s">
        <v>246</v>
      </c>
      <c r="D36" s="27" t="s">
        <v>172</v>
      </c>
      <c r="E36" s="28">
        <v>65250.53</v>
      </c>
      <c r="F36" s="27" t="s">
        <v>4073</v>
      </c>
      <c r="G36" s="48"/>
      <c r="H36" s="47" t="str">
        <f t="shared" si="0"/>
        <v>ORINOQUIA</v>
      </c>
      <c r="I36" s="6">
        <f t="shared" si="1"/>
        <v>65250.53</v>
      </c>
      <c r="J36" s="47">
        <f t="shared" si="2"/>
        <v>65250.53</v>
      </c>
      <c r="L36" s="44"/>
      <c r="M36" s="44"/>
      <c r="N36" s="44"/>
      <c r="O36" s="44"/>
      <c r="P36" s="44"/>
      <c r="Q36" s="44"/>
      <c r="R36" s="44"/>
      <c r="S36" s="44"/>
    </row>
    <row r="37" spans="1:19" ht="14.1" customHeight="1">
      <c r="A37" s="27" t="s">
        <v>3832</v>
      </c>
      <c r="B37" s="27" t="s">
        <v>170</v>
      </c>
      <c r="C37" s="27" t="s">
        <v>259</v>
      </c>
      <c r="D37" s="27" t="s">
        <v>172</v>
      </c>
      <c r="E37" s="28">
        <v>283758.28999999998</v>
      </c>
      <c r="F37" s="27" t="s">
        <v>4073</v>
      </c>
      <c r="G37" s="48"/>
      <c r="H37" s="47" t="str">
        <f t="shared" si="0"/>
        <v>ORINOQUIA</v>
      </c>
      <c r="I37" s="6">
        <f t="shared" si="1"/>
        <v>283758.28999999998</v>
      </c>
      <c r="J37" s="47">
        <f t="shared" si="2"/>
        <v>283758.28999999998</v>
      </c>
      <c r="L37" s="44"/>
      <c r="M37" s="44"/>
      <c r="N37" s="44"/>
      <c r="O37" s="44"/>
      <c r="P37" s="44"/>
      <c r="Q37" s="44"/>
      <c r="R37" s="44"/>
      <c r="S37" s="44"/>
    </row>
    <row r="38" spans="1:19" ht="14.1" customHeight="1">
      <c r="A38" s="27" t="s">
        <v>3832</v>
      </c>
      <c r="B38" s="27" t="s">
        <v>170</v>
      </c>
      <c r="C38" s="27" t="s">
        <v>276</v>
      </c>
      <c r="D38" s="27" t="s">
        <v>172</v>
      </c>
      <c r="E38" s="28">
        <v>83611.11</v>
      </c>
      <c r="F38" s="27" t="s">
        <v>4074</v>
      </c>
      <c r="G38" s="48"/>
      <c r="H38" s="47" t="str">
        <f t="shared" si="0"/>
        <v>ORINOQUIA</v>
      </c>
      <c r="I38" s="6">
        <f t="shared" si="1"/>
        <v>83611.11</v>
      </c>
      <c r="J38" s="47">
        <f t="shared" si="2"/>
        <v>83611.11</v>
      </c>
      <c r="L38" s="44"/>
      <c r="M38" s="44"/>
      <c r="N38" s="44"/>
      <c r="O38" s="44"/>
      <c r="P38" s="44"/>
      <c r="Q38" s="44"/>
      <c r="R38" s="44"/>
      <c r="S38" s="44"/>
    </row>
    <row r="39" spans="1:19" ht="14.1" customHeight="1">
      <c r="A39" s="27" t="s">
        <v>3832</v>
      </c>
      <c r="B39" s="27" t="s">
        <v>170</v>
      </c>
      <c r="C39" s="27" t="s">
        <v>240</v>
      </c>
      <c r="D39" s="27" t="s">
        <v>172</v>
      </c>
      <c r="E39" s="28">
        <v>23574.34</v>
      </c>
      <c r="F39" s="27" t="s">
        <v>4073</v>
      </c>
      <c r="G39" s="48"/>
      <c r="H39" s="47" t="str">
        <f t="shared" si="0"/>
        <v>ORINOQUIA</v>
      </c>
      <c r="I39" s="6">
        <f t="shared" si="1"/>
        <v>23574.34</v>
      </c>
      <c r="J39" s="47">
        <f t="shared" si="2"/>
        <v>23574.34</v>
      </c>
      <c r="L39" s="44"/>
      <c r="M39" s="44"/>
      <c r="N39" s="44"/>
      <c r="O39" s="44"/>
      <c r="P39" s="44"/>
      <c r="Q39" s="44"/>
      <c r="R39" s="44"/>
      <c r="S39" s="44"/>
    </row>
    <row r="40" spans="1:19" ht="14.1" customHeight="1">
      <c r="A40" s="27" t="s">
        <v>3832</v>
      </c>
      <c r="B40" s="27" t="s">
        <v>170</v>
      </c>
      <c r="C40" s="27" t="s">
        <v>251</v>
      </c>
      <c r="D40" s="27" t="s">
        <v>226</v>
      </c>
      <c r="E40" s="28">
        <v>61445.54</v>
      </c>
      <c r="F40" s="27" t="s">
        <v>4073</v>
      </c>
      <c r="G40" s="48"/>
      <c r="H40" s="47" t="str">
        <f t="shared" si="0"/>
        <v>ORINOQUIA</v>
      </c>
      <c r="I40" s="6">
        <f t="shared" si="1"/>
        <v>61445.54</v>
      </c>
      <c r="J40" s="47">
        <f t="shared" si="2"/>
        <v>61445.54</v>
      </c>
      <c r="L40" s="44"/>
      <c r="M40" s="44"/>
      <c r="N40" s="44"/>
      <c r="O40" s="44"/>
      <c r="P40" s="44"/>
      <c r="Q40" s="44"/>
      <c r="R40" s="44"/>
      <c r="S40" s="44"/>
    </row>
    <row r="41" spans="1:19" ht="14.1" customHeight="1">
      <c r="A41" s="27" t="s">
        <v>3832</v>
      </c>
      <c r="B41" s="27" t="s">
        <v>170</v>
      </c>
      <c r="C41" s="27" t="s">
        <v>256</v>
      </c>
      <c r="D41" s="27" t="s">
        <v>172</v>
      </c>
      <c r="E41" s="28">
        <v>29504.6</v>
      </c>
      <c r="F41" s="27" t="s">
        <v>4073</v>
      </c>
      <c r="G41" s="48"/>
      <c r="H41" s="47" t="str">
        <f t="shared" si="0"/>
        <v>ORINOQUIA</v>
      </c>
      <c r="I41" s="6">
        <f t="shared" si="1"/>
        <v>29504.599999999995</v>
      </c>
      <c r="J41" s="47">
        <f t="shared" si="2"/>
        <v>29504.599999999995</v>
      </c>
      <c r="L41" s="44"/>
      <c r="M41" s="44"/>
      <c r="N41" s="44"/>
      <c r="O41" s="44"/>
      <c r="P41" s="44"/>
      <c r="Q41" s="44"/>
      <c r="R41" s="44"/>
      <c r="S41" s="44"/>
    </row>
    <row r="42" spans="1:19" ht="14.1" customHeight="1">
      <c r="A42" s="27" t="s">
        <v>3832</v>
      </c>
      <c r="B42" s="27" t="s">
        <v>170</v>
      </c>
      <c r="C42" s="27" t="s">
        <v>311</v>
      </c>
      <c r="D42" s="27" t="s">
        <v>172</v>
      </c>
      <c r="E42" s="28">
        <v>40598.93</v>
      </c>
      <c r="F42" s="27" t="s">
        <v>4073</v>
      </c>
      <c r="G42" s="48"/>
      <c r="H42" s="47" t="str">
        <f t="shared" si="0"/>
        <v>ORINOQUIA</v>
      </c>
      <c r="I42" s="6">
        <f t="shared" si="1"/>
        <v>40598.93</v>
      </c>
      <c r="J42" s="47">
        <f t="shared" si="2"/>
        <v>40598.93</v>
      </c>
      <c r="L42" s="44"/>
      <c r="M42" s="44"/>
      <c r="N42" s="44"/>
      <c r="O42" s="44"/>
      <c r="P42" s="44"/>
      <c r="Q42" s="44"/>
      <c r="R42" s="44"/>
      <c r="S42" s="44"/>
    </row>
    <row r="43" spans="1:19" ht="14.1" customHeight="1">
      <c r="A43" s="27" t="s">
        <v>3832</v>
      </c>
      <c r="B43" s="27" t="s">
        <v>170</v>
      </c>
      <c r="C43" s="27" t="s">
        <v>171</v>
      </c>
      <c r="D43" s="27" t="s">
        <v>172</v>
      </c>
      <c r="E43" s="28">
        <v>115879.72</v>
      </c>
      <c r="F43" s="27" t="s">
        <v>4073</v>
      </c>
      <c r="G43" s="48"/>
      <c r="H43" s="47" t="str">
        <f t="shared" si="0"/>
        <v>ORINOQUIA</v>
      </c>
      <c r="I43" s="6">
        <f t="shared" si="1"/>
        <v>115879.72000000002</v>
      </c>
      <c r="J43" s="47">
        <f t="shared" si="2"/>
        <v>115879.72000000002</v>
      </c>
      <c r="L43" s="44"/>
      <c r="M43" s="44"/>
      <c r="N43" s="44"/>
      <c r="O43" s="44"/>
      <c r="P43" s="44"/>
      <c r="Q43" s="44"/>
      <c r="R43" s="44"/>
      <c r="S43" s="44"/>
    </row>
    <row r="44" spans="1:19" ht="14.1" customHeight="1">
      <c r="A44" s="27" t="s">
        <v>3832</v>
      </c>
      <c r="B44" s="27" t="s">
        <v>170</v>
      </c>
      <c r="C44" s="27" t="s">
        <v>252</v>
      </c>
      <c r="D44" s="27" t="s">
        <v>226</v>
      </c>
      <c r="E44" s="28">
        <v>21867.29</v>
      </c>
      <c r="F44" s="27" t="s">
        <v>4073</v>
      </c>
      <c r="G44" s="48"/>
      <c r="H44" s="47" t="str">
        <f t="shared" si="0"/>
        <v>ORINOQUIA</v>
      </c>
      <c r="I44" s="6">
        <f t="shared" si="1"/>
        <v>21865</v>
      </c>
      <c r="J44" s="47">
        <f t="shared" si="2"/>
        <v>21865</v>
      </c>
      <c r="L44" s="44"/>
      <c r="M44" s="44"/>
      <c r="N44" s="44"/>
      <c r="O44" s="44"/>
      <c r="P44" s="44"/>
      <c r="Q44" s="44"/>
      <c r="R44" s="44"/>
      <c r="S44" s="44"/>
    </row>
    <row r="45" spans="1:19" ht="14.1" customHeight="1">
      <c r="A45" s="27" t="s">
        <v>3832</v>
      </c>
      <c r="B45" s="27" t="s">
        <v>170</v>
      </c>
      <c r="C45" s="27" t="s">
        <v>296</v>
      </c>
      <c r="D45" s="27" t="s">
        <v>226</v>
      </c>
      <c r="E45" s="28">
        <v>26888.89</v>
      </c>
      <c r="F45" s="27" t="s">
        <v>4074</v>
      </c>
      <c r="G45" s="48"/>
      <c r="H45" s="47" t="str">
        <f t="shared" si="0"/>
        <v>ORINOQUIA</v>
      </c>
      <c r="I45" s="6">
        <f t="shared" si="1"/>
        <v>26888.89</v>
      </c>
      <c r="J45" s="47">
        <f t="shared" si="2"/>
        <v>26888.89</v>
      </c>
      <c r="L45" s="44"/>
      <c r="M45" s="44"/>
      <c r="N45" s="44"/>
      <c r="O45" s="44"/>
      <c r="P45" s="44"/>
      <c r="Q45" s="44"/>
      <c r="R45" s="44"/>
      <c r="S45" s="44"/>
    </row>
    <row r="46" spans="1:19" ht="14.1" customHeight="1">
      <c r="A46" s="27" t="s">
        <v>3832</v>
      </c>
      <c r="B46" s="27" t="s">
        <v>170</v>
      </c>
      <c r="C46" s="27" t="s">
        <v>173</v>
      </c>
      <c r="D46" s="27" t="s">
        <v>172</v>
      </c>
      <c r="E46" s="28">
        <v>153430.65</v>
      </c>
      <c r="F46" s="27" t="s">
        <v>4073</v>
      </c>
      <c r="G46" s="48"/>
      <c r="H46" s="47" t="str">
        <f t="shared" si="0"/>
        <v>ORINOQUIA</v>
      </c>
      <c r="I46" s="6">
        <f t="shared" si="1"/>
        <v>154841.86000000002</v>
      </c>
      <c r="J46" s="47">
        <f t="shared" si="2"/>
        <v>154841.86000000002</v>
      </c>
      <c r="L46" s="44"/>
      <c r="M46" s="44"/>
      <c r="N46" s="44"/>
      <c r="O46" s="44"/>
      <c r="P46" s="44"/>
      <c r="Q46" s="44"/>
      <c r="R46" s="44"/>
      <c r="S46" s="44"/>
    </row>
    <row r="47" spans="1:19" ht="14.1" customHeight="1">
      <c r="A47" s="27" t="s">
        <v>3832</v>
      </c>
      <c r="B47" s="27" t="s">
        <v>170</v>
      </c>
      <c r="C47" s="27" t="s">
        <v>225</v>
      </c>
      <c r="D47" s="27" t="s">
        <v>226</v>
      </c>
      <c r="E47" s="28">
        <v>37977.24</v>
      </c>
      <c r="F47" s="27" t="s">
        <v>4073</v>
      </c>
      <c r="G47" s="48"/>
      <c r="H47" s="47" t="str">
        <f t="shared" si="0"/>
        <v>ORINOQUIA</v>
      </c>
      <c r="I47" s="6">
        <f t="shared" si="1"/>
        <v>38736.343333333331</v>
      </c>
      <c r="J47" s="47">
        <f t="shared" si="2"/>
        <v>38736.343333333331</v>
      </c>
      <c r="L47" s="44"/>
      <c r="M47" s="44"/>
      <c r="N47" s="44"/>
      <c r="O47" s="44"/>
      <c r="P47" s="44"/>
      <c r="Q47" s="44"/>
      <c r="R47" s="44"/>
      <c r="S47" s="44"/>
    </row>
    <row r="48" spans="1:19" ht="14.1" customHeight="1">
      <c r="A48" s="27" t="s">
        <v>3832</v>
      </c>
      <c r="B48" s="27" t="s">
        <v>176</v>
      </c>
      <c r="C48" s="27" t="s">
        <v>262</v>
      </c>
      <c r="D48" s="27" t="s">
        <v>172</v>
      </c>
      <c r="E48" s="28">
        <v>22083.33</v>
      </c>
      <c r="F48" s="27" t="s">
        <v>4074</v>
      </c>
      <c r="G48" s="48"/>
      <c r="H48" s="47" t="str">
        <f t="shared" si="0"/>
        <v>ORINOQUIA</v>
      </c>
      <c r="I48" s="6">
        <f t="shared" si="1"/>
        <v>22083.33</v>
      </c>
      <c r="J48" s="47">
        <f t="shared" si="2"/>
        <v>22083.33</v>
      </c>
      <c r="L48" s="44"/>
      <c r="M48" s="44"/>
      <c r="N48" s="44"/>
      <c r="O48" s="44"/>
      <c r="P48" s="44"/>
      <c r="Q48" s="44"/>
      <c r="R48" s="44"/>
      <c r="S48" s="44"/>
    </row>
    <row r="49" spans="1:19" ht="14.1" customHeight="1">
      <c r="A49" s="27" t="s">
        <v>3832</v>
      </c>
      <c r="B49" s="27" t="s">
        <v>176</v>
      </c>
      <c r="C49" s="27" t="s">
        <v>253</v>
      </c>
      <c r="D49" s="27" t="s">
        <v>172</v>
      </c>
      <c r="E49" s="28">
        <v>24023.33</v>
      </c>
      <c r="F49" s="27" t="s">
        <v>4073</v>
      </c>
      <c r="G49" s="48"/>
      <c r="H49" s="47" t="str">
        <f t="shared" si="0"/>
        <v>ORINOQUIA</v>
      </c>
      <c r="I49" s="6">
        <f t="shared" si="1"/>
        <v>24023.33</v>
      </c>
      <c r="J49" s="47">
        <f t="shared" si="2"/>
        <v>24023.33</v>
      </c>
      <c r="L49" s="44"/>
      <c r="M49" s="44"/>
      <c r="N49" s="44"/>
      <c r="O49" s="44"/>
      <c r="P49" s="44"/>
      <c r="Q49" s="44"/>
      <c r="R49" s="44"/>
      <c r="S49" s="44"/>
    </row>
    <row r="50" spans="1:19" ht="14.1" customHeight="1">
      <c r="A50" s="27" t="s">
        <v>3832</v>
      </c>
      <c r="B50" s="27" t="s">
        <v>176</v>
      </c>
      <c r="C50" s="27" t="s">
        <v>177</v>
      </c>
      <c r="D50" s="27" t="s">
        <v>172</v>
      </c>
      <c r="E50" s="28">
        <v>19543.86</v>
      </c>
      <c r="F50" s="27" t="s">
        <v>4074</v>
      </c>
      <c r="G50" s="48"/>
      <c r="H50" s="47" t="str">
        <f t="shared" si="0"/>
        <v>ORINOQUIA</v>
      </c>
      <c r="I50" s="6">
        <f t="shared" si="1"/>
        <v>19543.86</v>
      </c>
      <c r="J50" s="47">
        <f t="shared" si="2"/>
        <v>19543.86</v>
      </c>
      <c r="L50" s="44"/>
      <c r="M50" s="44"/>
      <c r="N50" s="44"/>
      <c r="O50" s="44"/>
      <c r="P50" s="44"/>
      <c r="Q50" s="44"/>
      <c r="R50" s="44"/>
      <c r="S50" s="44"/>
    </row>
    <row r="51" spans="1:19" ht="14.1" customHeight="1">
      <c r="A51" s="27" t="s">
        <v>3832</v>
      </c>
      <c r="B51" s="27" t="s">
        <v>176</v>
      </c>
      <c r="C51" s="27" t="s">
        <v>231</v>
      </c>
      <c r="D51" s="27" t="s">
        <v>172</v>
      </c>
      <c r="E51" s="28">
        <v>22799.69</v>
      </c>
      <c r="F51" s="27" t="s">
        <v>4073</v>
      </c>
      <c r="G51" s="48"/>
      <c r="H51" s="47" t="str">
        <f t="shared" si="0"/>
        <v>ORINOQUIA</v>
      </c>
      <c r="I51" s="6">
        <f t="shared" si="1"/>
        <v>23953.553333333333</v>
      </c>
      <c r="J51" s="47">
        <f t="shared" si="2"/>
        <v>23953.553333333333</v>
      </c>
      <c r="L51" s="44"/>
      <c r="M51" s="44"/>
      <c r="N51" s="44"/>
      <c r="O51" s="44"/>
      <c r="P51" s="44"/>
      <c r="Q51" s="44"/>
      <c r="R51" s="44"/>
      <c r="S51" s="44"/>
    </row>
    <row r="52" spans="1:19" ht="14.1" customHeight="1">
      <c r="A52" s="27" t="s">
        <v>3832</v>
      </c>
      <c r="B52" s="27" t="s">
        <v>180</v>
      </c>
      <c r="C52" s="27" t="s">
        <v>181</v>
      </c>
      <c r="D52" s="27" t="s">
        <v>172</v>
      </c>
      <c r="E52" s="28">
        <v>34056.25</v>
      </c>
      <c r="F52" s="27" t="s">
        <v>4073</v>
      </c>
      <c r="G52" s="48"/>
      <c r="H52" s="47" t="str">
        <f t="shared" si="0"/>
        <v>ORINOQUIA</v>
      </c>
      <c r="I52" s="6">
        <f t="shared" si="1"/>
        <v>34056.25</v>
      </c>
      <c r="J52" s="47">
        <f t="shared" si="2"/>
        <v>34056.25</v>
      </c>
      <c r="L52" s="44"/>
      <c r="M52" s="44"/>
      <c r="N52" s="44"/>
      <c r="O52" s="44"/>
      <c r="P52" s="44"/>
      <c r="Q52" s="44"/>
      <c r="R52" s="44"/>
      <c r="S52" s="44"/>
    </row>
    <row r="53" spans="1:19" ht="14.1" customHeight="1">
      <c r="A53" s="27" t="s">
        <v>3832</v>
      </c>
      <c r="B53" s="27" t="s">
        <v>180</v>
      </c>
      <c r="C53" s="27" t="s">
        <v>263</v>
      </c>
      <c r="D53" s="27" t="s">
        <v>172</v>
      </c>
      <c r="E53" s="28">
        <v>199043.33</v>
      </c>
      <c r="F53" s="27" t="s">
        <v>4073</v>
      </c>
      <c r="G53" s="48"/>
      <c r="H53" s="47" t="str">
        <f t="shared" si="0"/>
        <v>ORINOQUIA</v>
      </c>
      <c r="I53" s="6">
        <f t="shared" si="1"/>
        <v>199043.33</v>
      </c>
      <c r="J53" s="47">
        <f t="shared" si="2"/>
        <v>199043.33</v>
      </c>
      <c r="L53" s="44"/>
      <c r="M53" s="44"/>
      <c r="N53" s="44"/>
      <c r="O53" s="44"/>
      <c r="P53" s="44"/>
      <c r="Q53" s="44"/>
      <c r="R53" s="44"/>
      <c r="S53" s="44"/>
    </row>
    <row r="54" spans="1:19" ht="14.1" customHeight="1">
      <c r="A54" s="27" t="s">
        <v>3832</v>
      </c>
      <c r="B54" s="27" t="s">
        <v>180</v>
      </c>
      <c r="C54" s="27" t="s">
        <v>277</v>
      </c>
      <c r="D54" s="27" t="s">
        <v>172</v>
      </c>
      <c r="E54" s="28">
        <v>90689.07</v>
      </c>
      <c r="F54" s="27" t="s">
        <v>4073</v>
      </c>
      <c r="G54" s="48"/>
      <c r="H54" s="47" t="str">
        <f t="shared" si="0"/>
        <v>ORINOQUIA</v>
      </c>
      <c r="I54" s="6">
        <f t="shared" si="1"/>
        <v>90689.07</v>
      </c>
      <c r="J54" s="47">
        <f t="shared" si="2"/>
        <v>90689.07</v>
      </c>
      <c r="L54" s="44"/>
      <c r="M54" s="44"/>
      <c r="N54" s="44"/>
      <c r="O54" s="44"/>
      <c r="P54" s="44"/>
      <c r="Q54" s="44"/>
      <c r="R54" s="44"/>
      <c r="S54" s="44"/>
    </row>
    <row r="55" spans="1:19" ht="14.1" customHeight="1">
      <c r="A55" s="27" t="s">
        <v>3832</v>
      </c>
      <c r="B55" s="27" t="s">
        <v>180</v>
      </c>
      <c r="C55" s="27" t="s">
        <v>300</v>
      </c>
      <c r="D55" s="27" t="s">
        <v>172</v>
      </c>
      <c r="E55" s="28">
        <v>66141.87</v>
      </c>
      <c r="F55" s="27" t="s">
        <v>4073</v>
      </c>
      <c r="G55" s="48"/>
      <c r="H55" s="47" t="str">
        <f t="shared" si="0"/>
        <v>ORINOQUIA</v>
      </c>
      <c r="I55" s="6">
        <f t="shared" si="1"/>
        <v>66141.87</v>
      </c>
      <c r="J55" s="47">
        <f t="shared" si="2"/>
        <v>66141.87</v>
      </c>
      <c r="L55" s="44"/>
      <c r="M55" s="44"/>
      <c r="N55" s="44"/>
      <c r="O55" s="44"/>
      <c r="P55" s="44"/>
      <c r="Q55" s="44"/>
      <c r="R55" s="44"/>
      <c r="S55" s="44"/>
    </row>
    <row r="56" spans="1:19" ht="14.1" customHeight="1">
      <c r="A56" s="27" t="s">
        <v>3832</v>
      </c>
      <c r="B56" s="27" t="s">
        <v>180</v>
      </c>
      <c r="C56" s="27" t="s">
        <v>242</v>
      </c>
      <c r="D56" s="27" t="s">
        <v>172</v>
      </c>
      <c r="E56" s="28">
        <v>30026.06</v>
      </c>
      <c r="F56" s="27" t="s">
        <v>4073</v>
      </c>
      <c r="G56" s="48"/>
      <c r="H56" s="47" t="str">
        <f t="shared" si="0"/>
        <v>ORINOQUIA</v>
      </c>
      <c r="I56" s="6">
        <f t="shared" si="1"/>
        <v>31408.013333333332</v>
      </c>
      <c r="J56" s="47">
        <f t="shared" si="2"/>
        <v>31408.013333333332</v>
      </c>
      <c r="L56" s="44"/>
      <c r="M56" s="44"/>
      <c r="N56" s="44"/>
      <c r="O56" s="44"/>
      <c r="P56" s="44"/>
      <c r="Q56" s="44"/>
      <c r="R56" s="44"/>
      <c r="S56" s="44"/>
    </row>
    <row r="57" spans="1:19" ht="14.1" customHeight="1">
      <c r="A57" s="27" t="s">
        <v>3832</v>
      </c>
      <c r="B57" s="27" t="s">
        <v>180</v>
      </c>
      <c r="C57" s="27" t="s">
        <v>254</v>
      </c>
      <c r="D57" s="27" t="s">
        <v>172</v>
      </c>
      <c r="E57" s="28">
        <v>146171.37</v>
      </c>
      <c r="F57" s="27" t="s">
        <v>4073</v>
      </c>
      <c r="G57" s="48"/>
      <c r="H57" s="47" t="str">
        <f t="shared" si="0"/>
        <v>ORINOQUIA</v>
      </c>
      <c r="I57" s="6">
        <f t="shared" si="1"/>
        <v>146171.37</v>
      </c>
      <c r="J57" s="47">
        <f t="shared" si="2"/>
        <v>146171.37</v>
      </c>
      <c r="L57" s="44"/>
      <c r="M57" s="44"/>
      <c r="N57" s="44"/>
      <c r="O57" s="44"/>
      <c r="P57" s="44"/>
      <c r="Q57" s="44"/>
      <c r="R57" s="44"/>
      <c r="S57" s="44"/>
    </row>
    <row r="58" spans="1:19" ht="14.1" customHeight="1">
      <c r="A58" s="27" t="s">
        <v>3832</v>
      </c>
      <c r="B58" s="27" t="s">
        <v>180</v>
      </c>
      <c r="C58" s="27" t="s">
        <v>305</v>
      </c>
      <c r="D58" s="27" t="s">
        <v>172</v>
      </c>
      <c r="E58" s="28">
        <v>72327.89</v>
      </c>
      <c r="F58" s="27" t="s">
        <v>4073</v>
      </c>
      <c r="G58" s="48"/>
      <c r="H58" s="47" t="str">
        <f t="shared" si="0"/>
        <v>ORINOQUIA</v>
      </c>
      <c r="I58" s="6">
        <f t="shared" si="1"/>
        <v>72327.89</v>
      </c>
      <c r="J58" s="47">
        <f t="shared" si="2"/>
        <v>72327.89</v>
      </c>
      <c r="L58" s="44"/>
      <c r="M58" s="44"/>
      <c r="N58" s="44"/>
      <c r="O58" s="44"/>
      <c r="P58" s="44"/>
      <c r="Q58" s="44"/>
      <c r="R58" s="44"/>
      <c r="S58" s="44"/>
    </row>
    <row r="59" spans="1:19" ht="14.1" customHeight="1">
      <c r="A59" s="27" t="s">
        <v>3832</v>
      </c>
      <c r="B59" s="27" t="s">
        <v>180</v>
      </c>
      <c r="C59" s="27" t="s">
        <v>297</v>
      </c>
      <c r="D59" s="27" t="s">
        <v>172</v>
      </c>
      <c r="E59" s="28">
        <v>149375.29999999999</v>
      </c>
      <c r="F59" s="27" t="s">
        <v>4073</v>
      </c>
      <c r="G59" s="48"/>
      <c r="H59" s="47" t="str">
        <f t="shared" si="0"/>
        <v>ORINOQUIA</v>
      </c>
      <c r="I59" s="6">
        <f t="shared" si="1"/>
        <v>149375.29999999999</v>
      </c>
      <c r="J59" s="47">
        <f t="shared" si="2"/>
        <v>149375.29999999999</v>
      </c>
      <c r="L59" s="44"/>
      <c r="M59" s="44"/>
      <c r="N59" s="44"/>
      <c r="O59" s="44"/>
      <c r="P59" s="44"/>
      <c r="Q59" s="44"/>
      <c r="R59" s="44"/>
      <c r="S59" s="44"/>
    </row>
    <row r="60" spans="1:19" ht="14.1" customHeight="1">
      <c r="A60" s="27" t="s">
        <v>3832</v>
      </c>
      <c r="B60" s="27" t="s">
        <v>180</v>
      </c>
      <c r="C60" s="27" t="s">
        <v>314</v>
      </c>
      <c r="D60" s="27" t="s">
        <v>172</v>
      </c>
      <c r="E60" s="28">
        <v>28956.99</v>
      </c>
      <c r="F60" s="27" t="s">
        <v>4074</v>
      </c>
      <c r="G60" s="48"/>
      <c r="H60" s="47" t="str">
        <f t="shared" si="0"/>
        <v>ORINOQUIA</v>
      </c>
      <c r="I60" s="6">
        <f t="shared" si="1"/>
        <v>28956.99</v>
      </c>
      <c r="J60" s="47">
        <f t="shared" si="2"/>
        <v>28956.99</v>
      </c>
      <c r="L60" s="44"/>
      <c r="M60" s="44"/>
      <c r="N60" s="44"/>
      <c r="O60" s="44"/>
      <c r="P60" s="44"/>
      <c r="Q60" s="44"/>
      <c r="R60" s="44"/>
      <c r="S60" s="44"/>
    </row>
    <row r="61" spans="1:19" ht="14.1" customHeight="1">
      <c r="A61" s="27" t="s">
        <v>3832</v>
      </c>
      <c r="B61" s="27" t="s">
        <v>180</v>
      </c>
      <c r="C61" s="27" t="s">
        <v>182</v>
      </c>
      <c r="D61" s="27" t="s">
        <v>172</v>
      </c>
      <c r="E61" s="28">
        <v>151029.59</v>
      </c>
      <c r="F61" s="27" t="s">
        <v>4073</v>
      </c>
      <c r="G61" s="48"/>
      <c r="H61" s="47" t="str">
        <f t="shared" si="0"/>
        <v>ORINOQUIA</v>
      </c>
      <c r="I61" s="6">
        <f t="shared" si="1"/>
        <v>151029.59</v>
      </c>
      <c r="J61" s="47">
        <f t="shared" si="2"/>
        <v>151029.59</v>
      </c>
      <c r="L61" s="44"/>
      <c r="M61" s="44"/>
      <c r="N61" s="44"/>
      <c r="O61" s="44"/>
      <c r="P61" s="44"/>
      <c r="Q61" s="44"/>
      <c r="R61" s="44"/>
      <c r="S61" s="44"/>
    </row>
    <row r="62" spans="1:19" ht="14.1" customHeight="1">
      <c r="A62" s="27" t="s">
        <v>3833</v>
      </c>
      <c r="B62" s="27" t="s">
        <v>4072</v>
      </c>
      <c r="C62" s="27" t="s">
        <v>316</v>
      </c>
      <c r="D62" s="27" t="s">
        <v>172</v>
      </c>
      <c r="E62" s="28">
        <v>46378.17</v>
      </c>
      <c r="F62" s="27" t="s">
        <v>4073</v>
      </c>
      <c r="G62" s="48"/>
      <c r="H62" s="47" t="str">
        <f t="shared" si="0"/>
        <v>CARIBE</v>
      </c>
      <c r="I62" s="6">
        <f t="shared" si="1"/>
        <v>46378.169999999991</v>
      </c>
      <c r="J62" s="47">
        <f t="shared" si="2"/>
        <v>46378.169999999991</v>
      </c>
      <c r="L62" s="46"/>
      <c r="M62" s="46"/>
      <c r="N62" s="46"/>
      <c r="O62" s="46"/>
      <c r="P62" s="46"/>
      <c r="Q62" s="46"/>
      <c r="R62" s="46"/>
      <c r="S62" s="46"/>
    </row>
    <row r="63" spans="1:19" ht="14.1" customHeight="1">
      <c r="A63" s="27" t="s">
        <v>3833</v>
      </c>
      <c r="B63" s="27" t="s">
        <v>137</v>
      </c>
      <c r="C63" s="27" t="s">
        <v>291</v>
      </c>
      <c r="D63" s="27" t="s">
        <v>172</v>
      </c>
      <c r="E63" s="28">
        <v>22086.61</v>
      </c>
      <c r="F63" s="27" t="s">
        <v>4073</v>
      </c>
      <c r="G63" s="48"/>
      <c r="H63" s="47" t="str">
        <f t="shared" si="0"/>
        <v>CARIBE</v>
      </c>
      <c r="I63" s="6">
        <f t="shared" si="1"/>
        <v>22086.61</v>
      </c>
      <c r="J63" s="47">
        <f t="shared" si="2"/>
        <v>22086.61</v>
      </c>
      <c r="L63" s="44"/>
      <c r="M63" s="44"/>
      <c r="N63" s="44"/>
      <c r="O63" s="44"/>
      <c r="P63" s="44"/>
      <c r="Q63" s="44"/>
      <c r="R63" s="44"/>
      <c r="S63" s="44"/>
    </row>
    <row r="64" spans="1:19" ht="14.1" customHeight="1">
      <c r="A64" s="27" t="s">
        <v>3833</v>
      </c>
      <c r="B64" s="27" t="s">
        <v>137</v>
      </c>
      <c r="C64" s="27" t="s">
        <v>243</v>
      </c>
      <c r="D64" s="27" t="s">
        <v>172</v>
      </c>
      <c r="E64" s="28">
        <v>21754.73</v>
      </c>
      <c r="F64" s="27" t="s">
        <v>4073</v>
      </c>
      <c r="G64" s="48"/>
      <c r="H64" s="47" t="str">
        <f t="shared" si="0"/>
        <v>CARIBE</v>
      </c>
      <c r="I64" s="6">
        <f t="shared" si="1"/>
        <v>21754.73</v>
      </c>
      <c r="J64" s="47">
        <f t="shared" si="2"/>
        <v>21754.73</v>
      </c>
      <c r="L64" s="44"/>
      <c r="M64" s="44"/>
      <c r="N64" s="44"/>
      <c r="O64" s="44"/>
      <c r="P64" s="44"/>
      <c r="Q64" s="44"/>
      <c r="R64" s="44"/>
      <c r="S64" s="44"/>
    </row>
    <row r="65" spans="1:19" ht="14.1" customHeight="1">
      <c r="A65" s="27" t="s">
        <v>3833</v>
      </c>
      <c r="B65" s="27" t="s">
        <v>137</v>
      </c>
      <c r="C65" s="27" t="s">
        <v>237</v>
      </c>
      <c r="D65" s="27" t="s">
        <v>172</v>
      </c>
      <c r="E65" s="28">
        <v>28933.31</v>
      </c>
      <c r="F65" s="27" t="s">
        <v>4073</v>
      </c>
      <c r="G65" s="48"/>
      <c r="H65" s="47" t="str">
        <f t="shared" si="0"/>
        <v>CARIBE</v>
      </c>
      <c r="I65" s="6">
        <f t="shared" si="1"/>
        <v>30936.223333333332</v>
      </c>
      <c r="J65" s="47">
        <f t="shared" si="2"/>
        <v>30936.223333333332</v>
      </c>
      <c r="L65" s="44"/>
      <c r="M65" s="44"/>
      <c r="N65" s="44"/>
      <c r="O65" s="44"/>
      <c r="P65" s="44"/>
      <c r="Q65" s="44"/>
      <c r="R65" s="44"/>
      <c r="S65" s="44"/>
    </row>
    <row r="66" spans="1:19" ht="14.1" customHeight="1">
      <c r="A66" s="27" t="s">
        <v>3833</v>
      </c>
      <c r="B66" s="27" t="s">
        <v>137</v>
      </c>
      <c r="C66" s="27" t="s">
        <v>246</v>
      </c>
      <c r="D66" s="27" t="s">
        <v>172</v>
      </c>
      <c r="E66" s="28">
        <v>65250.53</v>
      </c>
      <c r="F66" s="27" t="s">
        <v>4073</v>
      </c>
      <c r="G66" s="48"/>
      <c r="H66" s="47" t="str">
        <f t="shared" ref="H66:H129" si="3">IF(OR(A66="Antioquia",A66="Bogotá, D.C.",A66="Boyacá",A66="Cundinamarca",A66="Caldas",A66="Risaralda",A66="Quindío",A66="Tolima",A66="Huila",A66="Santander",A66="Norte de Santander"),"ANDINA",
IF(OR(A66="Atlántico",A66="Bolívar",A66="Cesar",A66="Córdoba",A66="Sucre",A66="Magdalena"),"CARIBE",
IF(OR(A66="Valle del Cauca",A66="Cauca",A66="Nariño"),"PACIFICO",
IF(OR(A66="Meta",A66="Casanare",A66="Arauca"),"ORINOQUIA",
"AMAZONIA"))))</f>
        <v>CARIBE</v>
      </c>
      <c r="I66" s="6">
        <f t="shared" ref="I66:I129" si="4">IF(F66="Departamental",E66,
AVERAGEIFS($E:$E,$H:$H,H66,$B:$B,B66,$C:$C,C66))</f>
        <v>65250.530000000006</v>
      </c>
      <c r="J66" s="47">
        <f t="shared" si="2"/>
        <v>65250.530000000006</v>
      </c>
      <c r="L66" s="44"/>
      <c r="M66" s="44"/>
      <c r="N66" s="44"/>
      <c r="O66" s="44"/>
      <c r="P66" s="44"/>
      <c r="Q66" s="44"/>
      <c r="R66" s="44"/>
      <c r="S66" s="44"/>
    </row>
    <row r="67" spans="1:19" ht="14.1" customHeight="1">
      <c r="A67" s="27" t="s">
        <v>3833</v>
      </c>
      <c r="B67" s="27" t="s">
        <v>170</v>
      </c>
      <c r="C67" s="27" t="s">
        <v>259</v>
      </c>
      <c r="D67" s="27" t="s">
        <v>172</v>
      </c>
      <c r="E67" s="28">
        <v>283758.28999999998</v>
      </c>
      <c r="F67" s="27" t="s">
        <v>4073</v>
      </c>
      <c r="G67" s="48"/>
      <c r="H67" s="47" t="str">
        <f t="shared" si="3"/>
        <v>CARIBE</v>
      </c>
      <c r="I67" s="6">
        <f t="shared" si="4"/>
        <v>287765.70500000002</v>
      </c>
      <c r="J67" s="47">
        <f t="shared" ref="J67:J130" si="5">IF(G67&lt;&gt;"",G67,I67)</f>
        <v>287765.70500000002</v>
      </c>
      <c r="L67" s="44"/>
      <c r="M67" s="44"/>
      <c r="N67" s="44"/>
      <c r="O67" s="44"/>
      <c r="P67" s="44"/>
      <c r="Q67" s="44"/>
      <c r="R67" s="44"/>
      <c r="S67" s="44"/>
    </row>
    <row r="68" spans="1:19" ht="14.1" customHeight="1">
      <c r="A68" s="27" t="s">
        <v>3833</v>
      </c>
      <c r="B68" s="27" t="s">
        <v>170</v>
      </c>
      <c r="C68" s="27" t="s">
        <v>276</v>
      </c>
      <c r="D68" s="27" t="s">
        <v>172</v>
      </c>
      <c r="E68" s="28">
        <v>83726.98</v>
      </c>
      <c r="F68" s="27" t="s">
        <v>4073</v>
      </c>
      <c r="G68" s="48"/>
      <c r="H68" s="47" t="str">
        <f t="shared" si="3"/>
        <v>CARIBE</v>
      </c>
      <c r="I68" s="6">
        <f t="shared" si="4"/>
        <v>83726.98</v>
      </c>
      <c r="J68" s="47">
        <f t="shared" si="5"/>
        <v>83726.98</v>
      </c>
      <c r="L68" s="44"/>
      <c r="M68" s="44"/>
      <c r="N68" s="44"/>
      <c r="O68" s="44"/>
      <c r="P68" s="44"/>
      <c r="Q68" s="44"/>
      <c r="R68" s="44"/>
      <c r="S68" s="44"/>
    </row>
    <row r="69" spans="1:19" ht="14.1" customHeight="1">
      <c r="A69" s="27" t="s">
        <v>3833</v>
      </c>
      <c r="B69" s="27" t="s">
        <v>170</v>
      </c>
      <c r="C69" s="27" t="s">
        <v>240</v>
      </c>
      <c r="D69" s="27" t="s">
        <v>172</v>
      </c>
      <c r="E69" s="28">
        <v>23574.34</v>
      </c>
      <c r="F69" s="27" t="s">
        <v>4073</v>
      </c>
      <c r="G69" s="48"/>
      <c r="H69" s="47" t="str">
        <f t="shared" si="3"/>
        <v>CARIBE</v>
      </c>
      <c r="I69" s="6">
        <f t="shared" si="4"/>
        <v>23574.34</v>
      </c>
      <c r="J69" s="47">
        <f t="shared" si="5"/>
        <v>23574.34</v>
      </c>
      <c r="L69" s="44"/>
      <c r="M69" s="44"/>
      <c r="N69" s="44"/>
      <c r="O69" s="44"/>
      <c r="P69" s="44"/>
      <c r="Q69" s="44"/>
      <c r="R69" s="44"/>
      <c r="S69" s="44"/>
    </row>
    <row r="70" spans="1:19" ht="14.1" customHeight="1">
      <c r="A70" s="27" t="s">
        <v>3833</v>
      </c>
      <c r="B70" s="27" t="s">
        <v>170</v>
      </c>
      <c r="C70" s="27" t="s">
        <v>251</v>
      </c>
      <c r="D70" s="27" t="s">
        <v>226</v>
      </c>
      <c r="E70" s="28">
        <v>61445.54</v>
      </c>
      <c r="F70" s="27" t="s">
        <v>4073</v>
      </c>
      <c r="G70" s="48"/>
      <c r="H70" s="47" t="str">
        <f t="shared" si="3"/>
        <v>CARIBE</v>
      </c>
      <c r="I70" s="6">
        <f t="shared" si="4"/>
        <v>61445.54</v>
      </c>
      <c r="J70" s="47">
        <f t="shared" si="5"/>
        <v>61445.54</v>
      </c>
      <c r="L70" s="44"/>
      <c r="M70" s="44"/>
      <c r="N70" s="44"/>
      <c r="O70" s="44"/>
      <c r="P70" s="44"/>
      <c r="Q70" s="44"/>
      <c r="R70" s="44"/>
      <c r="S70" s="44"/>
    </row>
    <row r="71" spans="1:19" ht="14.1" customHeight="1">
      <c r="A71" s="27" t="s">
        <v>3833</v>
      </c>
      <c r="B71" s="27" t="s">
        <v>170</v>
      </c>
      <c r="C71" s="27" t="s">
        <v>256</v>
      </c>
      <c r="D71" s="27" t="s">
        <v>172</v>
      </c>
      <c r="E71" s="28">
        <v>29504.6</v>
      </c>
      <c r="F71" s="27" t="s">
        <v>4073</v>
      </c>
      <c r="G71" s="48"/>
      <c r="H71" s="47" t="str">
        <f t="shared" si="3"/>
        <v>CARIBE</v>
      </c>
      <c r="I71" s="6">
        <f t="shared" si="4"/>
        <v>30290.368333333332</v>
      </c>
      <c r="J71" s="47">
        <f t="shared" si="5"/>
        <v>30290.368333333332</v>
      </c>
      <c r="L71" s="44"/>
      <c r="M71" s="44"/>
      <c r="N71" s="44"/>
      <c r="O71" s="44"/>
      <c r="P71" s="44"/>
      <c r="Q71" s="44"/>
      <c r="R71" s="44"/>
      <c r="S71" s="44"/>
    </row>
    <row r="72" spans="1:19" ht="14.1" customHeight="1">
      <c r="A72" s="27" t="s">
        <v>3833</v>
      </c>
      <c r="B72" s="27" t="s">
        <v>170</v>
      </c>
      <c r="C72" s="27" t="s">
        <v>311</v>
      </c>
      <c r="D72" s="27" t="s">
        <v>172</v>
      </c>
      <c r="E72" s="28">
        <v>40598.93</v>
      </c>
      <c r="F72" s="27" t="s">
        <v>4073</v>
      </c>
      <c r="G72" s="48"/>
      <c r="H72" s="47" t="str">
        <f t="shared" si="3"/>
        <v>CARIBE</v>
      </c>
      <c r="I72" s="6">
        <f t="shared" si="4"/>
        <v>40799.10833333333</v>
      </c>
      <c r="J72" s="47">
        <f t="shared" si="5"/>
        <v>40799.10833333333</v>
      </c>
      <c r="L72" s="44"/>
      <c r="M72" s="44"/>
      <c r="N72" s="44"/>
      <c r="O72" s="44"/>
      <c r="P72" s="44"/>
      <c r="Q72" s="44"/>
      <c r="R72" s="44"/>
      <c r="S72" s="44"/>
    </row>
    <row r="73" spans="1:19" ht="14.1" customHeight="1">
      <c r="A73" s="27" t="s">
        <v>3833</v>
      </c>
      <c r="B73" s="27" t="s">
        <v>170</v>
      </c>
      <c r="C73" s="27" t="s">
        <v>171</v>
      </c>
      <c r="D73" s="27" t="s">
        <v>172</v>
      </c>
      <c r="E73" s="28">
        <v>115879.72</v>
      </c>
      <c r="F73" s="27" t="s">
        <v>4073</v>
      </c>
      <c r="G73" s="48"/>
      <c r="H73" s="47" t="str">
        <f t="shared" si="3"/>
        <v>CARIBE</v>
      </c>
      <c r="I73" s="6">
        <f t="shared" si="4"/>
        <v>115879.71999999999</v>
      </c>
      <c r="J73" s="47">
        <f t="shared" si="5"/>
        <v>115879.71999999999</v>
      </c>
      <c r="L73" s="44"/>
      <c r="M73" s="44"/>
      <c r="N73" s="44"/>
      <c r="O73" s="44"/>
      <c r="P73" s="44"/>
      <c r="Q73" s="44"/>
      <c r="R73" s="44"/>
      <c r="S73" s="44"/>
    </row>
    <row r="74" spans="1:19" ht="14.1" customHeight="1">
      <c r="A74" s="27" t="s">
        <v>3833</v>
      </c>
      <c r="B74" s="27" t="s">
        <v>170</v>
      </c>
      <c r="C74" s="27" t="s">
        <v>252</v>
      </c>
      <c r="D74" s="27" t="s">
        <v>226</v>
      </c>
      <c r="E74" s="28">
        <v>21867.29</v>
      </c>
      <c r="F74" s="27" t="s">
        <v>4073</v>
      </c>
      <c r="G74" s="48"/>
      <c r="H74" s="47" t="str">
        <f t="shared" si="3"/>
        <v>CARIBE</v>
      </c>
      <c r="I74" s="6">
        <f t="shared" si="4"/>
        <v>21867.290000000005</v>
      </c>
      <c r="J74" s="47">
        <f t="shared" si="5"/>
        <v>21867.290000000005</v>
      </c>
      <c r="L74" s="44"/>
      <c r="M74" s="44"/>
      <c r="N74" s="44"/>
      <c r="O74" s="44"/>
      <c r="P74" s="44"/>
      <c r="Q74" s="44"/>
      <c r="R74" s="44"/>
      <c r="S74" s="44"/>
    </row>
    <row r="75" spans="1:19" ht="14.1" customHeight="1">
      <c r="A75" s="27" t="s">
        <v>3833</v>
      </c>
      <c r="B75" s="27" t="s">
        <v>170</v>
      </c>
      <c r="C75" s="27" t="s">
        <v>296</v>
      </c>
      <c r="D75" s="27" t="s">
        <v>226</v>
      </c>
      <c r="E75" s="28">
        <v>23167.62</v>
      </c>
      <c r="F75" s="27" t="s">
        <v>4073</v>
      </c>
      <c r="G75" s="48"/>
      <c r="H75" s="47" t="str">
        <f t="shared" si="3"/>
        <v>CARIBE</v>
      </c>
      <c r="I75" s="6">
        <f t="shared" si="4"/>
        <v>23167.62</v>
      </c>
      <c r="J75" s="47">
        <f t="shared" si="5"/>
        <v>23167.62</v>
      </c>
      <c r="L75" s="44"/>
      <c r="M75" s="44"/>
      <c r="N75" s="44"/>
      <c r="O75" s="44"/>
      <c r="P75" s="44"/>
      <c r="Q75" s="44"/>
      <c r="R75" s="44"/>
      <c r="S75" s="44"/>
    </row>
    <row r="76" spans="1:19" ht="14.1" customHeight="1">
      <c r="A76" s="27" t="s">
        <v>3833</v>
      </c>
      <c r="B76" s="27" t="s">
        <v>170</v>
      </c>
      <c r="C76" s="27" t="s">
        <v>173</v>
      </c>
      <c r="D76" s="27" t="s">
        <v>172</v>
      </c>
      <c r="E76" s="28">
        <v>153430.65</v>
      </c>
      <c r="F76" s="27" t="s">
        <v>4073</v>
      </c>
      <c r="G76" s="48"/>
      <c r="H76" s="47" t="str">
        <f t="shared" si="3"/>
        <v>CARIBE</v>
      </c>
      <c r="I76" s="6">
        <f t="shared" si="4"/>
        <v>155608.875</v>
      </c>
      <c r="J76" s="47">
        <f t="shared" si="5"/>
        <v>155608.875</v>
      </c>
      <c r="L76" s="44"/>
      <c r="M76" s="44"/>
      <c r="N76" s="44"/>
      <c r="O76" s="44"/>
      <c r="P76" s="44"/>
      <c r="Q76" s="44"/>
      <c r="R76" s="44"/>
      <c r="S76" s="44"/>
    </row>
    <row r="77" spans="1:19" ht="14.1" customHeight="1">
      <c r="A77" s="27" t="s">
        <v>3833</v>
      </c>
      <c r="B77" s="27" t="s">
        <v>170</v>
      </c>
      <c r="C77" s="27" t="s">
        <v>225</v>
      </c>
      <c r="D77" s="27" t="s">
        <v>226</v>
      </c>
      <c r="E77" s="28">
        <v>37977.24</v>
      </c>
      <c r="F77" s="27" t="s">
        <v>4073</v>
      </c>
      <c r="G77" s="48"/>
      <c r="H77" s="47" t="str">
        <f t="shared" si="3"/>
        <v>CARIBE</v>
      </c>
      <c r="I77" s="6">
        <f t="shared" si="4"/>
        <v>37977.24</v>
      </c>
      <c r="J77" s="47">
        <f t="shared" si="5"/>
        <v>37977.24</v>
      </c>
      <c r="L77" s="44"/>
      <c r="M77" s="44"/>
      <c r="N77" s="44"/>
      <c r="O77" s="44"/>
      <c r="P77" s="44"/>
      <c r="Q77" s="44"/>
      <c r="R77" s="44"/>
      <c r="S77" s="44"/>
    </row>
    <row r="78" spans="1:19" ht="14.1" customHeight="1">
      <c r="A78" s="27" t="s">
        <v>3833</v>
      </c>
      <c r="B78" s="27" t="s">
        <v>176</v>
      </c>
      <c r="C78" s="27" t="s">
        <v>262</v>
      </c>
      <c r="D78" s="27" t="s">
        <v>172</v>
      </c>
      <c r="E78" s="28">
        <v>25560.21</v>
      </c>
      <c r="F78" s="27" t="s">
        <v>4074</v>
      </c>
      <c r="G78" s="48"/>
      <c r="H78" s="47" t="str">
        <f t="shared" si="3"/>
        <v>CARIBE</v>
      </c>
      <c r="I78" s="6">
        <f t="shared" si="4"/>
        <v>25560.21</v>
      </c>
      <c r="J78" s="47">
        <f t="shared" si="5"/>
        <v>25560.21</v>
      </c>
      <c r="L78" s="44"/>
      <c r="M78" s="44"/>
      <c r="N78" s="44"/>
      <c r="O78" s="44"/>
      <c r="P78" s="44"/>
      <c r="Q78" s="44"/>
      <c r="R78" s="44"/>
      <c r="S78" s="44"/>
    </row>
    <row r="79" spans="1:19" ht="14.1" customHeight="1">
      <c r="A79" s="27" t="s">
        <v>3833</v>
      </c>
      <c r="B79" s="27" t="s">
        <v>176</v>
      </c>
      <c r="C79" s="27" t="s">
        <v>253</v>
      </c>
      <c r="D79" s="27" t="s">
        <v>172</v>
      </c>
      <c r="E79" s="28">
        <v>24023.33</v>
      </c>
      <c r="F79" s="27" t="s">
        <v>4073</v>
      </c>
      <c r="G79" s="48"/>
      <c r="H79" s="47" t="str">
        <f t="shared" si="3"/>
        <v>CARIBE</v>
      </c>
      <c r="I79" s="6">
        <f t="shared" si="4"/>
        <v>25552.775000000005</v>
      </c>
      <c r="J79" s="47">
        <f t="shared" si="5"/>
        <v>25552.775000000005</v>
      </c>
      <c r="L79" s="44"/>
      <c r="M79" s="44"/>
      <c r="N79" s="44"/>
      <c r="O79" s="44"/>
      <c r="P79" s="44"/>
      <c r="Q79" s="44"/>
      <c r="R79" s="44"/>
      <c r="S79" s="44"/>
    </row>
    <row r="80" spans="1:19" ht="14.1" customHeight="1">
      <c r="A80" s="27" t="s">
        <v>3833</v>
      </c>
      <c r="B80" s="27" t="s">
        <v>176</v>
      </c>
      <c r="C80" s="27" t="s">
        <v>177</v>
      </c>
      <c r="D80" s="27" t="s">
        <v>172</v>
      </c>
      <c r="E80" s="28">
        <v>23011.5</v>
      </c>
      <c r="F80" s="27" t="s">
        <v>4074</v>
      </c>
      <c r="G80" s="48"/>
      <c r="H80" s="47" t="str">
        <f t="shared" si="3"/>
        <v>CARIBE</v>
      </c>
      <c r="I80" s="6">
        <f t="shared" si="4"/>
        <v>23011.5</v>
      </c>
      <c r="J80" s="47">
        <f t="shared" si="5"/>
        <v>23011.5</v>
      </c>
      <c r="L80" s="44"/>
      <c r="M80" s="44"/>
      <c r="N80" s="44"/>
      <c r="O80" s="44"/>
      <c r="P80" s="44"/>
      <c r="Q80" s="44"/>
      <c r="R80" s="44"/>
      <c r="S80" s="44"/>
    </row>
    <row r="81" spans="1:19" ht="14.1" customHeight="1">
      <c r="A81" s="27" t="s">
        <v>3833</v>
      </c>
      <c r="B81" s="27" t="s">
        <v>176</v>
      </c>
      <c r="C81" s="27" t="s">
        <v>231</v>
      </c>
      <c r="D81" s="27" t="s">
        <v>172</v>
      </c>
      <c r="E81" s="28">
        <v>22799.69</v>
      </c>
      <c r="F81" s="27" t="s">
        <v>4073</v>
      </c>
      <c r="G81" s="48"/>
      <c r="H81" s="47" t="str">
        <f t="shared" si="3"/>
        <v>CARIBE</v>
      </c>
      <c r="I81" s="6">
        <f t="shared" si="4"/>
        <v>23114.399999999998</v>
      </c>
      <c r="J81" s="47">
        <f t="shared" si="5"/>
        <v>23114.399999999998</v>
      </c>
      <c r="L81" s="44"/>
      <c r="M81" s="44"/>
      <c r="N81" s="44"/>
      <c r="O81" s="44"/>
      <c r="P81" s="44"/>
      <c r="Q81" s="44"/>
      <c r="R81" s="44"/>
      <c r="S81" s="44"/>
    </row>
    <row r="82" spans="1:19" ht="14.1" customHeight="1">
      <c r="A82" s="27" t="s">
        <v>3833</v>
      </c>
      <c r="B82" s="27" t="s">
        <v>180</v>
      </c>
      <c r="C82" s="27" t="s">
        <v>181</v>
      </c>
      <c r="D82" s="27" t="s">
        <v>172</v>
      </c>
      <c r="E82" s="28">
        <v>34056.25</v>
      </c>
      <c r="F82" s="27" t="s">
        <v>4073</v>
      </c>
      <c r="G82" s="48"/>
      <c r="H82" s="47" t="str">
        <f t="shared" si="3"/>
        <v>CARIBE</v>
      </c>
      <c r="I82" s="6">
        <f t="shared" si="4"/>
        <v>34056.25</v>
      </c>
      <c r="J82" s="47">
        <f t="shared" si="5"/>
        <v>34056.25</v>
      </c>
      <c r="L82" s="44"/>
      <c r="M82" s="44"/>
      <c r="N82" s="44"/>
      <c r="O82" s="44"/>
      <c r="P82" s="44"/>
      <c r="Q82" s="44"/>
      <c r="R82" s="44"/>
      <c r="S82" s="44"/>
    </row>
    <row r="83" spans="1:19" ht="14.1" customHeight="1">
      <c r="A83" s="27" t="s">
        <v>3833</v>
      </c>
      <c r="B83" s="27" t="s">
        <v>180</v>
      </c>
      <c r="C83" s="27" t="s">
        <v>263</v>
      </c>
      <c r="D83" s="27" t="s">
        <v>172</v>
      </c>
      <c r="E83" s="28">
        <v>199043.33</v>
      </c>
      <c r="F83" s="27" t="s">
        <v>4073</v>
      </c>
      <c r="G83" s="48"/>
      <c r="H83" s="47" t="str">
        <f t="shared" si="3"/>
        <v>CARIBE</v>
      </c>
      <c r="I83" s="6">
        <f t="shared" si="4"/>
        <v>204744.54333333333</v>
      </c>
      <c r="J83" s="47">
        <f t="shared" si="5"/>
        <v>204744.54333333333</v>
      </c>
      <c r="L83" s="44"/>
      <c r="M83" s="44"/>
      <c r="N83" s="44"/>
      <c r="O83" s="44"/>
      <c r="P83" s="44"/>
      <c r="Q83" s="44"/>
      <c r="R83" s="44"/>
      <c r="S83" s="44"/>
    </row>
    <row r="84" spans="1:19" ht="14.1" customHeight="1">
      <c r="A84" s="27" t="s">
        <v>3833</v>
      </c>
      <c r="B84" s="27" t="s">
        <v>180</v>
      </c>
      <c r="C84" s="27" t="s">
        <v>277</v>
      </c>
      <c r="D84" s="27" t="s">
        <v>172</v>
      </c>
      <c r="E84" s="28">
        <v>90689.07</v>
      </c>
      <c r="F84" s="27" t="s">
        <v>4073</v>
      </c>
      <c r="G84" s="48"/>
      <c r="H84" s="47" t="str">
        <f t="shared" si="3"/>
        <v>CARIBE</v>
      </c>
      <c r="I84" s="6">
        <f t="shared" si="4"/>
        <v>90689.07</v>
      </c>
      <c r="J84" s="47">
        <f t="shared" si="5"/>
        <v>90689.07</v>
      </c>
      <c r="L84" s="44"/>
      <c r="M84" s="44"/>
      <c r="N84" s="44"/>
      <c r="O84" s="44"/>
      <c r="P84" s="44"/>
      <c r="Q84" s="44"/>
      <c r="R84" s="44"/>
      <c r="S84" s="44"/>
    </row>
    <row r="85" spans="1:19" ht="14.1" customHeight="1">
      <c r="A85" s="27" t="s">
        <v>3833</v>
      </c>
      <c r="B85" s="27" t="s">
        <v>180</v>
      </c>
      <c r="C85" s="27" t="s">
        <v>300</v>
      </c>
      <c r="D85" s="27" t="s">
        <v>172</v>
      </c>
      <c r="E85" s="28">
        <v>66141.87</v>
      </c>
      <c r="F85" s="27" t="s">
        <v>4073</v>
      </c>
      <c r="G85" s="48"/>
      <c r="H85" s="47" t="str">
        <f t="shared" si="3"/>
        <v>CARIBE</v>
      </c>
      <c r="I85" s="6">
        <f t="shared" si="4"/>
        <v>65872.78833333333</v>
      </c>
      <c r="J85" s="47">
        <f t="shared" si="5"/>
        <v>65872.78833333333</v>
      </c>
      <c r="L85" s="44"/>
      <c r="M85" s="44"/>
      <c r="N85" s="44"/>
      <c r="O85" s="44"/>
      <c r="P85" s="44"/>
      <c r="Q85" s="44"/>
      <c r="R85" s="44"/>
      <c r="S85" s="44"/>
    </row>
    <row r="86" spans="1:19" ht="14.1" customHeight="1">
      <c r="A86" s="27" t="s">
        <v>3833</v>
      </c>
      <c r="B86" s="27" t="s">
        <v>180</v>
      </c>
      <c r="C86" s="27" t="s">
        <v>242</v>
      </c>
      <c r="D86" s="27" t="s">
        <v>172</v>
      </c>
      <c r="E86" s="28">
        <v>34668.83</v>
      </c>
      <c r="F86" s="27" t="s">
        <v>4074</v>
      </c>
      <c r="G86" s="48"/>
      <c r="H86" s="47" t="str">
        <f t="shared" si="3"/>
        <v>CARIBE</v>
      </c>
      <c r="I86" s="6">
        <f t="shared" si="4"/>
        <v>34668.83</v>
      </c>
      <c r="J86" s="47">
        <f t="shared" si="5"/>
        <v>34668.83</v>
      </c>
      <c r="L86" s="44"/>
      <c r="M86" s="44"/>
      <c r="N86" s="44"/>
      <c r="O86" s="44"/>
      <c r="P86" s="44"/>
      <c r="Q86" s="44"/>
      <c r="R86" s="44"/>
      <c r="S86" s="44"/>
    </row>
    <row r="87" spans="1:19" ht="14.1" customHeight="1">
      <c r="A87" s="27" t="s">
        <v>3833</v>
      </c>
      <c r="B87" s="27" t="s">
        <v>180</v>
      </c>
      <c r="C87" s="27" t="s">
        <v>254</v>
      </c>
      <c r="D87" s="27" t="s">
        <v>172</v>
      </c>
      <c r="E87" s="28">
        <v>146171.37</v>
      </c>
      <c r="F87" s="27" t="s">
        <v>4073</v>
      </c>
      <c r="G87" s="48"/>
      <c r="H87" s="47" t="str">
        <f t="shared" si="3"/>
        <v>CARIBE</v>
      </c>
      <c r="I87" s="6">
        <f t="shared" si="4"/>
        <v>146171.37</v>
      </c>
      <c r="J87" s="47">
        <f t="shared" si="5"/>
        <v>146171.37</v>
      </c>
      <c r="L87" s="44"/>
      <c r="M87" s="44"/>
      <c r="N87" s="44"/>
      <c r="O87" s="44"/>
      <c r="P87" s="44"/>
      <c r="Q87" s="44"/>
      <c r="R87" s="44"/>
      <c r="S87" s="44"/>
    </row>
    <row r="88" spans="1:19" ht="14.1" customHeight="1">
      <c r="A88" s="27" t="s">
        <v>3833</v>
      </c>
      <c r="B88" s="27" t="s">
        <v>180</v>
      </c>
      <c r="C88" s="27" t="s">
        <v>305</v>
      </c>
      <c r="D88" s="27" t="s">
        <v>172</v>
      </c>
      <c r="E88" s="28">
        <v>74279.5</v>
      </c>
      <c r="F88" s="27" t="s">
        <v>4074</v>
      </c>
      <c r="G88" s="48"/>
      <c r="H88" s="47" t="str">
        <f t="shared" si="3"/>
        <v>CARIBE</v>
      </c>
      <c r="I88" s="6">
        <f t="shared" si="4"/>
        <v>74279.5</v>
      </c>
      <c r="J88" s="47">
        <f t="shared" si="5"/>
        <v>74279.5</v>
      </c>
      <c r="L88" s="44"/>
      <c r="M88" s="44"/>
      <c r="N88" s="44"/>
      <c r="O88" s="44"/>
      <c r="P88" s="44"/>
      <c r="Q88" s="44"/>
      <c r="R88" s="44"/>
      <c r="S88" s="44"/>
    </row>
    <row r="89" spans="1:19" ht="14.1" customHeight="1">
      <c r="A89" s="27" t="s">
        <v>3833</v>
      </c>
      <c r="B89" s="27" t="s">
        <v>180</v>
      </c>
      <c r="C89" s="27" t="s">
        <v>297</v>
      </c>
      <c r="D89" s="27" t="s">
        <v>172</v>
      </c>
      <c r="E89" s="28">
        <v>149375.29999999999</v>
      </c>
      <c r="F89" s="27" t="s">
        <v>4073</v>
      </c>
      <c r="G89" s="48"/>
      <c r="H89" s="47" t="str">
        <f t="shared" si="3"/>
        <v>CARIBE</v>
      </c>
      <c r="I89" s="6">
        <f t="shared" si="4"/>
        <v>149375.30000000002</v>
      </c>
      <c r="J89" s="47">
        <f t="shared" si="5"/>
        <v>149375.30000000002</v>
      </c>
      <c r="L89" s="44"/>
      <c r="M89" s="44"/>
      <c r="N89" s="44"/>
      <c r="O89" s="44"/>
      <c r="P89" s="44"/>
      <c r="Q89" s="44"/>
      <c r="R89" s="44"/>
      <c r="S89" s="44"/>
    </row>
    <row r="90" spans="1:19" ht="14.1" customHeight="1">
      <c r="A90" s="27" t="s">
        <v>3833</v>
      </c>
      <c r="B90" s="27" t="s">
        <v>180</v>
      </c>
      <c r="C90" s="27" t="s">
        <v>314</v>
      </c>
      <c r="D90" s="27" t="s">
        <v>172</v>
      </c>
      <c r="E90" s="28">
        <v>28103.200000000001</v>
      </c>
      <c r="F90" s="27" t="s">
        <v>4073</v>
      </c>
      <c r="G90" s="48"/>
      <c r="H90" s="47" t="str">
        <f t="shared" si="3"/>
        <v>CARIBE</v>
      </c>
      <c r="I90" s="6">
        <f t="shared" si="4"/>
        <v>28103.200000000001</v>
      </c>
      <c r="J90" s="47">
        <f t="shared" si="5"/>
        <v>28103.200000000001</v>
      </c>
      <c r="L90" s="44"/>
      <c r="M90" s="44"/>
      <c r="N90" s="44"/>
      <c r="O90" s="44"/>
      <c r="P90" s="44"/>
      <c r="Q90" s="44"/>
      <c r="R90" s="44"/>
      <c r="S90" s="44"/>
    </row>
    <row r="91" spans="1:19" ht="14.1" customHeight="1">
      <c r="A91" s="27" t="s">
        <v>3833</v>
      </c>
      <c r="B91" s="27" t="s">
        <v>180</v>
      </c>
      <c r="C91" s="27" t="s">
        <v>182</v>
      </c>
      <c r="D91" s="27" t="s">
        <v>172</v>
      </c>
      <c r="E91" s="28">
        <v>151029.59</v>
      </c>
      <c r="F91" s="27" t="s">
        <v>4073</v>
      </c>
      <c r="G91" s="48"/>
      <c r="H91" s="47" t="str">
        <f t="shared" si="3"/>
        <v>CARIBE</v>
      </c>
      <c r="I91" s="6">
        <f t="shared" si="4"/>
        <v>151029.59</v>
      </c>
      <c r="J91" s="47">
        <f t="shared" si="5"/>
        <v>151029.59</v>
      </c>
      <c r="L91" s="44"/>
      <c r="M91" s="44"/>
      <c r="N91" s="44"/>
      <c r="O91" s="44"/>
      <c r="P91" s="44"/>
      <c r="Q91" s="44"/>
      <c r="R91" s="44"/>
      <c r="S91" s="44"/>
    </row>
    <row r="92" spans="1:19" ht="14.1" customHeight="1">
      <c r="A92" s="27" t="s">
        <v>4075</v>
      </c>
      <c r="B92" s="27" t="s">
        <v>4072</v>
      </c>
      <c r="C92" s="27" t="s">
        <v>316</v>
      </c>
      <c r="D92" s="27" t="s">
        <v>172</v>
      </c>
      <c r="E92" s="28">
        <v>46561.36</v>
      </c>
      <c r="F92" s="27" t="s">
        <v>4074</v>
      </c>
      <c r="G92" s="48"/>
      <c r="H92" s="47" t="str">
        <f t="shared" si="3"/>
        <v>ANDINA</v>
      </c>
      <c r="I92" s="6">
        <f t="shared" si="4"/>
        <v>46561.36</v>
      </c>
      <c r="J92" s="47">
        <f t="shared" si="5"/>
        <v>46561.36</v>
      </c>
      <c r="L92" s="46"/>
      <c r="M92" s="46"/>
      <c r="N92" s="46"/>
      <c r="O92" s="46"/>
      <c r="P92" s="46"/>
      <c r="Q92" s="46"/>
      <c r="R92" s="46"/>
      <c r="S92" s="46"/>
    </row>
    <row r="93" spans="1:19" ht="14.1" customHeight="1">
      <c r="A93" s="27" t="s">
        <v>4075</v>
      </c>
      <c r="B93" s="27" t="s">
        <v>137</v>
      </c>
      <c r="C93" s="27" t="s">
        <v>291</v>
      </c>
      <c r="D93" s="27" t="s">
        <v>172</v>
      </c>
      <c r="E93" s="28">
        <v>22147.65</v>
      </c>
      <c r="F93" s="27" t="s">
        <v>4074</v>
      </c>
      <c r="G93" s="48"/>
      <c r="H93" s="47" t="str">
        <f t="shared" si="3"/>
        <v>ANDINA</v>
      </c>
      <c r="I93" s="6">
        <f t="shared" si="4"/>
        <v>22147.65</v>
      </c>
      <c r="J93" s="47">
        <f t="shared" si="5"/>
        <v>22147.65</v>
      </c>
      <c r="L93" s="44"/>
      <c r="M93" s="44"/>
      <c r="N93" s="44"/>
      <c r="O93" s="44"/>
      <c r="P93" s="44"/>
      <c r="Q93" s="44"/>
      <c r="R93" s="44"/>
      <c r="S93" s="44"/>
    </row>
    <row r="94" spans="1:19" ht="14.1" customHeight="1">
      <c r="A94" s="27" t="s">
        <v>4075</v>
      </c>
      <c r="B94" s="27" t="s">
        <v>137</v>
      </c>
      <c r="C94" s="27" t="s">
        <v>243</v>
      </c>
      <c r="D94" s="27" t="s">
        <v>172</v>
      </c>
      <c r="E94" s="28">
        <v>23388.89</v>
      </c>
      <c r="F94" s="27" t="s">
        <v>4074</v>
      </c>
      <c r="G94" s="48"/>
      <c r="H94" s="47" t="str">
        <f t="shared" si="3"/>
        <v>ANDINA</v>
      </c>
      <c r="I94" s="6">
        <f t="shared" si="4"/>
        <v>23388.89</v>
      </c>
      <c r="J94" s="47">
        <f t="shared" si="5"/>
        <v>23388.89</v>
      </c>
      <c r="L94" s="44"/>
      <c r="M94" s="44"/>
      <c r="N94" s="44"/>
      <c r="O94" s="44"/>
      <c r="P94" s="44"/>
      <c r="Q94" s="44"/>
      <c r="R94" s="44"/>
      <c r="S94" s="44"/>
    </row>
    <row r="95" spans="1:19" ht="14.1" customHeight="1">
      <c r="A95" s="27" t="s">
        <v>4075</v>
      </c>
      <c r="B95" s="27" t="s">
        <v>137</v>
      </c>
      <c r="C95" s="27" t="s">
        <v>237</v>
      </c>
      <c r="D95" s="27" t="s">
        <v>172</v>
      </c>
      <c r="E95" s="28">
        <v>30266.67</v>
      </c>
      <c r="F95" s="27" t="s">
        <v>4074</v>
      </c>
      <c r="G95" s="48"/>
      <c r="H95" s="47" t="str">
        <f t="shared" si="3"/>
        <v>ANDINA</v>
      </c>
      <c r="I95" s="6">
        <f t="shared" si="4"/>
        <v>30266.67</v>
      </c>
      <c r="J95" s="47">
        <f t="shared" si="5"/>
        <v>30266.67</v>
      </c>
      <c r="L95" s="44"/>
      <c r="M95" s="44"/>
      <c r="N95" s="44"/>
      <c r="O95" s="44"/>
      <c r="P95" s="44"/>
      <c r="Q95" s="44"/>
      <c r="R95" s="44"/>
      <c r="S95" s="44"/>
    </row>
    <row r="96" spans="1:19" ht="14.1" customHeight="1">
      <c r="A96" s="27" t="s">
        <v>4075</v>
      </c>
      <c r="B96" s="27" t="s">
        <v>137</v>
      </c>
      <c r="C96" s="27" t="s">
        <v>246</v>
      </c>
      <c r="D96" s="27" t="s">
        <v>172</v>
      </c>
      <c r="E96" s="28">
        <v>53700</v>
      </c>
      <c r="F96" s="27" t="s">
        <v>4074</v>
      </c>
      <c r="G96" s="48"/>
      <c r="H96" s="47" t="str">
        <f t="shared" si="3"/>
        <v>ANDINA</v>
      </c>
      <c r="I96" s="6">
        <f t="shared" si="4"/>
        <v>53700</v>
      </c>
      <c r="J96" s="47">
        <f t="shared" si="5"/>
        <v>53700</v>
      </c>
      <c r="L96" s="44"/>
      <c r="M96" s="44"/>
      <c r="N96" s="44"/>
      <c r="O96" s="44"/>
      <c r="P96" s="44"/>
      <c r="Q96" s="44"/>
      <c r="R96" s="44"/>
      <c r="S96" s="44"/>
    </row>
    <row r="97" spans="1:19" ht="14.1" customHeight="1">
      <c r="A97" s="27" t="s">
        <v>4075</v>
      </c>
      <c r="B97" s="27" t="s">
        <v>170</v>
      </c>
      <c r="C97" s="27" t="s">
        <v>259</v>
      </c>
      <c r="D97" s="27" t="s">
        <v>172</v>
      </c>
      <c r="E97" s="28">
        <v>297170.71000000002</v>
      </c>
      <c r="F97" s="27" t="s">
        <v>4074</v>
      </c>
      <c r="G97" s="48"/>
      <c r="H97" s="47" t="str">
        <f t="shared" si="3"/>
        <v>ANDINA</v>
      </c>
      <c r="I97" s="6">
        <f t="shared" si="4"/>
        <v>297170.71000000002</v>
      </c>
      <c r="J97" s="47">
        <f t="shared" si="5"/>
        <v>297170.71000000002</v>
      </c>
      <c r="L97" s="44"/>
      <c r="M97" s="44"/>
      <c r="N97" s="44"/>
      <c r="O97" s="44"/>
      <c r="P97" s="44"/>
      <c r="Q97" s="44"/>
      <c r="R97" s="44"/>
      <c r="S97" s="44"/>
    </row>
    <row r="98" spans="1:19" ht="14.1" customHeight="1">
      <c r="A98" s="27" t="s">
        <v>4075</v>
      </c>
      <c r="B98" s="27" t="s">
        <v>170</v>
      </c>
      <c r="C98" s="27" t="s">
        <v>276</v>
      </c>
      <c r="D98" s="27" t="s">
        <v>172</v>
      </c>
      <c r="E98" s="28">
        <v>83726.98</v>
      </c>
      <c r="F98" s="27" t="s">
        <v>4073</v>
      </c>
      <c r="G98" s="48"/>
      <c r="H98" s="47" t="str">
        <f t="shared" si="3"/>
        <v>ANDINA</v>
      </c>
      <c r="I98" s="6">
        <f t="shared" si="4"/>
        <v>83734.880909090891</v>
      </c>
      <c r="J98" s="47">
        <f t="shared" si="5"/>
        <v>83734.880909090891</v>
      </c>
      <c r="L98" s="44"/>
      <c r="M98" s="44"/>
      <c r="N98" s="44"/>
      <c r="O98" s="44"/>
      <c r="P98" s="44"/>
      <c r="Q98" s="44"/>
      <c r="R98" s="44"/>
      <c r="S98" s="44"/>
    </row>
    <row r="99" spans="1:19" ht="14.1" customHeight="1">
      <c r="A99" s="27" t="s">
        <v>4075</v>
      </c>
      <c r="B99" s="27" t="s">
        <v>170</v>
      </c>
      <c r="C99" s="27" t="s">
        <v>240</v>
      </c>
      <c r="D99" s="27" t="s">
        <v>172</v>
      </c>
      <c r="E99" s="28">
        <v>23574.34</v>
      </c>
      <c r="F99" s="27" t="s">
        <v>4073</v>
      </c>
      <c r="G99" s="48"/>
      <c r="H99" s="47" t="str">
        <f t="shared" si="3"/>
        <v>ANDINA</v>
      </c>
      <c r="I99" s="6">
        <f t="shared" si="4"/>
        <v>24304.165454545455</v>
      </c>
      <c r="J99" s="47">
        <f t="shared" si="5"/>
        <v>24304.165454545455</v>
      </c>
      <c r="L99" s="44"/>
      <c r="M99" s="44"/>
      <c r="N99" s="44"/>
      <c r="O99" s="44"/>
      <c r="P99" s="44"/>
      <c r="Q99" s="44"/>
      <c r="R99" s="44"/>
      <c r="S99" s="44"/>
    </row>
    <row r="100" spans="1:19" ht="14.1" customHeight="1">
      <c r="A100" s="27" t="s">
        <v>4075</v>
      </c>
      <c r="B100" s="27" t="s">
        <v>170</v>
      </c>
      <c r="C100" s="27" t="s">
        <v>251</v>
      </c>
      <c r="D100" s="27" t="s">
        <v>226</v>
      </c>
      <c r="E100" s="28">
        <v>61445.54</v>
      </c>
      <c r="F100" s="27" t="s">
        <v>4073</v>
      </c>
      <c r="G100" s="48"/>
      <c r="H100" s="47" t="str">
        <f t="shared" si="3"/>
        <v>ANDINA</v>
      </c>
      <c r="I100" s="6">
        <f t="shared" si="4"/>
        <v>61410.171818181821</v>
      </c>
      <c r="J100" s="47">
        <f t="shared" si="5"/>
        <v>61410.171818181821</v>
      </c>
      <c r="L100" s="44"/>
      <c r="M100" s="44"/>
      <c r="N100" s="44"/>
      <c r="O100" s="44"/>
      <c r="P100" s="44"/>
      <c r="Q100" s="44"/>
      <c r="R100" s="44"/>
      <c r="S100" s="44"/>
    </row>
    <row r="101" spans="1:19" ht="14.1" customHeight="1">
      <c r="A101" s="27" t="s">
        <v>4075</v>
      </c>
      <c r="B101" s="27" t="s">
        <v>170</v>
      </c>
      <c r="C101" s="27" t="s">
        <v>256</v>
      </c>
      <c r="D101" s="27" t="s">
        <v>172</v>
      </c>
      <c r="E101" s="28">
        <v>31981.3</v>
      </c>
      <c r="F101" s="27" t="s">
        <v>4074</v>
      </c>
      <c r="G101" s="48"/>
      <c r="H101" s="47" t="str">
        <f t="shared" si="3"/>
        <v>ANDINA</v>
      </c>
      <c r="I101" s="6">
        <f t="shared" si="4"/>
        <v>31981.3</v>
      </c>
      <c r="J101" s="47">
        <f t="shared" si="5"/>
        <v>31981.3</v>
      </c>
      <c r="L101" s="44"/>
      <c r="M101" s="44"/>
      <c r="N101" s="44"/>
      <c r="O101" s="44"/>
      <c r="P101" s="44"/>
      <c r="Q101" s="44"/>
      <c r="R101" s="44"/>
      <c r="S101" s="44"/>
    </row>
    <row r="102" spans="1:19" ht="14.1" customHeight="1">
      <c r="A102" s="27" t="s">
        <v>4075</v>
      </c>
      <c r="B102" s="27" t="s">
        <v>170</v>
      </c>
      <c r="C102" s="27" t="s">
        <v>311</v>
      </c>
      <c r="D102" s="27" t="s">
        <v>172</v>
      </c>
      <c r="E102" s="28">
        <v>41870.720000000001</v>
      </c>
      <c r="F102" s="27" t="s">
        <v>4074</v>
      </c>
      <c r="G102" s="48"/>
      <c r="H102" s="47" t="str">
        <f t="shared" si="3"/>
        <v>ANDINA</v>
      </c>
      <c r="I102" s="6">
        <f t="shared" si="4"/>
        <v>41870.720000000001</v>
      </c>
      <c r="J102" s="47">
        <f t="shared" si="5"/>
        <v>41870.720000000001</v>
      </c>
      <c r="L102" s="44"/>
      <c r="M102" s="44"/>
      <c r="N102" s="44"/>
      <c r="O102" s="44"/>
      <c r="P102" s="44"/>
      <c r="Q102" s="44"/>
      <c r="R102" s="44"/>
      <c r="S102" s="44"/>
    </row>
    <row r="103" spans="1:19" ht="14.1" customHeight="1">
      <c r="A103" s="27" t="s">
        <v>4075</v>
      </c>
      <c r="B103" s="27" t="s">
        <v>170</v>
      </c>
      <c r="C103" s="27" t="s">
        <v>171</v>
      </c>
      <c r="D103" s="27" t="s">
        <v>172</v>
      </c>
      <c r="E103" s="28">
        <v>115879.72</v>
      </c>
      <c r="F103" s="27" t="s">
        <v>4073</v>
      </c>
      <c r="G103" s="48"/>
      <c r="H103" s="47" t="str">
        <f t="shared" si="3"/>
        <v>ANDINA</v>
      </c>
      <c r="I103" s="6">
        <f t="shared" si="4"/>
        <v>117943.50181818182</v>
      </c>
      <c r="J103" s="47">
        <f t="shared" si="5"/>
        <v>117943.50181818182</v>
      </c>
      <c r="L103" s="44"/>
      <c r="M103" s="44"/>
      <c r="N103" s="44"/>
      <c r="O103" s="44"/>
      <c r="P103" s="44"/>
      <c r="Q103" s="44"/>
      <c r="R103" s="44"/>
      <c r="S103" s="44"/>
    </row>
    <row r="104" spans="1:19" ht="14.1" customHeight="1">
      <c r="A104" s="27" t="s">
        <v>4075</v>
      </c>
      <c r="B104" s="27" t="s">
        <v>170</v>
      </c>
      <c r="C104" s="27" t="s">
        <v>252</v>
      </c>
      <c r="D104" s="27" t="s">
        <v>226</v>
      </c>
      <c r="E104" s="28">
        <v>22613.67</v>
      </c>
      <c r="F104" s="27" t="s">
        <v>4074</v>
      </c>
      <c r="G104" s="48"/>
      <c r="H104" s="47" t="str">
        <f t="shared" si="3"/>
        <v>ANDINA</v>
      </c>
      <c r="I104" s="6">
        <f t="shared" si="4"/>
        <v>22613.67</v>
      </c>
      <c r="J104" s="47">
        <f t="shared" si="5"/>
        <v>22613.67</v>
      </c>
      <c r="L104" s="44"/>
      <c r="M104" s="44"/>
      <c r="N104" s="44"/>
      <c r="O104" s="44"/>
      <c r="P104" s="44"/>
      <c r="Q104" s="44"/>
      <c r="R104" s="44"/>
      <c r="S104" s="44"/>
    </row>
    <row r="105" spans="1:19" ht="14.1" customHeight="1">
      <c r="A105" s="27" t="s">
        <v>4075</v>
      </c>
      <c r="B105" s="27" t="s">
        <v>170</v>
      </c>
      <c r="C105" s="27" t="s">
        <v>296</v>
      </c>
      <c r="D105" s="27" t="s">
        <v>226</v>
      </c>
      <c r="E105" s="28">
        <v>23167.62</v>
      </c>
      <c r="F105" s="27" t="s">
        <v>4073</v>
      </c>
      <c r="G105" s="48"/>
      <c r="H105" s="47" t="str">
        <f t="shared" si="3"/>
        <v>ANDINA</v>
      </c>
      <c r="I105" s="6">
        <f t="shared" si="4"/>
        <v>23368.076363636363</v>
      </c>
      <c r="J105" s="47">
        <f t="shared" si="5"/>
        <v>23368.076363636363</v>
      </c>
      <c r="L105" s="44"/>
      <c r="M105" s="44"/>
      <c r="N105" s="44"/>
      <c r="O105" s="44"/>
      <c r="P105" s="44"/>
      <c r="Q105" s="44"/>
      <c r="R105" s="44"/>
      <c r="S105" s="44"/>
    </row>
    <row r="106" spans="1:19" ht="14.1" customHeight="1">
      <c r="A106" s="27" t="s">
        <v>4075</v>
      </c>
      <c r="B106" s="27" t="s">
        <v>170</v>
      </c>
      <c r="C106" s="27" t="s">
        <v>173</v>
      </c>
      <c r="D106" s="27" t="s">
        <v>172</v>
      </c>
      <c r="E106" s="28">
        <v>154533.19</v>
      </c>
      <c r="F106" s="27" t="s">
        <v>4074</v>
      </c>
      <c r="G106" s="48"/>
      <c r="H106" s="47" t="str">
        <f t="shared" si="3"/>
        <v>ANDINA</v>
      </c>
      <c r="I106" s="6">
        <f t="shared" si="4"/>
        <v>154533.19</v>
      </c>
      <c r="J106" s="47">
        <f t="shared" si="5"/>
        <v>154533.19</v>
      </c>
      <c r="L106" s="44"/>
      <c r="M106" s="44"/>
      <c r="N106" s="44"/>
      <c r="O106" s="44"/>
      <c r="P106" s="44"/>
      <c r="Q106" s="44"/>
      <c r="R106" s="44"/>
      <c r="S106" s="44"/>
    </row>
    <row r="107" spans="1:19" ht="14.1" customHeight="1">
      <c r="A107" s="27" t="s">
        <v>4075</v>
      </c>
      <c r="B107" s="27" t="s">
        <v>170</v>
      </c>
      <c r="C107" s="27" t="s">
        <v>225</v>
      </c>
      <c r="D107" s="27" t="s">
        <v>226</v>
      </c>
      <c r="E107" s="28">
        <v>43750</v>
      </c>
      <c r="F107" s="27" t="s">
        <v>4074</v>
      </c>
      <c r="G107" s="48"/>
      <c r="H107" s="47" t="str">
        <f t="shared" si="3"/>
        <v>ANDINA</v>
      </c>
      <c r="I107" s="6">
        <f t="shared" si="4"/>
        <v>43750</v>
      </c>
      <c r="J107" s="47">
        <f t="shared" si="5"/>
        <v>43750</v>
      </c>
      <c r="L107" s="44"/>
      <c r="M107" s="44"/>
      <c r="N107" s="44"/>
      <c r="O107" s="44"/>
      <c r="P107" s="44"/>
      <c r="Q107" s="44"/>
      <c r="R107" s="44"/>
      <c r="S107" s="44"/>
    </row>
    <row r="108" spans="1:19" ht="14.1" customHeight="1">
      <c r="A108" s="27" t="s">
        <v>4075</v>
      </c>
      <c r="B108" s="27" t="s">
        <v>176</v>
      </c>
      <c r="C108" s="27" t="s">
        <v>262</v>
      </c>
      <c r="D108" s="27" t="s">
        <v>172</v>
      </c>
      <c r="E108" s="28">
        <v>21100.29</v>
      </c>
      <c r="F108" s="27" t="s">
        <v>4074</v>
      </c>
      <c r="G108" s="48"/>
      <c r="H108" s="47" t="str">
        <f t="shared" si="3"/>
        <v>ANDINA</v>
      </c>
      <c r="I108" s="6">
        <f t="shared" si="4"/>
        <v>21100.29</v>
      </c>
      <c r="J108" s="47">
        <f t="shared" si="5"/>
        <v>21100.29</v>
      </c>
      <c r="L108" s="44"/>
      <c r="M108" s="44"/>
      <c r="N108" s="44"/>
      <c r="O108" s="44"/>
      <c r="P108" s="44"/>
      <c r="Q108" s="44"/>
      <c r="R108" s="44"/>
      <c r="S108" s="44"/>
    </row>
    <row r="109" spans="1:19" ht="14.1" customHeight="1">
      <c r="A109" s="27" t="s">
        <v>4075</v>
      </c>
      <c r="B109" s="27" t="s">
        <v>176</v>
      </c>
      <c r="C109" s="27" t="s">
        <v>253</v>
      </c>
      <c r="D109" s="27" t="s">
        <v>172</v>
      </c>
      <c r="E109" s="28">
        <v>24023.33</v>
      </c>
      <c r="F109" s="27" t="s">
        <v>4073</v>
      </c>
      <c r="G109" s="48"/>
      <c r="H109" s="47" t="str">
        <f t="shared" si="3"/>
        <v>ANDINA</v>
      </c>
      <c r="I109" s="6">
        <f t="shared" si="4"/>
        <v>25145.120909090914</v>
      </c>
      <c r="J109" s="47">
        <f t="shared" si="5"/>
        <v>25145.120909090914</v>
      </c>
      <c r="L109" s="44"/>
      <c r="M109" s="44"/>
      <c r="N109" s="44"/>
      <c r="O109" s="44"/>
      <c r="P109" s="44"/>
      <c r="Q109" s="44"/>
      <c r="R109" s="44"/>
      <c r="S109" s="44"/>
    </row>
    <row r="110" spans="1:19" ht="14.1" customHeight="1">
      <c r="A110" s="27" t="s">
        <v>4075</v>
      </c>
      <c r="B110" s="27" t="s">
        <v>176</v>
      </c>
      <c r="C110" s="27" t="s">
        <v>177</v>
      </c>
      <c r="D110" s="27" t="s">
        <v>172</v>
      </c>
      <c r="E110" s="28">
        <v>20856.28</v>
      </c>
      <c r="F110" s="27" t="s">
        <v>4074</v>
      </c>
      <c r="G110" s="48"/>
      <c r="H110" s="47" t="str">
        <f t="shared" si="3"/>
        <v>ANDINA</v>
      </c>
      <c r="I110" s="6">
        <f t="shared" si="4"/>
        <v>20856.28</v>
      </c>
      <c r="J110" s="47">
        <f t="shared" si="5"/>
        <v>20856.28</v>
      </c>
      <c r="L110" s="44"/>
      <c r="M110" s="44"/>
      <c r="N110" s="44"/>
      <c r="O110" s="44"/>
      <c r="P110" s="44"/>
      <c r="Q110" s="44"/>
      <c r="R110" s="44"/>
      <c r="S110" s="44"/>
    </row>
    <row r="111" spans="1:19" ht="14.1" customHeight="1">
      <c r="A111" s="27" t="s">
        <v>4075</v>
      </c>
      <c r="B111" s="27" t="s">
        <v>176</v>
      </c>
      <c r="C111" s="27" t="s">
        <v>231</v>
      </c>
      <c r="D111" s="27" t="s">
        <v>172</v>
      </c>
      <c r="E111" s="28">
        <v>21851.11</v>
      </c>
      <c r="F111" s="27" t="s">
        <v>4074</v>
      </c>
      <c r="G111" s="48"/>
      <c r="H111" s="47" t="str">
        <f t="shared" si="3"/>
        <v>ANDINA</v>
      </c>
      <c r="I111" s="6">
        <f t="shared" si="4"/>
        <v>21851.11</v>
      </c>
      <c r="J111" s="47">
        <f t="shared" si="5"/>
        <v>21851.11</v>
      </c>
      <c r="L111" s="44"/>
      <c r="M111" s="44"/>
      <c r="N111" s="44"/>
      <c r="O111" s="44"/>
      <c r="P111" s="44"/>
      <c r="Q111" s="44"/>
      <c r="R111" s="44"/>
      <c r="S111" s="44"/>
    </row>
    <row r="112" spans="1:19" ht="14.1" customHeight="1">
      <c r="A112" s="27" t="s">
        <v>4075</v>
      </c>
      <c r="B112" s="27" t="s">
        <v>180</v>
      </c>
      <c r="C112" s="27" t="s">
        <v>181</v>
      </c>
      <c r="D112" s="27" t="s">
        <v>172</v>
      </c>
      <c r="E112" s="28">
        <v>34056.25</v>
      </c>
      <c r="F112" s="27" t="s">
        <v>4073</v>
      </c>
      <c r="G112" s="48"/>
      <c r="H112" s="47" t="str">
        <f t="shared" si="3"/>
        <v>ANDINA</v>
      </c>
      <c r="I112" s="6">
        <f t="shared" si="4"/>
        <v>33820.26545454545</v>
      </c>
      <c r="J112" s="47">
        <f t="shared" si="5"/>
        <v>33820.26545454545</v>
      </c>
      <c r="L112" s="44"/>
      <c r="M112" s="44"/>
      <c r="N112" s="44"/>
      <c r="O112" s="44"/>
      <c r="P112" s="44"/>
      <c r="Q112" s="44"/>
      <c r="R112" s="44"/>
      <c r="S112" s="44"/>
    </row>
    <row r="113" spans="1:19" ht="14.1" customHeight="1">
      <c r="A113" s="27" t="s">
        <v>4075</v>
      </c>
      <c r="B113" s="27" t="s">
        <v>180</v>
      </c>
      <c r="C113" s="27" t="s">
        <v>263</v>
      </c>
      <c r="D113" s="27" t="s">
        <v>172</v>
      </c>
      <c r="E113" s="28">
        <v>198204.32</v>
      </c>
      <c r="F113" s="27" t="s">
        <v>4074</v>
      </c>
      <c r="G113" s="48"/>
      <c r="H113" s="47" t="str">
        <f t="shared" si="3"/>
        <v>ANDINA</v>
      </c>
      <c r="I113" s="6">
        <f t="shared" si="4"/>
        <v>198204.32</v>
      </c>
      <c r="J113" s="47">
        <f t="shared" si="5"/>
        <v>198204.32</v>
      </c>
      <c r="L113" s="44"/>
      <c r="M113" s="44"/>
      <c r="N113" s="44"/>
      <c r="O113" s="44"/>
      <c r="P113" s="44"/>
      <c r="Q113" s="44"/>
      <c r="R113" s="44"/>
      <c r="S113" s="44"/>
    </row>
    <row r="114" spans="1:19" ht="14.1" customHeight="1">
      <c r="A114" s="27" t="s">
        <v>4075</v>
      </c>
      <c r="B114" s="27" t="s">
        <v>180</v>
      </c>
      <c r="C114" s="27" t="s">
        <v>277</v>
      </c>
      <c r="D114" s="27" t="s">
        <v>172</v>
      </c>
      <c r="E114" s="28">
        <v>84750</v>
      </c>
      <c r="F114" s="27" t="s">
        <v>4074</v>
      </c>
      <c r="G114" s="48"/>
      <c r="H114" s="47" t="str">
        <f t="shared" si="3"/>
        <v>ANDINA</v>
      </c>
      <c r="I114" s="6">
        <f t="shared" si="4"/>
        <v>84750</v>
      </c>
      <c r="J114" s="47">
        <f t="shared" si="5"/>
        <v>84750</v>
      </c>
      <c r="L114" s="44"/>
      <c r="M114" s="44"/>
      <c r="N114" s="44"/>
      <c r="O114" s="44"/>
      <c r="P114" s="44"/>
      <c r="Q114" s="44"/>
      <c r="R114" s="44"/>
      <c r="S114" s="44"/>
    </row>
    <row r="115" spans="1:19" ht="14.1" customHeight="1">
      <c r="A115" s="27" t="s">
        <v>4075</v>
      </c>
      <c r="B115" s="27" t="s">
        <v>180</v>
      </c>
      <c r="C115" s="27" t="s">
        <v>300</v>
      </c>
      <c r="D115" s="27" t="s">
        <v>172</v>
      </c>
      <c r="E115" s="28">
        <v>72465.69</v>
      </c>
      <c r="F115" s="27" t="s">
        <v>4074</v>
      </c>
      <c r="G115" s="48"/>
      <c r="H115" s="47" t="str">
        <f t="shared" si="3"/>
        <v>ANDINA</v>
      </c>
      <c r="I115" s="6">
        <f t="shared" si="4"/>
        <v>72465.69</v>
      </c>
      <c r="J115" s="47">
        <f t="shared" si="5"/>
        <v>72465.69</v>
      </c>
      <c r="L115" s="44"/>
      <c r="M115" s="44"/>
      <c r="N115" s="44"/>
      <c r="O115" s="44"/>
      <c r="P115" s="44"/>
      <c r="Q115" s="44"/>
      <c r="R115" s="44"/>
      <c r="S115" s="44"/>
    </row>
    <row r="116" spans="1:19" ht="14.1" customHeight="1">
      <c r="A116" s="27" t="s">
        <v>4075</v>
      </c>
      <c r="B116" s="27" t="s">
        <v>180</v>
      </c>
      <c r="C116" s="27" t="s">
        <v>242</v>
      </c>
      <c r="D116" s="27" t="s">
        <v>172</v>
      </c>
      <c r="E116" s="28">
        <v>29943</v>
      </c>
      <c r="F116" s="27" t="s">
        <v>4074</v>
      </c>
      <c r="G116" s="48"/>
      <c r="H116" s="47" t="str">
        <f t="shared" si="3"/>
        <v>ANDINA</v>
      </c>
      <c r="I116" s="6">
        <f t="shared" si="4"/>
        <v>29943</v>
      </c>
      <c r="J116" s="47">
        <f t="shared" si="5"/>
        <v>29943</v>
      </c>
      <c r="L116" s="44"/>
      <c r="M116" s="44"/>
      <c r="N116" s="44"/>
      <c r="O116" s="44"/>
      <c r="P116" s="44"/>
      <c r="Q116" s="44"/>
      <c r="R116" s="44"/>
      <c r="S116" s="44"/>
    </row>
    <row r="117" spans="1:19" ht="14.1" customHeight="1">
      <c r="A117" s="27" t="s">
        <v>4075</v>
      </c>
      <c r="B117" s="27" t="s">
        <v>180</v>
      </c>
      <c r="C117" s="27" t="s">
        <v>254</v>
      </c>
      <c r="D117" s="27" t="s">
        <v>172</v>
      </c>
      <c r="E117" s="28">
        <v>141745.37</v>
      </c>
      <c r="F117" s="27" t="s">
        <v>4074</v>
      </c>
      <c r="G117" s="48"/>
      <c r="H117" s="47" t="str">
        <f t="shared" si="3"/>
        <v>ANDINA</v>
      </c>
      <c r="I117" s="6">
        <f t="shared" si="4"/>
        <v>141745.37</v>
      </c>
      <c r="J117" s="47">
        <f t="shared" si="5"/>
        <v>141745.37</v>
      </c>
      <c r="L117" s="44"/>
      <c r="M117" s="44"/>
      <c r="N117" s="44"/>
      <c r="O117" s="44"/>
      <c r="P117" s="44"/>
      <c r="Q117" s="44"/>
      <c r="R117" s="44"/>
      <c r="S117" s="44"/>
    </row>
    <row r="118" spans="1:19" ht="14.1" customHeight="1">
      <c r="A118" s="27" t="s">
        <v>4075</v>
      </c>
      <c r="B118" s="27" t="s">
        <v>180</v>
      </c>
      <c r="C118" s="27" t="s">
        <v>305</v>
      </c>
      <c r="D118" s="27" t="s">
        <v>172</v>
      </c>
      <c r="E118" s="28">
        <v>75604.160000000003</v>
      </c>
      <c r="F118" s="27" t="s">
        <v>4074</v>
      </c>
      <c r="G118" s="48"/>
      <c r="H118" s="47" t="str">
        <f t="shared" si="3"/>
        <v>ANDINA</v>
      </c>
      <c r="I118" s="6">
        <f t="shared" si="4"/>
        <v>75604.160000000003</v>
      </c>
      <c r="J118" s="47">
        <f t="shared" si="5"/>
        <v>75604.160000000003</v>
      </c>
      <c r="L118" s="44"/>
      <c r="M118" s="44"/>
      <c r="N118" s="44"/>
      <c r="O118" s="44"/>
      <c r="P118" s="44"/>
      <c r="Q118" s="44"/>
      <c r="R118" s="44"/>
      <c r="S118" s="44"/>
    </row>
    <row r="119" spans="1:19" ht="14.1" customHeight="1">
      <c r="A119" s="27" t="s">
        <v>4075</v>
      </c>
      <c r="B119" s="27" t="s">
        <v>180</v>
      </c>
      <c r="C119" s="27" t="s">
        <v>297</v>
      </c>
      <c r="D119" s="27" t="s">
        <v>172</v>
      </c>
      <c r="E119" s="28">
        <v>149375.29999999999</v>
      </c>
      <c r="F119" s="27" t="s">
        <v>4073</v>
      </c>
      <c r="G119" s="48"/>
      <c r="H119" s="47" t="str">
        <f t="shared" si="3"/>
        <v>ANDINA</v>
      </c>
      <c r="I119" s="6">
        <f t="shared" si="4"/>
        <v>150305.83363636368</v>
      </c>
      <c r="J119" s="47">
        <f t="shared" si="5"/>
        <v>150305.83363636368</v>
      </c>
      <c r="L119" s="44"/>
      <c r="M119" s="44"/>
      <c r="N119" s="44"/>
      <c r="O119" s="44"/>
      <c r="P119" s="44"/>
      <c r="Q119" s="44"/>
      <c r="R119" s="44"/>
      <c r="S119" s="44"/>
    </row>
    <row r="120" spans="1:19" ht="14.1" customHeight="1">
      <c r="A120" s="27" t="s">
        <v>4075</v>
      </c>
      <c r="B120" s="27" t="s">
        <v>180</v>
      </c>
      <c r="C120" s="27" t="s">
        <v>314</v>
      </c>
      <c r="D120" s="27" t="s">
        <v>172</v>
      </c>
      <c r="E120" s="28">
        <v>31118.06</v>
      </c>
      <c r="F120" s="27" t="s">
        <v>4074</v>
      </c>
      <c r="G120" s="48"/>
      <c r="H120" s="47" t="str">
        <f t="shared" si="3"/>
        <v>ANDINA</v>
      </c>
      <c r="I120" s="6">
        <f t="shared" si="4"/>
        <v>31118.06</v>
      </c>
      <c r="J120" s="47">
        <f t="shared" si="5"/>
        <v>31118.06</v>
      </c>
      <c r="L120" s="44"/>
      <c r="M120" s="44"/>
      <c r="N120" s="44"/>
      <c r="O120" s="44"/>
      <c r="P120" s="44"/>
      <c r="Q120" s="44"/>
      <c r="R120" s="44"/>
      <c r="S120" s="44"/>
    </row>
    <row r="121" spans="1:19" ht="14.1" customHeight="1">
      <c r="A121" s="27" t="s">
        <v>4075</v>
      </c>
      <c r="B121" s="27" t="s">
        <v>180</v>
      </c>
      <c r="C121" s="27" t="s">
        <v>182</v>
      </c>
      <c r="D121" s="27" t="s">
        <v>172</v>
      </c>
      <c r="E121" s="28">
        <v>144958.32999999999</v>
      </c>
      <c r="F121" s="27" t="s">
        <v>4074</v>
      </c>
      <c r="G121" s="48"/>
      <c r="H121" s="47" t="str">
        <f t="shared" si="3"/>
        <v>ANDINA</v>
      </c>
      <c r="I121" s="6">
        <f t="shared" si="4"/>
        <v>144958.32999999999</v>
      </c>
      <c r="J121" s="47">
        <f t="shared" si="5"/>
        <v>144958.32999999999</v>
      </c>
      <c r="L121" s="44"/>
      <c r="M121" s="44"/>
      <c r="N121" s="44"/>
      <c r="O121" s="44"/>
      <c r="P121" s="44"/>
      <c r="Q121" s="44"/>
      <c r="R121" s="44"/>
      <c r="S121" s="44"/>
    </row>
    <row r="122" spans="1:19" ht="14.1" customHeight="1">
      <c r="A122" s="27" t="s">
        <v>3834</v>
      </c>
      <c r="B122" s="27" t="s">
        <v>4072</v>
      </c>
      <c r="C122" s="27" t="s">
        <v>316</v>
      </c>
      <c r="D122" s="27" t="s">
        <v>172</v>
      </c>
      <c r="E122" s="28">
        <v>46378.17</v>
      </c>
      <c r="F122" s="27" t="s">
        <v>4073</v>
      </c>
      <c r="G122" s="48"/>
      <c r="H122" s="47" t="str">
        <f t="shared" si="3"/>
        <v>CARIBE</v>
      </c>
      <c r="I122" s="6">
        <f t="shared" si="4"/>
        <v>46378.169999999991</v>
      </c>
      <c r="J122" s="47">
        <f t="shared" si="5"/>
        <v>46378.169999999991</v>
      </c>
      <c r="L122" s="46"/>
      <c r="M122" s="46"/>
      <c r="N122" s="46"/>
      <c r="O122" s="46"/>
      <c r="P122" s="46"/>
      <c r="Q122" s="46"/>
      <c r="R122" s="46"/>
      <c r="S122" s="46"/>
    </row>
    <row r="123" spans="1:19" ht="14.1" customHeight="1">
      <c r="A123" s="27" t="s">
        <v>3834</v>
      </c>
      <c r="B123" s="27" t="s">
        <v>137</v>
      </c>
      <c r="C123" s="27" t="s">
        <v>291</v>
      </c>
      <c r="D123" s="27" t="s">
        <v>172</v>
      </c>
      <c r="E123" s="28">
        <v>22086.61</v>
      </c>
      <c r="F123" s="27" t="s">
        <v>4073</v>
      </c>
      <c r="G123" s="48"/>
      <c r="H123" s="47" t="str">
        <f t="shared" si="3"/>
        <v>CARIBE</v>
      </c>
      <c r="I123" s="6">
        <f t="shared" si="4"/>
        <v>22086.61</v>
      </c>
      <c r="J123" s="47">
        <f t="shared" si="5"/>
        <v>22086.61</v>
      </c>
      <c r="L123" s="44"/>
      <c r="M123" s="44"/>
      <c r="N123" s="44"/>
      <c r="O123" s="44"/>
      <c r="P123" s="44"/>
      <c r="Q123" s="44"/>
      <c r="R123" s="44"/>
      <c r="S123" s="44"/>
    </row>
    <row r="124" spans="1:19" ht="14.1" customHeight="1">
      <c r="A124" s="27" t="s">
        <v>3834</v>
      </c>
      <c r="B124" s="27" t="s">
        <v>137</v>
      </c>
      <c r="C124" s="27" t="s">
        <v>243</v>
      </c>
      <c r="D124" s="27" t="s">
        <v>172</v>
      </c>
      <c r="E124" s="28">
        <v>21754.73</v>
      </c>
      <c r="F124" s="27" t="s">
        <v>4073</v>
      </c>
      <c r="G124" s="48"/>
      <c r="H124" s="47" t="str">
        <f t="shared" si="3"/>
        <v>CARIBE</v>
      </c>
      <c r="I124" s="6">
        <f t="shared" si="4"/>
        <v>21754.73</v>
      </c>
      <c r="J124" s="47">
        <f t="shared" si="5"/>
        <v>21754.73</v>
      </c>
      <c r="L124" s="44"/>
      <c r="M124" s="44"/>
      <c r="N124" s="44"/>
      <c r="O124" s="44"/>
      <c r="P124" s="44"/>
      <c r="Q124" s="44"/>
      <c r="R124" s="44"/>
      <c r="S124" s="44"/>
    </row>
    <row r="125" spans="1:19" ht="14.1" customHeight="1">
      <c r="A125" s="27" t="s">
        <v>3834</v>
      </c>
      <c r="B125" s="27" t="s">
        <v>137</v>
      </c>
      <c r="C125" s="27" t="s">
        <v>237</v>
      </c>
      <c r="D125" s="27" t="s">
        <v>172</v>
      </c>
      <c r="E125" s="28">
        <v>31444.44</v>
      </c>
      <c r="F125" s="27" t="s">
        <v>4074</v>
      </c>
      <c r="G125" s="48"/>
      <c r="H125" s="47" t="str">
        <f t="shared" si="3"/>
        <v>CARIBE</v>
      </c>
      <c r="I125" s="6">
        <f t="shared" si="4"/>
        <v>31444.44</v>
      </c>
      <c r="J125" s="47">
        <f t="shared" si="5"/>
        <v>31444.44</v>
      </c>
      <c r="L125" s="44"/>
      <c r="M125" s="44"/>
      <c r="N125" s="44"/>
      <c r="O125" s="44"/>
      <c r="P125" s="44"/>
      <c r="Q125" s="44"/>
      <c r="R125" s="44"/>
      <c r="S125" s="44"/>
    </row>
    <row r="126" spans="1:19" ht="14.1" customHeight="1">
      <c r="A126" s="27" t="s">
        <v>3834</v>
      </c>
      <c r="B126" s="27" t="s">
        <v>137</v>
      </c>
      <c r="C126" s="27" t="s">
        <v>246</v>
      </c>
      <c r="D126" s="27" t="s">
        <v>172</v>
      </c>
      <c r="E126" s="28">
        <v>65250.53</v>
      </c>
      <c r="F126" s="27" t="s">
        <v>4073</v>
      </c>
      <c r="G126" s="48"/>
      <c r="H126" s="47" t="str">
        <f t="shared" si="3"/>
        <v>CARIBE</v>
      </c>
      <c r="I126" s="6">
        <f t="shared" si="4"/>
        <v>65250.530000000006</v>
      </c>
      <c r="J126" s="47">
        <f t="shared" si="5"/>
        <v>65250.530000000006</v>
      </c>
      <c r="L126" s="44"/>
      <c r="M126" s="44"/>
      <c r="N126" s="44"/>
      <c r="O126" s="44"/>
      <c r="P126" s="44"/>
      <c r="Q126" s="44"/>
      <c r="R126" s="44"/>
      <c r="S126" s="44"/>
    </row>
    <row r="127" spans="1:19" ht="14.1" customHeight="1">
      <c r="A127" s="27" t="s">
        <v>3834</v>
      </c>
      <c r="B127" s="27" t="s">
        <v>170</v>
      </c>
      <c r="C127" s="27" t="s">
        <v>259</v>
      </c>
      <c r="D127" s="27" t="s">
        <v>172</v>
      </c>
      <c r="E127" s="28">
        <v>283758.28999999998</v>
      </c>
      <c r="F127" s="27" t="s">
        <v>4073</v>
      </c>
      <c r="G127" s="48"/>
      <c r="H127" s="47" t="str">
        <f t="shared" si="3"/>
        <v>CARIBE</v>
      </c>
      <c r="I127" s="6">
        <f t="shared" si="4"/>
        <v>287765.70500000002</v>
      </c>
      <c r="J127" s="47">
        <f t="shared" si="5"/>
        <v>287765.70500000002</v>
      </c>
      <c r="L127" s="44"/>
      <c r="M127" s="44"/>
      <c r="N127" s="44"/>
      <c r="O127" s="44"/>
      <c r="P127" s="44"/>
      <c r="Q127" s="44"/>
      <c r="R127" s="44"/>
      <c r="S127" s="44"/>
    </row>
    <row r="128" spans="1:19" ht="14.1" customHeight="1">
      <c r="A128" s="27" t="s">
        <v>3834</v>
      </c>
      <c r="B128" s="27" t="s">
        <v>170</v>
      </c>
      <c r="C128" s="27" t="s">
        <v>276</v>
      </c>
      <c r="D128" s="27" t="s">
        <v>172</v>
      </c>
      <c r="E128" s="28">
        <v>83726.98</v>
      </c>
      <c r="F128" s="27" t="s">
        <v>4073</v>
      </c>
      <c r="G128" s="48"/>
      <c r="H128" s="47" t="str">
        <f t="shared" si="3"/>
        <v>CARIBE</v>
      </c>
      <c r="I128" s="6">
        <f t="shared" si="4"/>
        <v>83726.98</v>
      </c>
      <c r="J128" s="47">
        <f t="shared" si="5"/>
        <v>83726.98</v>
      </c>
      <c r="L128" s="44"/>
      <c r="M128" s="44"/>
      <c r="N128" s="44"/>
      <c r="O128" s="44"/>
      <c r="P128" s="44"/>
      <c r="Q128" s="44"/>
      <c r="R128" s="44"/>
      <c r="S128" s="44"/>
    </row>
    <row r="129" spans="1:19" ht="14.1" customHeight="1">
      <c r="A129" s="27" t="s">
        <v>3834</v>
      </c>
      <c r="B129" s="27" t="s">
        <v>170</v>
      </c>
      <c r="C129" s="27" t="s">
        <v>240</v>
      </c>
      <c r="D129" s="27" t="s">
        <v>172</v>
      </c>
      <c r="E129" s="28">
        <v>23574.34</v>
      </c>
      <c r="F129" s="27" t="s">
        <v>4073</v>
      </c>
      <c r="G129" s="48"/>
      <c r="H129" s="47" t="str">
        <f t="shared" si="3"/>
        <v>CARIBE</v>
      </c>
      <c r="I129" s="6">
        <f t="shared" si="4"/>
        <v>23574.34</v>
      </c>
      <c r="J129" s="47">
        <f t="shared" si="5"/>
        <v>23574.34</v>
      </c>
      <c r="L129" s="44"/>
      <c r="M129" s="44"/>
      <c r="N129" s="44"/>
      <c r="O129" s="44"/>
      <c r="P129" s="44"/>
      <c r="Q129" s="44"/>
      <c r="R129" s="44"/>
      <c r="S129" s="44"/>
    </row>
    <row r="130" spans="1:19" ht="14.1" customHeight="1">
      <c r="A130" s="27" t="s">
        <v>3834</v>
      </c>
      <c r="B130" s="27" t="s">
        <v>170</v>
      </c>
      <c r="C130" s="27" t="s">
        <v>251</v>
      </c>
      <c r="D130" s="27" t="s">
        <v>226</v>
      </c>
      <c r="E130" s="28">
        <v>61445.54</v>
      </c>
      <c r="F130" s="27" t="s">
        <v>4073</v>
      </c>
      <c r="G130" s="48"/>
      <c r="H130" s="47" t="str">
        <f t="shared" ref="H130:H193" si="6">IF(OR(A130="Antioquia",A130="Bogotá, D.C.",A130="Boyacá",A130="Cundinamarca",A130="Caldas",A130="Risaralda",A130="Quindío",A130="Tolima",A130="Huila",A130="Santander",A130="Norte de Santander"),"ANDINA",
IF(OR(A130="Atlántico",A130="Bolívar",A130="Cesar",A130="Córdoba",A130="Sucre",A130="Magdalena"),"CARIBE",
IF(OR(A130="Valle del Cauca",A130="Cauca",A130="Nariño"),"PACIFICO",
IF(OR(A130="Meta",A130="Casanare",A130="Arauca"),"ORINOQUIA",
"AMAZONIA"))))</f>
        <v>CARIBE</v>
      </c>
      <c r="I130" s="6">
        <f t="shared" ref="I130:I193" si="7">IF(F130="Departamental",E130,
AVERAGEIFS($E:$E,$H:$H,H130,$B:$B,B130,$C:$C,C130))</f>
        <v>61445.54</v>
      </c>
      <c r="J130" s="47">
        <f t="shared" si="5"/>
        <v>61445.54</v>
      </c>
      <c r="L130" s="44"/>
      <c r="M130" s="44"/>
      <c r="N130" s="44"/>
      <c r="O130" s="44"/>
      <c r="P130" s="44"/>
      <c r="Q130" s="44"/>
      <c r="R130" s="44"/>
      <c r="S130" s="44"/>
    </row>
    <row r="131" spans="1:19" ht="14.1" customHeight="1">
      <c r="A131" s="27" t="s">
        <v>3834</v>
      </c>
      <c r="B131" s="27" t="s">
        <v>170</v>
      </c>
      <c r="C131" s="27" t="s">
        <v>256</v>
      </c>
      <c r="D131" s="27" t="s">
        <v>172</v>
      </c>
      <c r="E131" s="28">
        <v>29504.6</v>
      </c>
      <c r="F131" s="27" t="s">
        <v>4073</v>
      </c>
      <c r="G131" s="48"/>
      <c r="H131" s="47" t="str">
        <f t="shared" si="6"/>
        <v>CARIBE</v>
      </c>
      <c r="I131" s="6">
        <f t="shared" si="7"/>
        <v>30290.368333333332</v>
      </c>
      <c r="J131" s="47">
        <f t="shared" ref="J131:J194" si="8">IF(G131&lt;&gt;"",G131,I131)</f>
        <v>30290.368333333332</v>
      </c>
      <c r="L131" s="44"/>
      <c r="M131" s="44"/>
      <c r="N131" s="44"/>
      <c r="O131" s="44"/>
      <c r="P131" s="44"/>
      <c r="Q131" s="44"/>
      <c r="R131" s="44"/>
      <c r="S131" s="44"/>
    </row>
    <row r="132" spans="1:19" ht="14.1" customHeight="1">
      <c r="A132" s="27" t="s">
        <v>3834</v>
      </c>
      <c r="B132" s="27" t="s">
        <v>170</v>
      </c>
      <c r="C132" s="27" t="s">
        <v>311</v>
      </c>
      <c r="D132" s="27" t="s">
        <v>172</v>
      </c>
      <c r="E132" s="28">
        <v>40598.93</v>
      </c>
      <c r="F132" s="27" t="s">
        <v>4073</v>
      </c>
      <c r="G132" s="48"/>
      <c r="H132" s="47" t="str">
        <f t="shared" si="6"/>
        <v>CARIBE</v>
      </c>
      <c r="I132" s="6">
        <f t="shared" si="7"/>
        <v>40799.10833333333</v>
      </c>
      <c r="J132" s="47">
        <f t="shared" si="8"/>
        <v>40799.10833333333</v>
      </c>
      <c r="L132" s="44"/>
      <c r="M132" s="44"/>
      <c r="N132" s="44"/>
      <c r="O132" s="44"/>
      <c r="P132" s="44"/>
      <c r="Q132" s="44"/>
      <c r="R132" s="44"/>
      <c r="S132" s="44"/>
    </row>
    <row r="133" spans="1:19" ht="14.1" customHeight="1">
      <c r="A133" s="27" t="s">
        <v>3834</v>
      </c>
      <c r="B133" s="27" t="s">
        <v>170</v>
      </c>
      <c r="C133" s="27" t="s">
        <v>171</v>
      </c>
      <c r="D133" s="27" t="s">
        <v>172</v>
      </c>
      <c r="E133" s="28">
        <v>115879.72</v>
      </c>
      <c r="F133" s="27" t="s">
        <v>4073</v>
      </c>
      <c r="G133" s="48"/>
      <c r="H133" s="47" t="str">
        <f t="shared" si="6"/>
        <v>CARIBE</v>
      </c>
      <c r="I133" s="6">
        <f t="shared" si="7"/>
        <v>115879.71999999999</v>
      </c>
      <c r="J133" s="47">
        <f t="shared" si="8"/>
        <v>115879.71999999999</v>
      </c>
      <c r="L133" s="44"/>
      <c r="M133" s="44"/>
      <c r="N133" s="44"/>
      <c r="O133" s="44"/>
      <c r="P133" s="44"/>
      <c r="Q133" s="44"/>
      <c r="R133" s="44"/>
      <c r="S133" s="44"/>
    </row>
    <row r="134" spans="1:19" ht="14.1" customHeight="1">
      <c r="A134" s="27" t="s">
        <v>3834</v>
      </c>
      <c r="B134" s="27" t="s">
        <v>170</v>
      </c>
      <c r="C134" s="27" t="s">
        <v>252</v>
      </c>
      <c r="D134" s="27" t="s">
        <v>226</v>
      </c>
      <c r="E134" s="28">
        <v>21867.29</v>
      </c>
      <c r="F134" s="27" t="s">
        <v>4073</v>
      </c>
      <c r="G134" s="48"/>
      <c r="H134" s="47" t="str">
        <f t="shared" si="6"/>
        <v>CARIBE</v>
      </c>
      <c r="I134" s="6">
        <f t="shared" si="7"/>
        <v>21867.290000000005</v>
      </c>
      <c r="J134" s="47">
        <f t="shared" si="8"/>
        <v>21867.290000000005</v>
      </c>
      <c r="L134" s="44"/>
      <c r="M134" s="44"/>
      <c r="N134" s="44"/>
      <c r="O134" s="44"/>
      <c r="P134" s="44"/>
      <c r="Q134" s="44"/>
      <c r="R134" s="44"/>
      <c r="S134" s="44"/>
    </row>
    <row r="135" spans="1:19" ht="14.1" customHeight="1">
      <c r="A135" s="27" t="s">
        <v>3834</v>
      </c>
      <c r="B135" s="27" t="s">
        <v>170</v>
      </c>
      <c r="C135" s="27" t="s">
        <v>296</v>
      </c>
      <c r="D135" s="27" t="s">
        <v>226</v>
      </c>
      <c r="E135" s="28">
        <v>23167.62</v>
      </c>
      <c r="F135" s="27" t="s">
        <v>4073</v>
      </c>
      <c r="G135" s="48"/>
      <c r="H135" s="47" t="str">
        <f t="shared" si="6"/>
        <v>CARIBE</v>
      </c>
      <c r="I135" s="6">
        <f t="shared" si="7"/>
        <v>23167.62</v>
      </c>
      <c r="J135" s="47">
        <f t="shared" si="8"/>
        <v>23167.62</v>
      </c>
      <c r="L135" s="44"/>
      <c r="M135" s="44"/>
      <c r="N135" s="44"/>
      <c r="O135" s="44"/>
      <c r="P135" s="44"/>
      <c r="Q135" s="44"/>
      <c r="R135" s="44"/>
      <c r="S135" s="44"/>
    </row>
    <row r="136" spans="1:19" ht="14.1" customHeight="1">
      <c r="A136" s="27" t="s">
        <v>3834</v>
      </c>
      <c r="B136" s="27" t="s">
        <v>170</v>
      </c>
      <c r="C136" s="27" t="s">
        <v>173</v>
      </c>
      <c r="D136" s="27" t="s">
        <v>172</v>
      </c>
      <c r="E136" s="28">
        <v>153430.65</v>
      </c>
      <c r="F136" s="27" t="s">
        <v>4073</v>
      </c>
      <c r="G136" s="48"/>
      <c r="H136" s="47" t="str">
        <f t="shared" si="6"/>
        <v>CARIBE</v>
      </c>
      <c r="I136" s="6">
        <f t="shared" si="7"/>
        <v>155608.875</v>
      </c>
      <c r="J136" s="47">
        <f t="shared" si="8"/>
        <v>155608.875</v>
      </c>
      <c r="L136" s="44"/>
      <c r="M136" s="44"/>
      <c r="N136" s="44"/>
      <c r="O136" s="44"/>
      <c r="P136" s="44"/>
      <c r="Q136" s="44"/>
      <c r="R136" s="44"/>
      <c r="S136" s="44"/>
    </row>
    <row r="137" spans="1:19" ht="14.1" customHeight="1">
      <c r="A137" s="27" t="s">
        <v>3834</v>
      </c>
      <c r="B137" s="27" t="s">
        <v>170</v>
      </c>
      <c r="C137" s="27" t="s">
        <v>225</v>
      </c>
      <c r="D137" s="27" t="s">
        <v>226</v>
      </c>
      <c r="E137" s="28">
        <v>37977.24</v>
      </c>
      <c r="F137" s="27" t="s">
        <v>4073</v>
      </c>
      <c r="G137" s="48"/>
      <c r="H137" s="47" t="str">
        <f t="shared" si="6"/>
        <v>CARIBE</v>
      </c>
      <c r="I137" s="6">
        <f t="shared" si="7"/>
        <v>37977.24</v>
      </c>
      <c r="J137" s="47">
        <f t="shared" si="8"/>
        <v>37977.24</v>
      </c>
      <c r="L137" s="44"/>
      <c r="M137" s="44"/>
      <c r="N137" s="44"/>
      <c r="O137" s="44"/>
      <c r="P137" s="44"/>
      <c r="Q137" s="44"/>
      <c r="R137" s="44"/>
      <c r="S137" s="44"/>
    </row>
    <row r="138" spans="1:19" ht="14.1" customHeight="1">
      <c r="A138" s="27" t="s">
        <v>3834</v>
      </c>
      <c r="B138" s="27" t="s">
        <v>176</v>
      </c>
      <c r="C138" s="27" t="s">
        <v>262</v>
      </c>
      <c r="D138" s="27" t="s">
        <v>172</v>
      </c>
      <c r="E138" s="28">
        <v>17491.669999999998</v>
      </c>
      <c r="F138" s="27" t="s">
        <v>4074</v>
      </c>
      <c r="G138" s="48"/>
      <c r="H138" s="47" t="str">
        <f t="shared" si="6"/>
        <v>CARIBE</v>
      </c>
      <c r="I138" s="6">
        <f t="shared" si="7"/>
        <v>17491.669999999998</v>
      </c>
      <c r="J138" s="47">
        <f t="shared" si="8"/>
        <v>17491.669999999998</v>
      </c>
      <c r="L138" s="44"/>
      <c r="M138" s="44"/>
      <c r="N138" s="44"/>
      <c r="O138" s="44"/>
      <c r="P138" s="44"/>
      <c r="Q138" s="44"/>
      <c r="R138" s="44"/>
      <c r="S138" s="44"/>
    </row>
    <row r="139" spans="1:19" ht="14.1" customHeight="1">
      <c r="A139" s="27" t="s">
        <v>3834</v>
      </c>
      <c r="B139" s="27" t="s">
        <v>176</v>
      </c>
      <c r="C139" s="27" t="s">
        <v>253</v>
      </c>
      <c r="D139" s="27" t="s">
        <v>172</v>
      </c>
      <c r="E139" s="28">
        <v>24023.33</v>
      </c>
      <c r="F139" s="27" t="s">
        <v>4073</v>
      </c>
      <c r="G139" s="48"/>
      <c r="H139" s="47" t="str">
        <f t="shared" si="6"/>
        <v>CARIBE</v>
      </c>
      <c r="I139" s="6">
        <f t="shared" si="7"/>
        <v>25552.775000000005</v>
      </c>
      <c r="J139" s="47">
        <f t="shared" si="8"/>
        <v>25552.775000000005</v>
      </c>
      <c r="L139" s="44"/>
      <c r="M139" s="44"/>
      <c r="N139" s="44"/>
      <c r="O139" s="44"/>
      <c r="P139" s="44"/>
      <c r="Q139" s="44"/>
      <c r="R139" s="44"/>
      <c r="S139" s="44"/>
    </row>
    <row r="140" spans="1:19" ht="14.1" customHeight="1">
      <c r="A140" s="27" t="s">
        <v>3834</v>
      </c>
      <c r="B140" s="27" t="s">
        <v>176</v>
      </c>
      <c r="C140" s="27" t="s">
        <v>177</v>
      </c>
      <c r="D140" s="27" t="s">
        <v>172</v>
      </c>
      <c r="E140" s="28">
        <v>21214.37</v>
      </c>
      <c r="F140" s="27" t="s">
        <v>4074</v>
      </c>
      <c r="G140" s="48"/>
      <c r="H140" s="47" t="str">
        <f t="shared" si="6"/>
        <v>CARIBE</v>
      </c>
      <c r="I140" s="6">
        <f t="shared" si="7"/>
        <v>21214.37</v>
      </c>
      <c r="J140" s="47">
        <f t="shared" si="8"/>
        <v>21214.37</v>
      </c>
      <c r="L140" s="44"/>
      <c r="M140" s="44"/>
      <c r="N140" s="44"/>
      <c r="O140" s="44"/>
      <c r="P140" s="44"/>
      <c r="Q140" s="44"/>
      <c r="R140" s="44"/>
      <c r="S140" s="44"/>
    </row>
    <row r="141" spans="1:19" ht="14.1" customHeight="1">
      <c r="A141" s="27" t="s">
        <v>3834</v>
      </c>
      <c r="B141" s="27" t="s">
        <v>176</v>
      </c>
      <c r="C141" s="27" t="s">
        <v>231</v>
      </c>
      <c r="D141" s="27" t="s">
        <v>172</v>
      </c>
      <c r="E141" s="28">
        <v>22799.69</v>
      </c>
      <c r="F141" s="27" t="s">
        <v>4073</v>
      </c>
      <c r="G141" s="48"/>
      <c r="H141" s="47" t="str">
        <f t="shared" si="6"/>
        <v>CARIBE</v>
      </c>
      <c r="I141" s="6">
        <f t="shared" si="7"/>
        <v>23114.399999999998</v>
      </c>
      <c r="J141" s="47">
        <f t="shared" si="8"/>
        <v>23114.399999999998</v>
      </c>
      <c r="L141" s="44"/>
      <c r="M141" s="44"/>
      <c r="N141" s="44"/>
      <c r="O141" s="44"/>
      <c r="P141" s="44"/>
      <c r="Q141" s="44"/>
      <c r="R141" s="44"/>
      <c r="S141" s="44"/>
    </row>
    <row r="142" spans="1:19" ht="14.1" customHeight="1">
      <c r="A142" s="27" t="s">
        <v>3834</v>
      </c>
      <c r="B142" s="27" t="s">
        <v>180</v>
      </c>
      <c r="C142" s="27" t="s">
        <v>181</v>
      </c>
      <c r="D142" s="27" t="s">
        <v>172</v>
      </c>
      <c r="E142" s="28">
        <v>34056.25</v>
      </c>
      <c r="F142" s="27" t="s">
        <v>4073</v>
      </c>
      <c r="G142" s="48"/>
      <c r="H142" s="47" t="str">
        <f t="shared" si="6"/>
        <v>CARIBE</v>
      </c>
      <c r="I142" s="6">
        <f t="shared" si="7"/>
        <v>34056.25</v>
      </c>
      <c r="J142" s="47">
        <f t="shared" si="8"/>
        <v>34056.25</v>
      </c>
      <c r="L142" s="44"/>
      <c r="M142" s="44"/>
      <c r="N142" s="44"/>
      <c r="O142" s="44"/>
      <c r="P142" s="44"/>
      <c r="Q142" s="44"/>
      <c r="R142" s="44"/>
      <c r="S142" s="44"/>
    </row>
    <row r="143" spans="1:19" ht="14.1" customHeight="1">
      <c r="A143" s="27" t="s">
        <v>3834</v>
      </c>
      <c r="B143" s="27" t="s">
        <v>180</v>
      </c>
      <c r="C143" s="27" t="s">
        <v>263</v>
      </c>
      <c r="D143" s="27" t="s">
        <v>172</v>
      </c>
      <c r="E143" s="28">
        <v>199043.33</v>
      </c>
      <c r="F143" s="27" t="s">
        <v>4073</v>
      </c>
      <c r="G143" s="48"/>
      <c r="H143" s="47" t="str">
        <f t="shared" si="6"/>
        <v>CARIBE</v>
      </c>
      <c r="I143" s="6">
        <f t="shared" si="7"/>
        <v>204744.54333333333</v>
      </c>
      <c r="J143" s="47">
        <f t="shared" si="8"/>
        <v>204744.54333333333</v>
      </c>
      <c r="L143" s="44"/>
      <c r="M143" s="44"/>
      <c r="N143" s="44"/>
      <c r="O143" s="44"/>
      <c r="P143" s="44"/>
      <c r="Q143" s="44"/>
      <c r="R143" s="44"/>
      <c r="S143" s="44"/>
    </row>
    <row r="144" spans="1:19" ht="14.1" customHeight="1">
      <c r="A144" s="27" t="s">
        <v>3834</v>
      </c>
      <c r="B144" s="27" t="s">
        <v>180</v>
      </c>
      <c r="C144" s="27" t="s">
        <v>277</v>
      </c>
      <c r="D144" s="27" t="s">
        <v>172</v>
      </c>
      <c r="E144" s="28">
        <v>90689.07</v>
      </c>
      <c r="F144" s="27" t="s">
        <v>4073</v>
      </c>
      <c r="G144" s="48"/>
      <c r="H144" s="47" t="str">
        <f t="shared" si="6"/>
        <v>CARIBE</v>
      </c>
      <c r="I144" s="6">
        <f t="shared" si="7"/>
        <v>90689.07</v>
      </c>
      <c r="J144" s="47">
        <f t="shared" si="8"/>
        <v>90689.07</v>
      </c>
      <c r="L144" s="44"/>
      <c r="M144" s="44"/>
      <c r="N144" s="44"/>
      <c r="O144" s="44"/>
      <c r="P144" s="44"/>
      <c r="Q144" s="44"/>
      <c r="R144" s="44"/>
      <c r="S144" s="44"/>
    </row>
    <row r="145" spans="1:19" ht="14.1" customHeight="1">
      <c r="A145" s="27" t="s">
        <v>3834</v>
      </c>
      <c r="B145" s="27" t="s">
        <v>180</v>
      </c>
      <c r="C145" s="27" t="s">
        <v>300</v>
      </c>
      <c r="D145" s="27" t="s">
        <v>172</v>
      </c>
      <c r="E145" s="28">
        <v>66141.87</v>
      </c>
      <c r="F145" s="27" t="s">
        <v>4073</v>
      </c>
      <c r="G145" s="48"/>
      <c r="H145" s="47" t="str">
        <f t="shared" si="6"/>
        <v>CARIBE</v>
      </c>
      <c r="I145" s="6">
        <f t="shared" si="7"/>
        <v>65872.78833333333</v>
      </c>
      <c r="J145" s="47">
        <f t="shared" si="8"/>
        <v>65872.78833333333</v>
      </c>
      <c r="L145" s="44"/>
      <c r="M145" s="44"/>
      <c r="N145" s="44"/>
      <c r="O145" s="44"/>
      <c r="P145" s="44"/>
      <c r="Q145" s="44"/>
      <c r="R145" s="44"/>
      <c r="S145" s="44"/>
    </row>
    <row r="146" spans="1:19" ht="14.1" customHeight="1">
      <c r="A146" s="27" t="s">
        <v>3834</v>
      </c>
      <c r="B146" s="27" t="s">
        <v>180</v>
      </c>
      <c r="C146" s="27" t="s">
        <v>242</v>
      </c>
      <c r="D146" s="27" t="s">
        <v>172</v>
      </c>
      <c r="E146" s="28">
        <v>32632.57</v>
      </c>
      <c r="F146" s="27" t="s">
        <v>4074</v>
      </c>
      <c r="G146" s="48"/>
      <c r="H146" s="47" t="str">
        <f t="shared" si="6"/>
        <v>CARIBE</v>
      </c>
      <c r="I146" s="6">
        <f t="shared" si="7"/>
        <v>32632.57</v>
      </c>
      <c r="J146" s="47">
        <f t="shared" si="8"/>
        <v>32632.57</v>
      </c>
      <c r="L146" s="44"/>
      <c r="M146" s="44"/>
      <c r="N146" s="44"/>
      <c r="O146" s="44"/>
      <c r="P146" s="44"/>
      <c r="Q146" s="44"/>
      <c r="R146" s="44"/>
      <c r="S146" s="44"/>
    </row>
    <row r="147" spans="1:19" ht="14.1" customHeight="1">
      <c r="A147" s="27" t="s">
        <v>3834</v>
      </c>
      <c r="B147" s="27" t="s">
        <v>180</v>
      </c>
      <c r="C147" s="27" t="s">
        <v>254</v>
      </c>
      <c r="D147" s="27" t="s">
        <v>172</v>
      </c>
      <c r="E147" s="28">
        <v>146171.37</v>
      </c>
      <c r="F147" s="27" t="s">
        <v>4073</v>
      </c>
      <c r="G147" s="48"/>
      <c r="H147" s="47" t="str">
        <f t="shared" si="6"/>
        <v>CARIBE</v>
      </c>
      <c r="I147" s="6">
        <f t="shared" si="7"/>
        <v>146171.37</v>
      </c>
      <c r="J147" s="47">
        <f t="shared" si="8"/>
        <v>146171.37</v>
      </c>
      <c r="L147" s="44"/>
      <c r="M147" s="44"/>
      <c r="N147" s="44"/>
      <c r="O147" s="44"/>
      <c r="P147" s="44"/>
      <c r="Q147" s="44"/>
      <c r="R147" s="44"/>
      <c r="S147" s="44"/>
    </row>
    <row r="148" spans="1:19" ht="14.1" customHeight="1">
      <c r="A148" s="27" t="s">
        <v>3834</v>
      </c>
      <c r="B148" s="27" t="s">
        <v>180</v>
      </c>
      <c r="C148" s="27" t="s">
        <v>305</v>
      </c>
      <c r="D148" s="27" t="s">
        <v>172</v>
      </c>
      <c r="E148" s="28">
        <v>72327.89</v>
      </c>
      <c r="F148" s="27" t="s">
        <v>4073</v>
      </c>
      <c r="G148" s="48"/>
      <c r="H148" s="47" t="str">
        <f t="shared" si="6"/>
        <v>CARIBE</v>
      </c>
      <c r="I148" s="6">
        <f t="shared" si="7"/>
        <v>72653.15833333334</v>
      </c>
      <c r="J148" s="47">
        <f t="shared" si="8"/>
        <v>72653.15833333334</v>
      </c>
      <c r="L148" s="44"/>
      <c r="M148" s="44"/>
      <c r="N148" s="44"/>
      <c r="O148" s="44"/>
      <c r="P148" s="44"/>
      <c r="Q148" s="44"/>
      <c r="R148" s="44"/>
      <c r="S148" s="44"/>
    </row>
    <row r="149" spans="1:19" ht="14.1" customHeight="1">
      <c r="A149" s="27" t="s">
        <v>3834</v>
      </c>
      <c r="B149" s="27" t="s">
        <v>180</v>
      </c>
      <c r="C149" s="27" t="s">
        <v>297</v>
      </c>
      <c r="D149" s="27" t="s">
        <v>172</v>
      </c>
      <c r="E149" s="28">
        <v>149375.29999999999</v>
      </c>
      <c r="F149" s="27" t="s">
        <v>4073</v>
      </c>
      <c r="G149" s="48"/>
      <c r="H149" s="47" t="str">
        <f t="shared" si="6"/>
        <v>CARIBE</v>
      </c>
      <c r="I149" s="6">
        <f t="shared" si="7"/>
        <v>149375.30000000002</v>
      </c>
      <c r="J149" s="47">
        <f t="shared" si="8"/>
        <v>149375.30000000002</v>
      </c>
      <c r="L149" s="44"/>
      <c r="M149" s="44"/>
      <c r="N149" s="44"/>
      <c r="O149" s="44"/>
      <c r="P149" s="44"/>
      <c r="Q149" s="44"/>
      <c r="R149" s="44"/>
      <c r="S149" s="44"/>
    </row>
    <row r="150" spans="1:19" ht="14.1" customHeight="1">
      <c r="A150" s="27" t="s">
        <v>3834</v>
      </c>
      <c r="B150" s="27" t="s">
        <v>180</v>
      </c>
      <c r="C150" s="27" t="s">
        <v>314</v>
      </c>
      <c r="D150" s="27" t="s">
        <v>172</v>
      </c>
      <c r="E150" s="28">
        <v>28103.200000000001</v>
      </c>
      <c r="F150" s="27" t="s">
        <v>4073</v>
      </c>
      <c r="G150" s="48"/>
      <c r="H150" s="47" t="str">
        <f t="shared" si="6"/>
        <v>CARIBE</v>
      </c>
      <c r="I150" s="6">
        <f t="shared" si="7"/>
        <v>28103.200000000001</v>
      </c>
      <c r="J150" s="47">
        <f t="shared" si="8"/>
        <v>28103.200000000001</v>
      </c>
      <c r="L150" s="44"/>
      <c r="M150" s="44"/>
      <c r="N150" s="44"/>
      <c r="O150" s="44"/>
      <c r="P150" s="44"/>
      <c r="Q150" s="44"/>
      <c r="R150" s="44"/>
      <c r="S150" s="44"/>
    </row>
    <row r="151" spans="1:19" ht="14.1" customHeight="1">
      <c r="A151" s="27" t="s">
        <v>3834</v>
      </c>
      <c r="B151" s="27" t="s">
        <v>180</v>
      </c>
      <c r="C151" s="27" t="s">
        <v>182</v>
      </c>
      <c r="D151" s="27" t="s">
        <v>172</v>
      </c>
      <c r="E151" s="28">
        <v>151029.59</v>
      </c>
      <c r="F151" s="27" t="s">
        <v>4073</v>
      </c>
      <c r="G151" s="48"/>
      <c r="H151" s="47" t="str">
        <f t="shared" si="6"/>
        <v>CARIBE</v>
      </c>
      <c r="I151" s="6">
        <f t="shared" si="7"/>
        <v>151029.59</v>
      </c>
      <c r="J151" s="47">
        <f t="shared" si="8"/>
        <v>151029.59</v>
      </c>
      <c r="L151" s="44"/>
      <c r="M151" s="44"/>
      <c r="N151" s="44"/>
      <c r="O151" s="44"/>
      <c r="P151" s="44"/>
      <c r="Q151" s="44"/>
      <c r="R151" s="44"/>
      <c r="S151" s="44"/>
    </row>
    <row r="152" spans="1:19" ht="14.1" customHeight="1">
      <c r="A152" s="27" t="s">
        <v>3835</v>
      </c>
      <c r="B152" s="27" t="s">
        <v>4072</v>
      </c>
      <c r="C152" s="27" t="s">
        <v>316</v>
      </c>
      <c r="D152" s="27" t="s">
        <v>172</v>
      </c>
      <c r="E152" s="28">
        <v>49116.67</v>
      </c>
      <c r="F152" s="27" t="s">
        <v>4074</v>
      </c>
      <c r="G152" s="48"/>
      <c r="H152" s="47" t="str">
        <f t="shared" si="6"/>
        <v>ANDINA</v>
      </c>
      <c r="I152" s="6">
        <f t="shared" si="7"/>
        <v>49116.67</v>
      </c>
      <c r="J152" s="47">
        <f t="shared" si="8"/>
        <v>49116.67</v>
      </c>
      <c r="L152" s="46"/>
      <c r="M152" s="46"/>
      <c r="N152" s="46"/>
      <c r="O152" s="46"/>
      <c r="P152" s="46"/>
      <c r="Q152" s="46"/>
      <c r="R152" s="46"/>
      <c r="S152" s="46"/>
    </row>
    <row r="153" spans="1:19" ht="14.1" customHeight="1">
      <c r="A153" s="27" t="s">
        <v>3835</v>
      </c>
      <c r="B153" s="27" t="s">
        <v>137</v>
      </c>
      <c r="C153" s="27" t="s">
        <v>291</v>
      </c>
      <c r="D153" s="27" t="s">
        <v>172</v>
      </c>
      <c r="E153" s="28">
        <v>20959.919999999998</v>
      </c>
      <c r="F153" s="27" t="s">
        <v>4074</v>
      </c>
      <c r="G153" s="48"/>
      <c r="H153" s="47" t="str">
        <f t="shared" si="6"/>
        <v>ANDINA</v>
      </c>
      <c r="I153" s="6">
        <f t="shared" si="7"/>
        <v>20959.919999999998</v>
      </c>
      <c r="J153" s="47">
        <f t="shared" si="8"/>
        <v>20959.919999999998</v>
      </c>
      <c r="L153" s="44"/>
      <c r="M153" s="44"/>
      <c r="N153" s="44"/>
      <c r="O153" s="44"/>
      <c r="P153" s="44"/>
      <c r="Q153" s="44"/>
      <c r="R153" s="44"/>
      <c r="S153" s="44"/>
    </row>
    <row r="154" spans="1:19" ht="14.1" customHeight="1">
      <c r="A154" s="27" t="s">
        <v>3835</v>
      </c>
      <c r="B154" s="27" t="s">
        <v>137</v>
      </c>
      <c r="C154" s="27" t="s">
        <v>243</v>
      </c>
      <c r="D154" s="27" t="s">
        <v>172</v>
      </c>
      <c r="E154" s="28">
        <v>21366.22</v>
      </c>
      <c r="F154" s="27" t="s">
        <v>4074</v>
      </c>
      <c r="G154" s="48"/>
      <c r="H154" s="47" t="str">
        <f t="shared" si="6"/>
        <v>ANDINA</v>
      </c>
      <c r="I154" s="6">
        <f t="shared" si="7"/>
        <v>21366.22</v>
      </c>
      <c r="J154" s="47">
        <f t="shared" si="8"/>
        <v>21366.22</v>
      </c>
      <c r="L154" s="44"/>
      <c r="M154" s="44"/>
      <c r="N154" s="44"/>
      <c r="O154" s="44"/>
      <c r="P154" s="44"/>
      <c r="Q154" s="44"/>
      <c r="R154" s="44"/>
      <c r="S154" s="44"/>
    </row>
    <row r="155" spans="1:19" ht="14.1" customHeight="1">
      <c r="A155" s="27" t="s">
        <v>3835</v>
      </c>
      <c r="B155" s="27" t="s">
        <v>137</v>
      </c>
      <c r="C155" s="27" t="s">
        <v>237</v>
      </c>
      <c r="D155" s="27" t="s">
        <v>172</v>
      </c>
      <c r="E155" s="28">
        <v>27745.63</v>
      </c>
      <c r="F155" s="27" t="s">
        <v>4074</v>
      </c>
      <c r="G155" s="48"/>
      <c r="H155" s="47" t="str">
        <f t="shared" si="6"/>
        <v>ANDINA</v>
      </c>
      <c r="I155" s="6">
        <f t="shared" si="7"/>
        <v>27745.63</v>
      </c>
      <c r="J155" s="47">
        <f t="shared" si="8"/>
        <v>27745.63</v>
      </c>
      <c r="L155" s="44"/>
      <c r="M155" s="44"/>
      <c r="N155" s="44"/>
      <c r="O155" s="44"/>
      <c r="P155" s="44"/>
      <c r="Q155" s="44"/>
      <c r="R155" s="44"/>
      <c r="S155" s="44"/>
    </row>
    <row r="156" spans="1:19" ht="14.1" customHeight="1">
      <c r="A156" s="27" t="s">
        <v>3835</v>
      </c>
      <c r="B156" s="27" t="s">
        <v>137</v>
      </c>
      <c r="C156" s="27" t="s">
        <v>246</v>
      </c>
      <c r="D156" s="27" t="s">
        <v>172</v>
      </c>
      <c r="E156" s="28">
        <v>58416.67</v>
      </c>
      <c r="F156" s="27" t="s">
        <v>4074</v>
      </c>
      <c r="G156" s="48"/>
      <c r="H156" s="47" t="str">
        <f t="shared" si="6"/>
        <v>ANDINA</v>
      </c>
      <c r="I156" s="6">
        <f t="shared" si="7"/>
        <v>58416.67</v>
      </c>
      <c r="J156" s="47">
        <f t="shared" si="8"/>
        <v>58416.67</v>
      </c>
      <c r="L156" s="44"/>
      <c r="M156" s="44"/>
      <c r="N156" s="44"/>
      <c r="O156" s="44"/>
      <c r="P156" s="44"/>
      <c r="Q156" s="44"/>
      <c r="R156" s="44"/>
      <c r="S156" s="44"/>
    </row>
    <row r="157" spans="1:19" ht="14.1" customHeight="1">
      <c r="A157" s="27" t="s">
        <v>3835</v>
      </c>
      <c r="B157" s="27" t="s">
        <v>170</v>
      </c>
      <c r="C157" s="27" t="s">
        <v>259</v>
      </c>
      <c r="D157" s="27" t="s">
        <v>172</v>
      </c>
      <c r="E157" s="28">
        <v>295281.21000000002</v>
      </c>
      <c r="F157" s="27" t="s">
        <v>4074</v>
      </c>
      <c r="G157" s="48"/>
      <c r="H157" s="47" t="str">
        <f t="shared" si="6"/>
        <v>ANDINA</v>
      </c>
      <c r="I157" s="6">
        <f t="shared" si="7"/>
        <v>295281.21000000002</v>
      </c>
      <c r="J157" s="47">
        <f t="shared" si="8"/>
        <v>295281.21000000002</v>
      </c>
      <c r="L157" s="44"/>
      <c r="M157" s="44"/>
      <c r="N157" s="44"/>
      <c r="O157" s="44"/>
      <c r="P157" s="44"/>
      <c r="Q157" s="44"/>
      <c r="R157" s="44"/>
      <c r="S157" s="44"/>
    </row>
    <row r="158" spans="1:19" ht="14.1" customHeight="1">
      <c r="A158" s="27" t="s">
        <v>3835</v>
      </c>
      <c r="B158" s="27" t="s">
        <v>170</v>
      </c>
      <c r="C158" s="27" t="s">
        <v>276</v>
      </c>
      <c r="D158" s="27" t="s">
        <v>172</v>
      </c>
      <c r="E158" s="28">
        <v>83726.98</v>
      </c>
      <c r="F158" s="27" t="s">
        <v>4073</v>
      </c>
      <c r="G158" s="48"/>
      <c r="H158" s="47" t="str">
        <f t="shared" si="6"/>
        <v>ANDINA</v>
      </c>
      <c r="I158" s="6">
        <f t="shared" si="7"/>
        <v>83734.880909090891</v>
      </c>
      <c r="J158" s="47">
        <f t="shared" si="8"/>
        <v>83734.880909090891</v>
      </c>
      <c r="L158" s="44"/>
      <c r="M158" s="44"/>
      <c r="N158" s="44"/>
      <c r="O158" s="44"/>
      <c r="P158" s="44"/>
      <c r="Q158" s="44"/>
      <c r="R158" s="44"/>
      <c r="S158" s="44"/>
    </row>
    <row r="159" spans="1:19" ht="14.1" customHeight="1">
      <c r="A159" s="27" t="s">
        <v>3835</v>
      </c>
      <c r="B159" s="27" t="s">
        <v>170</v>
      </c>
      <c r="C159" s="27" t="s">
        <v>240</v>
      </c>
      <c r="D159" s="27" t="s">
        <v>172</v>
      </c>
      <c r="E159" s="28">
        <v>26538.46</v>
      </c>
      <c r="F159" s="27" t="s">
        <v>4074</v>
      </c>
      <c r="G159" s="48"/>
      <c r="H159" s="47" t="str">
        <f t="shared" si="6"/>
        <v>ANDINA</v>
      </c>
      <c r="I159" s="6">
        <f t="shared" si="7"/>
        <v>26538.46</v>
      </c>
      <c r="J159" s="47">
        <f t="shared" si="8"/>
        <v>26538.46</v>
      </c>
      <c r="L159" s="44"/>
      <c r="M159" s="44"/>
      <c r="N159" s="44"/>
      <c r="O159" s="44"/>
      <c r="P159" s="44"/>
      <c r="Q159" s="44"/>
      <c r="R159" s="44"/>
      <c r="S159" s="44"/>
    </row>
    <row r="160" spans="1:19" ht="14.1" customHeight="1">
      <c r="A160" s="27" t="s">
        <v>3835</v>
      </c>
      <c r="B160" s="27" t="s">
        <v>170</v>
      </c>
      <c r="C160" s="27" t="s">
        <v>251</v>
      </c>
      <c r="D160" s="27" t="s">
        <v>226</v>
      </c>
      <c r="E160" s="28">
        <v>61445.54</v>
      </c>
      <c r="F160" s="27" t="s">
        <v>4073</v>
      </c>
      <c r="G160" s="48"/>
      <c r="H160" s="47" t="str">
        <f t="shared" si="6"/>
        <v>ANDINA</v>
      </c>
      <c r="I160" s="6">
        <f t="shared" si="7"/>
        <v>61410.171818181821</v>
      </c>
      <c r="J160" s="47">
        <f t="shared" si="8"/>
        <v>61410.171818181821</v>
      </c>
      <c r="L160" s="44"/>
      <c r="M160" s="44"/>
      <c r="N160" s="44"/>
      <c r="O160" s="44"/>
      <c r="P160" s="44"/>
      <c r="Q160" s="44"/>
      <c r="R160" s="44"/>
      <c r="S160" s="44"/>
    </row>
    <row r="161" spans="1:19" ht="14.1" customHeight="1">
      <c r="A161" s="27" t="s">
        <v>3835</v>
      </c>
      <c r="B161" s="27" t="s">
        <v>170</v>
      </c>
      <c r="C161" s="27" t="s">
        <v>256</v>
      </c>
      <c r="D161" s="27" t="s">
        <v>172</v>
      </c>
      <c r="E161" s="28">
        <v>31449.759999999998</v>
      </c>
      <c r="F161" s="27" t="s">
        <v>4074</v>
      </c>
      <c r="G161" s="48"/>
      <c r="H161" s="47" t="str">
        <f t="shared" si="6"/>
        <v>ANDINA</v>
      </c>
      <c r="I161" s="6">
        <f t="shared" si="7"/>
        <v>31449.759999999998</v>
      </c>
      <c r="J161" s="47">
        <f t="shared" si="8"/>
        <v>31449.759999999998</v>
      </c>
      <c r="L161" s="44"/>
      <c r="M161" s="44"/>
      <c r="N161" s="44"/>
      <c r="O161" s="44"/>
      <c r="P161" s="44"/>
      <c r="Q161" s="44"/>
      <c r="R161" s="44"/>
      <c r="S161" s="44"/>
    </row>
    <row r="162" spans="1:19" ht="14.1" customHeight="1">
      <c r="A162" s="27" t="s">
        <v>3835</v>
      </c>
      <c r="B162" s="27" t="s">
        <v>170</v>
      </c>
      <c r="C162" s="27" t="s">
        <v>311</v>
      </c>
      <c r="D162" s="27" t="s">
        <v>172</v>
      </c>
      <c r="E162" s="28">
        <v>40488.800000000003</v>
      </c>
      <c r="F162" s="27" t="s">
        <v>4074</v>
      </c>
      <c r="G162" s="48"/>
      <c r="H162" s="47" t="str">
        <f t="shared" si="6"/>
        <v>ANDINA</v>
      </c>
      <c r="I162" s="6">
        <f t="shared" si="7"/>
        <v>40488.800000000003</v>
      </c>
      <c r="J162" s="47">
        <f t="shared" si="8"/>
        <v>40488.800000000003</v>
      </c>
      <c r="L162" s="44"/>
      <c r="M162" s="44"/>
      <c r="N162" s="44"/>
      <c r="O162" s="44"/>
      <c r="P162" s="44"/>
      <c r="Q162" s="44"/>
      <c r="R162" s="44"/>
      <c r="S162" s="44"/>
    </row>
    <row r="163" spans="1:19" ht="14.1" customHeight="1">
      <c r="A163" s="27" t="s">
        <v>3835</v>
      </c>
      <c r="B163" s="27" t="s">
        <v>170</v>
      </c>
      <c r="C163" s="27" t="s">
        <v>171</v>
      </c>
      <c r="D163" s="27" t="s">
        <v>172</v>
      </c>
      <c r="E163" s="28">
        <v>132956.67000000001</v>
      </c>
      <c r="F163" s="27" t="s">
        <v>4074</v>
      </c>
      <c r="G163" s="48"/>
      <c r="H163" s="47" t="str">
        <f t="shared" si="6"/>
        <v>ANDINA</v>
      </c>
      <c r="I163" s="6">
        <f t="shared" si="7"/>
        <v>132956.67000000001</v>
      </c>
      <c r="J163" s="47">
        <f t="shared" si="8"/>
        <v>132956.67000000001</v>
      </c>
      <c r="L163" s="44"/>
      <c r="M163" s="44"/>
      <c r="N163" s="44"/>
      <c r="O163" s="44"/>
      <c r="P163" s="44"/>
      <c r="Q163" s="44"/>
      <c r="R163" s="44"/>
      <c r="S163" s="44"/>
    </row>
    <row r="164" spans="1:19" ht="14.1" customHeight="1">
      <c r="A164" s="27" t="s">
        <v>3835</v>
      </c>
      <c r="B164" s="27" t="s">
        <v>170</v>
      </c>
      <c r="C164" s="27" t="s">
        <v>252</v>
      </c>
      <c r="D164" s="27" t="s">
        <v>226</v>
      </c>
      <c r="E164" s="28">
        <v>20417.93</v>
      </c>
      <c r="F164" s="27" t="s">
        <v>4074</v>
      </c>
      <c r="G164" s="48"/>
      <c r="H164" s="47" t="str">
        <f t="shared" si="6"/>
        <v>ANDINA</v>
      </c>
      <c r="I164" s="6">
        <f t="shared" si="7"/>
        <v>20417.93</v>
      </c>
      <c r="J164" s="47">
        <f t="shared" si="8"/>
        <v>20417.93</v>
      </c>
      <c r="L164" s="44"/>
      <c r="M164" s="44"/>
      <c r="N164" s="44"/>
      <c r="O164" s="44"/>
      <c r="P164" s="44"/>
      <c r="Q164" s="44"/>
      <c r="R164" s="44"/>
      <c r="S164" s="44"/>
    </row>
    <row r="165" spans="1:19" ht="14.1" customHeight="1">
      <c r="A165" s="27" t="s">
        <v>3835</v>
      </c>
      <c r="B165" s="27" t="s">
        <v>170</v>
      </c>
      <c r="C165" s="27" t="s">
        <v>296</v>
      </c>
      <c r="D165" s="27" t="s">
        <v>226</v>
      </c>
      <c r="E165" s="28">
        <v>22223.08</v>
      </c>
      <c r="F165" s="27" t="s">
        <v>4074</v>
      </c>
      <c r="G165" s="48"/>
      <c r="H165" s="47" t="str">
        <f t="shared" si="6"/>
        <v>ANDINA</v>
      </c>
      <c r="I165" s="6">
        <f t="shared" si="7"/>
        <v>22223.08</v>
      </c>
      <c r="J165" s="47">
        <f t="shared" si="8"/>
        <v>22223.08</v>
      </c>
      <c r="L165" s="44"/>
      <c r="M165" s="44"/>
      <c r="N165" s="44"/>
      <c r="O165" s="44"/>
      <c r="P165" s="44"/>
      <c r="Q165" s="44"/>
      <c r="R165" s="44"/>
      <c r="S165" s="44"/>
    </row>
    <row r="166" spans="1:19" ht="14.1" customHeight="1">
      <c r="A166" s="27" t="s">
        <v>3835</v>
      </c>
      <c r="B166" s="27" t="s">
        <v>170</v>
      </c>
      <c r="C166" s="27" t="s">
        <v>173</v>
      </c>
      <c r="D166" s="27" t="s">
        <v>172</v>
      </c>
      <c r="E166" s="28">
        <v>147302.26</v>
      </c>
      <c r="F166" s="27" t="s">
        <v>4074</v>
      </c>
      <c r="G166" s="48"/>
      <c r="H166" s="47" t="str">
        <f t="shared" si="6"/>
        <v>ANDINA</v>
      </c>
      <c r="I166" s="6">
        <f t="shared" si="7"/>
        <v>147302.26</v>
      </c>
      <c r="J166" s="47">
        <f t="shared" si="8"/>
        <v>147302.26</v>
      </c>
      <c r="L166" s="44"/>
      <c r="M166" s="44"/>
      <c r="N166" s="44"/>
      <c r="O166" s="44"/>
      <c r="P166" s="44"/>
      <c r="Q166" s="44"/>
      <c r="R166" s="44"/>
      <c r="S166" s="44"/>
    </row>
    <row r="167" spans="1:19" ht="14.1" customHeight="1">
      <c r="A167" s="27" t="s">
        <v>3835</v>
      </c>
      <c r="B167" s="27" t="s">
        <v>170</v>
      </c>
      <c r="C167" s="27" t="s">
        <v>225</v>
      </c>
      <c r="D167" s="27" t="s">
        <v>226</v>
      </c>
      <c r="E167" s="28">
        <v>37977.24</v>
      </c>
      <c r="F167" s="27" t="s">
        <v>4073</v>
      </c>
      <c r="G167" s="48"/>
      <c r="H167" s="47" t="str">
        <f t="shared" si="6"/>
        <v>ANDINA</v>
      </c>
      <c r="I167" s="6">
        <f t="shared" si="7"/>
        <v>38415.336363636357</v>
      </c>
      <c r="J167" s="47">
        <f t="shared" si="8"/>
        <v>38415.336363636357</v>
      </c>
      <c r="L167" s="44"/>
      <c r="M167" s="44"/>
      <c r="N167" s="44"/>
      <c r="O167" s="44"/>
      <c r="P167" s="44"/>
      <c r="Q167" s="44"/>
      <c r="R167" s="44"/>
      <c r="S167" s="44"/>
    </row>
    <row r="168" spans="1:19" ht="14.1" customHeight="1">
      <c r="A168" s="27" t="s">
        <v>3835</v>
      </c>
      <c r="B168" s="27" t="s">
        <v>176</v>
      </c>
      <c r="C168" s="27" t="s">
        <v>262</v>
      </c>
      <c r="D168" s="27" t="s">
        <v>172</v>
      </c>
      <c r="E168" s="28">
        <v>18941.03</v>
      </c>
      <c r="F168" s="27" t="s">
        <v>4074</v>
      </c>
      <c r="G168" s="48"/>
      <c r="H168" s="47" t="str">
        <f t="shared" si="6"/>
        <v>ANDINA</v>
      </c>
      <c r="I168" s="6">
        <f t="shared" si="7"/>
        <v>18941.03</v>
      </c>
      <c r="J168" s="47">
        <f t="shared" si="8"/>
        <v>18941.03</v>
      </c>
      <c r="L168" s="44"/>
      <c r="M168" s="44"/>
      <c r="N168" s="44"/>
      <c r="O168" s="44"/>
      <c r="P168" s="44"/>
      <c r="Q168" s="44"/>
      <c r="R168" s="44"/>
      <c r="S168" s="44"/>
    </row>
    <row r="169" spans="1:19" ht="14.1" customHeight="1">
      <c r="A169" s="27" t="s">
        <v>3835</v>
      </c>
      <c r="B169" s="27" t="s">
        <v>176</v>
      </c>
      <c r="C169" s="27" t="s">
        <v>253</v>
      </c>
      <c r="D169" s="27" t="s">
        <v>172</v>
      </c>
      <c r="E169" s="28">
        <v>40350</v>
      </c>
      <c r="F169" s="27" t="s">
        <v>4074</v>
      </c>
      <c r="G169" s="48"/>
      <c r="H169" s="47" t="str">
        <f t="shared" si="6"/>
        <v>ANDINA</v>
      </c>
      <c r="I169" s="6">
        <f t="shared" si="7"/>
        <v>40350</v>
      </c>
      <c r="J169" s="47">
        <f t="shared" si="8"/>
        <v>40350</v>
      </c>
      <c r="L169" s="44"/>
      <c r="M169" s="44"/>
      <c r="N169" s="44"/>
      <c r="O169" s="44"/>
      <c r="P169" s="44"/>
      <c r="Q169" s="44"/>
      <c r="R169" s="44"/>
      <c r="S169" s="44"/>
    </row>
    <row r="170" spans="1:19" ht="14.1" customHeight="1">
      <c r="A170" s="27" t="s">
        <v>3835</v>
      </c>
      <c r="B170" s="27" t="s">
        <v>176</v>
      </c>
      <c r="C170" s="27" t="s">
        <v>177</v>
      </c>
      <c r="D170" s="27" t="s">
        <v>172</v>
      </c>
      <c r="E170" s="28">
        <v>19977.72</v>
      </c>
      <c r="F170" s="27" t="s">
        <v>4074</v>
      </c>
      <c r="G170" s="48"/>
      <c r="H170" s="47" t="str">
        <f t="shared" si="6"/>
        <v>ANDINA</v>
      </c>
      <c r="I170" s="6">
        <f t="shared" si="7"/>
        <v>19977.72</v>
      </c>
      <c r="J170" s="47">
        <f t="shared" si="8"/>
        <v>19977.72</v>
      </c>
      <c r="L170" s="44"/>
      <c r="M170" s="44"/>
      <c r="N170" s="44"/>
      <c r="O170" s="44"/>
      <c r="P170" s="44"/>
      <c r="Q170" s="44"/>
      <c r="R170" s="44"/>
      <c r="S170" s="44"/>
    </row>
    <row r="171" spans="1:19" ht="14.1" customHeight="1">
      <c r="A171" s="27" t="s">
        <v>3835</v>
      </c>
      <c r="B171" s="27" t="s">
        <v>176</v>
      </c>
      <c r="C171" s="27" t="s">
        <v>231</v>
      </c>
      <c r="D171" s="27" t="s">
        <v>172</v>
      </c>
      <c r="E171" s="28">
        <v>21453.86</v>
      </c>
      <c r="F171" s="27" t="s">
        <v>4074</v>
      </c>
      <c r="G171" s="48"/>
      <c r="H171" s="47" t="str">
        <f t="shared" si="6"/>
        <v>ANDINA</v>
      </c>
      <c r="I171" s="6">
        <f t="shared" si="7"/>
        <v>21453.86</v>
      </c>
      <c r="J171" s="47">
        <f t="shared" si="8"/>
        <v>21453.86</v>
      </c>
      <c r="L171" s="44"/>
      <c r="M171" s="44"/>
      <c r="N171" s="44"/>
      <c r="O171" s="44"/>
      <c r="P171" s="44"/>
      <c r="Q171" s="44"/>
      <c r="R171" s="44"/>
      <c r="S171" s="44"/>
    </row>
    <row r="172" spans="1:19" ht="14.1" customHeight="1">
      <c r="A172" s="27" t="s">
        <v>3835</v>
      </c>
      <c r="B172" s="27" t="s">
        <v>180</v>
      </c>
      <c r="C172" s="27" t="s">
        <v>181</v>
      </c>
      <c r="D172" s="27" t="s">
        <v>172</v>
      </c>
      <c r="E172" s="28">
        <v>34056.25</v>
      </c>
      <c r="F172" s="27" t="s">
        <v>4073</v>
      </c>
      <c r="G172" s="48"/>
      <c r="H172" s="47" t="str">
        <f t="shared" si="6"/>
        <v>ANDINA</v>
      </c>
      <c r="I172" s="6">
        <f t="shared" si="7"/>
        <v>33820.26545454545</v>
      </c>
      <c r="J172" s="47">
        <f t="shared" si="8"/>
        <v>33820.26545454545</v>
      </c>
      <c r="L172" s="44"/>
      <c r="M172" s="44"/>
      <c r="N172" s="44"/>
      <c r="O172" s="44"/>
      <c r="P172" s="44"/>
      <c r="Q172" s="44"/>
      <c r="R172" s="44"/>
      <c r="S172" s="44"/>
    </row>
    <row r="173" spans="1:19" ht="14.1" customHeight="1">
      <c r="A173" s="27" t="s">
        <v>3835</v>
      </c>
      <c r="B173" s="27" t="s">
        <v>180</v>
      </c>
      <c r="C173" s="27" t="s">
        <v>263</v>
      </c>
      <c r="D173" s="27" t="s">
        <v>172</v>
      </c>
      <c r="E173" s="28">
        <v>193308.55</v>
      </c>
      <c r="F173" s="27" t="s">
        <v>4074</v>
      </c>
      <c r="G173" s="48"/>
      <c r="H173" s="47" t="str">
        <f t="shared" si="6"/>
        <v>ANDINA</v>
      </c>
      <c r="I173" s="6">
        <f t="shared" si="7"/>
        <v>193308.55</v>
      </c>
      <c r="J173" s="47">
        <f t="shared" si="8"/>
        <v>193308.55</v>
      </c>
      <c r="L173" s="44"/>
      <c r="M173" s="44"/>
      <c r="N173" s="44"/>
      <c r="O173" s="44"/>
      <c r="P173" s="44"/>
      <c r="Q173" s="44"/>
      <c r="R173" s="44"/>
      <c r="S173" s="44"/>
    </row>
    <row r="174" spans="1:19" ht="14.1" customHeight="1">
      <c r="A174" s="27" t="s">
        <v>3835</v>
      </c>
      <c r="B174" s="27" t="s">
        <v>180</v>
      </c>
      <c r="C174" s="27" t="s">
        <v>277</v>
      </c>
      <c r="D174" s="27" t="s">
        <v>172</v>
      </c>
      <c r="E174" s="28">
        <v>94425.71</v>
      </c>
      <c r="F174" s="27" t="s">
        <v>4074</v>
      </c>
      <c r="G174" s="48"/>
      <c r="H174" s="47" t="str">
        <f t="shared" si="6"/>
        <v>ANDINA</v>
      </c>
      <c r="I174" s="6">
        <f t="shared" si="7"/>
        <v>94425.71</v>
      </c>
      <c r="J174" s="47">
        <f t="shared" si="8"/>
        <v>94425.71</v>
      </c>
      <c r="L174" s="44"/>
      <c r="M174" s="44"/>
      <c r="N174" s="44"/>
      <c r="O174" s="44"/>
      <c r="P174" s="44"/>
      <c r="Q174" s="44"/>
      <c r="R174" s="44"/>
      <c r="S174" s="44"/>
    </row>
    <row r="175" spans="1:19" ht="14.1" customHeight="1">
      <c r="A175" s="27" t="s">
        <v>3835</v>
      </c>
      <c r="B175" s="27" t="s">
        <v>180</v>
      </c>
      <c r="C175" s="27" t="s">
        <v>300</v>
      </c>
      <c r="D175" s="27" t="s">
        <v>172</v>
      </c>
      <c r="E175" s="28">
        <v>66141.87</v>
      </c>
      <c r="F175" s="27" t="s">
        <v>4073</v>
      </c>
      <c r="G175" s="48"/>
      <c r="H175" s="47" t="str">
        <f t="shared" si="6"/>
        <v>ANDINA</v>
      </c>
      <c r="I175" s="6">
        <f t="shared" si="7"/>
        <v>67595.050909090904</v>
      </c>
      <c r="J175" s="47">
        <f t="shared" si="8"/>
        <v>67595.050909090904</v>
      </c>
      <c r="L175" s="44"/>
      <c r="M175" s="44"/>
      <c r="N175" s="44"/>
      <c r="O175" s="44"/>
      <c r="P175" s="44"/>
      <c r="Q175" s="44"/>
      <c r="R175" s="44"/>
      <c r="S175" s="44"/>
    </row>
    <row r="176" spans="1:19" ht="14.1" customHeight="1">
      <c r="A176" s="27" t="s">
        <v>3835</v>
      </c>
      <c r="B176" s="27" t="s">
        <v>180</v>
      </c>
      <c r="C176" s="27" t="s">
        <v>242</v>
      </c>
      <c r="D176" s="27" t="s">
        <v>172</v>
      </c>
      <c r="E176" s="28">
        <v>29522.01</v>
      </c>
      <c r="F176" s="27" t="s">
        <v>4074</v>
      </c>
      <c r="G176" s="48"/>
      <c r="H176" s="47" t="str">
        <f t="shared" si="6"/>
        <v>ANDINA</v>
      </c>
      <c r="I176" s="6">
        <f t="shared" si="7"/>
        <v>29522.01</v>
      </c>
      <c r="J176" s="47">
        <f t="shared" si="8"/>
        <v>29522.01</v>
      </c>
      <c r="L176" s="44"/>
      <c r="M176" s="44"/>
      <c r="N176" s="44"/>
      <c r="O176" s="44"/>
      <c r="P176" s="44"/>
      <c r="Q176" s="44"/>
      <c r="R176" s="44"/>
      <c r="S176" s="44"/>
    </row>
    <row r="177" spans="1:19" ht="14.1" customHeight="1">
      <c r="A177" s="27" t="s">
        <v>3835</v>
      </c>
      <c r="B177" s="27" t="s">
        <v>180</v>
      </c>
      <c r="C177" s="27" t="s">
        <v>254</v>
      </c>
      <c r="D177" s="27" t="s">
        <v>172</v>
      </c>
      <c r="E177" s="28">
        <v>147327.91</v>
      </c>
      <c r="F177" s="27" t="s">
        <v>4074</v>
      </c>
      <c r="G177" s="48"/>
      <c r="H177" s="47" t="str">
        <f t="shared" si="6"/>
        <v>ANDINA</v>
      </c>
      <c r="I177" s="6">
        <f t="shared" si="7"/>
        <v>147327.91</v>
      </c>
      <c r="J177" s="47">
        <f t="shared" si="8"/>
        <v>147327.91</v>
      </c>
      <c r="L177" s="44"/>
      <c r="M177" s="44"/>
      <c r="N177" s="44"/>
      <c r="O177" s="44"/>
      <c r="P177" s="44"/>
      <c r="Q177" s="44"/>
      <c r="R177" s="44"/>
      <c r="S177" s="44"/>
    </row>
    <row r="178" spans="1:19" ht="14.1" customHeight="1">
      <c r="A178" s="27" t="s">
        <v>3835</v>
      </c>
      <c r="B178" s="27" t="s">
        <v>180</v>
      </c>
      <c r="C178" s="27" t="s">
        <v>305</v>
      </c>
      <c r="D178" s="27" t="s">
        <v>172</v>
      </c>
      <c r="E178" s="28">
        <v>76055</v>
      </c>
      <c r="F178" s="27" t="s">
        <v>4074</v>
      </c>
      <c r="G178" s="48"/>
      <c r="H178" s="47" t="str">
        <f t="shared" si="6"/>
        <v>ANDINA</v>
      </c>
      <c r="I178" s="6">
        <f t="shared" si="7"/>
        <v>76055</v>
      </c>
      <c r="J178" s="47">
        <f t="shared" si="8"/>
        <v>76055</v>
      </c>
      <c r="L178" s="44"/>
      <c r="M178" s="44"/>
      <c r="N178" s="44"/>
      <c r="O178" s="44"/>
      <c r="P178" s="44"/>
      <c r="Q178" s="44"/>
      <c r="R178" s="44"/>
      <c r="S178" s="44"/>
    </row>
    <row r="179" spans="1:19" ht="14.1" customHeight="1">
      <c r="A179" s="27" t="s">
        <v>3835</v>
      </c>
      <c r="B179" s="27" t="s">
        <v>180</v>
      </c>
      <c r="C179" s="27" t="s">
        <v>297</v>
      </c>
      <c r="D179" s="27" t="s">
        <v>172</v>
      </c>
      <c r="E179" s="28">
        <v>163490.48000000001</v>
      </c>
      <c r="F179" s="27" t="s">
        <v>4074</v>
      </c>
      <c r="G179" s="48"/>
      <c r="H179" s="47" t="str">
        <f t="shared" si="6"/>
        <v>ANDINA</v>
      </c>
      <c r="I179" s="6">
        <f t="shared" si="7"/>
        <v>163490.48000000001</v>
      </c>
      <c r="J179" s="47">
        <f t="shared" si="8"/>
        <v>163490.48000000001</v>
      </c>
      <c r="L179" s="44"/>
      <c r="M179" s="44"/>
      <c r="N179" s="44"/>
      <c r="O179" s="44"/>
      <c r="P179" s="44"/>
      <c r="Q179" s="44"/>
      <c r="R179" s="44"/>
      <c r="S179" s="44"/>
    </row>
    <row r="180" spans="1:19" ht="14.1" customHeight="1">
      <c r="A180" s="27" t="s">
        <v>3835</v>
      </c>
      <c r="B180" s="27" t="s">
        <v>180</v>
      </c>
      <c r="C180" s="27" t="s">
        <v>314</v>
      </c>
      <c r="D180" s="27" t="s">
        <v>172</v>
      </c>
      <c r="E180" s="28">
        <v>28103.200000000001</v>
      </c>
      <c r="F180" s="27" t="s">
        <v>4073</v>
      </c>
      <c r="G180" s="48"/>
      <c r="H180" s="47" t="str">
        <f t="shared" si="6"/>
        <v>ANDINA</v>
      </c>
      <c r="I180" s="6">
        <f t="shared" si="7"/>
        <v>28676.525454545455</v>
      </c>
      <c r="J180" s="47">
        <f t="shared" si="8"/>
        <v>28676.525454545455</v>
      </c>
      <c r="L180" s="44"/>
      <c r="M180" s="44"/>
      <c r="N180" s="44"/>
      <c r="O180" s="44"/>
      <c r="P180" s="44"/>
      <c r="Q180" s="44"/>
      <c r="R180" s="44"/>
      <c r="S180" s="44"/>
    </row>
    <row r="181" spans="1:19" ht="14.1" customHeight="1">
      <c r="A181" s="27" t="s">
        <v>3835</v>
      </c>
      <c r="B181" s="27" t="s">
        <v>180</v>
      </c>
      <c r="C181" s="27" t="s">
        <v>182</v>
      </c>
      <c r="D181" s="27" t="s">
        <v>172</v>
      </c>
      <c r="E181" s="28">
        <v>146068.76999999999</v>
      </c>
      <c r="F181" s="27" t="s">
        <v>4074</v>
      </c>
      <c r="G181" s="48"/>
      <c r="H181" s="47" t="str">
        <f t="shared" si="6"/>
        <v>ANDINA</v>
      </c>
      <c r="I181" s="6">
        <f t="shared" si="7"/>
        <v>146068.76999999999</v>
      </c>
      <c r="J181" s="47">
        <f t="shared" si="8"/>
        <v>146068.76999999999</v>
      </c>
      <c r="L181" s="44"/>
      <c r="M181" s="44"/>
      <c r="N181" s="44"/>
      <c r="O181" s="44"/>
      <c r="P181" s="44"/>
      <c r="Q181" s="44"/>
      <c r="R181" s="44"/>
      <c r="S181" s="44"/>
    </row>
    <row r="182" spans="1:19" ht="14.1" customHeight="1">
      <c r="A182" s="27" t="s">
        <v>3836</v>
      </c>
      <c r="B182" s="27" t="s">
        <v>4072</v>
      </c>
      <c r="C182" s="27" t="s">
        <v>316</v>
      </c>
      <c r="D182" s="27" t="s">
        <v>172</v>
      </c>
      <c r="E182" s="28">
        <v>46378.17</v>
      </c>
      <c r="F182" s="27" t="s">
        <v>4073</v>
      </c>
      <c r="G182" s="48"/>
      <c r="H182" s="47" t="str">
        <f t="shared" si="6"/>
        <v>ANDINA</v>
      </c>
      <c r="I182" s="6">
        <f t="shared" si="7"/>
        <v>46393.717272727263</v>
      </c>
      <c r="J182" s="47">
        <f t="shared" si="8"/>
        <v>46393.717272727263</v>
      </c>
      <c r="L182" s="46"/>
      <c r="M182" s="46"/>
      <c r="N182" s="46"/>
      <c r="O182" s="46"/>
      <c r="P182" s="46"/>
      <c r="Q182" s="46"/>
      <c r="R182" s="46"/>
      <c r="S182" s="46"/>
    </row>
    <row r="183" spans="1:19" ht="14.1" customHeight="1">
      <c r="A183" s="27" t="s">
        <v>3836</v>
      </c>
      <c r="B183" s="27" t="s">
        <v>137</v>
      </c>
      <c r="C183" s="27" t="s">
        <v>291</v>
      </c>
      <c r="D183" s="27" t="s">
        <v>172</v>
      </c>
      <c r="E183" s="28">
        <v>22086.61</v>
      </c>
      <c r="F183" s="27" t="s">
        <v>4073</v>
      </c>
      <c r="G183" s="48"/>
      <c r="H183" s="47" t="str">
        <f t="shared" si="6"/>
        <v>ANDINA</v>
      </c>
      <c r="I183" s="6">
        <f t="shared" si="7"/>
        <v>22820.238181818186</v>
      </c>
      <c r="J183" s="47">
        <f t="shared" si="8"/>
        <v>22820.238181818186</v>
      </c>
      <c r="L183" s="44"/>
      <c r="M183" s="44"/>
      <c r="N183" s="44"/>
      <c r="O183" s="44"/>
      <c r="P183" s="44"/>
      <c r="Q183" s="44"/>
      <c r="R183" s="44"/>
      <c r="S183" s="44"/>
    </row>
    <row r="184" spans="1:19" ht="14.1" customHeight="1">
      <c r="A184" s="27" t="s">
        <v>3836</v>
      </c>
      <c r="B184" s="27" t="s">
        <v>137</v>
      </c>
      <c r="C184" s="27" t="s">
        <v>243</v>
      </c>
      <c r="D184" s="27" t="s">
        <v>172</v>
      </c>
      <c r="E184" s="28">
        <v>23634.26</v>
      </c>
      <c r="F184" s="27" t="s">
        <v>4074</v>
      </c>
      <c r="G184" s="48"/>
      <c r="H184" s="47" t="str">
        <f t="shared" si="6"/>
        <v>ANDINA</v>
      </c>
      <c r="I184" s="6">
        <f t="shared" si="7"/>
        <v>23634.26</v>
      </c>
      <c r="J184" s="47">
        <f t="shared" si="8"/>
        <v>23634.26</v>
      </c>
      <c r="L184" s="44"/>
      <c r="M184" s="44"/>
      <c r="N184" s="44"/>
      <c r="O184" s="44"/>
      <c r="P184" s="44"/>
      <c r="Q184" s="44"/>
      <c r="R184" s="44"/>
      <c r="S184" s="44"/>
    </row>
    <row r="185" spans="1:19" ht="14.1" customHeight="1">
      <c r="A185" s="27" t="s">
        <v>3836</v>
      </c>
      <c r="B185" s="27" t="s">
        <v>137</v>
      </c>
      <c r="C185" s="27" t="s">
        <v>237</v>
      </c>
      <c r="D185" s="27" t="s">
        <v>172</v>
      </c>
      <c r="E185" s="28">
        <v>28933.31</v>
      </c>
      <c r="F185" s="27" t="s">
        <v>4073</v>
      </c>
      <c r="G185" s="48"/>
      <c r="H185" s="47" t="str">
        <f t="shared" si="6"/>
        <v>ANDINA</v>
      </c>
      <c r="I185" s="6">
        <f t="shared" si="7"/>
        <v>29476.605454545454</v>
      </c>
      <c r="J185" s="47">
        <f t="shared" si="8"/>
        <v>29476.605454545454</v>
      </c>
      <c r="L185" s="44"/>
      <c r="M185" s="44"/>
      <c r="N185" s="44"/>
      <c r="O185" s="44"/>
      <c r="P185" s="44"/>
      <c r="Q185" s="44"/>
      <c r="R185" s="44"/>
      <c r="S185" s="44"/>
    </row>
    <row r="186" spans="1:19" ht="14.1" customHeight="1">
      <c r="A186" s="27" t="s">
        <v>3836</v>
      </c>
      <c r="B186" s="27" t="s">
        <v>137</v>
      </c>
      <c r="C186" s="27" t="s">
        <v>246</v>
      </c>
      <c r="D186" s="27" t="s">
        <v>172</v>
      </c>
      <c r="E186" s="28">
        <v>69700</v>
      </c>
      <c r="F186" s="27" t="s">
        <v>4074</v>
      </c>
      <c r="G186" s="48"/>
      <c r="H186" s="47" t="str">
        <f t="shared" si="6"/>
        <v>ANDINA</v>
      </c>
      <c r="I186" s="6">
        <f t="shared" si="7"/>
        <v>69700</v>
      </c>
      <c r="J186" s="47">
        <f t="shared" si="8"/>
        <v>69700</v>
      </c>
      <c r="L186" s="44"/>
      <c r="M186" s="44"/>
      <c r="N186" s="44"/>
      <c r="O186" s="44"/>
      <c r="P186" s="44"/>
      <c r="Q186" s="44"/>
      <c r="R186" s="44"/>
      <c r="S186" s="44"/>
    </row>
    <row r="187" spans="1:19" ht="14.1" customHeight="1">
      <c r="A187" s="27" t="s">
        <v>3836</v>
      </c>
      <c r="B187" s="27" t="s">
        <v>170</v>
      </c>
      <c r="C187" s="27" t="s">
        <v>259</v>
      </c>
      <c r="D187" s="27" t="s">
        <v>172</v>
      </c>
      <c r="E187" s="28">
        <v>300125</v>
      </c>
      <c r="F187" s="27" t="s">
        <v>4074</v>
      </c>
      <c r="G187" s="48"/>
      <c r="H187" s="47" t="str">
        <f t="shared" si="6"/>
        <v>ANDINA</v>
      </c>
      <c r="I187" s="6">
        <f t="shared" si="7"/>
        <v>300125</v>
      </c>
      <c r="J187" s="47">
        <f t="shared" si="8"/>
        <v>300125</v>
      </c>
      <c r="L187" s="44"/>
      <c r="M187" s="44"/>
      <c r="N187" s="44"/>
      <c r="O187" s="44"/>
      <c r="P187" s="44"/>
      <c r="Q187" s="44"/>
      <c r="R187" s="44"/>
      <c r="S187" s="44"/>
    </row>
    <row r="188" spans="1:19" ht="14.1" customHeight="1">
      <c r="A188" s="27" t="s">
        <v>3836</v>
      </c>
      <c r="B188" s="27" t="s">
        <v>170</v>
      </c>
      <c r="C188" s="27" t="s">
        <v>276</v>
      </c>
      <c r="D188" s="27" t="s">
        <v>172</v>
      </c>
      <c r="E188" s="28">
        <v>83726.98</v>
      </c>
      <c r="F188" s="27" t="s">
        <v>4073</v>
      </c>
      <c r="G188" s="48"/>
      <c r="H188" s="47" t="str">
        <f t="shared" si="6"/>
        <v>ANDINA</v>
      </c>
      <c r="I188" s="6">
        <f t="shared" si="7"/>
        <v>83734.880909090891</v>
      </c>
      <c r="J188" s="47">
        <f t="shared" si="8"/>
        <v>83734.880909090891</v>
      </c>
      <c r="L188" s="44"/>
      <c r="M188" s="44"/>
      <c r="N188" s="44"/>
      <c r="O188" s="44"/>
      <c r="P188" s="44"/>
      <c r="Q188" s="44"/>
      <c r="R188" s="44"/>
      <c r="S188" s="44"/>
    </row>
    <row r="189" spans="1:19" ht="14.1" customHeight="1">
      <c r="A189" s="27" t="s">
        <v>3836</v>
      </c>
      <c r="B189" s="27" t="s">
        <v>170</v>
      </c>
      <c r="C189" s="27" t="s">
        <v>240</v>
      </c>
      <c r="D189" s="27" t="s">
        <v>172</v>
      </c>
      <c r="E189" s="28">
        <v>23574.34</v>
      </c>
      <c r="F189" s="27" t="s">
        <v>4073</v>
      </c>
      <c r="G189" s="48"/>
      <c r="H189" s="47" t="str">
        <f t="shared" si="6"/>
        <v>ANDINA</v>
      </c>
      <c r="I189" s="6">
        <f t="shared" si="7"/>
        <v>24304.165454545455</v>
      </c>
      <c r="J189" s="47">
        <f t="shared" si="8"/>
        <v>24304.165454545455</v>
      </c>
      <c r="L189" s="44"/>
      <c r="M189" s="44"/>
      <c r="N189" s="44"/>
      <c r="O189" s="44"/>
      <c r="P189" s="44"/>
      <c r="Q189" s="44"/>
      <c r="R189" s="44"/>
      <c r="S189" s="44"/>
    </row>
    <row r="190" spans="1:19" ht="14.1" customHeight="1">
      <c r="A190" s="27" t="s">
        <v>3836</v>
      </c>
      <c r="B190" s="27" t="s">
        <v>170</v>
      </c>
      <c r="C190" s="27" t="s">
        <v>251</v>
      </c>
      <c r="D190" s="27" t="s">
        <v>226</v>
      </c>
      <c r="E190" s="28">
        <v>59099.360000000001</v>
      </c>
      <c r="F190" s="27" t="s">
        <v>4074</v>
      </c>
      <c r="G190" s="48"/>
      <c r="H190" s="47" t="str">
        <f t="shared" si="6"/>
        <v>ANDINA</v>
      </c>
      <c r="I190" s="6">
        <f t="shared" si="7"/>
        <v>59099.360000000001</v>
      </c>
      <c r="J190" s="47">
        <f t="shared" si="8"/>
        <v>59099.360000000001</v>
      </c>
      <c r="L190" s="44"/>
      <c r="M190" s="44"/>
      <c r="N190" s="44"/>
      <c r="O190" s="44"/>
      <c r="P190" s="44"/>
      <c r="Q190" s="44"/>
      <c r="R190" s="44"/>
      <c r="S190" s="44"/>
    </row>
    <row r="191" spans="1:19" ht="14.1" customHeight="1">
      <c r="A191" s="27" t="s">
        <v>3836</v>
      </c>
      <c r="B191" s="27" t="s">
        <v>170</v>
      </c>
      <c r="C191" s="27" t="s">
        <v>256</v>
      </c>
      <c r="D191" s="27" t="s">
        <v>172</v>
      </c>
      <c r="E191" s="28">
        <v>29504.6</v>
      </c>
      <c r="F191" s="27" t="s">
        <v>4073</v>
      </c>
      <c r="G191" s="48"/>
      <c r="H191" s="47" t="str">
        <f t="shared" si="6"/>
        <v>ANDINA</v>
      </c>
      <c r="I191" s="6">
        <f t="shared" si="7"/>
        <v>29675.26090909091</v>
      </c>
      <c r="J191" s="47">
        <f t="shared" si="8"/>
        <v>29675.26090909091</v>
      </c>
      <c r="L191" s="44"/>
      <c r="M191" s="44"/>
      <c r="N191" s="44"/>
      <c r="O191" s="44"/>
      <c r="P191" s="44"/>
      <c r="Q191" s="44"/>
      <c r="R191" s="44"/>
      <c r="S191" s="44"/>
    </row>
    <row r="192" spans="1:19" ht="14.1" customHeight="1">
      <c r="A192" s="27" t="s">
        <v>3836</v>
      </c>
      <c r="B192" s="27" t="s">
        <v>170</v>
      </c>
      <c r="C192" s="27" t="s">
        <v>311</v>
      </c>
      <c r="D192" s="27" t="s">
        <v>172</v>
      </c>
      <c r="E192" s="28">
        <v>40598.93</v>
      </c>
      <c r="F192" s="27" t="s">
        <v>4073</v>
      </c>
      <c r="G192" s="48"/>
      <c r="H192" s="47" t="str">
        <f t="shared" si="6"/>
        <v>ANDINA</v>
      </c>
      <c r="I192" s="6">
        <f t="shared" si="7"/>
        <v>41265.176363636368</v>
      </c>
      <c r="J192" s="47">
        <f t="shared" si="8"/>
        <v>41265.176363636368</v>
      </c>
      <c r="L192" s="44"/>
      <c r="M192" s="44"/>
      <c r="N192" s="44"/>
      <c r="O192" s="44"/>
      <c r="P192" s="44"/>
      <c r="Q192" s="44"/>
      <c r="R192" s="44"/>
      <c r="S192" s="44"/>
    </row>
    <row r="193" spans="1:19" ht="14.1" customHeight="1">
      <c r="A193" s="27" t="s">
        <v>3836</v>
      </c>
      <c r="B193" s="27" t="s">
        <v>170</v>
      </c>
      <c r="C193" s="27" t="s">
        <v>171</v>
      </c>
      <c r="D193" s="27" t="s">
        <v>172</v>
      </c>
      <c r="E193" s="28">
        <v>115879.72</v>
      </c>
      <c r="F193" s="27" t="s">
        <v>4073</v>
      </c>
      <c r="G193" s="48"/>
      <c r="H193" s="47" t="str">
        <f t="shared" si="6"/>
        <v>ANDINA</v>
      </c>
      <c r="I193" s="6">
        <f t="shared" si="7"/>
        <v>117943.50181818182</v>
      </c>
      <c r="J193" s="47">
        <f t="shared" si="8"/>
        <v>117943.50181818182</v>
      </c>
      <c r="L193" s="44"/>
      <c r="M193" s="44"/>
      <c r="N193" s="44"/>
      <c r="O193" s="44"/>
      <c r="P193" s="44"/>
      <c r="Q193" s="44"/>
      <c r="R193" s="44"/>
      <c r="S193" s="44"/>
    </row>
    <row r="194" spans="1:19" ht="14.1" customHeight="1">
      <c r="A194" s="27" t="s">
        <v>3836</v>
      </c>
      <c r="B194" s="27" t="s">
        <v>170</v>
      </c>
      <c r="C194" s="27" t="s">
        <v>252</v>
      </c>
      <c r="D194" s="27" t="s">
        <v>226</v>
      </c>
      <c r="E194" s="28">
        <v>21867.29</v>
      </c>
      <c r="F194" s="27" t="s">
        <v>4073</v>
      </c>
      <c r="G194" s="48"/>
      <c r="H194" s="47" t="str">
        <f t="shared" ref="H194:H257" si="9">IF(OR(A194="Antioquia",A194="Bogotá, D.C.",A194="Boyacá",A194="Cundinamarca",A194="Caldas",A194="Risaralda",A194="Quindío",A194="Tolima",A194="Huila",A194="Santander",A194="Norte de Santander"),"ANDINA",
IF(OR(A194="Atlántico",A194="Bolívar",A194="Cesar",A194="Córdoba",A194="Sucre",A194="Magdalena"),"CARIBE",
IF(OR(A194="Valle del Cauca",A194="Cauca",A194="Nariño"),"PACIFICO",
IF(OR(A194="Meta",A194="Casanare",A194="Arauca"),"ORINOQUIA",
"AMAZONIA"))))</f>
        <v>ANDINA</v>
      </c>
      <c r="I194" s="6">
        <f t="shared" ref="I194:I257" si="10">IF(F194="Departamental",E194,
AVERAGEIFS($E:$E,$H:$H,H194,$B:$B,B194,$C:$C,C194))</f>
        <v>21729.190000000002</v>
      </c>
      <c r="J194" s="47">
        <f t="shared" si="8"/>
        <v>21729.190000000002</v>
      </c>
      <c r="L194" s="44"/>
      <c r="M194" s="44"/>
      <c r="N194" s="44"/>
      <c r="O194" s="44"/>
      <c r="P194" s="44"/>
      <c r="Q194" s="44"/>
      <c r="R194" s="44"/>
      <c r="S194" s="44"/>
    </row>
    <row r="195" spans="1:19" ht="14.1" customHeight="1">
      <c r="A195" s="27" t="s">
        <v>3836</v>
      </c>
      <c r="B195" s="27" t="s">
        <v>170</v>
      </c>
      <c r="C195" s="27" t="s">
        <v>296</v>
      </c>
      <c r="D195" s="27" t="s">
        <v>226</v>
      </c>
      <c r="E195" s="28">
        <v>23264.35</v>
      </c>
      <c r="F195" s="27" t="s">
        <v>4074</v>
      </c>
      <c r="G195" s="48"/>
      <c r="H195" s="47" t="str">
        <f t="shared" si="9"/>
        <v>ANDINA</v>
      </c>
      <c r="I195" s="6">
        <f t="shared" si="10"/>
        <v>23264.35</v>
      </c>
      <c r="J195" s="47">
        <f t="shared" ref="J195:J258" si="11">IF(G195&lt;&gt;"",G195,I195)</f>
        <v>23264.35</v>
      </c>
      <c r="L195" s="44"/>
      <c r="M195" s="44"/>
      <c r="N195" s="44"/>
      <c r="O195" s="44"/>
      <c r="P195" s="44"/>
      <c r="Q195" s="44"/>
      <c r="R195" s="44"/>
      <c r="S195" s="44"/>
    </row>
    <row r="196" spans="1:19" ht="14.1" customHeight="1">
      <c r="A196" s="27" t="s">
        <v>3836</v>
      </c>
      <c r="B196" s="27" t="s">
        <v>170</v>
      </c>
      <c r="C196" s="27" t="s">
        <v>173</v>
      </c>
      <c r="D196" s="27" t="s">
        <v>172</v>
      </c>
      <c r="E196" s="28">
        <v>153430.65</v>
      </c>
      <c r="F196" s="27" t="s">
        <v>4073</v>
      </c>
      <c r="G196" s="48"/>
      <c r="H196" s="47" t="str">
        <f t="shared" si="9"/>
        <v>ANDINA</v>
      </c>
      <c r="I196" s="6">
        <f t="shared" si="10"/>
        <v>154177.74636363634</v>
      </c>
      <c r="J196" s="47">
        <f t="shared" si="11"/>
        <v>154177.74636363634</v>
      </c>
      <c r="L196" s="44"/>
      <c r="M196" s="44"/>
      <c r="N196" s="44"/>
      <c r="O196" s="44"/>
      <c r="P196" s="44"/>
      <c r="Q196" s="44"/>
      <c r="R196" s="44"/>
      <c r="S196" s="44"/>
    </row>
    <row r="197" spans="1:19" ht="14.1" customHeight="1">
      <c r="A197" s="27" t="s">
        <v>3836</v>
      </c>
      <c r="B197" s="27" t="s">
        <v>170</v>
      </c>
      <c r="C197" s="27" t="s">
        <v>225</v>
      </c>
      <c r="D197" s="27" t="s">
        <v>226</v>
      </c>
      <c r="E197" s="28">
        <v>37977.24</v>
      </c>
      <c r="F197" s="27" t="s">
        <v>4073</v>
      </c>
      <c r="G197" s="48"/>
      <c r="H197" s="47" t="str">
        <f t="shared" si="9"/>
        <v>ANDINA</v>
      </c>
      <c r="I197" s="6">
        <f t="shared" si="10"/>
        <v>38415.336363636357</v>
      </c>
      <c r="J197" s="47">
        <f t="shared" si="11"/>
        <v>38415.336363636357</v>
      </c>
      <c r="L197" s="44"/>
      <c r="M197" s="44"/>
      <c r="N197" s="44"/>
      <c r="O197" s="44"/>
      <c r="P197" s="44"/>
      <c r="Q197" s="44"/>
      <c r="R197" s="44"/>
      <c r="S197" s="44"/>
    </row>
    <row r="198" spans="1:19" ht="14.1" customHeight="1">
      <c r="A198" s="27" t="s">
        <v>3836</v>
      </c>
      <c r="B198" s="27" t="s">
        <v>176</v>
      </c>
      <c r="C198" s="27" t="s">
        <v>262</v>
      </c>
      <c r="D198" s="27" t="s">
        <v>172</v>
      </c>
      <c r="E198" s="28">
        <v>17661.86</v>
      </c>
      <c r="F198" s="27" t="s">
        <v>4074</v>
      </c>
      <c r="G198" s="48"/>
      <c r="H198" s="47" t="str">
        <f t="shared" si="9"/>
        <v>ANDINA</v>
      </c>
      <c r="I198" s="6">
        <f t="shared" si="10"/>
        <v>17661.86</v>
      </c>
      <c r="J198" s="47">
        <f t="shared" si="11"/>
        <v>17661.86</v>
      </c>
      <c r="L198" s="44"/>
      <c r="M198" s="44"/>
      <c r="N198" s="44"/>
      <c r="O198" s="44"/>
      <c r="P198" s="44"/>
      <c r="Q198" s="44"/>
      <c r="R198" s="44"/>
      <c r="S198" s="44"/>
    </row>
    <row r="199" spans="1:19" ht="14.1" customHeight="1">
      <c r="A199" s="27" t="s">
        <v>3836</v>
      </c>
      <c r="B199" s="27" t="s">
        <v>176</v>
      </c>
      <c r="C199" s="27" t="s">
        <v>253</v>
      </c>
      <c r="D199" s="27" t="s">
        <v>172</v>
      </c>
      <c r="E199" s="28">
        <v>24023.33</v>
      </c>
      <c r="F199" s="27" t="s">
        <v>4073</v>
      </c>
      <c r="G199" s="48"/>
      <c r="H199" s="47" t="str">
        <f t="shared" si="9"/>
        <v>ANDINA</v>
      </c>
      <c r="I199" s="6">
        <f t="shared" si="10"/>
        <v>25145.120909090914</v>
      </c>
      <c r="J199" s="47">
        <f t="shared" si="11"/>
        <v>25145.120909090914</v>
      </c>
      <c r="L199" s="44"/>
      <c r="M199" s="44"/>
      <c r="N199" s="44"/>
      <c r="O199" s="44"/>
      <c r="P199" s="44"/>
      <c r="Q199" s="44"/>
      <c r="R199" s="44"/>
      <c r="S199" s="44"/>
    </row>
    <row r="200" spans="1:19" ht="14.1" customHeight="1">
      <c r="A200" s="27" t="s">
        <v>3836</v>
      </c>
      <c r="B200" s="27" t="s">
        <v>176</v>
      </c>
      <c r="C200" s="27" t="s">
        <v>177</v>
      </c>
      <c r="D200" s="27" t="s">
        <v>172</v>
      </c>
      <c r="E200" s="28">
        <v>19292.73</v>
      </c>
      <c r="F200" s="27" t="s">
        <v>4074</v>
      </c>
      <c r="G200" s="48"/>
      <c r="H200" s="47" t="str">
        <f t="shared" si="9"/>
        <v>ANDINA</v>
      </c>
      <c r="I200" s="6">
        <f t="shared" si="10"/>
        <v>19292.73</v>
      </c>
      <c r="J200" s="47">
        <f t="shared" si="11"/>
        <v>19292.73</v>
      </c>
      <c r="L200" s="44"/>
      <c r="M200" s="44"/>
      <c r="N200" s="44"/>
      <c r="O200" s="44"/>
      <c r="P200" s="44"/>
      <c r="Q200" s="44"/>
      <c r="R200" s="44"/>
      <c r="S200" s="44"/>
    </row>
    <row r="201" spans="1:19" ht="14.1" customHeight="1">
      <c r="A201" s="27" t="s">
        <v>3836</v>
      </c>
      <c r="B201" s="27" t="s">
        <v>176</v>
      </c>
      <c r="C201" s="27" t="s">
        <v>231</v>
      </c>
      <c r="D201" s="27" t="s">
        <v>172</v>
      </c>
      <c r="E201" s="28">
        <v>22725.93</v>
      </c>
      <c r="F201" s="27" t="s">
        <v>4074</v>
      </c>
      <c r="G201" s="48"/>
      <c r="H201" s="47" t="str">
        <f t="shared" si="9"/>
        <v>ANDINA</v>
      </c>
      <c r="I201" s="6">
        <f t="shared" si="10"/>
        <v>22725.93</v>
      </c>
      <c r="J201" s="47">
        <f t="shared" si="11"/>
        <v>22725.93</v>
      </c>
      <c r="L201" s="44"/>
      <c r="M201" s="44"/>
      <c r="N201" s="44"/>
      <c r="O201" s="44"/>
      <c r="P201" s="44"/>
      <c r="Q201" s="44"/>
      <c r="R201" s="44"/>
      <c r="S201" s="44"/>
    </row>
    <row r="202" spans="1:19" ht="14.1" customHeight="1">
      <c r="A202" s="27" t="s">
        <v>3836</v>
      </c>
      <c r="B202" s="27" t="s">
        <v>180</v>
      </c>
      <c r="C202" s="27" t="s">
        <v>181</v>
      </c>
      <c r="D202" s="27" t="s">
        <v>172</v>
      </c>
      <c r="E202" s="28">
        <v>34056.25</v>
      </c>
      <c r="F202" s="27" t="s">
        <v>4073</v>
      </c>
      <c r="G202" s="48"/>
      <c r="H202" s="47" t="str">
        <f t="shared" si="9"/>
        <v>ANDINA</v>
      </c>
      <c r="I202" s="6">
        <f t="shared" si="10"/>
        <v>33820.26545454545</v>
      </c>
      <c r="J202" s="47">
        <f t="shared" si="11"/>
        <v>33820.26545454545</v>
      </c>
      <c r="L202" s="44"/>
      <c r="M202" s="44"/>
      <c r="N202" s="44"/>
      <c r="O202" s="44"/>
      <c r="P202" s="44"/>
      <c r="Q202" s="44"/>
      <c r="R202" s="44"/>
      <c r="S202" s="44"/>
    </row>
    <row r="203" spans="1:19" ht="14.1" customHeight="1">
      <c r="A203" s="27" t="s">
        <v>3836</v>
      </c>
      <c r="B203" s="27" t="s">
        <v>180</v>
      </c>
      <c r="C203" s="27" t="s">
        <v>263</v>
      </c>
      <c r="D203" s="27" t="s">
        <v>172</v>
      </c>
      <c r="E203" s="28">
        <v>220105</v>
      </c>
      <c r="F203" s="27" t="s">
        <v>4074</v>
      </c>
      <c r="G203" s="48"/>
      <c r="H203" s="47" t="str">
        <f t="shared" si="9"/>
        <v>ANDINA</v>
      </c>
      <c r="I203" s="6">
        <f t="shared" si="10"/>
        <v>220105</v>
      </c>
      <c r="J203" s="47">
        <f t="shared" si="11"/>
        <v>220105</v>
      </c>
      <c r="L203" s="44"/>
      <c r="M203" s="44"/>
      <c r="N203" s="44"/>
      <c r="O203" s="44"/>
      <c r="P203" s="44"/>
      <c r="Q203" s="44"/>
      <c r="R203" s="44"/>
      <c r="S203" s="44"/>
    </row>
    <row r="204" spans="1:19" ht="14.1" customHeight="1">
      <c r="A204" s="27" t="s">
        <v>3836</v>
      </c>
      <c r="B204" s="27" t="s">
        <v>180</v>
      </c>
      <c r="C204" s="27" t="s">
        <v>277</v>
      </c>
      <c r="D204" s="27" t="s">
        <v>172</v>
      </c>
      <c r="E204" s="28">
        <v>90689.07</v>
      </c>
      <c r="F204" s="27" t="s">
        <v>4073</v>
      </c>
      <c r="G204" s="48"/>
      <c r="H204" s="47" t="str">
        <f t="shared" si="9"/>
        <v>ANDINA</v>
      </c>
      <c r="I204" s="6">
        <f t="shared" si="10"/>
        <v>88565.010909090925</v>
      </c>
      <c r="J204" s="47">
        <f t="shared" si="11"/>
        <v>88565.010909090925</v>
      </c>
      <c r="L204" s="44"/>
      <c r="M204" s="44"/>
      <c r="N204" s="44"/>
      <c r="O204" s="44"/>
      <c r="P204" s="44"/>
      <c r="Q204" s="44"/>
      <c r="R204" s="44"/>
      <c r="S204" s="44"/>
    </row>
    <row r="205" spans="1:19" ht="14.1" customHeight="1">
      <c r="A205" s="27" t="s">
        <v>3836</v>
      </c>
      <c r="B205" s="27" t="s">
        <v>180</v>
      </c>
      <c r="C205" s="27" t="s">
        <v>300</v>
      </c>
      <c r="D205" s="27" t="s">
        <v>172</v>
      </c>
      <c r="E205" s="28">
        <v>66141.87</v>
      </c>
      <c r="F205" s="27" t="s">
        <v>4073</v>
      </c>
      <c r="G205" s="48"/>
      <c r="H205" s="47" t="str">
        <f t="shared" si="9"/>
        <v>ANDINA</v>
      </c>
      <c r="I205" s="6">
        <f t="shared" si="10"/>
        <v>67595.050909090904</v>
      </c>
      <c r="J205" s="47">
        <f t="shared" si="11"/>
        <v>67595.050909090904</v>
      </c>
      <c r="L205" s="44"/>
      <c r="M205" s="44"/>
      <c r="N205" s="44"/>
      <c r="O205" s="44"/>
      <c r="P205" s="44"/>
      <c r="Q205" s="44"/>
      <c r="R205" s="44"/>
      <c r="S205" s="44"/>
    </row>
    <row r="206" spans="1:19" ht="14.1" customHeight="1">
      <c r="A206" s="27" t="s">
        <v>3836</v>
      </c>
      <c r="B206" s="27" t="s">
        <v>180</v>
      </c>
      <c r="C206" s="27" t="s">
        <v>242</v>
      </c>
      <c r="D206" s="27" t="s">
        <v>172</v>
      </c>
      <c r="E206" s="28">
        <v>28187.9</v>
      </c>
      <c r="F206" s="27" t="s">
        <v>4074</v>
      </c>
      <c r="G206" s="48"/>
      <c r="H206" s="47" t="str">
        <f t="shared" si="9"/>
        <v>ANDINA</v>
      </c>
      <c r="I206" s="6">
        <f t="shared" si="10"/>
        <v>28187.9</v>
      </c>
      <c r="J206" s="47">
        <f t="shared" si="11"/>
        <v>28187.9</v>
      </c>
      <c r="L206" s="44"/>
      <c r="M206" s="44"/>
      <c r="N206" s="44"/>
      <c r="O206" s="44"/>
      <c r="P206" s="44"/>
      <c r="Q206" s="44"/>
      <c r="R206" s="44"/>
      <c r="S206" s="44"/>
    </row>
    <row r="207" spans="1:19" ht="14.1" customHeight="1">
      <c r="A207" s="27" t="s">
        <v>3836</v>
      </c>
      <c r="B207" s="27" t="s">
        <v>180</v>
      </c>
      <c r="C207" s="27" t="s">
        <v>254</v>
      </c>
      <c r="D207" s="27" t="s">
        <v>172</v>
      </c>
      <c r="E207" s="28">
        <v>146171.37</v>
      </c>
      <c r="F207" s="27" t="s">
        <v>4073</v>
      </c>
      <c r="G207" s="48"/>
      <c r="H207" s="47" t="str">
        <f t="shared" si="9"/>
        <v>ANDINA</v>
      </c>
      <c r="I207" s="6">
        <f t="shared" si="10"/>
        <v>147672.92727272728</v>
      </c>
      <c r="J207" s="47">
        <f t="shared" si="11"/>
        <v>147672.92727272728</v>
      </c>
      <c r="L207" s="44"/>
      <c r="M207" s="44"/>
      <c r="N207" s="44"/>
      <c r="O207" s="44"/>
      <c r="P207" s="44"/>
      <c r="Q207" s="44"/>
      <c r="R207" s="44"/>
      <c r="S207" s="44"/>
    </row>
    <row r="208" spans="1:19" ht="14.1" customHeight="1">
      <c r="A208" s="27" t="s">
        <v>3836</v>
      </c>
      <c r="B208" s="27" t="s">
        <v>180</v>
      </c>
      <c r="C208" s="27" t="s">
        <v>305</v>
      </c>
      <c r="D208" s="27" t="s">
        <v>172</v>
      </c>
      <c r="E208" s="28">
        <v>72327.89</v>
      </c>
      <c r="F208" s="27" t="s">
        <v>4073</v>
      </c>
      <c r="G208" s="48"/>
      <c r="H208" s="47" t="str">
        <f t="shared" si="9"/>
        <v>ANDINA</v>
      </c>
      <c r="I208" s="6">
        <f t="shared" si="10"/>
        <v>72524.681818181823</v>
      </c>
      <c r="J208" s="47">
        <f t="shared" si="11"/>
        <v>72524.681818181823</v>
      </c>
      <c r="L208" s="44"/>
      <c r="M208" s="44"/>
      <c r="N208" s="44"/>
      <c r="O208" s="44"/>
      <c r="P208" s="44"/>
      <c r="Q208" s="44"/>
      <c r="R208" s="44"/>
      <c r="S208" s="44"/>
    </row>
    <row r="209" spans="1:19" ht="14.1" customHeight="1">
      <c r="A209" s="27" t="s">
        <v>3836</v>
      </c>
      <c r="B209" s="27" t="s">
        <v>180</v>
      </c>
      <c r="C209" s="27" t="s">
        <v>297</v>
      </c>
      <c r="D209" s="27" t="s">
        <v>172</v>
      </c>
      <c r="E209" s="28">
        <v>149375.29999999999</v>
      </c>
      <c r="F209" s="27" t="s">
        <v>4073</v>
      </c>
      <c r="G209" s="48"/>
      <c r="H209" s="47" t="str">
        <f t="shared" si="9"/>
        <v>ANDINA</v>
      </c>
      <c r="I209" s="6">
        <f t="shared" si="10"/>
        <v>150305.83363636368</v>
      </c>
      <c r="J209" s="47">
        <f t="shared" si="11"/>
        <v>150305.83363636368</v>
      </c>
      <c r="L209" s="44"/>
      <c r="M209" s="44"/>
      <c r="N209" s="44"/>
      <c r="O209" s="44"/>
      <c r="P209" s="44"/>
      <c r="Q209" s="44"/>
      <c r="R209" s="44"/>
      <c r="S209" s="44"/>
    </row>
    <row r="210" spans="1:19" ht="14.1" customHeight="1">
      <c r="A210" s="27" t="s">
        <v>3836</v>
      </c>
      <c r="B210" s="27" t="s">
        <v>180</v>
      </c>
      <c r="C210" s="27" t="s">
        <v>314</v>
      </c>
      <c r="D210" s="27" t="s">
        <v>172</v>
      </c>
      <c r="E210" s="28">
        <v>27395</v>
      </c>
      <c r="F210" s="27" t="s">
        <v>4074</v>
      </c>
      <c r="G210" s="48"/>
      <c r="H210" s="47" t="str">
        <f t="shared" si="9"/>
        <v>ANDINA</v>
      </c>
      <c r="I210" s="6">
        <f t="shared" si="10"/>
        <v>27395</v>
      </c>
      <c r="J210" s="47">
        <f t="shared" si="11"/>
        <v>27395</v>
      </c>
      <c r="L210" s="44"/>
      <c r="M210" s="44"/>
      <c r="N210" s="44"/>
      <c r="O210" s="44"/>
      <c r="P210" s="44"/>
      <c r="Q210" s="44"/>
      <c r="R210" s="44"/>
      <c r="S210" s="44"/>
    </row>
    <row r="211" spans="1:19" ht="14.1" customHeight="1">
      <c r="A211" s="27" t="s">
        <v>3836</v>
      </c>
      <c r="B211" s="27" t="s">
        <v>180</v>
      </c>
      <c r="C211" s="27" t="s">
        <v>182</v>
      </c>
      <c r="D211" s="27" t="s">
        <v>172</v>
      </c>
      <c r="E211" s="28">
        <v>152302.78</v>
      </c>
      <c r="F211" s="27" t="s">
        <v>4074</v>
      </c>
      <c r="G211" s="48"/>
      <c r="H211" s="47" t="str">
        <f t="shared" si="9"/>
        <v>ANDINA</v>
      </c>
      <c r="I211" s="6">
        <f t="shared" si="10"/>
        <v>152302.78</v>
      </c>
      <c r="J211" s="47">
        <f t="shared" si="11"/>
        <v>152302.78</v>
      </c>
      <c r="L211" s="44"/>
      <c r="M211" s="44"/>
      <c r="N211" s="44"/>
      <c r="O211" s="44"/>
      <c r="P211" s="44"/>
      <c r="Q211" s="44"/>
      <c r="R211" s="44"/>
      <c r="S211" s="44"/>
    </row>
    <row r="212" spans="1:19" ht="14.1" customHeight="1">
      <c r="A212" s="27" t="s">
        <v>3837</v>
      </c>
      <c r="B212" s="27" t="s">
        <v>4072</v>
      </c>
      <c r="C212" s="27" t="s">
        <v>316</v>
      </c>
      <c r="D212" s="27" t="s">
        <v>172</v>
      </c>
      <c r="E212" s="28">
        <v>46378.17</v>
      </c>
      <c r="F212" s="27" t="s">
        <v>4073</v>
      </c>
      <c r="G212" s="48"/>
      <c r="H212" s="47" t="str">
        <f t="shared" si="9"/>
        <v>AMAZONIA</v>
      </c>
      <c r="I212" s="6">
        <f t="shared" si="10"/>
        <v>46378.17</v>
      </c>
      <c r="J212" s="47">
        <f t="shared" si="11"/>
        <v>46378.17</v>
      </c>
      <c r="L212" s="46"/>
      <c r="M212" s="46"/>
      <c r="N212" s="46"/>
      <c r="O212" s="46"/>
      <c r="P212" s="46"/>
      <c r="Q212" s="46"/>
      <c r="R212" s="46"/>
      <c r="S212" s="46"/>
    </row>
    <row r="213" spans="1:19" ht="14.1" customHeight="1">
      <c r="A213" s="27" t="s">
        <v>3837</v>
      </c>
      <c r="B213" s="27" t="s">
        <v>137</v>
      </c>
      <c r="C213" s="27" t="s">
        <v>291</v>
      </c>
      <c r="D213" s="27" t="s">
        <v>172</v>
      </c>
      <c r="E213" s="28">
        <v>22086.61</v>
      </c>
      <c r="F213" s="27" t="s">
        <v>4073</v>
      </c>
      <c r="G213" s="48"/>
      <c r="H213" s="47" t="str">
        <f t="shared" si="9"/>
        <v>AMAZONIA</v>
      </c>
      <c r="I213" s="6">
        <f t="shared" si="10"/>
        <v>22086.61</v>
      </c>
      <c r="J213" s="47">
        <f t="shared" si="11"/>
        <v>22086.61</v>
      </c>
      <c r="L213" s="44"/>
      <c r="M213" s="44"/>
      <c r="N213" s="44"/>
      <c r="O213" s="44"/>
      <c r="P213" s="44"/>
      <c r="Q213" s="44"/>
      <c r="R213" s="44"/>
      <c r="S213" s="44"/>
    </row>
    <row r="214" spans="1:19" ht="14.1" customHeight="1">
      <c r="A214" s="27" t="s">
        <v>3837</v>
      </c>
      <c r="B214" s="27" t="s">
        <v>137</v>
      </c>
      <c r="C214" s="27" t="s">
        <v>243</v>
      </c>
      <c r="D214" s="27" t="s">
        <v>172</v>
      </c>
      <c r="E214" s="28">
        <v>21754.73</v>
      </c>
      <c r="F214" s="27" t="s">
        <v>4073</v>
      </c>
      <c r="G214" s="48"/>
      <c r="H214" s="47" t="str">
        <f t="shared" si="9"/>
        <v>AMAZONIA</v>
      </c>
      <c r="I214" s="6">
        <f t="shared" si="10"/>
        <v>21754.73</v>
      </c>
      <c r="J214" s="47">
        <f t="shared" si="11"/>
        <v>21754.73</v>
      </c>
      <c r="L214" s="44"/>
      <c r="M214" s="44"/>
      <c r="N214" s="44"/>
      <c r="O214" s="44"/>
      <c r="P214" s="44"/>
      <c r="Q214" s="44"/>
      <c r="R214" s="44"/>
      <c r="S214" s="44"/>
    </row>
    <row r="215" spans="1:19" ht="14.1" customHeight="1">
      <c r="A215" s="27" t="s">
        <v>3837</v>
      </c>
      <c r="B215" s="27" t="s">
        <v>137</v>
      </c>
      <c r="C215" s="27" t="s">
        <v>237</v>
      </c>
      <c r="D215" s="27" t="s">
        <v>172</v>
      </c>
      <c r="E215" s="28">
        <v>28933.31</v>
      </c>
      <c r="F215" s="27" t="s">
        <v>4073</v>
      </c>
      <c r="G215" s="48"/>
      <c r="H215" s="47" t="str">
        <f t="shared" si="9"/>
        <v>AMAZONIA</v>
      </c>
      <c r="I215" s="6">
        <f t="shared" si="10"/>
        <v>28933.31</v>
      </c>
      <c r="J215" s="47">
        <f t="shared" si="11"/>
        <v>28933.31</v>
      </c>
      <c r="L215" s="44"/>
      <c r="M215" s="44"/>
      <c r="N215" s="44"/>
      <c r="O215" s="44"/>
      <c r="P215" s="44"/>
      <c r="Q215" s="44"/>
      <c r="R215" s="44"/>
      <c r="S215" s="44"/>
    </row>
    <row r="216" spans="1:19" ht="14.1" customHeight="1">
      <c r="A216" s="27" t="s">
        <v>3837</v>
      </c>
      <c r="B216" s="27" t="s">
        <v>137</v>
      </c>
      <c r="C216" s="27" t="s">
        <v>246</v>
      </c>
      <c r="D216" s="27" t="s">
        <v>172</v>
      </c>
      <c r="E216" s="28">
        <v>65250.53</v>
      </c>
      <c r="F216" s="27" t="s">
        <v>4073</v>
      </c>
      <c r="G216" s="48"/>
      <c r="H216" s="47" t="str">
        <f t="shared" si="9"/>
        <v>AMAZONIA</v>
      </c>
      <c r="I216" s="6">
        <f t="shared" si="10"/>
        <v>65250.53</v>
      </c>
      <c r="J216" s="47">
        <f t="shared" si="11"/>
        <v>65250.53</v>
      </c>
      <c r="L216" s="44"/>
      <c r="M216" s="44"/>
      <c r="N216" s="44"/>
      <c r="O216" s="44"/>
      <c r="P216" s="44"/>
      <c r="Q216" s="44"/>
      <c r="R216" s="44"/>
      <c r="S216" s="44"/>
    </row>
    <row r="217" spans="1:19" ht="14.1" customHeight="1">
      <c r="A217" s="27" t="s">
        <v>3837</v>
      </c>
      <c r="B217" s="27" t="s">
        <v>170</v>
      </c>
      <c r="C217" s="27" t="s">
        <v>259</v>
      </c>
      <c r="D217" s="27" t="s">
        <v>172</v>
      </c>
      <c r="E217" s="28">
        <v>283758.28999999998</v>
      </c>
      <c r="F217" s="27" t="s">
        <v>4073</v>
      </c>
      <c r="G217" s="48"/>
      <c r="H217" s="47" t="str">
        <f t="shared" si="9"/>
        <v>AMAZONIA</v>
      </c>
      <c r="I217" s="6">
        <f t="shared" si="10"/>
        <v>283758.28999999998</v>
      </c>
      <c r="J217" s="47">
        <f t="shared" si="11"/>
        <v>283758.28999999998</v>
      </c>
      <c r="L217" s="44"/>
      <c r="M217" s="44"/>
      <c r="N217" s="44"/>
      <c r="O217" s="44"/>
      <c r="P217" s="44"/>
      <c r="Q217" s="44"/>
      <c r="R217" s="44"/>
      <c r="S217" s="44"/>
    </row>
    <row r="218" spans="1:19" ht="14.1" customHeight="1">
      <c r="A218" s="27" t="s">
        <v>3837</v>
      </c>
      <c r="B218" s="27" t="s">
        <v>170</v>
      </c>
      <c r="C218" s="27" t="s">
        <v>276</v>
      </c>
      <c r="D218" s="27" t="s">
        <v>172</v>
      </c>
      <c r="E218" s="28">
        <v>83726.98</v>
      </c>
      <c r="F218" s="27" t="s">
        <v>4073</v>
      </c>
      <c r="G218" s="48"/>
      <c r="H218" s="47" t="str">
        <f t="shared" si="9"/>
        <v>AMAZONIA</v>
      </c>
      <c r="I218" s="6">
        <f t="shared" si="10"/>
        <v>83726.98</v>
      </c>
      <c r="J218" s="47">
        <f t="shared" si="11"/>
        <v>83726.98</v>
      </c>
      <c r="L218" s="44"/>
      <c r="M218" s="44"/>
      <c r="N218" s="44"/>
      <c r="O218" s="44"/>
      <c r="P218" s="44"/>
      <c r="Q218" s="44"/>
      <c r="R218" s="44"/>
      <c r="S218" s="44"/>
    </row>
    <row r="219" spans="1:19" ht="14.1" customHeight="1">
      <c r="A219" s="27" t="s">
        <v>3837</v>
      </c>
      <c r="B219" s="27" t="s">
        <v>170</v>
      </c>
      <c r="C219" s="27" t="s">
        <v>240</v>
      </c>
      <c r="D219" s="27" t="s">
        <v>172</v>
      </c>
      <c r="E219" s="28">
        <v>23574.34</v>
      </c>
      <c r="F219" s="27" t="s">
        <v>4073</v>
      </c>
      <c r="G219" s="48"/>
      <c r="H219" s="47" t="str">
        <f t="shared" si="9"/>
        <v>AMAZONIA</v>
      </c>
      <c r="I219" s="6">
        <f t="shared" si="10"/>
        <v>23574.34</v>
      </c>
      <c r="J219" s="47">
        <f t="shared" si="11"/>
        <v>23574.34</v>
      </c>
      <c r="L219" s="44"/>
      <c r="M219" s="44"/>
      <c r="N219" s="44"/>
      <c r="O219" s="44"/>
      <c r="P219" s="44"/>
      <c r="Q219" s="44"/>
      <c r="R219" s="44"/>
      <c r="S219" s="44"/>
    </row>
    <row r="220" spans="1:19" ht="14.1" customHeight="1">
      <c r="A220" s="27" t="s">
        <v>3837</v>
      </c>
      <c r="B220" s="27" t="s">
        <v>170</v>
      </c>
      <c r="C220" s="27" t="s">
        <v>251</v>
      </c>
      <c r="D220" s="27" t="s">
        <v>226</v>
      </c>
      <c r="E220" s="28">
        <v>61445.54</v>
      </c>
      <c r="F220" s="27" t="s">
        <v>4073</v>
      </c>
      <c r="G220" s="48"/>
      <c r="H220" s="47" t="str">
        <f t="shared" si="9"/>
        <v>AMAZONIA</v>
      </c>
      <c r="I220" s="6">
        <f t="shared" si="10"/>
        <v>61445.54</v>
      </c>
      <c r="J220" s="47">
        <f t="shared" si="11"/>
        <v>61445.54</v>
      </c>
      <c r="L220" s="44"/>
      <c r="M220" s="44"/>
      <c r="N220" s="44"/>
      <c r="O220" s="44"/>
      <c r="P220" s="44"/>
      <c r="Q220" s="44"/>
      <c r="R220" s="44"/>
      <c r="S220" s="44"/>
    </row>
    <row r="221" spans="1:19" ht="14.1" customHeight="1">
      <c r="A221" s="27" t="s">
        <v>3837</v>
      </c>
      <c r="B221" s="27" t="s">
        <v>170</v>
      </c>
      <c r="C221" s="27" t="s">
        <v>256</v>
      </c>
      <c r="D221" s="27" t="s">
        <v>172</v>
      </c>
      <c r="E221" s="28">
        <v>29504.6</v>
      </c>
      <c r="F221" s="27" t="s">
        <v>4073</v>
      </c>
      <c r="G221" s="48"/>
      <c r="H221" s="47" t="str">
        <f t="shared" si="9"/>
        <v>AMAZONIA</v>
      </c>
      <c r="I221" s="6">
        <f t="shared" si="10"/>
        <v>29615.08</v>
      </c>
      <c r="J221" s="47">
        <f t="shared" si="11"/>
        <v>29615.08</v>
      </c>
      <c r="L221" s="44"/>
      <c r="M221" s="44"/>
      <c r="N221" s="44"/>
      <c r="O221" s="44"/>
      <c r="P221" s="44"/>
      <c r="Q221" s="44"/>
      <c r="R221" s="44"/>
      <c r="S221" s="44"/>
    </row>
    <row r="222" spans="1:19" ht="14.1" customHeight="1">
      <c r="A222" s="27" t="s">
        <v>3837</v>
      </c>
      <c r="B222" s="27" t="s">
        <v>170</v>
      </c>
      <c r="C222" s="27" t="s">
        <v>311</v>
      </c>
      <c r="D222" s="27" t="s">
        <v>172</v>
      </c>
      <c r="E222" s="28">
        <v>40598.93</v>
      </c>
      <c r="F222" s="27" t="s">
        <v>4073</v>
      </c>
      <c r="G222" s="48"/>
      <c r="H222" s="47" t="str">
        <f t="shared" si="9"/>
        <v>AMAZONIA</v>
      </c>
      <c r="I222" s="6">
        <f t="shared" si="10"/>
        <v>40257.800000000003</v>
      </c>
      <c r="J222" s="47">
        <f t="shared" si="11"/>
        <v>40257.800000000003</v>
      </c>
      <c r="L222" s="44"/>
      <c r="M222" s="44"/>
      <c r="N222" s="44"/>
      <c r="O222" s="44"/>
      <c r="P222" s="44"/>
      <c r="Q222" s="44"/>
      <c r="R222" s="44"/>
      <c r="S222" s="44"/>
    </row>
    <row r="223" spans="1:19" ht="14.1" customHeight="1">
      <c r="A223" s="27" t="s">
        <v>3837</v>
      </c>
      <c r="B223" s="27" t="s">
        <v>170</v>
      </c>
      <c r="C223" s="27" t="s">
        <v>171</v>
      </c>
      <c r="D223" s="27" t="s">
        <v>172</v>
      </c>
      <c r="E223" s="28">
        <v>115879.72</v>
      </c>
      <c r="F223" s="27" t="s">
        <v>4073</v>
      </c>
      <c r="G223" s="48"/>
      <c r="H223" s="47" t="str">
        <f t="shared" si="9"/>
        <v>AMAZONIA</v>
      </c>
      <c r="I223" s="6">
        <f t="shared" si="10"/>
        <v>115879.72</v>
      </c>
      <c r="J223" s="47">
        <f t="shared" si="11"/>
        <v>115879.72</v>
      </c>
      <c r="L223" s="44"/>
      <c r="M223" s="44"/>
      <c r="N223" s="44"/>
      <c r="O223" s="44"/>
      <c r="P223" s="44"/>
      <c r="Q223" s="44"/>
      <c r="R223" s="44"/>
      <c r="S223" s="44"/>
    </row>
    <row r="224" spans="1:19" ht="14.1" customHeight="1">
      <c r="A224" s="27" t="s">
        <v>3837</v>
      </c>
      <c r="B224" s="27" t="s">
        <v>170</v>
      </c>
      <c r="C224" s="27" t="s">
        <v>252</v>
      </c>
      <c r="D224" s="27" t="s">
        <v>226</v>
      </c>
      <c r="E224" s="28">
        <v>30083.33</v>
      </c>
      <c r="F224" s="27" t="s">
        <v>4074</v>
      </c>
      <c r="G224" s="48"/>
      <c r="H224" s="47" t="str">
        <f t="shared" si="9"/>
        <v>AMAZONIA</v>
      </c>
      <c r="I224" s="6">
        <f t="shared" si="10"/>
        <v>30083.33</v>
      </c>
      <c r="J224" s="47">
        <f t="shared" si="11"/>
        <v>30083.33</v>
      </c>
      <c r="L224" s="44"/>
      <c r="M224" s="44"/>
      <c r="N224" s="44"/>
      <c r="O224" s="44"/>
      <c r="P224" s="44"/>
      <c r="Q224" s="44"/>
      <c r="R224" s="44"/>
      <c r="S224" s="44"/>
    </row>
    <row r="225" spans="1:19" ht="14.1" customHeight="1">
      <c r="A225" s="27" t="s">
        <v>3837</v>
      </c>
      <c r="B225" s="27" t="s">
        <v>170</v>
      </c>
      <c r="C225" s="27" t="s">
        <v>296</v>
      </c>
      <c r="D225" s="27" t="s">
        <v>226</v>
      </c>
      <c r="E225" s="28">
        <v>23167.62</v>
      </c>
      <c r="F225" s="27" t="s">
        <v>4073</v>
      </c>
      <c r="G225" s="48"/>
      <c r="H225" s="47" t="str">
        <f t="shared" si="9"/>
        <v>AMAZONIA</v>
      </c>
      <c r="I225" s="6">
        <f t="shared" si="10"/>
        <v>23167.62</v>
      </c>
      <c r="J225" s="47">
        <f t="shared" si="11"/>
        <v>23167.62</v>
      </c>
      <c r="L225" s="44"/>
      <c r="M225" s="44"/>
      <c r="N225" s="44"/>
      <c r="O225" s="44"/>
      <c r="P225" s="44"/>
      <c r="Q225" s="44"/>
      <c r="R225" s="44"/>
      <c r="S225" s="44"/>
    </row>
    <row r="226" spans="1:19" ht="14.1" customHeight="1">
      <c r="A226" s="27" t="s">
        <v>3837</v>
      </c>
      <c r="B226" s="27" t="s">
        <v>170</v>
      </c>
      <c r="C226" s="27" t="s">
        <v>173</v>
      </c>
      <c r="D226" s="27" t="s">
        <v>172</v>
      </c>
      <c r="E226" s="28">
        <v>153430.65</v>
      </c>
      <c r="F226" s="27" t="s">
        <v>4073</v>
      </c>
      <c r="G226" s="48"/>
      <c r="H226" s="47" t="str">
        <f t="shared" si="9"/>
        <v>AMAZONIA</v>
      </c>
      <c r="I226" s="6">
        <f t="shared" si="10"/>
        <v>150413.24</v>
      </c>
      <c r="J226" s="47">
        <f t="shared" si="11"/>
        <v>150413.24</v>
      </c>
      <c r="L226" s="44"/>
      <c r="M226" s="44"/>
      <c r="N226" s="44"/>
      <c r="O226" s="44"/>
      <c r="P226" s="44"/>
      <c r="Q226" s="44"/>
      <c r="R226" s="44"/>
      <c r="S226" s="44"/>
    </row>
    <row r="227" spans="1:19" ht="14.1" customHeight="1">
      <c r="A227" s="27" t="s">
        <v>3837</v>
      </c>
      <c r="B227" s="27" t="s">
        <v>170</v>
      </c>
      <c r="C227" s="27" t="s">
        <v>225</v>
      </c>
      <c r="D227" s="27" t="s">
        <v>226</v>
      </c>
      <c r="E227" s="28">
        <v>37977.24</v>
      </c>
      <c r="F227" s="27" t="s">
        <v>4073</v>
      </c>
      <c r="G227" s="48"/>
      <c r="H227" s="47" t="str">
        <f t="shared" si="9"/>
        <v>AMAZONIA</v>
      </c>
      <c r="I227" s="6">
        <f t="shared" si="10"/>
        <v>37977.24</v>
      </c>
      <c r="J227" s="47">
        <f t="shared" si="11"/>
        <v>37977.24</v>
      </c>
      <c r="L227" s="44"/>
      <c r="M227" s="44"/>
      <c r="N227" s="44"/>
      <c r="O227" s="44"/>
      <c r="P227" s="44"/>
      <c r="Q227" s="44"/>
      <c r="R227" s="44"/>
      <c r="S227" s="44"/>
    </row>
    <row r="228" spans="1:19" ht="14.1" customHeight="1">
      <c r="A228" s="27" t="s">
        <v>3837</v>
      </c>
      <c r="B228" s="27" t="s">
        <v>176</v>
      </c>
      <c r="C228" s="27" t="s">
        <v>262</v>
      </c>
      <c r="D228" s="27" t="s">
        <v>172</v>
      </c>
      <c r="E228" s="28">
        <v>18271.78</v>
      </c>
      <c r="F228" s="27" t="s">
        <v>4073</v>
      </c>
      <c r="G228" s="48"/>
      <c r="H228" s="47" t="str">
        <f t="shared" si="9"/>
        <v>AMAZONIA</v>
      </c>
      <c r="I228" s="6">
        <f t="shared" si="10"/>
        <v>18271.78</v>
      </c>
      <c r="J228" s="47">
        <f t="shared" si="11"/>
        <v>18271.78</v>
      </c>
      <c r="L228" s="44"/>
      <c r="M228" s="44"/>
      <c r="N228" s="44"/>
      <c r="O228" s="44"/>
      <c r="P228" s="44"/>
      <c r="Q228" s="44"/>
      <c r="R228" s="44"/>
      <c r="S228" s="44"/>
    </row>
    <row r="229" spans="1:19" ht="14.1" customHeight="1">
      <c r="A229" s="27" t="s">
        <v>3837</v>
      </c>
      <c r="B229" s="27" t="s">
        <v>176</v>
      </c>
      <c r="C229" s="27" t="s">
        <v>253</v>
      </c>
      <c r="D229" s="27" t="s">
        <v>172</v>
      </c>
      <c r="E229" s="28">
        <v>24023.33</v>
      </c>
      <c r="F229" s="27" t="s">
        <v>4073</v>
      </c>
      <c r="G229" s="48"/>
      <c r="H229" s="47" t="str">
        <f t="shared" si="9"/>
        <v>AMAZONIA</v>
      </c>
      <c r="I229" s="6">
        <f t="shared" si="10"/>
        <v>24023.33</v>
      </c>
      <c r="J229" s="47">
        <f t="shared" si="11"/>
        <v>24023.33</v>
      </c>
      <c r="L229" s="44"/>
      <c r="M229" s="44"/>
      <c r="N229" s="44"/>
      <c r="O229" s="44"/>
      <c r="P229" s="44"/>
      <c r="Q229" s="44"/>
      <c r="R229" s="44"/>
      <c r="S229" s="44"/>
    </row>
    <row r="230" spans="1:19" ht="14.1" customHeight="1">
      <c r="A230" s="27" t="s">
        <v>3837</v>
      </c>
      <c r="B230" s="27" t="s">
        <v>176</v>
      </c>
      <c r="C230" s="27" t="s">
        <v>177</v>
      </c>
      <c r="D230" s="27" t="s">
        <v>172</v>
      </c>
      <c r="E230" s="28">
        <v>21590.22</v>
      </c>
      <c r="F230" s="27" t="s">
        <v>4074</v>
      </c>
      <c r="G230" s="48"/>
      <c r="H230" s="47" t="str">
        <f t="shared" si="9"/>
        <v>AMAZONIA</v>
      </c>
      <c r="I230" s="6">
        <f t="shared" si="10"/>
        <v>21590.22</v>
      </c>
      <c r="J230" s="47">
        <f t="shared" si="11"/>
        <v>21590.22</v>
      </c>
      <c r="L230" s="44"/>
      <c r="M230" s="44"/>
      <c r="N230" s="44"/>
      <c r="O230" s="44"/>
      <c r="P230" s="44"/>
      <c r="Q230" s="44"/>
      <c r="R230" s="44"/>
      <c r="S230" s="44"/>
    </row>
    <row r="231" spans="1:19" ht="14.1" customHeight="1">
      <c r="A231" s="27" t="s">
        <v>3837</v>
      </c>
      <c r="B231" s="27" t="s">
        <v>176</v>
      </c>
      <c r="C231" s="27" t="s">
        <v>231</v>
      </c>
      <c r="D231" s="27" t="s">
        <v>172</v>
      </c>
      <c r="E231" s="28">
        <v>22500</v>
      </c>
      <c r="F231" s="27" t="s">
        <v>4074</v>
      </c>
      <c r="G231" s="48"/>
      <c r="H231" s="47" t="str">
        <f t="shared" si="9"/>
        <v>AMAZONIA</v>
      </c>
      <c r="I231" s="6">
        <f t="shared" si="10"/>
        <v>22500</v>
      </c>
      <c r="J231" s="47">
        <f t="shared" si="11"/>
        <v>22500</v>
      </c>
      <c r="L231" s="44"/>
      <c r="M231" s="44"/>
      <c r="N231" s="44"/>
      <c r="O231" s="44"/>
      <c r="P231" s="44"/>
      <c r="Q231" s="44"/>
      <c r="R231" s="44"/>
      <c r="S231" s="44"/>
    </row>
    <row r="232" spans="1:19" ht="14.1" customHeight="1">
      <c r="A232" s="27" t="s">
        <v>3837</v>
      </c>
      <c r="B232" s="27" t="s">
        <v>180</v>
      </c>
      <c r="C232" s="27" t="s">
        <v>181</v>
      </c>
      <c r="D232" s="27" t="s">
        <v>172</v>
      </c>
      <c r="E232" s="28">
        <v>34056.25</v>
      </c>
      <c r="F232" s="27" t="s">
        <v>4073</v>
      </c>
      <c r="G232" s="48"/>
      <c r="H232" s="47" t="str">
        <f t="shared" si="9"/>
        <v>AMAZONIA</v>
      </c>
      <c r="I232" s="6">
        <f t="shared" si="10"/>
        <v>34056.25</v>
      </c>
      <c r="J232" s="47">
        <f t="shared" si="11"/>
        <v>34056.25</v>
      </c>
      <c r="L232" s="44"/>
      <c r="M232" s="44"/>
      <c r="N232" s="44"/>
      <c r="O232" s="44"/>
      <c r="P232" s="44"/>
      <c r="Q232" s="44"/>
      <c r="R232" s="44"/>
      <c r="S232" s="44"/>
    </row>
    <row r="233" spans="1:19" ht="14.1" customHeight="1">
      <c r="A233" s="27" t="s">
        <v>3837</v>
      </c>
      <c r="B233" s="27" t="s">
        <v>180</v>
      </c>
      <c r="C233" s="27" t="s">
        <v>263</v>
      </c>
      <c r="D233" s="27" t="s">
        <v>172</v>
      </c>
      <c r="E233" s="28">
        <v>199043.33</v>
      </c>
      <c r="F233" s="27" t="s">
        <v>4073</v>
      </c>
      <c r="G233" s="48"/>
      <c r="H233" s="47" t="str">
        <f t="shared" si="9"/>
        <v>AMAZONIA</v>
      </c>
      <c r="I233" s="6">
        <f t="shared" si="10"/>
        <v>199043.33</v>
      </c>
      <c r="J233" s="47">
        <f t="shared" si="11"/>
        <v>199043.33</v>
      </c>
      <c r="L233" s="44"/>
      <c r="M233" s="44"/>
      <c r="N233" s="44"/>
      <c r="O233" s="44"/>
      <c r="P233" s="44"/>
      <c r="Q233" s="44"/>
      <c r="R233" s="44"/>
      <c r="S233" s="44"/>
    </row>
    <row r="234" spans="1:19" ht="14.1" customHeight="1">
      <c r="A234" s="27" t="s">
        <v>3837</v>
      </c>
      <c r="B234" s="27" t="s">
        <v>180</v>
      </c>
      <c r="C234" s="27" t="s">
        <v>277</v>
      </c>
      <c r="D234" s="27" t="s">
        <v>172</v>
      </c>
      <c r="E234" s="28">
        <v>90689.07</v>
      </c>
      <c r="F234" s="27" t="s">
        <v>4073</v>
      </c>
      <c r="G234" s="48"/>
      <c r="H234" s="47" t="str">
        <f t="shared" si="9"/>
        <v>AMAZONIA</v>
      </c>
      <c r="I234" s="6">
        <f t="shared" si="10"/>
        <v>90689.07</v>
      </c>
      <c r="J234" s="47">
        <f t="shared" si="11"/>
        <v>90689.07</v>
      </c>
      <c r="L234" s="44"/>
      <c r="M234" s="44"/>
      <c r="N234" s="44"/>
      <c r="O234" s="44"/>
      <c r="P234" s="44"/>
      <c r="Q234" s="44"/>
      <c r="R234" s="44"/>
      <c r="S234" s="44"/>
    </row>
    <row r="235" spans="1:19" ht="14.1" customHeight="1">
      <c r="A235" s="27" t="s">
        <v>3837</v>
      </c>
      <c r="B235" s="27" t="s">
        <v>180</v>
      </c>
      <c r="C235" s="27" t="s">
        <v>300</v>
      </c>
      <c r="D235" s="27" t="s">
        <v>172</v>
      </c>
      <c r="E235" s="28">
        <v>66141.87</v>
      </c>
      <c r="F235" s="27" t="s">
        <v>4073</v>
      </c>
      <c r="G235" s="48"/>
      <c r="H235" s="47" t="str">
        <f t="shared" si="9"/>
        <v>AMAZONIA</v>
      </c>
      <c r="I235" s="6">
        <f t="shared" si="10"/>
        <v>66141.87</v>
      </c>
      <c r="J235" s="47">
        <f t="shared" si="11"/>
        <v>66141.87</v>
      </c>
      <c r="L235" s="44"/>
      <c r="M235" s="44"/>
      <c r="N235" s="44"/>
      <c r="O235" s="44"/>
      <c r="P235" s="44"/>
      <c r="Q235" s="44"/>
      <c r="R235" s="44"/>
      <c r="S235" s="44"/>
    </row>
    <row r="236" spans="1:19" ht="14.1" customHeight="1">
      <c r="A236" s="27" t="s">
        <v>3837</v>
      </c>
      <c r="B236" s="27" t="s">
        <v>180</v>
      </c>
      <c r="C236" s="27" t="s">
        <v>242</v>
      </c>
      <c r="D236" s="27" t="s">
        <v>172</v>
      </c>
      <c r="E236" s="28">
        <v>30026.06</v>
      </c>
      <c r="F236" s="27" t="s">
        <v>4073</v>
      </c>
      <c r="G236" s="48"/>
      <c r="H236" s="47" t="str">
        <f t="shared" si="9"/>
        <v>AMAZONIA</v>
      </c>
      <c r="I236" s="6">
        <f t="shared" si="10"/>
        <v>30026.06</v>
      </c>
      <c r="J236" s="47">
        <f t="shared" si="11"/>
        <v>30026.06</v>
      </c>
      <c r="L236" s="44"/>
      <c r="M236" s="44"/>
      <c r="N236" s="44"/>
      <c r="O236" s="44"/>
      <c r="P236" s="44"/>
      <c r="Q236" s="44"/>
      <c r="R236" s="44"/>
      <c r="S236" s="44"/>
    </row>
    <row r="237" spans="1:19" ht="14.1" customHeight="1">
      <c r="A237" s="27" t="s">
        <v>3837</v>
      </c>
      <c r="B237" s="27" t="s">
        <v>180</v>
      </c>
      <c r="C237" s="27" t="s">
        <v>254</v>
      </c>
      <c r="D237" s="27" t="s">
        <v>172</v>
      </c>
      <c r="E237" s="28">
        <v>146171.37</v>
      </c>
      <c r="F237" s="27" t="s">
        <v>4073</v>
      </c>
      <c r="G237" s="48"/>
      <c r="H237" s="47" t="str">
        <f t="shared" si="9"/>
        <v>AMAZONIA</v>
      </c>
      <c r="I237" s="6">
        <f t="shared" si="10"/>
        <v>146171.37</v>
      </c>
      <c r="J237" s="47">
        <f t="shared" si="11"/>
        <v>146171.37</v>
      </c>
      <c r="L237" s="44"/>
      <c r="M237" s="44"/>
      <c r="N237" s="44"/>
      <c r="O237" s="44"/>
      <c r="P237" s="44"/>
      <c r="Q237" s="44"/>
      <c r="R237" s="44"/>
      <c r="S237" s="44"/>
    </row>
    <row r="238" spans="1:19" ht="14.1" customHeight="1">
      <c r="A238" s="27" t="s">
        <v>3837</v>
      </c>
      <c r="B238" s="27" t="s">
        <v>180</v>
      </c>
      <c r="C238" s="27" t="s">
        <v>305</v>
      </c>
      <c r="D238" s="27" t="s">
        <v>172</v>
      </c>
      <c r="E238" s="28">
        <v>72327.89</v>
      </c>
      <c r="F238" s="27" t="s">
        <v>4073</v>
      </c>
      <c r="G238" s="48"/>
      <c r="H238" s="47" t="str">
        <f t="shared" si="9"/>
        <v>AMAZONIA</v>
      </c>
      <c r="I238" s="6">
        <f t="shared" si="10"/>
        <v>72327.89</v>
      </c>
      <c r="J238" s="47">
        <f t="shared" si="11"/>
        <v>72327.89</v>
      </c>
      <c r="L238" s="44"/>
      <c r="M238" s="44"/>
      <c r="N238" s="44"/>
      <c r="O238" s="44"/>
      <c r="P238" s="44"/>
      <c r="Q238" s="44"/>
      <c r="R238" s="44"/>
      <c r="S238" s="44"/>
    </row>
    <row r="239" spans="1:19" ht="14.1" customHeight="1">
      <c r="A239" s="27" t="s">
        <v>3837</v>
      </c>
      <c r="B239" s="27" t="s">
        <v>180</v>
      </c>
      <c r="C239" s="27" t="s">
        <v>297</v>
      </c>
      <c r="D239" s="27" t="s">
        <v>172</v>
      </c>
      <c r="E239" s="28">
        <v>149375.29999999999</v>
      </c>
      <c r="F239" s="27" t="s">
        <v>4073</v>
      </c>
      <c r="G239" s="48"/>
      <c r="H239" s="47" t="str">
        <f t="shared" si="9"/>
        <v>AMAZONIA</v>
      </c>
      <c r="I239" s="6">
        <f t="shared" si="10"/>
        <v>149375.29999999999</v>
      </c>
      <c r="J239" s="47">
        <f t="shared" si="11"/>
        <v>149375.29999999999</v>
      </c>
      <c r="L239" s="44"/>
      <c r="M239" s="44"/>
      <c r="N239" s="44"/>
      <c r="O239" s="44"/>
      <c r="P239" s="44"/>
      <c r="Q239" s="44"/>
      <c r="R239" s="44"/>
      <c r="S239" s="44"/>
    </row>
    <row r="240" spans="1:19" ht="14.1" customHeight="1">
      <c r="A240" s="27" t="s">
        <v>3837</v>
      </c>
      <c r="B240" s="27" t="s">
        <v>180</v>
      </c>
      <c r="C240" s="27" t="s">
        <v>314</v>
      </c>
      <c r="D240" s="27" t="s">
        <v>172</v>
      </c>
      <c r="E240" s="28">
        <v>28103.200000000001</v>
      </c>
      <c r="F240" s="27" t="s">
        <v>4073</v>
      </c>
      <c r="G240" s="48"/>
      <c r="H240" s="47" t="str">
        <f t="shared" si="9"/>
        <v>AMAZONIA</v>
      </c>
      <c r="I240" s="6">
        <f t="shared" si="10"/>
        <v>28103.200000000001</v>
      </c>
      <c r="J240" s="47">
        <f t="shared" si="11"/>
        <v>28103.200000000001</v>
      </c>
      <c r="L240" s="44"/>
      <c r="M240" s="44"/>
      <c r="N240" s="44"/>
      <c r="O240" s="44"/>
      <c r="P240" s="44"/>
      <c r="Q240" s="44"/>
      <c r="R240" s="44"/>
      <c r="S240" s="44"/>
    </row>
    <row r="241" spans="1:19" ht="14.1" customHeight="1">
      <c r="A241" s="27" t="s">
        <v>3837</v>
      </c>
      <c r="B241" s="27" t="s">
        <v>180</v>
      </c>
      <c r="C241" s="27" t="s">
        <v>182</v>
      </c>
      <c r="D241" s="27" t="s">
        <v>172</v>
      </c>
      <c r="E241" s="28">
        <v>151029.59</v>
      </c>
      <c r="F241" s="27" t="s">
        <v>4073</v>
      </c>
      <c r="G241" s="48"/>
      <c r="H241" s="47" t="str">
        <f t="shared" si="9"/>
        <v>AMAZONIA</v>
      </c>
      <c r="I241" s="6">
        <f t="shared" si="10"/>
        <v>151029.59</v>
      </c>
      <c r="J241" s="47">
        <f t="shared" si="11"/>
        <v>151029.59</v>
      </c>
      <c r="L241" s="44"/>
      <c r="M241" s="44"/>
      <c r="N241" s="44"/>
      <c r="O241" s="44"/>
      <c r="P241" s="44"/>
      <c r="Q241" s="44"/>
      <c r="R241" s="44"/>
      <c r="S241" s="44"/>
    </row>
    <row r="242" spans="1:19" ht="14.1" customHeight="1">
      <c r="A242" s="27" t="s">
        <v>3838</v>
      </c>
      <c r="B242" s="27" t="s">
        <v>4072</v>
      </c>
      <c r="C242" s="27" t="s">
        <v>316</v>
      </c>
      <c r="D242" s="27" t="s">
        <v>172</v>
      </c>
      <c r="E242" s="28">
        <v>46378.17</v>
      </c>
      <c r="F242" s="27" t="s">
        <v>4073</v>
      </c>
      <c r="G242" s="48"/>
      <c r="H242" s="47" t="str">
        <f t="shared" si="9"/>
        <v>ORINOQUIA</v>
      </c>
      <c r="I242" s="6">
        <f t="shared" si="10"/>
        <v>46378.170000000006</v>
      </c>
      <c r="J242" s="47">
        <f t="shared" si="11"/>
        <v>46378.170000000006</v>
      </c>
      <c r="L242" s="46"/>
      <c r="M242" s="46"/>
      <c r="N242" s="46"/>
      <c r="O242" s="46"/>
      <c r="P242" s="46"/>
      <c r="Q242" s="46"/>
      <c r="R242" s="46"/>
      <c r="S242" s="46"/>
    </row>
    <row r="243" spans="1:19" ht="14.1" customHeight="1">
      <c r="A243" s="27" t="s">
        <v>3838</v>
      </c>
      <c r="B243" s="27" t="s">
        <v>137</v>
      </c>
      <c r="C243" s="27" t="s">
        <v>291</v>
      </c>
      <c r="D243" s="27" t="s">
        <v>172</v>
      </c>
      <c r="E243" s="28">
        <v>22086.61</v>
      </c>
      <c r="F243" s="27" t="s">
        <v>4073</v>
      </c>
      <c r="G243" s="48"/>
      <c r="H243" s="47" t="str">
        <f t="shared" si="9"/>
        <v>ORINOQUIA</v>
      </c>
      <c r="I243" s="6">
        <f t="shared" si="10"/>
        <v>22086.61</v>
      </c>
      <c r="J243" s="47">
        <f t="shared" si="11"/>
        <v>22086.61</v>
      </c>
      <c r="L243" s="44"/>
      <c r="M243" s="44"/>
      <c r="N243" s="44"/>
      <c r="O243" s="44"/>
      <c r="P243" s="44"/>
      <c r="Q243" s="44"/>
      <c r="R243" s="44"/>
      <c r="S243" s="44"/>
    </row>
    <row r="244" spans="1:19" ht="14.1" customHeight="1">
      <c r="A244" s="27" t="s">
        <v>3838</v>
      </c>
      <c r="B244" s="27" t="s">
        <v>137</v>
      </c>
      <c r="C244" s="27" t="s">
        <v>243</v>
      </c>
      <c r="D244" s="27" t="s">
        <v>172</v>
      </c>
      <c r="E244" s="28">
        <v>21754.73</v>
      </c>
      <c r="F244" s="27" t="s">
        <v>4073</v>
      </c>
      <c r="G244" s="48"/>
      <c r="H244" s="47" t="str">
        <f t="shared" si="9"/>
        <v>ORINOQUIA</v>
      </c>
      <c r="I244" s="6">
        <f t="shared" si="10"/>
        <v>21754.73</v>
      </c>
      <c r="J244" s="47">
        <f t="shared" si="11"/>
        <v>21754.73</v>
      </c>
      <c r="L244" s="44"/>
      <c r="M244" s="44"/>
      <c r="N244" s="44"/>
      <c r="O244" s="44"/>
      <c r="P244" s="44"/>
      <c r="Q244" s="44"/>
      <c r="R244" s="44"/>
      <c r="S244" s="44"/>
    </row>
    <row r="245" spans="1:19" ht="14.1" customHeight="1">
      <c r="A245" s="27" t="s">
        <v>3838</v>
      </c>
      <c r="B245" s="27" t="s">
        <v>137</v>
      </c>
      <c r="C245" s="27" t="s">
        <v>237</v>
      </c>
      <c r="D245" s="27" t="s">
        <v>172</v>
      </c>
      <c r="E245" s="28">
        <v>28933.31</v>
      </c>
      <c r="F245" s="27" t="s">
        <v>4073</v>
      </c>
      <c r="G245" s="48"/>
      <c r="H245" s="47" t="str">
        <f t="shared" si="9"/>
        <v>ORINOQUIA</v>
      </c>
      <c r="I245" s="6">
        <f t="shared" si="10"/>
        <v>28933.31</v>
      </c>
      <c r="J245" s="47">
        <f t="shared" si="11"/>
        <v>28933.31</v>
      </c>
      <c r="L245" s="44"/>
      <c r="M245" s="44"/>
      <c r="N245" s="44"/>
      <c r="O245" s="44"/>
      <c r="P245" s="44"/>
      <c r="Q245" s="44"/>
      <c r="R245" s="44"/>
      <c r="S245" s="44"/>
    </row>
    <row r="246" spans="1:19" ht="14.1" customHeight="1">
      <c r="A246" s="27" t="s">
        <v>3838</v>
      </c>
      <c r="B246" s="27" t="s">
        <v>137</v>
      </c>
      <c r="C246" s="27" t="s">
        <v>246</v>
      </c>
      <c r="D246" s="27" t="s">
        <v>172</v>
      </c>
      <c r="E246" s="28">
        <v>65250.53</v>
      </c>
      <c r="F246" s="27" t="s">
        <v>4073</v>
      </c>
      <c r="G246" s="48"/>
      <c r="H246" s="47" t="str">
        <f t="shared" si="9"/>
        <v>ORINOQUIA</v>
      </c>
      <c r="I246" s="6">
        <f t="shared" si="10"/>
        <v>65250.53</v>
      </c>
      <c r="J246" s="47">
        <f t="shared" si="11"/>
        <v>65250.53</v>
      </c>
      <c r="L246" s="44"/>
      <c r="M246" s="44"/>
      <c r="N246" s="44"/>
      <c r="O246" s="44"/>
      <c r="P246" s="44"/>
      <c r="Q246" s="44"/>
      <c r="R246" s="44"/>
      <c r="S246" s="44"/>
    </row>
    <row r="247" spans="1:19" ht="14.1" customHeight="1">
      <c r="A247" s="27" t="s">
        <v>3838</v>
      </c>
      <c r="B247" s="27" t="s">
        <v>170</v>
      </c>
      <c r="C247" s="27" t="s">
        <v>259</v>
      </c>
      <c r="D247" s="27" t="s">
        <v>172</v>
      </c>
      <c r="E247" s="28">
        <v>283758.28999999998</v>
      </c>
      <c r="F247" s="27" t="s">
        <v>4073</v>
      </c>
      <c r="G247" s="48"/>
      <c r="H247" s="47" t="str">
        <f t="shared" si="9"/>
        <v>ORINOQUIA</v>
      </c>
      <c r="I247" s="6">
        <f t="shared" si="10"/>
        <v>283758.28999999998</v>
      </c>
      <c r="J247" s="47">
        <f t="shared" si="11"/>
        <v>283758.28999999998</v>
      </c>
      <c r="L247" s="44"/>
      <c r="M247" s="44"/>
      <c r="N247" s="44"/>
      <c r="O247" s="44"/>
      <c r="P247" s="44"/>
      <c r="Q247" s="44"/>
      <c r="R247" s="44"/>
      <c r="S247" s="44"/>
    </row>
    <row r="248" spans="1:19" ht="14.1" customHeight="1">
      <c r="A248" s="27" t="s">
        <v>3838</v>
      </c>
      <c r="B248" s="27" t="s">
        <v>170</v>
      </c>
      <c r="C248" s="27" t="s">
        <v>276</v>
      </c>
      <c r="D248" s="27" t="s">
        <v>172</v>
      </c>
      <c r="E248" s="28">
        <v>83726.98</v>
      </c>
      <c r="F248" s="27" t="s">
        <v>4073</v>
      </c>
      <c r="G248" s="48"/>
      <c r="H248" s="47" t="str">
        <f t="shared" si="9"/>
        <v>ORINOQUIA</v>
      </c>
      <c r="I248" s="6">
        <f t="shared" si="10"/>
        <v>83688.356666666674</v>
      </c>
      <c r="J248" s="47">
        <f t="shared" si="11"/>
        <v>83688.356666666674</v>
      </c>
      <c r="L248" s="44"/>
      <c r="M248" s="44"/>
      <c r="N248" s="44"/>
      <c r="O248" s="44"/>
      <c r="P248" s="44"/>
      <c r="Q248" s="44"/>
      <c r="R248" s="44"/>
      <c r="S248" s="44"/>
    </row>
    <row r="249" spans="1:19" ht="14.1" customHeight="1">
      <c r="A249" s="27" t="s">
        <v>3838</v>
      </c>
      <c r="B249" s="27" t="s">
        <v>170</v>
      </c>
      <c r="C249" s="27" t="s">
        <v>240</v>
      </c>
      <c r="D249" s="27" t="s">
        <v>172</v>
      </c>
      <c r="E249" s="28">
        <v>23574.34</v>
      </c>
      <c r="F249" s="27" t="s">
        <v>4073</v>
      </c>
      <c r="G249" s="48"/>
      <c r="H249" s="47" t="str">
        <f t="shared" si="9"/>
        <v>ORINOQUIA</v>
      </c>
      <c r="I249" s="6">
        <f t="shared" si="10"/>
        <v>23574.34</v>
      </c>
      <c r="J249" s="47">
        <f t="shared" si="11"/>
        <v>23574.34</v>
      </c>
      <c r="L249" s="44"/>
      <c r="M249" s="44"/>
      <c r="N249" s="44"/>
      <c r="O249" s="44"/>
      <c r="P249" s="44"/>
      <c r="Q249" s="44"/>
      <c r="R249" s="44"/>
      <c r="S249" s="44"/>
    </row>
    <row r="250" spans="1:19" ht="14.1" customHeight="1">
      <c r="A250" s="27" t="s">
        <v>3838</v>
      </c>
      <c r="B250" s="27" t="s">
        <v>170</v>
      </c>
      <c r="C250" s="27" t="s">
        <v>251</v>
      </c>
      <c r="D250" s="27" t="s">
        <v>226</v>
      </c>
      <c r="E250" s="28">
        <v>61445.54</v>
      </c>
      <c r="F250" s="27" t="s">
        <v>4073</v>
      </c>
      <c r="G250" s="48"/>
      <c r="H250" s="47" t="str">
        <f t="shared" si="9"/>
        <v>ORINOQUIA</v>
      </c>
      <c r="I250" s="6">
        <f t="shared" si="10"/>
        <v>61445.54</v>
      </c>
      <c r="J250" s="47">
        <f t="shared" si="11"/>
        <v>61445.54</v>
      </c>
      <c r="L250" s="44"/>
      <c r="M250" s="44"/>
      <c r="N250" s="44"/>
      <c r="O250" s="44"/>
      <c r="P250" s="44"/>
      <c r="Q250" s="44"/>
      <c r="R250" s="44"/>
      <c r="S250" s="44"/>
    </row>
    <row r="251" spans="1:19" ht="14.1" customHeight="1">
      <c r="A251" s="27" t="s">
        <v>3838</v>
      </c>
      <c r="B251" s="27" t="s">
        <v>170</v>
      </c>
      <c r="C251" s="27" t="s">
        <v>256</v>
      </c>
      <c r="D251" s="27" t="s">
        <v>172</v>
      </c>
      <c r="E251" s="28">
        <v>29504.6</v>
      </c>
      <c r="F251" s="27" t="s">
        <v>4073</v>
      </c>
      <c r="G251" s="48"/>
      <c r="H251" s="47" t="str">
        <f t="shared" si="9"/>
        <v>ORINOQUIA</v>
      </c>
      <c r="I251" s="6">
        <f t="shared" si="10"/>
        <v>29504.599999999995</v>
      </c>
      <c r="J251" s="47">
        <f t="shared" si="11"/>
        <v>29504.599999999995</v>
      </c>
      <c r="L251" s="44"/>
      <c r="M251" s="44"/>
      <c r="N251" s="44"/>
      <c r="O251" s="44"/>
      <c r="P251" s="44"/>
      <c r="Q251" s="44"/>
      <c r="R251" s="44"/>
      <c r="S251" s="44"/>
    </row>
    <row r="252" spans="1:19" ht="14.1" customHeight="1">
      <c r="A252" s="27" t="s">
        <v>3838</v>
      </c>
      <c r="B252" s="27" t="s">
        <v>170</v>
      </c>
      <c r="C252" s="27" t="s">
        <v>311</v>
      </c>
      <c r="D252" s="27" t="s">
        <v>172</v>
      </c>
      <c r="E252" s="28">
        <v>40598.93</v>
      </c>
      <c r="F252" s="27" t="s">
        <v>4073</v>
      </c>
      <c r="G252" s="48"/>
      <c r="H252" s="47" t="str">
        <f t="shared" si="9"/>
        <v>ORINOQUIA</v>
      </c>
      <c r="I252" s="6">
        <f t="shared" si="10"/>
        <v>40598.93</v>
      </c>
      <c r="J252" s="47">
        <f t="shared" si="11"/>
        <v>40598.93</v>
      </c>
      <c r="L252" s="44"/>
      <c r="M252" s="44"/>
      <c r="N252" s="44"/>
      <c r="O252" s="44"/>
      <c r="P252" s="44"/>
      <c r="Q252" s="44"/>
      <c r="R252" s="44"/>
      <c r="S252" s="44"/>
    </row>
    <row r="253" spans="1:19" ht="14.1" customHeight="1">
      <c r="A253" s="27" t="s">
        <v>3838</v>
      </c>
      <c r="B253" s="27" t="s">
        <v>170</v>
      </c>
      <c r="C253" s="27" t="s">
        <v>171</v>
      </c>
      <c r="D253" s="27" t="s">
        <v>172</v>
      </c>
      <c r="E253" s="28">
        <v>115879.72</v>
      </c>
      <c r="F253" s="27" t="s">
        <v>4073</v>
      </c>
      <c r="G253" s="48"/>
      <c r="H253" s="47" t="str">
        <f t="shared" si="9"/>
        <v>ORINOQUIA</v>
      </c>
      <c r="I253" s="6">
        <f t="shared" si="10"/>
        <v>115879.72000000002</v>
      </c>
      <c r="J253" s="47">
        <f t="shared" si="11"/>
        <v>115879.72000000002</v>
      </c>
      <c r="L253" s="44"/>
      <c r="M253" s="44"/>
      <c r="N253" s="44"/>
      <c r="O253" s="44"/>
      <c r="P253" s="44"/>
      <c r="Q253" s="44"/>
      <c r="R253" s="44"/>
      <c r="S253" s="44"/>
    </row>
    <row r="254" spans="1:19" ht="14.1" customHeight="1">
      <c r="A254" s="27" t="s">
        <v>3838</v>
      </c>
      <c r="B254" s="27" t="s">
        <v>170</v>
      </c>
      <c r="C254" s="27" t="s">
        <v>252</v>
      </c>
      <c r="D254" s="27" t="s">
        <v>226</v>
      </c>
      <c r="E254" s="28">
        <v>21867.29</v>
      </c>
      <c r="F254" s="27" t="s">
        <v>4073</v>
      </c>
      <c r="G254" s="48"/>
      <c r="H254" s="47" t="str">
        <f t="shared" si="9"/>
        <v>ORINOQUIA</v>
      </c>
      <c r="I254" s="6">
        <f t="shared" si="10"/>
        <v>21865</v>
      </c>
      <c r="J254" s="47">
        <f t="shared" si="11"/>
        <v>21865</v>
      </c>
      <c r="L254" s="44"/>
      <c r="M254" s="44"/>
      <c r="N254" s="44"/>
      <c r="O254" s="44"/>
      <c r="P254" s="44"/>
      <c r="Q254" s="44"/>
      <c r="R254" s="44"/>
      <c r="S254" s="44"/>
    </row>
    <row r="255" spans="1:19" ht="14.1" customHeight="1">
      <c r="A255" s="27" t="s">
        <v>3838</v>
      </c>
      <c r="B255" s="27" t="s">
        <v>170</v>
      </c>
      <c r="C255" s="27" t="s">
        <v>296</v>
      </c>
      <c r="D255" s="27" t="s">
        <v>226</v>
      </c>
      <c r="E255" s="28">
        <v>23167.62</v>
      </c>
      <c r="F255" s="27" t="s">
        <v>4073</v>
      </c>
      <c r="G255" s="48"/>
      <c r="H255" s="47" t="str">
        <f t="shared" si="9"/>
        <v>ORINOQUIA</v>
      </c>
      <c r="I255" s="6">
        <f t="shared" si="10"/>
        <v>24408.043333333331</v>
      </c>
      <c r="J255" s="47">
        <f t="shared" si="11"/>
        <v>24408.043333333331</v>
      </c>
      <c r="L255" s="44"/>
      <c r="M255" s="44"/>
      <c r="N255" s="44"/>
      <c r="O255" s="44"/>
      <c r="P255" s="44"/>
      <c r="Q255" s="44"/>
      <c r="R255" s="44"/>
      <c r="S255" s="44"/>
    </row>
    <row r="256" spans="1:19" ht="14.1" customHeight="1">
      <c r="A256" s="27" t="s">
        <v>3838</v>
      </c>
      <c r="B256" s="27" t="s">
        <v>170</v>
      </c>
      <c r="C256" s="27" t="s">
        <v>173</v>
      </c>
      <c r="D256" s="27" t="s">
        <v>172</v>
      </c>
      <c r="E256" s="28">
        <v>153510</v>
      </c>
      <c r="F256" s="27" t="s">
        <v>4074</v>
      </c>
      <c r="G256" s="48"/>
      <c r="H256" s="47" t="str">
        <f t="shared" si="9"/>
        <v>ORINOQUIA</v>
      </c>
      <c r="I256" s="6">
        <f t="shared" si="10"/>
        <v>153510</v>
      </c>
      <c r="J256" s="47">
        <f t="shared" si="11"/>
        <v>153510</v>
      </c>
      <c r="L256" s="44"/>
      <c r="M256" s="44"/>
      <c r="N256" s="44"/>
      <c r="O256" s="44"/>
      <c r="P256" s="44"/>
      <c r="Q256" s="44"/>
      <c r="R256" s="44"/>
      <c r="S256" s="44"/>
    </row>
    <row r="257" spans="1:19" ht="14.1" customHeight="1">
      <c r="A257" s="27" t="s">
        <v>3838</v>
      </c>
      <c r="B257" s="27" t="s">
        <v>170</v>
      </c>
      <c r="C257" s="27" t="s">
        <v>225</v>
      </c>
      <c r="D257" s="27" t="s">
        <v>226</v>
      </c>
      <c r="E257" s="28">
        <v>37977.24</v>
      </c>
      <c r="F257" s="27" t="s">
        <v>4073</v>
      </c>
      <c r="G257" s="48"/>
      <c r="H257" s="47" t="str">
        <f t="shared" si="9"/>
        <v>ORINOQUIA</v>
      </c>
      <c r="I257" s="6">
        <f t="shared" si="10"/>
        <v>38736.343333333331</v>
      </c>
      <c r="J257" s="47">
        <f t="shared" si="11"/>
        <v>38736.343333333331</v>
      </c>
      <c r="L257" s="44"/>
      <c r="M257" s="44"/>
      <c r="N257" s="44"/>
      <c r="O257" s="44"/>
      <c r="P257" s="44"/>
      <c r="Q257" s="44"/>
      <c r="R257" s="44"/>
      <c r="S257" s="44"/>
    </row>
    <row r="258" spans="1:19" ht="14.1" customHeight="1">
      <c r="A258" s="27" t="s">
        <v>3838</v>
      </c>
      <c r="B258" s="27" t="s">
        <v>176</v>
      </c>
      <c r="C258" s="27" t="s">
        <v>262</v>
      </c>
      <c r="D258" s="27" t="s">
        <v>172</v>
      </c>
      <c r="E258" s="28">
        <v>18967.98</v>
      </c>
      <c r="F258" s="27" t="s">
        <v>4074</v>
      </c>
      <c r="G258" s="48"/>
      <c r="H258" s="47" t="str">
        <f t="shared" ref="H258:H321" si="12">IF(OR(A258="Antioquia",A258="Bogotá, D.C.",A258="Boyacá",A258="Cundinamarca",A258="Caldas",A258="Risaralda",A258="Quindío",A258="Tolima",A258="Huila",A258="Santander",A258="Norte de Santander"),"ANDINA",
IF(OR(A258="Atlántico",A258="Bolívar",A258="Cesar",A258="Córdoba",A258="Sucre",A258="Magdalena"),"CARIBE",
IF(OR(A258="Valle del Cauca",A258="Cauca",A258="Nariño"),"PACIFICO",
IF(OR(A258="Meta",A258="Casanare",A258="Arauca"),"ORINOQUIA",
"AMAZONIA"))))</f>
        <v>ORINOQUIA</v>
      </c>
      <c r="I258" s="6">
        <f t="shared" ref="I258:I321" si="13">IF(F258="Departamental",E258,
AVERAGEIFS($E:$E,$H:$H,H258,$B:$B,B258,$C:$C,C258))</f>
        <v>18967.98</v>
      </c>
      <c r="J258" s="47">
        <f t="shared" si="11"/>
        <v>18967.98</v>
      </c>
      <c r="L258" s="44"/>
      <c r="M258" s="44"/>
      <c r="N258" s="44"/>
      <c r="O258" s="44"/>
      <c r="P258" s="44"/>
      <c r="Q258" s="44"/>
      <c r="R258" s="44"/>
      <c r="S258" s="44"/>
    </row>
    <row r="259" spans="1:19" ht="14.1" customHeight="1">
      <c r="A259" s="27" t="s">
        <v>3838</v>
      </c>
      <c r="B259" s="27" t="s">
        <v>176</v>
      </c>
      <c r="C259" s="27" t="s">
        <v>253</v>
      </c>
      <c r="D259" s="27" t="s">
        <v>172</v>
      </c>
      <c r="E259" s="28">
        <v>24023.33</v>
      </c>
      <c r="F259" s="27" t="s">
        <v>4073</v>
      </c>
      <c r="G259" s="48"/>
      <c r="H259" s="47" t="str">
        <f t="shared" si="12"/>
        <v>ORINOQUIA</v>
      </c>
      <c r="I259" s="6">
        <f t="shared" si="13"/>
        <v>24023.33</v>
      </c>
      <c r="J259" s="47">
        <f t="shared" ref="J259:J322" si="14">IF(G259&lt;&gt;"",G259,I259)</f>
        <v>24023.33</v>
      </c>
      <c r="L259" s="44"/>
      <c r="M259" s="44"/>
      <c r="N259" s="44"/>
      <c r="O259" s="44"/>
      <c r="P259" s="44"/>
      <c r="Q259" s="44"/>
      <c r="R259" s="44"/>
      <c r="S259" s="44"/>
    </row>
    <row r="260" spans="1:19" ht="14.1" customHeight="1">
      <c r="A260" s="27" t="s">
        <v>3838</v>
      </c>
      <c r="B260" s="27" t="s">
        <v>176</v>
      </c>
      <c r="C260" s="27" t="s">
        <v>177</v>
      </c>
      <c r="D260" s="27" t="s">
        <v>172</v>
      </c>
      <c r="E260" s="28">
        <v>22800</v>
      </c>
      <c r="F260" s="27" t="s">
        <v>4074</v>
      </c>
      <c r="G260" s="48"/>
      <c r="H260" s="47" t="str">
        <f t="shared" si="12"/>
        <v>ORINOQUIA</v>
      </c>
      <c r="I260" s="6">
        <f t="shared" si="13"/>
        <v>22800</v>
      </c>
      <c r="J260" s="47">
        <f t="shared" si="14"/>
        <v>22800</v>
      </c>
      <c r="L260" s="44"/>
      <c r="M260" s="44"/>
      <c r="N260" s="44"/>
      <c r="O260" s="44"/>
      <c r="P260" s="44"/>
      <c r="Q260" s="44"/>
      <c r="R260" s="44"/>
      <c r="S260" s="44"/>
    </row>
    <row r="261" spans="1:19" ht="14.1" customHeight="1">
      <c r="A261" s="27" t="s">
        <v>3838</v>
      </c>
      <c r="B261" s="27" t="s">
        <v>176</v>
      </c>
      <c r="C261" s="27" t="s">
        <v>231</v>
      </c>
      <c r="D261" s="27" t="s">
        <v>172</v>
      </c>
      <c r="E261" s="28">
        <v>24281.01</v>
      </c>
      <c r="F261" s="27" t="s">
        <v>4074</v>
      </c>
      <c r="G261" s="48"/>
      <c r="H261" s="47" t="str">
        <f t="shared" si="12"/>
        <v>ORINOQUIA</v>
      </c>
      <c r="I261" s="6">
        <f t="shared" si="13"/>
        <v>24281.01</v>
      </c>
      <c r="J261" s="47">
        <f t="shared" si="14"/>
        <v>24281.01</v>
      </c>
      <c r="L261" s="44"/>
      <c r="M261" s="44"/>
      <c r="N261" s="44"/>
      <c r="O261" s="44"/>
      <c r="P261" s="44"/>
      <c r="Q261" s="44"/>
      <c r="R261" s="44"/>
      <c r="S261" s="44"/>
    </row>
    <row r="262" spans="1:19" ht="14.1" customHeight="1">
      <c r="A262" s="27" t="s">
        <v>3838</v>
      </c>
      <c r="B262" s="27" t="s">
        <v>180</v>
      </c>
      <c r="C262" s="27" t="s">
        <v>181</v>
      </c>
      <c r="D262" s="27" t="s">
        <v>172</v>
      </c>
      <c r="E262" s="28">
        <v>34056.25</v>
      </c>
      <c r="F262" s="27" t="s">
        <v>4073</v>
      </c>
      <c r="G262" s="48"/>
      <c r="H262" s="47" t="str">
        <f t="shared" si="12"/>
        <v>ORINOQUIA</v>
      </c>
      <c r="I262" s="6">
        <f t="shared" si="13"/>
        <v>34056.25</v>
      </c>
      <c r="J262" s="47">
        <f t="shared" si="14"/>
        <v>34056.25</v>
      </c>
      <c r="L262" s="44"/>
      <c r="M262" s="44"/>
      <c r="N262" s="44"/>
      <c r="O262" s="44"/>
      <c r="P262" s="44"/>
      <c r="Q262" s="44"/>
      <c r="R262" s="44"/>
      <c r="S262" s="44"/>
    </row>
    <row r="263" spans="1:19" ht="14.1" customHeight="1">
      <c r="A263" s="27" t="s">
        <v>3838</v>
      </c>
      <c r="B263" s="27" t="s">
        <v>180</v>
      </c>
      <c r="C263" s="27" t="s">
        <v>263</v>
      </c>
      <c r="D263" s="27" t="s">
        <v>172</v>
      </c>
      <c r="E263" s="28">
        <v>199043.33</v>
      </c>
      <c r="F263" s="27" t="s">
        <v>4073</v>
      </c>
      <c r="G263" s="48"/>
      <c r="H263" s="47" t="str">
        <f t="shared" si="12"/>
        <v>ORINOQUIA</v>
      </c>
      <c r="I263" s="6">
        <f t="shared" si="13"/>
        <v>199043.33</v>
      </c>
      <c r="J263" s="47">
        <f t="shared" si="14"/>
        <v>199043.33</v>
      </c>
      <c r="L263" s="44"/>
      <c r="M263" s="44"/>
      <c r="N263" s="44"/>
      <c r="O263" s="44"/>
      <c r="P263" s="44"/>
      <c r="Q263" s="44"/>
      <c r="R263" s="44"/>
      <c r="S263" s="44"/>
    </row>
    <row r="264" spans="1:19" ht="14.1" customHeight="1">
      <c r="A264" s="27" t="s">
        <v>3838</v>
      </c>
      <c r="B264" s="27" t="s">
        <v>180</v>
      </c>
      <c r="C264" s="27" t="s">
        <v>277</v>
      </c>
      <c r="D264" s="27" t="s">
        <v>172</v>
      </c>
      <c r="E264" s="28">
        <v>90689.07</v>
      </c>
      <c r="F264" s="27" t="s">
        <v>4073</v>
      </c>
      <c r="G264" s="48"/>
      <c r="H264" s="47" t="str">
        <f t="shared" si="12"/>
        <v>ORINOQUIA</v>
      </c>
      <c r="I264" s="6">
        <f t="shared" si="13"/>
        <v>90689.07</v>
      </c>
      <c r="J264" s="47">
        <f t="shared" si="14"/>
        <v>90689.07</v>
      </c>
      <c r="L264" s="44"/>
      <c r="M264" s="44"/>
      <c r="N264" s="44"/>
      <c r="O264" s="44"/>
      <c r="P264" s="44"/>
      <c r="Q264" s="44"/>
      <c r="R264" s="44"/>
      <c r="S264" s="44"/>
    </row>
    <row r="265" spans="1:19" ht="14.1" customHeight="1">
      <c r="A265" s="27" t="s">
        <v>3838</v>
      </c>
      <c r="B265" s="27" t="s">
        <v>180</v>
      </c>
      <c r="C265" s="27" t="s">
        <v>300</v>
      </c>
      <c r="D265" s="27" t="s">
        <v>172</v>
      </c>
      <c r="E265" s="28">
        <v>66141.87</v>
      </c>
      <c r="F265" s="27" t="s">
        <v>4073</v>
      </c>
      <c r="G265" s="48"/>
      <c r="H265" s="47" t="str">
        <f t="shared" si="12"/>
        <v>ORINOQUIA</v>
      </c>
      <c r="I265" s="6">
        <f t="shared" si="13"/>
        <v>66141.87</v>
      </c>
      <c r="J265" s="47">
        <f t="shared" si="14"/>
        <v>66141.87</v>
      </c>
      <c r="L265" s="44"/>
      <c r="M265" s="44"/>
      <c r="N265" s="44"/>
      <c r="O265" s="44"/>
      <c r="P265" s="44"/>
      <c r="Q265" s="44"/>
      <c r="R265" s="44"/>
      <c r="S265" s="44"/>
    </row>
    <row r="266" spans="1:19" ht="14.1" customHeight="1">
      <c r="A266" s="27" t="s">
        <v>3838</v>
      </c>
      <c r="B266" s="27" t="s">
        <v>180</v>
      </c>
      <c r="C266" s="27" t="s">
        <v>242</v>
      </c>
      <c r="D266" s="27" t="s">
        <v>172</v>
      </c>
      <c r="E266" s="28">
        <v>33409.089999999997</v>
      </c>
      <c r="F266" s="27" t="s">
        <v>4074</v>
      </c>
      <c r="G266" s="48"/>
      <c r="H266" s="47" t="str">
        <f t="shared" si="12"/>
        <v>ORINOQUIA</v>
      </c>
      <c r="I266" s="6">
        <f t="shared" si="13"/>
        <v>33409.089999999997</v>
      </c>
      <c r="J266" s="47">
        <f t="shared" si="14"/>
        <v>33409.089999999997</v>
      </c>
      <c r="L266" s="44"/>
      <c r="M266" s="44"/>
      <c r="N266" s="44"/>
      <c r="O266" s="44"/>
      <c r="P266" s="44"/>
      <c r="Q266" s="44"/>
      <c r="R266" s="44"/>
      <c r="S266" s="44"/>
    </row>
    <row r="267" spans="1:19" ht="14.1" customHeight="1">
      <c r="A267" s="27" t="s">
        <v>3838</v>
      </c>
      <c r="B267" s="27" t="s">
        <v>180</v>
      </c>
      <c r="C267" s="27" t="s">
        <v>254</v>
      </c>
      <c r="D267" s="27" t="s">
        <v>172</v>
      </c>
      <c r="E267" s="28">
        <v>146171.37</v>
      </c>
      <c r="F267" s="27" t="s">
        <v>4073</v>
      </c>
      <c r="G267" s="48"/>
      <c r="H267" s="47" t="str">
        <f t="shared" si="12"/>
        <v>ORINOQUIA</v>
      </c>
      <c r="I267" s="6">
        <f t="shared" si="13"/>
        <v>146171.37</v>
      </c>
      <c r="J267" s="47">
        <f t="shared" si="14"/>
        <v>146171.37</v>
      </c>
      <c r="L267" s="44"/>
      <c r="M267" s="44"/>
      <c r="N267" s="44"/>
      <c r="O267" s="44"/>
      <c r="P267" s="44"/>
      <c r="Q267" s="44"/>
      <c r="R267" s="44"/>
      <c r="S267" s="44"/>
    </row>
    <row r="268" spans="1:19" ht="14.1" customHeight="1">
      <c r="A268" s="27" t="s">
        <v>3838</v>
      </c>
      <c r="B268" s="27" t="s">
        <v>180</v>
      </c>
      <c r="C268" s="27" t="s">
        <v>305</v>
      </c>
      <c r="D268" s="27" t="s">
        <v>172</v>
      </c>
      <c r="E268" s="28">
        <v>72327.89</v>
      </c>
      <c r="F268" s="27" t="s">
        <v>4073</v>
      </c>
      <c r="G268" s="48"/>
      <c r="H268" s="47" t="str">
        <f t="shared" si="12"/>
        <v>ORINOQUIA</v>
      </c>
      <c r="I268" s="6">
        <f t="shared" si="13"/>
        <v>72327.89</v>
      </c>
      <c r="J268" s="47">
        <f t="shared" si="14"/>
        <v>72327.89</v>
      </c>
      <c r="L268" s="44"/>
      <c r="M268" s="44"/>
      <c r="N268" s="44"/>
      <c r="O268" s="44"/>
      <c r="P268" s="44"/>
      <c r="Q268" s="44"/>
      <c r="R268" s="44"/>
      <c r="S268" s="44"/>
    </row>
    <row r="269" spans="1:19" ht="14.1" customHeight="1">
      <c r="A269" s="27" t="s">
        <v>3838</v>
      </c>
      <c r="B269" s="27" t="s">
        <v>180</v>
      </c>
      <c r="C269" s="27" t="s">
        <v>297</v>
      </c>
      <c r="D269" s="27" t="s">
        <v>172</v>
      </c>
      <c r="E269" s="28">
        <v>149375.29999999999</v>
      </c>
      <c r="F269" s="27" t="s">
        <v>4073</v>
      </c>
      <c r="G269" s="48"/>
      <c r="H269" s="47" t="str">
        <f t="shared" si="12"/>
        <v>ORINOQUIA</v>
      </c>
      <c r="I269" s="6">
        <f t="shared" si="13"/>
        <v>149375.29999999999</v>
      </c>
      <c r="J269" s="47">
        <f t="shared" si="14"/>
        <v>149375.29999999999</v>
      </c>
      <c r="L269" s="44"/>
      <c r="M269" s="44"/>
      <c r="N269" s="44"/>
      <c r="O269" s="44"/>
      <c r="P269" s="44"/>
      <c r="Q269" s="44"/>
      <c r="R269" s="44"/>
      <c r="S269" s="44"/>
    </row>
    <row r="270" spans="1:19" ht="14.1" customHeight="1">
      <c r="A270" s="27" t="s">
        <v>3838</v>
      </c>
      <c r="B270" s="27" t="s">
        <v>180</v>
      </c>
      <c r="C270" s="27" t="s">
        <v>314</v>
      </c>
      <c r="D270" s="27" t="s">
        <v>172</v>
      </c>
      <c r="E270" s="28">
        <v>30165.54</v>
      </c>
      <c r="F270" s="27" t="s">
        <v>4074</v>
      </c>
      <c r="G270" s="48"/>
      <c r="H270" s="47" t="str">
        <f t="shared" si="12"/>
        <v>ORINOQUIA</v>
      </c>
      <c r="I270" s="6">
        <f t="shared" si="13"/>
        <v>30165.54</v>
      </c>
      <c r="J270" s="47">
        <f t="shared" si="14"/>
        <v>30165.54</v>
      </c>
      <c r="L270" s="44"/>
      <c r="M270" s="44"/>
      <c r="N270" s="44"/>
      <c r="O270" s="44"/>
      <c r="P270" s="44"/>
      <c r="Q270" s="44"/>
      <c r="R270" s="44"/>
      <c r="S270" s="44"/>
    </row>
    <row r="271" spans="1:19" ht="14.1" customHeight="1">
      <c r="A271" s="27" t="s">
        <v>3838</v>
      </c>
      <c r="B271" s="27" t="s">
        <v>180</v>
      </c>
      <c r="C271" s="27" t="s">
        <v>182</v>
      </c>
      <c r="D271" s="27" t="s">
        <v>172</v>
      </c>
      <c r="E271" s="28">
        <v>151029.59</v>
      </c>
      <c r="F271" s="27" t="s">
        <v>4073</v>
      </c>
      <c r="G271" s="48"/>
      <c r="H271" s="47" t="str">
        <f t="shared" si="12"/>
        <v>ORINOQUIA</v>
      </c>
      <c r="I271" s="6">
        <f t="shared" si="13"/>
        <v>151029.59</v>
      </c>
      <c r="J271" s="47">
        <f t="shared" si="14"/>
        <v>151029.59</v>
      </c>
      <c r="L271" s="44"/>
      <c r="M271" s="44"/>
      <c r="N271" s="44"/>
      <c r="O271" s="44"/>
      <c r="P271" s="44"/>
      <c r="Q271" s="44"/>
      <c r="R271" s="44"/>
      <c r="S271" s="44"/>
    </row>
    <row r="272" spans="1:19" ht="14.1" customHeight="1">
      <c r="A272" s="27" t="s">
        <v>3839</v>
      </c>
      <c r="B272" s="27" t="s">
        <v>4072</v>
      </c>
      <c r="C272" s="27" t="s">
        <v>316</v>
      </c>
      <c r="D272" s="27" t="s">
        <v>172</v>
      </c>
      <c r="E272" s="28">
        <v>46378.17</v>
      </c>
      <c r="F272" s="27" t="s">
        <v>4073</v>
      </c>
      <c r="G272" s="48"/>
      <c r="H272" s="47" t="str">
        <f t="shared" si="12"/>
        <v>PACIFICO</v>
      </c>
      <c r="I272" s="6">
        <f t="shared" si="13"/>
        <v>46401.65</v>
      </c>
      <c r="J272" s="47">
        <f t="shared" si="14"/>
        <v>46401.65</v>
      </c>
      <c r="L272" s="46"/>
      <c r="M272" s="46"/>
      <c r="N272" s="46"/>
      <c r="O272" s="46"/>
      <c r="P272" s="46"/>
      <c r="Q272" s="46"/>
      <c r="R272" s="46"/>
      <c r="S272" s="46"/>
    </row>
    <row r="273" spans="1:19" ht="14.1" customHeight="1">
      <c r="A273" s="27" t="s">
        <v>3839</v>
      </c>
      <c r="B273" s="27" t="s">
        <v>137</v>
      </c>
      <c r="C273" s="27" t="s">
        <v>291</v>
      </c>
      <c r="D273" s="27" t="s">
        <v>172</v>
      </c>
      <c r="E273" s="28">
        <v>22086.61</v>
      </c>
      <c r="F273" s="27" t="s">
        <v>4073</v>
      </c>
      <c r="G273" s="48"/>
      <c r="H273" s="47" t="str">
        <f t="shared" si="12"/>
        <v>PACIFICO</v>
      </c>
      <c r="I273" s="6">
        <f t="shared" si="13"/>
        <v>22086.61</v>
      </c>
      <c r="J273" s="47">
        <f t="shared" si="14"/>
        <v>22086.61</v>
      </c>
      <c r="L273" s="44"/>
      <c r="M273" s="44"/>
      <c r="N273" s="44"/>
      <c r="O273" s="44"/>
      <c r="P273" s="44"/>
      <c r="Q273" s="44"/>
      <c r="R273" s="44"/>
      <c r="S273" s="44"/>
    </row>
    <row r="274" spans="1:19" ht="14.1" customHeight="1">
      <c r="A274" s="27" t="s">
        <v>3839</v>
      </c>
      <c r="B274" s="27" t="s">
        <v>137</v>
      </c>
      <c r="C274" s="27" t="s">
        <v>243</v>
      </c>
      <c r="D274" s="27" t="s">
        <v>172</v>
      </c>
      <c r="E274" s="28">
        <v>26208.33</v>
      </c>
      <c r="F274" s="27" t="s">
        <v>4074</v>
      </c>
      <c r="G274" s="48"/>
      <c r="H274" s="47" t="str">
        <f t="shared" si="12"/>
        <v>PACIFICO</v>
      </c>
      <c r="I274" s="6">
        <f t="shared" si="13"/>
        <v>26208.33</v>
      </c>
      <c r="J274" s="47">
        <f t="shared" si="14"/>
        <v>26208.33</v>
      </c>
      <c r="L274" s="44"/>
      <c r="M274" s="44"/>
      <c r="N274" s="44"/>
      <c r="O274" s="44"/>
      <c r="P274" s="44"/>
      <c r="Q274" s="44"/>
      <c r="R274" s="44"/>
      <c r="S274" s="44"/>
    </row>
    <row r="275" spans="1:19" ht="14.1" customHeight="1">
      <c r="A275" s="27" t="s">
        <v>3839</v>
      </c>
      <c r="B275" s="27" t="s">
        <v>137</v>
      </c>
      <c r="C275" s="27" t="s">
        <v>237</v>
      </c>
      <c r="D275" s="27" t="s">
        <v>172</v>
      </c>
      <c r="E275" s="28">
        <v>26190.48</v>
      </c>
      <c r="F275" s="27" t="s">
        <v>4074</v>
      </c>
      <c r="G275" s="48"/>
      <c r="H275" s="47" t="str">
        <f t="shared" si="12"/>
        <v>PACIFICO</v>
      </c>
      <c r="I275" s="6">
        <f t="shared" si="13"/>
        <v>26190.48</v>
      </c>
      <c r="J275" s="47">
        <f t="shared" si="14"/>
        <v>26190.48</v>
      </c>
      <c r="L275" s="44"/>
      <c r="M275" s="44"/>
      <c r="N275" s="44"/>
      <c r="O275" s="44"/>
      <c r="P275" s="44"/>
      <c r="Q275" s="44"/>
      <c r="R275" s="44"/>
      <c r="S275" s="44"/>
    </row>
    <row r="276" spans="1:19" ht="14.1" customHeight="1">
      <c r="A276" s="27" t="s">
        <v>3839</v>
      </c>
      <c r="B276" s="27" t="s">
        <v>137</v>
      </c>
      <c r="C276" s="27" t="s">
        <v>246</v>
      </c>
      <c r="D276" s="27" t="s">
        <v>172</v>
      </c>
      <c r="E276" s="28">
        <v>65250.53</v>
      </c>
      <c r="F276" s="27" t="s">
        <v>4073</v>
      </c>
      <c r="G276" s="48"/>
      <c r="H276" s="47" t="str">
        <f t="shared" si="12"/>
        <v>PACIFICO</v>
      </c>
      <c r="I276" s="6">
        <f t="shared" si="13"/>
        <v>65250.53</v>
      </c>
      <c r="J276" s="47">
        <f t="shared" si="14"/>
        <v>65250.53</v>
      </c>
      <c r="L276" s="44"/>
      <c r="M276" s="44"/>
      <c r="N276" s="44"/>
      <c r="O276" s="44"/>
      <c r="P276" s="44"/>
      <c r="Q276" s="44"/>
      <c r="R276" s="44"/>
      <c r="S276" s="44"/>
    </row>
    <row r="277" spans="1:19" ht="14.1" customHeight="1">
      <c r="A277" s="27" t="s">
        <v>3839</v>
      </c>
      <c r="B277" s="27" t="s">
        <v>170</v>
      </c>
      <c r="C277" s="27" t="s">
        <v>259</v>
      </c>
      <c r="D277" s="27" t="s">
        <v>172</v>
      </c>
      <c r="E277" s="28">
        <v>283758.28999999998</v>
      </c>
      <c r="F277" s="27" t="s">
        <v>4073</v>
      </c>
      <c r="G277" s="48"/>
      <c r="H277" s="47" t="str">
        <f t="shared" si="12"/>
        <v>PACIFICO</v>
      </c>
      <c r="I277" s="6">
        <f t="shared" si="13"/>
        <v>299694.78666666662</v>
      </c>
      <c r="J277" s="47">
        <f t="shared" si="14"/>
        <v>299694.78666666662</v>
      </c>
      <c r="L277" s="44"/>
      <c r="M277" s="44"/>
      <c r="N277" s="44"/>
      <c r="O277" s="44"/>
      <c r="P277" s="44"/>
      <c r="Q277" s="44"/>
      <c r="R277" s="44"/>
      <c r="S277" s="44"/>
    </row>
    <row r="278" spans="1:19" ht="14.1" customHeight="1">
      <c r="A278" s="27" t="s">
        <v>3839</v>
      </c>
      <c r="B278" s="27" t="s">
        <v>170</v>
      </c>
      <c r="C278" s="27" t="s">
        <v>276</v>
      </c>
      <c r="D278" s="27" t="s">
        <v>172</v>
      </c>
      <c r="E278" s="28">
        <v>83726.98</v>
      </c>
      <c r="F278" s="27" t="s">
        <v>4073</v>
      </c>
      <c r="G278" s="48"/>
      <c r="H278" s="47" t="str">
        <f t="shared" si="12"/>
        <v>PACIFICO</v>
      </c>
      <c r="I278" s="6">
        <f t="shared" si="13"/>
        <v>83726.98</v>
      </c>
      <c r="J278" s="47">
        <f t="shared" si="14"/>
        <v>83726.98</v>
      </c>
      <c r="L278" s="44"/>
      <c r="M278" s="44"/>
      <c r="N278" s="44"/>
      <c r="O278" s="44"/>
      <c r="P278" s="44"/>
      <c r="Q278" s="44"/>
      <c r="R278" s="44"/>
      <c r="S278" s="44"/>
    </row>
    <row r="279" spans="1:19" ht="14.1" customHeight="1">
      <c r="A279" s="27" t="s">
        <v>3839</v>
      </c>
      <c r="B279" s="27" t="s">
        <v>170</v>
      </c>
      <c r="C279" s="27" t="s">
        <v>240</v>
      </c>
      <c r="D279" s="27" t="s">
        <v>172</v>
      </c>
      <c r="E279" s="28">
        <v>23574.34</v>
      </c>
      <c r="F279" s="27" t="s">
        <v>4073</v>
      </c>
      <c r="G279" s="48"/>
      <c r="H279" s="47" t="str">
        <f t="shared" si="12"/>
        <v>PACIFICO</v>
      </c>
      <c r="I279" s="6">
        <f t="shared" si="13"/>
        <v>23397.076666666664</v>
      </c>
      <c r="J279" s="47">
        <f t="shared" si="14"/>
        <v>23397.076666666664</v>
      </c>
      <c r="L279" s="44"/>
      <c r="M279" s="44"/>
      <c r="N279" s="44"/>
      <c r="O279" s="44"/>
      <c r="P279" s="44"/>
      <c r="Q279" s="44"/>
      <c r="R279" s="44"/>
      <c r="S279" s="44"/>
    </row>
    <row r="280" spans="1:19" ht="14.1" customHeight="1">
      <c r="A280" s="27" t="s">
        <v>3839</v>
      </c>
      <c r="B280" s="27" t="s">
        <v>170</v>
      </c>
      <c r="C280" s="27" t="s">
        <v>251</v>
      </c>
      <c r="D280" s="27" t="s">
        <v>226</v>
      </c>
      <c r="E280" s="28">
        <v>61445.54</v>
      </c>
      <c r="F280" s="27" t="s">
        <v>4073</v>
      </c>
      <c r="G280" s="48"/>
      <c r="H280" s="47" t="str">
        <f t="shared" si="12"/>
        <v>PACIFICO</v>
      </c>
      <c r="I280" s="6">
        <f t="shared" si="13"/>
        <v>61445.54</v>
      </c>
      <c r="J280" s="47">
        <f t="shared" si="14"/>
        <v>61445.54</v>
      </c>
      <c r="L280" s="44"/>
      <c r="M280" s="44"/>
      <c r="N280" s="44"/>
      <c r="O280" s="44"/>
      <c r="P280" s="44"/>
      <c r="Q280" s="44"/>
      <c r="R280" s="44"/>
      <c r="S280" s="44"/>
    </row>
    <row r="281" spans="1:19" ht="14.1" customHeight="1">
      <c r="A281" s="27" t="s">
        <v>3839</v>
      </c>
      <c r="B281" s="27" t="s">
        <v>170</v>
      </c>
      <c r="C281" s="27" t="s">
        <v>256</v>
      </c>
      <c r="D281" s="27" t="s">
        <v>172</v>
      </c>
      <c r="E281" s="28">
        <v>28842.22</v>
      </c>
      <c r="F281" s="27" t="s">
        <v>4074</v>
      </c>
      <c r="G281" s="48"/>
      <c r="H281" s="47" t="str">
        <f t="shared" si="12"/>
        <v>PACIFICO</v>
      </c>
      <c r="I281" s="6">
        <f t="shared" si="13"/>
        <v>28842.22</v>
      </c>
      <c r="J281" s="47">
        <f t="shared" si="14"/>
        <v>28842.22</v>
      </c>
      <c r="L281" s="44"/>
      <c r="M281" s="44"/>
      <c r="N281" s="44"/>
      <c r="O281" s="44"/>
      <c r="P281" s="44"/>
      <c r="Q281" s="44"/>
      <c r="R281" s="44"/>
      <c r="S281" s="44"/>
    </row>
    <row r="282" spans="1:19" ht="14.1" customHeight="1">
      <c r="A282" s="27" t="s">
        <v>3839</v>
      </c>
      <c r="B282" s="27" t="s">
        <v>170</v>
      </c>
      <c r="C282" s="27" t="s">
        <v>311</v>
      </c>
      <c r="D282" s="27" t="s">
        <v>172</v>
      </c>
      <c r="E282" s="28">
        <v>45987.3</v>
      </c>
      <c r="F282" s="27" t="s">
        <v>4074</v>
      </c>
      <c r="G282" s="48"/>
      <c r="H282" s="47" t="str">
        <f t="shared" si="12"/>
        <v>PACIFICO</v>
      </c>
      <c r="I282" s="6">
        <f t="shared" si="13"/>
        <v>45987.3</v>
      </c>
      <c r="J282" s="47">
        <f t="shared" si="14"/>
        <v>45987.3</v>
      </c>
      <c r="L282" s="44"/>
      <c r="M282" s="44"/>
      <c r="N282" s="44"/>
      <c r="O282" s="44"/>
      <c r="P282" s="44"/>
      <c r="Q282" s="44"/>
      <c r="R282" s="44"/>
      <c r="S282" s="44"/>
    </row>
    <row r="283" spans="1:19" ht="14.1" customHeight="1">
      <c r="A283" s="27" t="s">
        <v>3839</v>
      </c>
      <c r="B283" s="27" t="s">
        <v>170</v>
      </c>
      <c r="C283" s="27" t="s">
        <v>171</v>
      </c>
      <c r="D283" s="27" t="s">
        <v>172</v>
      </c>
      <c r="E283" s="28">
        <v>115879.72</v>
      </c>
      <c r="F283" s="27" t="s">
        <v>4073</v>
      </c>
      <c r="G283" s="48"/>
      <c r="H283" s="47" t="str">
        <f t="shared" si="12"/>
        <v>PACIFICO</v>
      </c>
      <c r="I283" s="6">
        <f t="shared" si="13"/>
        <v>117146.48</v>
      </c>
      <c r="J283" s="47">
        <f t="shared" si="14"/>
        <v>117146.48</v>
      </c>
      <c r="L283" s="44"/>
      <c r="M283" s="44"/>
      <c r="N283" s="44"/>
      <c r="O283" s="44"/>
      <c r="P283" s="44"/>
      <c r="Q283" s="44"/>
      <c r="R283" s="44"/>
      <c r="S283" s="44"/>
    </row>
    <row r="284" spans="1:19" ht="14.1" customHeight="1">
      <c r="A284" s="27" t="s">
        <v>3839</v>
      </c>
      <c r="B284" s="27" t="s">
        <v>170</v>
      </c>
      <c r="C284" s="27" t="s">
        <v>252</v>
      </c>
      <c r="D284" s="27" t="s">
        <v>226</v>
      </c>
      <c r="E284" s="28">
        <v>24440.35</v>
      </c>
      <c r="F284" s="27" t="s">
        <v>4074</v>
      </c>
      <c r="G284" s="48"/>
      <c r="H284" s="47" t="str">
        <f t="shared" si="12"/>
        <v>PACIFICO</v>
      </c>
      <c r="I284" s="6">
        <f t="shared" si="13"/>
        <v>24440.35</v>
      </c>
      <c r="J284" s="47">
        <f t="shared" si="14"/>
        <v>24440.35</v>
      </c>
      <c r="L284" s="44"/>
      <c r="M284" s="44"/>
      <c r="N284" s="44"/>
      <c r="O284" s="44"/>
      <c r="P284" s="44"/>
      <c r="Q284" s="44"/>
      <c r="R284" s="44"/>
      <c r="S284" s="44"/>
    </row>
    <row r="285" spans="1:19" ht="14.1" customHeight="1">
      <c r="A285" s="27" t="s">
        <v>3839</v>
      </c>
      <c r="B285" s="27" t="s">
        <v>170</v>
      </c>
      <c r="C285" s="27" t="s">
        <v>296</v>
      </c>
      <c r="D285" s="27" t="s">
        <v>226</v>
      </c>
      <c r="E285" s="28">
        <v>23167.62</v>
      </c>
      <c r="F285" s="27" t="s">
        <v>4073</v>
      </c>
      <c r="G285" s="48"/>
      <c r="H285" s="47" t="str">
        <f t="shared" si="12"/>
        <v>PACIFICO</v>
      </c>
      <c r="I285" s="6">
        <f t="shared" si="13"/>
        <v>23098.41333333333</v>
      </c>
      <c r="J285" s="47">
        <f t="shared" si="14"/>
        <v>23098.41333333333</v>
      </c>
      <c r="L285" s="44"/>
      <c r="M285" s="44"/>
      <c r="N285" s="44"/>
      <c r="O285" s="44"/>
      <c r="P285" s="44"/>
      <c r="Q285" s="44"/>
      <c r="R285" s="44"/>
      <c r="S285" s="44"/>
    </row>
    <row r="286" spans="1:19" ht="14.1" customHeight="1">
      <c r="A286" s="27" t="s">
        <v>3839</v>
      </c>
      <c r="B286" s="27" t="s">
        <v>170</v>
      </c>
      <c r="C286" s="27" t="s">
        <v>173</v>
      </c>
      <c r="D286" s="27" t="s">
        <v>172</v>
      </c>
      <c r="E286" s="28">
        <v>153430.65</v>
      </c>
      <c r="F286" s="27" t="s">
        <v>4073</v>
      </c>
      <c r="G286" s="48"/>
      <c r="H286" s="47" t="str">
        <f t="shared" si="12"/>
        <v>PACIFICO</v>
      </c>
      <c r="I286" s="6">
        <f t="shared" si="13"/>
        <v>156632.30000000002</v>
      </c>
      <c r="J286" s="47">
        <f t="shared" si="14"/>
        <v>156632.30000000002</v>
      </c>
      <c r="L286" s="44"/>
      <c r="M286" s="44"/>
      <c r="N286" s="44"/>
      <c r="O286" s="44"/>
      <c r="P286" s="44"/>
      <c r="Q286" s="44"/>
      <c r="R286" s="44"/>
      <c r="S286" s="44"/>
    </row>
    <row r="287" spans="1:19" ht="14.1" customHeight="1">
      <c r="A287" s="27" t="s">
        <v>3839</v>
      </c>
      <c r="B287" s="27" t="s">
        <v>170</v>
      </c>
      <c r="C287" s="27" t="s">
        <v>225</v>
      </c>
      <c r="D287" s="27" t="s">
        <v>226</v>
      </c>
      <c r="E287" s="28">
        <v>37977.24</v>
      </c>
      <c r="F287" s="27" t="s">
        <v>4073</v>
      </c>
      <c r="G287" s="48"/>
      <c r="H287" s="47" t="str">
        <f t="shared" si="12"/>
        <v>PACIFICO</v>
      </c>
      <c r="I287" s="6">
        <f t="shared" si="13"/>
        <v>38645.383333333331</v>
      </c>
      <c r="J287" s="47">
        <f t="shared" si="14"/>
        <v>38645.383333333331</v>
      </c>
      <c r="L287" s="44"/>
      <c r="M287" s="44"/>
      <c r="N287" s="44"/>
      <c r="O287" s="44"/>
      <c r="P287" s="44"/>
      <c r="Q287" s="44"/>
      <c r="R287" s="44"/>
      <c r="S287" s="44"/>
    </row>
    <row r="288" spans="1:19" ht="14.1" customHeight="1">
      <c r="A288" s="27" t="s">
        <v>3839</v>
      </c>
      <c r="B288" s="27" t="s">
        <v>176</v>
      </c>
      <c r="C288" s="27" t="s">
        <v>262</v>
      </c>
      <c r="D288" s="27" t="s">
        <v>172</v>
      </c>
      <c r="E288" s="28">
        <v>17500</v>
      </c>
      <c r="F288" s="27" t="s">
        <v>4074</v>
      </c>
      <c r="G288" s="48"/>
      <c r="H288" s="47" t="str">
        <f t="shared" si="12"/>
        <v>PACIFICO</v>
      </c>
      <c r="I288" s="6">
        <f t="shared" si="13"/>
        <v>17500</v>
      </c>
      <c r="J288" s="47">
        <f t="shared" si="14"/>
        <v>17500</v>
      </c>
      <c r="L288" s="44"/>
      <c r="M288" s="44"/>
      <c r="N288" s="44"/>
      <c r="O288" s="44"/>
      <c r="P288" s="44"/>
      <c r="Q288" s="44"/>
      <c r="R288" s="44"/>
      <c r="S288" s="44"/>
    </row>
    <row r="289" spans="1:19" ht="14.1" customHeight="1">
      <c r="A289" s="27" t="s">
        <v>3839</v>
      </c>
      <c r="B289" s="27" t="s">
        <v>176</v>
      </c>
      <c r="C289" s="27" t="s">
        <v>253</v>
      </c>
      <c r="D289" s="27" t="s">
        <v>172</v>
      </c>
      <c r="E289" s="28">
        <v>24023.33</v>
      </c>
      <c r="F289" s="27" t="s">
        <v>4073</v>
      </c>
      <c r="G289" s="48"/>
      <c r="H289" s="47" t="str">
        <f t="shared" si="12"/>
        <v>PACIFICO</v>
      </c>
      <c r="I289" s="6">
        <f t="shared" si="13"/>
        <v>24023.33</v>
      </c>
      <c r="J289" s="47">
        <f t="shared" si="14"/>
        <v>24023.33</v>
      </c>
      <c r="L289" s="44"/>
      <c r="M289" s="44"/>
      <c r="N289" s="44"/>
      <c r="O289" s="44"/>
      <c r="P289" s="44"/>
      <c r="Q289" s="44"/>
      <c r="R289" s="44"/>
      <c r="S289" s="44"/>
    </row>
    <row r="290" spans="1:19" ht="14.1" customHeight="1">
      <c r="A290" s="27" t="s">
        <v>3839</v>
      </c>
      <c r="B290" s="27" t="s">
        <v>176</v>
      </c>
      <c r="C290" s="27" t="s">
        <v>177</v>
      </c>
      <c r="D290" s="27" t="s">
        <v>172</v>
      </c>
      <c r="E290" s="28">
        <v>20153.830000000002</v>
      </c>
      <c r="F290" s="27" t="s">
        <v>4073</v>
      </c>
      <c r="G290" s="48"/>
      <c r="H290" s="47" t="str">
        <f t="shared" si="12"/>
        <v>PACIFICO</v>
      </c>
      <c r="I290" s="6">
        <f t="shared" si="13"/>
        <v>20169.490000000002</v>
      </c>
      <c r="J290" s="47">
        <f t="shared" si="14"/>
        <v>20169.490000000002</v>
      </c>
      <c r="L290" s="44"/>
      <c r="M290" s="44"/>
      <c r="N290" s="44"/>
      <c r="O290" s="44"/>
      <c r="P290" s="44"/>
      <c r="Q290" s="44"/>
      <c r="R290" s="44"/>
      <c r="S290" s="44"/>
    </row>
    <row r="291" spans="1:19" ht="14.1" customHeight="1">
      <c r="A291" s="27" t="s">
        <v>3839</v>
      </c>
      <c r="B291" s="27" t="s">
        <v>176</v>
      </c>
      <c r="C291" s="27" t="s">
        <v>231</v>
      </c>
      <c r="D291" s="27" t="s">
        <v>172</v>
      </c>
      <c r="E291" s="28">
        <v>23177.15</v>
      </c>
      <c r="F291" s="27" t="s">
        <v>4074</v>
      </c>
      <c r="G291" s="48"/>
      <c r="H291" s="47" t="str">
        <f t="shared" si="12"/>
        <v>PACIFICO</v>
      </c>
      <c r="I291" s="6">
        <f t="shared" si="13"/>
        <v>23177.15</v>
      </c>
      <c r="J291" s="47">
        <f t="shared" si="14"/>
        <v>23177.15</v>
      </c>
      <c r="L291" s="44"/>
      <c r="M291" s="44"/>
      <c r="N291" s="44"/>
      <c r="O291" s="44"/>
      <c r="P291" s="44"/>
      <c r="Q291" s="44"/>
      <c r="R291" s="44"/>
      <c r="S291" s="44"/>
    </row>
    <row r="292" spans="1:19" ht="14.1" customHeight="1">
      <c r="A292" s="27" t="s">
        <v>3839</v>
      </c>
      <c r="B292" s="27" t="s">
        <v>180</v>
      </c>
      <c r="C292" s="27" t="s">
        <v>181</v>
      </c>
      <c r="D292" s="27" t="s">
        <v>172</v>
      </c>
      <c r="E292" s="28">
        <v>34056.25</v>
      </c>
      <c r="F292" s="27" t="s">
        <v>4073</v>
      </c>
      <c r="G292" s="48"/>
      <c r="H292" s="47" t="str">
        <f t="shared" si="12"/>
        <v>PACIFICO</v>
      </c>
      <c r="I292" s="6">
        <f t="shared" si="13"/>
        <v>34056.25</v>
      </c>
      <c r="J292" s="47">
        <f t="shared" si="14"/>
        <v>34056.25</v>
      </c>
      <c r="L292" s="44"/>
      <c r="M292" s="44"/>
      <c r="N292" s="44"/>
      <c r="O292" s="44"/>
      <c r="P292" s="44"/>
      <c r="Q292" s="44"/>
      <c r="R292" s="44"/>
      <c r="S292" s="44"/>
    </row>
    <row r="293" spans="1:19" ht="14.1" customHeight="1">
      <c r="A293" s="27" t="s">
        <v>3839</v>
      </c>
      <c r="B293" s="27" t="s">
        <v>180</v>
      </c>
      <c r="C293" s="27" t="s">
        <v>263</v>
      </c>
      <c r="D293" s="27" t="s">
        <v>172</v>
      </c>
      <c r="E293" s="28">
        <v>210423.61</v>
      </c>
      <c r="F293" s="27" t="s">
        <v>4074</v>
      </c>
      <c r="G293" s="48"/>
      <c r="H293" s="47" t="str">
        <f t="shared" si="12"/>
        <v>PACIFICO</v>
      </c>
      <c r="I293" s="6">
        <f t="shared" si="13"/>
        <v>210423.61</v>
      </c>
      <c r="J293" s="47">
        <f t="shared" si="14"/>
        <v>210423.61</v>
      </c>
      <c r="L293" s="44"/>
      <c r="M293" s="44"/>
      <c r="N293" s="44"/>
      <c r="O293" s="44"/>
      <c r="P293" s="44"/>
      <c r="Q293" s="44"/>
      <c r="R293" s="44"/>
      <c r="S293" s="44"/>
    </row>
    <row r="294" spans="1:19" ht="14.1" customHeight="1">
      <c r="A294" s="27" t="s">
        <v>3839</v>
      </c>
      <c r="B294" s="27" t="s">
        <v>180</v>
      </c>
      <c r="C294" s="27" t="s">
        <v>277</v>
      </c>
      <c r="D294" s="27" t="s">
        <v>172</v>
      </c>
      <c r="E294" s="28">
        <v>90689.07</v>
      </c>
      <c r="F294" s="27" t="s">
        <v>4073</v>
      </c>
      <c r="G294" s="48"/>
      <c r="H294" s="47" t="str">
        <f t="shared" si="12"/>
        <v>PACIFICO</v>
      </c>
      <c r="I294" s="6">
        <f t="shared" si="13"/>
        <v>90689.07</v>
      </c>
      <c r="J294" s="47">
        <f t="shared" si="14"/>
        <v>90689.07</v>
      </c>
      <c r="L294" s="44"/>
      <c r="M294" s="44"/>
      <c r="N294" s="44"/>
      <c r="O294" s="44"/>
      <c r="P294" s="44"/>
      <c r="Q294" s="44"/>
      <c r="R294" s="44"/>
      <c r="S294" s="44"/>
    </row>
    <row r="295" spans="1:19" ht="14.1" customHeight="1">
      <c r="A295" s="27" t="s">
        <v>3839</v>
      </c>
      <c r="B295" s="27" t="s">
        <v>180</v>
      </c>
      <c r="C295" s="27" t="s">
        <v>300</v>
      </c>
      <c r="D295" s="27" t="s">
        <v>172</v>
      </c>
      <c r="E295" s="28">
        <v>66141.87</v>
      </c>
      <c r="F295" s="27" t="s">
        <v>4073</v>
      </c>
      <c r="G295" s="48"/>
      <c r="H295" s="47" t="str">
        <f t="shared" si="12"/>
        <v>PACIFICO</v>
      </c>
      <c r="I295" s="6">
        <f t="shared" si="13"/>
        <v>66141.87</v>
      </c>
      <c r="J295" s="47">
        <f t="shared" si="14"/>
        <v>66141.87</v>
      </c>
      <c r="L295" s="44"/>
      <c r="M295" s="44"/>
      <c r="N295" s="44"/>
      <c r="O295" s="44"/>
      <c r="P295" s="44"/>
      <c r="Q295" s="44"/>
      <c r="R295" s="44"/>
      <c r="S295" s="44"/>
    </row>
    <row r="296" spans="1:19" ht="14.1" customHeight="1">
      <c r="A296" s="27" t="s">
        <v>3839</v>
      </c>
      <c r="B296" s="27" t="s">
        <v>180</v>
      </c>
      <c r="C296" s="27" t="s">
        <v>242</v>
      </c>
      <c r="D296" s="27" t="s">
        <v>172</v>
      </c>
      <c r="E296" s="28">
        <v>30026.06</v>
      </c>
      <c r="F296" s="27" t="s">
        <v>4073</v>
      </c>
      <c r="G296" s="48"/>
      <c r="H296" s="47" t="str">
        <f t="shared" si="12"/>
        <v>PACIFICO</v>
      </c>
      <c r="I296" s="6">
        <f t="shared" si="13"/>
        <v>29526.263333333336</v>
      </c>
      <c r="J296" s="47">
        <f t="shared" si="14"/>
        <v>29526.263333333336</v>
      </c>
      <c r="L296" s="44"/>
      <c r="M296" s="44"/>
      <c r="N296" s="44"/>
      <c r="O296" s="44"/>
      <c r="P296" s="44"/>
      <c r="Q296" s="44"/>
      <c r="R296" s="44"/>
      <c r="S296" s="44"/>
    </row>
    <row r="297" spans="1:19" ht="14.1" customHeight="1">
      <c r="A297" s="27" t="s">
        <v>3839</v>
      </c>
      <c r="B297" s="27" t="s">
        <v>180</v>
      </c>
      <c r="C297" s="27" t="s">
        <v>254</v>
      </c>
      <c r="D297" s="27" t="s">
        <v>172</v>
      </c>
      <c r="E297" s="28">
        <v>146171.37</v>
      </c>
      <c r="F297" s="27" t="s">
        <v>4073</v>
      </c>
      <c r="G297" s="48"/>
      <c r="H297" s="47" t="str">
        <f t="shared" si="12"/>
        <v>PACIFICO</v>
      </c>
      <c r="I297" s="6">
        <f t="shared" si="13"/>
        <v>149551.74666666667</v>
      </c>
      <c r="J297" s="47">
        <f t="shared" si="14"/>
        <v>149551.74666666667</v>
      </c>
      <c r="L297" s="44"/>
      <c r="M297" s="44"/>
      <c r="N297" s="44"/>
      <c r="O297" s="44"/>
      <c r="P297" s="44"/>
      <c r="Q297" s="44"/>
      <c r="R297" s="44"/>
      <c r="S297" s="44"/>
    </row>
    <row r="298" spans="1:19" ht="14.1" customHeight="1">
      <c r="A298" s="27" t="s">
        <v>3839</v>
      </c>
      <c r="B298" s="27" t="s">
        <v>180</v>
      </c>
      <c r="C298" s="27" t="s">
        <v>305</v>
      </c>
      <c r="D298" s="27" t="s">
        <v>172</v>
      </c>
      <c r="E298" s="28">
        <v>72327.89</v>
      </c>
      <c r="F298" s="27" t="s">
        <v>4073</v>
      </c>
      <c r="G298" s="48"/>
      <c r="H298" s="47" t="str">
        <f t="shared" si="12"/>
        <v>PACIFICO</v>
      </c>
      <c r="I298" s="6">
        <f t="shared" si="13"/>
        <v>74107.483333333337</v>
      </c>
      <c r="J298" s="47">
        <f t="shared" si="14"/>
        <v>74107.483333333337</v>
      </c>
      <c r="L298" s="44"/>
      <c r="M298" s="44"/>
      <c r="N298" s="44"/>
      <c r="O298" s="44"/>
      <c r="P298" s="44"/>
      <c r="Q298" s="44"/>
      <c r="R298" s="44"/>
      <c r="S298" s="44"/>
    </row>
    <row r="299" spans="1:19" ht="14.1" customHeight="1">
      <c r="A299" s="27" t="s">
        <v>3839</v>
      </c>
      <c r="B299" s="27" t="s">
        <v>180</v>
      </c>
      <c r="C299" s="27" t="s">
        <v>297</v>
      </c>
      <c r="D299" s="27" t="s">
        <v>172</v>
      </c>
      <c r="E299" s="28">
        <v>149375.29999999999</v>
      </c>
      <c r="F299" s="27" t="s">
        <v>4073</v>
      </c>
      <c r="G299" s="48"/>
      <c r="H299" s="47" t="str">
        <f t="shared" si="12"/>
        <v>PACIFICO</v>
      </c>
      <c r="I299" s="6">
        <f t="shared" si="13"/>
        <v>149375.29999999999</v>
      </c>
      <c r="J299" s="47">
        <f t="shared" si="14"/>
        <v>149375.29999999999</v>
      </c>
      <c r="L299" s="44"/>
      <c r="M299" s="44"/>
      <c r="N299" s="44"/>
      <c r="O299" s="44"/>
      <c r="P299" s="44"/>
      <c r="Q299" s="44"/>
      <c r="R299" s="44"/>
      <c r="S299" s="44"/>
    </row>
    <row r="300" spans="1:19" ht="14.1" customHeight="1">
      <c r="A300" s="27" t="s">
        <v>3839</v>
      </c>
      <c r="B300" s="27" t="s">
        <v>180</v>
      </c>
      <c r="C300" s="27" t="s">
        <v>314</v>
      </c>
      <c r="D300" s="27" t="s">
        <v>172</v>
      </c>
      <c r="E300" s="28">
        <v>28111.98</v>
      </c>
      <c r="F300" s="27" t="s">
        <v>4074</v>
      </c>
      <c r="G300" s="48"/>
      <c r="H300" s="47" t="str">
        <f t="shared" si="12"/>
        <v>PACIFICO</v>
      </c>
      <c r="I300" s="6">
        <f t="shared" si="13"/>
        <v>28111.98</v>
      </c>
      <c r="J300" s="47">
        <f t="shared" si="14"/>
        <v>28111.98</v>
      </c>
      <c r="L300" s="44"/>
      <c r="M300" s="44"/>
      <c r="N300" s="44"/>
      <c r="O300" s="44"/>
      <c r="P300" s="44"/>
      <c r="Q300" s="44"/>
      <c r="R300" s="44"/>
      <c r="S300" s="44"/>
    </row>
    <row r="301" spans="1:19" ht="14.1" customHeight="1">
      <c r="A301" s="27" t="s">
        <v>3839</v>
      </c>
      <c r="B301" s="27" t="s">
        <v>180</v>
      </c>
      <c r="C301" s="27" t="s">
        <v>182</v>
      </c>
      <c r="D301" s="27" t="s">
        <v>172</v>
      </c>
      <c r="E301" s="28">
        <v>151029.59</v>
      </c>
      <c r="F301" s="27" t="s">
        <v>4073</v>
      </c>
      <c r="G301" s="48"/>
      <c r="H301" s="47" t="str">
        <f t="shared" si="12"/>
        <v>PACIFICO</v>
      </c>
      <c r="I301" s="6">
        <f t="shared" si="13"/>
        <v>152821.80666666667</v>
      </c>
      <c r="J301" s="47">
        <f t="shared" si="14"/>
        <v>152821.80666666667</v>
      </c>
      <c r="L301" s="44"/>
      <c r="M301" s="44"/>
      <c r="N301" s="44"/>
      <c r="O301" s="44"/>
      <c r="P301" s="44"/>
      <c r="Q301" s="44"/>
      <c r="R301" s="44"/>
      <c r="S301" s="44"/>
    </row>
    <row r="302" spans="1:19" ht="14.1" customHeight="1">
      <c r="A302" s="27" t="s">
        <v>3840</v>
      </c>
      <c r="B302" s="27" t="s">
        <v>4072</v>
      </c>
      <c r="C302" s="27" t="s">
        <v>316</v>
      </c>
      <c r="D302" s="27" t="s">
        <v>172</v>
      </c>
      <c r="E302" s="28">
        <v>46378.17</v>
      </c>
      <c r="F302" s="27" t="s">
        <v>4073</v>
      </c>
      <c r="G302" s="48"/>
      <c r="H302" s="47" t="str">
        <f t="shared" si="12"/>
        <v>CARIBE</v>
      </c>
      <c r="I302" s="6">
        <f t="shared" si="13"/>
        <v>46378.169999999991</v>
      </c>
      <c r="J302" s="47">
        <f t="shared" si="14"/>
        <v>46378.169999999991</v>
      </c>
      <c r="L302" s="46"/>
      <c r="M302" s="46"/>
      <c r="N302" s="46"/>
      <c r="O302" s="46"/>
      <c r="P302" s="46"/>
      <c r="Q302" s="46"/>
      <c r="R302" s="46"/>
      <c r="S302" s="46"/>
    </row>
    <row r="303" spans="1:19" ht="14.1" customHeight="1">
      <c r="A303" s="27" t="s">
        <v>3840</v>
      </c>
      <c r="B303" s="27" t="s">
        <v>137</v>
      </c>
      <c r="C303" s="27" t="s">
        <v>291</v>
      </c>
      <c r="D303" s="27" t="s">
        <v>172</v>
      </c>
      <c r="E303" s="28">
        <v>22086.61</v>
      </c>
      <c r="F303" s="27" t="s">
        <v>4073</v>
      </c>
      <c r="G303" s="48"/>
      <c r="H303" s="47" t="str">
        <f t="shared" si="12"/>
        <v>CARIBE</v>
      </c>
      <c r="I303" s="6">
        <f t="shared" si="13"/>
        <v>22086.61</v>
      </c>
      <c r="J303" s="47">
        <f t="shared" si="14"/>
        <v>22086.61</v>
      </c>
      <c r="L303" s="44"/>
      <c r="M303" s="44"/>
      <c r="N303" s="44"/>
      <c r="O303" s="44"/>
      <c r="P303" s="44"/>
      <c r="Q303" s="44"/>
      <c r="R303" s="44"/>
      <c r="S303" s="44"/>
    </row>
    <row r="304" spans="1:19" ht="14.1" customHeight="1">
      <c r="A304" s="27" t="s">
        <v>3840</v>
      </c>
      <c r="B304" s="27" t="s">
        <v>137</v>
      </c>
      <c r="C304" s="27" t="s">
        <v>243</v>
      </c>
      <c r="D304" s="27" t="s">
        <v>172</v>
      </c>
      <c r="E304" s="28">
        <v>21754.73</v>
      </c>
      <c r="F304" s="27" t="s">
        <v>4073</v>
      </c>
      <c r="G304" s="48"/>
      <c r="H304" s="47" t="str">
        <f t="shared" si="12"/>
        <v>CARIBE</v>
      </c>
      <c r="I304" s="6">
        <f t="shared" si="13"/>
        <v>21754.73</v>
      </c>
      <c r="J304" s="47">
        <f t="shared" si="14"/>
        <v>21754.73</v>
      </c>
      <c r="L304" s="44"/>
      <c r="M304" s="44"/>
      <c r="N304" s="44"/>
      <c r="O304" s="44"/>
      <c r="P304" s="44"/>
      <c r="Q304" s="44"/>
      <c r="R304" s="44"/>
      <c r="S304" s="44"/>
    </row>
    <row r="305" spans="1:19" ht="14.1" customHeight="1">
      <c r="A305" s="27" t="s">
        <v>3840</v>
      </c>
      <c r="B305" s="27" t="s">
        <v>137</v>
      </c>
      <c r="C305" s="27" t="s">
        <v>237</v>
      </c>
      <c r="D305" s="27" t="s">
        <v>172</v>
      </c>
      <c r="E305" s="28">
        <v>33400</v>
      </c>
      <c r="F305" s="27" t="s">
        <v>4074</v>
      </c>
      <c r="G305" s="48"/>
      <c r="H305" s="47" t="str">
        <f t="shared" si="12"/>
        <v>CARIBE</v>
      </c>
      <c r="I305" s="6">
        <f t="shared" si="13"/>
        <v>33400</v>
      </c>
      <c r="J305" s="47">
        <f t="shared" si="14"/>
        <v>33400</v>
      </c>
      <c r="L305" s="44"/>
      <c r="M305" s="44"/>
      <c r="N305" s="44"/>
      <c r="O305" s="44"/>
      <c r="P305" s="44"/>
      <c r="Q305" s="44"/>
      <c r="R305" s="44"/>
      <c r="S305" s="44"/>
    </row>
    <row r="306" spans="1:19" ht="14.1" customHeight="1">
      <c r="A306" s="27" t="s">
        <v>3840</v>
      </c>
      <c r="B306" s="27" t="s">
        <v>137</v>
      </c>
      <c r="C306" s="27" t="s">
        <v>246</v>
      </c>
      <c r="D306" s="27" t="s">
        <v>172</v>
      </c>
      <c r="E306" s="28">
        <v>65250.53</v>
      </c>
      <c r="F306" s="27" t="s">
        <v>4073</v>
      </c>
      <c r="G306" s="48"/>
      <c r="H306" s="47" t="str">
        <f t="shared" si="12"/>
        <v>CARIBE</v>
      </c>
      <c r="I306" s="6">
        <f t="shared" si="13"/>
        <v>65250.530000000006</v>
      </c>
      <c r="J306" s="47">
        <f t="shared" si="14"/>
        <v>65250.530000000006</v>
      </c>
      <c r="L306" s="44"/>
      <c r="M306" s="44"/>
      <c r="N306" s="44"/>
      <c r="O306" s="44"/>
      <c r="P306" s="44"/>
      <c r="Q306" s="44"/>
      <c r="R306" s="44"/>
      <c r="S306" s="44"/>
    </row>
    <row r="307" spans="1:19" ht="14.1" customHeight="1">
      <c r="A307" s="27" t="s">
        <v>3840</v>
      </c>
      <c r="B307" s="27" t="s">
        <v>170</v>
      </c>
      <c r="C307" s="27" t="s">
        <v>259</v>
      </c>
      <c r="D307" s="27" t="s">
        <v>172</v>
      </c>
      <c r="E307" s="28">
        <v>307802.78000000003</v>
      </c>
      <c r="F307" s="27" t="s">
        <v>4074</v>
      </c>
      <c r="G307" s="48"/>
      <c r="H307" s="47" t="str">
        <f t="shared" si="12"/>
        <v>CARIBE</v>
      </c>
      <c r="I307" s="6">
        <f t="shared" si="13"/>
        <v>307802.78000000003</v>
      </c>
      <c r="J307" s="47">
        <f t="shared" si="14"/>
        <v>307802.78000000003</v>
      </c>
      <c r="L307" s="44"/>
      <c r="M307" s="44"/>
      <c r="N307" s="44"/>
      <c r="O307" s="44"/>
      <c r="P307" s="44"/>
      <c r="Q307" s="44"/>
      <c r="R307" s="44"/>
      <c r="S307" s="44"/>
    </row>
    <row r="308" spans="1:19" ht="14.1" customHeight="1">
      <c r="A308" s="27" t="s">
        <v>3840</v>
      </c>
      <c r="B308" s="27" t="s">
        <v>170</v>
      </c>
      <c r="C308" s="27" t="s">
        <v>276</v>
      </c>
      <c r="D308" s="27" t="s">
        <v>172</v>
      </c>
      <c r="E308" s="28">
        <v>83726.98</v>
      </c>
      <c r="F308" s="27" t="s">
        <v>4073</v>
      </c>
      <c r="G308" s="48"/>
      <c r="H308" s="47" t="str">
        <f t="shared" si="12"/>
        <v>CARIBE</v>
      </c>
      <c r="I308" s="6">
        <f t="shared" si="13"/>
        <v>83726.98</v>
      </c>
      <c r="J308" s="47">
        <f t="shared" si="14"/>
        <v>83726.98</v>
      </c>
      <c r="L308" s="44"/>
      <c r="M308" s="44"/>
      <c r="N308" s="44"/>
      <c r="O308" s="44"/>
      <c r="P308" s="44"/>
      <c r="Q308" s="44"/>
      <c r="R308" s="44"/>
      <c r="S308" s="44"/>
    </row>
    <row r="309" spans="1:19" ht="14.1" customHeight="1">
      <c r="A309" s="27" t="s">
        <v>3840</v>
      </c>
      <c r="B309" s="27" t="s">
        <v>170</v>
      </c>
      <c r="C309" s="27" t="s">
        <v>240</v>
      </c>
      <c r="D309" s="27" t="s">
        <v>172</v>
      </c>
      <c r="E309" s="28">
        <v>23574.34</v>
      </c>
      <c r="F309" s="27" t="s">
        <v>4073</v>
      </c>
      <c r="G309" s="48"/>
      <c r="H309" s="47" t="str">
        <f t="shared" si="12"/>
        <v>CARIBE</v>
      </c>
      <c r="I309" s="6">
        <f t="shared" si="13"/>
        <v>23574.34</v>
      </c>
      <c r="J309" s="47">
        <f t="shared" si="14"/>
        <v>23574.34</v>
      </c>
      <c r="L309" s="44"/>
      <c r="M309" s="44"/>
      <c r="N309" s="44"/>
      <c r="O309" s="44"/>
      <c r="P309" s="44"/>
      <c r="Q309" s="44"/>
      <c r="R309" s="44"/>
      <c r="S309" s="44"/>
    </row>
    <row r="310" spans="1:19" ht="14.1" customHeight="1">
      <c r="A310" s="27" t="s">
        <v>3840</v>
      </c>
      <c r="B310" s="27" t="s">
        <v>170</v>
      </c>
      <c r="C310" s="27" t="s">
        <v>251</v>
      </c>
      <c r="D310" s="27" t="s">
        <v>226</v>
      </c>
      <c r="E310" s="28">
        <v>61445.54</v>
      </c>
      <c r="F310" s="27" t="s">
        <v>4073</v>
      </c>
      <c r="G310" s="48"/>
      <c r="H310" s="47" t="str">
        <f t="shared" si="12"/>
        <v>CARIBE</v>
      </c>
      <c r="I310" s="6">
        <f t="shared" si="13"/>
        <v>61445.54</v>
      </c>
      <c r="J310" s="47">
        <f t="shared" si="14"/>
        <v>61445.54</v>
      </c>
      <c r="L310" s="44"/>
      <c r="M310" s="44"/>
      <c r="N310" s="44"/>
      <c r="O310" s="44"/>
      <c r="P310" s="44"/>
      <c r="Q310" s="44"/>
      <c r="R310" s="44"/>
      <c r="S310" s="44"/>
    </row>
    <row r="311" spans="1:19" ht="14.1" customHeight="1">
      <c r="A311" s="27" t="s">
        <v>3840</v>
      </c>
      <c r="B311" s="27" t="s">
        <v>170</v>
      </c>
      <c r="C311" s="27" t="s">
        <v>256</v>
      </c>
      <c r="D311" s="27" t="s">
        <v>172</v>
      </c>
      <c r="E311" s="28">
        <v>28109.5</v>
      </c>
      <c r="F311" s="27" t="s">
        <v>4074</v>
      </c>
      <c r="G311" s="48"/>
      <c r="H311" s="47" t="str">
        <f t="shared" si="12"/>
        <v>CARIBE</v>
      </c>
      <c r="I311" s="6">
        <f t="shared" si="13"/>
        <v>28109.5</v>
      </c>
      <c r="J311" s="47">
        <f t="shared" si="14"/>
        <v>28109.5</v>
      </c>
      <c r="L311" s="44"/>
      <c r="M311" s="44"/>
      <c r="N311" s="44"/>
      <c r="O311" s="44"/>
      <c r="P311" s="44"/>
      <c r="Q311" s="44"/>
      <c r="R311" s="44"/>
      <c r="S311" s="44"/>
    </row>
    <row r="312" spans="1:19" ht="14.1" customHeight="1">
      <c r="A312" s="27" t="s">
        <v>3840</v>
      </c>
      <c r="B312" s="27" t="s">
        <v>170</v>
      </c>
      <c r="C312" s="27" t="s">
        <v>311</v>
      </c>
      <c r="D312" s="27" t="s">
        <v>172</v>
      </c>
      <c r="E312" s="28">
        <v>41800</v>
      </c>
      <c r="F312" s="27" t="s">
        <v>4074</v>
      </c>
      <c r="G312" s="48"/>
      <c r="H312" s="47" t="str">
        <f t="shared" si="12"/>
        <v>CARIBE</v>
      </c>
      <c r="I312" s="6">
        <f t="shared" si="13"/>
        <v>41800</v>
      </c>
      <c r="J312" s="47">
        <f t="shared" si="14"/>
        <v>41800</v>
      </c>
      <c r="L312" s="44"/>
      <c r="M312" s="44"/>
      <c r="N312" s="44"/>
      <c r="O312" s="44"/>
      <c r="P312" s="44"/>
      <c r="Q312" s="44"/>
      <c r="R312" s="44"/>
      <c r="S312" s="44"/>
    </row>
    <row r="313" spans="1:19" ht="14.1" customHeight="1">
      <c r="A313" s="27" t="s">
        <v>3840</v>
      </c>
      <c r="B313" s="27" t="s">
        <v>170</v>
      </c>
      <c r="C313" s="27" t="s">
        <v>171</v>
      </c>
      <c r="D313" s="27" t="s">
        <v>172</v>
      </c>
      <c r="E313" s="28">
        <v>115879.72</v>
      </c>
      <c r="F313" s="27" t="s">
        <v>4073</v>
      </c>
      <c r="G313" s="48"/>
      <c r="H313" s="47" t="str">
        <f t="shared" si="12"/>
        <v>CARIBE</v>
      </c>
      <c r="I313" s="6">
        <f t="shared" si="13"/>
        <v>115879.71999999999</v>
      </c>
      <c r="J313" s="47">
        <f t="shared" si="14"/>
        <v>115879.71999999999</v>
      </c>
      <c r="L313" s="44"/>
      <c r="M313" s="44"/>
      <c r="N313" s="44"/>
      <c r="O313" s="44"/>
      <c r="P313" s="44"/>
      <c r="Q313" s="44"/>
      <c r="R313" s="44"/>
      <c r="S313" s="44"/>
    </row>
    <row r="314" spans="1:19" ht="14.1" customHeight="1">
      <c r="A314" s="27" t="s">
        <v>3840</v>
      </c>
      <c r="B314" s="27" t="s">
        <v>170</v>
      </c>
      <c r="C314" s="27" t="s">
        <v>252</v>
      </c>
      <c r="D314" s="27" t="s">
        <v>226</v>
      </c>
      <c r="E314" s="28">
        <v>21867.29</v>
      </c>
      <c r="F314" s="27" t="s">
        <v>4073</v>
      </c>
      <c r="G314" s="48"/>
      <c r="H314" s="47" t="str">
        <f t="shared" si="12"/>
        <v>CARIBE</v>
      </c>
      <c r="I314" s="6">
        <f t="shared" si="13"/>
        <v>21867.290000000005</v>
      </c>
      <c r="J314" s="47">
        <f t="shared" si="14"/>
        <v>21867.290000000005</v>
      </c>
      <c r="L314" s="44"/>
      <c r="M314" s="44"/>
      <c r="N314" s="44"/>
      <c r="O314" s="44"/>
      <c r="P314" s="44"/>
      <c r="Q314" s="44"/>
      <c r="R314" s="44"/>
      <c r="S314" s="44"/>
    </row>
    <row r="315" spans="1:19" ht="14.1" customHeight="1">
      <c r="A315" s="27" t="s">
        <v>3840</v>
      </c>
      <c r="B315" s="27" t="s">
        <v>170</v>
      </c>
      <c r="C315" s="27" t="s">
        <v>296</v>
      </c>
      <c r="D315" s="27" t="s">
        <v>226</v>
      </c>
      <c r="E315" s="28">
        <v>23167.62</v>
      </c>
      <c r="F315" s="27" t="s">
        <v>4073</v>
      </c>
      <c r="G315" s="48"/>
      <c r="H315" s="47" t="str">
        <f t="shared" si="12"/>
        <v>CARIBE</v>
      </c>
      <c r="I315" s="6">
        <f t="shared" si="13"/>
        <v>23167.62</v>
      </c>
      <c r="J315" s="47">
        <f t="shared" si="14"/>
        <v>23167.62</v>
      </c>
      <c r="L315" s="44"/>
      <c r="M315" s="44"/>
      <c r="N315" s="44"/>
      <c r="O315" s="44"/>
      <c r="P315" s="44"/>
      <c r="Q315" s="44"/>
      <c r="R315" s="44"/>
      <c r="S315" s="44"/>
    </row>
    <row r="316" spans="1:19" ht="14.1" customHeight="1">
      <c r="A316" s="27" t="s">
        <v>3840</v>
      </c>
      <c r="B316" s="27" t="s">
        <v>170</v>
      </c>
      <c r="C316" s="27" t="s">
        <v>173</v>
      </c>
      <c r="D316" s="27" t="s">
        <v>172</v>
      </c>
      <c r="E316" s="28">
        <v>153430.65</v>
      </c>
      <c r="F316" s="27" t="s">
        <v>4073</v>
      </c>
      <c r="G316" s="48"/>
      <c r="H316" s="47" t="str">
        <f t="shared" si="12"/>
        <v>CARIBE</v>
      </c>
      <c r="I316" s="6">
        <f t="shared" si="13"/>
        <v>155608.875</v>
      </c>
      <c r="J316" s="47">
        <f t="shared" si="14"/>
        <v>155608.875</v>
      </c>
      <c r="L316" s="44"/>
      <c r="M316" s="44"/>
      <c r="N316" s="44"/>
      <c r="O316" s="44"/>
      <c r="P316" s="44"/>
      <c r="Q316" s="44"/>
      <c r="R316" s="44"/>
      <c r="S316" s="44"/>
    </row>
    <row r="317" spans="1:19" ht="14.1" customHeight="1">
      <c r="A317" s="27" t="s">
        <v>3840</v>
      </c>
      <c r="B317" s="27" t="s">
        <v>170</v>
      </c>
      <c r="C317" s="27" t="s">
        <v>225</v>
      </c>
      <c r="D317" s="27" t="s">
        <v>226</v>
      </c>
      <c r="E317" s="28">
        <v>37977.24</v>
      </c>
      <c r="F317" s="27" t="s">
        <v>4073</v>
      </c>
      <c r="G317" s="48"/>
      <c r="H317" s="47" t="str">
        <f t="shared" si="12"/>
        <v>CARIBE</v>
      </c>
      <c r="I317" s="6">
        <f t="shared" si="13"/>
        <v>37977.24</v>
      </c>
      <c r="J317" s="47">
        <f t="shared" si="14"/>
        <v>37977.24</v>
      </c>
      <c r="L317" s="44"/>
      <c r="M317" s="44"/>
      <c r="N317" s="44"/>
      <c r="O317" s="44"/>
      <c r="P317" s="44"/>
      <c r="Q317" s="44"/>
      <c r="R317" s="44"/>
      <c r="S317" s="44"/>
    </row>
    <row r="318" spans="1:19" ht="14.1" customHeight="1">
      <c r="A318" s="27" t="s">
        <v>3840</v>
      </c>
      <c r="B318" s="27" t="s">
        <v>176</v>
      </c>
      <c r="C318" s="27" t="s">
        <v>262</v>
      </c>
      <c r="D318" s="27" t="s">
        <v>172</v>
      </c>
      <c r="E318" s="28">
        <v>22729.17</v>
      </c>
      <c r="F318" s="27" t="s">
        <v>4074</v>
      </c>
      <c r="G318" s="48"/>
      <c r="H318" s="47" t="str">
        <f t="shared" si="12"/>
        <v>CARIBE</v>
      </c>
      <c r="I318" s="6">
        <f t="shared" si="13"/>
        <v>22729.17</v>
      </c>
      <c r="J318" s="47">
        <f t="shared" si="14"/>
        <v>22729.17</v>
      </c>
      <c r="L318" s="44"/>
      <c r="M318" s="44"/>
      <c r="N318" s="44"/>
      <c r="O318" s="44"/>
      <c r="P318" s="44"/>
      <c r="Q318" s="44"/>
      <c r="R318" s="44"/>
      <c r="S318" s="44"/>
    </row>
    <row r="319" spans="1:19" ht="14.1" customHeight="1">
      <c r="A319" s="27" t="s">
        <v>3840</v>
      </c>
      <c r="B319" s="27" t="s">
        <v>176</v>
      </c>
      <c r="C319" s="27" t="s">
        <v>253</v>
      </c>
      <c r="D319" s="27" t="s">
        <v>172</v>
      </c>
      <c r="E319" s="28">
        <v>33200</v>
      </c>
      <c r="F319" s="27" t="s">
        <v>4074</v>
      </c>
      <c r="G319" s="48"/>
      <c r="H319" s="47" t="str">
        <f t="shared" si="12"/>
        <v>CARIBE</v>
      </c>
      <c r="I319" s="6">
        <f t="shared" si="13"/>
        <v>33200</v>
      </c>
      <c r="J319" s="47">
        <f t="shared" si="14"/>
        <v>33200</v>
      </c>
      <c r="L319" s="44"/>
      <c r="M319" s="44"/>
      <c r="N319" s="44"/>
      <c r="O319" s="44"/>
      <c r="P319" s="44"/>
      <c r="Q319" s="44"/>
      <c r="R319" s="44"/>
      <c r="S319" s="44"/>
    </row>
    <row r="320" spans="1:19" ht="14.1" customHeight="1">
      <c r="A320" s="27" t="s">
        <v>3840</v>
      </c>
      <c r="B320" s="27" t="s">
        <v>176</v>
      </c>
      <c r="C320" s="27" t="s">
        <v>177</v>
      </c>
      <c r="D320" s="27" t="s">
        <v>172</v>
      </c>
      <c r="E320" s="28">
        <v>21221.83</v>
      </c>
      <c r="F320" s="27" t="s">
        <v>4074</v>
      </c>
      <c r="G320" s="48"/>
      <c r="H320" s="47" t="str">
        <f t="shared" si="12"/>
        <v>CARIBE</v>
      </c>
      <c r="I320" s="6">
        <f t="shared" si="13"/>
        <v>21221.83</v>
      </c>
      <c r="J320" s="47">
        <f t="shared" si="14"/>
        <v>21221.83</v>
      </c>
      <c r="L320" s="44"/>
      <c r="M320" s="44"/>
      <c r="N320" s="44"/>
      <c r="O320" s="44"/>
      <c r="P320" s="44"/>
      <c r="Q320" s="44"/>
      <c r="R320" s="44"/>
      <c r="S320" s="44"/>
    </row>
    <row r="321" spans="1:19" ht="14.1" customHeight="1">
      <c r="A321" s="27" t="s">
        <v>3840</v>
      </c>
      <c r="B321" s="27" t="s">
        <v>176</v>
      </c>
      <c r="C321" s="27" t="s">
        <v>231</v>
      </c>
      <c r="D321" s="27" t="s">
        <v>172</v>
      </c>
      <c r="E321" s="28">
        <v>24263.89</v>
      </c>
      <c r="F321" s="27" t="s">
        <v>4074</v>
      </c>
      <c r="G321" s="48"/>
      <c r="H321" s="47" t="str">
        <f t="shared" si="12"/>
        <v>CARIBE</v>
      </c>
      <c r="I321" s="6">
        <f t="shared" si="13"/>
        <v>24263.89</v>
      </c>
      <c r="J321" s="47">
        <f t="shared" si="14"/>
        <v>24263.89</v>
      </c>
      <c r="L321" s="44"/>
      <c r="M321" s="44"/>
      <c r="N321" s="44"/>
      <c r="O321" s="44"/>
      <c r="P321" s="44"/>
      <c r="Q321" s="44"/>
      <c r="R321" s="44"/>
      <c r="S321" s="44"/>
    </row>
    <row r="322" spans="1:19" ht="14.1" customHeight="1">
      <c r="A322" s="27" t="s">
        <v>3840</v>
      </c>
      <c r="B322" s="27" t="s">
        <v>180</v>
      </c>
      <c r="C322" s="27" t="s">
        <v>181</v>
      </c>
      <c r="D322" s="27" t="s">
        <v>172</v>
      </c>
      <c r="E322" s="28">
        <v>34056.25</v>
      </c>
      <c r="F322" s="27" t="s">
        <v>4073</v>
      </c>
      <c r="G322" s="48"/>
      <c r="H322" s="47" t="str">
        <f t="shared" ref="H322:H385" si="15">IF(OR(A322="Antioquia",A322="Bogotá, D.C.",A322="Boyacá",A322="Cundinamarca",A322="Caldas",A322="Risaralda",A322="Quindío",A322="Tolima",A322="Huila",A322="Santander",A322="Norte de Santander"),"ANDINA",
IF(OR(A322="Atlántico",A322="Bolívar",A322="Cesar",A322="Córdoba",A322="Sucre",A322="Magdalena"),"CARIBE",
IF(OR(A322="Valle del Cauca",A322="Cauca",A322="Nariño"),"PACIFICO",
IF(OR(A322="Meta",A322="Casanare",A322="Arauca"),"ORINOQUIA",
"AMAZONIA"))))</f>
        <v>CARIBE</v>
      </c>
      <c r="I322" s="6">
        <f t="shared" ref="I322:I385" si="16">IF(F322="Departamental",E322,
AVERAGEIFS($E:$E,$H:$H,H322,$B:$B,B322,$C:$C,C322))</f>
        <v>34056.25</v>
      </c>
      <c r="J322" s="47">
        <f t="shared" si="14"/>
        <v>34056.25</v>
      </c>
      <c r="L322" s="44"/>
      <c r="M322" s="44"/>
      <c r="N322" s="44"/>
      <c r="O322" s="44"/>
      <c r="P322" s="44"/>
      <c r="Q322" s="44"/>
      <c r="R322" s="44"/>
      <c r="S322" s="44"/>
    </row>
    <row r="323" spans="1:19" ht="14.1" customHeight="1">
      <c r="A323" s="27" t="s">
        <v>3840</v>
      </c>
      <c r="B323" s="27" t="s">
        <v>180</v>
      </c>
      <c r="C323" s="27" t="s">
        <v>263</v>
      </c>
      <c r="D323" s="27" t="s">
        <v>172</v>
      </c>
      <c r="E323" s="28">
        <v>215016.67</v>
      </c>
      <c r="F323" s="27" t="s">
        <v>4074</v>
      </c>
      <c r="G323" s="48"/>
      <c r="H323" s="47" t="str">
        <f t="shared" si="15"/>
        <v>CARIBE</v>
      </c>
      <c r="I323" s="6">
        <f t="shared" si="16"/>
        <v>215016.67</v>
      </c>
      <c r="J323" s="47">
        <f t="shared" ref="J323:J386" si="17">IF(G323&lt;&gt;"",G323,I323)</f>
        <v>215016.67</v>
      </c>
      <c r="L323" s="44"/>
      <c r="M323" s="44"/>
      <c r="N323" s="44"/>
      <c r="O323" s="44"/>
      <c r="P323" s="44"/>
      <c r="Q323" s="44"/>
      <c r="R323" s="44"/>
      <c r="S323" s="44"/>
    </row>
    <row r="324" spans="1:19" ht="14.1" customHeight="1">
      <c r="A324" s="27" t="s">
        <v>3840</v>
      </c>
      <c r="B324" s="27" t="s">
        <v>180</v>
      </c>
      <c r="C324" s="27" t="s">
        <v>277</v>
      </c>
      <c r="D324" s="27" t="s">
        <v>172</v>
      </c>
      <c r="E324" s="28">
        <v>90689.07</v>
      </c>
      <c r="F324" s="27" t="s">
        <v>4073</v>
      </c>
      <c r="G324" s="48"/>
      <c r="H324" s="47" t="str">
        <f t="shared" si="15"/>
        <v>CARIBE</v>
      </c>
      <c r="I324" s="6">
        <f t="shared" si="16"/>
        <v>90689.07</v>
      </c>
      <c r="J324" s="47">
        <f t="shared" si="17"/>
        <v>90689.07</v>
      </c>
      <c r="L324" s="44"/>
      <c r="M324" s="44"/>
      <c r="N324" s="44"/>
      <c r="O324" s="44"/>
      <c r="P324" s="44"/>
      <c r="Q324" s="44"/>
      <c r="R324" s="44"/>
      <c r="S324" s="44"/>
    </row>
    <row r="325" spans="1:19" ht="14.1" customHeight="1">
      <c r="A325" s="27" t="s">
        <v>3840</v>
      </c>
      <c r="B325" s="27" t="s">
        <v>180</v>
      </c>
      <c r="C325" s="27" t="s">
        <v>300</v>
      </c>
      <c r="D325" s="27" t="s">
        <v>172</v>
      </c>
      <c r="E325" s="28">
        <v>66141.87</v>
      </c>
      <c r="F325" s="27" t="s">
        <v>4073</v>
      </c>
      <c r="G325" s="48"/>
      <c r="H325" s="47" t="str">
        <f t="shared" si="15"/>
        <v>CARIBE</v>
      </c>
      <c r="I325" s="6">
        <f t="shared" si="16"/>
        <v>65872.78833333333</v>
      </c>
      <c r="J325" s="47">
        <f t="shared" si="17"/>
        <v>65872.78833333333</v>
      </c>
      <c r="L325" s="44"/>
      <c r="M325" s="44"/>
      <c r="N325" s="44"/>
      <c r="O325" s="44"/>
      <c r="P325" s="44"/>
      <c r="Q325" s="44"/>
      <c r="R325" s="44"/>
      <c r="S325" s="44"/>
    </row>
    <row r="326" spans="1:19" ht="14.1" customHeight="1">
      <c r="A326" s="27" t="s">
        <v>3840</v>
      </c>
      <c r="B326" s="27" t="s">
        <v>180</v>
      </c>
      <c r="C326" s="27" t="s">
        <v>242</v>
      </c>
      <c r="D326" s="27" t="s">
        <v>172</v>
      </c>
      <c r="E326" s="28">
        <v>32873.33</v>
      </c>
      <c r="F326" s="27" t="s">
        <v>4074</v>
      </c>
      <c r="G326" s="48"/>
      <c r="H326" s="47" t="str">
        <f t="shared" si="15"/>
        <v>CARIBE</v>
      </c>
      <c r="I326" s="6">
        <f t="shared" si="16"/>
        <v>32873.33</v>
      </c>
      <c r="J326" s="47">
        <f t="shared" si="17"/>
        <v>32873.33</v>
      </c>
      <c r="L326" s="44"/>
      <c r="M326" s="44"/>
      <c r="N326" s="44"/>
      <c r="O326" s="44"/>
      <c r="P326" s="44"/>
      <c r="Q326" s="44"/>
      <c r="R326" s="44"/>
      <c r="S326" s="44"/>
    </row>
    <row r="327" spans="1:19" ht="14.1" customHeight="1">
      <c r="A327" s="27" t="s">
        <v>3840</v>
      </c>
      <c r="B327" s="27" t="s">
        <v>180</v>
      </c>
      <c r="C327" s="27" t="s">
        <v>254</v>
      </c>
      <c r="D327" s="27" t="s">
        <v>172</v>
      </c>
      <c r="E327" s="28">
        <v>146171.37</v>
      </c>
      <c r="F327" s="27" t="s">
        <v>4073</v>
      </c>
      <c r="G327" s="48"/>
      <c r="H327" s="47" t="str">
        <f t="shared" si="15"/>
        <v>CARIBE</v>
      </c>
      <c r="I327" s="6">
        <f t="shared" si="16"/>
        <v>146171.37</v>
      </c>
      <c r="J327" s="47">
        <f t="shared" si="17"/>
        <v>146171.37</v>
      </c>
      <c r="L327" s="44"/>
      <c r="M327" s="44"/>
      <c r="N327" s="44"/>
      <c r="O327" s="44"/>
      <c r="P327" s="44"/>
      <c r="Q327" s="44"/>
      <c r="R327" s="44"/>
      <c r="S327" s="44"/>
    </row>
    <row r="328" spans="1:19" ht="14.1" customHeight="1">
      <c r="A328" s="27" t="s">
        <v>3840</v>
      </c>
      <c r="B328" s="27" t="s">
        <v>180</v>
      </c>
      <c r="C328" s="27" t="s">
        <v>305</v>
      </c>
      <c r="D328" s="27" t="s">
        <v>172</v>
      </c>
      <c r="E328" s="28">
        <v>72327.89</v>
      </c>
      <c r="F328" s="27" t="s">
        <v>4073</v>
      </c>
      <c r="G328" s="48"/>
      <c r="H328" s="47" t="str">
        <f t="shared" si="15"/>
        <v>CARIBE</v>
      </c>
      <c r="I328" s="6">
        <f t="shared" si="16"/>
        <v>72653.15833333334</v>
      </c>
      <c r="J328" s="47">
        <f t="shared" si="17"/>
        <v>72653.15833333334</v>
      </c>
      <c r="L328" s="44"/>
      <c r="M328" s="44"/>
      <c r="N328" s="44"/>
      <c r="O328" s="44"/>
      <c r="P328" s="44"/>
      <c r="Q328" s="44"/>
      <c r="R328" s="44"/>
      <c r="S328" s="44"/>
    </row>
    <row r="329" spans="1:19" ht="14.1" customHeight="1">
      <c r="A329" s="27" t="s">
        <v>3840</v>
      </c>
      <c r="B329" s="27" t="s">
        <v>180</v>
      </c>
      <c r="C329" s="27" t="s">
        <v>297</v>
      </c>
      <c r="D329" s="27" t="s">
        <v>172</v>
      </c>
      <c r="E329" s="28">
        <v>149375.29999999999</v>
      </c>
      <c r="F329" s="27" t="s">
        <v>4073</v>
      </c>
      <c r="G329" s="48"/>
      <c r="H329" s="47" t="str">
        <f t="shared" si="15"/>
        <v>CARIBE</v>
      </c>
      <c r="I329" s="6">
        <f t="shared" si="16"/>
        <v>149375.30000000002</v>
      </c>
      <c r="J329" s="47">
        <f t="shared" si="17"/>
        <v>149375.30000000002</v>
      </c>
      <c r="L329" s="44"/>
      <c r="M329" s="44"/>
      <c r="N329" s="44"/>
      <c r="O329" s="44"/>
      <c r="P329" s="44"/>
      <c r="Q329" s="44"/>
      <c r="R329" s="44"/>
      <c r="S329" s="44"/>
    </row>
    <row r="330" spans="1:19" ht="14.1" customHeight="1">
      <c r="A330" s="27" t="s">
        <v>3840</v>
      </c>
      <c r="B330" s="27" t="s">
        <v>180</v>
      </c>
      <c r="C330" s="27" t="s">
        <v>314</v>
      </c>
      <c r="D330" s="27" t="s">
        <v>172</v>
      </c>
      <c r="E330" s="28">
        <v>28103.200000000001</v>
      </c>
      <c r="F330" s="27" t="s">
        <v>4073</v>
      </c>
      <c r="G330" s="48"/>
      <c r="H330" s="47" t="str">
        <f t="shared" si="15"/>
        <v>CARIBE</v>
      </c>
      <c r="I330" s="6">
        <f t="shared" si="16"/>
        <v>28103.200000000001</v>
      </c>
      <c r="J330" s="47">
        <f t="shared" si="17"/>
        <v>28103.200000000001</v>
      </c>
      <c r="L330" s="44"/>
      <c r="M330" s="44"/>
      <c r="N330" s="44"/>
      <c r="O330" s="44"/>
      <c r="P330" s="44"/>
      <c r="Q330" s="44"/>
      <c r="R330" s="44"/>
      <c r="S330" s="44"/>
    </row>
    <row r="331" spans="1:19" ht="14.1" customHeight="1">
      <c r="A331" s="27" t="s">
        <v>3840</v>
      </c>
      <c r="B331" s="27" t="s">
        <v>180</v>
      </c>
      <c r="C331" s="27" t="s">
        <v>182</v>
      </c>
      <c r="D331" s="27" t="s">
        <v>172</v>
      </c>
      <c r="E331" s="28">
        <v>151029.59</v>
      </c>
      <c r="F331" s="27" t="s">
        <v>4073</v>
      </c>
      <c r="G331" s="48"/>
      <c r="H331" s="47" t="str">
        <f t="shared" si="15"/>
        <v>CARIBE</v>
      </c>
      <c r="I331" s="6">
        <f t="shared" si="16"/>
        <v>151029.59</v>
      </c>
      <c r="J331" s="47">
        <f t="shared" si="17"/>
        <v>151029.59</v>
      </c>
      <c r="L331" s="44"/>
      <c r="M331" s="44"/>
      <c r="N331" s="44"/>
      <c r="O331" s="44"/>
      <c r="P331" s="44"/>
      <c r="Q331" s="44"/>
      <c r="R331" s="44"/>
      <c r="S331" s="44"/>
    </row>
    <row r="332" spans="1:19" ht="14.1" customHeight="1">
      <c r="A332" s="27" t="s">
        <v>3842</v>
      </c>
      <c r="B332" s="27" t="s">
        <v>4072</v>
      </c>
      <c r="C332" s="27" t="s">
        <v>316</v>
      </c>
      <c r="D332" s="27" t="s">
        <v>172</v>
      </c>
      <c r="E332" s="28">
        <v>46378.17</v>
      </c>
      <c r="F332" s="27" t="s">
        <v>4073</v>
      </c>
      <c r="G332" s="48"/>
      <c r="H332" s="47" t="str">
        <f t="shared" si="15"/>
        <v>ANDINA</v>
      </c>
      <c r="I332" s="6">
        <f t="shared" si="16"/>
        <v>46393.717272727263</v>
      </c>
      <c r="J332" s="47">
        <f t="shared" si="17"/>
        <v>46393.717272727263</v>
      </c>
      <c r="L332" s="46"/>
      <c r="M332" s="46"/>
      <c r="N332" s="46"/>
      <c r="O332" s="46"/>
      <c r="P332" s="46"/>
      <c r="Q332" s="46"/>
      <c r="R332" s="46"/>
      <c r="S332" s="46"/>
    </row>
    <row r="333" spans="1:19" ht="14.1" customHeight="1">
      <c r="A333" s="27" t="s">
        <v>3842</v>
      </c>
      <c r="B333" s="27" t="s">
        <v>137</v>
      </c>
      <c r="C333" s="27" t="s">
        <v>291</v>
      </c>
      <c r="D333" s="27" t="s">
        <v>172</v>
      </c>
      <c r="E333" s="28">
        <v>20560.54</v>
      </c>
      <c r="F333" s="27" t="s">
        <v>4074</v>
      </c>
      <c r="G333" s="48"/>
      <c r="H333" s="47" t="str">
        <f t="shared" si="15"/>
        <v>ANDINA</v>
      </c>
      <c r="I333" s="6">
        <f t="shared" si="16"/>
        <v>20560.54</v>
      </c>
      <c r="J333" s="47">
        <f t="shared" si="17"/>
        <v>20560.54</v>
      </c>
      <c r="L333" s="44"/>
      <c r="M333" s="44"/>
      <c r="N333" s="44"/>
      <c r="O333" s="44"/>
      <c r="P333" s="44"/>
      <c r="Q333" s="44"/>
      <c r="R333" s="44"/>
      <c r="S333" s="44"/>
    </row>
    <row r="334" spans="1:19" ht="14.1" customHeight="1">
      <c r="A334" s="27" t="s">
        <v>3842</v>
      </c>
      <c r="B334" s="27" t="s">
        <v>137</v>
      </c>
      <c r="C334" s="27" t="s">
        <v>243</v>
      </c>
      <c r="D334" s="27" t="s">
        <v>172</v>
      </c>
      <c r="E334" s="28">
        <v>21614.33</v>
      </c>
      <c r="F334" s="27" t="s">
        <v>4074</v>
      </c>
      <c r="G334" s="48"/>
      <c r="H334" s="47" t="str">
        <f t="shared" si="15"/>
        <v>ANDINA</v>
      </c>
      <c r="I334" s="6">
        <f t="shared" si="16"/>
        <v>21614.33</v>
      </c>
      <c r="J334" s="47">
        <f t="shared" si="17"/>
        <v>21614.33</v>
      </c>
      <c r="L334" s="44"/>
      <c r="M334" s="44"/>
      <c r="N334" s="44"/>
      <c r="O334" s="44"/>
      <c r="P334" s="44"/>
      <c r="Q334" s="44"/>
      <c r="R334" s="44"/>
      <c r="S334" s="44"/>
    </row>
    <row r="335" spans="1:19" ht="14.1" customHeight="1">
      <c r="A335" s="27" t="s">
        <v>3842</v>
      </c>
      <c r="B335" s="27" t="s">
        <v>137</v>
      </c>
      <c r="C335" s="27" t="s">
        <v>237</v>
      </c>
      <c r="D335" s="27" t="s">
        <v>172</v>
      </c>
      <c r="E335" s="28">
        <v>29349.439999999999</v>
      </c>
      <c r="F335" s="27" t="s">
        <v>4074</v>
      </c>
      <c r="G335" s="48"/>
      <c r="H335" s="47" t="str">
        <f t="shared" si="15"/>
        <v>ANDINA</v>
      </c>
      <c r="I335" s="6">
        <f t="shared" si="16"/>
        <v>29349.439999999999</v>
      </c>
      <c r="J335" s="47">
        <f t="shared" si="17"/>
        <v>29349.439999999999</v>
      </c>
      <c r="L335" s="44"/>
      <c r="M335" s="44"/>
      <c r="N335" s="44"/>
      <c r="O335" s="44"/>
      <c r="P335" s="44"/>
      <c r="Q335" s="44"/>
      <c r="R335" s="44"/>
      <c r="S335" s="44"/>
    </row>
    <row r="336" spans="1:19" ht="14.1" customHeight="1">
      <c r="A336" s="27" t="s">
        <v>3842</v>
      </c>
      <c r="B336" s="27" t="s">
        <v>137</v>
      </c>
      <c r="C336" s="27" t="s">
        <v>246</v>
      </c>
      <c r="D336" s="27" t="s">
        <v>172</v>
      </c>
      <c r="E336" s="28">
        <v>60830</v>
      </c>
      <c r="F336" s="27" t="s">
        <v>4074</v>
      </c>
      <c r="G336" s="48"/>
      <c r="H336" s="47" t="str">
        <f t="shared" si="15"/>
        <v>ANDINA</v>
      </c>
      <c r="I336" s="6">
        <f t="shared" si="16"/>
        <v>60830</v>
      </c>
      <c r="J336" s="47">
        <f t="shared" si="17"/>
        <v>60830</v>
      </c>
      <c r="L336" s="44"/>
      <c r="M336" s="44"/>
      <c r="N336" s="44"/>
      <c r="O336" s="44"/>
      <c r="P336" s="44"/>
      <c r="Q336" s="44"/>
      <c r="R336" s="44"/>
      <c r="S336" s="44"/>
    </row>
    <row r="337" spans="1:19" ht="14.1" customHeight="1">
      <c r="A337" s="27" t="s">
        <v>3842</v>
      </c>
      <c r="B337" s="27" t="s">
        <v>170</v>
      </c>
      <c r="C337" s="27" t="s">
        <v>259</v>
      </c>
      <c r="D337" s="27" t="s">
        <v>172</v>
      </c>
      <c r="E337" s="28">
        <v>286682.73</v>
      </c>
      <c r="F337" s="27" t="s">
        <v>4074</v>
      </c>
      <c r="G337" s="48"/>
      <c r="H337" s="47" t="str">
        <f t="shared" si="15"/>
        <v>ANDINA</v>
      </c>
      <c r="I337" s="6">
        <f t="shared" si="16"/>
        <v>286682.73</v>
      </c>
      <c r="J337" s="47">
        <f t="shared" si="17"/>
        <v>286682.73</v>
      </c>
      <c r="L337" s="44"/>
      <c r="M337" s="44"/>
      <c r="N337" s="44"/>
      <c r="O337" s="44"/>
      <c r="P337" s="44"/>
      <c r="Q337" s="44"/>
      <c r="R337" s="44"/>
      <c r="S337" s="44"/>
    </row>
    <row r="338" spans="1:19" ht="14.1" customHeight="1">
      <c r="A338" s="27" t="s">
        <v>3842</v>
      </c>
      <c r="B338" s="27" t="s">
        <v>170</v>
      </c>
      <c r="C338" s="27" t="s">
        <v>276</v>
      </c>
      <c r="D338" s="27" t="s">
        <v>172</v>
      </c>
      <c r="E338" s="28">
        <v>83726.98</v>
      </c>
      <c r="F338" s="27" t="s">
        <v>4073</v>
      </c>
      <c r="G338" s="48"/>
      <c r="H338" s="47" t="str">
        <f t="shared" si="15"/>
        <v>ANDINA</v>
      </c>
      <c r="I338" s="6">
        <f t="shared" si="16"/>
        <v>83734.880909090891</v>
      </c>
      <c r="J338" s="47">
        <f t="shared" si="17"/>
        <v>83734.880909090891</v>
      </c>
      <c r="L338" s="44"/>
      <c r="M338" s="44"/>
      <c r="N338" s="44"/>
      <c r="O338" s="44"/>
      <c r="P338" s="44"/>
      <c r="Q338" s="44"/>
      <c r="R338" s="44"/>
      <c r="S338" s="44"/>
    </row>
    <row r="339" spans="1:19" ht="14.1" customHeight="1">
      <c r="A339" s="27" t="s">
        <v>3842</v>
      </c>
      <c r="B339" s="27" t="s">
        <v>170</v>
      </c>
      <c r="C339" s="27" t="s">
        <v>240</v>
      </c>
      <c r="D339" s="27" t="s">
        <v>172</v>
      </c>
      <c r="E339" s="28">
        <v>24270.78</v>
      </c>
      <c r="F339" s="27" t="s">
        <v>4074</v>
      </c>
      <c r="G339" s="48"/>
      <c r="H339" s="47" t="str">
        <f t="shared" si="15"/>
        <v>ANDINA</v>
      </c>
      <c r="I339" s="6">
        <f t="shared" si="16"/>
        <v>24270.78</v>
      </c>
      <c r="J339" s="47">
        <f t="shared" si="17"/>
        <v>24270.78</v>
      </c>
      <c r="L339" s="44"/>
      <c r="M339" s="44"/>
      <c r="N339" s="44"/>
      <c r="O339" s="44"/>
      <c r="P339" s="44"/>
      <c r="Q339" s="44"/>
      <c r="R339" s="44"/>
      <c r="S339" s="44"/>
    </row>
    <row r="340" spans="1:19" ht="14.1" customHeight="1">
      <c r="A340" s="27" t="s">
        <v>3842</v>
      </c>
      <c r="B340" s="27" t="s">
        <v>170</v>
      </c>
      <c r="C340" s="27" t="s">
        <v>251</v>
      </c>
      <c r="D340" s="27" t="s">
        <v>226</v>
      </c>
      <c r="E340" s="28">
        <v>61445.54</v>
      </c>
      <c r="F340" s="27" t="s">
        <v>4073</v>
      </c>
      <c r="G340" s="48"/>
      <c r="H340" s="47" t="str">
        <f t="shared" si="15"/>
        <v>ANDINA</v>
      </c>
      <c r="I340" s="6">
        <f t="shared" si="16"/>
        <v>61410.171818181821</v>
      </c>
      <c r="J340" s="47">
        <f t="shared" si="17"/>
        <v>61410.171818181821</v>
      </c>
      <c r="L340" s="44"/>
      <c r="M340" s="44"/>
      <c r="N340" s="44"/>
      <c r="O340" s="44"/>
      <c r="P340" s="44"/>
      <c r="Q340" s="44"/>
      <c r="R340" s="44"/>
      <c r="S340" s="44"/>
    </row>
    <row r="341" spans="1:19" ht="14.1" customHeight="1">
      <c r="A341" s="27" t="s">
        <v>3842</v>
      </c>
      <c r="B341" s="27" t="s">
        <v>170</v>
      </c>
      <c r="C341" s="27" t="s">
        <v>256</v>
      </c>
      <c r="D341" s="27" t="s">
        <v>172</v>
      </c>
      <c r="E341" s="28">
        <v>30530.31</v>
      </c>
      <c r="F341" s="27" t="s">
        <v>4074</v>
      </c>
      <c r="G341" s="48"/>
      <c r="H341" s="47" t="str">
        <f t="shared" si="15"/>
        <v>ANDINA</v>
      </c>
      <c r="I341" s="6">
        <f t="shared" si="16"/>
        <v>30530.31</v>
      </c>
      <c r="J341" s="47">
        <f t="shared" si="17"/>
        <v>30530.31</v>
      </c>
      <c r="L341" s="44"/>
      <c r="M341" s="44"/>
      <c r="N341" s="44"/>
      <c r="O341" s="44"/>
      <c r="P341" s="44"/>
      <c r="Q341" s="44"/>
      <c r="R341" s="44"/>
      <c r="S341" s="44"/>
    </row>
    <row r="342" spans="1:19" ht="14.1" customHeight="1">
      <c r="A342" s="27" t="s">
        <v>3842</v>
      </c>
      <c r="B342" s="27" t="s">
        <v>170</v>
      </c>
      <c r="C342" s="27" t="s">
        <v>311</v>
      </c>
      <c r="D342" s="27" t="s">
        <v>172</v>
      </c>
      <c r="E342" s="28">
        <v>39721.85</v>
      </c>
      <c r="F342" s="27" t="s">
        <v>4074</v>
      </c>
      <c r="G342" s="48"/>
      <c r="H342" s="47" t="str">
        <f t="shared" si="15"/>
        <v>ANDINA</v>
      </c>
      <c r="I342" s="6">
        <f t="shared" si="16"/>
        <v>39721.85</v>
      </c>
      <c r="J342" s="47">
        <f t="shared" si="17"/>
        <v>39721.85</v>
      </c>
      <c r="L342" s="44"/>
      <c r="M342" s="44"/>
      <c r="N342" s="44"/>
      <c r="O342" s="44"/>
      <c r="P342" s="44"/>
      <c r="Q342" s="44"/>
      <c r="R342" s="44"/>
      <c r="S342" s="44"/>
    </row>
    <row r="343" spans="1:19" ht="14.1" customHeight="1">
      <c r="A343" s="27" t="s">
        <v>3842</v>
      </c>
      <c r="B343" s="27" t="s">
        <v>170</v>
      </c>
      <c r="C343" s="27" t="s">
        <v>171</v>
      </c>
      <c r="D343" s="27" t="s">
        <v>172</v>
      </c>
      <c r="E343" s="28">
        <v>118008</v>
      </c>
      <c r="F343" s="27" t="s">
        <v>4074</v>
      </c>
      <c r="G343" s="48"/>
      <c r="H343" s="47" t="str">
        <f t="shared" si="15"/>
        <v>ANDINA</v>
      </c>
      <c r="I343" s="6">
        <f t="shared" si="16"/>
        <v>118008</v>
      </c>
      <c r="J343" s="47">
        <f t="shared" si="17"/>
        <v>118008</v>
      </c>
      <c r="L343" s="44"/>
      <c r="M343" s="44"/>
      <c r="N343" s="44"/>
      <c r="O343" s="44"/>
      <c r="P343" s="44"/>
      <c r="Q343" s="44"/>
      <c r="R343" s="44"/>
      <c r="S343" s="44"/>
    </row>
    <row r="344" spans="1:19" ht="14.1" customHeight="1">
      <c r="A344" s="27" t="s">
        <v>3842</v>
      </c>
      <c r="B344" s="27" t="s">
        <v>170</v>
      </c>
      <c r="C344" s="27" t="s">
        <v>252</v>
      </c>
      <c r="D344" s="27" t="s">
        <v>226</v>
      </c>
      <c r="E344" s="28">
        <v>21061.77</v>
      </c>
      <c r="F344" s="27" t="s">
        <v>4074</v>
      </c>
      <c r="G344" s="48"/>
      <c r="H344" s="47" t="str">
        <f t="shared" si="15"/>
        <v>ANDINA</v>
      </c>
      <c r="I344" s="6">
        <f t="shared" si="16"/>
        <v>21061.77</v>
      </c>
      <c r="J344" s="47">
        <f t="shared" si="17"/>
        <v>21061.77</v>
      </c>
      <c r="L344" s="44"/>
      <c r="M344" s="44"/>
      <c r="N344" s="44"/>
      <c r="O344" s="44"/>
      <c r="P344" s="44"/>
      <c r="Q344" s="44"/>
      <c r="R344" s="44"/>
      <c r="S344" s="44"/>
    </row>
    <row r="345" spans="1:19" ht="14.1" customHeight="1">
      <c r="A345" s="27" t="s">
        <v>3842</v>
      </c>
      <c r="B345" s="27" t="s">
        <v>170</v>
      </c>
      <c r="C345" s="27" t="s">
        <v>296</v>
      </c>
      <c r="D345" s="27" t="s">
        <v>226</v>
      </c>
      <c r="E345" s="28">
        <v>22452.560000000001</v>
      </c>
      <c r="F345" s="27" t="s">
        <v>4074</v>
      </c>
      <c r="G345" s="48"/>
      <c r="H345" s="47" t="str">
        <f t="shared" si="15"/>
        <v>ANDINA</v>
      </c>
      <c r="I345" s="6">
        <f t="shared" si="16"/>
        <v>22452.560000000001</v>
      </c>
      <c r="J345" s="47">
        <f t="shared" si="17"/>
        <v>22452.560000000001</v>
      </c>
      <c r="L345" s="44"/>
      <c r="M345" s="44"/>
      <c r="N345" s="44"/>
      <c r="O345" s="44"/>
      <c r="P345" s="44"/>
      <c r="Q345" s="44"/>
      <c r="R345" s="44"/>
      <c r="S345" s="44"/>
    </row>
    <row r="346" spans="1:19" ht="14.1" customHeight="1">
      <c r="A346" s="27" t="s">
        <v>3842</v>
      </c>
      <c r="B346" s="27" t="s">
        <v>170</v>
      </c>
      <c r="C346" s="27" t="s">
        <v>173</v>
      </c>
      <c r="D346" s="27" t="s">
        <v>172</v>
      </c>
      <c r="E346" s="28">
        <v>150184.85</v>
      </c>
      <c r="F346" s="27" t="s">
        <v>4074</v>
      </c>
      <c r="G346" s="48"/>
      <c r="H346" s="47" t="str">
        <f t="shared" si="15"/>
        <v>ANDINA</v>
      </c>
      <c r="I346" s="6">
        <f t="shared" si="16"/>
        <v>150184.85</v>
      </c>
      <c r="J346" s="47">
        <f t="shared" si="17"/>
        <v>150184.85</v>
      </c>
      <c r="L346" s="44"/>
      <c r="M346" s="44"/>
      <c r="N346" s="44"/>
      <c r="O346" s="44"/>
      <c r="P346" s="44"/>
      <c r="Q346" s="44"/>
      <c r="R346" s="44"/>
      <c r="S346" s="44"/>
    </row>
    <row r="347" spans="1:19" ht="14.1" customHeight="1">
      <c r="A347" s="27" t="s">
        <v>3842</v>
      </c>
      <c r="B347" s="27" t="s">
        <v>170</v>
      </c>
      <c r="C347" s="27" t="s">
        <v>225</v>
      </c>
      <c r="D347" s="27" t="s">
        <v>226</v>
      </c>
      <c r="E347" s="28">
        <v>37977.24</v>
      </c>
      <c r="F347" s="27" t="s">
        <v>4073</v>
      </c>
      <c r="G347" s="48"/>
      <c r="H347" s="47" t="str">
        <f t="shared" si="15"/>
        <v>ANDINA</v>
      </c>
      <c r="I347" s="6">
        <f t="shared" si="16"/>
        <v>38415.336363636357</v>
      </c>
      <c r="J347" s="47">
        <f t="shared" si="17"/>
        <v>38415.336363636357</v>
      </c>
      <c r="L347" s="44"/>
      <c r="M347" s="44"/>
      <c r="N347" s="44"/>
      <c r="O347" s="44"/>
      <c r="P347" s="44"/>
      <c r="Q347" s="44"/>
      <c r="R347" s="44"/>
      <c r="S347" s="44"/>
    </row>
    <row r="348" spans="1:19" ht="14.1" customHeight="1">
      <c r="A348" s="27" t="s">
        <v>3842</v>
      </c>
      <c r="B348" s="27" t="s">
        <v>176</v>
      </c>
      <c r="C348" s="27" t="s">
        <v>262</v>
      </c>
      <c r="D348" s="27" t="s">
        <v>172</v>
      </c>
      <c r="E348" s="28">
        <v>18539.28</v>
      </c>
      <c r="F348" s="27" t="s">
        <v>4074</v>
      </c>
      <c r="G348" s="48"/>
      <c r="H348" s="47" t="str">
        <f t="shared" si="15"/>
        <v>ANDINA</v>
      </c>
      <c r="I348" s="6">
        <f t="shared" si="16"/>
        <v>18539.28</v>
      </c>
      <c r="J348" s="47">
        <f t="shared" si="17"/>
        <v>18539.28</v>
      </c>
      <c r="L348" s="44"/>
      <c r="M348" s="44"/>
      <c r="N348" s="44"/>
      <c r="O348" s="44"/>
      <c r="P348" s="44"/>
      <c r="Q348" s="44"/>
      <c r="R348" s="44"/>
      <c r="S348" s="44"/>
    </row>
    <row r="349" spans="1:19" ht="14.1" customHeight="1">
      <c r="A349" s="27" t="s">
        <v>3842</v>
      </c>
      <c r="B349" s="27" t="s">
        <v>176</v>
      </c>
      <c r="C349" s="27" t="s">
        <v>253</v>
      </c>
      <c r="D349" s="27" t="s">
        <v>172</v>
      </c>
      <c r="E349" s="28">
        <v>20036.36</v>
      </c>
      <c r="F349" s="27" t="s">
        <v>4074</v>
      </c>
      <c r="G349" s="48"/>
      <c r="H349" s="47" t="str">
        <f t="shared" si="15"/>
        <v>ANDINA</v>
      </c>
      <c r="I349" s="6">
        <f t="shared" si="16"/>
        <v>20036.36</v>
      </c>
      <c r="J349" s="47">
        <f t="shared" si="17"/>
        <v>20036.36</v>
      </c>
      <c r="L349" s="44"/>
      <c r="M349" s="44"/>
      <c r="N349" s="44"/>
      <c r="O349" s="44"/>
      <c r="P349" s="44"/>
      <c r="Q349" s="44"/>
      <c r="R349" s="44"/>
      <c r="S349" s="44"/>
    </row>
    <row r="350" spans="1:19" ht="14.1" customHeight="1">
      <c r="A350" s="27" t="s">
        <v>3842</v>
      </c>
      <c r="B350" s="27" t="s">
        <v>176</v>
      </c>
      <c r="C350" s="27" t="s">
        <v>177</v>
      </c>
      <c r="D350" s="27" t="s">
        <v>172</v>
      </c>
      <c r="E350" s="28">
        <v>19729.57</v>
      </c>
      <c r="F350" s="27" t="s">
        <v>4074</v>
      </c>
      <c r="G350" s="48"/>
      <c r="H350" s="47" t="str">
        <f t="shared" si="15"/>
        <v>ANDINA</v>
      </c>
      <c r="I350" s="6">
        <f t="shared" si="16"/>
        <v>19729.57</v>
      </c>
      <c r="J350" s="47">
        <f t="shared" si="17"/>
        <v>19729.57</v>
      </c>
      <c r="L350" s="44"/>
      <c r="M350" s="44"/>
      <c r="N350" s="44"/>
      <c r="O350" s="44"/>
      <c r="P350" s="44"/>
      <c r="Q350" s="44"/>
      <c r="R350" s="44"/>
      <c r="S350" s="44"/>
    </row>
    <row r="351" spans="1:19" ht="14.1" customHeight="1">
      <c r="A351" s="27" t="s">
        <v>3842</v>
      </c>
      <c r="B351" s="27" t="s">
        <v>176</v>
      </c>
      <c r="C351" s="27" t="s">
        <v>231</v>
      </c>
      <c r="D351" s="27" t="s">
        <v>172</v>
      </c>
      <c r="E351" s="28">
        <v>21813.759999999998</v>
      </c>
      <c r="F351" s="27" t="s">
        <v>4074</v>
      </c>
      <c r="G351" s="48"/>
      <c r="H351" s="47" t="str">
        <f t="shared" si="15"/>
        <v>ANDINA</v>
      </c>
      <c r="I351" s="6">
        <f t="shared" si="16"/>
        <v>21813.759999999998</v>
      </c>
      <c r="J351" s="47">
        <f t="shared" si="17"/>
        <v>21813.759999999998</v>
      </c>
      <c r="L351" s="44"/>
      <c r="M351" s="44"/>
      <c r="N351" s="44"/>
      <c r="O351" s="44"/>
      <c r="P351" s="44"/>
      <c r="Q351" s="44"/>
      <c r="R351" s="44"/>
      <c r="S351" s="44"/>
    </row>
    <row r="352" spans="1:19" ht="14.1" customHeight="1">
      <c r="A352" s="27" t="s">
        <v>3842</v>
      </c>
      <c r="B352" s="27" t="s">
        <v>180</v>
      </c>
      <c r="C352" s="27" t="s">
        <v>181</v>
      </c>
      <c r="D352" s="27" t="s">
        <v>172</v>
      </c>
      <c r="E352" s="28">
        <v>37950</v>
      </c>
      <c r="F352" s="27" t="s">
        <v>4074</v>
      </c>
      <c r="G352" s="48"/>
      <c r="H352" s="47" t="str">
        <f t="shared" si="15"/>
        <v>ANDINA</v>
      </c>
      <c r="I352" s="6">
        <f t="shared" si="16"/>
        <v>37950</v>
      </c>
      <c r="J352" s="47">
        <f t="shared" si="17"/>
        <v>37950</v>
      </c>
      <c r="L352" s="44"/>
      <c r="M352" s="44"/>
      <c r="N352" s="44"/>
      <c r="O352" s="44"/>
      <c r="P352" s="44"/>
      <c r="Q352" s="44"/>
      <c r="R352" s="44"/>
      <c r="S352" s="44"/>
    </row>
    <row r="353" spans="1:19" ht="14.1" customHeight="1">
      <c r="A353" s="27" t="s">
        <v>3842</v>
      </c>
      <c r="B353" s="27" t="s">
        <v>180</v>
      </c>
      <c r="C353" s="27" t="s">
        <v>263</v>
      </c>
      <c r="D353" s="27" t="s">
        <v>172</v>
      </c>
      <c r="E353" s="28">
        <v>196626.16</v>
      </c>
      <c r="F353" s="27" t="s">
        <v>4074</v>
      </c>
      <c r="G353" s="48"/>
      <c r="H353" s="47" t="str">
        <f t="shared" si="15"/>
        <v>ANDINA</v>
      </c>
      <c r="I353" s="6">
        <f t="shared" si="16"/>
        <v>196626.16</v>
      </c>
      <c r="J353" s="47">
        <f t="shared" si="17"/>
        <v>196626.16</v>
      </c>
      <c r="L353" s="44"/>
      <c r="M353" s="44"/>
      <c r="N353" s="44"/>
      <c r="O353" s="44"/>
      <c r="P353" s="44"/>
      <c r="Q353" s="44"/>
      <c r="R353" s="44"/>
      <c r="S353" s="44"/>
    </row>
    <row r="354" spans="1:19" ht="14.1" customHeight="1">
      <c r="A354" s="27" t="s">
        <v>3842</v>
      </c>
      <c r="B354" s="27" t="s">
        <v>180</v>
      </c>
      <c r="C354" s="27" t="s">
        <v>277</v>
      </c>
      <c r="D354" s="27" t="s">
        <v>172</v>
      </c>
      <c r="E354" s="28">
        <v>90797.59</v>
      </c>
      <c r="F354" s="27" t="s">
        <v>4074</v>
      </c>
      <c r="G354" s="48"/>
      <c r="H354" s="47" t="str">
        <f t="shared" si="15"/>
        <v>ANDINA</v>
      </c>
      <c r="I354" s="6">
        <f t="shared" si="16"/>
        <v>90797.59</v>
      </c>
      <c r="J354" s="47">
        <f t="shared" si="17"/>
        <v>90797.59</v>
      </c>
      <c r="L354" s="44"/>
      <c r="M354" s="44"/>
      <c r="N354" s="44"/>
      <c r="O354" s="44"/>
      <c r="P354" s="44"/>
      <c r="Q354" s="44"/>
      <c r="R354" s="44"/>
      <c r="S354" s="44"/>
    </row>
    <row r="355" spans="1:19" ht="14.1" customHeight="1">
      <c r="A355" s="27" t="s">
        <v>3842</v>
      </c>
      <c r="B355" s="27" t="s">
        <v>180</v>
      </c>
      <c r="C355" s="27" t="s">
        <v>300</v>
      </c>
      <c r="D355" s="27" t="s">
        <v>172</v>
      </c>
      <c r="E355" s="28">
        <v>78013.89</v>
      </c>
      <c r="F355" s="27" t="s">
        <v>4074</v>
      </c>
      <c r="G355" s="48"/>
      <c r="H355" s="47" t="str">
        <f t="shared" si="15"/>
        <v>ANDINA</v>
      </c>
      <c r="I355" s="6">
        <f t="shared" si="16"/>
        <v>78013.89</v>
      </c>
      <c r="J355" s="47">
        <f t="shared" si="17"/>
        <v>78013.89</v>
      </c>
      <c r="L355" s="44"/>
      <c r="M355" s="44"/>
      <c r="N355" s="44"/>
      <c r="O355" s="44"/>
      <c r="P355" s="44"/>
      <c r="Q355" s="44"/>
      <c r="R355" s="44"/>
      <c r="S355" s="44"/>
    </row>
    <row r="356" spans="1:19" ht="14.1" customHeight="1">
      <c r="A356" s="27" t="s">
        <v>3842</v>
      </c>
      <c r="B356" s="27" t="s">
        <v>180</v>
      </c>
      <c r="C356" s="27" t="s">
        <v>242</v>
      </c>
      <c r="D356" s="27" t="s">
        <v>172</v>
      </c>
      <c r="E356" s="28">
        <v>30429.38</v>
      </c>
      <c r="F356" s="27" t="s">
        <v>4074</v>
      </c>
      <c r="G356" s="48"/>
      <c r="H356" s="47" t="str">
        <f t="shared" si="15"/>
        <v>ANDINA</v>
      </c>
      <c r="I356" s="6">
        <f t="shared" si="16"/>
        <v>30429.38</v>
      </c>
      <c r="J356" s="47">
        <f t="shared" si="17"/>
        <v>30429.38</v>
      </c>
      <c r="L356" s="44"/>
      <c r="M356" s="44"/>
      <c r="N356" s="44"/>
      <c r="O356" s="44"/>
      <c r="P356" s="44"/>
      <c r="Q356" s="44"/>
      <c r="R356" s="44"/>
      <c r="S356" s="44"/>
    </row>
    <row r="357" spans="1:19" ht="14.1" customHeight="1">
      <c r="A357" s="27" t="s">
        <v>3842</v>
      </c>
      <c r="B357" s="27" t="s">
        <v>180</v>
      </c>
      <c r="C357" s="27" t="s">
        <v>254</v>
      </c>
      <c r="D357" s="27" t="s">
        <v>172</v>
      </c>
      <c r="E357" s="28">
        <v>145466.98000000001</v>
      </c>
      <c r="F357" s="27" t="s">
        <v>4074</v>
      </c>
      <c r="G357" s="48"/>
      <c r="H357" s="47" t="str">
        <f t="shared" si="15"/>
        <v>ANDINA</v>
      </c>
      <c r="I357" s="6">
        <f t="shared" si="16"/>
        <v>145466.98000000001</v>
      </c>
      <c r="J357" s="47">
        <f t="shared" si="17"/>
        <v>145466.98000000001</v>
      </c>
      <c r="L357" s="44"/>
      <c r="M357" s="44"/>
      <c r="N357" s="44"/>
      <c r="O357" s="44"/>
      <c r="P357" s="44"/>
      <c r="Q357" s="44"/>
      <c r="R357" s="44"/>
      <c r="S357" s="44"/>
    </row>
    <row r="358" spans="1:19" ht="14.1" customHeight="1">
      <c r="A358" s="27" t="s">
        <v>3842</v>
      </c>
      <c r="B358" s="27" t="s">
        <v>180</v>
      </c>
      <c r="C358" s="27" t="s">
        <v>305</v>
      </c>
      <c r="D358" s="27" t="s">
        <v>172</v>
      </c>
      <c r="E358" s="28">
        <v>70456.87</v>
      </c>
      <c r="F358" s="27" t="s">
        <v>4074</v>
      </c>
      <c r="G358" s="48"/>
      <c r="H358" s="47" t="str">
        <f t="shared" si="15"/>
        <v>ANDINA</v>
      </c>
      <c r="I358" s="6">
        <f t="shared" si="16"/>
        <v>70456.87</v>
      </c>
      <c r="J358" s="47">
        <f t="shared" si="17"/>
        <v>70456.87</v>
      </c>
      <c r="L358" s="44"/>
      <c r="M358" s="44"/>
      <c r="N358" s="44"/>
      <c r="O358" s="44"/>
      <c r="P358" s="44"/>
      <c r="Q358" s="44"/>
      <c r="R358" s="44"/>
      <c r="S358" s="44"/>
    </row>
    <row r="359" spans="1:19" ht="14.1" customHeight="1">
      <c r="A359" s="27" t="s">
        <v>3842</v>
      </c>
      <c r="B359" s="27" t="s">
        <v>180</v>
      </c>
      <c r="C359" s="27" t="s">
        <v>297</v>
      </c>
      <c r="D359" s="27" t="s">
        <v>172</v>
      </c>
      <c r="E359" s="28">
        <v>159286.81</v>
      </c>
      <c r="F359" s="27" t="s">
        <v>4074</v>
      </c>
      <c r="G359" s="48"/>
      <c r="H359" s="47" t="str">
        <f t="shared" si="15"/>
        <v>ANDINA</v>
      </c>
      <c r="I359" s="6">
        <f t="shared" si="16"/>
        <v>159286.81</v>
      </c>
      <c r="J359" s="47">
        <f t="shared" si="17"/>
        <v>159286.81</v>
      </c>
      <c r="L359" s="44"/>
      <c r="M359" s="44"/>
      <c r="N359" s="44"/>
      <c r="O359" s="44"/>
      <c r="P359" s="44"/>
      <c r="Q359" s="44"/>
      <c r="R359" s="44"/>
      <c r="S359" s="44"/>
    </row>
    <row r="360" spans="1:19" ht="14.1" customHeight="1">
      <c r="A360" s="27" t="s">
        <v>3842</v>
      </c>
      <c r="B360" s="27" t="s">
        <v>180</v>
      </c>
      <c r="C360" s="27" t="s">
        <v>314</v>
      </c>
      <c r="D360" s="27" t="s">
        <v>172</v>
      </c>
      <c r="E360" s="28">
        <v>33407</v>
      </c>
      <c r="F360" s="27" t="s">
        <v>4074</v>
      </c>
      <c r="G360" s="48"/>
      <c r="H360" s="47" t="str">
        <f t="shared" si="15"/>
        <v>ANDINA</v>
      </c>
      <c r="I360" s="6">
        <f t="shared" si="16"/>
        <v>33407</v>
      </c>
      <c r="J360" s="47">
        <f t="shared" si="17"/>
        <v>33407</v>
      </c>
      <c r="L360" s="44"/>
      <c r="M360" s="44"/>
      <c r="N360" s="44"/>
      <c r="O360" s="44"/>
      <c r="P360" s="44"/>
      <c r="Q360" s="44"/>
      <c r="R360" s="44"/>
      <c r="S360" s="44"/>
    </row>
    <row r="361" spans="1:19" ht="14.1" customHeight="1">
      <c r="A361" s="27" t="s">
        <v>3842</v>
      </c>
      <c r="B361" s="27" t="s">
        <v>180</v>
      </c>
      <c r="C361" s="27" t="s">
        <v>182</v>
      </c>
      <c r="D361" s="27" t="s">
        <v>172</v>
      </c>
      <c r="E361" s="28">
        <v>144228.57</v>
      </c>
      <c r="F361" s="27" t="s">
        <v>4074</v>
      </c>
      <c r="G361" s="48"/>
      <c r="H361" s="47" t="str">
        <f t="shared" si="15"/>
        <v>ANDINA</v>
      </c>
      <c r="I361" s="6">
        <f t="shared" si="16"/>
        <v>144228.57</v>
      </c>
      <c r="J361" s="47">
        <f t="shared" si="17"/>
        <v>144228.57</v>
      </c>
      <c r="L361" s="44"/>
      <c r="M361" s="44"/>
      <c r="N361" s="44"/>
      <c r="O361" s="44"/>
      <c r="P361" s="44"/>
      <c r="Q361" s="44"/>
      <c r="R361" s="44"/>
      <c r="S361" s="44"/>
    </row>
    <row r="362" spans="1:19" ht="14.1" customHeight="1">
      <c r="A362" s="27" t="s">
        <v>3841</v>
      </c>
      <c r="B362" s="27" t="s">
        <v>4072</v>
      </c>
      <c r="C362" s="27" t="s">
        <v>316</v>
      </c>
      <c r="D362" s="27" t="s">
        <v>172</v>
      </c>
      <c r="E362" s="28">
        <v>46378.17</v>
      </c>
      <c r="F362" s="27" t="s">
        <v>4073</v>
      </c>
      <c r="G362" s="48"/>
      <c r="H362" s="47" t="str">
        <f t="shared" si="15"/>
        <v>CARIBE</v>
      </c>
      <c r="I362" s="6">
        <f t="shared" si="16"/>
        <v>46378.169999999991</v>
      </c>
      <c r="J362" s="47">
        <f t="shared" si="17"/>
        <v>46378.169999999991</v>
      </c>
      <c r="L362" s="46"/>
      <c r="M362" s="46"/>
      <c r="N362" s="46"/>
      <c r="O362" s="46"/>
      <c r="P362" s="46"/>
      <c r="Q362" s="46"/>
      <c r="R362" s="46"/>
      <c r="S362" s="46"/>
    </row>
    <row r="363" spans="1:19" ht="14.1" customHeight="1">
      <c r="A363" s="27" t="s">
        <v>3841</v>
      </c>
      <c r="B363" s="27" t="s">
        <v>137</v>
      </c>
      <c r="C363" s="27" t="s">
        <v>291</v>
      </c>
      <c r="D363" s="27" t="s">
        <v>172</v>
      </c>
      <c r="E363" s="28">
        <v>22086.61</v>
      </c>
      <c r="F363" s="27" t="s">
        <v>4073</v>
      </c>
      <c r="G363" s="48"/>
      <c r="H363" s="47" t="str">
        <f t="shared" si="15"/>
        <v>CARIBE</v>
      </c>
      <c r="I363" s="6">
        <f t="shared" si="16"/>
        <v>22086.61</v>
      </c>
      <c r="J363" s="47">
        <f t="shared" si="17"/>
        <v>22086.61</v>
      </c>
      <c r="L363" s="44"/>
      <c r="M363" s="44"/>
      <c r="N363" s="44"/>
      <c r="O363" s="44"/>
      <c r="P363" s="44"/>
      <c r="Q363" s="44"/>
      <c r="R363" s="44"/>
      <c r="S363" s="44"/>
    </row>
    <row r="364" spans="1:19" ht="14.1" customHeight="1">
      <c r="A364" s="27" t="s">
        <v>3841</v>
      </c>
      <c r="B364" s="27" t="s">
        <v>137</v>
      </c>
      <c r="C364" s="27" t="s">
        <v>243</v>
      </c>
      <c r="D364" s="27" t="s">
        <v>172</v>
      </c>
      <c r="E364" s="28">
        <v>21754.73</v>
      </c>
      <c r="F364" s="27" t="s">
        <v>4073</v>
      </c>
      <c r="G364" s="48"/>
      <c r="H364" s="47" t="str">
        <f t="shared" si="15"/>
        <v>CARIBE</v>
      </c>
      <c r="I364" s="6">
        <f t="shared" si="16"/>
        <v>21754.73</v>
      </c>
      <c r="J364" s="47">
        <f t="shared" si="17"/>
        <v>21754.73</v>
      </c>
      <c r="L364" s="44"/>
      <c r="M364" s="44"/>
      <c r="N364" s="44"/>
      <c r="O364" s="44"/>
      <c r="P364" s="44"/>
      <c r="Q364" s="44"/>
      <c r="R364" s="44"/>
      <c r="S364" s="44"/>
    </row>
    <row r="365" spans="1:19" ht="14.1" customHeight="1">
      <c r="A365" s="27" t="s">
        <v>3841</v>
      </c>
      <c r="B365" s="27" t="s">
        <v>137</v>
      </c>
      <c r="C365" s="27" t="s">
        <v>237</v>
      </c>
      <c r="D365" s="27" t="s">
        <v>172</v>
      </c>
      <c r="E365" s="28">
        <v>29567.39</v>
      </c>
      <c r="F365" s="27" t="s">
        <v>4074</v>
      </c>
      <c r="G365" s="48"/>
      <c r="H365" s="47" t="str">
        <f t="shared" si="15"/>
        <v>CARIBE</v>
      </c>
      <c r="I365" s="6">
        <f t="shared" si="16"/>
        <v>29567.39</v>
      </c>
      <c r="J365" s="47">
        <f t="shared" si="17"/>
        <v>29567.39</v>
      </c>
      <c r="L365" s="44"/>
      <c r="M365" s="44"/>
      <c r="N365" s="44"/>
      <c r="O365" s="44"/>
      <c r="P365" s="44"/>
      <c r="Q365" s="44"/>
      <c r="R365" s="44"/>
      <c r="S365" s="44"/>
    </row>
    <row r="366" spans="1:19" ht="14.1" customHeight="1">
      <c r="A366" s="27" t="s">
        <v>3841</v>
      </c>
      <c r="B366" s="27" t="s">
        <v>137</v>
      </c>
      <c r="C366" s="27" t="s">
        <v>246</v>
      </c>
      <c r="D366" s="27" t="s">
        <v>172</v>
      </c>
      <c r="E366" s="28">
        <v>65250.53</v>
      </c>
      <c r="F366" s="27" t="s">
        <v>4073</v>
      </c>
      <c r="G366" s="48"/>
      <c r="H366" s="47" t="str">
        <f t="shared" si="15"/>
        <v>CARIBE</v>
      </c>
      <c r="I366" s="6">
        <f t="shared" si="16"/>
        <v>65250.530000000006</v>
      </c>
      <c r="J366" s="47">
        <f t="shared" si="17"/>
        <v>65250.530000000006</v>
      </c>
      <c r="L366" s="44"/>
      <c r="M366" s="44"/>
      <c r="N366" s="44"/>
      <c r="O366" s="44"/>
      <c r="P366" s="44"/>
      <c r="Q366" s="44"/>
      <c r="R366" s="44"/>
      <c r="S366" s="44"/>
    </row>
    <row r="367" spans="1:19" ht="14.1" customHeight="1">
      <c r="A367" s="27" t="s">
        <v>3841</v>
      </c>
      <c r="B367" s="27" t="s">
        <v>170</v>
      </c>
      <c r="C367" s="27" t="s">
        <v>259</v>
      </c>
      <c r="D367" s="27" t="s">
        <v>172</v>
      </c>
      <c r="E367" s="28">
        <v>283758.28999999998</v>
      </c>
      <c r="F367" s="27" t="s">
        <v>4073</v>
      </c>
      <c r="G367" s="48"/>
      <c r="H367" s="47" t="str">
        <f t="shared" si="15"/>
        <v>CARIBE</v>
      </c>
      <c r="I367" s="6">
        <f t="shared" si="16"/>
        <v>287765.70500000002</v>
      </c>
      <c r="J367" s="47">
        <f t="shared" si="17"/>
        <v>287765.70500000002</v>
      </c>
      <c r="L367" s="44"/>
      <c r="M367" s="44"/>
      <c r="N367" s="44"/>
      <c r="O367" s="44"/>
      <c r="P367" s="44"/>
      <c r="Q367" s="44"/>
      <c r="R367" s="44"/>
      <c r="S367" s="44"/>
    </row>
    <row r="368" spans="1:19" ht="14.1" customHeight="1">
      <c r="A368" s="27" t="s">
        <v>3841</v>
      </c>
      <c r="B368" s="27" t="s">
        <v>170</v>
      </c>
      <c r="C368" s="27" t="s">
        <v>276</v>
      </c>
      <c r="D368" s="27" t="s">
        <v>172</v>
      </c>
      <c r="E368" s="28">
        <v>83726.98</v>
      </c>
      <c r="F368" s="27" t="s">
        <v>4073</v>
      </c>
      <c r="G368" s="48"/>
      <c r="H368" s="47" t="str">
        <f t="shared" si="15"/>
        <v>CARIBE</v>
      </c>
      <c r="I368" s="6">
        <f t="shared" si="16"/>
        <v>83726.98</v>
      </c>
      <c r="J368" s="47">
        <f t="shared" si="17"/>
        <v>83726.98</v>
      </c>
      <c r="L368" s="44"/>
      <c r="M368" s="44"/>
      <c r="N368" s="44"/>
      <c r="O368" s="44"/>
      <c r="P368" s="44"/>
      <c r="Q368" s="44"/>
      <c r="R368" s="44"/>
      <c r="S368" s="44"/>
    </row>
    <row r="369" spans="1:19" ht="14.1" customHeight="1">
      <c r="A369" s="27" t="s">
        <v>3841</v>
      </c>
      <c r="B369" s="27" t="s">
        <v>170</v>
      </c>
      <c r="C369" s="27" t="s">
        <v>240</v>
      </c>
      <c r="D369" s="27" t="s">
        <v>172</v>
      </c>
      <c r="E369" s="28">
        <v>23574.34</v>
      </c>
      <c r="F369" s="27" t="s">
        <v>4073</v>
      </c>
      <c r="G369" s="48"/>
      <c r="H369" s="47" t="str">
        <f t="shared" si="15"/>
        <v>CARIBE</v>
      </c>
      <c r="I369" s="6">
        <f t="shared" si="16"/>
        <v>23574.34</v>
      </c>
      <c r="J369" s="47">
        <f t="shared" si="17"/>
        <v>23574.34</v>
      </c>
      <c r="L369" s="44"/>
      <c r="M369" s="44"/>
      <c r="N369" s="44"/>
      <c r="O369" s="44"/>
      <c r="P369" s="44"/>
      <c r="Q369" s="44"/>
      <c r="R369" s="44"/>
      <c r="S369" s="44"/>
    </row>
    <row r="370" spans="1:19" ht="14.1" customHeight="1">
      <c r="A370" s="27" t="s">
        <v>3841</v>
      </c>
      <c r="B370" s="27" t="s">
        <v>170</v>
      </c>
      <c r="C370" s="27" t="s">
        <v>251</v>
      </c>
      <c r="D370" s="27" t="s">
        <v>226</v>
      </c>
      <c r="E370" s="28">
        <v>61445.54</v>
      </c>
      <c r="F370" s="27" t="s">
        <v>4073</v>
      </c>
      <c r="G370" s="48"/>
      <c r="H370" s="47" t="str">
        <f t="shared" si="15"/>
        <v>CARIBE</v>
      </c>
      <c r="I370" s="6">
        <f t="shared" si="16"/>
        <v>61445.54</v>
      </c>
      <c r="J370" s="47">
        <f t="shared" si="17"/>
        <v>61445.54</v>
      </c>
      <c r="L370" s="44"/>
      <c r="M370" s="44"/>
      <c r="N370" s="44"/>
      <c r="O370" s="44"/>
      <c r="P370" s="44"/>
      <c r="Q370" s="44"/>
      <c r="R370" s="44"/>
      <c r="S370" s="44"/>
    </row>
    <row r="371" spans="1:19" ht="14.1" customHeight="1">
      <c r="A371" s="27" t="s">
        <v>3841</v>
      </c>
      <c r="B371" s="27" t="s">
        <v>170</v>
      </c>
      <c r="C371" s="27" t="s">
        <v>256</v>
      </c>
      <c r="D371" s="27" t="s">
        <v>172</v>
      </c>
      <c r="E371" s="28">
        <v>35614.31</v>
      </c>
      <c r="F371" s="27" t="s">
        <v>4074</v>
      </c>
      <c r="G371" s="48"/>
      <c r="H371" s="47" t="str">
        <f t="shared" si="15"/>
        <v>CARIBE</v>
      </c>
      <c r="I371" s="6">
        <f t="shared" si="16"/>
        <v>35614.31</v>
      </c>
      <c r="J371" s="47">
        <f t="shared" si="17"/>
        <v>35614.31</v>
      </c>
      <c r="L371" s="44"/>
      <c r="M371" s="44"/>
      <c r="N371" s="44"/>
      <c r="O371" s="44"/>
      <c r="P371" s="44"/>
      <c r="Q371" s="44"/>
      <c r="R371" s="44"/>
      <c r="S371" s="44"/>
    </row>
    <row r="372" spans="1:19" ht="14.1" customHeight="1">
      <c r="A372" s="27" t="s">
        <v>3841</v>
      </c>
      <c r="B372" s="27" t="s">
        <v>170</v>
      </c>
      <c r="C372" s="27" t="s">
        <v>311</v>
      </c>
      <c r="D372" s="27" t="s">
        <v>172</v>
      </c>
      <c r="E372" s="28">
        <v>40598.93</v>
      </c>
      <c r="F372" s="27" t="s">
        <v>4073</v>
      </c>
      <c r="G372" s="48"/>
      <c r="H372" s="47" t="str">
        <f t="shared" si="15"/>
        <v>CARIBE</v>
      </c>
      <c r="I372" s="6">
        <f t="shared" si="16"/>
        <v>40799.10833333333</v>
      </c>
      <c r="J372" s="47">
        <f t="shared" si="17"/>
        <v>40799.10833333333</v>
      </c>
      <c r="L372" s="44"/>
      <c r="M372" s="44"/>
      <c r="N372" s="44"/>
      <c r="O372" s="44"/>
      <c r="P372" s="44"/>
      <c r="Q372" s="44"/>
      <c r="R372" s="44"/>
      <c r="S372" s="44"/>
    </row>
    <row r="373" spans="1:19" ht="14.1" customHeight="1">
      <c r="A373" s="27" t="s">
        <v>3841</v>
      </c>
      <c r="B373" s="27" t="s">
        <v>170</v>
      </c>
      <c r="C373" s="27" t="s">
        <v>171</v>
      </c>
      <c r="D373" s="27" t="s">
        <v>172</v>
      </c>
      <c r="E373" s="28">
        <v>115879.72</v>
      </c>
      <c r="F373" s="27" t="s">
        <v>4073</v>
      </c>
      <c r="G373" s="48"/>
      <c r="H373" s="47" t="str">
        <f t="shared" si="15"/>
        <v>CARIBE</v>
      </c>
      <c r="I373" s="6">
        <f t="shared" si="16"/>
        <v>115879.71999999999</v>
      </c>
      <c r="J373" s="47">
        <f t="shared" si="17"/>
        <v>115879.71999999999</v>
      </c>
      <c r="L373" s="44"/>
      <c r="M373" s="44"/>
      <c r="N373" s="44"/>
      <c r="O373" s="44"/>
      <c r="P373" s="44"/>
      <c r="Q373" s="44"/>
      <c r="R373" s="44"/>
      <c r="S373" s="44"/>
    </row>
    <row r="374" spans="1:19" ht="14.1" customHeight="1">
      <c r="A374" s="27" t="s">
        <v>3841</v>
      </c>
      <c r="B374" s="27" t="s">
        <v>170</v>
      </c>
      <c r="C374" s="27" t="s">
        <v>252</v>
      </c>
      <c r="D374" s="27" t="s">
        <v>226</v>
      </c>
      <c r="E374" s="28">
        <v>21867.29</v>
      </c>
      <c r="F374" s="27" t="s">
        <v>4073</v>
      </c>
      <c r="G374" s="48"/>
      <c r="H374" s="47" t="str">
        <f t="shared" si="15"/>
        <v>CARIBE</v>
      </c>
      <c r="I374" s="6">
        <f t="shared" si="16"/>
        <v>21867.290000000005</v>
      </c>
      <c r="J374" s="47">
        <f t="shared" si="17"/>
        <v>21867.290000000005</v>
      </c>
      <c r="L374" s="44"/>
      <c r="M374" s="44"/>
      <c r="N374" s="44"/>
      <c r="O374" s="44"/>
      <c r="P374" s="44"/>
      <c r="Q374" s="44"/>
      <c r="R374" s="44"/>
      <c r="S374" s="44"/>
    </row>
    <row r="375" spans="1:19" ht="14.1" customHeight="1">
      <c r="A375" s="27" t="s">
        <v>3841</v>
      </c>
      <c r="B375" s="27" t="s">
        <v>170</v>
      </c>
      <c r="C375" s="27" t="s">
        <v>296</v>
      </c>
      <c r="D375" s="27" t="s">
        <v>226</v>
      </c>
      <c r="E375" s="28">
        <v>23167.62</v>
      </c>
      <c r="F375" s="27" t="s">
        <v>4073</v>
      </c>
      <c r="G375" s="48"/>
      <c r="H375" s="47" t="str">
        <f t="shared" si="15"/>
        <v>CARIBE</v>
      </c>
      <c r="I375" s="6">
        <f t="shared" si="16"/>
        <v>23167.62</v>
      </c>
      <c r="J375" s="47">
        <f t="shared" si="17"/>
        <v>23167.62</v>
      </c>
      <c r="L375" s="44"/>
      <c r="M375" s="44"/>
      <c r="N375" s="44"/>
      <c r="O375" s="44"/>
      <c r="P375" s="44"/>
      <c r="Q375" s="44"/>
      <c r="R375" s="44"/>
      <c r="S375" s="44"/>
    </row>
    <row r="376" spans="1:19" ht="14.1" customHeight="1">
      <c r="A376" s="27" t="s">
        <v>3841</v>
      </c>
      <c r="B376" s="27" t="s">
        <v>170</v>
      </c>
      <c r="C376" s="27" t="s">
        <v>173</v>
      </c>
      <c r="D376" s="27" t="s">
        <v>172</v>
      </c>
      <c r="E376" s="28">
        <v>166500</v>
      </c>
      <c r="F376" s="27" t="s">
        <v>4074</v>
      </c>
      <c r="G376" s="48"/>
      <c r="H376" s="47" t="str">
        <f t="shared" si="15"/>
        <v>CARIBE</v>
      </c>
      <c r="I376" s="6">
        <f t="shared" si="16"/>
        <v>166500</v>
      </c>
      <c r="J376" s="47">
        <f t="shared" si="17"/>
        <v>166500</v>
      </c>
      <c r="L376" s="44"/>
      <c r="M376" s="44"/>
      <c r="N376" s="44"/>
      <c r="O376" s="44"/>
      <c r="P376" s="44"/>
      <c r="Q376" s="44"/>
      <c r="R376" s="44"/>
      <c r="S376" s="44"/>
    </row>
    <row r="377" spans="1:19" ht="14.1" customHeight="1">
      <c r="A377" s="27" t="s">
        <v>3841</v>
      </c>
      <c r="B377" s="27" t="s">
        <v>170</v>
      </c>
      <c r="C377" s="27" t="s">
        <v>225</v>
      </c>
      <c r="D377" s="27" t="s">
        <v>226</v>
      </c>
      <c r="E377" s="28">
        <v>37977.24</v>
      </c>
      <c r="F377" s="27" t="s">
        <v>4073</v>
      </c>
      <c r="G377" s="48"/>
      <c r="H377" s="47" t="str">
        <f t="shared" si="15"/>
        <v>CARIBE</v>
      </c>
      <c r="I377" s="6">
        <f t="shared" si="16"/>
        <v>37977.24</v>
      </c>
      <c r="J377" s="47">
        <f t="shared" si="17"/>
        <v>37977.24</v>
      </c>
      <c r="L377" s="44"/>
      <c r="M377" s="44"/>
      <c r="N377" s="44"/>
      <c r="O377" s="44"/>
      <c r="P377" s="44"/>
      <c r="Q377" s="44"/>
      <c r="R377" s="44"/>
      <c r="S377" s="44"/>
    </row>
    <row r="378" spans="1:19" ht="14.1" customHeight="1">
      <c r="A378" s="27" t="s">
        <v>3841</v>
      </c>
      <c r="B378" s="27" t="s">
        <v>176</v>
      </c>
      <c r="C378" s="27" t="s">
        <v>262</v>
      </c>
      <c r="D378" s="27" t="s">
        <v>172</v>
      </c>
      <c r="E378" s="28">
        <v>17852.490000000002</v>
      </c>
      <c r="F378" s="27" t="s">
        <v>4074</v>
      </c>
      <c r="G378" s="48"/>
      <c r="H378" s="47" t="str">
        <f t="shared" si="15"/>
        <v>CARIBE</v>
      </c>
      <c r="I378" s="6">
        <f t="shared" si="16"/>
        <v>17852.490000000002</v>
      </c>
      <c r="J378" s="47">
        <f t="shared" si="17"/>
        <v>17852.490000000002</v>
      </c>
      <c r="L378" s="44"/>
      <c r="M378" s="44"/>
      <c r="N378" s="44"/>
      <c r="O378" s="44"/>
      <c r="P378" s="44"/>
      <c r="Q378" s="44"/>
      <c r="R378" s="44"/>
      <c r="S378" s="44"/>
    </row>
    <row r="379" spans="1:19" ht="14.1" customHeight="1">
      <c r="A379" s="27" t="s">
        <v>3841</v>
      </c>
      <c r="B379" s="27" t="s">
        <v>176</v>
      </c>
      <c r="C379" s="27" t="s">
        <v>253</v>
      </c>
      <c r="D379" s="27" t="s">
        <v>172</v>
      </c>
      <c r="E379" s="28">
        <v>24023.33</v>
      </c>
      <c r="F379" s="27" t="s">
        <v>4073</v>
      </c>
      <c r="G379" s="48"/>
      <c r="H379" s="47" t="str">
        <f t="shared" si="15"/>
        <v>CARIBE</v>
      </c>
      <c r="I379" s="6">
        <f t="shared" si="16"/>
        <v>25552.775000000005</v>
      </c>
      <c r="J379" s="47">
        <f t="shared" si="17"/>
        <v>25552.775000000005</v>
      </c>
      <c r="L379" s="44"/>
      <c r="M379" s="44"/>
      <c r="N379" s="44"/>
      <c r="O379" s="44"/>
      <c r="P379" s="44"/>
      <c r="Q379" s="44"/>
      <c r="R379" s="44"/>
      <c r="S379" s="44"/>
    </row>
    <row r="380" spans="1:19" ht="14.1" customHeight="1">
      <c r="A380" s="27" t="s">
        <v>3841</v>
      </c>
      <c r="B380" s="27" t="s">
        <v>176</v>
      </c>
      <c r="C380" s="27" t="s">
        <v>177</v>
      </c>
      <c r="D380" s="27" t="s">
        <v>172</v>
      </c>
      <c r="E380" s="28">
        <v>19940.330000000002</v>
      </c>
      <c r="F380" s="27" t="s">
        <v>4074</v>
      </c>
      <c r="G380" s="48"/>
      <c r="H380" s="47" t="str">
        <f t="shared" si="15"/>
        <v>CARIBE</v>
      </c>
      <c r="I380" s="6">
        <f t="shared" si="16"/>
        <v>19940.330000000002</v>
      </c>
      <c r="J380" s="47">
        <f t="shared" si="17"/>
        <v>19940.330000000002</v>
      </c>
      <c r="L380" s="44"/>
      <c r="M380" s="44"/>
      <c r="N380" s="44"/>
      <c r="O380" s="44"/>
      <c r="P380" s="44"/>
      <c r="Q380" s="44"/>
      <c r="R380" s="44"/>
      <c r="S380" s="44"/>
    </row>
    <row r="381" spans="1:19" ht="14.1" customHeight="1">
      <c r="A381" s="27" t="s">
        <v>3841</v>
      </c>
      <c r="B381" s="27" t="s">
        <v>176</v>
      </c>
      <c r="C381" s="27" t="s">
        <v>231</v>
      </c>
      <c r="D381" s="27" t="s">
        <v>172</v>
      </c>
      <c r="E381" s="28">
        <v>21587.73</v>
      </c>
      <c r="F381" s="27" t="s">
        <v>4074</v>
      </c>
      <c r="G381" s="48"/>
      <c r="H381" s="47" t="str">
        <f t="shared" si="15"/>
        <v>CARIBE</v>
      </c>
      <c r="I381" s="6">
        <f t="shared" si="16"/>
        <v>21587.73</v>
      </c>
      <c r="J381" s="47">
        <f t="shared" si="17"/>
        <v>21587.73</v>
      </c>
      <c r="L381" s="44"/>
      <c r="M381" s="44"/>
      <c r="N381" s="44"/>
      <c r="O381" s="44"/>
      <c r="P381" s="44"/>
      <c r="Q381" s="44"/>
      <c r="R381" s="44"/>
      <c r="S381" s="44"/>
    </row>
    <row r="382" spans="1:19" ht="14.1" customHeight="1">
      <c r="A382" s="27" t="s">
        <v>3841</v>
      </c>
      <c r="B382" s="27" t="s">
        <v>180</v>
      </c>
      <c r="C382" s="27" t="s">
        <v>181</v>
      </c>
      <c r="D382" s="27" t="s">
        <v>172</v>
      </c>
      <c r="E382" s="28">
        <v>34056.25</v>
      </c>
      <c r="F382" s="27" t="s">
        <v>4073</v>
      </c>
      <c r="G382" s="48"/>
      <c r="H382" s="47" t="str">
        <f t="shared" si="15"/>
        <v>CARIBE</v>
      </c>
      <c r="I382" s="6">
        <f t="shared" si="16"/>
        <v>34056.25</v>
      </c>
      <c r="J382" s="47">
        <f t="shared" si="17"/>
        <v>34056.25</v>
      </c>
      <c r="L382" s="44"/>
      <c r="M382" s="44"/>
      <c r="N382" s="44"/>
      <c r="O382" s="44"/>
      <c r="P382" s="44"/>
      <c r="Q382" s="44"/>
      <c r="R382" s="44"/>
      <c r="S382" s="44"/>
    </row>
    <row r="383" spans="1:19" ht="14.1" customHeight="1">
      <c r="A383" s="27" t="s">
        <v>3841</v>
      </c>
      <c r="B383" s="27" t="s">
        <v>180</v>
      </c>
      <c r="C383" s="27" t="s">
        <v>263</v>
      </c>
      <c r="D383" s="27" t="s">
        <v>172</v>
      </c>
      <c r="E383" s="28">
        <v>199043.33</v>
      </c>
      <c r="F383" s="27" t="s">
        <v>4073</v>
      </c>
      <c r="G383" s="48"/>
      <c r="H383" s="47" t="str">
        <f t="shared" si="15"/>
        <v>CARIBE</v>
      </c>
      <c r="I383" s="6">
        <f t="shared" si="16"/>
        <v>204744.54333333333</v>
      </c>
      <c r="J383" s="47">
        <f t="shared" si="17"/>
        <v>204744.54333333333</v>
      </c>
      <c r="L383" s="44"/>
      <c r="M383" s="44"/>
      <c r="N383" s="44"/>
      <c r="O383" s="44"/>
      <c r="P383" s="44"/>
      <c r="Q383" s="44"/>
      <c r="R383" s="44"/>
      <c r="S383" s="44"/>
    </row>
    <row r="384" spans="1:19" ht="14.1" customHeight="1">
      <c r="A384" s="27" t="s">
        <v>3841</v>
      </c>
      <c r="B384" s="27" t="s">
        <v>180</v>
      </c>
      <c r="C384" s="27" t="s">
        <v>277</v>
      </c>
      <c r="D384" s="27" t="s">
        <v>172</v>
      </c>
      <c r="E384" s="28">
        <v>90689.07</v>
      </c>
      <c r="F384" s="27" t="s">
        <v>4073</v>
      </c>
      <c r="G384" s="48"/>
      <c r="H384" s="47" t="str">
        <f t="shared" si="15"/>
        <v>CARIBE</v>
      </c>
      <c r="I384" s="6">
        <f t="shared" si="16"/>
        <v>90689.07</v>
      </c>
      <c r="J384" s="47">
        <f t="shared" si="17"/>
        <v>90689.07</v>
      </c>
      <c r="L384" s="44"/>
      <c r="M384" s="44"/>
      <c r="N384" s="44"/>
      <c r="O384" s="44"/>
      <c r="P384" s="44"/>
      <c r="Q384" s="44"/>
      <c r="R384" s="44"/>
      <c r="S384" s="44"/>
    </row>
    <row r="385" spans="1:19" ht="14.1" customHeight="1">
      <c r="A385" s="27" t="s">
        <v>3841</v>
      </c>
      <c r="B385" s="27" t="s">
        <v>180</v>
      </c>
      <c r="C385" s="27" t="s">
        <v>300</v>
      </c>
      <c r="D385" s="27" t="s">
        <v>172</v>
      </c>
      <c r="E385" s="28">
        <v>64527.38</v>
      </c>
      <c r="F385" s="27" t="s">
        <v>4074</v>
      </c>
      <c r="G385" s="48"/>
      <c r="H385" s="47" t="str">
        <f t="shared" si="15"/>
        <v>CARIBE</v>
      </c>
      <c r="I385" s="6">
        <f t="shared" si="16"/>
        <v>64527.38</v>
      </c>
      <c r="J385" s="47">
        <f t="shared" si="17"/>
        <v>64527.38</v>
      </c>
      <c r="L385" s="44"/>
      <c r="M385" s="44"/>
      <c r="N385" s="44"/>
      <c r="O385" s="44"/>
      <c r="P385" s="44"/>
      <c r="Q385" s="44"/>
      <c r="R385" s="44"/>
      <c r="S385" s="44"/>
    </row>
    <row r="386" spans="1:19" ht="14.1" customHeight="1">
      <c r="A386" s="27" t="s">
        <v>3841</v>
      </c>
      <c r="B386" s="27" t="s">
        <v>180</v>
      </c>
      <c r="C386" s="27" t="s">
        <v>242</v>
      </c>
      <c r="D386" s="27" t="s">
        <v>172</v>
      </c>
      <c r="E386" s="28">
        <v>28555.48</v>
      </c>
      <c r="F386" s="27" t="s">
        <v>4074</v>
      </c>
      <c r="G386" s="48"/>
      <c r="H386" s="47" t="str">
        <f t="shared" ref="H386:H449" si="18">IF(OR(A386="Antioquia",A386="Bogotá, D.C.",A386="Boyacá",A386="Cundinamarca",A386="Caldas",A386="Risaralda",A386="Quindío",A386="Tolima",A386="Huila",A386="Santander",A386="Norte de Santander"),"ANDINA",
IF(OR(A386="Atlántico",A386="Bolívar",A386="Cesar",A386="Córdoba",A386="Sucre",A386="Magdalena"),"CARIBE",
IF(OR(A386="Valle del Cauca",A386="Cauca",A386="Nariño"),"PACIFICO",
IF(OR(A386="Meta",A386="Casanare",A386="Arauca"),"ORINOQUIA",
"AMAZONIA"))))</f>
        <v>CARIBE</v>
      </c>
      <c r="I386" s="6">
        <f t="shared" ref="I386:I449" si="19">IF(F386="Departamental",E386,
AVERAGEIFS($E:$E,$H:$H,H386,$B:$B,B386,$C:$C,C386))</f>
        <v>28555.48</v>
      </c>
      <c r="J386" s="47">
        <f t="shared" si="17"/>
        <v>28555.48</v>
      </c>
      <c r="L386" s="44"/>
      <c r="M386" s="44"/>
      <c r="N386" s="44"/>
      <c r="O386" s="44"/>
      <c r="P386" s="44"/>
      <c r="Q386" s="44"/>
      <c r="R386" s="44"/>
      <c r="S386" s="44"/>
    </row>
    <row r="387" spans="1:19" ht="14.1" customHeight="1">
      <c r="A387" s="27" t="s">
        <v>3841</v>
      </c>
      <c r="B387" s="27" t="s">
        <v>180</v>
      </c>
      <c r="C387" s="27" t="s">
        <v>254</v>
      </c>
      <c r="D387" s="27" t="s">
        <v>172</v>
      </c>
      <c r="E387" s="28">
        <v>146171.37</v>
      </c>
      <c r="F387" s="27" t="s">
        <v>4073</v>
      </c>
      <c r="G387" s="48"/>
      <c r="H387" s="47" t="str">
        <f t="shared" si="18"/>
        <v>CARIBE</v>
      </c>
      <c r="I387" s="6">
        <f t="shared" si="19"/>
        <v>146171.37</v>
      </c>
      <c r="J387" s="47">
        <f t="shared" ref="J387:J450" si="20">IF(G387&lt;&gt;"",G387,I387)</f>
        <v>146171.37</v>
      </c>
      <c r="L387" s="44"/>
      <c r="M387" s="44"/>
      <c r="N387" s="44"/>
      <c r="O387" s="44"/>
      <c r="P387" s="44"/>
      <c r="Q387" s="44"/>
      <c r="R387" s="44"/>
      <c r="S387" s="44"/>
    </row>
    <row r="388" spans="1:19" ht="14.1" customHeight="1">
      <c r="A388" s="27" t="s">
        <v>3841</v>
      </c>
      <c r="B388" s="27" t="s">
        <v>180</v>
      </c>
      <c r="C388" s="27" t="s">
        <v>305</v>
      </c>
      <c r="D388" s="27" t="s">
        <v>172</v>
      </c>
      <c r="E388" s="28">
        <v>72327.89</v>
      </c>
      <c r="F388" s="27" t="s">
        <v>4073</v>
      </c>
      <c r="G388" s="48"/>
      <c r="H388" s="47" t="str">
        <f t="shared" si="18"/>
        <v>CARIBE</v>
      </c>
      <c r="I388" s="6">
        <f t="shared" si="19"/>
        <v>72653.15833333334</v>
      </c>
      <c r="J388" s="47">
        <f t="shared" si="20"/>
        <v>72653.15833333334</v>
      </c>
      <c r="L388" s="44"/>
      <c r="M388" s="44"/>
      <c r="N388" s="44"/>
      <c r="O388" s="44"/>
      <c r="P388" s="44"/>
      <c r="Q388" s="44"/>
      <c r="R388" s="44"/>
      <c r="S388" s="44"/>
    </row>
    <row r="389" spans="1:19" ht="14.1" customHeight="1">
      <c r="A389" s="27" t="s">
        <v>3841</v>
      </c>
      <c r="B389" s="27" t="s">
        <v>180</v>
      </c>
      <c r="C389" s="27" t="s">
        <v>297</v>
      </c>
      <c r="D389" s="27" t="s">
        <v>172</v>
      </c>
      <c r="E389" s="28">
        <v>149375.29999999999</v>
      </c>
      <c r="F389" s="27" t="s">
        <v>4073</v>
      </c>
      <c r="G389" s="48"/>
      <c r="H389" s="47" t="str">
        <f t="shared" si="18"/>
        <v>CARIBE</v>
      </c>
      <c r="I389" s="6">
        <f t="shared" si="19"/>
        <v>149375.30000000002</v>
      </c>
      <c r="J389" s="47">
        <f t="shared" si="20"/>
        <v>149375.30000000002</v>
      </c>
      <c r="L389" s="44"/>
      <c r="M389" s="44"/>
      <c r="N389" s="44"/>
      <c r="O389" s="44"/>
      <c r="P389" s="44"/>
      <c r="Q389" s="44"/>
      <c r="R389" s="44"/>
      <c r="S389" s="44"/>
    </row>
    <row r="390" spans="1:19" ht="14.1" customHeight="1">
      <c r="A390" s="27" t="s">
        <v>3841</v>
      </c>
      <c r="B390" s="27" t="s">
        <v>180</v>
      </c>
      <c r="C390" s="27" t="s">
        <v>314</v>
      </c>
      <c r="D390" s="27" t="s">
        <v>172</v>
      </c>
      <c r="E390" s="28">
        <v>28103.200000000001</v>
      </c>
      <c r="F390" s="27" t="s">
        <v>4073</v>
      </c>
      <c r="G390" s="48"/>
      <c r="H390" s="47" t="str">
        <f t="shared" si="18"/>
        <v>CARIBE</v>
      </c>
      <c r="I390" s="6">
        <f t="shared" si="19"/>
        <v>28103.200000000001</v>
      </c>
      <c r="J390" s="47">
        <f t="shared" si="20"/>
        <v>28103.200000000001</v>
      </c>
      <c r="L390" s="44"/>
      <c r="M390" s="44"/>
      <c r="N390" s="44"/>
      <c r="O390" s="44"/>
      <c r="P390" s="44"/>
      <c r="Q390" s="44"/>
      <c r="R390" s="44"/>
      <c r="S390" s="44"/>
    </row>
    <row r="391" spans="1:19" ht="14.1" customHeight="1">
      <c r="A391" s="27" t="s">
        <v>3841</v>
      </c>
      <c r="B391" s="27" t="s">
        <v>180</v>
      </c>
      <c r="C391" s="27" t="s">
        <v>182</v>
      </c>
      <c r="D391" s="27" t="s">
        <v>172</v>
      </c>
      <c r="E391" s="28">
        <v>151029.59</v>
      </c>
      <c r="F391" s="27" t="s">
        <v>4073</v>
      </c>
      <c r="G391" s="48"/>
      <c r="H391" s="47" t="str">
        <f t="shared" si="18"/>
        <v>CARIBE</v>
      </c>
      <c r="I391" s="6">
        <f t="shared" si="19"/>
        <v>151029.59</v>
      </c>
      <c r="J391" s="47">
        <f t="shared" si="20"/>
        <v>151029.59</v>
      </c>
      <c r="L391" s="44"/>
      <c r="M391" s="44"/>
      <c r="N391" s="44"/>
      <c r="O391" s="44"/>
      <c r="P391" s="44"/>
      <c r="Q391" s="44"/>
      <c r="R391" s="44"/>
      <c r="S391" s="44"/>
    </row>
    <row r="392" spans="1:19" ht="14.1" customHeight="1">
      <c r="A392" s="27" t="s">
        <v>3843</v>
      </c>
      <c r="B392" s="27" t="s">
        <v>4072</v>
      </c>
      <c r="C392" s="27" t="s">
        <v>316</v>
      </c>
      <c r="D392" s="27" t="s">
        <v>172</v>
      </c>
      <c r="E392" s="28">
        <v>46378.17</v>
      </c>
      <c r="F392" s="27" t="s">
        <v>4073</v>
      </c>
      <c r="G392" s="48"/>
      <c r="H392" s="47" t="str">
        <f t="shared" si="18"/>
        <v>ANDINA</v>
      </c>
      <c r="I392" s="6">
        <f t="shared" si="19"/>
        <v>46393.717272727263</v>
      </c>
      <c r="J392" s="47">
        <f t="shared" si="20"/>
        <v>46393.717272727263</v>
      </c>
      <c r="L392" s="46"/>
      <c r="M392" s="46"/>
      <c r="N392" s="46"/>
      <c r="O392" s="46"/>
      <c r="P392" s="46"/>
      <c r="Q392" s="46"/>
      <c r="R392" s="46"/>
      <c r="S392" s="46"/>
    </row>
    <row r="393" spans="1:19" ht="14.1" customHeight="1">
      <c r="A393" s="27" t="s">
        <v>3843</v>
      </c>
      <c r="B393" s="27" t="s">
        <v>137</v>
      </c>
      <c r="C393" s="27" t="s">
        <v>291</v>
      </c>
      <c r="D393" s="27" t="s">
        <v>172</v>
      </c>
      <c r="E393" s="28">
        <v>22086.61</v>
      </c>
      <c r="F393" s="27" t="s">
        <v>4073</v>
      </c>
      <c r="G393" s="48"/>
      <c r="H393" s="47" t="str">
        <f t="shared" si="18"/>
        <v>ANDINA</v>
      </c>
      <c r="I393" s="6">
        <f t="shared" si="19"/>
        <v>22820.238181818186</v>
      </c>
      <c r="J393" s="47">
        <f t="shared" si="20"/>
        <v>22820.238181818186</v>
      </c>
      <c r="L393" s="44"/>
      <c r="M393" s="44"/>
      <c r="N393" s="44"/>
      <c r="O393" s="44"/>
      <c r="P393" s="44"/>
      <c r="Q393" s="44"/>
      <c r="R393" s="44"/>
      <c r="S393" s="44"/>
    </row>
    <row r="394" spans="1:19" ht="14.1" customHeight="1">
      <c r="A394" s="27" t="s">
        <v>3843</v>
      </c>
      <c r="B394" s="27" t="s">
        <v>137</v>
      </c>
      <c r="C394" s="27" t="s">
        <v>243</v>
      </c>
      <c r="D394" s="27" t="s">
        <v>172</v>
      </c>
      <c r="E394" s="28">
        <v>21754.73</v>
      </c>
      <c r="F394" s="27" t="s">
        <v>4073</v>
      </c>
      <c r="G394" s="48"/>
      <c r="H394" s="47" t="str">
        <f t="shared" si="18"/>
        <v>ANDINA</v>
      </c>
      <c r="I394" s="6">
        <f t="shared" si="19"/>
        <v>21924.077272727274</v>
      </c>
      <c r="J394" s="47">
        <f t="shared" si="20"/>
        <v>21924.077272727274</v>
      </c>
      <c r="L394" s="44"/>
      <c r="M394" s="44"/>
      <c r="N394" s="44"/>
      <c r="O394" s="44"/>
      <c r="P394" s="44"/>
      <c r="Q394" s="44"/>
      <c r="R394" s="44"/>
      <c r="S394" s="44"/>
    </row>
    <row r="395" spans="1:19" ht="14.1" customHeight="1">
      <c r="A395" s="27" t="s">
        <v>3843</v>
      </c>
      <c r="B395" s="27" t="s">
        <v>137</v>
      </c>
      <c r="C395" s="27" t="s">
        <v>237</v>
      </c>
      <c r="D395" s="27" t="s">
        <v>172</v>
      </c>
      <c r="E395" s="28">
        <v>29666.67</v>
      </c>
      <c r="F395" s="27" t="s">
        <v>4074</v>
      </c>
      <c r="G395" s="48"/>
      <c r="H395" s="47" t="str">
        <f t="shared" si="18"/>
        <v>ANDINA</v>
      </c>
      <c r="I395" s="6">
        <f t="shared" si="19"/>
        <v>29666.67</v>
      </c>
      <c r="J395" s="47">
        <f t="shared" si="20"/>
        <v>29666.67</v>
      </c>
      <c r="L395" s="44"/>
      <c r="M395" s="44"/>
      <c r="N395" s="44"/>
      <c r="O395" s="44"/>
      <c r="P395" s="44"/>
      <c r="Q395" s="44"/>
      <c r="R395" s="44"/>
      <c r="S395" s="44"/>
    </row>
    <row r="396" spans="1:19" ht="14.1" customHeight="1">
      <c r="A396" s="27" t="s">
        <v>3843</v>
      </c>
      <c r="B396" s="27" t="s">
        <v>137</v>
      </c>
      <c r="C396" s="27" t="s">
        <v>246</v>
      </c>
      <c r="D396" s="27" t="s">
        <v>172</v>
      </c>
      <c r="E396" s="28">
        <v>65250.53</v>
      </c>
      <c r="F396" s="27" t="s">
        <v>4073</v>
      </c>
      <c r="G396" s="48"/>
      <c r="H396" s="47" t="str">
        <f t="shared" si="18"/>
        <v>ANDINA</v>
      </c>
      <c r="I396" s="6">
        <f t="shared" si="19"/>
        <v>63733.286363636376</v>
      </c>
      <c r="J396" s="47">
        <f t="shared" si="20"/>
        <v>63733.286363636376</v>
      </c>
      <c r="L396" s="44"/>
      <c r="M396" s="44"/>
      <c r="N396" s="44"/>
      <c r="O396" s="44"/>
      <c r="P396" s="44"/>
      <c r="Q396" s="44"/>
      <c r="R396" s="44"/>
      <c r="S396" s="44"/>
    </row>
    <row r="397" spans="1:19" ht="14.1" customHeight="1">
      <c r="A397" s="27" t="s">
        <v>3843</v>
      </c>
      <c r="B397" s="27" t="s">
        <v>170</v>
      </c>
      <c r="C397" s="27" t="s">
        <v>259</v>
      </c>
      <c r="D397" s="27" t="s">
        <v>172</v>
      </c>
      <c r="E397" s="28">
        <v>291356.90999999997</v>
      </c>
      <c r="F397" s="27" t="s">
        <v>4074</v>
      </c>
      <c r="G397" s="48"/>
      <c r="H397" s="47" t="str">
        <f t="shared" si="18"/>
        <v>ANDINA</v>
      </c>
      <c r="I397" s="6">
        <f t="shared" si="19"/>
        <v>291356.90999999997</v>
      </c>
      <c r="J397" s="47">
        <f t="shared" si="20"/>
        <v>291356.90999999997</v>
      </c>
      <c r="L397" s="44"/>
      <c r="M397" s="44"/>
      <c r="N397" s="44"/>
      <c r="O397" s="44"/>
      <c r="P397" s="44"/>
      <c r="Q397" s="44"/>
      <c r="R397" s="44"/>
      <c r="S397" s="44"/>
    </row>
    <row r="398" spans="1:19" ht="14.1" customHeight="1">
      <c r="A398" s="27" t="s">
        <v>3843</v>
      </c>
      <c r="B398" s="27" t="s">
        <v>170</v>
      </c>
      <c r="C398" s="27" t="s">
        <v>276</v>
      </c>
      <c r="D398" s="27" t="s">
        <v>172</v>
      </c>
      <c r="E398" s="28">
        <v>83726.98</v>
      </c>
      <c r="F398" s="27" t="s">
        <v>4073</v>
      </c>
      <c r="G398" s="48"/>
      <c r="H398" s="47" t="str">
        <f t="shared" si="18"/>
        <v>ANDINA</v>
      </c>
      <c r="I398" s="6">
        <f t="shared" si="19"/>
        <v>83734.880909090891</v>
      </c>
      <c r="J398" s="47">
        <f t="shared" si="20"/>
        <v>83734.880909090891</v>
      </c>
      <c r="L398" s="44"/>
      <c r="M398" s="44"/>
      <c r="N398" s="44"/>
      <c r="O398" s="44"/>
      <c r="P398" s="44"/>
      <c r="Q398" s="44"/>
      <c r="R398" s="44"/>
      <c r="S398" s="44"/>
    </row>
    <row r="399" spans="1:19" ht="14.1" customHeight="1">
      <c r="A399" s="27" t="s">
        <v>3843</v>
      </c>
      <c r="B399" s="27" t="s">
        <v>170</v>
      </c>
      <c r="C399" s="27" t="s">
        <v>240</v>
      </c>
      <c r="D399" s="27" t="s">
        <v>172</v>
      </c>
      <c r="E399" s="28">
        <v>25173.61</v>
      </c>
      <c r="F399" s="27" t="s">
        <v>4074</v>
      </c>
      <c r="G399" s="48"/>
      <c r="H399" s="47" t="str">
        <f t="shared" si="18"/>
        <v>ANDINA</v>
      </c>
      <c r="I399" s="6">
        <f t="shared" si="19"/>
        <v>25173.61</v>
      </c>
      <c r="J399" s="47">
        <f t="shared" si="20"/>
        <v>25173.61</v>
      </c>
      <c r="L399" s="44"/>
      <c r="M399" s="44"/>
      <c r="N399" s="44"/>
      <c r="O399" s="44"/>
      <c r="P399" s="44"/>
      <c r="Q399" s="44"/>
      <c r="R399" s="44"/>
      <c r="S399" s="44"/>
    </row>
    <row r="400" spans="1:19" ht="14.1" customHeight="1">
      <c r="A400" s="27" t="s">
        <v>3843</v>
      </c>
      <c r="B400" s="27" t="s">
        <v>170</v>
      </c>
      <c r="C400" s="27" t="s">
        <v>251</v>
      </c>
      <c r="D400" s="27" t="s">
        <v>226</v>
      </c>
      <c r="E400" s="28">
        <v>61445.54</v>
      </c>
      <c r="F400" s="27" t="s">
        <v>4073</v>
      </c>
      <c r="G400" s="48"/>
      <c r="H400" s="47" t="str">
        <f t="shared" si="18"/>
        <v>ANDINA</v>
      </c>
      <c r="I400" s="6">
        <f t="shared" si="19"/>
        <v>61410.171818181821</v>
      </c>
      <c r="J400" s="47">
        <f t="shared" si="20"/>
        <v>61410.171818181821</v>
      </c>
      <c r="L400" s="44"/>
      <c r="M400" s="44"/>
      <c r="N400" s="44"/>
      <c r="O400" s="44"/>
      <c r="P400" s="44"/>
      <c r="Q400" s="44"/>
      <c r="R400" s="44"/>
      <c r="S400" s="44"/>
    </row>
    <row r="401" spans="1:19" ht="14.1" customHeight="1">
      <c r="A401" s="27" t="s">
        <v>3843</v>
      </c>
      <c r="B401" s="27" t="s">
        <v>170</v>
      </c>
      <c r="C401" s="27" t="s">
        <v>256</v>
      </c>
      <c r="D401" s="27" t="s">
        <v>172</v>
      </c>
      <c r="E401" s="28">
        <v>30256.31</v>
      </c>
      <c r="F401" s="27" t="s">
        <v>4074</v>
      </c>
      <c r="G401" s="48"/>
      <c r="H401" s="47" t="str">
        <f t="shared" si="18"/>
        <v>ANDINA</v>
      </c>
      <c r="I401" s="6">
        <f t="shared" si="19"/>
        <v>30256.31</v>
      </c>
      <c r="J401" s="47">
        <f t="shared" si="20"/>
        <v>30256.31</v>
      </c>
      <c r="L401" s="44"/>
      <c r="M401" s="44"/>
      <c r="N401" s="44"/>
      <c r="O401" s="44"/>
      <c r="P401" s="44"/>
      <c r="Q401" s="44"/>
      <c r="R401" s="44"/>
      <c r="S401" s="44"/>
    </row>
    <row r="402" spans="1:19" ht="14.1" customHeight="1">
      <c r="A402" s="27" t="s">
        <v>3843</v>
      </c>
      <c r="B402" s="27" t="s">
        <v>170</v>
      </c>
      <c r="C402" s="27" t="s">
        <v>311</v>
      </c>
      <c r="D402" s="27" t="s">
        <v>172</v>
      </c>
      <c r="E402" s="28">
        <v>42723.27</v>
      </c>
      <c r="F402" s="27" t="s">
        <v>4074</v>
      </c>
      <c r="G402" s="48"/>
      <c r="H402" s="47" t="str">
        <f t="shared" si="18"/>
        <v>ANDINA</v>
      </c>
      <c r="I402" s="6">
        <f t="shared" si="19"/>
        <v>42723.27</v>
      </c>
      <c r="J402" s="47">
        <f t="shared" si="20"/>
        <v>42723.27</v>
      </c>
      <c r="L402" s="44"/>
      <c r="M402" s="44"/>
      <c r="N402" s="44"/>
      <c r="O402" s="44"/>
      <c r="P402" s="44"/>
      <c r="Q402" s="44"/>
      <c r="R402" s="44"/>
      <c r="S402" s="44"/>
    </row>
    <row r="403" spans="1:19" ht="14.1" customHeight="1">
      <c r="A403" s="27" t="s">
        <v>3843</v>
      </c>
      <c r="B403" s="27" t="s">
        <v>170</v>
      </c>
      <c r="C403" s="27" t="s">
        <v>171</v>
      </c>
      <c r="D403" s="27" t="s">
        <v>172</v>
      </c>
      <c r="E403" s="28">
        <v>125072.92</v>
      </c>
      <c r="F403" s="27" t="s">
        <v>4074</v>
      </c>
      <c r="G403" s="48"/>
      <c r="H403" s="47" t="str">
        <f t="shared" si="18"/>
        <v>ANDINA</v>
      </c>
      <c r="I403" s="6">
        <f t="shared" si="19"/>
        <v>125072.92</v>
      </c>
      <c r="J403" s="47">
        <f t="shared" si="20"/>
        <v>125072.92</v>
      </c>
      <c r="L403" s="44"/>
      <c r="M403" s="44"/>
      <c r="N403" s="44"/>
      <c r="O403" s="44"/>
      <c r="P403" s="44"/>
      <c r="Q403" s="44"/>
      <c r="R403" s="44"/>
      <c r="S403" s="44"/>
    </row>
    <row r="404" spans="1:19" ht="14.1" customHeight="1">
      <c r="A404" s="27" t="s">
        <v>3843</v>
      </c>
      <c r="B404" s="27" t="s">
        <v>170</v>
      </c>
      <c r="C404" s="27" t="s">
        <v>252</v>
      </c>
      <c r="D404" s="27" t="s">
        <v>226</v>
      </c>
      <c r="E404" s="28">
        <v>23757.58</v>
      </c>
      <c r="F404" s="27" t="s">
        <v>4074</v>
      </c>
      <c r="G404" s="48"/>
      <c r="H404" s="47" t="str">
        <f t="shared" si="18"/>
        <v>ANDINA</v>
      </c>
      <c r="I404" s="6">
        <f t="shared" si="19"/>
        <v>23757.58</v>
      </c>
      <c r="J404" s="47">
        <f t="shared" si="20"/>
        <v>23757.58</v>
      </c>
      <c r="L404" s="44"/>
      <c r="M404" s="44"/>
      <c r="N404" s="44"/>
      <c r="O404" s="44"/>
      <c r="P404" s="44"/>
      <c r="Q404" s="44"/>
      <c r="R404" s="44"/>
      <c r="S404" s="44"/>
    </row>
    <row r="405" spans="1:19" ht="14.1" customHeight="1">
      <c r="A405" s="27" t="s">
        <v>3843</v>
      </c>
      <c r="B405" s="27" t="s">
        <v>170</v>
      </c>
      <c r="C405" s="27" t="s">
        <v>296</v>
      </c>
      <c r="D405" s="27" t="s">
        <v>226</v>
      </c>
      <c r="E405" s="28">
        <v>24534.720000000001</v>
      </c>
      <c r="F405" s="27" t="s">
        <v>4074</v>
      </c>
      <c r="G405" s="48"/>
      <c r="H405" s="47" t="str">
        <f t="shared" si="18"/>
        <v>ANDINA</v>
      </c>
      <c r="I405" s="6">
        <f t="shared" si="19"/>
        <v>24534.720000000001</v>
      </c>
      <c r="J405" s="47">
        <f t="shared" si="20"/>
        <v>24534.720000000001</v>
      </c>
      <c r="L405" s="44"/>
      <c r="M405" s="44"/>
      <c r="N405" s="44"/>
      <c r="O405" s="44"/>
      <c r="P405" s="44"/>
      <c r="Q405" s="44"/>
      <c r="R405" s="44"/>
      <c r="S405" s="44"/>
    </row>
    <row r="406" spans="1:19" ht="14.1" customHeight="1">
      <c r="A406" s="27" t="s">
        <v>3843</v>
      </c>
      <c r="B406" s="27" t="s">
        <v>170</v>
      </c>
      <c r="C406" s="27" t="s">
        <v>173</v>
      </c>
      <c r="D406" s="27" t="s">
        <v>172</v>
      </c>
      <c r="E406" s="28">
        <v>153417.16</v>
      </c>
      <c r="F406" s="27" t="s">
        <v>4074</v>
      </c>
      <c r="G406" s="48"/>
      <c r="H406" s="47" t="str">
        <f t="shared" si="18"/>
        <v>ANDINA</v>
      </c>
      <c r="I406" s="6">
        <f t="shared" si="19"/>
        <v>153417.16</v>
      </c>
      <c r="J406" s="47">
        <f t="shared" si="20"/>
        <v>153417.16</v>
      </c>
      <c r="L406" s="44"/>
      <c r="M406" s="44"/>
      <c r="N406" s="44"/>
      <c r="O406" s="44"/>
      <c r="P406" s="44"/>
      <c r="Q406" s="44"/>
      <c r="R406" s="44"/>
      <c r="S406" s="44"/>
    </row>
    <row r="407" spans="1:19" ht="14.1" customHeight="1">
      <c r="A407" s="27" t="s">
        <v>3843</v>
      </c>
      <c r="B407" s="27" t="s">
        <v>170</v>
      </c>
      <c r="C407" s="27" t="s">
        <v>225</v>
      </c>
      <c r="D407" s="27" t="s">
        <v>226</v>
      </c>
      <c r="E407" s="28">
        <v>37977.24</v>
      </c>
      <c r="F407" s="27" t="s">
        <v>4073</v>
      </c>
      <c r="G407" s="48"/>
      <c r="H407" s="47" t="str">
        <f t="shared" si="18"/>
        <v>ANDINA</v>
      </c>
      <c r="I407" s="6">
        <f t="shared" si="19"/>
        <v>38415.336363636357</v>
      </c>
      <c r="J407" s="47">
        <f t="shared" si="20"/>
        <v>38415.336363636357</v>
      </c>
      <c r="L407" s="44"/>
      <c r="M407" s="44"/>
      <c r="N407" s="44"/>
      <c r="O407" s="44"/>
      <c r="P407" s="44"/>
      <c r="Q407" s="44"/>
      <c r="R407" s="44"/>
      <c r="S407" s="44"/>
    </row>
    <row r="408" spans="1:19" ht="14.1" customHeight="1">
      <c r="A408" s="27" t="s">
        <v>3843</v>
      </c>
      <c r="B408" s="27" t="s">
        <v>176</v>
      </c>
      <c r="C408" s="27" t="s">
        <v>262</v>
      </c>
      <c r="D408" s="27" t="s">
        <v>172</v>
      </c>
      <c r="E408" s="28">
        <v>18050.36</v>
      </c>
      <c r="F408" s="27" t="s">
        <v>4074</v>
      </c>
      <c r="G408" s="48"/>
      <c r="H408" s="47" t="str">
        <f t="shared" si="18"/>
        <v>ANDINA</v>
      </c>
      <c r="I408" s="6">
        <f t="shared" si="19"/>
        <v>18050.36</v>
      </c>
      <c r="J408" s="47">
        <f t="shared" si="20"/>
        <v>18050.36</v>
      </c>
      <c r="L408" s="44"/>
      <c r="M408" s="44"/>
      <c r="N408" s="44"/>
      <c r="O408" s="44"/>
      <c r="P408" s="44"/>
      <c r="Q408" s="44"/>
      <c r="R408" s="44"/>
      <c r="S408" s="44"/>
    </row>
    <row r="409" spans="1:19" ht="14.1" customHeight="1">
      <c r="A409" s="27" t="s">
        <v>3843</v>
      </c>
      <c r="B409" s="27" t="s">
        <v>176</v>
      </c>
      <c r="C409" s="27" t="s">
        <v>253</v>
      </c>
      <c r="D409" s="27" t="s">
        <v>172</v>
      </c>
      <c r="E409" s="28">
        <v>24023.33</v>
      </c>
      <c r="F409" s="27" t="s">
        <v>4073</v>
      </c>
      <c r="G409" s="48"/>
      <c r="H409" s="47" t="str">
        <f t="shared" si="18"/>
        <v>ANDINA</v>
      </c>
      <c r="I409" s="6">
        <f t="shared" si="19"/>
        <v>25145.120909090914</v>
      </c>
      <c r="J409" s="47">
        <f t="shared" si="20"/>
        <v>25145.120909090914</v>
      </c>
      <c r="L409" s="44"/>
      <c r="M409" s="44"/>
      <c r="N409" s="44"/>
      <c r="O409" s="44"/>
      <c r="P409" s="44"/>
      <c r="Q409" s="44"/>
      <c r="R409" s="44"/>
      <c r="S409" s="44"/>
    </row>
    <row r="410" spans="1:19" ht="14.1" customHeight="1">
      <c r="A410" s="27" t="s">
        <v>3843</v>
      </c>
      <c r="B410" s="27" t="s">
        <v>176</v>
      </c>
      <c r="C410" s="27" t="s">
        <v>177</v>
      </c>
      <c r="D410" s="27" t="s">
        <v>172</v>
      </c>
      <c r="E410" s="28">
        <v>21392.36</v>
      </c>
      <c r="F410" s="27" t="s">
        <v>4074</v>
      </c>
      <c r="G410" s="48"/>
      <c r="H410" s="47" t="str">
        <f t="shared" si="18"/>
        <v>ANDINA</v>
      </c>
      <c r="I410" s="6">
        <f t="shared" si="19"/>
        <v>21392.36</v>
      </c>
      <c r="J410" s="47">
        <f t="shared" si="20"/>
        <v>21392.36</v>
      </c>
      <c r="L410" s="44"/>
      <c r="M410" s="44"/>
      <c r="N410" s="44"/>
      <c r="O410" s="44"/>
      <c r="P410" s="44"/>
      <c r="Q410" s="44"/>
      <c r="R410" s="44"/>
      <c r="S410" s="44"/>
    </row>
    <row r="411" spans="1:19" ht="14.1" customHeight="1">
      <c r="A411" s="27" t="s">
        <v>3843</v>
      </c>
      <c r="B411" s="27" t="s">
        <v>176</v>
      </c>
      <c r="C411" s="27" t="s">
        <v>231</v>
      </c>
      <c r="D411" s="27" t="s">
        <v>172</v>
      </c>
      <c r="E411" s="28">
        <v>22765.59</v>
      </c>
      <c r="F411" s="27" t="s">
        <v>4074</v>
      </c>
      <c r="G411" s="48"/>
      <c r="H411" s="47" t="str">
        <f t="shared" si="18"/>
        <v>ANDINA</v>
      </c>
      <c r="I411" s="6">
        <f t="shared" si="19"/>
        <v>22765.59</v>
      </c>
      <c r="J411" s="47">
        <f t="shared" si="20"/>
        <v>22765.59</v>
      </c>
      <c r="L411" s="44"/>
      <c r="M411" s="44"/>
      <c r="N411" s="44"/>
      <c r="O411" s="44"/>
      <c r="P411" s="44"/>
      <c r="Q411" s="44"/>
      <c r="R411" s="44"/>
      <c r="S411" s="44"/>
    </row>
    <row r="412" spans="1:19" ht="14.1" customHeight="1">
      <c r="A412" s="27" t="s">
        <v>3843</v>
      </c>
      <c r="B412" s="27" t="s">
        <v>180</v>
      </c>
      <c r="C412" s="27" t="s">
        <v>181</v>
      </c>
      <c r="D412" s="27" t="s">
        <v>172</v>
      </c>
      <c r="E412" s="28">
        <v>27566.67</v>
      </c>
      <c r="F412" s="27" t="s">
        <v>4074</v>
      </c>
      <c r="G412" s="48"/>
      <c r="H412" s="47" t="str">
        <f t="shared" si="18"/>
        <v>ANDINA</v>
      </c>
      <c r="I412" s="6">
        <f t="shared" si="19"/>
        <v>27566.67</v>
      </c>
      <c r="J412" s="47">
        <f t="shared" si="20"/>
        <v>27566.67</v>
      </c>
      <c r="L412" s="44"/>
      <c r="M412" s="44"/>
      <c r="N412" s="44"/>
      <c r="O412" s="44"/>
      <c r="P412" s="44"/>
      <c r="Q412" s="44"/>
      <c r="R412" s="44"/>
      <c r="S412" s="44"/>
    </row>
    <row r="413" spans="1:19" ht="14.1" customHeight="1">
      <c r="A413" s="27" t="s">
        <v>3843</v>
      </c>
      <c r="B413" s="27" t="s">
        <v>180</v>
      </c>
      <c r="C413" s="27" t="s">
        <v>263</v>
      </c>
      <c r="D413" s="27" t="s">
        <v>172</v>
      </c>
      <c r="E413" s="28">
        <v>210526.32</v>
      </c>
      <c r="F413" s="27" t="s">
        <v>4074</v>
      </c>
      <c r="G413" s="48"/>
      <c r="H413" s="47" t="str">
        <f t="shared" si="18"/>
        <v>ANDINA</v>
      </c>
      <c r="I413" s="6">
        <f t="shared" si="19"/>
        <v>210526.32</v>
      </c>
      <c r="J413" s="47">
        <f t="shared" si="20"/>
        <v>210526.32</v>
      </c>
      <c r="L413" s="44"/>
      <c r="M413" s="44"/>
      <c r="N413" s="44"/>
      <c r="O413" s="44"/>
      <c r="P413" s="44"/>
      <c r="Q413" s="44"/>
      <c r="R413" s="44"/>
      <c r="S413" s="44"/>
    </row>
    <row r="414" spans="1:19" ht="14.1" customHeight="1">
      <c r="A414" s="27" t="s">
        <v>3843</v>
      </c>
      <c r="B414" s="27" t="s">
        <v>180</v>
      </c>
      <c r="C414" s="27" t="s">
        <v>277</v>
      </c>
      <c r="D414" s="27" t="s">
        <v>172</v>
      </c>
      <c r="E414" s="28">
        <v>90689.07</v>
      </c>
      <c r="F414" s="27" t="s">
        <v>4073</v>
      </c>
      <c r="G414" s="48"/>
      <c r="H414" s="47" t="str">
        <f t="shared" si="18"/>
        <v>ANDINA</v>
      </c>
      <c r="I414" s="6">
        <f t="shared" si="19"/>
        <v>88565.010909090925</v>
      </c>
      <c r="J414" s="47">
        <f t="shared" si="20"/>
        <v>88565.010909090925</v>
      </c>
      <c r="L414" s="44"/>
      <c r="M414" s="44"/>
      <c r="N414" s="44"/>
      <c r="O414" s="44"/>
      <c r="P414" s="44"/>
      <c r="Q414" s="44"/>
      <c r="R414" s="44"/>
      <c r="S414" s="44"/>
    </row>
    <row r="415" spans="1:19" ht="14.1" customHeight="1">
      <c r="A415" s="27" t="s">
        <v>3843</v>
      </c>
      <c r="B415" s="27" t="s">
        <v>180</v>
      </c>
      <c r="C415" s="27" t="s">
        <v>300</v>
      </c>
      <c r="D415" s="27" t="s">
        <v>172</v>
      </c>
      <c r="E415" s="28">
        <v>66141.87</v>
      </c>
      <c r="F415" s="27" t="s">
        <v>4073</v>
      </c>
      <c r="G415" s="48"/>
      <c r="H415" s="47" t="str">
        <f t="shared" si="18"/>
        <v>ANDINA</v>
      </c>
      <c r="I415" s="6">
        <f t="shared" si="19"/>
        <v>67595.050909090904</v>
      </c>
      <c r="J415" s="47">
        <f t="shared" si="20"/>
        <v>67595.050909090904</v>
      </c>
      <c r="L415" s="44"/>
      <c r="M415" s="44"/>
      <c r="N415" s="44"/>
      <c r="O415" s="44"/>
      <c r="P415" s="44"/>
      <c r="Q415" s="44"/>
      <c r="R415" s="44"/>
      <c r="S415" s="44"/>
    </row>
    <row r="416" spans="1:19" ht="14.1" customHeight="1">
      <c r="A416" s="27" t="s">
        <v>3843</v>
      </c>
      <c r="B416" s="27" t="s">
        <v>180</v>
      </c>
      <c r="C416" s="27" t="s">
        <v>242</v>
      </c>
      <c r="D416" s="27" t="s">
        <v>172</v>
      </c>
      <c r="E416" s="28">
        <v>30776.67</v>
      </c>
      <c r="F416" s="27" t="s">
        <v>4074</v>
      </c>
      <c r="G416" s="48"/>
      <c r="H416" s="47" t="str">
        <f t="shared" si="18"/>
        <v>ANDINA</v>
      </c>
      <c r="I416" s="6">
        <f t="shared" si="19"/>
        <v>30776.67</v>
      </c>
      <c r="J416" s="47">
        <f t="shared" si="20"/>
        <v>30776.67</v>
      </c>
      <c r="L416" s="44"/>
      <c r="M416" s="44"/>
      <c r="N416" s="44"/>
      <c r="O416" s="44"/>
      <c r="P416" s="44"/>
      <c r="Q416" s="44"/>
      <c r="R416" s="44"/>
      <c r="S416" s="44"/>
    </row>
    <row r="417" spans="1:19" ht="14.1" customHeight="1">
      <c r="A417" s="27" t="s">
        <v>3843</v>
      </c>
      <c r="B417" s="27" t="s">
        <v>180</v>
      </c>
      <c r="C417" s="27" t="s">
        <v>254</v>
      </c>
      <c r="D417" s="27" t="s">
        <v>172</v>
      </c>
      <c r="E417" s="28">
        <v>151030.29999999999</v>
      </c>
      <c r="F417" s="27" t="s">
        <v>4074</v>
      </c>
      <c r="G417" s="48"/>
      <c r="H417" s="47" t="str">
        <f t="shared" si="18"/>
        <v>ANDINA</v>
      </c>
      <c r="I417" s="6">
        <f t="shared" si="19"/>
        <v>151030.29999999999</v>
      </c>
      <c r="J417" s="47">
        <f t="shared" si="20"/>
        <v>151030.29999999999</v>
      </c>
      <c r="L417" s="44"/>
      <c r="M417" s="44"/>
      <c r="N417" s="44"/>
      <c r="O417" s="44"/>
      <c r="P417" s="44"/>
      <c r="Q417" s="44"/>
      <c r="R417" s="44"/>
      <c r="S417" s="44"/>
    </row>
    <row r="418" spans="1:19" ht="14.1" customHeight="1">
      <c r="A418" s="27" t="s">
        <v>3843</v>
      </c>
      <c r="B418" s="27" t="s">
        <v>180</v>
      </c>
      <c r="C418" s="27" t="s">
        <v>305</v>
      </c>
      <c r="D418" s="27" t="s">
        <v>172</v>
      </c>
      <c r="E418" s="28">
        <v>72327.89</v>
      </c>
      <c r="F418" s="27" t="s">
        <v>4073</v>
      </c>
      <c r="G418" s="48"/>
      <c r="H418" s="47" t="str">
        <f t="shared" si="18"/>
        <v>ANDINA</v>
      </c>
      <c r="I418" s="6">
        <f t="shared" si="19"/>
        <v>72524.681818181823</v>
      </c>
      <c r="J418" s="47">
        <f t="shared" si="20"/>
        <v>72524.681818181823</v>
      </c>
      <c r="L418" s="44"/>
      <c r="M418" s="44"/>
      <c r="N418" s="44"/>
      <c r="O418" s="44"/>
      <c r="P418" s="44"/>
      <c r="Q418" s="44"/>
      <c r="R418" s="44"/>
      <c r="S418" s="44"/>
    </row>
    <row r="419" spans="1:19" ht="14.1" customHeight="1">
      <c r="A419" s="27" t="s">
        <v>3843</v>
      </c>
      <c r="B419" s="27" t="s">
        <v>180</v>
      </c>
      <c r="C419" s="27" t="s">
        <v>297</v>
      </c>
      <c r="D419" s="27" t="s">
        <v>172</v>
      </c>
      <c r="E419" s="28">
        <v>149375.29999999999</v>
      </c>
      <c r="F419" s="27" t="s">
        <v>4073</v>
      </c>
      <c r="G419" s="48"/>
      <c r="H419" s="47" t="str">
        <f t="shared" si="18"/>
        <v>ANDINA</v>
      </c>
      <c r="I419" s="6">
        <f t="shared" si="19"/>
        <v>150305.83363636368</v>
      </c>
      <c r="J419" s="47">
        <f t="shared" si="20"/>
        <v>150305.83363636368</v>
      </c>
      <c r="L419" s="44"/>
      <c r="M419" s="44"/>
      <c r="N419" s="44"/>
      <c r="O419" s="44"/>
      <c r="P419" s="44"/>
      <c r="Q419" s="44"/>
      <c r="R419" s="44"/>
      <c r="S419" s="44"/>
    </row>
    <row r="420" spans="1:19" ht="14.1" customHeight="1">
      <c r="A420" s="27" t="s">
        <v>3843</v>
      </c>
      <c r="B420" s="27" t="s">
        <v>180</v>
      </c>
      <c r="C420" s="27" t="s">
        <v>314</v>
      </c>
      <c r="D420" s="27" t="s">
        <v>172</v>
      </c>
      <c r="E420" s="28">
        <v>28103.200000000001</v>
      </c>
      <c r="F420" s="27" t="s">
        <v>4073</v>
      </c>
      <c r="G420" s="48"/>
      <c r="H420" s="47" t="str">
        <f t="shared" si="18"/>
        <v>ANDINA</v>
      </c>
      <c r="I420" s="6">
        <f t="shared" si="19"/>
        <v>28676.525454545455</v>
      </c>
      <c r="J420" s="47">
        <f t="shared" si="20"/>
        <v>28676.525454545455</v>
      </c>
      <c r="L420" s="44"/>
      <c r="M420" s="44"/>
      <c r="N420" s="44"/>
      <c r="O420" s="44"/>
      <c r="P420" s="44"/>
      <c r="Q420" s="44"/>
      <c r="R420" s="44"/>
      <c r="S420" s="44"/>
    </row>
    <row r="421" spans="1:19" ht="14.1" customHeight="1">
      <c r="A421" s="27" t="s">
        <v>3843</v>
      </c>
      <c r="B421" s="27" t="s">
        <v>180</v>
      </c>
      <c r="C421" s="27" t="s">
        <v>182</v>
      </c>
      <c r="D421" s="27" t="s">
        <v>172</v>
      </c>
      <c r="E421" s="28">
        <v>151029.59</v>
      </c>
      <c r="F421" s="27" t="s">
        <v>4073</v>
      </c>
      <c r="G421" s="48"/>
      <c r="H421" s="47" t="str">
        <f t="shared" si="18"/>
        <v>ANDINA</v>
      </c>
      <c r="I421" s="6">
        <f t="shared" si="19"/>
        <v>151380.25636363638</v>
      </c>
      <c r="J421" s="47">
        <f t="shared" si="20"/>
        <v>151380.25636363638</v>
      </c>
      <c r="L421" s="44"/>
      <c r="M421" s="44"/>
      <c r="N421" s="44"/>
      <c r="O421" s="44"/>
      <c r="P421" s="44"/>
      <c r="Q421" s="44"/>
      <c r="R421" s="44"/>
      <c r="S421" s="44"/>
    </row>
    <row r="422" spans="1:19" ht="14.1" customHeight="1">
      <c r="A422" s="27" t="s">
        <v>3844</v>
      </c>
      <c r="B422" s="27" t="s">
        <v>4072</v>
      </c>
      <c r="C422" s="27" t="s">
        <v>316</v>
      </c>
      <c r="D422" s="27" t="s">
        <v>172</v>
      </c>
      <c r="E422" s="28">
        <v>46378.17</v>
      </c>
      <c r="F422" s="27" t="s">
        <v>4073</v>
      </c>
      <c r="G422" s="48"/>
      <c r="H422" s="47" t="str">
        <f t="shared" si="18"/>
        <v>CARIBE</v>
      </c>
      <c r="I422" s="6">
        <f t="shared" si="19"/>
        <v>46378.169999999991</v>
      </c>
      <c r="J422" s="47">
        <f t="shared" si="20"/>
        <v>46378.169999999991</v>
      </c>
      <c r="L422" s="46"/>
      <c r="M422" s="46"/>
      <c r="N422" s="46"/>
      <c r="O422" s="46"/>
      <c r="P422" s="46"/>
      <c r="Q422" s="46"/>
      <c r="R422" s="46"/>
      <c r="S422" s="46"/>
    </row>
    <row r="423" spans="1:19" ht="14.1" customHeight="1">
      <c r="A423" s="27" t="s">
        <v>3844</v>
      </c>
      <c r="B423" s="27" t="s">
        <v>137</v>
      </c>
      <c r="C423" s="27" t="s">
        <v>291</v>
      </c>
      <c r="D423" s="27" t="s">
        <v>172</v>
      </c>
      <c r="E423" s="28">
        <v>22086.61</v>
      </c>
      <c r="F423" s="27" t="s">
        <v>4073</v>
      </c>
      <c r="G423" s="48"/>
      <c r="H423" s="47" t="str">
        <f t="shared" si="18"/>
        <v>CARIBE</v>
      </c>
      <c r="I423" s="6">
        <f t="shared" si="19"/>
        <v>22086.61</v>
      </c>
      <c r="J423" s="47">
        <f t="shared" si="20"/>
        <v>22086.61</v>
      </c>
      <c r="L423" s="44"/>
      <c r="M423" s="44"/>
      <c r="N423" s="44"/>
      <c r="O423" s="44"/>
      <c r="P423" s="44"/>
      <c r="Q423" s="44"/>
      <c r="R423" s="44"/>
      <c r="S423" s="44"/>
    </row>
    <row r="424" spans="1:19" ht="14.1" customHeight="1">
      <c r="A424" s="27" t="s">
        <v>3844</v>
      </c>
      <c r="B424" s="27" t="s">
        <v>137</v>
      </c>
      <c r="C424" s="27" t="s">
        <v>243</v>
      </c>
      <c r="D424" s="27" t="s">
        <v>172</v>
      </c>
      <c r="E424" s="28">
        <v>21754.73</v>
      </c>
      <c r="F424" s="27" t="s">
        <v>4073</v>
      </c>
      <c r="G424" s="48"/>
      <c r="H424" s="47" t="str">
        <f t="shared" si="18"/>
        <v>CARIBE</v>
      </c>
      <c r="I424" s="6">
        <f t="shared" si="19"/>
        <v>21754.73</v>
      </c>
      <c r="J424" s="47">
        <f t="shared" si="20"/>
        <v>21754.73</v>
      </c>
      <c r="L424" s="44"/>
      <c r="M424" s="44"/>
      <c r="N424" s="44"/>
      <c r="O424" s="44"/>
      <c r="P424" s="44"/>
      <c r="Q424" s="44"/>
      <c r="R424" s="44"/>
      <c r="S424" s="44"/>
    </row>
    <row r="425" spans="1:19" ht="14.1" customHeight="1">
      <c r="A425" s="27" t="s">
        <v>3844</v>
      </c>
      <c r="B425" s="27" t="s">
        <v>137</v>
      </c>
      <c r="C425" s="27" t="s">
        <v>237</v>
      </c>
      <c r="D425" s="27" t="s">
        <v>172</v>
      </c>
      <c r="E425" s="28">
        <v>33338.89</v>
      </c>
      <c r="F425" s="27" t="s">
        <v>4074</v>
      </c>
      <c r="G425" s="48"/>
      <c r="H425" s="47" t="str">
        <f t="shared" si="18"/>
        <v>CARIBE</v>
      </c>
      <c r="I425" s="6">
        <f t="shared" si="19"/>
        <v>33338.89</v>
      </c>
      <c r="J425" s="47">
        <f t="shared" si="20"/>
        <v>33338.89</v>
      </c>
      <c r="L425" s="44"/>
      <c r="M425" s="44"/>
      <c r="N425" s="44"/>
      <c r="O425" s="44"/>
      <c r="P425" s="44"/>
      <c r="Q425" s="44"/>
      <c r="R425" s="44"/>
      <c r="S425" s="44"/>
    </row>
    <row r="426" spans="1:19" ht="14.1" customHeight="1">
      <c r="A426" s="27" t="s">
        <v>3844</v>
      </c>
      <c r="B426" s="27" t="s">
        <v>137</v>
      </c>
      <c r="C426" s="27" t="s">
        <v>246</v>
      </c>
      <c r="D426" s="27" t="s">
        <v>172</v>
      </c>
      <c r="E426" s="28">
        <v>65250.53</v>
      </c>
      <c r="F426" s="27" t="s">
        <v>4073</v>
      </c>
      <c r="G426" s="48"/>
      <c r="H426" s="47" t="str">
        <f t="shared" si="18"/>
        <v>CARIBE</v>
      </c>
      <c r="I426" s="6">
        <f t="shared" si="19"/>
        <v>65250.530000000006</v>
      </c>
      <c r="J426" s="47">
        <f t="shared" si="20"/>
        <v>65250.530000000006</v>
      </c>
      <c r="L426" s="44"/>
      <c r="M426" s="44"/>
      <c r="N426" s="44"/>
      <c r="O426" s="44"/>
      <c r="P426" s="44"/>
      <c r="Q426" s="44"/>
      <c r="R426" s="44"/>
      <c r="S426" s="44"/>
    </row>
    <row r="427" spans="1:19" ht="14.1" customHeight="1">
      <c r="A427" s="27" t="s">
        <v>3844</v>
      </c>
      <c r="B427" s="27" t="s">
        <v>170</v>
      </c>
      <c r="C427" s="27" t="s">
        <v>259</v>
      </c>
      <c r="D427" s="27" t="s">
        <v>172</v>
      </c>
      <c r="E427" s="28">
        <v>283758.28999999998</v>
      </c>
      <c r="F427" s="27" t="s">
        <v>4073</v>
      </c>
      <c r="G427" s="48"/>
      <c r="H427" s="47" t="str">
        <f t="shared" si="18"/>
        <v>CARIBE</v>
      </c>
      <c r="I427" s="6">
        <f t="shared" si="19"/>
        <v>287765.70500000002</v>
      </c>
      <c r="J427" s="47">
        <f t="shared" si="20"/>
        <v>287765.70500000002</v>
      </c>
      <c r="L427" s="44"/>
      <c r="M427" s="44"/>
      <c r="N427" s="44"/>
      <c r="O427" s="44"/>
      <c r="P427" s="44"/>
      <c r="Q427" s="44"/>
      <c r="R427" s="44"/>
      <c r="S427" s="44"/>
    </row>
    <row r="428" spans="1:19" ht="14.1" customHeight="1">
      <c r="A428" s="27" t="s">
        <v>3844</v>
      </c>
      <c r="B428" s="27" t="s">
        <v>170</v>
      </c>
      <c r="C428" s="27" t="s">
        <v>276</v>
      </c>
      <c r="D428" s="27" t="s">
        <v>172</v>
      </c>
      <c r="E428" s="28">
        <v>83726.98</v>
      </c>
      <c r="F428" s="27" t="s">
        <v>4073</v>
      </c>
      <c r="G428" s="48"/>
      <c r="H428" s="47" t="str">
        <f t="shared" si="18"/>
        <v>CARIBE</v>
      </c>
      <c r="I428" s="6">
        <f t="shared" si="19"/>
        <v>83726.98</v>
      </c>
      <c r="J428" s="47">
        <f t="shared" si="20"/>
        <v>83726.98</v>
      </c>
      <c r="L428" s="44"/>
      <c r="M428" s="44"/>
      <c r="N428" s="44"/>
      <c r="O428" s="44"/>
      <c r="P428" s="44"/>
      <c r="Q428" s="44"/>
      <c r="R428" s="44"/>
      <c r="S428" s="44"/>
    </row>
    <row r="429" spans="1:19" ht="14.1" customHeight="1">
      <c r="A429" s="27" t="s">
        <v>3844</v>
      </c>
      <c r="B429" s="27" t="s">
        <v>170</v>
      </c>
      <c r="C429" s="27" t="s">
        <v>240</v>
      </c>
      <c r="D429" s="27" t="s">
        <v>172</v>
      </c>
      <c r="E429" s="28">
        <v>23574.34</v>
      </c>
      <c r="F429" s="27" t="s">
        <v>4073</v>
      </c>
      <c r="G429" s="48"/>
      <c r="H429" s="47" t="str">
        <f t="shared" si="18"/>
        <v>CARIBE</v>
      </c>
      <c r="I429" s="6">
        <f t="shared" si="19"/>
        <v>23574.34</v>
      </c>
      <c r="J429" s="47">
        <f t="shared" si="20"/>
        <v>23574.34</v>
      </c>
      <c r="L429" s="44"/>
      <c r="M429" s="44"/>
      <c r="N429" s="44"/>
      <c r="O429" s="44"/>
      <c r="P429" s="44"/>
      <c r="Q429" s="44"/>
      <c r="R429" s="44"/>
      <c r="S429" s="44"/>
    </row>
    <row r="430" spans="1:19" ht="14.1" customHeight="1">
      <c r="A430" s="27" t="s">
        <v>3844</v>
      </c>
      <c r="B430" s="27" t="s">
        <v>170</v>
      </c>
      <c r="C430" s="27" t="s">
        <v>251</v>
      </c>
      <c r="D430" s="27" t="s">
        <v>226</v>
      </c>
      <c r="E430" s="28">
        <v>61445.54</v>
      </c>
      <c r="F430" s="27" t="s">
        <v>4073</v>
      </c>
      <c r="G430" s="48"/>
      <c r="H430" s="47" t="str">
        <f t="shared" si="18"/>
        <v>CARIBE</v>
      </c>
      <c r="I430" s="6">
        <f t="shared" si="19"/>
        <v>61445.54</v>
      </c>
      <c r="J430" s="47">
        <f t="shared" si="20"/>
        <v>61445.54</v>
      </c>
      <c r="L430" s="44"/>
      <c r="M430" s="44"/>
      <c r="N430" s="44"/>
      <c r="O430" s="44"/>
      <c r="P430" s="44"/>
      <c r="Q430" s="44"/>
      <c r="R430" s="44"/>
      <c r="S430" s="44"/>
    </row>
    <row r="431" spans="1:19" ht="14.1" customHeight="1">
      <c r="A431" s="27" t="s">
        <v>3844</v>
      </c>
      <c r="B431" s="27" t="s">
        <v>170</v>
      </c>
      <c r="C431" s="27" t="s">
        <v>256</v>
      </c>
      <c r="D431" s="27" t="s">
        <v>172</v>
      </c>
      <c r="E431" s="28">
        <v>29504.6</v>
      </c>
      <c r="F431" s="27" t="s">
        <v>4073</v>
      </c>
      <c r="G431" s="48"/>
      <c r="H431" s="47" t="str">
        <f t="shared" si="18"/>
        <v>CARIBE</v>
      </c>
      <c r="I431" s="6">
        <f t="shared" si="19"/>
        <v>30290.368333333332</v>
      </c>
      <c r="J431" s="47">
        <f t="shared" si="20"/>
        <v>30290.368333333332</v>
      </c>
      <c r="L431" s="44"/>
      <c r="M431" s="44"/>
      <c r="N431" s="44"/>
      <c r="O431" s="44"/>
      <c r="P431" s="44"/>
      <c r="Q431" s="44"/>
      <c r="R431" s="44"/>
      <c r="S431" s="44"/>
    </row>
    <row r="432" spans="1:19" ht="14.1" customHeight="1">
      <c r="A432" s="27" t="s">
        <v>3844</v>
      </c>
      <c r="B432" s="27" t="s">
        <v>170</v>
      </c>
      <c r="C432" s="27" t="s">
        <v>311</v>
      </c>
      <c r="D432" s="27" t="s">
        <v>172</v>
      </c>
      <c r="E432" s="28">
        <v>40598.93</v>
      </c>
      <c r="F432" s="27" t="s">
        <v>4073</v>
      </c>
      <c r="G432" s="48"/>
      <c r="H432" s="47" t="str">
        <f t="shared" si="18"/>
        <v>CARIBE</v>
      </c>
      <c r="I432" s="6">
        <f t="shared" si="19"/>
        <v>40799.10833333333</v>
      </c>
      <c r="J432" s="47">
        <f t="shared" si="20"/>
        <v>40799.10833333333</v>
      </c>
      <c r="L432" s="44"/>
      <c r="M432" s="44"/>
      <c r="N432" s="44"/>
      <c r="O432" s="44"/>
      <c r="P432" s="44"/>
      <c r="Q432" s="44"/>
      <c r="R432" s="44"/>
      <c r="S432" s="44"/>
    </row>
    <row r="433" spans="1:19" ht="14.1" customHeight="1">
      <c r="A433" s="27" t="s">
        <v>3844</v>
      </c>
      <c r="B433" s="27" t="s">
        <v>170</v>
      </c>
      <c r="C433" s="27" t="s">
        <v>171</v>
      </c>
      <c r="D433" s="27" t="s">
        <v>172</v>
      </c>
      <c r="E433" s="28">
        <v>115879.72</v>
      </c>
      <c r="F433" s="27" t="s">
        <v>4073</v>
      </c>
      <c r="G433" s="48"/>
      <c r="H433" s="47" t="str">
        <f t="shared" si="18"/>
        <v>CARIBE</v>
      </c>
      <c r="I433" s="6">
        <f t="shared" si="19"/>
        <v>115879.71999999999</v>
      </c>
      <c r="J433" s="47">
        <f t="shared" si="20"/>
        <v>115879.71999999999</v>
      </c>
      <c r="L433" s="44"/>
      <c r="M433" s="44"/>
      <c r="N433" s="44"/>
      <c r="O433" s="44"/>
      <c r="P433" s="44"/>
      <c r="Q433" s="44"/>
      <c r="R433" s="44"/>
      <c r="S433" s="44"/>
    </row>
    <row r="434" spans="1:19" ht="14.1" customHeight="1">
      <c r="A434" s="27" t="s">
        <v>3844</v>
      </c>
      <c r="B434" s="27" t="s">
        <v>170</v>
      </c>
      <c r="C434" s="27" t="s">
        <v>252</v>
      </c>
      <c r="D434" s="27" t="s">
        <v>226</v>
      </c>
      <c r="E434" s="28">
        <v>21867.29</v>
      </c>
      <c r="F434" s="27" t="s">
        <v>4073</v>
      </c>
      <c r="G434" s="48"/>
      <c r="H434" s="47" t="str">
        <f t="shared" si="18"/>
        <v>CARIBE</v>
      </c>
      <c r="I434" s="6">
        <f t="shared" si="19"/>
        <v>21867.290000000005</v>
      </c>
      <c r="J434" s="47">
        <f t="shared" si="20"/>
        <v>21867.290000000005</v>
      </c>
      <c r="L434" s="44"/>
      <c r="M434" s="44"/>
      <c r="N434" s="44"/>
      <c r="O434" s="44"/>
      <c r="P434" s="44"/>
      <c r="Q434" s="44"/>
      <c r="R434" s="44"/>
      <c r="S434" s="44"/>
    </row>
    <row r="435" spans="1:19" ht="14.1" customHeight="1">
      <c r="A435" s="27" t="s">
        <v>3844</v>
      </c>
      <c r="B435" s="27" t="s">
        <v>170</v>
      </c>
      <c r="C435" s="27" t="s">
        <v>296</v>
      </c>
      <c r="D435" s="27" t="s">
        <v>226</v>
      </c>
      <c r="E435" s="28">
        <v>23167.62</v>
      </c>
      <c r="F435" s="27" t="s">
        <v>4073</v>
      </c>
      <c r="G435" s="48"/>
      <c r="H435" s="47" t="str">
        <f t="shared" si="18"/>
        <v>CARIBE</v>
      </c>
      <c r="I435" s="6">
        <f t="shared" si="19"/>
        <v>23167.62</v>
      </c>
      <c r="J435" s="47">
        <f t="shared" si="20"/>
        <v>23167.62</v>
      </c>
      <c r="L435" s="44"/>
      <c r="M435" s="44"/>
      <c r="N435" s="44"/>
      <c r="O435" s="44"/>
      <c r="P435" s="44"/>
      <c r="Q435" s="44"/>
      <c r="R435" s="44"/>
      <c r="S435" s="44"/>
    </row>
    <row r="436" spans="1:19" ht="14.1" customHeight="1">
      <c r="A436" s="27" t="s">
        <v>3844</v>
      </c>
      <c r="B436" s="27" t="s">
        <v>170</v>
      </c>
      <c r="C436" s="27" t="s">
        <v>173</v>
      </c>
      <c r="D436" s="27" t="s">
        <v>172</v>
      </c>
      <c r="E436" s="28">
        <v>153430.65</v>
      </c>
      <c r="F436" s="27" t="s">
        <v>4073</v>
      </c>
      <c r="G436" s="48"/>
      <c r="H436" s="47" t="str">
        <f t="shared" si="18"/>
        <v>CARIBE</v>
      </c>
      <c r="I436" s="6">
        <f t="shared" si="19"/>
        <v>155608.875</v>
      </c>
      <c r="J436" s="47">
        <f t="shared" si="20"/>
        <v>155608.875</v>
      </c>
      <c r="L436" s="44"/>
      <c r="M436" s="44"/>
      <c r="N436" s="44"/>
      <c r="O436" s="44"/>
      <c r="P436" s="44"/>
      <c r="Q436" s="44"/>
      <c r="R436" s="44"/>
      <c r="S436" s="44"/>
    </row>
    <row r="437" spans="1:19" ht="14.1" customHeight="1">
      <c r="A437" s="27" t="s">
        <v>3844</v>
      </c>
      <c r="B437" s="27" t="s">
        <v>170</v>
      </c>
      <c r="C437" s="27" t="s">
        <v>225</v>
      </c>
      <c r="D437" s="27" t="s">
        <v>226</v>
      </c>
      <c r="E437" s="28">
        <v>37977.24</v>
      </c>
      <c r="F437" s="27" t="s">
        <v>4073</v>
      </c>
      <c r="G437" s="48"/>
      <c r="H437" s="47" t="str">
        <f t="shared" si="18"/>
        <v>CARIBE</v>
      </c>
      <c r="I437" s="6">
        <f t="shared" si="19"/>
        <v>37977.24</v>
      </c>
      <c r="J437" s="47">
        <f t="shared" si="20"/>
        <v>37977.24</v>
      </c>
      <c r="L437" s="44"/>
      <c r="M437" s="44"/>
      <c r="N437" s="44"/>
      <c r="O437" s="44"/>
      <c r="P437" s="44"/>
      <c r="Q437" s="44"/>
      <c r="R437" s="44"/>
      <c r="S437" s="44"/>
    </row>
    <row r="438" spans="1:19" ht="14.1" customHeight="1">
      <c r="A438" s="27" t="s">
        <v>3844</v>
      </c>
      <c r="B438" s="27" t="s">
        <v>176</v>
      </c>
      <c r="C438" s="27" t="s">
        <v>262</v>
      </c>
      <c r="D438" s="27" t="s">
        <v>172</v>
      </c>
      <c r="E438" s="28">
        <v>21086.36</v>
      </c>
      <c r="F438" s="27" t="s">
        <v>4074</v>
      </c>
      <c r="G438" s="48"/>
      <c r="H438" s="47" t="str">
        <f t="shared" si="18"/>
        <v>CARIBE</v>
      </c>
      <c r="I438" s="6">
        <f t="shared" si="19"/>
        <v>21086.36</v>
      </c>
      <c r="J438" s="47">
        <f t="shared" si="20"/>
        <v>21086.36</v>
      </c>
      <c r="L438" s="44"/>
      <c r="M438" s="44"/>
      <c r="N438" s="44"/>
      <c r="O438" s="44"/>
      <c r="P438" s="44"/>
      <c r="Q438" s="44"/>
      <c r="R438" s="44"/>
      <c r="S438" s="44"/>
    </row>
    <row r="439" spans="1:19" ht="14.1" customHeight="1">
      <c r="A439" s="27" t="s">
        <v>3844</v>
      </c>
      <c r="B439" s="27" t="s">
        <v>176</v>
      </c>
      <c r="C439" s="27" t="s">
        <v>253</v>
      </c>
      <c r="D439" s="27" t="s">
        <v>172</v>
      </c>
      <c r="E439" s="28">
        <v>24023.33</v>
      </c>
      <c r="F439" s="27" t="s">
        <v>4073</v>
      </c>
      <c r="G439" s="48"/>
      <c r="H439" s="47" t="str">
        <f t="shared" si="18"/>
        <v>CARIBE</v>
      </c>
      <c r="I439" s="6">
        <f t="shared" si="19"/>
        <v>25552.775000000005</v>
      </c>
      <c r="J439" s="47">
        <f t="shared" si="20"/>
        <v>25552.775000000005</v>
      </c>
      <c r="L439" s="44"/>
      <c r="M439" s="44"/>
      <c r="N439" s="44"/>
      <c r="O439" s="44"/>
      <c r="P439" s="44"/>
      <c r="Q439" s="44"/>
      <c r="R439" s="44"/>
      <c r="S439" s="44"/>
    </row>
    <row r="440" spans="1:19" ht="14.1" customHeight="1">
      <c r="A440" s="27" t="s">
        <v>3844</v>
      </c>
      <c r="B440" s="27" t="s">
        <v>176</v>
      </c>
      <c r="C440" s="27" t="s">
        <v>177</v>
      </c>
      <c r="D440" s="27" t="s">
        <v>172</v>
      </c>
      <c r="E440" s="28">
        <v>20873.75</v>
      </c>
      <c r="F440" s="27" t="s">
        <v>4074</v>
      </c>
      <c r="G440" s="48"/>
      <c r="H440" s="47" t="str">
        <f t="shared" si="18"/>
        <v>CARIBE</v>
      </c>
      <c r="I440" s="6">
        <f t="shared" si="19"/>
        <v>20873.75</v>
      </c>
      <c r="J440" s="47">
        <f t="shared" si="20"/>
        <v>20873.75</v>
      </c>
      <c r="L440" s="44"/>
      <c r="M440" s="44"/>
      <c r="N440" s="44"/>
      <c r="O440" s="44"/>
      <c r="P440" s="44"/>
      <c r="Q440" s="44"/>
      <c r="R440" s="44"/>
      <c r="S440" s="44"/>
    </row>
    <row r="441" spans="1:19" ht="14.1" customHeight="1">
      <c r="A441" s="27" t="s">
        <v>3844</v>
      </c>
      <c r="B441" s="27" t="s">
        <v>176</v>
      </c>
      <c r="C441" s="27" t="s">
        <v>231</v>
      </c>
      <c r="D441" s="27" t="s">
        <v>172</v>
      </c>
      <c r="E441" s="28">
        <v>24435.71</v>
      </c>
      <c r="F441" s="27" t="s">
        <v>4074</v>
      </c>
      <c r="G441" s="48"/>
      <c r="H441" s="47" t="str">
        <f t="shared" si="18"/>
        <v>CARIBE</v>
      </c>
      <c r="I441" s="6">
        <f t="shared" si="19"/>
        <v>24435.71</v>
      </c>
      <c r="J441" s="47">
        <f t="shared" si="20"/>
        <v>24435.71</v>
      </c>
      <c r="L441" s="44"/>
      <c r="M441" s="44"/>
      <c r="N441" s="44"/>
      <c r="O441" s="44"/>
      <c r="P441" s="44"/>
      <c r="Q441" s="44"/>
      <c r="R441" s="44"/>
      <c r="S441" s="44"/>
    </row>
    <row r="442" spans="1:19" ht="14.1" customHeight="1">
      <c r="A442" s="27" t="s">
        <v>3844</v>
      </c>
      <c r="B442" s="27" t="s">
        <v>180</v>
      </c>
      <c r="C442" s="27" t="s">
        <v>181</v>
      </c>
      <c r="D442" s="27" t="s">
        <v>172</v>
      </c>
      <c r="E442" s="28">
        <v>34056.25</v>
      </c>
      <c r="F442" s="27" t="s">
        <v>4073</v>
      </c>
      <c r="G442" s="48"/>
      <c r="H442" s="47" t="str">
        <f t="shared" si="18"/>
        <v>CARIBE</v>
      </c>
      <c r="I442" s="6">
        <f t="shared" si="19"/>
        <v>34056.25</v>
      </c>
      <c r="J442" s="47">
        <f t="shared" si="20"/>
        <v>34056.25</v>
      </c>
      <c r="L442" s="44"/>
      <c r="M442" s="44"/>
      <c r="N442" s="44"/>
      <c r="O442" s="44"/>
      <c r="P442" s="44"/>
      <c r="Q442" s="44"/>
      <c r="R442" s="44"/>
      <c r="S442" s="44"/>
    </row>
    <row r="443" spans="1:19" ht="14.1" customHeight="1">
      <c r="A443" s="27" t="s">
        <v>3844</v>
      </c>
      <c r="B443" s="27" t="s">
        <v>180</v>
      </c>
      <c r="C443" s="27" t="s">
        <v>263</v>
      </c>
      <c r="D443" s="27" t="s">
        <v>172</v>
      </c>
      <c r="E443" s="28">
        <v>217277.27</v>
      </c>
      <c r="F443" s="27" t="s">
        <v>4074</v>
      </c>
      <c r="G443" s="48"/>
      <c r="H443" s="47" t="str">
        <f t="shared" si="18"/>
        <v>CARIBE</v>
      </c>
      <c r="I443" s="6">
        <f t="shared" si="19"/>
        <v>217277.27</v>
      </c>
      <c r="J443" s="47">
        <f t="shared" si="20"/>
        <v>217277.27</v>
      </c>
      <c r="L443" s="44"/>
      <c r="M443" s="44"/>
      <c r="N443" s="44"/>
      <c r="O443" s="44"/>
      <c r="P443" s="44"/>
      <c r="Q443" s="44"/>
      <c r="R443" s="44"/>
      <c r="S443" s="44"/>
    </row>
    <row r="444" spans="1:19" ht="14.1" customHeight="1">
      <c r="A444" s="27" t="s">
        <v>3844</v>
      </c>
      <c r="B444" s="27" t="s">
        <v>180</v>
      </c>
      <c r="C444" s="27" t="s">
        <v>277</v>
      </c>
      <c r="D444" s="27" t="s">
        <v>172</v>
      </c>
      <c r="E444" s="28">
        <v>90689.07</v>
      </c>
      <c r="F444" s="27" t="s">
        <v>4073</v>
      </c>
      <c r="G444" s="48"/>
      <c r="H444" s="47" t="str">
        <f t="shared" si="18"/>
        <v>CARIBE</v>
      </c>
      <c r="I444" s="6">
        <f t="shared" si="19"/>
        <v>90689.07</v>
      </c>
      <c r="J444" s="47">
        <f t="shared" si="20"/>
        <v>90689.07</v>
      </c>
      <c r="L444" s="44"/>
      <c r="M444" s="44"/>
      <c r="N444" s="44"/>
      <c r="O444" s="44"/>
      <c r="P444" s="44"/>
      <c r="Q444" s="44"/>
      <c r="R444" s="44"/>
      <c r="S444" s="44"/>
    </row>
    <row r="445" spans="1:19" ht="14.1" customHeight="1">
      <c r="A445" s="27" t="s">
        <v>3844</v>
      </c>
      <c r="B445" s="27" t="s">
        <v>180</v>
      </c>
      <c r="C445" s="27" t="s">
        <v>300</v>
      </c>
      <c r="D445" s="27" t="s">
        <v>172</v>
      </c>
      <c r="E445" s="28">
        <v>66141.87</v>
      </c>
      <c r="F445" s="27" t="s">
        <v>4073</v>
      </c>
      <c r="G445" s="48"/>
      <c r="H445" s="47" t="str">
        <f t="shared" si="18"/>
        <v>CARIBE</v>
      </c>
      <c r="I445" s="6">
        <f t="shared" si="19"/>
        <v>65872.78833333333</v>
      </c>
      <c r="J445" s="47">
        <f t="shared" si="20"/>
        <v>65872.78833333333</v>
      </c>
      <c r="L445" s="44"/>
      <c r="M445" s="44"/>
      <c r="N445" s="44"/>
      <c r="O445" s="44"/>
      <c r="P445" s="44"/>
      <c r="Q445" s="44"/>
      <c r="R445" s="44"/>
      <c r="S445" s="44"/>
    </row>
    <row r="446" spans="1:19" ht="14.1" customHeight="1">
      <c r="A446" s="27" t="s">
        <v>3844</v>
      </c>
      <c r="B446" s="27" t="s">
        <v>180</v>
      </c>
      <c r="C446" s="27" t="s">
        <v>242</v>
      </c>
      <c r="D446" s="27" t="s">
        <v>172</v>
      </c>
      <c r="E446" s="28">
        <v>31509.26</v>
      </c>
      <c r="F446" s="27" t="s">
        <v>4074</v>
      </c>
      <c r="G446" s="48"/>
      <c r="H446" s="47" t="str">
        <f t="shared" si="18"/>
        <v>CARIBE</v>
      </c>
      <c r="I446" s="6">
        <f t="shared" si="19"/>
        <v>31509.26</v>
      </c>
      <c r="J446" s="47">
        <f t="shared" si="20"/>
        <v>31509.26</v>
      </c>
      <c r="L446" s="44"/>
      <c r="M446" s="44"/>
      <c r="N446" s="44"/>
      <c r="O446" s="44"/>
      <c r="P446" s="44"/>
      <c r="Q446" s="44"/>
      <c r="R446" s="44"/>
      <c r="S446" s="44"/>
    </row>
    <row r="447" spans="1:19" ht="14.1" customHeight="1">
      <c r="A447" s="27" t="s">
        <v>3844</v>
      </c>
      <c r="B447" s="27" t="s">
        <v>180</v>
      </c>
      <c r="C447" s="27" t="s">
        <v>254</v>
      </c>
      <c r="D447" s="27" t="s">
        <v>172</v>
      </c>
      <c r="E447" s="28">
        <v>146171.37</v>
      </c>
      <c r="F447" s="27" t="s">
        <v>4073</v>
      </c>
      <c r="G447" s="48"/>
      <c r="H447" s="47" t="str">
        <f t="shared" si="18"/>
        <v>CARIBE</v>
      </c>
      <c r="I447" s="6">
        <f t="shared" si="19"/>
        <v>146171.37</v>
      </c>
      <c r="J447" s="47">
        <f t="shared" si="20"/>
        <v>146171.37</v>
      </c>
      <c r="L447" s="44"/>
      <c r="M447" s="44"/>
      <c r="N447" s="44"/>
      <c r="O447" s="44"/>
      <c r="P447" s="44"/>
      <c r="Q447" s="44"/>
      <c r="R447" s="44"/>
      <c r="S447" s="44"/>
    </row>
    <row r="448" spans="1:19" ht="14.1" customHeight="1">
      <c r="A448" s="27" t="s">
        <v>3844</v>
      </c>
      <c r="B448" s="27" t="s">
        <v>180</v>
      </c>
      <c r="C448" s="27" t="s">
        <v>305</v>
      </c>
      <c r="D448" s="27" t="s">
        <v>172</v>
      </c>
      <c r="E448" s="28">
        <v>72327.89</v>
      </c>
      <c r="F448" s="27" t="s">
        <v>4073</v>
      </c>
      <c r="G448" s="48"/>
      <c r="H448" s="47" t="str">
        <f t="shared" si="18"/>
        <v>CARIBE</v>
      </c>
      <c r="I448" s="6">
        <f t="shared" si="19"/>
        <v>72653.15833333334</v>
      </c>
      <c r="J448" s="47">
        <f t="shared" si="20"/>
        <v>72653.15833333334</v>
      </c>
      <c r="L448" s="44"/>
      <c r="M448" s="44"/>
      <c r="N448" s="44"/>
      <c r="O448" s="44"/>
      <c r="P448" s="44"/>
      <c r="Q448" s="44"/>
      <c r="R448" s="44"/>
      <c r="S448" s="44"/>
    </row>
    <row r="449" spans="1:19" ht="14.1" customHeight="1">
      <c r="A449" s="27" t="s">
        <v>3844</v>
      </c>
      <c r="B449" s="27" t="s">
        <v>180</v>
      </c>
      <c r="C449" s="27" t="s">
        <v>297</v>
      </c>
      <c r="D449" s="27" t="s">
        <v>172</v>
      </c>
      <c r="E449" s="28">
        <v>149375.29999999999</v>
      </c>
      <c r="F449" s="27" t="s">
        <v>4073</v>
      </c>
      <c r="G449" s="48"/>
      <c r="H449" s="47" t="str">
        <f t="shared" si="18"/>
        <v>CARIBE</v>
      </c>
      <c r="I449" s="6">
        <f t="shared" si="19"/>
        <v>149375.30000000002</v>
      </c>
      <c r="J449" s="47">
        <f t="shared" si="20"/>
        <v>149375.30000000002</v>
      </c>
      <c r="L449" s="44"/>
      <c r="M449" s="44"/>
      <c r="N449" s="44"/>
      <c r="O449" s="44"/>
      <c r="P449" s="44"/>
      <c r="Q449" s="44"/>
      <c r="R449" s="44"/>
      <c r="S449" s="44"/>
    </row>
    <row r="450" spans="1:19" ht="14.1" customHeight="1">
      <c r="A450" s="27" t="s">
        <v>3844</v>
      </c>
      <c r="B450" s="27" t="s">
        <v>180</v>
      </c>
      <c r="C450" s="27" t="s">
        <v>314</v>
      </c>
      <c r="D450" s="27" t="s">
        <v>172</v>
      </c>
      <c r="E450" s="28">
        <v>28103.200000000001</v>
      </c>
      <c r="F450" s="27" t="s">
        <v>4073</v>
      </c>
      <c r="G450" s="48"/>
      <c r="H450" s="47" t="str">
        <f t="shared" ref="H450:H513" si="21">IF(OR(A450="Antioquia",A450="Bogotá, D.C.",A450="Boyacá",A450="Cundinamarca",A450="Caldas",A450="Risaralda",A450="Quindío",A450="Tolima",A450="Huila",A450="Santander",A450="Norte de Santander"),"ANDINA",
IF(OR(A450="Atlántico",A450="Bolívar",A450="Cesar",A450="Córdoba",A450="Sucre",A450="Magdalena"),"CARIBE",
IF(OR(A450="Valle del Cauca",A450="Cauca",A450="Nariño"),"PACIFICO",
IF(OR(A450="Meta",A450="Casanare",A450="Arauca"),"ORINOQUIA",
"AMAZONIA"))))</f>
        <v>CARIBE</v>
      </c>
      <c r="I450" s="6">
        <f t="shared" ref="I450:I513" si="22">IF(F450="Departamental",E450,
AVERAGEIFS($E:$E,$H:$H,H450,$B:$B,B450,$C:$C,C450))</f>
        <v>28103.200000000001</v>
      </c>
      <c r="J450" s="47">
        <f t="shared" si="20"/>
        <v>28103.200000000001</v>
      </c>
      <c r="L450" s="44"/>
      <c r="M450" s="44"/>
      <c r="N450" s="44"/>
      <c r="O450" s="44"/>
      <c r="P450" s="44"/>
      <c r="Q450" s="44"/>
      <c r="R450" s="44"/>
      <c r="S450" s="44"/>
    </row>
    <row r="451" spans="1:19" ht="14.1" customHeight="1">
      <c r="A451" s="27" t="s">
        <v>3844</v>
      </c>
      <c r="B451" s="27" t="s">
        <v>180</v>
      </c>
      <c r="C451" s="27" t="s">
        <v>182</v>
      </c>
      <c r="D451" s="27" t="s">
        <v>172</v>
      </c>
      <c r="E451" s="28">
        <v>151029.59</v>
      </c>
      <c r="F451" s="27" t="s">
        <v>4073</v>
      </c>
      <c r="G451" s="48"/>
      <c r="H451" s="47" t="str">
        <f t="shared" si="21"/>
        <v>CARIBE</v>
      </c>
      <c r="I451" s="6">
        <f t="shared" si="22"/>
        <v>151029.59</v>
      </c>
      <c r="J451" s="47">
        <f t="shared" ref="J451:J514" si="23">IF(G451&lt;&gt;"",G451,I451)</f>
        <v>151029.59</v>
      </c>
      <c r="L451" s="44"/>
      <c r="M451" s="44"/>
      <c r="N451" s="44"/>
      <c r="O451" s="44"/>
      <c r="P451" s="44"/>
      <c r="Q451" s="44"/>
      <c r="R451" s="44"/>
      <c r="S451" s="44"/>
    </row>
    <row r="452" spans="1:19" ht="14.1" customHeight="1">
      <c r="A452" s="27" t="s">
        <v>3845</v>
      </c>
      <c r="B452" s="27" t="s">
        <v>4072</v>
      </c>
      <c r="C452" s="27" t="s">
        <v>316</v>
      </c>
      <c r="D452" s="27" t="s">
        <v>172</v>
      </c>
      <c r="E452" s="28">
        <v>46378.17</v>
      </c>
      <c r="F452" s="27" t="s">
        <v>4073</v>
      </c>
      <c r="G452" s="48"/>
      <c r="H452" s="47" t="str">
        <f t="shared" si="21"/>
        <v>ORINOQUIA</v>
      </c>
      <c r="I452" s="6">
        <f t="shared" si="22"/>
        <v>46378.170000000006</v>
      </c>
      <c r="J452" s="47">
        <f t="shared" si="23"/>
        <v>46378.170000000006</v>
      </c>
      <c r="L452" s="46"/>
      <c r="M452" s="46"/>
      <c r="N452" s="46"/>
      <c r="O452" s="46"/>
      <c r="P452" s="46"/>
      <c r="Q452" s="46"/>
      <c r="R452" s="46"/>
      <c r="S452" s="46"/>
    </row>
    <row r="453" spans="1:19" ht="14.1" customHeight="1">
      <c r="A453" s="27" t="s">
        <v>3845</v>
      </c>
      <c r="B453" s="27" t="s">
        <v>137</v>
      </c>
      <c r="C453" s="27" t="s">
        <v>291</v>
      </c>
      <c r="D453" s="27" t="s">
        <v>172</v>
      </c>
      <c r="E453" s="28">
        <v>22086.61</v>
      </c>
      <c r="F453" s="27" t="s">
        <v>4073</v>
      </c>
      <c r="G453" s="48"/>
      <c r="H453" s="47" t="str">
        <f t="shared" si="21"/>
        <v>ORINOQUIA</v>
      </c>
      <c r="I453" s="6">
        <f t="shared" si="22"/>
        <v>22086.61</v>
      </c>
      <c r="J453" s="47">
        <f t="shared" si="23"/>
        <v>22086.61</v>
      </c>
      <c r="L453" s="44"/>
      <c r="M453" s="44"/>
      <c r="N453" s="44"/>
      <c r="O453" s="44"/>
      <c r="P453" s="44"/>
      <c r="Q453" s="44"/>
      <c r="R453" s="44"/>
      <c r="S453" s="44"/>
    </row>
    <row r="454" spans="1:19" ht="14.1" customHeight="1">
      <c r="A454" s="27" t="s">
        <v>3845</v>
      </c>
      <c r="B454" s="27" t="s">
        <v>137</v>
      </c>
      <c r="C454" s="27" t="s">
        <v>243</v>
      </c>
      <c r="D454" s="27" t="s">
        <v>172</v>
      </c>
      <c r="E454" s="28">
        <v>21754.73</v>
      </c>
      <c r="F454" s="27" t="s">
        <v>4073</v>
      </c>
      <c r="G454" s="48"/>
      <c r="H454" s="47" t="str">
        <f t="shared" si="21"/>
        <v>ORINOQUIA</v>
      </c>
      <c r="I454" s="6">
        <f t="shared" si="22"/>
        <v>21754.73</v>
      </c>
      <c r="J454" s="47">
        <f t="shared" si="23"/>
        <v>21754.73</v>
      </c>
      <c r="L454" s="44"/>
      <c r="M454" s="44"/>
      <c r="N454" s="44"/>
      <c r="O454" s="44"/>
      <c r="P454" s="44"/>
      <c r="Q454" s="44"/>
      <c r="R454" s="44"/>
      <c r="S454" s="44"/>
    </row>
    <row r="455" spans="1:19" ht="14.1" customHeight="1">
      <c r="A455" s="27" t="s">
        <v>3845</v>
      </c>
      <c r="B455" s="27" t="s">
        <v>137</v>
      </c>
      <c r="C455" s="27" t="s">
        <v>237</v>
      </c>
      <c r="D455" s="27" t="s">
        <v>172</v>
      </c>
      <c r="E455" s="28">
        <v>28933.31</v>
      </c>
      <c r="F455" s="27" t="s">
        <v>4073</v>
      </c>
      <c r="G455" s="48"/>
      <c r="H455" s="47" t="str">
        <f t="shared" si="21"/>
        <v>ORINOQUIA</v>
      </c>
      <c r="I455" s="6">
        <f t="shared" si="22"/>
        <v>28933.31</v>
      </c>
      <c r="J455" s="47">
        <f t="shared" si="23"/>
        <v>28933.31</v>
      </c>
      <c r="L455" s="44"/>
      <c r="M455" s="44"/>
      <c r="N455" s="44"/>
      <c r="O455" s="44"/>
      <c r="P455" s="44"/>
      <c r="Q455" s="44"/>
      <c r="R455" s="44"/>
      <c r="S455" s="44"/>
    </row>
    <row r="456" spans="1:19" ht="14.1" customHeight="1">
      <c r="A456" s="27" t="s">
        <v>3845</v>
      </c>
      <c r="B456" s="27" t="s">
        <v>137</v>
      </c>
      <c r="C456" s="27" t="s">
        <v>246</v>
      </c>
      <c r="D456" s="27" t="s">
        <v>172</v>
      </c>
      <c r="E456" s="28">
        <v>65250.53</v>
      </c>
      <c r="F456" s="27" t="s">
        <v>4073</v>
      </c>
      <c r="G456" s="48"/>
      <c r="H456" s="47" t="str">
        <f t="shared" si="21"/>
        <v>ORINOQUIA</v>
      </c>
      <c r="I456" s="6">
        <f t="shared" si="22"/>
        <v>65250.53</v>
      </c>
      <c r="J456" s="47">
        <f t="shared" si="23"/>
        <v>65250.53</v>
      </c>
      <c r="L456" s="44"/>
      <c r="M456" s="44"/>
      <c r="N456" s="44"/>
      <c r="O456" s="44"/>
      <c r="P456" s="44"/>
      <c r="Q456" s="44"/>
      <c r="R456" s="44"/>
      <c r="S456" s="44"/>
    </row>
    <row r="457" spans="1:19" ht="14.1" customHeight="1">
      <c r="A457" s="27" t="s">
        <v>3845</v>
      </c>
      <c r="B457" s="27" t="s">
        <v>170</v>
      </c>
      <c r="C457" s="27" t="s">
        <v>259</v>
      </c>
      <c r="D457" s="27" t="s">
        <v>172</v>
      </c>
      <c r="E457" s="28">
        <v>283758.28999999998</v>
      </c>
      <c r="F457" s="27" t="s">
        <v>4073</v>
      </c>
      <c r="G457" s="48"/>
      <c r="H457" s="47" t="str">
        <f t="shared" si="21"/>
        <v>ORINOQUIA</v>
      </c>
      <c r="I457" s="6">
        <f t="shared" si="22"/>
        <v>283758.28999999998</v>
      </c>
      <c r="J457" s="47">
        <f t="shared" si="23"/>
        <v>283758.28999999998</v>
      </c>
      <c r="L457" s="44"/>
      <c r="M457" s="44"/>
      <c r="N457" s="44"/>
      <c r="O457" s="44"/>
      <c r="P457" s="44"/>
      <c r="Q457" s="44"/>
      <c r="R457" s="44"/>
      <c r="S457" s="44"/>
    </row>
    <row r="458" spans="1:19" ht="14.1" customHeight="1">
      <c r="A458" s="27" t="s">
        <v>3845</v>
      </c>
      <c r="B458" s="27" t="s">
        <v>170</v>
      </c>
      <c r="C458" s="27" t="s">
        <v>276</v>
      </c>
      <c r="D458" s="27" t="s">
        <v>172</v>
      </c>
      <c r="E458" s="28">
        <v>83726.98</v>
      </c>
      <c r="F458" s="27" t="s">
        <v>4073</v>
      </c>
      <c r="G458" s="48"/>
      <c r="H458" s="47" t="str">
        <f t="shared" si="21"/>
        <v>ORINOQUIA</v>
      </c>
      <c r="I458" s="6">
        <f t="shared" si="22"/>
        <v>83688.356666666674</v>
      </c>
      <c r="J458" s="47">
        <f t="shared" si="23"/>
        <v>83688.356666666674</v>
      </c>
      <c r="L458" s="44"/>
      <c r="M458" s="44"/>
      <c r="N458" s="44"/>
      <c r="O458" s="44"/>
      <c r="P458" s="44"/>
      <c r="Q458" s="44"/>
      <c r="R458" s="44"/>
      <c r="S458" s="44"/>
    </row>
    <row r="459" spans="1:19" ht="14.1" customHeight="1">
      <c r="A459" s="27" t="s">
        <v>3845</v>
      </c>
      <c r="B459" s="27" t="s">
        <v>170</v>
      </c>
      <c r="C459" s="27" t="s">
        <v>240</v>
      </c>
      <c r="D459" s="27" t="s">
        <v>172</v>
      </c>
      <c r="E459" s="28">
        <v>23574.34</v>
      </c>
      <c r="F459" s="27" t="s">
        <v>4073</v>
      </c>
      <c r="G459" s="48"/>
      <c r="H459" s="47" t="str">
        <f t="shared" si="21"/>
        <v>ORINOQUIA</v>
      </c>
      <c r="I459" s="6">
        <f t="shared" si="22"/>
        <v>23574.34</v>
      </c>
      <c r="J459" s="47">
        <f t="shared" si="23"/>
        <v>23574.34</v>
      </c>
      <c r="L459" s="44"/>
      <c r="M459" s="44"/>
      <c r="N459" s="44"/>
      <c r="O459" s="44"/>
      <c r="P459" s="44"/>
      <c r="Q459" s="44"/>
      <c r="R459" s="44"/>
      <c r="S459" s="44"/>
    </row>
    <row r="460" spans="1:19" ht="14.1" customHeight="1">
      <c r="A460" s="27" t="s">
        <v>3845</v>
      </c>
      <c r="B460" s="27" t="s">
        <v>170</v>
      </c>
      <c r="C460" s="27" t="s">
        <v>251</v>
      </c>
      <c r="D460" s="27" t="s">
        <v>226</v>
      </c>
      <c r="E460" s="28">
        <v>61445.54</v>
      </c>
      <c r="F460" s="27" t="s">
        <v>4073</v>
      </c>
      <c r="G460" s="48"/>
      <c r="H460" s="47" t="str">
        <f t="shared" si="21"/>
        <v>ORINOQUIA</v>
      </c>
      <c r="I460" s="6">
        <f t="shared" si="22"/>
        <v>61445.54</v>
      </c>
      <c r="J460" s="47">
        <f t="shared" si="23"/>
        <v>61445.54</v>
      </c>
      <c r="L460" s="44"/>
      <c r="M460" s="44"/>
      <c r="N460" s="44"/>
      <c r="O460" s="44"/>
      <c r="P460" s="44"/>
      <c r="Q460" s="44"/>
      <c r="R460" s="44"/>
      <c r="S460" s="44"/>
    </row>
    <row r="461" spans="1:19" ht="14.1" customHeight="1">
      <c r="A461" s="27" t="s">
        <v>3845</v>
      </c>
      <c r="B461" s="27" t="s">
        <v>170</v>
      </c>
      <c r="C461" s="27" t="s">
        <v>256</v>
      </c>
      <c r="D461" s="27" t="s">
        <v>172</v>
      </c>
      <c r="E461" s="28">
        <v>29504.6</v>
      </c>
      <c r="F461" s="27" t="s">
        <v>4073</v>
      </c>
      <c r="G461" s="48"/>
      <c r="H461" s="47" t="str">
        <f t="shared" si="21"/>
        <v>ORINOQUIA</v>
      </c>
      <c r="I461" s="6">
        <f t="shared" si="22"/>
        <v>29504.599999999995</v>
      </c>
      <c r="J461" s="47">
        <f t="shared" si="23"/>
        <v>29504.599999999995</v>
      </c>
      <c r="L461" s="44"/>
      <c r="M461" s="44"/>
      <c r="N461" s="44"/>
      <c r="O461" s="44"/>
      <c r="P461" s="44"/>
      <c r="Q461" s="44"/>
      <c r="R461" s="44"/>
      <c r="S461" s="44"/>
    </row>
    <row r="462" spans="1:19" ht="14.1" customHeight="1">
      <c r="A462" s="27" t="s">
        <v>3845</v>
      </c>
      <c r="B462" s="27" t="s">
        <v>170</v>
      </c>
      <c r="C462" s="27" t="s">
        <v>311</v>
      </c>
      <c r="D462" s="27" t="s">
        <v>172</v>
      </c>
      <c r="E462" s="28">
        <v>40598.93</v>
      </c>
      <c r="F462" s="27" t="s">
        <v>4073</v>
      </c>
      <c r="G462" s="48"/>
      <c r="H462" s="47" t="str">
        <f t="shared" si="21"/>
        <v>ORINOQUIA</v>
      </c>
      <c r="I462" s="6">
        <f t="shared" si="22"/>
        <v>40598.93</v>
      </c>
      <c r="J462" s="47">
        <f t="shared" si="23"/>
        <v>40598.93</v>
      </c>
      <c r="L462" s="44"/>
      <c r="M462" s="44"/>
      <c r="N462" s="44"/>
      <c r="O462" s="44"/>
      <c r="P462" s="44"/>
      <c r="Q462" s="44"/>
      <c r="R462" s="44"/>
      <c r="S462" s="44"/>
    </row>
    <row r="463" spans="1:19" ht="14.1" customHeight="1">
      <c r="A463" s="27" t="s">
        <v>3845</v>
      </c>
      <c r="B463" s="27" t="s">
        <v>170</v>
      </c>
      <c r="C463" s="27" t="s">
        <v>171</v>
      </c>
      <c r="D463" s="27" t="s">
        <v>172</v>
      </c>
      <c r="E463" s="28">
        <v>115879.72</v>
      </c>
      <c r="F463" s="27" t="s">
        <v>4073</v>
      </c>
      <c r="G463" s="48"/>
      <c r="H463" s="47" t="str">
        <f t="shared" si="21"/>
        <v>ORINOQUIA</v>
      </c>
      <c r="I463" s="6">
        <f t="shared" si="22"/>
        <v>115879.72000000002</v>
      </c>
      <c r="J463" s="47">
        <f t="shared" si="23"/>
        <v>115879.72000000002</v>
      </c>
      <c r="L463" s="44"/>
      <c r="M463" s="44"/>
      <c r="N463" s="44"/>
      <c r="O463" s="44"/>
      <c r="P463" s="44"/>
      <c r="Q463" s="44"/>
      <c r="R463" s="44"/>
      <c r="S463" s="44"/>
    </row>
    <row r="464" spans="1:19" ht="14.1" customHeight="1">
      <c r="A464" s="27" t="s">
        <v>3845</v>
      </c>
      <c r="B464" s="27" t="s">
        <v>170</v>
      </c>
      <c r="C464" s="27" t="s">
        <v>252</v>
      </c>
      <c r="D464" s="27" t="s">
        <v>226</v>
      </c>
      <c r="E464" s="28">
        <v>21860.42</v>
      </c>
      <c r="F464" s="27" t="s">
        <v>4074</v>
      </c>
      <c r="G464" s="48"/>
      <c r="H464" s="47" t="str">
        <f t="shared" si="21"/>
        <v>ORINOQUIA</v>
      </c>
      <c r="I464" s="6">
        <f t="shared" si="22"/>
        <v>21860.42</v>
      </c>
      <c r="J464" s="47">
        <f t="shared" si="23"/>
        <v>21860.42</v>
      </c>
      <c r="L464" s="44"/>
      <c r="M464" s="44"/>
      <c r="N464" s="44"/>
      <c r="O464" s="44"/>
      <c r="P464" s="44"/>
      <c r="Q464" s="44"/>
      <c r="R464" s="44"/>
      <c r="S464" s="44"/>
    </row>
    <row r="465" spans="1:19" ht="14.1" customHeight="1">
      <c r="A465" s="27" t="s">
        <v>3845</v>
      </c>
      <c r="B465" s="27" t="s">
        <v>170</v>
      </c>
      <c r="C465" s="27" t="s">
        <v>296</v>
      </c>
      <c r="D465" s="27" t="s">
        <v>226</v>
      </c>
      <c r="E465" s="28">
        <v>23167.62</v>
      </c>
      <c r="F465" s="27" t="s">
        <v>4073</v>
      </c>
      <c r="G465" s="48"/>
      <c r="H465" s="47" t="str">
        <f t="shared" si="21"/>
        <v>ORINOQUIA</v>
      </c>
      <c r="I465" s="6">
        <f t="shared" si="22"/>
        <v>24408.043333333331</v>
      </c>
      <c r="J465" s="47">
        <f t="shared" si="23"/>
        <v>24408.043333333331</v>
      </c>
      <c r="L465" s="44"/>
      <c r="M465" s="44"/>
      <c r="N465" s="44"/>
      <c r="O465" s="44"/>
      <c r="P465" s="44"/>
      <c r="Q465" s="44"/>
      <c r="R465" s="44"/>
      <c r="S465" s="44"/>
    </row>
    <row r="466" spans="1:19" ht="14.1" customHeight="1">
      <c r="A466" s="27" t="s">
        <v>3845</v>
      </c>
      <c r="B466" s="27" t="s">
        <v>170</v>
      </c>
      <c r="C466" s="27" t="s">
        <v>173</v>
      </c>
      <c r="D466" s="27" t="s">
        <v>172</v>
      </c>
      <c r="E466" s="28">
        <v>157584.93</v>
      </c>
      <c r="F466" s="27" t="s">
        <v>4074</v>
      </c>
      <c r="G466" s="48"/>
      <c r="H466" s="47" t="str">
        <f t="shared" si="21"/>
        <v>ORINOQUIA</v>
      </c>
      <c r="I466" s="6">
        <f t="shared" si="22"/>
        <v>157584.93</v>
      </c>
      <c r="J466" s="47">
        <f t="shared" si="23"/>
        <v>157584.93</v>
      </c>
      <c r="L466" s="44"/>
      <c r="M466" s="44"/>
      <c r="N466" s="44"/>
      <c r="O466" s="44"/>
      <c r="P466" s="44"/>
      <c r="Q466" s="44"/>
      <c r="R466" s="44"/>
      <c r="S466" s="44"/>
    </row>
    <row r="467" spans="1:19" ht="14.1" customHeight="1">
      <c r="A467" s="27" t="s">
        <v>3845</v>
      </c>
      <c r="B467" s="27" t="s">
        <v>170</v>
      </c>
      <c r="C467" s="27" t="s">
        <v>225</v>
      </c>
      <c r="D467" s="27" t="s">
        <v>226</v>
      </c>
      <c r="E467" s="28">
        <v>40254.550000000003</v>
      </c>
      <c r="F467" s="27" t="s">
        <v>4074</v>
      </c>
      <c r="G467" s="48"/>
      <c r="H467" s="47" t="str">
        <f t="shared" si="21"/>
        <v>ORINOQUIA</v>
      </c>
      <c r="I467" s="6">
        <f t="shared" si="22"/>
        <v>40254.550000000003</v>
      </c>
      <c r="J467" s="47">
        <f t="shared" si="23"/>
        <v>40254.550000000003</v>
      </c>
      <c r="L467" s="44"/>
      <c r="M467" s="44"/>
      <c r="N467" s="44"/>
      <c r="O467" s="44"/>
      <c r="P467" s="44"/>
      <c r="Q467" s="44"/>
      <c r="R467" s="44"/>
      <c r="S467" s="44"/>
    </row>
    <row r="468" spans="1:19" ht="14.1" customHeight="1">
      <c r="A468" s="27" t="s">
        <v>3845</v>
      </c>
      <c r="B468" s="27" t="s">
        <v>176</v>
      </c>
      <c r="C468" s="27" t="s">
        <v>262</v>
      </c>
      <c r="D468" s="27" t="s">
        <v>172</v>
      </c>
      <c r="E468" s="28">
        <v>18574.580000000002</v>
      </c>
      <c r="F468" s="27" t="s">
        <v>4074</v>
      </c>
      <c r="G468" s="48"/>
      <c r="H468" s="47" t="str">
        <f t="shared" si="21"/>
        <v>ORINOQUIA</v>
      </c>
      <c r="I468" s="6">
        <f t="shared" si="22"/>
        <v>18574.580000000002</v>
      </c>
      <c r="J468" s="47">
        <f t="shared" si="23"/>
        <v>18574.580000000002</v>
      </c>
      <c r="L468" s="44"/>
      <c r="M468" s="44"/>
      <c r="N468" s="44"/>
      <c r="O468" s="44"/>
      <c r="P468" s="44"/>
      <c r="Q468" s="44"/>
      <c r="R468" s="44"/>
      <c r="S468" s="44"/>
    </row>
    <row r="469" spans="1:19" ht="14.1" customHeight="1">
      <c r="A469" s="27" t="s">
        <v>3845</v>
      </c>
      <c r="B469" s="27" t="s">
        <v>176</v>
      </c>
      <c r="C469" s="27" t="s">
        <v>253</v>
      </c>
      <c r="D469" s="27" t="s">
        <v>172</v>
      </c>
      <c r="E469" s="28">
        <v>24023.33</v>
      </c>
      <c r="F469" s="27" t="s">
        <v>4073</v>
      </c>
      <c r="G469" s="48"/>
      <c r="H469" s="47" t="str">
        <f t="shared" si="21"/>
        <v>ORINOQUIA</v>
      </c>
      <c r="I469" s="6">
        <f t="shared" si="22"/>
        <v>24023.33</v>
      </c>
      <c r="J469" s="47">
        <f t="shared" si="23"/>
        <v>24023.33</v>
      </c>
      <c r="L469" s="44"/>
      <c r="M469" s="44"/>
      <c r="N469" s="44"/>
      <c r="O469" s="44"/>
      <c r="P469" s="44"/>
      <c r="Q469" s="44"/>
      <c r="R469" s="44"/>
      <c r="S469" s="44"/>
    </row>
    <row r="470" spans="1:19" ht="14.1" customHeight="1">
      <c r="A470" s="27" t="s">
        <v>3845</v>
      </c>
      <c r="B470" s="27" t="s">
        <v>176</v>
      </c>
      <c r="C470" s="27" t="s">
        <v>177</v>
      </c>
      <c r="D470" s="27" t="s">
        <v>172</v>
      </c>
      <c r="E470" s="28">
        <v>25302.080000000002</v>
      </c>
      <c r="F470" s="27" t="s">
        <v>4074</v>
      </c>
      <c r="G470" s="48"/>
      <c r="H470" s="47" t="str">
        <f t="shared" si="21"/>
        <v>ORINOQUIA</v>
      </c>
      <c r="I470" s="6">
        <f t="shared" si="22"/>
        <v>25302.080000000002</v>
      </c>
      <c r="J470" s="47">
        <f t="shared" si="23"/>
        <v>25302.080000000002</v>
      </c>
      <c r="L470" s="44"/>
      <c r="M470" s="44"/>
      <c r="N470" s="44"/>
      <c r="O470" s="44"/>
      <c r="P470" s="44"/>
      <c r="Q470" s="44"/>
      <c r="R470" s="44"/>
      <c r="S470" s="44"/>
    </row>
    <row r="471" spans="1:19" ht="14.1" customHeight="1">
      <c r="A471" s="27" t="s">
        <v>3845</v>
      </c>
      <c r="B471" s="27" t="s">
        <v>176</v>
      </c>
      <c r="C471" s="27" t="s">
        <v>231</v>
      </c>
      <c r="D471" s="27" t="s">
        <v>172</v>
      </c>
      <c r="E471" s="28">
        <v>24779.96</v>
      </c>
      <c r="F471" s="27" t="s">
        <v>4074</v>
      </c>
      <c r="G471" s="48"/>
      <c r="H471" s="47" t="str">
        <f t="shared" si="21"/>
        <v>ORINOQUIA</v>
      </c>
      <c r="I471" s="6">
        <f t="shared" si="22"/>
        <v>24779.96</v>
      </c>
      <c r="J471" s="47">
        <f t="shared" si="23"/>
        <v>24779.96</v>
      </c>
      <c r="L471" s="44"/>
      <c r="M471" s="44"/>
      <c r="N471" s="44"/>
      <c r="O471" s="44"/>
      <c r="P471" s="44"/>
      <c r="Q471" s="44"/>
      <c r="R471" s="44"/>
      <c r="S471" s="44"/>
    </row>
    <row r="472" spans="1:19" ht="14.1" customHeight="1">
      <c r="A472" s="27" t="s">
        <v>3845</v>
      </c>
      <c r="B472" s="27" t="s">
        <v>180</v>
      </c>
      <c r="C472" s="27" t="s">
        <v>181</v>
      </c>
      <c r="D472" s="27" t="s">
        <v>172</v>
      </c>
      <c r="E472" s="28">
        <v>34056.25</v>
      </c>
      <c r="F472" s="27" t="s">
        <v>4073</v>
      </c>
      <c r="G472" s="48"/>
      <c r="H472" s="47" t="str">
        <f t="shared" si="21"/>
        <v>ORINOQUIA</v>
      </c>
      <c r="I472" s="6">
        <f t="shared" si="22"/>
        <v>34056.25</v>
      </c>
      <c r="J472" s="47">
        <f t="shared" si="23"/>
        <v>34056.25</v>
      </c>
      <c r="L472" s="44"/>
      <c r="M472" s="44"/>
      <c r="N472" s="44"/>
      <c r="O472" s="44"/>
      <c r="P472" s="44"/>
      <c r="Q472" s="44"/>
      <c r="R472" s="44"/>
      <c r="S472" s="44"/>
    </row>
    <row r="473" spans="1:19" ht="14.1" customHeight="1">
      <c r="A473" s="27" t="s">
        <v>3845</v>
      </c>
      <c r="B473" s="27" t="s">
        <v>180</v>
      </c>
      <c r="C473" s="27" t="s">
        <v>263</v>
      </c>
      <c r="D473" s="27" t="s">
        <v>172</v>
      </c>
      <c r="E473" s="28">
        <v>199043.33</v>
      </c>
      <c r="F473" s="27" t="s">
        <v>4073</v>
      </c>
      <c r="G473" s="48"/>
      <c r="H473" s="47" t="str">
        <f t="shared" si="21"/>
        <v>ORINOQUIA</v>
      </c>
      <c r="I473" s="6">
        <f t="shared" si="22"/>
        <v>199043.33</v>
      </c>
      <c r="J473" s="47">
        <f t="shared" si="23"/>
        <v>199043.33</v>
      </c>
      <c r="L473" s="44"/>
      <c r="M473" s="44"/>
      <c r="N473" s="44"/>
      <c r="O473" s="44"/>
      <c r="P473" s="44"/>
      <c r="Q473" s="44"/>
      <c r="R473" s="44"/>
      <c r="S473" s="44"/>
    </row>
    <row r="474" spans="1:19" ht="14.1" customHeight="1">
      <c r="A474" s="27" t="s">
        <v>3845</v>
      </c>
      <c r="B474" s="27" t="s">
        <v>180</v>
      </c>
      <c r="C474" s="27" t="s">
        <v>277</v>
      </c>
      <c r="D474" s="27" t="s">
        <v>172</v>
      </c>
      <c r="E474" s="28">
        <v>90689.07</v>
      </c>
      <c r="F474" s="27" t="s">
        <v>4073</v>
      </c>
      <c r="G474" s="48"/>
      <c r="H474" s="47" t="str">
        <f t="shared" si="21"/>
        <v>ORINOQUIA</v>
      </c>
      <c r="I474" s="6">
        <f t="shared" si="22"/>
        <v>90689.07</v>
      </c>
      <c r="J474" s="47">
        <f t="shared" si="23"/>
        <v>90689.07</v>
      </c>
      <c r="L474" s="44"/>
      <c r="M474" s="44"/>
      <c r="N474" s="44"/>
      <c r="O474" s="44"/>
      <c r="P474" s="44"/>
      <c r="Q474" s="44"/>
      <c r="R474" s="44"/>
      <c r="S474" s="44"/>
    </row>
    <row r="475" spans="1:19" ht="14.1" customHeight="1">
      <c r="A475" s="27" t="s">
        <v>3845</v>
      </c>
      <c r="B475" s="27" t="s">
        <v>180</v>
      </c>
      <c r="C475" s="27" t="s">
        <v>300</v>
      </c>
      <c r="D475" s="27" t="s">
        <v>172</v>
      </c>
      <c r="E475" s="28">
        <v>66141.87</v>
      </c>
      <c r="F475" s="27" t="s">
        <v>4073</v>
      </c>
      <c r="G475" s="48"/>
      <c r="H475" s="47" t="str">
        <f t="shared" si="21"/>
        <v>ORINOQUIA</v>
      </c>
      <c r="I475" s="6">
        <f t="shared" si="22"/>
        <v>66141.87</v>
      </c>
      <c r="J475" s="47">
        <f t="shared" si="23"/>
        <v>66141.87</v>
      </c>
      <c r="L475" s="44"/>
      <c r="M475" s="44"/>
      <c r="N475" s="44"/>
      <c r="O475" s="44"/>
      <c r="P475" s="44"/>
      <c r="Q475" s="44"/>
      <c r="R475" s="44"/>
      <c r="S475" s="44"/>
    </row>
    <row r="476" spans="1:19" ht="14.1" customHeight="1">
      <c r="A476" s="27" t="s">
        <v>3845</v>
      </c>
      <c r="B476" s="27" t="s">
        <v>180</v>
      </c>
      <c r="C476" s="27" t="s">
        <v>242</v>
      </c>
      <c r="D476" s="27" t="s">
        <v>172</v>
      </c>
      <c r="E476" s="28">
        <v>30788.89</v>
      </c>
      <c r="F476" s="27" t="s">
        <v>4074</v>
      </c>
      <c r="G476" s="48"/>
      <c r="H476" s="47" t="str">
        <f t="shared" si="21"/>
        <v>ORINOQUIA</v>
      </c>
      <c r="I476" s="6">
        <f t="shared" si="22"/>
        <v>30788.89</v>
      </c>
      <c r="J476" s="47">
        <f t="shared" si="23"/>
        <v>30788.89</v>
      </c>
      <c r="L476" s="44"/>
      <c r="M476" s="44"/>
      <c r="N476" s="44"/>
      <c r="O476" s="44"/>
      <c r="P476" s="44"/>
      <c r="Q476" s="44"/>
      <c r="R476" s="44"/>
      <c r="S476" s="44"/>
    </row>
    <row r="477" spans="1:19" ht="14.1" customHeight="1">
      <c r="A477" s="27" t="s">
        <v>3845</v>
      </c>
      <c r="B477" s="27" t="s">
        <v>180</v>
      </c>
      <c r="C477" s="27" t="s">
        <v>254</v>
      </c>
      <c r="D477" s="27" t="s">
        <v>172</v>
      </c>
      <c r="E477" s="28">
        <v>146171.37</v>
      </c>
      <c r="F477" s="27" t="s">
        <v>4073</v>
      </c>
      <c r="G477" s="48"/>
      <c r="H477" s="47" t="str">
        <f t="shared" si="21"/>
        <v>ORINOQUIA</v>
      </c>
      <c r="I477" s="6">
        <f t="shared" si="22"/>
        <v>146171.37</v>
      </c>
      <c r="J477" s="47">
        <f t="shared" si="23"/>
        <v>146171.37</v>
      </c>
      <c r="L477" s="44"/>
      <c r="M477" s="44"/>
      <c r="N477" s="44"/>
      <c r="O477" s="44"/>
      <c r="P477" s="44"/>
      <c r="Q477" s="44"/>
      <c r="R477" s="44"/>
      <c r="S477" s="44"/>
    </row>
    <row r="478" spans="1:19" ht="14.1" customHeight="1">
      <c r="A478" s="27" t="s">
        <v>3845</v>
      </c>
      <c r="B478" s="27" t="s">
        <v>180</v>
      </c>
      <c r="C478" s="27" t="s">
        <v>305</v>
      </c>
      <c r="D478" s="27" t="s">
        <v>172</v>
      </c>
      <c r="E478" s="28">
        <v>72327.89</v>
      </c>
      <c r="F478" s="27" t="s">
        <v>4073</v>
      </c>
      <c r="G478" s="48"/>
      <c r="H478" s="47" t="str">
        <f t="shared" si="21"/>
        <v>ORINOQUIA</v>
      </c>
      <c r="I478" s="6">
        <f t="shared" si="22"/>
        <v>72327.89</v>
      </c>
      <c r="J478" s="47">
        <f t="shared" si="23"/>
        <v>72327.89</v>
      </c>
      <c r="L478" s="44"/>
      <c r="M478" s="44"/>
      <c r="N478" s="44"/>
      <c r="O478" s="44"/>
      <c r="P478" s="44"/>
      <c r="Q478" s="44"/>
      <c r="R478" s="44"/>
      <c r="S478" s="44"/>
    </row>
    <row r="479" spans="1:19" ht="14.1" customHeight="1">
      <c r="A479" s="27" t="s">
        <v>3845</v>
      </c>
      <c r="B479" s="27" t="s">
        <v>180</v>
      </c>
      <c r="C479" s="27" t="s">
        <v>297</v>
      </c>
      <c r="D479" s="27" t="s">
        <v>172</v>
      </c>
      <c r="E479" s="28">
        <v>149375.29999999999</v>
      </c>
      <c r="F479" s="27" t="s">
        <v>4073</v>
      </c>
      <c r="G479" s="48"/>
      <c r="H479" s="47" t="str">
        <f t="shared" si="21"/>
        <v>ORINOQUIA</v>
      </c>
      <c r="I479" s="6">
        <f t="shared" si="22"/>
        <v>149375.29999999999</v>
      </c>
      <c r="J479" s="47">
        <f t="shared" si="23"/>
        <v>149375.29999999999</v>
      </c>
      <c r="L479" s="44"/>
      <c r="M479" s="44"/>
      <c r="N479" s="44"/>
      <c r="O479" s="44"/>
      <c r="P479" s="44"/>
      <c r="Q479" s="44"/>
      <c r="R479" s="44"/>
      <c r="S479" s="44"/>
    </row>
    <row r="480" spans="1:19" ht="14.1" customHeight="1">
      <c r="A480" s="27" t="s">
        <v>3845</v>
      </c>
      <c r="B480" s="27" t="s">
        <v>180</v>
      </c>
      <c r="C480" s="27" t="s">
        <v>314</v>
      </c>
      <c r="D480" s="27" t="s">
        <v>172</v>
      </c>
      <c r="E480" s="28">
        <v>25973.27</v>
      </c>
      <c r="F480" s="27" t="s">
        <v>4074</v>
      </c>
      <c r="G480" s="48"/>
      <c r="H480" s="47" t="str">
        <f t="shared" si="21"/>
        <v>ORINOQUIA</v>
      </c>
      <c r="I480" s="6">
        <f t="shared" si="22"/>
        <v>25973.27</v>
      </c>
      <c r="J480" s="47">
        <f t="shared" si="23"/>
        <v>25973.27</v>
      </c>
      <c r="L480" s="44"/>
      <c r="M480" s="44"/>
      <c r="N480" s="44"/>
      <c r="O480" s="44"/>
      <c r="P480" s="44"/>
      <c r="Q480" s="44"/>
      <c r="R480" s="44"/>
      <c r="S480" s="44"/>
    </row>
    <row r="481" spans="1:19" ht="14.1" customHeight="1">
      <c r="A481" s="27" t="s">
        <v>3845</v>
      </c>
      <c r="B481" s="27" t="s">
        <v>180</v>
      </c>
      <c r="C481" s="27" t="s">
        <v>182</v>
      </c>
      <c r="D481" s="27" t="s">
        <v>172</v>
      </c>
      <c r="E481" s="28">
        <v>151029.59</v>
      </c>
      <c r="F481" s="27" t="s">
        <v>4073</v>
      </c>
      <c r="G481" s="48"/>
      <c r="H481" s="47" t="str">
        <f t="shared" si="21"/>
        <v>ORINOQUIA</v>
      </c>
      <c r="I481" s="6">
        <f t="shared" si="22"/>
        <v>151029.59</v>
      </c>
      <c r="J481" s="47">
        <f t="shared" si="23"/>
        <v>151029.59</v>
      </c>
      <c r="L481" s="44"/>
      <c r="M481" s="44"/>
      <c r="N481" s="44"/>
      <c r="O481" s="44"/>
      <c r="P481" s="44"/>
      <c r="Q481" s="44"/>
      <c r="R481" s="44"/>
      <c r="S481" s="44"/>
    </row>
    <row r="482" spans="1:19" ht="14.1" customHeight="1">
      <c r="A482" s="27" t="s">
        <v>3846</v>
      </c>
      <c r="B482" s="27" t="s">
        <v>4072</v>
      </c>
      <c r="C482" s="27" t="s">
        <v>316</v>
      </c>
      <c r="D482" s="27" t="s">
        <v>172</v>
      </c>
      <c r="E482" s="28">
        <v>46378.17</v>
      </c>
      <c r="F482" s="27" t="s">
        <v>4073</v>
      </c>
      <c r="G482" s="48"/>
      <c r="H482" s="47" t="str">
        <f t="shared" si="21"/>
        <v>PACIFICO</v>
      </c>
      <c r="I482" s="6">
        <f t="shared" si="22"/>
        <v>46401.65</v>
      </c>
      <c r="J482" s="47">
        <f t="shared" si="23"/>
        <v>46401.65</v>
      </c>
      <c r="L482" s="46"/>
      <c r="M482" s="46"/>
      <c r="N482" s="46"/>
      <c r="O482" s="46"/>
      <c r="P482" s="46"/>
      <c r="Q482" s="46"/>
      <c r="R482" s="46"/>
      <c r="S482" s="46"/>
    </row>
    <row r="483" spans="1:19" ht="14.1" customHeight="1">
      <c r="A483" s="27" t="s">
        <v>3846</v>
      </c>
      <c r="B483" s="27" t="s">
        <v>137</v>
      </c>
      <c r="C483" s="27" t="s">
        <v>291</v>
      </c>
      <c r="D483" s="27" t="s">
        <v>172</v>
      </c>
      <c r="E483" s="28">
        <v>22086.61</v>
      </c>
      <c r="F483" s="27" t="s">
        <v>4073</v>
      </c>
      <c r="G483" s="48"/>
      <c r="H483" s="47" t="str">
        <f t="shared" si="21"/>
        <v>PACIFICO</v>
      </c>
      <c r="I483" s="6">
        <f t="shared" si="22"/>
        <v>22086.61</v>
      </c>
      <c r="J483" s="47">
        <f t="shared" si="23"/>
        <v>22086.61</v>
      </c>
      <c r="L483" s="44"/>
      <c r="M483" s="44"/>
      <c r="N483" s="44"/>
      <c r="O483" s="44"/>
      <c r="P483" s="44"/>
      <c r="Q483" s="44"/>
      <c r="R483" s="44"/>
      <c r="S483" s="44"/>
    </row>
    <row r="484" spans="1:19" ht="14.1" customHeight="1">
      <c r="A484" s="27" t="s">
        <v>3846</v>
      </c>
      <c r="B484" s="27" t="s">
        <v>137</v>
      </c>
      <c r="C484" s="27" t="s">
        <v>243</v>
      </c>
      <c r="D484" s="27" t="s">
        <v>172</v>
      </c>
      <c r="E484" s="28">
        <v>21754.73</v>
      </c>
      <c r="F484" s="27" t="s">
        <v>4073</v>
      </c>
      <c r="G484" s="48"/>
      <c r="H484" s="47" t="str">
        <f t="shared" si="21"/>
        <v>PACIFICO</v>
      </c>
      <c r="I484" s="6">
        <f t="shared" si="22"/>
        <v>23239.263333333332</v>
      </c>
      <c r="J484" s="47">
        <f t="shared" si="23"/>
        <v>23239.263333333332</v>
      </c>
      <c r="L484" s="44"/>
      <c r="M484" s="44"/>
      <c r="N484" s="44"/>
      <c r="O484" s="44"/>
      <c r="P484" s="44"/>
      <c r="Q484" s="44"/>
      <c r="R484" s="44"/>
      <c r="S484" s="44"/>
    </row>
    <row r="485" spans="1:19" ht="14.1" customHeight="1">
      <c r="A485" s="27" t="s">
        <v>3846</v>
      </c>
      <c r="B485" s="27" t="s">
        <v>137</v>
      </c>
      <c r="C485" s="27" t="s">
        <v>237</v>
      </c>
      <c r="D485" s="27" t="s">
        <v>172</v>
      </c>
      <c r="E485" s="28">
        <v>27013.19</v>
      </c>
      <c r="F485" s="27" t="s">
        <v>4074</v>
      </c>
      <c r="G485" s="48"/>
      <c r="H485" s="47" t="str">
        <f t="shared" si="21"/>
        <v>PACIFICO</v>
      </c>
      <c r="I485" s="6">
        <f t="shared" si="22"/>
        <v>27013.19</v>
      </c>
      <c r="J485" s="47">
        <f t="shared" si="23"/>
        <v>27013.19</v>
      </c>
      <c r="L485" s="44"/>
      <c r="M485" s="44"/>
      <c r="N485" s="44"/>
      <c r="O485" s="44"/>
      <c r="P485" s="44"/>
      <c r="Q485" s="44"/>
      <c r="R485" s="44"/>
      <c r="S485" s="44"/>
    </row>
    <row r="486" spans="1:19" ht="14.1" customHeight="1">
      <c r="A486" s="27" t="s">
        <v>3846</v>
      </c>
      <c r="B486" s="27" t="s">
        <v>137</v>
      </c>
      <c r="C486" s="27" t="s">
        <v>246</v>
      </c>
      <c r="D486" s="27" t="s">
        <v>172</v>
      </c>
      <c r="E486" s="28">
        <v>65250.53</v>
      </c>
      <c r="F486" s="27" t="s">
        <v>4073</v>
      </c>
      <c r="G486" s="48"/>
      <c r="H486" s="47" t="str">
        <f t="shared" si="21"/>
        <v>PACIFICO</v>
      </c>
      <c r="I486" s="6">
        <f t="shared" si="22"/>
        <v>65250.53</v>
      </c>
      <c r="J486" s="47">
        <f t="shared" si="23"/>
        <v>65250.53</v>
      </c>
      <c r="L486" s="44"/>
      <c r="M486" s="44"/>
      <c r="N486" s="44"/>
      <c r="O486" s="44"/>
      <c r="P486" s="44"/>
      <c r="Q486" s="44"/>
      <c r="R486" s="44"/>
      <c r="S486" s="44"/>
    </row>
    <row r="487" spans="1:19" ht="14.1" customHeight="1">
      <c r="A487" s="27" t="s">
        <v>3846</v>
      </c>
      <c r="B487" s="27" t="s">
        <v>170</v>
      </c>
      <c r="C487" s="27" t="s">
        <v>259</v>
      </c>
      <c r="D487" s="27" t="s">
        <v>172</v>
      </c>
      <c r="E487" s="28">
        <v>307404.34999999998</v>
      </c>
      <c r="F487" s="27" t="s">
        <v>4074</v>
      </c>
      <c r="G487" s="48"/>
      <c r="H487" s="47" t="str">
        <f t="shared" si="21"/>
        <v>PACIFICO</v>
      </c>
      <c r="I487" s="6">
        <f t="shared" si="22"/>
        <v>307404.34999999998</v>
      </c>
      <c r="J487" s="47">
        <f t="shared" si="23"/>
        <v>307404.34999999998</v>
      </c>
      <c r="L487" s="44"/>
      <c r="M487" s="44"/>
      <c r="N487" s="44"/>
      <c r="O487" s="44"/>
      <c r="P487" s="44"/>
      <c r="Q487" s="44"/>
      <c r="R487" s="44"/>
      <c r="S487" s="44"/>
    </row>
    <row r="488" spans="1:19" ht="14.1" customHeight="1">
      <c r="A488" s="27" t="s">
        <v>3846</v>
      </c>
      <c r="B488" s="27" t="s">
        <v>170</v>
      </c>
      <c r="C488" s="27" t="s">
        <v>276</v>
      </c>
      <c r="D488" s="27" t="s">
        <v>172</v>
      </c>
      <c r="E488" s="28">
        <v>83726.98</v>
      </c>
      <c r="F488" s="27" t="s">
        <v>4073</v>
      </c>
      <c r="G488" s="48"/>
      <c r="H488" s="47" t="str">
        <f t="shared" si="21"/>
        <v>PACIFICO</v>
      </c>
      <c r="I488" s="6">
        <f t="shared" si="22"/>
        <v>83726.98</v>
      </c>
      <c r="J488" s="47">
        <f t="shared" si="23"/>
        <v>83726.98</v>
      </c>
      <c r="L488" s="44"/>
      <c r="M488" s="44"/>
      <c r="N488" s="44"/>
      <c r="O488" s="44"/>
      <c r="P488" s="44"/>
      <c r="Q488" s="44"/>
      <c r="R488" s="44"/>
      <c r="S488" s="44"/>
    </row>
    <row r="489" spans="1:19" ht="14.1" customHeight="1">
      <c r="A489" s="27" t="s">
        <v>3846</v>
      </c>
      <c r="B489" s="27" t="s">
        <v>170</v>
      </c>
      <c r="C489" s="27" t="s">
        <v>240</v>
      </c>
      <c r="D489" s="27" t="s">
        <v>172</v>
      </c>
      <c r="E489" s="28">
        <v>23042.55</v>
      </c>
      <c r="F489" s="27" t="s">
        <v>4074</v>
      </c>
      <c r="G489" s="48"/>
      <c r="H489" s="47" t="str">
        <f t="shared" si="21"/>
        <v>PACIFICO</v>
      </c>
      <c r="I489" s="6">
        <f t="shared" si="22"/>
        <v>23042.55</v>
      </c>
      <c r="J489" s="47">
        <f t="shared" si="23"/>
        <v>23042.55</v>
      </c>
      <c r="L489" s="44"/>
      <c r="M489" s="44"/>
      <c r="N489" s="44"/>
      <c r="O489" s="44"/>
      <c r="P489" s="44"/>
      <c r="Q489" s="44"/>
      <c r="R489" s="44"/>
      <c r="S489" s="44"/>
    </row>
    <row r="490" spans="1:19" ht="14.1" customHeight="1">
      <c r="A490" s="27" t="s">
        <v>3846</v>
      </c>
      <c r="B490" s="27" t="s">
        <v>170</v>
      </c>
      <c r="C490" s="27" t="s">
        <v>251</v>
      </c>
      <c r="D490" s="27" t="s">
        <v>226</v>
      </c>
      <c r="E490" s="28">
        <v>61445.54</v>
      </c>
      <c r="F490" s="27" t="s">
        <v>4073</v>
      </c>
      <c r="G490" s="48"/>
      <c r="H490" s="47" t="str">
        <f t="shared" si="21"/>
        <v>PACIFICO</v>
      </c>
      <c r="I490" s="6">
        <f t="shared" si="22"/>
        <v>61445.54</v>
      </c>
      <c r="J490" s="47">
        <f t="shared" si="23"/>
        <v>61445.54</v>
      </c>
      <c r="L490" s="44"/>
      <c r="M490" s="44"/>
      <c r="N490" s="44"/>
      <c r="O490" s="44"/>
      <c r="P490" s="44"/>
      <c r="Q490" s="44"/>
      <c r="R490" s="44"/>
      <c r="S490" s="44"/>
    </row>
    <row r="491" spans="1:19" ht="14.1" customHeight="1">
      <c r="A491" s="27" t="s">
        <v>3846</v>
      </c>
      <c r="B491" s="27" t="s">
        <v>170</v>
      </c>
      <c r="C491" s="27" t="s">
        <v>256</v>
      </c>
      <c r="D491" s="27" t="s">
        <v>172</v>
      </c>
      <c r="E491" s="28">
        <v>28891.51</v>
      </c>
      <c r="F491" s="27" t="s">
        <v>4074</v>
      </c>
      <c r="G491" s="48"/>
      <c r="H491" s="47" t="str">
        <f t="shared" si="21"/>
        <v>PACIFICO</v>
      </c>
      <c r="I491" s="6">
        <f t="shared" si="22"/>
        <v>28891.51</v>
      </c>
      <c r="J491" s="47">
        <f t="shared" si="23"/>
        <v>28891.51</v>
      </c>
      <c r="L491" s="44"/>
      <c r="M491" s="44"/>
      <c r="N491" s="44"/>
      <c r="O491" s="44"/>
      <c r="P491" s="44"/>
      <c r="Q491" s="44"/>
      <c r="R491" s="44"/>
      <c r="S491" s="44"/>
    </row>
    <row r="492" spans="1:19" ht="14.1" customHeight="1">
      <c r="A492" s="27" t="s">
        <v>3846</v>
      </c>
      <c r="B492" s="27" t="s">
        <v>170</v>
      </c>
      <c r="C492" s="27" t="s">
        <v>311</v>
      </c>
      <c r="D492" s="27" t="s">
        <v>172</v>
      </c>
      <c r="E492" s="28">
        <v>42543.46</v>
      </c>
      <c r="F492" s="27" t="s">
        <v>4074</v>
      </c>
      <c r="G492" s="48"/>
      <c r="H492" s="47" t="str">
        <f t="shared" si="21"/>
        <v>PACIFICO</v>
      </c>
      <c r="I492" s="6">
        <f t="shared" si="22"/>
        <v>42543.46</v>
      </c>
      <c r="J492" s="47">
        <f t="shared" si="23"/>
        <v>42543.46</v>
      </c>
      <c r="L492" s="44"/>
      <c r="M492" s="44"/>
      <c r="N492" s="44"/>
      <c r="O492" s="44"/>
      <c r="P492" s="44"/>
      <c r="Q492" s="44"/>
      <c r="R492" s="44"/>
      <c r="S492" s="44"/>
    </row>
    <row r="493" spans="1:19" ht="14.1" customHeight="1">
      <c r="A493" s="27" t="s">
        <v>3846</v>
      </c>
      <c r="B493" s="27" t="s">
        <v>170</v>
      </c>
      <c r="C493" s="27" t="s">
        <v>171</v>
      </c>
      <c r="D493" s="27" t="s">
        <v>172</v>
      </c>
      <c r="E493" s="28">
        <v>119680</v>
      </c>
      <c r="F493" s="27" t="s">
        <v>4074</v>
      </c>
      <c r="G493" s="48"/>
      <c r="H493" s="47" t="str">
        <f t="shared" si="21"/>
        <v>PACIFICO</v>
      </c>
      <c r="I493" s="6">
        <f t="shared" si="22"/>
        <v>119680</v>
      </c>
      <c r="J493" s="47">
        <f t="shared" si="23"/>
        <v>119680</v>
      </c>
      <c r="L493" s="44"/>
      <c r="M493" s="44"/>
      <c r="N493" s="44"/>
      <c r="O493" s="44"/>
      <c r="P493" s="44"/>
      <c r="Q493" s="44"/>
      <c r="R493" s="44"/>
      <c r="S493" s="44"/>
    </row>
    <row r="494" spans="1:19" ht="14.1" customHeight="1">
      <c r="A494" s="27" t="s">
        <v>3846</v>
      </c>
      <c r="B494" s="27" t="s">
        <v>170</v>
      </c>
      <c r="C494" s="27" t="s">
        <v>252</v>
      </c>
      <c r="D494" s="27" t="s">
        <v>226</v>
      </c>
      <c r="E494" s="28">
        <v>23181.1</v>
      </c>
      <c r="F494" s="27" t="s">
        <v>4074</v>
      </c>
      <c r="G494" s="48"/>
      <c r="H494" s="47" t="str">
        <f t="shared" si="21"/>
        <v>PACIFICO</v>
      </c>
      <c r="I494" s="6">
        <f t="shared" si="22"/>
        <v>23181.1</v>
      </c>
      <c r="J494" s="47">
        <f t="shared" si="23"/>
        <v>23181.1</v>
      </c>
      <c r="L494" s="44"/>
      <c r="M494" s="44"/>
      <c r="N494" s="44"/>
      <c r="O494" s="44"/>
      <c r="P494" s="44"/>
      <c r="Q494" s="44"/>
      <c r="R494" s="44"/>
      <c r="S494" s="44"/>
    </row>
    <row r="495" spans="1:19" ht="14.1" customHeight="1">
      <c r="A495" s="27" t="s">
        <v>3846</v>
      </c>
      <c r="B495" s="27" t="s">
        <v>170</v>
      </c>
      <c r="C495" s="27" t="s">
        <v>296</v>
      </c>
      <c r="D495" s="27" t="s">
        <v>226</v>
      </c>
      <c r="E495" s="28">
        <v>22960</v>
      </c>
      <c r="F495" s="27" t="s">
        <v>4074</v>
      </c>
      <c r="G495" s="48"/>
      <c r="H495" s="47" t="str">
        <f t="shared" si="21"/>
        <v>PACIFICO</v>
      </c>
      <c r="I495" s="6">
        <f t="shared" si="22"/>
        <v>22960</v>
      </c>
      <c r="J495" s="47">
        <f t="shared" si="23"/>
        <v>22960</v>
      </c>
      <c r="L495" s="44"/>
      <c r="M495" s="44"/>
      <c r="N495" s="44"/>
      <c r="O495" s="44"/>
      <c r="P495" s="44"/>
      <c r="Q495" s="44"/>
      <c r="R495" s="44"/>
      <c r="S495" s="44"/>
    </row>
    <row r="496" spans="1:19" ht="14.1" customHeight="1">
      <c r="A496" s="27" t="s">
        <v>3846</v>
      </c>
      <c r="B496" s="27" t="s">
        <v>170</v>
      </c>
      <c r="C496" s="27" t="s">
        <v>173</v>
      </c>
      <c r="D496" s="27" t="s">
        <v>172</v>
      </c>
      <c r="E496" s="28">
        <v>153472.07999999999</v>
      </c>
      <c r="F496" s="27" t="s">
        <v>4074</v>
      </c>
      <c r="G496" s="48"/>
      <c r="H496" s="47" t="str">
        <f t="shared" si="21"/>
        <v>PACIFICO</v>
      </c>
      <c r="I496" s="6">
        <f t="shared" si="22"/>
        <v>153472.07999999999</v>
      </c>
      <c r="J496" s="47">
        <f t="shared" si="23"/>
        <v>153472.07999999999</v>
      </c>
      <c r="L496" s="44"/>
      <c r="M496" s="44"/>
      <c r="N496" s="44"/>
      <c r="O496" s="44"/>
      <c r="P496" s="44"/>
      <c r="Q496" s="44"/>
      <c r="R496" s="44"/>
      <c r="S496" s="44"/>
    </row>
    <row r="497" spans="1:19" ht="14.1" customHeight="1">
      <c r="A497" s="27" t="s">
        <v>3846</v>
      </c>
      <c r="B497" s="27" t="s">
        <v>170</v>
      </c>
      <c r="C497" s="27" t="s">
        <v>225</v>
      </c>
      <c r="D497" s="27" t="s">
        <v>226</v>
      </c>
      <c r="E497" s="28">
        <v>37977.24</v>
      </c>
      <c r="F497" s="27" t="s">
        <v>4073</v>
      </c>
      <c r="G497" s="48"/>
      <c r="H497" s="47" t="str">
        <f t="shared" si="21"/>
        <v>PACIFICO</v>
      </c>
      <c r="I497" s="6">
        <f t="shared" si="22"/>
        <v>38645.383333333331</v>
      </c>
      <c r="J497" s="47">
        <f t="shared" si="23"/>
        <v>38645.383333333331</v>
      </c>
      <c r="L497" s="44"/>
      <c r="M497" s="44"/>
      <c r="N497" s="44"/>
      <c r="O497" s="44"/>
      <c r="P497" s="44"/>
      <c r="Q497" s="44"/>
      <c r="R497" s="44"/>
      <c r="S497" s="44"/>
    </row>
    <row r="498" spans="1:19" ht="14.1" customHeight="1">
      <c r="A498" s="27" t="s">
        <v>3846</v>
      </c>
      <c r="B498" s="27" t="s">
        <v>176</v>
      </c>
      <c r="C498" s="27" t="s">
        <v>262</v>
      </c>
      <c r="D498" s="27" t="s">
        <v>172</v>
      </c>
      <c r="E498" s="28">
        <v>16637.310000000001</v>
      </c>
      <c r="F498" s="27" t="s">
        <v>4074</v>
      </c>
      <c r="G498" s="48"/>
      <c r="H498" s="47" t="str">
        <f t="shared" si="21"/>
        <v>PACIFICO</v>
      </c>
      <c r="I498" s="6">
        <f t="shared" si="22"/>
        <v>16637.310000000001</v>
      </c>
      <c r="J498" s="47">
        <f t="shared" si="23"/>
        <v>16637.310000000001</v>
      </c>
      <c r="L498" s="44"/>
      <c r="M498" s="44"/>
      <c r="N498" s="44"/>
      <c r="O498" s="44"/>
      <c r="P498" s="44"/>
      <c r="Q498" s="44"/>
      <c r="R498" s="44"/>
      <c r="S498" s="44"/>
    </row>
    <row r="499" spans="1:19" ht="14.1" customHeight="1">
      <c r="A499" s="27" t="s">
        <v>3846</v>
      </c>
      <c r="B499" s="27" t="s">
        <v>176</v>
      </c>
      <c r="C499" s="27" t="s">
        <v>253</v>
      </c>
      <c r="D499" s="27" t="s">
        <v>172</v>
      </c>
      <c r="E499" s="28">
        <v>24023.33</v>
      </c>
      <c r="F499" s="27" t="s">
        <v>4073</v>
      </c>
      <c r="G499" s="48"/>
      <c r="H499" s="47" t="str">
        <f t="shared" si="21"/>
        <v>PACIFICO</v>
      </c>
      <c r="I499" s="6">
        <f t="shared" si="22"/>
        <v>24023.33</v>
      </c>
      <c r="J499" s="47">
        <f t="shared" si="23"/>
        <v>24023.33</v>
      </c>
      <c r="L499" s="44"/>
      <c r="M499" s="44"/>
      <c r="N499" s="44"/>
      <c r="O499" s="44"/>
      <c r="P499" s="44"/>
      <c r="Q499" s="44"/>
      <c r="R499" s="44"/>
      <c r="S499" s="44"/>
    </row>
    <row r="500" spans="1:19" ht="14.1" customHeight="1">
      <c r="A500" s="27" t="s">
        <v>3846</v>
      </c>
      <c r="B500" s="27" t="s">
        <v>176</v>
      </c>
      <c r="C500" s="27" t="s">
        <v>177</v>
      </c>
      <c r="D500" s="27" t="s">
        <v>172</v>
      </c>
      <c r="E500" s="28">
        <v>20200.810000000001</v>
      </c>
      <c r="F500" s="27" t="s">
        <v>4074</v>
      </c>
      <c r="G500" s="48"/>
      <c r="H500" s="47" t="str">
        <f t="shared" si="21"/>
        <v>PACIFICO</v>
      </c>
      <c r="I500" s="6">
        <f t="shared" si="22"/>
        <v>20200.810000000001</v>
      </c>
      <c r="J500" s="47">
        <f t="shared" si="23"/>
        <v>20200.810000000001</v>
      </c>
      <c r="L500" s="44"/>
      <c r="M500" s="44"/>
      <c r="N500" s="44"/>
      <c r="O500" s="44"/>
      <c r="P500" s="44"/>
      <c r="Q500" s="44"/>
      <c r="R500" s="44"/>
      <c r="S500" s="44"/>
    </row>
    <row r="501" spans="1:19" ht="14.1" customHeight="1">
      <c r="A501" s="27" t="s">
        <v>3846</v>
      </c>
      <c r="B501" s="27" t="s">
        <v>176</v>
      </c>
      <c r="C501" s="27" t="s">
        <v>231</v>
      </c>
      <c r="D501" s="27" t="s">
        <v>172</v>
      </c>
      <c r="E501" s="28">
        <v>22119.03</v>
      </c>
      <c r="F501" s="27" t="s">
        <v>4074</v>
      </c>
      <c r="G501" s="48"/>
      <c r="H501" s="47" t="str">
        <f t="shared" si="21"/>
        <v>PACIFICO</v>
      </c>
      <c r="I501" s="6">
        <f t="shared" si="22"/>
        <v>22119.03</v>
      </c>
      <c r="J501" s="47">
        <f t="shared" si="23"/>
        <v>22119.03</v>
      </c>
      <c r="L501" s="44"/>
      <c r="M501" s="44"/>
      <c r="N501" s="44"/>
      <c r="O501" s="44"/>
      <c r="P501" s="44"/>
      <c r="Q501" s="44"/>
      <c r="R501" s="44"/>
      <c r="S501" s="44"/>
    </row>
    <row r="502" spans="1:19" ht="14.1" customHeight="1">
      <c r="A502" s="27" t="s">
        <v>3846</v>
      </c>
      <c r="B502" s="27" t="s">
        <v>180</v>
      </c>
      <c r="C502" s="27" t="s">
        <v>181</v>
      </c>
      <c r="D502" s="27" t="s">
        <v>172</v>
      </c>
      <c r="E502" s="28">
        <v>34056.25</v>
      </c>
      <c r="F502" s="27" t="s">
        <v>4073</v>
      </c>
      <c r="G502" s="48"/>
      <c r="H502" s="47" t="str">
        <f t="shared" si="21"/>
        <v>PACIFICO</v>
      </c>
      <c r="I502" s="6">
        <f t="shared" si="22"/>
        <v>34056.25</v>
      </c>
      <c r="J502" s="47">
        <f t="shared" si="23"/>
        <v>34056.25</v>
      </c>
      <c r="L502" s="44"/>
      <c r="M502" s="44"/>
      <c r="N502" s="44"/>
      <c r="O502" s="44"/>
      <c r="P502" s="44"/>
      <c r="Q502" s="44"/>
      <c r="R502" s="44"/>
      <c r="S502" s="44"/>
    </row>
    <row r="503" spans="1:19" ht="14.1" customHeight="1">
      <c r="A503" s="27" t="s">
        <v>3846</v>
      </c>
      <c r="B503" s="27" t="s">
        <v>180</v>
      </c>
      <c r="C503" s="27" t="s">
        <v>263</v>
      </c>
      <c r="D503" s="27" t="s">
        <v>172</v>
      </c>
      <c r="E503" s="28">
        <v>196391.98</v>
      </c>
      <c r="F503" s="27" t="s">
        <v>4074</v>
      </c>
      <c r="G503" s="48"/>
      <c r="H503" s="47" t="str">
        <f t="shared" si="21"/>
        <v>PACIFICO</v>
      </c>
      <c r="I503" s="6">
        <f t="shared" si="22"/>
        <v>196391.98</v>
      </c>
      <c r="J503" s="47">
        <f t="shared" si="23"/>
        <v>196391.98</v>
      </c>
      <c r="L503" s="44"/>
      <c r="M503" s="44"/>
      <c r="N503" s="44"/>
      <c r="O503" s="44"/>
      <c r="P503" s="44"/>
      <c r="Q503" s="44"/>
      <c r="R503" s="44"/>
      <c r="S503" s="44"/>
    </row>
    <row r="504" spans="1:19" ht="14.1" customHeight="1">
      <c r="A504" s="27" t="s">
        <v>3846</v>
      </c>
      <c r="B504" s="27" t="s">
        <v>180</v>
      </c>
      <c r="C504" s="27" t="s">
        <v>277</v>
      </c>
      <c r="D504" s="27" t="s">
        <v>172</v>
      </c>
      <c r="E504" s="28">
        <v>90689.07</v>
      </c>
      <c r="F504" s="27" t="s">
        <v>4073</v>
      </c>
      <c r="G504" s="48"/>
      <c r="H504" s="47" t="str">
        <f t="shared" si="21"/>
        <v>PACIFICO</v>
      </c>
      <c r="I504" s="6">
        <f t="shared" si="22"/>
        <v>90689.07</v>
      </c>
      <c r="J504" s="47">
        <f t="shared" si="23"/>
        <v>90689.07</v>
      </c>
      <c r="L504" s="44"/>
      <c r="M504" s="44"/>
      <c r="N504" s="44"/>
      <c r="O504" s="44"/>
      <c r="P504" s="44"/>
      <c r="Q504" s="44"/>
      <c r="R504" s="44"/>
      <c r="S504" s="44"/>
    </row>
    <row r="505" spans="1:19" ht="14.1" customHeight="1">
      <c r="A505" s="27" t="s">
        <v>3846</v>
      </c>
      <c r="B505" s="27" t="s">
        <v>180</v>
      </c>
      <c r="C505" s="27" t="s">
        <v>300</v>
      </c>
      <c r="D505" s="27" t="s">
        <v>172</v>
      </c>
      <c r="E505" s="28">
        <v>66141.87</v>
      </c>
      <c r="F505" s="27" t="s">
        <v>4073</v>
      </c>
      <c r="G505" s="48"/>
      <c r="H505" s="47" t="str">
        <f t="shared" si="21"/>
        <v>PACIFICO</v>
      </c>
      <c r="I505" s="6">
        <f t="shared" si="22"/>
        <v>66141.87</v>
      </c>
      <c r="J505" s="47">
        <f t="shared" si="23"/>
        <v>66141.87</v>
      </c>
      <c r="L505" s="44"/>
      <c r="M505" s="44"/>
      <c r="N505" s="44"/>
      <c r="O505" s="44"/>
      <c r="P505" s="44"/>
      <c r="Q505" s="44"/>
      <c r="R505" s="44"/>
      <c r="S505" s="44"/>
    </row>
    <row r="506" spans="1:19" ht="14.1" customHeight="1">
      <c r="A506" s="27" t="s">
        <v>3846</v>
      </c>
      <c r="B506" s="27" t="s">
        <v>180</v>
      </c>
      <c r="C506" s="27" t="s">
        <v>242</v>
      </c>
      <c r="D506" s="27" t="s">
        <v>172</v>
      </c>
      <c r="E506" s="28">
        <v>30822.73</v>
      </c>
      <c r="F506" s="27" t="s">
        <v>4074</v>
      </c>
      <c r="G506" s="48"/>
      <c r="H506" s="47" t="str">
        <f t="shared" si="21"/>
        <v>PACIFICO</v>
      </c>
      <c r="I506" s="6">
        <f t="shared" si="22"/>
        <v>30822.73</v>
      </c>
      <c r="J506" s="47">
        <f t="shared" si="23"/>
        <v>30822.73</v>
      </c>
      <c r="L506" s="44"/>
      <c r="M506" s="44"/>
      <c r="N506" s="44"/>
      <c r="O506" s="44"/>
      <c r="P506" s="44"/>
      <c r="Q506" s="44"/>
      <c r="R506" s="44"/>
      <c r="S506" s="44"/>
    </row>
    <row r="507" spans="1:19" ht="14.1" customHeight="1">
      <c r="A507" s="27" t="s">
        <v>3846</v>
      </c>
      <c r="B507" s="27" t="s">
        <v>180</v>
      </c>
      <c r="C507" s="27" t="s">
        <v>254</v>
      </c>
      <c r="D507" s="27" t="s">
        <v>172</v>
      </c>
      <c r="E507" s="28">
        <v>146171.37</v>
      </c>
      <c r="F507" s="27" t="s">
        <v>4073</v>
      </c>
      <c r="G507" s="48"/>
      <c r="H507" s="47" t="str">
        <f t="shared" si="21"/>
        <v>PACIFICO</v>
      </c>
      <c r="I507" s="6">
        <f t="shared" si="22"/>
        <v>149551.74666666667</v>
      </c>
      <c r="J507" s="47">
        <f t="shared" si="23"/>
        <v>149551.74666666667</v>
      </c>
      <c r="L507" s="44"/>
      <c r="M507" s="44"/>
      <c r="N507" s="44"/>
      <c r="O507" s="44"/>
      <c r="P507" s="44"/>
      <c r="Q507" s="44"/>
      <c r="R507" s="44"/>
      <c r="S507" s="44"/>
    </row>
    <row r="508" spans="1:19" ht="14.1" customHeight="1">
      <c r="A508" s="27" t="s">
        <v>3846</v>
      </c>
      <c r="B508" s="27" t="s">
        <v>180</v>
      </c>
      <c r="C508" s="27" t="s">
        <v>305</v>
      </c>
      <c r="D508" s="27" t="s">
        <v>172</v>
      </c>
      <c r="E508" s="28">
        <v>72327.89</v>
      </c>
      <c r="F508" s="27" t="s">
        <v>4073</v>
      </c>
      <c r="G508" s="48"/>
      <c r="H508" s="47" t="str">
        <f t="shared" si="21"/>
        <v>PACIFICO</v>
      </c>
      <c r="I508" s="6">
        <f t="shared" si="22"/>
        <v>74107.483333333337</v>
      </c>
      <c r="J508" s="47">
        <f t="shared" si="23"/>
        <v>74107.483333333337</v>
      </c>
      <c r="L508" s="44"/>
      <c r="M508" s="44"/>
      <c r="N508" s="44"/>
      <c r="O508" s="44"/>
      <c r="P508" s="44"/>
      <c r="Q508" s="44"/>
      <c r="R508" s="44"/>
      <c r="S508" s="44"/>
    </row>
    <row r="509" spans="1:19" ht="14.1" customHeight="1">
      <c r="A509" s="27" t="s">
        <v>3846</v>
      </c>
      <c r="B509" s="27" t="s">
        <v>180</v>
      </c>
      <c r="C509" s="27" t="s">
        <v>297</v>
      </c>
      <c r="D509" s="27" t="s">
        <v>172</v>
      </c>
      <c r="E509" s="28">
        <v>149375.29999999999</v>
      </c>
      <c r="F509" s="27" t="s">
        <v>4073</v>
      </c>
      <c r="G509" s="48"/>
      <c r="H509" s="47" t="str">
        <f t="shared" si="21"/>
        <v>PACIFICO</v>
      </c>
      <c r="I509" s="6">
        <f t="shared" si="22"/>
        <v>149375.29999999999</v>
      </c>
      <c r="J509" s="47">
        <f t="shared" si="23"/>
        <v>149375.29999999999</v>
      </c>
      <c r="L509" s="44"/>
      <c r="M509" s="44"/>
      <c r="N509" s="44"/>
      <c r="O509" s="44"/>
      <c r="P509" s="44"/>
      <c r="Q509" s="44"/>
      <c r="R509" s="44"/>
      <c r="S509" s="44"/>
    </row>
    <row r="510" spans="1:19" ht="14.1" customHeight="1">
      <c r="A510" s="27" t="s">
        <v>3846</v>
      </c>
      <c r="B510" s="27" t="s">
        <v>180</v>
      </c>
      <c r="C510" s="27" t="s">
        <v>314</v>
      </c>
      <c r="D510" s="27" t="s">
        <v>172</v>
      </c>
      <c r="E510" s="28">
        <v>28103.200000000001</v>
      </c>
      <c r="F510" s="27" t="s">
        <v>4073</v>
      </c>
      <c r="G510" s="48"/>
      <c r="H510" s="47" t="str">
        <f t="shared" si="21"/>
        <v>PACIFICO</v>
      </c>
      <c r="I510" s="6">
        <f t="shared" si="22"/>
        <v>27777.286666666667</v>
      </c>
      <c r="J510" s="47">
        <f t="shared" si="23"/>
        <v>27777.286666666667</v>
      </c>
      <c r="L510" s="44"/>
      <c r="M510" s="44"/>
      <c r="N510" s="44"/>
      <c r="O510" s="44"/>
      <c r="P510" s="44"/>
      <c r="Q510" s="44"/>
      <c r="R510" s="44"/>
      <c r="S510" s="44"/>
    </row>
    <row r="511" spans="1:19" ht="14.1" customHeight="1">
      <c r="A511" s="27" t="s">
        <v>3846</v>
      </c>
      <c r="B511" s="27" t="s">
        <v>180</v>
      </c>
      <c r="C511" s="27" t="s">
        <v>182</v>
      </c>
      <c r="D511" s="27" t="s">
        <v>172</v>
      </c>
      <c r="E511" s="28">
        <v>151029.59</v>
      </c>
      <c r="F511" s="27" t="s">
        <v>4073</v>
      </c>
      <c r="G511" s="48"/>
      <c r="H511" s="47" t="str">
        <f t="shared" si="21"/>
        <v>PACIFICO</v>
      </c>
      <c r="I511" s="6">
        <f t="shared" si="22"/>
        <v>152821.80666666667</v>
      </c>
      <c r="J511" s="47">
        <f t="shared" si="23"/>
        <v>152821.80666666667</v>
      </c>
      <c r="L511" s="44"/>
      <c r="M511" s="44"/>
      <c r="N511" s="44"/>
      <c r="O511" s="44"/>
      <c r="P511" s="44"/>
      <c r="Q511" s="44"/>
      <c r="R511" s="44"/>
      <c r="S511" s="44"/>
    </row>
    <row r="512" spans="1:19" ht="14.1" customHeight="1">
      <c r="A512" s="27" t="s">
        <v>3847</v>
      </c>
      <c r="B512" s="27" t="s">
        <v>4072</v>
      </c>
      <c r="C512" s="27" t="s">
        <v>316</v>
      </c>
      <c r="D512" s="27" t="s">
        <v>172</v>
      </c>
      <c r="E512" s="28">
        <v>46378.17</v>
      </c>
      <c r="F512" s="27" t="s">
        <v>4073</v>
      </c>
      <c r="G512" s="48"/>
      <c r="H512" s="47" t="str">
        <f t="shared" si="21"/>
        <v>ANDINA</v>
      </c>
      <c r="I512" s="6">
        <f t="shared" si="22"/>
        <v>46393.717272727263</v>
      </c>
      <c r="J512" s="47">
        <f t="shared" si="23"/>
        <v>46393.717272727263</v>
      </c>
      <c r="L512" s="46"/>
      <c r="M512" s="46"/>
      <c r="N512" s="46"/>
      <c r="O512" s="46"/>
      <c r="P512" s="46"/>
      <c r="Q512" s="46"/>
      <c r="R512" s="46"/>
      <c r="S512" s="46"/>
    </row>
    <row r="513" spans="1:19" ht="14.1" customHeight="1">
      <c r="A513" s="27" t="s">
        <v>3847</v>
      </c>
      <c r="B513" s="27" t="s">
        <v>137</v>
      </c>
      <c r="C513" s="27" t="s">
        <v>291</v>
      </c>
      <c r="D513" s="27" t="s">
        <v>172</v>
      </c>
      <c r="E513" s="28">
        <v>22086.61</v>
      </c>
      <c r="F513" s="27" t="s">
        <v>4073</v>
      </c>
      <c r="G513" s="48"/>
      <c r="H513" s="47" t="str">
        <f t="shared" si="21"/>
        <v>ANDINA</v>
      </c>
      <c r="I513" s="6">
        <f t="shared" si="22"/>
        <v>22820.238181818186</v>
      </c>
      <c r="J513" s="47">
        <f t="shared" si="23"/>
        <v>22820.238181818186</v>
      </c>
      <c r="L513" s="44"/>
      <c r="M513" s="44"/>
      <c r="N513" s="44"/>
      <c r="O513" s="44"/>
      <c r="P513" s="44"/>
      <c r="Q513" s="44"/>
      <c r="R513" s="44"/>
      <c r="S513" s="44"/>
    </row>
    <row r="514" spans="1:19" ht="14.1" customHeight="1">
      <c r="A514" s="27" t="s">
        <v>3847</v>
      </c>
      <c r="B514" s="27" t="s">
        <v>137</v>
      </c>
      <c r="C514" s="27" t="s">
        <v>243</v>
      </c>
      <c r="D514" s="27" t="s">
        <v>172</v>
      </c>
      <c r="E514" s="28">
        <v>20090.91</v>
      </c>
      <c r="F514" s="27" t="s">
        <v>4074</v>
      </c>
      <c r="G514" s="48"/>
      <c r="H514" s="47" t="str">
        <f t="shared" ref="H514:H577" si="24">IF(OR(A514="Antioquia",A514="Bogotá, D.C.",A514="Boyacá",A514="Cundinamarca",A514="Caldas",A514="Risaralda",A514="Quindío",A514="Tolima",A514="Huila",A514="Santander",A514="Norte de Santander"),"ANDINA",
IF(OR(A514="Atlántico",A514="Bolívar",A514="Cesar",A514="Córdoba",A514="Sucre",A514="Magdalena"),"CARIBE",
IF(OR(A514="Valle del Cauca",A514="Cauca",A514="Nariño"),"PACIFICO",
IF(OR(A514="Meta",A514="Casanare",A514="Arauca"),"ORINOQUIA",
"AMAZONIA"))))</f>
        <v>ANDINA</v>
      </c>
      <c r="I514" s="6">
        <f t="shared" ref="I514:I577" si="25">IF(F514="Departamental",E514,
AVERAGEIFS($E:$E,$H:$H,H514,$B:$B,B514,$C:$C,C514))</f>
        <v>20090.91</v>
      </c>
      <c r="J514" s="47">
        <f t="shared" si="23"/>
        <v>20090.91</v>
      </c>
      <c r="L514" s="44"/>
      <c r="M514" s="44"/>
      <c r="N514" s="44"/>
      <c r="O514" s="44"/>
      <c r="P514" s="44"/>
      <c r="Q514" s="44"/>
      <c r="R514" s="44"/>
      <c r="S514" s="44"/>
    </row>
    <row r="515" spans="1:19" ht="14.1" customHeight="1">
      <c r="A515" s="27" t="s">
        <v>3847</v>
      </c>
      <c r="B515" s="27" t="s">
        <v>137</v>
      </c>
      <c r="C515" s="27" t="s">
        <v>237</v>
      </c>
      <c r="D515" s="27" t="s">
        <v>172</v>
      </c>
      <c r="E515" s="28">
        <v>31318.18</v>
      </c>
      <c r="F515" s="27" t="s">
        <v>4074</v>
      </c>
      <c r="G515" s="48"/>
      <c r="H515" s="47" t="str">
        <f t="shared" si="24"/>
        <v>ANDINA</v>
      </c>
      <c r="I515" s="6">
        <f t="shared" si="25"/>
        <v>31318.18</v>
      </c>
      <c r="J515" s="47">
        <f t="shared" ref="J515:J578" si="26">IF(G515&lt;&gt;"",G515,I515)</f>
        <v>31318.18</v>
      </c>
      <c r="L515" s="44"/>
      <c r="M515" s="44"/>
      <c r="N515" s="44"/>
      <c r="O515" s="44"/>
      <c r="P515" s="44"/>
      <c r="Q515" s="44"/>
      <c r="R515" s="44"/>
      <c r="S515" s="44"/>
    </row>
    <row r="516" spans="1:19" ht="14.1" customHeight="1">
      <c r="A516" s="27" t="s">
        <v>3847</v>
      </c>
      <c r="B516" s="27" t="s">
        <v>137</v>
      </c>
      <c r="C516" s="27" t="s">
        <v>246</v>
      </c>
      <c r="D516" s="27" t="s">
        <v>172</v>
      </c>
      <c r="E516" s="28">
        <v>65250.53</v>
      </c>
      <c r="F516" s="27" t="s">
        <v>4073</v>
      </c>
      <c r="G516" s="48"/>
      <c r="H516" s="47" t="str">
        <f t="shared" si="24"/>
        <v>ANDINA</v>
      </c>
      <c r="I516" s="6">
        <f t="shared" si="25"/>
        <v>63733.286363636376</v>
      </c>
      <c r="J516" s="47">
        <f t="shared" si="26"/>
        <v>63733.286363636376</v>
      </c>
      <c r="L516" s="44"/>
      <c r="M516" s="44"/>
      <c r="N516" s="44"/>
      <c r="O516" s="44"/>
      <c r="P516" s="44"/>
      <c r="Q516" s="44"/>
      <c r="R516" s="44"/>
      <c r="S516" s="44"/>
    </row>
    <row r="517" spans="1:19" ht="14.1" customHeight="1">
      <c r="A517" s="27" t="s">
        <v>3847</v>
      </c>
      <c r="B517" s="27" t="s">
        <v>170</v>
      </c>
      <c r="C517" s="27" t="s">
        <v>259</v>
      </c>
      <c r="D517" s="27" t="s">
        <v>172</v>
      </c>
      <c r="E517" s="28">
        <v>236700.54</v>
      </c>
      <c r="F517" s="27" t="s">
        <v>4074</v>
      </c>
      <c r="G517" s="48"/>
      <c r="H517" s="47" t="str">
        <f t="shared" si="24"/>
        <v>ANDINA</v>
      </c>
      <c r="I517" s="6">
        <f t="shared" si="25"/>
        <v>236700.54</v>
      </c>
      <c r="J517" s="47">
        <f t="shared" si="26"/>
        <v>236700.54</v>
      </c>
      <c r="L517" s="44"/>
      <c r="M517" s="44"/>
      <c r="N517" s="44"/>
      <c r="O517" s="44"/>
      <c r="P517" s="44"/>
      <c r="Q517" s="44"/>
      <c r="R517" s="44"/>
      <c r="S517" s="44"/>
    </row>
    <row r="518" spans="1:19" ht="14.1" customHeight="1">
      <c r="A518" s="27" t="s">
        <v>3847</v>
      </c>
      <c r="B518" s="27" t="s">
        <v>170</v>
      </c>
      <c r="C518" s="27" t="s">
        <v>276</v>
      </c>
      <c r="D518" s="27" t="s">
        <v>172</v>
      </c>
      <c r="E518" s="28">
        <v>83726.98</v>
      </c>
      <c r="F518" s="27" t="s">
        <v>4073</v>
      </c>
      <c r="G518" s="48"/>
      <c r="H518" s="47" t="str">
        <f t="shared" si="24"/>
        <v>ANDINA</v>
      </c>
      <c r="I518" s="6">
        <f t="shared" si="25"/>
        <v>83734.880909090891</v>
      </c>
      <c r="J518" s="47">
        <f t="shared" si="26"/>
        <v>83734.880909090891</v>
      </c>
      <c r="L518" s="44"/>
      <c r="M518" s="44"/>
      <c r="N518" s="44"/>
      <c r="O518" s="44"/>
      <c r="P518" s="44"/>
      <c r="Q518" s="44"/>
      <c r="R518" s="44"/>
      <c r="S518" s="44"/>
    </row>
    <row r="519" spans="1:19" ht="14.1" customHeight="1">
      <c r="A519" s="27" t="s">
        <v>3847</v>
      </c>
      <c r="B519" s="27" t="s">
        <v>170</v>
      </c>
      <c r="C519" s="27" t="s">
        <v>240</v>
      </c>
      <c r="D519" s="27" t="s">
        <v>172</v>
      </c>
      <c r="E519" s="28">
        <v>23574.34</v>
      </c>
      <c r="F519" s="27" t="s">
        <v>4073</v>
      </c>
      <c r="G519" s="48"/>
      <c r="H519" s="47" t="str">
        <f t="shared" si="24"/>
        <v>ANDINA</v>
      </c>
      <c r="I519" s="6">
        <f t="shared" si="25"/>
        <v>24304.165454545455</v>
      </c>
      <c r="J519" s="47">
        <f t="shared" si="26"/>
        <v>24304.165454545455</v>
      </c>
      <c r="L519" s="44"/>
      <c r="M519" s="44"/>
      <c r="N519" s="44"/>
      <c r="O519" s="44"/>
      <c r="P519" s="44"/>
      <c r="Q519" s="44"/>
      <c r="R519" s="44"/>
      <c r="S519" s="44"/>
    </row>
    <row r="520" spans="1:19" ht="14.1" customHeight="1">
      <c r="A520" s="27" t="s">
        <v>3847</v>
      </c>
      <c r="B520" s="27" t="s">
        <v>170</v>
      </c>
      <c r="C520" s="27" t="s">
        <v>251</v>
      </c>
      <c r="D520" s="27" t="s">
        <v>226</v>
      </c>
      <c r="E520" s="28">
        <v>77375</v>
      </c>
      <c r="F520" s="27" t="s">
        <v>4074</v>
      </c>
      <c r="G520" s="48"/>
      <c r="H520" s="47" t="str">
        <f t="shared" si="24"/>
        <v>ANDINA</v>
      </c>
      <c r="I520" s="6">
        <f t="shared" si="25"/>
        <v>77375</v>
      </c>
      <c r="J520" s="47">
        <f t="shared" si="26"/>
        <v>77375</v>
      </c>
      <c r="L520" s="44"/>
      <c r="M520" s="44"/>
      <c r="N520" s="44"/>
      <c r="O520" s="44"/>
      <c r="P520" s="44"/>
      <c r="Q520" s="44"/>
      <c r="R520" s="44"/>
      <c r="S520" s="44"/>
    </row>
    <row r="521" spans="1:19" ht="14.1" customHeight="1">
      <c r="A521" s="27" t="s">
        <v>3847</v>
      </c>
      <c r="B521" s="27" t="s">
        <v>170</v>
      </c>
      <c r="C521" s="27" t="s">
        <v>256</v>
      </c>
      <c r="D521" s="27" t="s">
        <v>172</v>
      </c>
      <c r="E521" s="28">
        <v>25789.54</v>
      </c>
      <c r="F521" s="27" t="s">
        <v>4074</v>
      </c>
      <c r="G521" s="48"/>
      <c r="H521" s="47" t="str">
        <f t="shared" si="24"/>
        <v>ANDINA</v>
      </c>
      <c r="I521" s="6">
        <f t="shared" si="25"/>
        <v>25789.54</v>
      </c>
      <c r="J521" s="47">
        <f t="shared" si="26"/>
        <v>25789.54</v>
      </c>
      <c r="L521" s="44"/>
      <c r="M521" s="44"/>
      <c r="N521" s="44"/>
      <c r="O521" s="44"/>
      <c r="P521" s="44"/>
      <c r="Q521" s="44"/>
      <c r="R521" s="44"/>
      <c r="S521" s="44"/>
    </row>
    <row r="522" spans="1:19" ht="14.1" customHeight="1">
      <c r="A522" s="27" t="s">
        <v>3847</v>
      </c>
      <c r="B522" s="27" t="s">
        <v>170</v>
      </c>
      <c r="C522" s="27" t="s">
        <v>311</v>
      </c>
      <c r="D522" s="27" t="s">
        <v>172</v>
      </c>
      <c r="E522" s="28">
        <v>39076.81</v>
      </c>
      <c r="F522" s="27" t="s">
        <v>4074</v>
      </c>
      <c r="G522" s="48"/>
      <c r="H522" s="47" t="str">
        <f t="shared" si="24"/>
        <v>ANDINA</v>
      </c>
      <c r="I522" s="6">
        <f t="shared" si="25"/>
        <v>39076.81</v>
      </c>
      <c r="J522" s="47">
        <f t="shared" si="26"/>
        <v>39076.81</v>
      </c>
      <c r="L522" s="44"/>
      <c r="M522" s="44"/>
      <c r="N522" s="44"/>
      <c r="O522" s="44"/>
      <c r="P522" s="44"/>
      <c r="Q522" s="44"/>
      <c r="R522" s="44"/>
      <c r="S522" s="44"/>
    </row>
    <row r="523" spans="1:19" ht="14.1" customHeight="1">
      <c r="A523" s="27" t="s">
        <v>3847</v>
      </c>
      <c r="B523" s="27" t="s">
        <v>170</v>
      </c>
      <c r="C523" s="27" t="s">
        <v>171</v>
      </c>
      <c r="D523" s="27" t="s">
        <v>172</v>
      </c>
      <c r="E523" s="28">
        <v>115879.72</v>
      </c>
      <c r="F523" s="27" t="s">
        <v>4073</v>
      </c>
      <c r="G523" s="48"/>
      <c r="H523" s="47" t="str">
        <f t="shared" si="24"/>
        <v>ANDINA</v>
      </c>
      <c r="I523" s="6">
        <f t="shared" si="25"/>
        <v>117943.50181818182</v>
      </c>
      <c r="J523" s="47">
        <f t="shared" si="26"/>
        <v>117943.50181818182</v>
      </c>
      <c r="L523" s="44"/>
      <c r="M523" s="44"/>
      <c r="N523" s="44"/>
      <c r="O523" s="44"/>
      <c r="P523" s="44"/>
      <c r="Q523" s="44"/>
      <c r="R523" s="44"/>
      <c r="S523" s="44"/>
    </row>
    <row r="524" spans="1:19" ht="14.1" customHeight="1">
      <c r="A524" s="27" t="s">
        <v>3847</v>
      </c>
      <c r="B524" s="27" t="s">
        <v>170</v>
      </c>
      <c r="C524" s="27" t="s">
        <v>252</v>
      </c>
      <c r="D524" s="27" t="s">
        <v>226</v>
      </c>
      <c r="E524" s="28">
        <v>20870.71</v>
      </c>
      <c r="F524" s="27" t="s">
        <v>4074</v>
      </c>
      <c r="G524" s="48"/>
      <c r="H524" s="47" t="str">
        <f t="shared" si="24"/>
        <v>ANDINA</v>
      </c>
      <c r="I524" s="6">
        <f t="shared" si="25"/>
        <v>20870.71</v>
      </c>
      <c r="J524" s="47">
        <f t="shared" si="26"/>
        <v>20870.71</v>
      </c>
      <c r="L524" s="44"/>
      <c r="M524" s="44"/>
      <c r="N524" s="44"/>
      <c r="O524" s="44"/>
      <c r="P524" s="44"/>
      <c r="Q524" s="44"/>
      <c r="R524" s="44"/>
      <c r="S524" s="44"/>
    </row>
    <row r="525" spans="1:19" ht="14.1" customHeight="1">
      <c r="A525" s="27" t="s">
        <v>3847</v>
      </c>
      <c r="B525" s="27" t="s">
        <v>170</v>
      </c>
      <c r="C525" s="27" t="s">
        <v>296</v>
      </c>
      <c r="D525" s="27" t="s">
        <v>226</v>
      </c>
      <c r="E525" s="28">
        <v>23167.62</v>
      </c>
      <c r="F525" s="27" t="s">
        <v>4073</v>
      </c>
      <c r="G525" s="48"/>
      <c r="H525" s="47" t="str">
        <f t="shared" si="24"/>
        <v>ANDINA</v>
      </c>
      <c r="I525" s="6">
        <f t="shared" si="25"/>
        <v>23368.076363636363</v>
      </c>
      <c r="J525" s="47">
        <f t="shared" si="26"/>
        <v>23368.076363636363</v>
      </c>
      <c r="L525" s="44"/>
      <c r="M525" s="44"/>
      <c r="N525" s="44"/>
      <c r="O525" s="44"/>
      <c r="P525" s="44"/>
      <c r="Q525" s="44"/>
      <c r="R525" s="44"/>
      <c r="S525" s="44"/>
    </row>
    <row r="526" spans="1:19" ht="14.1" customHeight="1">
      <c r="A526" s="27" t="s">
        <v>3847</v>
      </c>
      <c r="B526" s="27" t="s">
        <v>170</v>
      </c>
      <c r="C526" s="27" t="s">
        <v>173</v>
      </c>
      <c r="D526" s="27" t="s">
        <v>172</v>
      </c>
      <c r="E526" s="28">
        <v>157666.67000000001</v>
      </c>
      <c r="F526" s="27" t="s">
        <v>4074</v>
      </c>
      <c r="G526" s="48"/>
      <c r="H526" s="47" t="str">
        <f t="shared" si="24"/>
        <v>ANDINA</v>
      </c>
      <c r="I526" s="6">
        <f t="shared" si="25"/>
        <v>157666.67000000001</v>
      </c>
      <c r="J526" s="47">
        <f t="shared" si="26"/>
        <v>157666.67000000001</v>
      </c>
      <c r="L526" s="44"/>
      <c r="M526" s="44"/>
      <c r="N526" s="44"/>
      <c r="O526" s="44"/>
      <c r="P526" s="44"/>
      <c r="Q526" s="44"/>
      <c r="R526" s="44"/>
      <c r="S526" s="44"/>
    </row>
    <row r="527" spans="1:19" ht="14.1" customHeight="1">
      <c r="A527" s="27" t="s">
        <v>3847</v>
      </c>
      <c r="B527" s="27" t="s">
        <v>170</v>
      </c>
      <c r="C527" s="27" t="s">
        <v>225</v>
      </c>
      <c r="D527" s="27" t="s">
        <v>226</v>
      </c>
      <c r="E527" s="28">
        <v>37977.24</v>
      </c>
      <c r="F527" s="27" t="s">
        <v>4073</v>
      </c>
      <c r="G527" s="48"/>
      <c r="H527" s="47" t="str">
        <f t="shared" si="24"/>
        <v>ANDINA</v>
      </c>
      <c r="I527" s="6">
        <f t="shared" si="25"/>
        <v>38415.336363636357</v>
      </c>
      <c r="J527" s="47">
        <f t="shared" si="26"/>
        <v>38415.336363636357</v>
      </c>
      <c r="L527" s="44"/>
      <c r="M527" s="44"/>
      <c r="N527" s="44"/>
      <c r="O527" s="44"/>
      <c r="P527" s="44"/>
      <c r="Q527" s="44"/>
      <c r="R527" s="44"/>
      <c r="S527" s="44"/>
    </row>
    <row r="528" spans="1:19" ht="14.1" customHeight="1">
      <c r="A528" s="27" t="s">
        <v>3847</v>
      </c>
      <c r="B528" s="27" t="s">
        <v>176</v>
      </c>
      <c r="C528" s="27" t="s">
        <v>262</v>
      </c>
      <c r="D528" s="27" t="s">
        <v>172</v>
      </c>
      <c r="E528" s="28">
        <v>17208.810000000001</v>
      </c>
      <c r="F528" s="27" t="s">
        <v>4074</v>
      </c>
      <c r="G528" s="48"/>
      <c r="H528" s="47" t="str">
        <f t="shared" si="24"/>
        <v>ANDINA</v>
      </c>
      <c r="I528" s="6">
        <f t="shared" si="25"/>
        <v>17208.810000000001</v>
      </c>
      <c r="J528" s="47">
        <f t="shared" si="26"/>
        <v>17208.810000000001</v>
      </c>
      <c r="L528" s="44"/>
      <c r="M528" s="44"/>
      <c r="N528" s="44"/>
      <c r="O528" s="44"/>
      <c r="P528" s="44"/>
      <c r="Q528" s="44"/>
      <c r="R528" s="44"/>
      <c r="S528" s="44"/>
    </row>
    <row r="529" spans="1:19" ht="14.1" customHeight="1">
      <c r="A529" s="27" t="s">
        <v>3847</v>
      </c>
      <c r="B529" s="27" t="s">
        <v>176</v>
      </c>
      <c r="C529" s="27" t="s">
        <v>253</v>
      </c>
      <c r="D529" s="27" t="s">
        <v>172</v>
      </c>
      <c r="E529" s="28">
        <v>24023.33</v>
      </c>
      <c r="F529" s="27" t="s">
        <v>4073</v>
      </c>
      <c r="G529" s="48"/>
      <c r="H529" s="47" t="str">
        <f t="shared" si="24"/>
        <v>ANDINA</v>
      </c>
      <c r="I529" s="6">
        <f t="shared" si="25"/>
        <v>25145.120909090914</v>
      </c>
      <c r="J529" s="47">
        <f t="shared" si="26"/>
        <v>25145.120909090914</v>
      </c>
      <c r="L529" s="44"/>
      <c r="M529" s="44"/>
      <c r="N529" s="44"/>
      <c r="O529" s="44"/>
      <c r="P529" s="44"/>
      <c r="Q529" s="44"/>
      <c r="R529" s="44"/>
      <c r="S529" s="44"/>
    </row>
    <row r="530" spans="1:19" ht="14.1" customHeight="1">
      <c r="A530" s="27" t="s">
        <v>3847</v>
      </c>
      <c r="B530" s="27" t="s">
        <v>176</v>
      </c>
      <c r="C530" s="27" t="s">
        <v>177</v>
      </c>
      <c r="D530" s="27" t="s">
        <v>172</v>
      </c>
      <c r="E530" s="28">
        <v>17954.73</v>
      </c>
      <c r="F530" s="27" t="s">
        <v>4074</v>
      </c>
      <c r="G530" s="48"/>
      <c r="H530" s="47" t="str">
        <f t="shared" si="24"/>
        <v>ANDINA</v>
      </c>
      <c r="I530" s="6">
        <f t="shared" si="25"/>
        <v>17954.73</v>
      </c>
      <c r="J530" s="47">
        <f t="shared" si="26"/>
        <v>17954.73</v>
      </c>
      <c r="L530" s="44"/>
      <c r="M530" s="44"/>
      <c r="N530" s="44"/>
      <c r="O530" s="44"/>
      <c r="P530" s="44"/>
      <c r="Q530" s="44"/>
      <c r="R530" s="44"/>
      <c r="S530" s="44"/>
    </row>
    <row r="531" spans="1:19" ht="14.1" customHeight="1">
      <c r="A531" s="27" t="s">
        <v>3847</v>
      </c>
      <c r="B531" s="27" t="s">
        <v>176</v>
      </c>
      <c r="C531" s="27" t="s">
        <v>231</v>
      </c>
      <c r="D531" s="27" t="s">
        <v>172</v>
      </c>
      <c r="E531" s="28">
        <v>23829.05</v>
      </c>
      <c r="F531" s="27" t="s">
        <v>4074</v>
      </c>
      <c r="G531" s="48"/>
      <c r="H531" s="47" t="str">
        <f t="shared" si="24"/>
        <v>ANDINA</v>
      </c>
      <c r="I531" s="6">
        <f t="shared" si="25"/>
        <v>23829.05</v>
      </c>
      <c r="J531" s="47">
        <f t="shared" si="26"/>
        <v>23829.05</v>
      </c>
      <c r="L531" s="44"/>
      <c r="M531" s="44"/>
      <c r="N531" s="44"/>
      <c r="O531" s="44"/>
      <c r="P531" s="44"/>
      <c r="Q531" s="44"/>
      <c r="R531" s="44"/>
      <c r="S531" s="44"/>
    </row>
    <row r="532" spans="1:19" ht="14.1" customHeight="1">
      <c r="A532" s="27" t="s">
        <v>3847</v>
      </c>
      <c r="B532" s="27" t="s">
        <v>180</v>
      </c>
      <c r="C532" s="27" t="s">
        <v>181</v>
      </c>
      <c r="D532" s="27" t="s">
        <v>172</v>
      </c>
      <c r="E532" s="28">
        <v>34056.25</v>
      </c>
      <c r="F532" s="27" t="s">
        <v>4073</v>
      </c>
      <c r="G532" s="48"/>
      <c r="H532" s="47" t="str">
        <f t="shared" si="24"/>
        <v>ANDINA</v>
      </c>
      <c r="I532" s="6">
        <f t="shared" si="25"/>
        <v>33820.26545454545</v>
      </c>
      <c r="J532" s="47">
        <f t="shared" si="26"/>
        <v>33820.26545454545</v>
      </c>
      <c r="L532" s="44"/>
      <c r="M532" s="44"/>
      <c r="N532" s="44"/>
      <c r="O532" s="44"/>
      <c r="P532" s="44"/>
      <c r="Q532" s="44"/>
      <c r="R532" s="44"/>
      <c r="S532" s="44"/>
    </row>
    <row r="533" spans="1:19" ht="14.1" customHeight="1">
      <c r="A533" s="27" t="s">
        <v>3847</v>
      </c>
      <c r="B533" s="27" t="s">
        <v>180</v>
      </c>
      <c r="C533" s="27" t="s">
        <v>263</v>
      </c>
      <c r="D533" s="27" t="s">
        <v>172</v>
      </c>
      <c r="E533" s="28">
        <v>187541.67</v>
      </c>
      <c r="F533" s="27" t="s">
        <v>4074</v>
      </c>
      <c r="G533" s="48"/>
      <c r="H533" s="47" t="str">
        <f t="shared" si="24"/>
        <v>ANDINA</v>
      </c>
      <c r="I533" s="6">
        <f t="shared" si="25"/>
        <v>187541.67</v>
      </c>
      <c r="J533" s="47">
        <f t="shared" si="26"/>
        <v>187541.67</v>
      </c>
      <c r="L533" s="44"/>
      <c r="M533" s="44"/>
      <c r="N533" s="44"/>
      <c r="O533" s="44"/>
      <c r="P533" s="44"/>
      <c r="Q533" s="44"/>
      <c r="R533" s="44"/>
      <c r="S533" s="44"/>
    </row>
    <row r="534" spans="1:19" ht="14.1" customHeight="1">
      <c r="A534" s="27" t="s">
        <v>3847</v>
      </c>
      <c r="B534" s="27" t="s">
        <v>180</v>
      </c>
      <c r="C534" s="27" t="s">
        <v>277</v>
      </c>
      <c r="D534" s="27" t="s">
        <v>172</v>
      </c>
      <c r="E534" s="28">
        <v>69418.33</v>
      </c>
      <c r="F534" s="27" t="s">
        <v>4074</v>
      </c>
      <c r="G534" s="48"/>
      <c r="H534" s="47" t="str">
        <f t="shared" si="24"/>
        <v>ANDINA</v>
      </c>
      <c r="I534" s="6">
        <f t="shared" si="25"/>
        <v>69418.33</v>
      </c>
      <c r="J534" s="47">
        <f t="shared" si="26"/>
        <v>69418.33</v>
      </c>
      <c r="L534" s="44"/>
      <c r="M534" s="44"/>
      <c r="N534" s="44"/>
      <c r="O534" s="44"/>
      <c r="P534" s="44"/>
      <c r="Q534" s="44"/>
      <c r="R534" s="44"/>
      <c r="S534" s="44"/>
    </row>
    <row r="535" spans="1:19" ht="14.1" customHeight="1">
      <c r="A535" s="27" t="s">
        <v>3847</v>
      </c>
      <c r="B535" s="27" t="s">
        <v>180</v>
      </c>
      <c r="C535" s="27" t="s">
        <v>300</v>
      </c>
      <c r="D535" s="27" t="s">
        <v>172</v>
      </c>
      <c r="E535" s="28">
        <v>66141.87</v>
      </c>
      <c r="F535" s="27" t="s">
        <v>4073</v>
      </c>
      <c r="G535" s="48"/>
      <c r="H535" s="47" t="str">
        <f t="shared" si="24"/>
        <v>ANDINA</v>
      </c>
      <c r="I535" s="6">
        <f t="shared" si="25"/>
        <v>67595.050909090904</v>
      </c>
      <c r="J535" s="47">
        <f t="shared" si="26"/>
        <v>67595.050909090904</v>
      </c>
      <c r="L535" s="44"/>
      <c r="M535" s="44"/>
      <c r="N535" s="44"/>
      <c r="O535" s="44"/>
      <c r="P535" s="44"/>
      <c r="Q535" s="44"/>
      <c r="R535" s="44"/>
      <c r="S535" s="44"/>
    </row>
    <row r="536" spans="1:19" ht="14.1" customHeight="1">
      <c r="A536" s="27" t="s">
        <v>3847</v>
      </c>
      <c r="B536" s="27" t="s">
        <v>180</v>
      </c>
      <c r="C536" s="27" t="s">
        <v>242</v>
      </c>
      <c r="D536" s="27" t="s">
        <v>172</v>
      </c>
      <c r="E536" s="28">
        <v>28125</v>
      </c>
      <c r="F536" s="27" t="s">
        <v>4074</v>
      </c>
      <c r="G536" s="48"/>
      <c r="H536" s="47" t="str">
        <f t="shared" si="24"/>
        <v>ANDINA</v>
      </c>
      <c r="I536" s="6">
        <f t="shared" si="25"/>
        <v>28125</v>
      </c>
      <c r="J536" s="47">
        <f t="shared" si="26"/>
        <v>28125</v>
      </c>
      <c r="L536" s="44"/>
      <c r="M536" s="44"/>
      <c r="N536" s="44"/>
      <c r="O536" s="44"/>
      <c r="P536" s="44"/>
      <c r="Q536" s="44"/>
      <c r="R536" s="44"/>
      <c r="S536" s="44"/>
    </row>
    <row r="537" spans="1:19" ht="14.1" customHeight="1">
      <c r="A537" s="27" t="s">
        <v>3847</v>
      </c>
      <c r="B537" s="27" t="s">
        <v>180</v>
      </c>
      <c r="C537" s="27" t="s">
        <v>254</v>
      </c>
      <c r="D537" s="27" t="s">
        <v>172</v>
      </c>
      <c r="E537" s="28">
        <v>146171.37</v>
      </c>
      <c r="F537" s="27" t="s">
        <v>4073</v>
      </c>
      <c r="G537" s="48"/>
      <c r="H537" s="47" t="str">
        <f t="shared" si="24"/>
        <v>ANDINA</v>
      </c>
      <c r="I537" s="6">
        <f t="shared" si="25"/>
        <v>147672.92727272728</v>
      </c>
      <c r="J537" s="47">
        <f t="shared" si="26"/>
        <v>147672.92727272728</v>
      </c>
      <c r="L537" s="44"/>
      <c r="M537" s="44"/>
      <c r="N537" s="44"/>
      <c r="O537" s="44"/>
      <c r="P537" s="44"/>
      <c r="Q537" s="44"/>
      <c r="R537" s="44"/>
      <c r="S537" s="44"/>
    </row>
    <row r="538" spans="1:19" ht="14.1" customHeight="1">
      <c r="A538" s="27" t="s">
        <v>3847</v>
      </c>
      <c r="B538" s="27" t="s">
        <v>180</v>
      </c>
      <c r="C538" s="27" t="s">
        <v>305</v>
      </c>
      <c r="D538" s="27" t="s">
        <v>172</v>
      </c>
      <c r="E538" s="28">
        <v>72327.89</v>
      </c>
      <c r="F538" s="27" t="s">
        <v>4073</v>
      </c>
      <c r="G538" s="48"/>
      <c r="H538" s="47" t="str">
        <f t="shared" si="24"/>
        <v>ANDINA</v>
      </c>
      <c r="I538" s="6">
        <f t="shared" si="25"/>
        <v>72524.681818181823</v>
      </c>
      <c r="J538" s="47">
        <f t="shared" si="26"/>
        <v>72524.681818181823</v>
      </c>
      <c r="L538" s="44"/>
      <c r="M538" s="44"/>
      <c r="N538" s="44"/>
      <c r="O538" s="44"/>
      <c r="P538" s="44"/>
      <c r="Q538" s="44"/>
      <c r="R538" s="44"/>
      <c r="S538" s="44"/>
    </row>
    <row r="539" spans="1:19" ht="14.1" customHeight="1">
      <c r="A539" s="27" t="s">
        <v>3847</v>
      </c>
      <c r="B539" s="27" t="s">
        <v>180</v>
      </c>
      <c r="C539" s="27" t="s">
        <v>297</v>
      </c>
      <c r="D539" s="27" t="s">
        <v>172</v>
      </c>
      <c r="E539" s="28">
        <v>149375.29999999999</v>
      </c>
      <c r="F539" s="27" t="s">
        <v>4073</v>
      </c>
      <c r="G539" s="48"/>
      <c r="H539" s="47" t="str">
        <f t="shared" si="24"/>
        <v>ANDINA</v>
      </c>
      <c r="I539" s="6">
        <f t="shared" si="25"/>
        <v>150305.83363636368</v>
      </c>
      <c r="J539" s="47">
        <f t="shared" si="26"/>
        <v>150305.83363636368</v>
      </c>
      <c r="L539" s="44"/>
      <c r="M539" s="44"/>
      <c r="N539" s="44"/>
      <c r="O539" s="44"/>
      <c r="P539" s="44"/>
      <c r="Q539" s="44"/>
      <c r="R539" s="44"/>
      <c r="S539" s="44"/>
    </row>
    <row r="540" spans="1:19" ht="14.1" customHeight="1">
      <c r="A540" s="27" t="s">
        <v>3847</v>
      </c>
      <c r="B540" s="27" t="s">
        <v>180</v>
      </c>
      <c r="C540" s="27" t="s">
        <v>314</v>
      </c>
      <c r="D540" s="27" t="s">
        <v>172</v>
      </c>
      <c r="E540" s="28">
        <v>28103.200000000001</v>
      </c>
      <c r="F540" s="27" t="s">
        <v>4073</v>
      </c>
      <c r="G540" s="48"/>
      <c r="H540" s="47" t="str">
        <f t="shared" si="24"/>
        <v>ANDINA</v>
      </c>
      <c r="I540" s="6">
        <f t="shared" si="25"/>
        <v>28676.525454545455</v>
      </c>
      <c r="J540" s="47">
        <f t="shared" si="26"/>
        <v>28676.525454545455</v>
      </c>
      <c r="L540" s="44"/>
      <c r="M540" s="44"/>
      <c r="N540" s="44"/>
      <c r="O540" s="44"/>
      <c r="P540" s="44"/>
      <c r="Q540" s="44"/>
      <c r="R540" s="44"/>
      <c r="S540" s="44"/>
    </row>
    <row r="541" spans="1:19" ht="14.1" customHeight="1">
      <c r="A541" s="27" t="s">
        <v>3847</v>
      </c>
      <c r="B541" s="27" t="s">
        <v>180</v>
      </c>
      <c r="C541" s="27" t="s">
        <v>182</v>
      </c>
      <c r="D541" s="27" t="s">
        <v>172</v>
      </c>
      <c r="E541" s="28">
        <v>151029.59</v>
      </c>
      <c r="F541" s="27" t="s">
        <v>4073</v>
      </c>
      <c r="G541" s="48"/>
      <c r="H541" s="47" t="str">
        <f t="shared" si="24"/>
        <v>ANDINA</v>
      </c>
      <c r="I541" s="6">
        <f t="shared" si="25"/>
        <v>151380.25636363638</v>
      </c>
      <c r="J541" s="47">
        <f t="shared" si="26"/>
        <v>151380.25636363638</v>
      </c>
      <c r="L541" s="44"/>
      <c r="M541" s="44"/>
      <c r="N541" s="44"/>
      <c r="O541" s="44"/>
      <c r="P541" s="44"/>
      <c r="Q541" s="44"/>
      <c r="R541" s="44"/>
      <c r="S541" s="44"/>
    </row>
    <row r="542" spans="1:19" ht="14.1" customHeight="1">
      <c r="A542" s="27" t="s">
        <v>3848</v>
      </c>
      <c r="B542" s="27" t="s">
        <v>4072</v>
      </c>
      <c r="C542" s="27" t="s">
        <v>316</v>
      </c>
      <c r="D542" s="27" t="s">
        <v>172</v>
      </c>
      <c r="E542" s="28">
        <v>46378.17</v>
      </c>
      <c r="F542" s="27" t="s">
        <v>4073</v>
      </c>
      <c r="G542" s="48"/>
      <c r="H542" s="47" t="str">
        <f t="shared" si="24"/>
        <v>AMAZONIA</v>
      </c>
      <c r="I542" s="6">
        <f t="shared" si="25"/>
        <v>46378.17</v>
      </c>
      <c r="J542" s="47">
        <f t="shared" si="26"/>
        <v>46378.17</v>
      </c>
      <c r="L542" s="46"/>
      <c r="M542" s="46"/>
      <c r="N542" s="46"/>
      <c r="O542" s="46"/>
      <c r="P542" s="46"/>
      <c r="Q542" s="46"/>
      <c r="R542" s="46"/>
      <c r="S542" s="46"/>
    </row>
    <row r="543" spans="1:19" ht="14.1" customHeight="1">
      <c r="A543" s="27" t="s">
        <v>3848</v>
      </c>
      <c r="B543" s="27" t="s">
        <v>137</v>
      </c>
      <c r="C543" s="27" t="s">
        <v>291</v>
      </c>
      <c r="D543" s="27" t="s">
        <v>172</v>
      </c>
      <c r="E543" s="28">
        <v>22086.61</v>
      </c>
      <c r="F543" s="27" t="s">
        <v>4073</v>
      </c>
      <c r="G543" s="48"/>
      <c r="H543" s="47" t="str">
        <f t="shared" si="24"/>
        <v>AMAZONIA</v>
      </c>
      <c r="I543" s="6">
        <f t="shared" si="25"/>
        <v>22086.61</v>
      </c>
      <c r="J543" s="47">
        <f t="shared" si="26"/>
        <v>22086.61</v>
      </c>
      <c r="L543" s="44"/>
      <c r="M543" s="44"/>
      <c r="N543" s="44"/>
      <c r="O543" s="44"/>
      <c r="P543" s="44"/>
      <c r="Q543" s="44"/>
      <c r="R543" s="44"/>
      <c r="S543" s="44"/>
    </row>
    <row r="544" spans="1:19" ht="14.1" customHeight="1">
      <c r="A544" s="27" t="s">
        <v>3848</v>
      </c>
      <c r="B544" s="27" t="s">
        <v>137</v>
      </c>
      <c r="C544" s="27" t="s">
        <v>243</v>
      </c>
      <c r="D544" s="27" t="s">
        <v>172</v>
      </c>
      <c r="E544" s="28">
        <v>21754.73</v>
      </c>
      <c r="F544" s="27" t="s">
        <v>4073</v>
      </c>
      <c r="G544" s="48"/>
      <c r="H544" s="47" t="str">
        <f t="shared" si="24"/>
        <v>AMAZONIA</v>
      </c>
      <c r="I544" s="6">
        <f t="shared" si="25"/>
        <v>21754.73</v>
      </c>
      <c r="J544" s="47">
        <f t="shared" si="26"/>
        <v>21754.73</v>
      </c>
      <c r="L544" s="44"/>
      <c r="M544" s="44"/>
      <c r="N544" s="44"/>
      <c r="O544" s="44"/>
      <c r="P544" s="44"/>
      <c r="Q544" s="44"/>
      <c r="R544" s="44"/>
      <c r="S544" s="44"/>
    </row>
    <row r="545" spans="1:19" ht="14.1" customHeight="1">
      <c r="A545" s="27" t="s">
        <v>3848</v>
      </c>
      <c r="B545" s="27" t="s">
        <v>137</v>
      </c>
      <c r="C545" s="27" t="s">
        <v>237</v>
      </c>
      <c r="D545" s="27" t="s">
        <v>172</v>
      </c>
      <c r="E545" s="28">
        <v>28933.31</v>
      </c>
      <c r="F545" s="27" t="s">
        <v>4073</v>
      </c>
      <c r="G545" s="48"/>
      <c r="H545" s="47" t="str">
        <f t="shared" si="24"/>
        <v>AMAZONIA</v>
      </c>
      <c r="I545" s="6">
        <f t="shared" si="25"/>
        <v>28933.31</v>
      </c>
      <c r="J545" s="47">
        <f t="shared" si="26"/>
        <v>28933.31</v>
      </c>
      <c r="L545" s="44"/>
      <c r="M545" s="44"/>
      <c r="N545" s="44"/>
      <c r="O545" s="44"/>
      <c r="P545" s="44"/>
      <c r="Q545" s="44"/>
      <c r="R545" s="44"/>
      <c r="S545" s="44"/>
    </row>
    <row r="546" spans="1:19" ht="14.1" customHeight="1">
      <c r="A546" s="27" t="s">
        <v>3848</v>
      </c>
      <c r="B546" s="27" t="s">
        <v>137</v>
      </c>
      <c r="C546" s="27" t="s">
        <v>246</v>
      </c>
      <c r="D546" s="27" t="s">
        <v>172</v>
      </c>
      <c r="E546" s="28">
        <v>65250.53</v>
      </c>
      <c r="F546" s="27" t="s">
        <v>4073</v>
      </c>
      <c r="G546" s="48"/>
      <c r="H546" s="47" t="str">
        <f t="shared" si="24"/>
        <v>AMAZONIA</v>
      </c>
      <c r="I546" s="6">
        <f t="shared" si="25"/>
        <v>65250.53</v>
      </c>
      <c r="J546" s="47">
        <f t="shared" si="26"/>
        <v>65250.53</v>
      </c>
      <c r="L546" s="44"/>
      <c r="M546" s="44"/>
      <c r="N546" s="44"/>
      <c r="O546" s="44"/>
      <c r="P546" s="44"/>
      <c r="Q546" s="44"/>
      <c r="R546" s="44"/>
      <c r="S546" s="44"/>
    </row>
    <row r="547" spans="1:19" ht="14.1" customHeight="1">
      <c r="A547" s="27" t="s">
        <v>3848</v>
      </c>
      <c r="B547" s="27" t="s">
        <v>170</v>
      </c>
      <c r="C547" s="27" t="s">
        <v>259</v>
      </c>
      <c r="D547" s="27" t="s">
        <v>172</v>
      </c>
      <c r="E547" s="28">
        <v>283758.28999999998</v>
      </c>
      <c r="F547" s="27" t="s">
        <v>4073</v>
      </c>
      <c r="G547" s="48"/>
      <c r="H547" s="47" t="str">
        <f t="shared" si="24"/>
        <v>AMAZONIA</v>
      </c>
      <c r="I547" s="6">
        <f t="shared" si="25"/>
        <v>283758.28999999998</v>
      </c>
      <c r="J547" s="47">
        <f t="shared" si="26"/>
        <v>283758.28999999998</v>
      </c>
      <c r="L547" s="44"/>
      <c r="M547" s="44"/>
      <c r="N547" s="44"/>
      <c r="O547" s="44"/>
      <c r="P547" s="44"/>
      <c r="Q547" s="44"/>
      <c r="R547" s="44"/>
      <c r="S547" s="44"/>
    </row>
    <row r="548" spans="1:19" ht="14.1" customHeight="1">
      <c r="A548" s="27" t="s">
        <v>3848</v>
      </c>
      <c r="B548" s="27" t="s">
        <v>170</v>
      </c>
      <c r="C548" s="27" t="s">
        <v>276</v>
      </c>
      <c r="D548" s="27" t="s">
        <v>172</v>
      </c>
      <c r="E548" s="28">
        <v>83726.98</v>
      </c>
      <c r="F548" s="27" t="s">
        <v>4073</v>
      </c>
      <c r="G548" s="48"/>
      <c r="H548" s="47" t="str">
        <f t="shared" si="24"/>
        <v>AMAZONIA</v>
      </c>
      <c r="I548" s="6">
        <f t="shared" si="25"/>
        <v>83726.98</v>
      </c>
      <c r="J548" s="47">
        <f t="shared" si="26"/>
        <v>83726.98</v>
      </c>
      <c r="L548" s="44"/>
      <c r="M548" s="44"/>
      <c r="N548" s="44"/>
      <c r="O548" s="44"/>
      <c r="P548" s="44"/>
      <c r="Q548" s="44"/>
      <c r="R548" s="44"/>
      <c r="S548" s="44"/>
    </row>
    <row r="549" spans="1:19" ht="14.1" customHeight="1">
      <c r="A549" s="27" t="s">
        <v>3848</v>
      </c>
      <c r="B549" s="27" t="s">
        <v>170</v>
      </c>
      <c r="C549" s="27" t="s">
        <v>240</v>
      </c>
      <c r="D549" s="27" t="s">
        <v>172</v>
      </c>
      <c r="E549" s="28">
        <v>23574.34</v>
      </c>
      <c r="F549" s="27" t="s">
        <v>4073</v>
      </c>
      <c r="G549" s="48"/>
      <c r="H549" s="47" t="str">
        <f t="shared" si="24"/>
        <v>AMAZONIA</v>
      </c>
      <c r="I549" s="6">
        <f t="shared" si="25"/>
        <v>23574.34</v>
      </c>
      <c r="J549" s="47">
        <f t="shared" si="26"/>
        <v>23574.34</v>
      </c>
      <c r="L549" s="44"/>
      <c r="M549" s="44"/>
      <c r="N549" s="44"/>
      <c r="O549" s="44"/>
      <c r="P549" s="44"/>
      <c r="Q549" s="44"/>
      <c r="R549" s="44"/>
      <c r="S549" s="44"/>
    </row>
    <row r="550" spans="1:19" ht="14.1" customHeight="1">
      <c r="A550" s="27" t="s">
        <v>3848</v>
      </c>
      <c r="B550" s="27" t="s">
        <v>170</v>
      </c>
      <c r="C550" s="27" t="s">
        <v>251</v>
      </c>
      <c r="D550" s="27" t="s">
        <v>226</v>
      </c>
      <c r="E550" s="28">
        <v>61445.54</v>
      </c>
      <c r="F550" s="27" t="s">
        <v>4073</v>
      </c>
      <c r="G550" s="48"/>
      <c r="H550" s="47" t="str">
        <f t="shared" si="24"/>
        <v>AMAZONIA</v>
      </c>
      <c r="I550" s="6">
        <f t="shared" si="25"/>
        <v>61445.54</v>
      </c>
      <c r="J550" s="47">
        <f t="shared" si="26"/>
        <v>61445.54</v>
      </c>
      <c r="L550" s="44"/>
      <c r="M550" s="44"/>
      <c r="N550" s="44"/>
      <c r="O550" s="44"/>
      <c r="P550" s="44"/>
      <c r="Q550" s="44"/>
      <c r="R550" s="44"/>
      <c r="S550" s="44"/>
    </row>
    <row r="551" spans="1:19" ht="14.1" customHeight="1">
      <c r="A551" s="27" t="s">
        <v>3848</v>
      </c>
      <c r="B551" s="27" t="s">
        <v>170</v>
      </c>
      <c r="C551" s="27" t="s">
        <v>256</v>
      </c>
      <c r="D551" s="27" t="s">
        <v>172</v>
      </c>
      <c r="E551" s="28">
        <v>29725.56</v>
      </c>
      <c r="F551" s="27" t="s">
        <v>4074</v>
      </c>
      <c r="G551" s="48"/>
      <c r="H551" s="47" t="str">
        <f t="shared" si="24"/>
        <v>AMAZONIA</v>
      </c>
      <c r="I551" s="6">
        <f t="shared" si="25"/>
        <v>29725.56</v>
      </c>
      <c r="J551" s="47">
        <f t="shared" si="26"/>
        <v>29725.56</v>
      </c>
      <c r="L551" s="44"/>
      <c r="M551" s="44"/>
      <c r="N551" s="44"/>
      <c r="O551" s="44"/>
      <c r="P551" s="44"/>
      <c r="Q551" s="44"/>
      <c r="R551" s="44"/>
      <c r="S551" s="44"/>
    </row>
    <row r="552" spans="1:19" ht="14.1" customHeight="1">
      <c r="A552" s="27" t="s">
        <v>3848</v>
      </c>
      <c r="B552" s="27" t="s">
        <v>170</v>
      </c>
      <c r="C552" s="27" t="s">
        <v>311</v>
      </c>
      <c r="D552" s="27" t="s">
        <v>172</v>
      </c>
      <c r="E552" s="28">
        <v>39916.67</v>
      </c>
      <c r="F552" s="27" t="s">
        <v>4074</v>
      </c>
      <c r="G552" s="48"/>
      <c r="H552" s="47" t="str">
        <f t="shared" si="24"/>
        <v>AMAZONIA</v>
      </c>
      <c r="I552" s="6">
        <f t="shared" si="25"/>
        <v>39916.67</v>
      </c>
      <c r="J552" s="47">
        <f t="shared" si="26"/>
        <v>39916.67</v>
      </c>
      <c r="L552" s="44"/>
      <c r="M552" s="44"/>
      <c r="N552" s="44"/>
      <c r="O552" s="44"/>
      <c r="P552" s="44"/>
      <c r="Q552" s="44"/>
      <c r="R552" s="44"/>
      <c r="S552" s="44"/>
    </row>
    <row r="553" spans="1:19" ht="14.1" customHeight="1">
      <c r="A553" s="27" t="s">
        <v>3848</v>
      </c>
      <c r="B553" s="27" t="s">
        <v>170</v>
      </c>
      <c r="C553" s="27" t="s">
        <v>171</v>
      </c>
      <c r="D553" s="27" t="s">
        <v>172</v>
      </c>
      <c r="E553" s="28">
        <v>115879.72</v>
      </c>
      <c r="F553" s="27" t="s">
        <v>4073</v>
      </c>
      <c r="G553" s="48"/>
      <c r="H553" s="47" t="str">
        <f t="shared" si="24"/>
        <v>AMAZONIA</v>
      </c>
      <c r="I553" s="6">
        <f t="shared" si="25"/>
        <v>115879.72</v>
      </c>
      <c r="J553" s="47">
        <f t="shared" si="26"/>
        <v>115879.72</v>
      </c>
      <c r="L553" s="44"/>
      <c r="M553" s="44"/>
      <c r="N553" s="44"/>
      <c r="O553" s="44"/>
      <c r="P553" s="44"/>
      <c r="Q553" s="44"/>
      <c r="R553" s="44"/>
      <c r="S553" s="44"/>
    </row>
    <row r="554" spans="1:19" ht="14.1" customHeight="1">
      <c r="A554" s="27" t="s">
        <v>3848</v>
      </c>
      <c r="B554" s="27" t="s">
        <v>170</v>
      </c>
      <c r="C554" s="27" t="s">
        <v>252</v>
      </c>
      <c r="D554" s="27" t="s">
        <v>226</v>
      </c>
      <c r="E554" s="28">
        <v>21867.29</v>
      </c>
      <c r="F554" s="27" t="s">
        <v>4073</v>
      </c>
      <c r="G554" s="48"/>
      <c r="H554" s="47" t="str">
        <f t="shared" si="24"/>
        <v>AMAZONIA</v>
      </c>
      <c r="I554" s="6">
        <f t="shared" si="25"/>
        <v>25975.31</v>
      </c>
      <c r="J554" s="47">
        <f t="shared" si="26"/>
        <v>25975.31</v>
      </c>
      <c r="L554" s="44"/>
      <c r="M554" s="44"/>
      <c r="N554" s="44"/>
      <c r="O554" s="44"/>
      <c r="P554" s="44"/>
      <c r="Q554" s="44"/>
      <c r="R554" s="44"/>
      <c r="S554" s="44"/>
    </row>
    <row r="555" spans="1:19" ht="14.1" customHeight="1">
      <c r="A555" s="27" t="s">
        <v>3848</v>
      </c>
      <c r="B555" s="27" t="s">
        <v>170</v>
      </c>
      <c r="C555" s="27" t="s">
        <v>296</v>
      </c>
      <c r="D555" s="27" t="s">
        <v>226</v>
      </c>
      <c r="E555" s="28">
        <v>23167.62</v>
      </c>
      <c r="F555" s="27" t="s">
        <v>4073</v>
      </c>
      <c r="G555" s="48"/>
      <c r="H555" s="47" t="str">
        <f t="shared" si="24"/>
        <v>AMAZONIA</v>
      </c>
      <c r="I555" s="6">
        <f t="shared" si="25"/>
        <v>23167.62</v>
      </c>
      <c r="J555" s="47">
        <f t="shared" si="26"/>
        <v>23167.62</v>
      </c>
      <c r="L555" s="44"/>
      <c r="M555" s="44"/>
      <c r="N555" s="44"/>
      <c r="O555" s="44"/>
      <c r="P555" s="44"/>
      <c r="Q555" s="44"/>
      <c r="R555" s="44"/>
      <c r="S555" s="44"/>
    </row>
    <row r="556" spans="1:19" ht="14.1" customHeight="1">
      <c r="A556" s="27" t="s">
        <v>3848</v>
      </c>
      <c r="B556" s="27" t="s">
        <v>170</v>
      </c>
      <c r="C556" s="27" t="s">
        <v>173</v>
      </c>
      <c r="D556" s="27" t="s">
        <v>172</v>
      </c>
      <c r="E556" s="28">
        <v>147395.82999999999</v>
      </c>
      <c r="F556" s="27" t="s">
        <v>4074</v>
      </c>
      <c r="G556" s="48"/>
      <c r="H556" s="47" t="str">
        <f t="shared" si="24"/>
        <v>AMAZONIA</v>
      </c>
      <c r="I556" s="6">
        <f t="shared" si="25"/>
        <v>147395.82999999999</v>
      </c>
      <c r="J556" s="47">
        <f t="shared" si="26"/>
        <v>147395.82999999999</v>
      </c>
      <c r="L556" s="44"/>
      <c r="M556" s="44"/>
      <c r="N556" s="44"/>
      <c r="O556" s="44"/>
      <c r="P556" s="44"/>
      <c r="Q556" s="44"/>
      <c r="R556" s="44"/>
      <c r="S556" s="44"/>
    </row>
    <row r="557" spans="1:19" ht="14.1" customHeight="1">
      <c r="A557" s="27" t="s">
        <v>3848</v>
      </c>
      <c r="B557" s="27" t="s">
        <v>170</v>
      </c>
      <c r="C557" s="27" t="s">
        <v>225</v>
      </c>
      <c r="D557" s="27" t="s">
        <v>226</v>
      </c>
      <c r="E557" s="28">
        <v>37977.24</v>
      </c>
      <c r="F557" s="27" t="s">
        <v>4073</v>
      </c>
      <c r="G557" s="48"/>
      <c r="H557" s="47" t="str">
        <f t="shared" si="24"/>
        <v>AMAZONIA</v>
      </c>
      <c r="I557" s="6">
        <f t="shared" si="25"/>
        <v>37977.24</v>
      </c>
      <c r="J557" s="47">
        <f t="shared" si="26"/>
        <v>37977.24</v>
      </c>
      <c r="L557" s="44"/>
      <c r="M557" s="44"/>
      <c r="N557" s="44"/>
      <c r="O557" s="44"/>
      <c r="P557" s="44"/>
      <c r="Q557" s="44"/>
      <c r="R557" s="44"/>
      <c r="S557" s="44"/>
    </row>
    <row r="558" spans="1:19" ht="14.1" customHeight="1">
      <c r="A558" s="27" t="s">
        <v>3848</v>
      </c>
      <c r="B558" s="27" t="s">
        <v>176</v>
      </c>
      <c r="C558" s="27" t="s">
        <v>262</v>
      </c>
      <c r="D558" s="27" t="s">
        <v>172</v>
      </c>
      <c r="E558" s="28">
        <v>18271.78</v>
      </c>
      <c r="F558" s="27" t="s">
        <v>4073</v>
      </c>
      <c r="G558" s="48"/>
      <c r="H558" s="47" t="str">
        <f t="shared" si="24"/>
        <v>AMAZONIA</v>
      </c>
      <c r="I558" s="6">
        <f t="shared" si="25"/>
        <v>18271.78</v>
      </c>
      <c r="J558" s="47">
        <f t="shared" si="26"/>
        <v>18271.78</v>
      </c>
      <c r="L558" s="44"/>
      <c r="M558" s="44"/>
      <c r="N558" s="44"/>
      <c r="O558" s="44"/>
      <c r="P558" s="44"/>
      <c r="Q558" s="44"/>
      <c r="R558" s="44"/>
      <c r="S558" s="44"/>
    </row>
    <row r="559" spans="1:19" ht="14.1" customHeight="1">
      <c r="A559" s="27" t="s">
        <v>3848</v>
      </c>
      <c r="B559" s="27" t="s">
        <v>176</v>
      </c>
      <c r="C559" s="27" t="s">
        <v>253</v>
      </c>
      <c r="D559" s="27" t="s">
        <v>172</v>
      </c>
      <c r="E559" s="28">
        <v>24023.33</v>
      </c>
      <c r="F559" s="27" t="s">
        <v>4073</v>
      </c>
      <c r="G559" s="48"/>
      <c r="H559" s="47" t="str">
        <f t="shared" si="24"/>
        <v>AMAZONIA</v>
      </c>
      <c r="I559" s="6">
        <f t="shared" si="25"/>
        <v>24023.33</v>
      </c>
      <c r="J559" s="47">
        <f t="shared" si="26"/>
        <v>24023.33</v>
      </c>
      <c r="L559" s="44"/>
      <c r="M559" s="44"/>
      <c r="N559" s="44"/>
      <c r="O559" s="44"/>
      <c r="P559" s="44"/>
      <c r="Q559" s="44"/>
      <c r="R559" s="44"/>
      <c r="S559" s="44"/>
    </row>
    <row r="560" spans="1:19" ht="14.1" customHeight="1">
      <c r="A560" s="27" t="s">
        <v>3848</v>
      </c>
      <c r="B560" s="27" t="s">
        <v>176</v>
      </c>
      <c r="C560" s="27" t="s">
        <v>177</v>
      </c>
      <c r="D560" s="27" t="s">
        <v>172</v>
      </c>
      <c r="E560" s="28">
        <v>20153.830000000002</v>
      </c>
      <c r="F560" s="27" t="s">
        <v>4073</v>
      </c>
      <c r="G560" s="48"/>
      <c r="H560" s="47" t="str">
        <f t="shared" si="24"/>
        <v>AMAZONIA</v>
      </c>
      <c r="I560" s="6">
        <f t="shared" si="25"/>
        <v>20872.025000000001</v>
      </c>
      <c r="J560" s="47">
        <f t="shared" si="26"/>
        <v>20872.025000000001</v>
      </c>
      <c r="L560" s="44"/>
      <c r="M560" s="44"/>
      <c r="N560" s="44"/>
      <c r="O560" s="44"/>
      <c r="P560" s="44"/>
      <c r="Q560" s="44"/>
      <c r="R560" s="44"/>
      <c r="S560" s="44"/>
    </row>
    <row r="561" spans="1:19" ht="14.1" customHeight="1">
      <c r="A561" s="27" t="s">
        <v>3848</v>
      </c>
      <c r="B561" s="27" t="s">
        <v>176</v>
      </c>
      <c r="C561" s="27" t="s">
        <v>231</v>
      </c>
      <c r="D561" s="27" t="s">
        <v>172</v>
      </c>
      <c r="E561" s="28">
        <v>22799.69</v>
      </c>
      <c r="F561" s="27" t="s">
        <v>4073</v>
      </c>
      <c r="G561" s="48"/>
      <c r="H561" s="47" t="str">
        <f t="shared" si="24"/>
        <v>AMAZONIA</v>
      </c>
      <c r="I561" s="6">
        <f t="shared" si="25"/>
        <v>22649.845000000001</v>
      </c>
      <c r="J561" s="47">
        <f t="shared" si="26"/>
        <v>22649.845000000001</v>
      </c>
      <c r="L561" s="44"/>
      <c r="M561" s="44"/>
      <c r="N561" s="44"/>
      <c r="O561" s="44"/>
      <c r="P561" s="44"/>
      <c r="Q561" s="44"/>
      <c r="R561" s="44"/>
      <c r="S561" s="44"/>
    </row>
    <row r="562" spans="1:19" ht="14.1" customHeight="1">
      <c r="A562" s="27" t="s">
        <v>3848</v>
      </c>
      <c r="B562" s="27" t="s">
        <v>180</v>
      </c>
      <c r="C562" s="27" t="s">
        <v>181</v>
      </c>
      <c r="D562" s="27" t="s">
        <v>172</v>
      </c>
      <c r="E562" s="28">
        <v>34056.25</v>
      </c>
      <c r="F562" s="27" t="s">
        <v>4073</v>
      </c>
      <c r="G562" s="48"/>
      <c r="H562" s="47" t="str">
        <f t="shared" si="24"/>
        <v>AMAZONIA</v>
      </c>
      <c r="I562" s="6">
        <f t="shared" si="25"/>
        <v>34056.25</v>
      </c>
      <c r="J562" s="47">
        <f t="shared" si="26"/>
        <v>34056.25</v>
      </c>
      <c r="L562" s="44"/>
      <c r="M562" s="44"/>
      <c r="N562" s="44"/>
      <c r="O562" s="44"/>
      <c r="P562" s="44"/>
      <c r="Q562" s="44"/>
      <c r="R562" s="44"/>
      <c r="S562" s="44"/>
    </row>
    <row r="563" spans="1:19" ht="14.1" customHeight="1">
      <c r="A563" s="27" t="s">
        <v>3848</v>
      </c>
      <c r="B563" s="27" t="s">
        <v>180</v>
      </c>
      <c r="C563" s="27" t="s">
        <v>263</v>
      </c>
      <c r="D563" s="27" t="s">
        <v>172</v>
      </c>
      <c r="E563" s="28">
        <v>199043.33</v>
      </c>
      <c r="F563" s="27" t="s">
        <v>4073</v>
      </c>
      <c r="G563" s="48"/>
      <c r="H563" s="47" t="str">
        <f t="shared" si="24"/>
        <v>AMAZONIA</v>
      </c>
      <c r="I563" s="6">
        <f t="shared" si="25"/>
        <v>199043.33</v>
      </c>
      <c r="J563" s="47">
        <f t="shared" si="26"/>
        <v>199043.33</v>
      </c>
      <c r="L563" s="44"/>
      <c r="M563" s="44"/>
      <c r="N563" s="44"/>
      <c r="O563" s="44"/>
      <c r="P563" s="44"/>
      <c r="Q563" s="44"/>
      <c r="R563" s="44"/>
      <c r="S563" s="44"/>
    </row>
    <row r="564" spans="1:19" ht="14.1" customHeight="1">
      <c r="A564" s="27" t="s">
        <v>3848</v>
      </c>
      <c r="B564" s="27" t="s">
        <v>180</v>
      </c>
      <c r="C564" s="27" t="s">
        <v>277</v>
      </c>
      <c r="D564" s="27" t="s">
        <v>172</v>
      </c>
      <c r="E564" s="28">
        <v>90689.07</v>
      </c>
      <c r="F564" s="27" t="s">
        <v>4073</v>
      </c>
      <c r="G564" s="48"/>
      <c r="H564" s="47" t="str">
        <f t="shared" si="24"/>
        <v>AMAZONIA</v>
      </c>
      <c r="I564" s="6">
        <f t="shared" si="25"/>
        <v>90689.07</v>
      </c>
      <c r="J564" s="47">
        <f t="shared" si="26"/>
        <v>90689.07</v>
      </c>
      <c r="L564" s="44"/>
      <c r="M564" s="44"/>
      <c r="N564" s="44"/>
      <c r="O564" s="44"/>
      <c r="P564" s="44"/>
      <c r="Q564" s="44"/>
      <c r="R564" s="44"/>
      <c r="S564" s="44"/>
    </row>
    <row r="565" spans="1:19" ht="14.1" customHeight="1">
      <c r="A565" s="27" t="s">
        <v>3848</v>
      </c>
      <c r="B565" s="27" t="s">
        <v>180</v>
      </c>
      <c r="C565" s="27" t="s">
        <v>300</v>
      </c>
      <c r="D565" s="27" t="s">
        <v>172</v>
      </c>
      <c r="E565" s="28">
        <v>66141.87</v>
      </c>
      <c r="F565" s="27" t="s">
        <v>4073</v>
      </c>
      <c r="G565" s="48"/>
      <c r="H565" s="47" t="str">
        <f t="shared" si="24"/>
        <v>AMAZONIA</v>
      </c>
      <c r="I565" s="6">
        <f t="shared" si="25"/>
        <v>66141.87</v>
      </c>
      <c r="J565" s="47">
        <f t="shared" si="26"/>
        <v>66141.87</v>
      </c>
      <c r="L565" s="44"/>
      <c r="M565" s="44"/>
      <c r="N565" s="44"/>
      <c r="O565" s="44"/>
      <c r="P565" s="44"/>
      <c r="Q565" s="44"/>
      <c r="R565" s="44"/>
      <c r="S565" s="44"/>
    </row>
    <row r="566" spans="1:19" ht="14.1" customHeight="1">
      <c r="A566" s="27" t="s">
        <v>3848</v>
      </c>
      <c r="B566" s="27" t="s">
        <v>180</v>
      </c>
      <c r="C566" s="27" t="s">
        <v>242</v>
      </c>
      <c r="D566" s="27" t="s">
        <v>172</v>
      </c>
      <c r="E566" s="28">
        <v>30026.06</v>
      </c>
      <c r="F566" s="27" t="s">
        <v>4073</v>
      </c>
      <c r="G566" s="48"/>
      <c r="H566" s="47" t="str">
        <f t="shared" si="24"/>
        <v>AMAZONIA</v>
      </c>
      <c r="I566" s="6">
        <f t="shared" si="25"/>
        <v>30026.06</v>
      </c>
      <c r="J566" s="47">
        <f t="shared" si="26"/>
        <v>30026.06</v>
      </c>
      <c r="L566" s="44"/>
      <c r="M566" s="44"/>
      <c r="N566" s="44"/>
      <c r="O566" s="44"/>
      <c r="P566" s="44"/>
      <c r="Q566" s="44"/>
      <c r="R566" s="44"/>
      <c r="S566" s="44"/>
    </row>
    <row r="567" spans="1:19" ht="14.1" customHeight="1">
      <c r="A567" s="27" t="s">
        <v>3848</v>
      </c>
      <c r="B567" s="27" t="s">
        <v>180</v>
      </c>
      <c r="C567" s="27" t="s">
        <v>254</v>
      </c>
      <c r="D567" s="27" t="s">
        <v>172</v>
      </c>
      <c r="E567" s="28">
        <v>146171.37</v>
      </c>
      <c r="F567" s="27" t="s">
        <v>4073</v>
      </c>
      <c r="G567" s="48"/>
      <c r="H567" s="47" t="str">
        <f t="shared" si="24"/>
        <v>AMAZONIA</v>
      </c>
      <c r="I567" s="6">
        <f t="shared" si="25"/>
        <v>146171.37</v>
      </c>
      <c r="J567" s="47">
        <f t="shared" si="26"/>
        <v>146171.37</v>
      </c>
      <c r="L567" s="44"/>
      <c r="M567" s="44"/>
      <c r="N567" s="44"/>
      <c r="O567" s="44"/>
      <c r="P567" s="44"/>
      <c r="Q567" s="44"/>
      <c r="R567" s="44"/>
      <c r="S567" s="44"/>
    </row>
    <row r="568" spans="1:19" ht="14.1" customHeight="1">
      <c r="A568" s="27" t="s">
        <v>3848</v>
      </c>
      <c r="B568" s="27" t="s">
        <v>180</v>
      </c>
      <c r="C568" s="27" t="s">
        <v>305</v>
      </c>
      <c r="D568" s="27" t="s">
        <v>172</v>
      </c>
      <c r="E568" s="28">
        <v>72327.89</v>
      </c>
      <c r="F568" s="27" t="s">
        <v>4073</v>
      </c>
      <c r="G568" s="48"/>
      <c r="H568" s="47" t="str">
        <f t="shared" si="24"/>
        <v>AMAZONIA</v>
      </c>
      <c r="I568" s="6">
        <f t="shared" si="25"/>
        <v>72327.89</v>
      </c>
      <c r="J568" s="47">
        <f t="shared" si="26"/>
        <v>72327.89</v>
      </c>
      <c r="L568" s="44"/>
      <c r="M568" s="44"/>
      <c r="N568" s="44"/>
      <c r="O568" s="44"/>
      <c r="P568" s="44"/>
      <c r="Q568" s="44"/>
      <c r="R568" s="44"/>
      <c r="S568" s="44"/>
    </row>
    <row r="569" spans="1:19" ht="14.1" customHeight="1">
      <c r="A569" s="27" t="s">
        <v>3848</v>
      </c>
      <c r="B569" s="27" t="s">
        <v>180</v>
      </c>
      <c r="C569" s="27" t="s">
        <v>297</v>
      </c>
      <c r="D569" s="27" t="s">
        <v>172</v>
      </c>
      <c r="E569" s="28">
        <v>149375.29999999999</v>
      </c>
      <c r="F569" s="27" t="s">
        <v>4073</v>
      </c>
      <c r="G569" s="48"/>
      <c r="H569" s="47" t="str">
        <f t="shared" si="24"/>
        <v>AMAZONIA</v>
      </c>
      <c r="I569" s="6">
        <f t="shared" si="25"/>
        <v>149375.29999999999</v>
      </c>
      <c r="J569" s="47">
        <f t="shared" si="26"/>
        <v>149375.29999999999</v>
      </c>
      <c r="L569" s="44"/>
      <c r="M569" s="44"/>
      <c r="N569" s="44"/>
      <c r="O569" s="44"/>
      <c r="P569" s="44"/>
      <c r="Q569" s="44"/>
      <c r="R569" s="44"/>
      <c r="S569" s="44"/>
    </row>
    <row r="570" spans="1:19" ht="14.1" customHeight="1">
      <c r="A570" s="27" t="s">
        <v>3848</v>
      </c>
      <c r="B570" s="27" t="s">
        <v>180</v>
      </c>
      <c r="C570" s="27" t="s">
        <v>314</v>
      </c>
      <c r="D570" s="27" t="s">
        <v>172</v>
      </c>
      <c r="E570" s="28">
        <v>28103.200000000001</v>
      </c>
      <c r="F570" s="27" t="s">
        <v>4073</v>
      </c>
      <c r="G570" s="48"/>
      <c r="H570" s="47" t="str">
        <f t="shared" si="24"/>
        <v>AMAZONIA</v>
      </c>
      <c r="I570" s="6">
        <f t="shared" si="25"/>
        <v>28103.200000000001</v>
      </c>
      <c r="J570" s="47">
        <f t="shared" si="26"/>
        <v>28103.200000000001</v>
      </c>
      <c r="L570" s="44"/>
      <c r="M570" s="44"/>
      <c r="N570" s="44"/>
      <c r="O570" s="44"/>
      <c r="P570" s="44"/>
      <c r="Q570" s="44"/>
      <c r="R570" s="44"/>
      <c r="S570" s="44"/>
    </row>
    <row r="571" spans="1:19" ht="14.1" customHeight="1">
      <c r="A571" s="27" t="s">
        <v>3848</v>
      </c>
      <c r="B571" s="27" t="s">
        <v>180</v>
      </c>
      <c r="C571" s="27" t="s">
        <v>182</v>
      </c>
      <c r="D571" s="27" t="s">
        <v>172</v>
      </c>
      <c r="E571" s="28">
        <v>151029.59</v>
      </c>
      <c r="F571" s="27" t="s">
        <v>4073</v>
      </c>
      <c r="G571" s="48"/>
      <c r="H571" s="47" t="str">
        <f t="shared" si="24"/>
        <v>AMAZONIA</v>
      </c>
      <c r="I571" s="6">
        <f t="shared" si="25"/>
        <v>151029.59</v>
      </c>
      <c r="J571" s="47">
        <f t="shared" si="26"/>
        <v>151029.59</v>
      </c>
      <c r="L571" s="44"/>
      <c r="M571" s="44"/>
      <c r="N571" s="44"/>
      <c r="O571" s="44"/>
      <c r="P571" s="44"/>
      <c r="Q571" s="44"/>
      <c r="R571" s="44"/>
      <c r="S571" s="44"/>
    </row>
    <row r="572" spans="1:19" ht="14.1" customHeight="1">
      <c r="A572" s="27" t="s">
        <v>3849</v>
      </c>
      <c r="B572" s="27" t="s">
        <v>4072</v>
      </c>
      <c r="C572" s="27" t="s">
        <v>316</v>
      </c>
      <c r="D572" s="27" t="s">
        <v>172</v>
      </c>
      <c r="E572" s="28">
        <v>43627.5</v>
      </c>
      <c r="F572" s="27" t="s">
        <v>4074</v>
      </c>
      <c r="G572" s="48"/>
      <c r="H572" s="47" t="str">
        <f t="shared" si="24"/>
        <v>ANDINA</v>
      </c>
      <c r="I572" s="6">
        <f t="shared" si="25"/>
        <v>43627.5</v>
      </c>
      <c r="J572" s="47">
        <f t="shared" si="26"/>
        <v>43627.5</v>
      </c>
      <c r="L572" s="46"/>
      <c r="M572" s="46"/>
      <c r="N572" s="46"/>
      <c r="O572" s="46"/>
      <c r="P572" s="46"/>
      <c r="Q572" s="46"/>
      <c r="R572" s="46"/>
      <c r="S572" s="46"/>
    </row>
    <row r="573" spans="1:19" ht="14.1" customHeight="1">
      <c r="A573" s="27" t="s">
        <v>3849</v>
      </c>
      <c r="B573" s="27" t="s">
        <v>137</v>
      </c>
      <c r="C573" s="27" t="s">
        <v>291</v>
      </c>
      <c r="D573" s="27" t="s">
        <v>172</v>
      </c>
      <c r="E573" s="28">
        <v>22086.61</v>
      </c>
      <c r="F573" s="27" t="s">
        <v>4073</v>
      </c>
      <c r="G573" s="48"/>
      <c r="H573" s="47" t="str">
        <f t="shared" si="24"/>
        <v>ANDINA</v>
      </c>
      <c r="I573" s="6">
        <f t="shared" si="25"/>
        <v>22820.238181818186</v>
      </c>
      <c r="J573" s="47">
        <f t="shared" si="26"/>
        <v>22820.238181818186</v>
      </c>
      <c r="L573" s="44"/>
      <c r="M573" s="44"/>
      <c r="N573" s="44"/>
      <c r="O573" s="44"/>
      <c r="P573" s="44"/>
      <c r="Q573" s="44"/>
      <c r="R573" s="44"/>
      <c r="S573" s="44"/>
    </row>
    <row r="574" spans="1:19" ht="14.1" customHeight="1">
      <c r="A574" s="27" t="s">
        <v>3849</v>
      </c>
      <c r="B574" s="27" t="s">
        <v>137</v>
      </c>
      <c r="C574" s="27" t="s">
        <v>243</v>
      </c>
      <c r="D574" s="27" t="s">
        <v>172</v>
      </c>
      <c r="E574" s="28">
        <v>21754.73</v>
      </c>
      <c r="F574" s="27" t="s">
        <v>4073</v>
      </c>
      <c r="G574" s="48"/>
      <c r="H574" s="47" t="str">
        <f t="shared" si="24"/>
        <v>ANDINA</v>
      </c>
      <c r="I574" s="6">
        <f t="shared" si="25"/>
        <v>21924.077272727274</v>
      </c>
      <c r="J574" s="47">
        <f t="shared" si="26"/>
        <v>21924.077272727274</v>
      </c>
      <c r="L574" s="44"/>
      <c r="M574" s="44"/>
      <c r="N574" s="44"/>
      <c r="O574" s="44"/>
      <c r="P574" s="44"/>
      <c r="Q574" s="44"/>
      <c r="R574" s="44"/>
      <c r="S574" s="44"/>
    </row>
    <row r="575" spans="1:19" ht="14.1" customHeight="1">
      <c r="A575" s="27" t="s">
        <v>3849</v>
      </c>
      <c r="B575" s="27" t="s">
        <v>137</v>
      </c>
      <c r="C575" s="27" t="s">
        <v>237</v>
      </c>
      <c r="D575" s="27" t="s">
        <v>172</v>
      </c>
      <c r="E575" s="28">
        <v>28933.31</v>
      </c>
      <c r="F575" s="27" t="s">
        <v>4073</v>
      </c>
      <c r="G575" s="48"/>
      <c r="H575" s="47" t="str">
        <f t="shared" si="24"/>
        <v>ANDINA</v>
      </c>
      <c r="I575" s="6">
        <f t="shared" si="25"/>
        <v>29476.605454545454</v>
      </c>
      <c r="J575" s="47">
        <f t="shared" si="26"/>
        <v>29476.605454545454</v>
      </c>
      <c r="L575" s="44"/>
      <c r="M575" s="44"/>
      <c r="N575" s="44"/>
      <c r="O575" s="44"/>
      <c r="P575" s="44"/>
      <c r="Q575" s="44"/>
      <c r="R575" s="44"/>
      <c r="S575" s="44"/>
    </row>
    <row r="576" spans="1:19" ht="14.1" customHeight="1">
      <c r="A576" s="27" t="s">
        <v>3849</v>
      </c>
      <c r="B576" s="27" t="s">
        <v>137</v>
      </c>
      <c r="C576" s="27" t="s">
        <v>246</v>
      </c>
      <c r="D576" s="27" t="s">
        <v>172</v>
      </c>
      <c r="E576" s="28">
        <v>65250.53</v>
      </c>
      <c r="F576" s="27" t="s">
        <v>4073</v>
      </c>
      <c r="G576" s="48"/>
      <c r="H576" s="47" t="str">
        <f t="shared" si="24"/>
        <v>ANDINA</v>
      </c>
      <c r="I576" s="6">
        <f t="shared" si="25"/>
        <v>63733.286363636376</v>
      </c>
      <c r="J576" s="47">
        <f t="shared" si="26"/>
        <v>63733.286363636376</v>
      </c>
      <c r="L576" s="44"/>
      <c r="M576" s="44"/>
      <c r="N576" s="44"/>
      <c r="O576" s="44"/>
      <c r="P576" s="44"/>
      <c r="Q576" s="44"/>
      <c r="R576" s="44"/>
      <c r="S576" s="44"/>
    </row>
    <row r="577" spans="1:19" ht="14.1" customHeight="1">
      <c r="A577" s="27" t="s">
        <v>3849</v>
      </c>
      <c r="B577" s="27" t="s">
        <v>170</v>
      </c>
      <c r="C577" s="27" t="s">
        <v>259</v>
      </c>
      <c r="D577" s="27" t="s">
        <v>172</v>
      </c>
      <c r="E577" s="28">
        <v>282150</v>
      </c>
      <c r="F577" s="27" t="s">
        <v>4074</v>
      </c>
      <c r="G577" s="48"/>
      <c r="H577" s="47" t="str">
        <f t="shared" si="24"/>
        <v>ANDINA</v>
      </c>
      <c r="I577" s="6">
        <f t="shared" si="25"/>
        <v>282150</v>
      </c>
      <c r="J577" s="47">
        <f t="shared" si="26"/>
        <v>282150</v>
      </c>
      <c r="L577" s="44"/>
      <c r="M577" s="44"/>
      <c r="N577" s="44"/>
      <c r="O577" s="44"/>
      <c r="P577" s="44"/>
      <c r="Q577" s="44"/>
      <c r="R577" s="44"/>
      <c r="S577" s="44"/>
    </row>
    <row r="578" spans="1:19" ht="14.1" customHeight="1">
      <c r="A578" s="27" t="s">
        <v>3849</v>
      </c>
      <c r="B578" s="27" t="s">
        <v>170</v>
      </c>
      <c r="C578" s="27" t="s">
        <v>276</v>
      </c>
      <c r="D578" s="27" t="s">
        <v>172</v>
      </c>
      <c r="E578" s="28">
        <v>83726.98</v>
      </c>
      <c r="F578" s="27" t="s">
        <v>4073</v>
      </c>
      <c r="G578" s="48"/>
      <c r="H578" s="47" t="str">
        <f t="shared" ref="H578:H641" si="27">IF(OR(A578="Antioquia",A578="Bogotá, D.C.",A578="Boyacá",A578="Cundinamarca",A578="Caldas",A578="Risaralda",A578="Quindío",A578="Tolima",A578="Huila",A578="Santander",A578="Norte de Santander"),"ANDINA",
IF(OR(A578="Atlántico",A578="Bolívar",A578="Cesar",A578="Córdoba",A578="Sucre",A578="Magdalena"),"CARIBE",
IF(OR(A578="Valle del Cauca",A578="Cauca",A578="Nariño"),"PACIFICO",
IF(OR(A578="Meta",A578="Casanare",A578="Arauca"),"ORINOQUIA",
"AMAZONIA"))))</f>
        <v>ANDINA</v>
      </c>
      <c r="I578" s="6">
        <f t="shared" ref="I578:I641" si="28">IF(F578="Departamental",E578,
AVERAGEIFS($E:$E,$H:$H,H578,$B:$B,B578,$C:$C,C578))</f>
        <v>83734.880909090891</v>
      </c>
      <c r="J578" s="47">
        <f t="shared" si="26"/>
        <v>83734.880909090891</v>
      </c>
      <c r="L578" s="44"/>
      <c r="M578" s="44"/>
      <c r="N578" s="44"/>
      <c r="O578" s="44"/>
      <c r="P578" s="44"/>
      <c r="Q578" s="44"/>
      <c r="R578" s="44"/>
      <c r="S578" s="44"/>
    </row>
    <row r="579" spans="1:19" ht="14.1" customHeight="1">
      <c r="A579" s="27" t="s">
        <v>3849</v>
      </c>
      <c r="B579" s="27" t="s">
        <v>170</v>
      </c>
      <c r="C579" s="27" t="s">
        <v>240</v>
      </c>
      <c r="D579" s="27" t="s">
        <v>172</v>
      </c>
      <c r="E579" s="28">
        <v>23574.34</v>
      </c>
      <c r="F579" s="27" t="s">
        <v>4073</v>
      </c>
      <c r="G579" s="48"/>
      <c r="H579" s="47" t="str">
        <f t="shared" si="27"/>
        <v>ANDINA</v>
      </c>
      <c r="I579" s="6">
        <f t="shared" si="28"/>
        <v>24304.165454545455</v>
      </c>
      <c r="J579" s="47">
        <f t="shared" ref="J579:J642" si="29">IF(G579&lt;&gt;"",G579,I579)</f>
        <v>24304.165454545455</v>
      </c>
      <c r="L579" s="44"/>
      <c r="M579" s="44"/>
      <c r="N579" s="44"/>
      <c r="O579" s="44"/>
      <c r="P579" s="44"/>
      <c r="Q579" s="44"/>
      <c r="R579" s="44"/>
      <c r="S579" s="44"/>
    </row>
    <row r="580" spans="1:19" ht="14.1" customHeight="1">
      <c r="A580" s="27" t="s">
        <v>3849</v>
      </c>
      <c r="B580" s="27" t="s">
        <v>170</v>
      </c>
      <c r="C580" s="27" t="s">
        <v>251</v>
      </c>
      <c r="D580" s="27" t="s">
        <v>226</v>
      </c>
      <c r="E580" s="28">
        <v>58018.75</v>
      </c>
      <c r="F580" s="27" t="s">
        <v>4074</v>
      </c>
      <c r="G580" s="48"/>
      <c r="H580" s="47" t="str">
        <f t="shared" si="27"/>
        <v>ANDINA</v>
      </c>
      <c r="I580" s="6">
        <f t="shared" si="28"/>
        <v>58018.75</v>
      </c>
      <c r="J580" s="47">
        <f t="shared" si="29"/>
        <v>58018.75</v>
      </c>
      <c r="L580" s="44"/>
      <c r="M580" s="44"/>
      <c r="N580" s="44"/>
      <c r="O580" s="44"/>
      <c r="P580" s="44"/>
      <c r="Q580" s="44"/>
      <c r="R580" s="44"/>
      <c r="S580" s="44"/>
    </row>
    <row r="581" spans="1:19" ht="14.1" customHeight="1">
      <c r="A581" s="27" t="s">
        <v>3849</v>
      </c>
      <c r="B581" s="27" t="s">
        <v>170</v>
      </c>
      <c r="C581" s="27" t="s">
        <v>256</v>
      </c>
      <c r="D581" s="27" t="s">
        <v>172</v>
      </c>
      <c r="E581" s="28">
        <v>29504.6</v>
      </c>
      <c r="F581" s="27" t="s">
        <v>4073</v>
      </c>
      <c r="G581" s="48"/>
      <c r="H581" s="47" t="str">
        <f t="shared" si="27"/>
        <v>ANDINA</v>
      </c>
      <c r="I581" s="6">
        <f t="shared" si="28"/>
        <v>29675.26090909091</v>
      </c>
      <c r="J581" s="47">
        <f t="shared" si="29"/>
        <v>29675.26090909091</v>
      </c>
      <c r="L581" s="44"/>
      <c r="M581" s="44"/>
      <c r="N581" s="44"/>
      <c r="O581" s="44"/>
      <c r="P581" s="44"/>
      <c r="Q581" s="44"/>
      <c r="R581" s="44"/>
      <c r="S581" s="44"/>
    </row>
    <row r="582" spans="1:19" ht="14.1" customHeight="1">
      <c r="A582" s="27" t="s">
        <v>3849</v>
      </c>
      <c r="B582" s="27" t="s">
        <v>170</v>
      </c>
      <c r="C582" s="27" t="s">
        <v>311</v>
      </c>
      <c r="D582" s="27" t="s">
        <v>172</v>
      </c>
      <c r="E582" s="28">
        <v>43926.32</v>
      </c>
      <c r="F582" s="27" t="s">
        <v>4074</v>
      </c>
      <c r="G582" s="48"/>
      <c r="H582" s="47" t="str">
        <f t="shared" si="27"/>
        <v>ANDINA</v>
      </c>
      <c r="I582" s="6">
        <f t="shared" si="28"/>
        <v>43926.32</v>
      </c>
      <c r="J582" s="47">
        <f t="shared" si="29"/>
        <v>43926.32</v>
      </c>
      <c r="L582" s="44"/>
      <c r="M582" s="44"/>
      <c r="N582" s="44"/>
      <c r="O582" s="44"/>
      <c r="P582" s="44"/>
      <c r="Q582" s="44"/>
      <c r="R582" s="44"/>
      <c r="S582" s="44"/>
    </row>
    <row r="583" spans="1:19" ht="14.1" customHeight="1">
      <c r="A583" s="27" t="s">
        <v>3849</v>
      </c>
      <c r="B583" s="27" t="s">
        <v>170</v>
      </c>
      <c r="C583" s="27" t="s">
        <v>171</v>
      </c>
      <c r="D583" s="27" t="s">
        <v>172</v>
      </c>
      <c r="E583" s="28">
        <v>115879.72</v>
      </c>
      <c r="F583" s="27" t="s">
        <v>4073</v>
      </c>
      <c r="G583" s="48"/>
      <c r="H583" s="47" t="str">
        <f t="shared" si="27"/>
        <v>ANDINA</v>
      </c>
      <c r="I583" s="6">
        <f t="shared" si="28"/>
        <v>117943.50181818182</v>
      </c>
      <c r="J583" s="47">
        <f t="shared" si="29"/>
        <v>117943.50181818182</v>
      </c>
      <c r="L583" s="44"/>
      <c r="M583" s="44"/>
      <c r="N583" s="44"/>
      <c r="O583" s="44"/>
      <c r="P583" s="44"/>
      <c r="Q583" s="44"/>
      <c r="R583" s="44"/>
      <c r="S583" s="44"/>
    </row>
    <row r="584" spans="1:19" ht="14.1" customHeight="1">
      <c r="A584" s="27" t="s">
        <v>3849</v>
      </c>
      <c r="B584" s="27" t="s">
        <v>170</v>
      </c>
      <c r="C584" s="27" t="s">
        <v>252</v>
      </c>
      <c r="D584" s="27" t="s">
        <v>226</v>
      </c>
      <c r="E584" s="28">
        <v>21867.29</v>
      </c>
      <c r="F584" s="27" t="s">
        <v>4073</v>
      </c>
      <c r="G584" s="48"/>
      <c r="H584" s="47" t="str">
        <f t="shared" si="27"/>
        <v>ANDINA</v>
      </c>
      <c r="I584" s="6">
        <f t="shared" si="28"/>
        <v>21729.190000000002</v>
      </c>
      <c r="J584" s="47">
        <f t="shared" si="29"/>
        <v>21729.190000000002</v>
      </c>
      <c r="L584" s="44"/>
      <c r="M584" s="44"/>
      <c r="N584" s="44"/>
      <c r="O584" s="44"/>
      <c r="P584" s="44"/>
      <c r="Q584" s="44"/>
      <c r="R584" s="44"/>
      <c r="S584" s="44"/>
    </row>
    <row r="585" spans="1:19" ht="14.1" customHeight="1">
      <c r="A585" s="27" t="s">
        <v>3849</v>
      </c>
      <c r="B585" s="27" t="s">
        <v>170</v>
      </c>
      <c r="C585" s="27" t="s">
        <v>296</v>
      </c>
      <c r="D585" s="27" t="s">
        <v>226</v>
      </c>
      <c r="E585" s="28">
        <v>23167.62</v>
      </c>
      <c r="F585" s="27" t="s">
        <v>4073</v>
      </c>
      <c r="G585" s="48"/>
      <c r="H585" s="47" t="str">
        <f t="shared" si="27"/>
        <v>ANDINA</v>
      </c>
      <c r="I585" s="6">
        <f t="shared" si="28"/>
        <v>23368.076363636363</v>
      </c>
      <c r="J585" s="47">
        <f t="shared" si="29"/>
        <v>23368.076363636363</v>
      </c>
      <c r="L585" s="44"/>
      <c r="M585" s="44"/>
      <c r="N585" s="44"/>
      <c r="O585" s="44"/>
      <c r="P585" s="44"/>
      <c r="Q585" s="44"/>
      <c r="R585" s="44"/>
      <c r="S585" s="44"/>
    </row>
    <row r="586" spans="1:19" ht="14.1" customHeight="1">
      <c r="A586" s="27" t="s">
        <v>3849</v>
      </c>
      <c r="B586" s="27" t="s">
        <v>170</v>
      </c>
      <c r="C586" s="27" t="s">
        <v>173</v>
      </c>
      <c r="D586" s="27" t="s">
        <v>172</v>
      </c>
      <c r="E586" s="28">
        <v>148359.9</v>
      </c>
      <c r="F586" s="27" t="s">
        <v>4074</v>
      </c>
      <c r="G586" s="48"/>
      <c r="H586" s="47" t="str">
        <f t="shared" si="27"/>
        <v>ANDINA</v>
      </c>
      <c r="I586" s="6">
        <f t="shared" si="28"/>
        <v>148359.9</v>
      </c>
      <c r="J586" s="47">
        <f t="shared" si="29"/>
        <v>148359.9</v>
      </c>
      <c r="L586" s="44"/>
      <c r="M586" s="44"/>
      <c r="N586" s="44"/>
      <c r="O586" s="44"/>
      <c r="P586" s="44"/>
      <c r="Q586" s="44"/>
      <c r="R586" s="44"/>
      <c r="S586" s="44"/>
    </row>
    <row r="587" spans="1:19" ht="14.1" customHeight="1">
      <c r="A587" s="27" t="s">
        <v>3849</v>
      </c>
      <c r="B587" s="27" t="s">
        <v>170</v>
      </c>
      <c r="C587" s="27" t="s">
        <v>225</v>
      </c>
      <c r="D587" s="27" t="s">
        <v>226</v>
      </c>
      <c r="E587" s="28">
        <v>37977.24</v>
      </c>
      <c r="F587" s="27" t="s">
        <v>4073</v>
      </c>
      <c r="G587" s="48"/>
      <c r="H587" s="47" t="str">
        <f t="shared" si="27"/>
        <v>ANDINA</v>
      </c>
      <c r="I587" s="6">
        <f t="shared" si="28"/>
        <v>38415.336363636357</v>
      </c>
      <c r="J587" s="47">
        <f t="shared" si="29"/>
        <v>38415.336363636357</v>
      </c>
      <c r="L587" s="44"/>
      <c r="M587" s="44"/>
      <c r="N587" s="44"/>
      <c r="O587" s="44"/>
      <c r="P587" s="44"/>
      <c r="Q587" s="44"/>
      <c r="R587" s="44"/>
      <c r="S587" s="44"/>
    </row>
    <row r="588" spans="1:19" ht="14.1" customHeight="1">
      <c r="A588" s="27" t="s">
        <v>3849</v>
      </c>
      <c r="B588" s="27" t="s">
        <v>176</v>
      </c>
      <c r="C588" s="27" t="s">
        <v>262</v>
      </c>
      <c r="D588" s="27" t="s">
        <v>172</v>
      </c>
      <c r="E588" s="28">
        <v>16175</v>
      </c>
      <c r="F588" s="27" t="s">
        <v>4074</v>
      </c>
      <c r="G588" s="48"/>
      <c r="H588" s="47" t="str">
        <f t="shared" si="27"/>
        <v>ANDINA</v>
      </c>
      <c r="I588" s="6">
        <f t="shared" si="28"/>
        <v>16175</v>
      </c>
      <c r="J588" s="47">
        <f t="shared" si="29"/>
        <v>16175</v>
      </c>
      <c r="L588" s="44"/>
      <c r="M588" s="44"/>
      <c r="N588" s="44"/>
      <c r="O588" s="44"/>
      <c r="P588" s="44"/>
      <c r="Q588" s="44"/>
      <c r="R588" s="44"/>
      <c r="S588" s="44"/>
    </row>
    <row r="589" spans="1:19" ht="14.1" customHeight="1">
      <c r="A589" s="27" t="s">
        <v>3849</v>
      </c>
      <c r="B589" s="27" t="s">
        <v>176</v>
      </c>
      <c r="C589" s="27" t="s">
        <v>253</v>
      </c>
      <c r="D589" s="27" t="s">
        <v>172</v>
      </c>
      <c r="E589" s="28">
        <v>24023.33</v>
      </c>
      <c r="F589" s="27" t="s">
        <v>4073</v>
      </c>
      <c r="G589" s="48"/>
      <c r="H589" s="47" t="str">
        <f t="shared" si="27"/>
        <v>ANDINA</v>
      </c>
      <c r="I589" s="6">
        <f t="shared" si="28"/>
        <v>25145.120909090914</v>
      </c>
      <c r="J589" s="47">
        <f t="shared" si="29"/>
        <v>25145.120909090914</v>
      </c>
      <c r="L589" s="44"/>
      <c r="M589" s="44"/>
      <c r="N589" s="44"/>
      <c r="O589" s="44"/>
      <c r="P589" s="44"/>
      <c r="Q589" s="44"/>
      <c r="R589" s="44"/>
      <c r="S589" s="44"/>
    </row>
    <row r="590" spans="1:19" ht="14.1" customHeight="1">
      <c r="A590" s="27" t="s">
        <v>3849</v>
      </c>
      <c r="B590" s="27" t="s">
        <v>176</v>
      </c>
      <c r="C590" s="27" t="s">
        <v>177</v>
      </c>
      <c r="D590" s="27" t="s">
        <v>172</v>
      </c>
      <c r="E590" s="28">
        <v>20153.830000000002</v>
      </c>
      <c r="F590" s="27" t="s">
        <v>4073</v>
      </c>
      <c r="G590" s="48"/>
      <c r="H590" s="47" t="str">
        <f t="shared" si="27"/>
        <v>ANDINA</v>
      </c>
      <c r="I590" s="6">
        <f t="shared" si="28"/>
        <v>19995.576363636366</v>
      </c>
      <c r="J590" s="47">
        <f t="shared" si="29"/>
        <v>19995.576363636366</v>
      </c>
      <c r="L590" s="44"/>
      <c r="M590" s="44"/>
      <c r="N590" s="44"/>
      <c r="O590" s="44"/>
      <c r="P590" s="44"/>
      <c r="Q590" s="44"/>
      <c r="R590" s="44"/>
      <c r="S590" s="44"/>
    </row>
    <row r="591" spans="1:19" ht="14.1" customHeight="1">
      <c r="A591" s="27" t="s">
        <v>3849</v>
      </c>
      <c r="B591" s="27" t="s">
        <v>176</v>
      </c>
      <c r="C591" s="27" t="s">
        <v>231</v>
      </c>
      <c r="D591" s="27" t="s">
        <v>172</v>
      </c>
      <c r="E591" s="28">
        <v>23182.47</v>
      </c>
      <c r="F591" s="27" t="s">
        <v>4074</v>
      </c>
      <c r="G591" s="48"/>
      <c r="H591" s="47" t="str">
        <f t="shared" si="27"/>
        <v>ANDINA</v>
      </c>
      <c r="I591" s="6">
        <f t="shared" si="28"/>
        <v>23182.47</v>
      </c>
      <c r="J591" s="47">
        <f t="shared" si="29"/>
        <v>23182.47</v>
      </c>
      <c r="L591" s="44"/>
      <c r="M591" s="44"/>
      <c r="N591" s="44"/>
      <c r="O591" s="44"/>
      <c r="P591" s="44"/>
      <c r="Q591" s="44"/>
      <c r="R591" s="44"/>
      <c r="S591" s="44"/>
    </row>
    <row r="592" spans="1:19" ht="14.1" customHeight="1">
      <c r="A592" s="27" t="s">
        <v>3849</v>
      </c>
      <c r="B592" s="27" t="s">
        <v>180</v>
      </c>
      <c r="C592" s="27" t="s">
        <v>181</v>
      </c>
      <c r="D592" s="27" t="s">
        <v>172</v>
      </c>
      <c r="E592" s="28">
        <v>34056.25</v>
      </c>
      <c r="F592" s="27" t="s">
        <v>4073</v>
      </c>
      <c r="G592" s="48"/>
      <c r="H592" s="47" t="str">
        <f t="shared" si="27"/>
        <v>ANDINA</v>
      </c>
      <c r="I592" s="6">
        <f t="shared" si="28"/>
        <v>33820.26545454545</v>
      </c>
      <c r="J592" s="47">
        <f t="shared" si="29"/>
        <v>33820.26545454545</v>
      </c>
      <c r="L592" s="44"/>
      <c r="M592" s="44"/>
      <c r="N592" s="44"/>
      <c r="O592" s="44"/>
      <c r="P592" s="44"/>
      <c r="Q592" s="44"/>
      <c r="R592" s="44"/>
      <c r="S592" s="44"/>
    </row>
    <row r="593" spans="1:19" ht="14.1" customHeight="1">
      <c r="A593" s="27" t="s">
        <v>3849</v>
      </c>
      <c r="B593" s="27" t="s">
        <v>180</v>
      </c>
      <c r="C593" s="27" t="s">
        <v>263</v>
      </c>
      <c r="D593" s="27" t="s">
        <v>172</v>
      </c>
      <c r="E593" s="28">
        <v>207056.07</v>
      </c>
      <c r="F593" s="27" t="s">
        <v>4074</v>
      </c>
      <c r="G593" s="48"/>
      <c r="H593" s="47" t="str">
        <f t="shared" si="27"/>
        <v>ANDINA</v>
      </c>
      <c r="I593" s="6">
        <f t="shared" si="28"/>
        <v>207056.07</v>
      </c>
      <c r="J593" s="47">
        <f t="shared" si="29"/>
        <v>207056.07</v>
      </c>
      <c r="L593" s="44"/>
      <c r="M593" s="44"/>
      <c r="N593" s="44"/>
      <c r="O593" s="44"/>
      <c r="P593" s="44"/>
      <c r="Q593" s="44"/>
      <c r="R593" s="44"/>
      <c r="S593" s="44"/>
    </row>
    <row r="594" spans="1:19" ht="14.1" customHeight="1">
      <c r="A594" s="27" t="s">
        <v>3849</v>
      </c>
      <c r="B594" s="27" t="s">
        <v>180</v>
      </c>
      <c r="C594" s="27" t="s">
        <v>277</v>
      </c>
      <c r="D594" s="27" t="s">
        <v>172</v>
      </c>
      <c r="E594" s="28">
        <v>90689.07</v>
      </c>
      <c r="F594" s="27" t="s">
        <v>4073</v>
      </c>
      <c r="G594" s="48"/>
      <c r="H594" s="47" t="str">
        <f t="shared" si="27"/>
        <v>ANDINA</v>
      </c>
      <c r="I594" s="6">
        <f t="shared" si="28"/>
        <v>88565.010909090925</v>
      </c>
      <c r="J594" s="47">
        <f t="shared" si="29"/>
        <v>88565.010909090925</v>
      </c>
      <c r="L594" s="44"/>
      <c r="M594" s="44"/>
      <c r="N594" s="44"/>
      <c r="O594" s="44"/>
      <c r="P594" s="44"/>
      <c r="Q594" s="44"/>
      <c r="R594" s="44"/>
      <c r="S594" s="44"/>
    </row>
    <row r="595" spans="1:19" ht="14.1" customHeight="1">
      <c r="A595" s="27" t="s">
        <v>3849</v>
      </c>
      <c r="B595" s="27" t="s">
        <v>180</v>
      </c>
      <c r="C595" s="27" t="s">
        <v>300</v>
      </c>
      <c r="D595" s="27" t="s">
        <v>172</v>
      </c>
      <c r="E595" s="28">
        <v>66141.87</v>
      </c>
      <c r="F595" s="27" t="s">
        <v>4073</v>
      </c>
      <c r="G595" s="48"/>
      <c r="H595" s="47" t="str">
        <f t="shared" si="27"/>
        <v>ANDINA</v>
      </c>
      <c r="I595" s="6">
        <f t="shared" si="28"/>
        <v>67595.050909090904</v>
      </c>
      <c r="J595" s="47">
        <f t="shared" si="29"/>
        <v>67595.050909090904</v>
      </c>
      <c r="L595" s="44"/>
      <c r="M595" s="44"/>
      <c r="N595" s="44"/>
      <c r="O595" s="44"/>
      <c r="P595" s="44"/>
      <c r="Q595" s="44"/>
      <c r="R595" s="44"/>
      <c r="S595" s="44"/>
    </row>
    <row r="596" spans="1:19" ht="14.1" customHeight="1">
      <c r="A596" s="27" t="s">
        <v>3849</v>
      </c>
      <c r="B596" s="27" t="s">
        <v>180</v>
      </c>
      <c r="C596" s="27" t="s">
        <v>242</v>
      </c>
      <c r="D596" s="27" t="s">
        <v>172</v>
      </c>
      <c r="E596" s="28">
        <v>30026.06</v>
      </c>
      <c r="F596" s="27" t="s">
        <v>4073</v>
      </c>
      <c r="G596" s="48"/>
      <c r="H596" s="47" t="str">
        <f t="shared" si="27"/>
        <v>ANDINA</v>
      </c>
      <c r="I596" s="6">
        <f t="shared" si="28"/>
        <v>29535.073636363635</v>
      </c>
      <c r="J596" s="47">
        <f t="shared" si="29"/>
        <v>29535.073636363635</v>
      </c>
      <c r="L596" s="44"/>
      <c r="M596" s="44"/>
      <c r="N596" s="44"/>
      <c r="O596" s="44"/>
      <c r="P596" s="44"/>
      <c r="Q596" s="44"/>
      <c r="R596" s="44"/>
      <c r="S596" s="44"/>
    </row>
    <row r="597" spans="1:19" ht="14.1" customHeight="1">
      <c r="A597" s="27" t="s">
        <v>3849</v>
      </c>
      <c r="B597" s="27" t="s">
        <v>180</v>
      </c>
      <c r="C597" s="27" t="s">
        <v>254</v>
      </c>
      <c r="D597" s="27" t="s">
        <v>172</v>
      </c>
      <c r="E597" s="28">
        <v>146171.37</v>
      </c>
      <c r="F597" s="27" t="s">
        <v>4073</v>
      </c>
      <c r="G597" s="48"/>
      <c r="H597" s="47" t="str">
        <f t="shared" si="27"/>
        <v>ANDINA</v>
      </c>
      <c r="I597" s="6">
        <f t="shared" si="28"/>
        <v>147672.92727272728</v>
      </c>
      <c r="J597" s="47">
        <f t="shared" si="29"/>
        <v>147672.92727272728</v>
      </c>
      <c r="L597" s="44"/>
      <c r="M597" s="44"/>
      <c r="N597" s="44"/>
      <c r="O597" s="44"/>
      <c r="P597" s="44"/>
      <c r="Q597" s="44"/>
      <c r="R597" s="44"/>
      <c r="S597" s="44"/>
    </row>
    <row r="598" spans="1:19" ht="14.1" customHeight="1">
      <c r="A598" s="27" t="s">
        <v>3849</v>
      </c>
      <c r="B598" s="27" t="s">
        <v>180</v>
      </c>
      <c r="C598" s="27" t="s">
        <v>305</v>
      </c>
      <c r="D598" s="27" t="s">
        <v>172</v>
      </c>
      <c r="E598" s="28">
        <v>71675</v>
      </c>
      <c r="F598" s="27" t="s">
        <v>4074</v>
      </c>
      <c r="G598" s="48"/>
      <c r="H598" s="47" t="str">
        <f t="shared" si="27"/>
        <v>ANDINA</v>
      </c>
      <c r="I598" s="6">
        <f t="shared" si="28"/>
        <v>71675</v>
      </c>
      <c r="J598" s="47">
        <f t="shared" si="29"/>
        <v>71675</v>
      </c>
      <c r="L598" s="44"/>
      <c r="M598" s="44"/>
      <c r="N598" s="44"/>
      <c r="O598" s="44"/>
      <c r="P598" s="44"/>
      <c r="Q598" s="44"/>
      <c r="R598" s="44"/>
      <c r="S598" s="44"/>
    </row>
    <row r="599" spans="1:19" ht="14.1" customHeight="1">
      <c r="A599" s="27" t="s">
        <v>3849</v>
      </c>
      <c r="B599" s="27" t="s">
        <v>180</v>
      </c>
      <c r="C599" s="27" t="s">
        <v>297</v>
      </c>
      <c r="D599" s="27" t="s">
        <v>172</v>
      </c>
      <c r="E599" s="28">
        <v>149375.29999999999</v>
      </c>
      <c r="F599" s="27" t="s">
        <v>4073</v>
      </c>
      <c r="G599" s="48"/>
      <c r="H599" s="47" t="str">
        <f t="shared" si="27"/>
        <v>ANDINA</v>
      </c>
      <c r="I599" s="6">
        <f t="shared" si="28"/>
        <v>150305.83363636368</v>
      </c>
      <c r="J599" s="47">
        <f t="shared" si="29"/>
        <v>150305.83363636368</v>
      </c>
      <c r="L599" s="44"/>
      <c r="M599" s="44"/>
      <c r="N599" s="44"/>
      <c r="O599" s="44"/>
      <c r="P599" s="44"/>
      <c r="Q599" s="44"/>
      <c r="R599" s="44"/>
      <c r="S599" s="44"/>
    </row>
    <row r="600" spans="1:19" ht="14.1" customHeight="1">
      <c r="A600" s="27" t="s">
        <v>3849</v>
      </c>
      <c r="B600" s="27" t="s">
        <v>180</v>
      </c>
      <c r="C600" s="27" t="s">
        <v>314</v>
      </c>
      <c r="D600" s="27" t="s">
        <v>172</v>
      </c>
      <c r="E600" s="28">
        <v>27065.52</v>
      </c>
      <c r="F600" s="27" t="s">
        <v>4074</v>
      </c>
      <c r="G600" s="48"/>
      <c r="H600" s="47" t="str">
        <f t="shared" si="27"/>
        <v>ANDINA</v>
      </c>
      <c r="I600" s="6">
        <f t="shared" si="28"/>
        <v>27065.52</v>
      </c>
      <c r="J600" s="47">
        <f t="shared" si="29"/>
        <v>27065.52</v>
      </c>
      <c r="L600" s="44"/>
      <c r="M600" s="44"/>
      <c r="N600" s="44"/>
      <c r="O600" s="44"/>
      <c r="P600" s="44"/>
      <c r="Q600" s="44"/>
      <c r="R600" s="44"/>
      <c r="S600" s="44"/>
    </row>
    <row r="601" spans="1:19" ht="14.1" customHeight="1">
      <c r="A601" s="27" t="s">
        <v>3849</v>
      </c>
      <c r="B601" s="27" t="s">
        <v>180</v>
      </c>
      <c r="C601" s="27" t="s">
        <v>182</v>
      </c>
      <c r="D601" s="27" t="s">
        <v>172</v>
      </c>
      <c r="E601" s="28">
        <v>145783.32999999999</v>
      </c>
      <c r="F601" s="27" t="s">
        <v>4074</v>
      </c>
      <c r="G601" s="48"/>
      <c r="H601" s="47" t="str">
        <f t="shared" si="27"/>
        <v>ANDINA</v>
      </c>
      <c r="I601" s="6">
        <f t="shared" si="28"/>
        <v>145783.32999999999</v>
      </c>
      <c r="J601" s="47">
        <f t="shared" si="29"/>
        <v>145783.32999999999</v>
      </c>
      <c r="L601" s="44"/>
      <c r="M601" s="44"/>
      <c r="N601" s="44"/>
      <c r="O601" s="44"/>
      <c r="P601" s="44"/>
      <c r="Q601" s="44"/>
      <c r="R601" s="44"/>
      <c r="S601" s="44"/>
    </row>
    <row r="602" spans="1:19" ht="14.1" customHeight="1">
      <c r="A602" s="27" t="s">
        <v>3850</v>
      </c>
      <c r="B602" s="27" t="s">
        <v>4072</v>
      </c>
      <c r="C602" s="27" t="s">
        <v>316</v>
      </c>
      <c r="D602" s="27" t="s">
        <v>172</v>
      </c>
      <c r="E602" s="28">
        <v>46378.17</v>
      </c>
      <c r="F602" s="27" t="s">
        <v>4073</v>
      </c>
      <c r="G602" s="48"/>
      <c r="H602" s="47" t="str">
        <f t="shared" si="27"/>
        <v>ANDINA</v>
      </c>
      <c r="I602" s="6">
        <f t="shared" si="28"/>
        <v>46393.717272727263</v>
      </c>
      <c r="J602" s="47">
        <f t="shared" si="29"/>
        <v>46393.717272727263</v>
      </c>
      <c r="L602" s="46"/>
      <c r="M602" s="46"/>
      <c r="N602" s="46"/>
      <c r="O602" s="46"/>
      <c r="P602" s="46"/>
      <c r="Q602" s="46"/>
      <c r="R602" s="46"/>
      <c r="S602" s="46"/>
    </row>
    <row r="603" spans="1:19" ht="14.1" customHeight="1">
      <c r="A603" s="27" t="s">
        <v>3850</v>
      </c>
      <c r="B603" s="27" t="s">
        <v>137</v>
      </c>
      <c r="C603" s="27" t="s">
        <v>291</v>
      </c>
      <c r="D603" s="27" t="s">
        <v>172</v>
      </c>
      <c r="E603" s="28">
        <v>22086.61</v>
      </c>
      <c r="F603" s="27" t="s">
        <v>4073</v>
      </c>
      <c r="G603" s="48"/>
      <c r="H603" s="47" t="str">
        <f t="shared" si="27"/>
        <v>ANDINA</v>
      </c>
      <c r="I603" s="6">
        <f t="shared" si="28"/>
        <v>22820.238181818186</v>
      </c>
      <c r="J603" s="47">
        <f t="shared" si="29"/>
        <v>22820.238181818186</v>
      </c>
      <c r="L603" s="44"/>
      <c r="M603" s="44"/>
      <c r="N603" s="44"/>
      <c r="O603" s="44"/>
      <c r="P603" s="44"/>
      <c r="Q603" s="44"/>
      <c r="R603" s="44"/>
      <c r="S603" s="44"/>
    </row>
    <row r="604" spans="1:19" ht="14.1" customHeight="1">
      <c r="A604" s="27" t="s">
        <v>3850</v>
      </c>
      <c r="B604" s="27" t="s">
        <v>137</v>
      </c>
      <c r="C604" s="27" t="s">
        <v>243</v>
      </c>
      <c r="D604" s="27" t="s">
        <v>172</v>
      </c>
      <c r="E604" s="28">
        <v>22475.42</v>
      </c>
      <c r="F604" s="27" t="s">
        <v>4074</v>
      </c>
      <c r="G604" s="48"/>
      <c r="H604" s="47" t="str">
        <f t="shared" si="27"/>
        <v>ANDINA</v>
      </c>
      <c r="I604" s="6">
        <f t="shared" si="28"/>
        <v>22475.42</v>
      </c>
      <c r="J604" s="47">
        <f t="shared" si="29"/>
        <v>22475.42</v>
      </c>
      <c r="L604" s="44"/>
      <c r="M604" s="44"/>
      <c r="N604" s="44"/>
      <c r="O604" s="44"/>
      <c r="P604" s="44"/>
      <c r="Q604" s="44"/>
      <c r="R604" s="44"/>
      <c r="S604" s="44"/>
    </row>
    <row r="605" spans="1:19" ht="14.1" customHeight="1">
      <c r="A605" s="27" t="s">
        <v>3850</v>
      </c>
      <c r="B605" s="27" t="s">
        <v>137</v>
      </c>
      <c r="C605" s="27" t="s">
        <v>237</v>
      </c>
      <c r="D605" s="27" t="s">
        <v>172</v>
      </c>
      <c r="E605" s="28">
        <v>29656.57</v>
      </c>
      <c r="F605" s="27" t="s">
        <v>4074</v>
      </c>
      <c r="G605" s="48"/>
      <c r="H605" s="47" t="str">
        <f t="shared" si="27"/>
        <v>ANDINA</v>
      </c>
      <c r="I605" s="6">
        <f t="shared" si="28"/>
        <v>29656.57</v>
      </c>
      <c r="J605" s="47">
        <f t="shared" si="29"/>
        <v>29656.57</v>
      </c>
      <c r="L605" s="44"/>
      <c r="M605" s="44"/>
      <c r="N605" s="44"/>
      <c r="O605" s="44"/>
      <c r="P605" s="44"/>
      <c r="Q605" s="44"/>
      <c r="R605" s="44"/>
      <c r="S605" s="44"/>
    </row>
    <row r="606" spans="1:19" ht="14.1" customHeight="1">
      <c r="A606" s="27" t="s">
        <v>3850</v>
      </c>
      <c r="B606" s="27" t="s">
        <v>137</v>
      </c>
      <c r="C606" s="27" t="s">
        <v>246</v>
      </c>
      <c r="D606" s="27" t="s">
        <v>172</v>
      </c>
      <c r="E606" s="28">
        <v>66781.509999999995</v>
      </c>
      <c r="F606" s="27" t="s">
        <v>4074</v>
      </c>
      <c r="G606" s="48"/>
      <c r="H606" s="47" t="str">
        <f t="shared" si="27"/>
        <v>ANDINA</v>
      </c>
      <c r="I606" s="6">
        <f t="shared" si="28"/>
        <v>66781.509999999995</v>
      </c>
      <c r="J606" s="47">
        <f t="shared" si="29"/>
        <v>66781.509999999995</v>
      </c>
      <c r="L606" s="44"/>
      <c r="M606" s="44"/>
      <c r="N606" s="44"/>
      <c r="O606" s="44"/>
      <c r="P606" s="44"/>
      <c r="Q606" s="44"/>
      <c r="R606" s="44"/>
      <c r="S606" s="44"/>
    </row>
    <row r="607" spans="1:19" ht="14.1" customHeight="1">
      <c r="A607" s="27" t="s">
        <v>3850</v>
      </c>
      <c r="B607" s="27" t="s">
        <v>170</v>
      </c>
      <c r="C607" s="27" t="s">
        <v>259</v>
      </c>
      <c r="D607" s="27" t="s">
        <v>172</v>
      </c>
      <c r="E607" s="28">
        <v>295349.03000000003</v>
      </c>
      <c r="F607" s="27" t="s">
        <v>4074</v>
      </c>
      <c r="G607" s="48"/>
      <c r="H607" s="47" t="str">
        <f t="shared" si="27"/>
        <v>ANDINA</v>
      </c>
      <c r="I607" s="6">
        <f t="shared" si="28"/>
        <v>295349.03000000003</v>
      </c>
      <c r="J607" s="47">
        <f t="shared" si="29"/>
        <v>295349.03000000003</v>
      </c>
      <c r="L607" s="44"/>
      <c r="M607" s="44"/>
      <c r="N607" s="44"/>
      <c r="O607" s="44"/>
      <c r="P607" s="44"/>
      <c r="Q607" s="44"/>
      <c r="R607" s="44"/>
      <c r="S607" s="44"/>
    </row>
    <row r="608" spans="1:19" ht="14.1" customHeight="1">
      <c r="A608" s="27" t="s">
        <v>3850</v>
      </c>
      <c r="B608" s="27" t="s">
        <v>170</v>
      </c>
      <c r="C608" s="27" t="s">
        <v>276</v>
      </c>
      <c r="D608" s="27" t="s">
        <v>172</v>
      </c>
      <c r="E608" s="28">
        <v>83726.98</v>
      </c>
      <c r="F608" s="27" t="s">
        <v>4073</v>
      </c>
      <c r="G608" s="48"/>
      <c r="H608" s="47" t="str">
        <f t="shared" si="27"/>
        <v>ANDINA</v>
      </c>
      <c r="I608" s="6">
        <f t="shared" si="28"/>
        <v>83734.880909090891</v>
      </c>
      <c r="J608" s="47">
        <f t="shared" si="29"/>
        <v>83734.880909090891</v>
      </c>
      <c r="L608" s="44"/>
      <c r="M608" s="44"/>
      <c r="N608" s="44"/>
      <c r="O608" s="44"/>
      <c r="P608" s="44"/>
      <c r="Q608" s="44"/>
      <c r="R608" s="44"/>
      <c r="S608" s="44"/>
    </row>
    <row r="609" spans="1:19" ht="14.1" customHeight="1">
      <c r="A609" s="27" t="s">
        <v>3850</v>
      </c>
      <c r="B609" s="27" t="s">
        <v>170</v>
      </c>
      <c r="C609" s="27" t="s">
        <v>240</v>
      </c>
      <c r="D609" s="27" t="s">
        <v>172</v>
      </c>
      <c r="E609" s="28">
        <v>23574.34</v>
      </c>
      <c r="F609" s="27" t="s">
        <v>4073</v>
      </c>
      <c r="G609" s="48"/>
      <c r="H609" s="47" t="str">
        <f t="shared" si="27"/>
        <v>ANDINA</v>
      </c>
      <c r="I609" s="6">
        <f t="shared" si="28"/>
        <v>24304.165454545455</v>
      </c>
      <c r="J609" s="47">
        <f t="shared" si="29"/>
        <v>24304.165454545455</v>
      </c>
      <c r="L609" s="44"/>
      <c r="M609" s="44"/>
      <c r="N609" s="44"/>
      <c r="O609" s="44"/>
      <c r="P609" s="44"/>
      <c r="Q609" s="44"/>
      <c r="R609" s="44"/>
      <c r="S609" s="44"/>
    </row>
    <row r="610" spans="1:19" ht="14.1" customHeight="1">
      <c r="A610" s="27" t="s">
        <v>3850</v>
      </c>
      <c r="B610" s="27" t="s">
        <v>170</v>
      </c>
      <c r="C610" s="27" t="s">
        <v>251</v>
      </c>
      <c r="D610" s="27" t="s">
        <v>226</v>
      </c>
      <c r="E610" s="28">
        <v>61445.54</v>
      </c>
      <c r="F610" s="27" t="s">
        <v>4073</v>
      </c>
      <c r="G610" s="48"/>
      <c r="H610" s="47" t="str">
        <f t="shared" si="27"/>
        <v>ANDINA</v>
      </c>
      <c r="I610" s="6">
        <f t="shared" si="28"/>
        <v>61410.171818181821</v>
      </c>
      <c r="J610" s="47">
        <f t="shared" si="29"/>
        <v>61410.171818181821</v>
      </c>
      <c r="L610" s="44"/>
      <c r="M610" s="44"/>
      <c r="N610" s="44"/>
      <c r="O610" s="44"/>
      <c r="P610" s="44"/>
      <c r="Q610" s="44"/>
      <c r="R610" s="44"/>
      <c r="S610" s="44"/>
    </row>
    <row r="611" spans="1:19" ht="14.1" customHeight="1">
      <c r="A611" s="27" t="s">
        <v>3850</v>
      </c>
      <c r="B611" s="27" t="s">
        <v>170</v>
      </c>
      <c r="C611" s="27" t="s">
        <v>256</v>
      </c>
      <c r="D611" s="27" t="s">
        <v>172</v>
      </c>
      <c r="E611" s="28">
        <v>30283.33</v>
      </c>
      <c r="F611" s="27" t="s">
        <v>4074</v>
      </c>
      <c r="G611" s="48"/>
      <c r="H611" s="47" t="str">
        <f t="shared" si="27"/>
        <v>ANDINA</v>
      </c>
      <c r="I611" s="6">
        <f t="shared" si="28"/>
        <v>30283.33</v>
      </c>
      <c r="J611" s="47">
        <f t="shared" si="29"/>
        <v>30283.33</v>
      </c>
      <c r="L611" s="44"/>
      <c r="M611" s="44"/>
      <c r="N611" s="44"/>
      <c r="O611" s="44"/>
      <c r="P611" s="44"/>
      <c r="Q611" s="44"/>
      <c r="R611" s="44"/>
      <c r="S611" s="44"/>
    </row>
    <row r="612" spans="1:19" ht="14.1" customHeight="1">
      <c r="A612" s="27" t="s">
        <v>3850</v>
      </c>
      <c r="B612" s="27" t="s">
        <v>170</v>
      </c>
      <c r="C612" s="27" t="s">
        <v>311</v>
      </c>
      <c r="D612" s="27" t="s">
        <v>172</v>
      </c>
      <c r="E612" s="28">
        <v>43791.15</v>
      </c>
      <c r="F612" s="27" t="s">
        <v>4074</v>
      </c>
      <c r="G612" s="48"/>
      <c r="H612" s="47" t="str">
        <f t="shared" si="27"/>
        <v>ANDINA</v>
      </c>
      <c r="I612" s="6">
        <f t="shared" si="28"/>
        <v>43791.15</v>
      </c>
      <c r="J612" s="47">
        <f t="shared" si="29"/>
        <v>43791.15</v>
      </c>
      <c r="L612" s="44"/>
      <c r="M612" s="44"/>
      <c r="N612" s="44"/>
      <c r="O612" s="44"/>
      <c r="P612" s="44"/>
      <c r="Q612" s="44"/>
      <c r="R612" s="44"/>
      <c r="S612" s="44"/>
    </row>
    <row r="613" spans="1:19" ht="14.1" customHeight="1">
      <c r="A613" s="27" t="s">
        <v>3850</v>
      </c>
      <c r="B613" s="27" t="s">
        <v>170</v>
      </c>
      <c r="C613" s="27" t="s">
        <v>171</v>
      </c>
      <c r="D613" s="27" t="s">
        <v>172</v>
      </c>
      <c r="E613" s="28">
        <v>113842.11</v>
      </c>
      <c r="F613" s="27" t="s">
        <v>4074</v>
      </c>
      <c r="G613" s="48"/>
      <c r="H613" s="47" t="str">
        <f t="shared" si="27"/>
        <v>ANDINA</v>
      </c>
      <c r="I613" s="6">
        <f t="shared" si="28"/>
        <v>113842.11</v>
      </c>
      <c r="J613" s="47">
        <f t="shared" si="29"/>
        <v>113842.11</v>
      </c>
      <c r="L613" s="44"/>
      <c r="M613" s="44"/>
      <c r="N613" s="44"/>
      <c r="O613" s="44"/>
      <c r="P613" s="44"/>
      <c r="Q613" s="44"/>
      <c r="R613" s="44"/>
      <c r="S613" s="44"/>
    </row>
    <row r="614" spans="1:19" ht="14.1" customHeight="1">
      <c r="A614" s="27" t="s">
        <v>3850</v>
      </c>
      <c r="B614" s="27" t="s">
        <v>170</v>
      </c>
      <c r="C614" s="27" t="s">
        <v>252</v>
      </c>
      <c r="D614" s="27" t="s">
        <v>226</v>
      </c>
      <c r="E614" s="28">
        <v>21867.29</v>
      </c>
      <c r="F614" s="27" t="s">
        <v>4073</v>
      </c>
      <c r="G614" s="48"/>
      <c r="H614" s="47" t="str">
        <f t="shared" si="27"/>
        <v>ANDINA</v>
      </c>
      <c r="I614" s="6">
        <f t="shared" si="28"/>
        <v>21729.190000000002</v>
      </c>
      <c r="J614" s="47">
        <f t="shared" si="29"/>
        <v>21729.190000000002</v>
      </c>
      <c r="L614" s="44"/>
      <c r="M614" s="44"/>
      <c r="N614" s="44"/>
      <c r="O614" s="44"/>
      <c r="P614" s="44"/>
      <c r="Q614" s="44"/>
      <c r="R614" s="44"/>
      <c r="S614" s="44"/>
    </row>
    <row r="615" spans="1:19" ht="14.1" customHeight="1">
      <c r="A615" s="27" t="s">
        <v>3850</v>
      </c>
      <c r="B615" s="27" t="s">
        <v>170</v>
      </c>
      <c r="C615" s="27" t="s">
        <v>296</v>
      </c>
      <c r="D615" s="27" t="s">
        <v>226</v>
      </c>
      <c r="E615" s="28">
        <v>23836.03</v>
      </c>
      <c r="F615" s="27" t="s">
        <v>4074</v>
      </c>
      <c r="G615" s="48"/>
      <c r="H615" s="47" t="str">
        <f t="shared" si="27"/>
        <v>ANDINA</v>
      </c>
      <c r="I615" s="6">
        <f t="shared" si="28"/>
        <v>23836.03</v>
      </c>
      <c r="J615" s="47">
        <f t="shared" si="29"/>
        <v>23836.03</v>
      </c>
      <c r="L615" s="44"/>
      <c r="M615" s="44"/>
      <c r="N615" s="44"/>
      <c r="O615" s="44"/>
      <c r="P615" s="44"/>
      <c r="Q615" s="44"/>
      <c r="R615" s="44"/>
      <c r="S615" s="44"/>
    </row>
    <row r="616" spans="1:19" ht="14.1" customHeight="1">
      <c r="A616" s="27" t="s">
        <v>3850</v>
      </c>
      <c r="B616" s="27" t="s">
        <v>170</v>
      </c>
      <c r="C616" s="27" t="s">
        <v>173</v>
      </c>
      <c r="D616" s="27" t="s">
        <v>172</v>
      </c>
      <c r="E616" s="28">
        <v>159201.21</v>
      </c>
      <c r="F616" s="27" t="s">
        <v>4074</v>
      </c>
      <c r="G616" s="48"/>
      <c r="H616" s="47" t="str">
        <f t="shared" si="27"/>
        <v>ANDINA</v>
      </c>
      <c r="I616" s="6">
        <f t="shared" si="28"/>
        <v>159201.21</v>
      </c>
      <c r="J616" s="47">
        <f t="shared" si="29"/>
        <v>159201.21</v>
      </c>
      <c r="L616" s="44"/>
      <c r="M616" s="44"/>
      <c r="N616" s="44"/>
      <c r="O616" s="44"/>
      <c r="P616" s="44"/>
      <c r="Q616" s="44"/>
      <c r="R616" s="44"/>
      <c r="S616" s="44"/>
    </row>
    <row r="617" spans="1:19" ht="14.1" customHeight="1">
      <c r="A617" s="27" t="s">
        <v>3850</v>
      </c>
      <c r="B617" s="27" t="s">
        <v>170</v>
      </c>
      <c r="C617" s="27" t="s">
        <v>225</v>
      </c>
      <c r="D617" s="27" t="s">
        <v>226</v>
      </c>
      <c r="E617" s="28">
        <v>37977.24</v>
      </c>
      <c r="F617" s="27" t="s">
        <v>4073</v>
      </c>
      <c r="G617" s="48"/>
      <c r="H617" s="47" t="str">
        <f t="shared" si="27"/>
        <v>ANDINA</v>
      </c>
      <c r="I617" s="6">
        <f t="shared" si="28"/>
        <v>38415.336363636357</v>
      </c>
      <c r="J617" s="47">
        <f t="shared" si="29"/>
        <v>38415.336363636357</v>
      </c>
      <c r="L617" s="44"/>
      <c r="M617" s="44"/>
      <c r="N617" s="44"/>
      <c r="O617" s="44"/>
      <c r="P617" s="44"/>
      <c r="Q617" s="44"/>
      <c r="R617" s="44"/>
      <c r="S617" s="44"/>
    </row>
    <row r="618" spans="1:19" ht="14.1" customHeight="1">
      <c r="A618" s="27" t="s">
        <v>3850</v>
      </c>
      <c r="B618" s="27" t="s">
        <v>176</v>
      </c>
      <c r="C618" s="27" t="s">
        <v>262</v>
      </c>
      <c r="D618" s="27" t="s">
        <v>172</v>
      </c>
      <c r="E618" s="28">
        <v>17532.11</v>
      </c>
      <c r="F618" s="27" t="s">
        <v>4074</v>
      </c>
      <c r="G618" s="48"/>
      <c r="H618" s="47" t="str">
        <f t="shared" si="27"/>
        <v>ANDINA</v>
      </c>
      <c r="I618" s="6">
        <f t="shared" si="28"/>
        <v>17532.11</v>
      </c>
      <c r="J618" s="47">
        <f t="shared" si="29"/>
        <v>17532.11</v>
      </c>
      <c r="L618" s="44"/>
      <c r="M618" s="44"/>
      <c r="N618" s="44"/>
      <c r="O618" s="44"/>
      <c r="P618" s="44"/>
      <c r="Q618" s="44"/>
      <c r="R618" s="44"/>
      <c r="S618" s="44"/>
    </row>
    <row r="619" spans="1:19" ht="14.1" customHeight="1">
      <c r="A619" s="27" t="s">
        <v>3850</v>
      </c>
      <c r="B619" s="27" t="s">
        <v>176</v>
      </c>
      <c r="C619" s="27" t="s">
        <v>253</v>
      </c>
      <c r="D619" s="27" t="s">
        <v>172</v>
      </c>
      <c r="E619" s="28">
        <v>24023.33</v>
      </c>
      <c r="F619" s="27" t="s">
        <v>4073</v>
      </c>
      <c r="G619" s="48"/>
      <c r="H619" s="47" t="str">
        <f t="shared" si="27"/>
        <v>ANDINA</v>
      </c>
      <c r="I619" s="6">
        <f t="shared" si="28"/>
        <v>25145.120909090914</v>
      </c>
      <c r="J619" s="47">
        <f t="shared" si="29"/>
        <v>25145.120909090914</v>
      </c>
      <c r="L619" s="44"/>
      <c r="M619" s="44"/>
      <c r="N619" s="44"/>
      <c r="O619" s="44"/>
      <c r="P619" s="44"/>
      <c r="Q619" s="44"/>
      <c r="R619" s="44"/>
      <c r="S619" s="44"/>
    </row>
    <row r="620" spans="1:19" ht="14.1" customHeight="1">
      <c r="A620" s="27" t="s">
        <v>3850</v>
      </c>
      <c r="B620" s="27" t="s">
        <v>176</v>
      </c>
      <c r="C620" s="27" t="s">
        <v>177</v>
      </c>
      <c r="D620" s="27" t="s">
        <v>172</v>
      </c>
      <c r="E620" s="28">
        <v>20153.830000000002</v>
      </c>
      <c r="F620" s="27" t="s">
        <v>4073</v>
      </c>
      <c r="G620" s="48"/>
      <c r="H620" s="47" t="str">
        <f t="shared" si="27"/>
        <v>ANDINA</v>
      </c>
      <c r="I620" s="6">
        <f t="shared" si="28"/>
        <v>19995.576363636366</v>
      </c>
      <c r="J620" s="47">
        <f t="shared" si="29"/>
        <v>19995.576363636366</v>
      </c>
      <c r="L620" s="44"/>
      <c r="M620" s="44"/>
      <c r="N620" s="44"/>
      <c r="O620" s="44"/>
      <c r="P620" s="44"/>
      <c r="Q620" s="44"/>
      <c r="R620" s="44"/>
      <c r="S620" s="44"/>
    </row>
    <row r="621" spans="1:19" ht="14.1" customHeight="1">
      <c r="A621" s="27" t="s">
        <v>3850</v>
      </c>
      <c r="B621" s="27" t="s">
        <v>176</v>
      </c>
      <c r="C621" s="27" t="s">
        <v>231</v>
      </c>
      <c r="D621" s="27" t="s">
        <v>172</v>
      </c>
      <c r="E621" s="28">
        <v>22453.58</v>
      </c>
      <c r="F621" s="27" t="s">
        <v>4074</v>
      </c>
      <c r="G621" s="48"/>
      <c r="H621" s="47" t="str">
        <f t="shared" si="27"/>
        <v>ANDINA</v>
      </c>
      <c r="I621" s="6">
        <f t="shared" si="28"/>
        <v>22453.58</v>
      </c>
      <c r="J621" s="47">
        <f t="shared" si="29"/>
        <v>22453.58</v>
      </c>
      <c r="L621" s="44"/>
      <c r="M621" s="44"/>
      <c r="N621" s="44"/>
      <c r="O621" s="44"/>
      <c r="P621" s="44"/>
      <c r="Q621" s="44"/>
      <c r="R621" s="44"/>
      <c r="S621" s="44"/>
    </row>
    <row r="622" spans="1:19" ht="14.1" customHeight="1">
      <c r="A622" s="27" t="s">
        <v>3850</v>
      </c>
      <c r="B622" s="27" t="s">
        <v>180</v>
      </c>
      <c r="C622" s="27" t="s">
        <v>181</v>
      </c>
      <c r="D622" s="27" t="s">
        <v>172</v>
      </c>
      <c r="E622" s="28">
        <v>34056.25</v>
      </c>
      <c r="F622" s="27" t="s">
        <v>4073</v>
      </c>
      <c r="G622" s="48"/>
      <c r="H622" s="47" t="str">
        <f t="shared" si="27"/>
        <v>ANDINA</v>
      </c>
      <c r="I622" s="6">
        <f t="shared" si="28"/>
        <v>33820.26545454545</v>
      </c>
      <c r="J622" s="47">
        <f t="shared" si="29"/>
        <v>33820.26545454545</v>
      </c>
      <c r="L622" s="44"/>
      <c r="M622" s="44"/>
      <c r="N622" s="44"/>
      <c r="O622" s="44"/>
      <c r="P622" s="44"/>
      <c r="Q622" s="44"/>
      <c r="R622" s="44"/>
      <c r="S622" s="44"/>
    </row>
    <row r="623" spans="1:19" ht="14.1" customHeight="1">
      <c r="A623" s="27" t="s">
        <v>3850</v>
      </c>
      <c r="B623" s="27" t="s">
        <v>180</v>
      </c>
      <c r="C623" s="27" t="s">
        <v>263</v>
      </c>
      <c r="D623" s="27" t="s">
        <v>172</v>
      </c>
      <c r="E623" s="28">
        <v>216990.24</v>
      </c>
      <c r="F623" s="27" t="s">
        <v>4074</v>
      </c>
      <c r="G623" s="48"/>
      <c r="H623" s="47" t="str">
        <f t="shared" si="27"/>
        <v>ANDINA</v>
      </c>
      <c r="I623" s="6">
        <f t="shared" si="28"/>
        <v>216990.24</v>
      </c>
      <c r="J623" s="47">
        <f t="shared" si="29"/>
        <v>216990.24</v>
      </c>
      <c r="L623" s="44"/>
      <c r="M623" s="44"/>
      <c r="N623" s="44"/>
      <c r="O623" s="44"/>
      <c r="P623" s="44"/>
      <c r="Q623" s="44"/>
      <c r="R623" s="44"/>
      <c r="S623" s="44"/>
    </row>
    <row r="624" spans="1:19" ht="14.1" customHeight="1">
      <c r="A624" s="27" t="s">
        <v>3850</v>
      </c>
      <c r="B624" s="27" t="s">
        <v>180</v>
      </c>
      <c r="C624" s="27" t="s">
        <v>277</v>
      </c>
      <c r="D624" s="27" t="s">
        <v>172</v>
      </c>
      <c r="E624" s="28">
        <v>90689.07</v>
      </c>
      <c r="F624" s="27" t="s">
        <v>4073</v>
      </c>
      <c r="G624" s="48"/>
      <c r="H624" s="47" t="str">
        <f t="shared" si="27"/>
        <v>ANDINA</v>
      </c>
      <c r="I624" s="6">
        <f t="shared" si="28"/>
        <v>88565.010909090925</v>
      </c>
      <c r="J624" s="47">
        <f t="shared" si="29"/>
        <v>88565.010909090925</v>
      </c>
      <c r="L624" s="44"/>
      <c r="M624" s="44"/>
      <c r="N624" s="44"/>
      <c r="O624" s="44"/>
      <c r="P624" s="44"/>
      <c r="Q624" s="44"/>
      <c r="R624" s="44"/>
      <c r="S624" s="44"/>
    </row>
    <row r="625" spans="1:19" ht="14.1" customHeight="1">
      <c r="A625" s="27" t="s">
        <v>3850</v>
      </c>
      <c r="B625" s="27" t="s">
        <v>180</v>
      </c>
      <c r="C625" s="27" t="s">
        <v>300</v>
      </c>
      <c r="D625" s="27" t="s">
        <v>172</v>
      </c>
      <c r="E625" s="28">
        <v>66141.87</v>
      </c>
      <c r="F625" s="27" t="s">
        <v>4073</v>
      </c>
      <c r="G625" s="48"/>
      <c r="H625" s="47" t="str">
        <f t="shared" si="27"/>
        <v>ANDINA</v>
      </c>
      <c r="I625" s="6">
        <f t="shared" si="28"/>
        <v>67595.050909090904</v>
      </c>
      <c r="J625" s="47">
        <f t="shared" si="29"/>
        <v>67595.050909090904</v>
      </c>
      <c r="L625" s="44"/>
      <c r="M625" s="44"/>
      <c r="N625" s="44"/>
      <c r="O625" s="44"/>
      <c r="P625" s="44"/>
      <c r="Q625" s="44"/>
      <c r="R625" s="44"/>
      <c r="S625" s="44"/>
    </row>
    <row r="626" spans="1:19" ht="14.1" customHeight="1">
      <c r="A626" s="27" t="s">
        <v>3850</v>
      </c>
      <c r="B626" s="27" t="s">
        <v>180</v>
      </c>
      <c r="C626" s="27" t="s">
        <v>242</v>
      </c>
      <c r="D626" s="27" t="s">
        <v>172</v>
      </c>
      <c r="E626" s="28">
        <v>30026.06</v>
      </c>
      <c r="F626" s="27" t="s">
        <v>4073</v>
      </c>
      <c r="G626" s="48"/>
      <c r="H626" s="47" t="str">
        <f t="shared" si="27"/>
        <v>ANDINA</v>
      </c>
      <c r="I626" s="6">
        <f t="shared" si="28"/>
        <v>29535.073636363635</v>
      </c>
      <c r="J626" s="47">
        <f t="shared" si="29"/>
        <v>29535.073636363635</v>
      </c>
      <c r="L626" s="44"/>
      <c r="M626" s="44"/>
      <c r="N626" s="44"/>
      <c r="O626" s="44"/>
      <c r="P626" s="44"/>
      <c r="Q626" s="44"/>
      <c r="R626" s="44"/>
      <c r="S626" s="44"/>
    </row>
    <row r="627" spans="1:19" ht="14.1" customHeight="1">
      <c r="A627" s="27" t="s">
        <v>3850</v>
      </c>
      <c r="B627" s="27" t="s">
        <v>180</v>
      </c>
      <c r="C627" s="27" t="s">
        <v>254</v>
      </c>
      <c r="D627" s="27" t="s">
        <v>172</v>
      </c>
      <c r="E627" s="28">
        <v>159086.04</v>
      </c>
      <c r="F627" s="27" t="s">
        <v>4074</v>
      </c>
      <c r="G627" s="48"/>
      <c r="H627" s="47" t="str">
        <f t="shared" si="27"/>
        <v>ANDINA</v>
      </c>
      <c r="I627" s="6">
        <f t="shared" si="28"/>
        <v>159086.04</v>
      </c>
      <c r="J627" s="47">
        <f t="shared" si="29"/>
        <v>159086.04</v>
      </c>
      <c r="L627" s="44"/>
      <c r="M627" s="44"/>
      <c r="N627" s="44"/>
      <c r="O627" s="44"/>
      <c r="P627" s="44"/>
      <c r="Q627" s="44"/>
      <c r="R627" s="44"/>
      <c r="S627" s="44"/>
    </row>
    <row r="628" spans="1:19" ht="14.1" customHeight="1">
      <c r="A628" s="27" t="s">
        <v>3850</v>
      </c>
      <c r="B628" s="27" t="s">
        <v>180</v>
      </c>
      <c r="C628" s="27" t="s">
        <v>305</v>
      </c>
      <c r="D628" s="27" t="s">
        <v>172</v>
      </c>
      <c r="E628" s="28">
        <v>71526.28</v>
      </c>
      <c r="F628" s="27" t="s">
        <v>4074</v>
      </c>
      <c r="G628" s="48"/>
      <c r="H628" s="47" t="str">
        <f t="shared" si="27"/>
        <v>ANDINA</v>
      </c>
      <c r="I628" s="6">
        <f t="shared" si="28"/>
        <v>71526.28</v>
      </c>
      <c r="J628" s="47">
        <f t="shared" si="29"/>
        <v>71526.28</v>
      </c>
      <c r="L628" s="44"/>
      <c r="M628" s="44"/>
      <c r="N628" s="44"/>
      <c r="O628" s="44"/>
      <c r="P628" s="44"/>
      <c r="Q628" s="44"/>
      <c r="R628" s="44"/>
      <c r="S628" s="44"/>
    </row>
    <row r="629" spans="1:19" ht="14.1" customHeight="1">
      <c r="A629" s="27" t="s">
        <v>3850</v>
      </c>
      <c r="B629" s="27" t="s">
        <v>180</v>
      </c>
      <c r="C629" s="27" t="s">
        <v>297</v>
      </c>
      <c r="D629" s="27" t="s">
        <v>172</v>
      </c>
      <c r="E629" s="28">
        <v>149375.29999999999</v>
      </c>
      <c r="F629" s="27" t="s">
        <v>4073</v>
      </c>
      <c r="G629" s="48"/>
      <c r="H629" s="47" t="str">
        <f t="shared" si="27"/>
        <v>ANDINA</v>
      </c>
      <c r="I629" s="6">
        <f t="shared" si="28"/>
        <v>150305.83363636368</v>
      </c>
      <c r="J629" s="47">
        <f t="shared" si="29"/>
        <v>150305.83363636368</v>
      </c>
      <c r="L629" s="44"/>
      <c r="M629" s="44"/>
      <c r="N629" s="44"/>
      <c r="O629" s="44"/>
      <c r="P629" s="44"/>
      <c r="Q629" s="44"/>
      <c r="R629" s="44"/>
      <c r="S629" s="44"/>
    </row>
    <row r="630" spans="1:19" ht="14.1" customHeight="1">
      <c r="A630" s="27" t="s">
        <v>3850</v>
      </c>
      <c r="B630" s="27" t="s">
        <v>180</v>
      </c>
      <c r="C630" s="27" t="s">
        <v>314</v>
      </c>
      <c r="D630" s="27" t="s">
        <v>172</v>
      </c>
      <c r="E630" s="28">
        <v>27919.05</v>
      </c>
      <c r="F630" s="27" t="s">
        <v>4074</v>
      </c>
      <c r="G630" s="48"/>
      <c r="H630" s="47" t="str">
        <f t="shared" si="27"/>
        <v>ANDINA</v>
      </c>
      <c r="I630" s="6">
        <f t="shared" si="28"/>
        <v>27919.05</v>
      </c>
      <c r="J630" s="47">
        <f t="shared" si="29"/>
        <v>27919.05</v>
      </c>
      <c r="L630" s="44"/>
      <c r="M630" s="44"/>
      <c r="N630" s="44"/>
      <c r="O630" s="44"/>
      <c r="P630" s="44"/>
      <c r="Q630" s="44"/>
      <c r="R630" s="44"/>
      <c r="S630" s="44"/>
    </row>
    <row r="631" spans="1:19" ht="14.1" customHeight="1">
      <c r="A631" s="27" t="s">
        <v>3850</v>
      </c>
      <c r="B631" s="27" t="s">
        <v>180</v>
      </c>
      <c r="C631" s="27" t="s">
        <v>182</v>
      </c>
      <c r="D631" s="27" t="s">
        <v>172</v>
      </c>
      <c r="E631" s="28">
        <v>155942.26</v>
      </c>
      <c r="F631" s="27" t="s">
        <v>4074</v>
      </c>
      <c r="G631" s="48"/>
      <c r="H631" s="47" t="str">
        <f t="shared" si="27"/>
        <v>ANDINA</v>
      </c>
      <c r="I631" s="6">
        <f t="shared" si="28"/>
        <v>155942.26</v>
      </c>
      <c r="J631" s="47">
        <f t="shared" si="29"/>
        <v>155942.26</v>
      </c>
      <c r="L631" s="44"/>
      <c r="M631" s="44"/>
      <c r="N631" s="44"/>
      <c r="O631" s="44"/>
      <c r="P631" s="44"/>
      <c r="Q631" s="44"/>
      <c r="R631" s="44"/>
      <c r="S631" s="44"/>
    </row>
    <row r="632" spans="1:19" ht="14.1" customHeight="1">
      <c r="A632" s="27" t="s">
        <v>3851</v>
      </c>
      <c r="B632" s="27" t="s">
        <v>4072</v>
      </c>
      <c r="C632" s="27" t="s">
        <v>316</v>
      </c>
      <c r="D632" s="27" t="s">
        <v>172</v>
      </c>
      <c r="E632" s="28">
        <v>46378.17</v>
      </c>
      <c r="F632" s="27" t="s">
        <v>4073</v>
      </c>
      <c r="G632" s="48"/>
      <c r="H632" s="47" t="str">
        <f t="shared" si="27"/>
        <v>ANDINA</v>
      </c>
      <c r="I632" s="6">
        <f t="shared" si="28"/>
        <v>46393.717272727263</v>
      </c>
      <c r="J632" s="47">
        <f t="shared" si="29"/>
        <v>46393.717272727263</v>
      </c>
      <c r="L632" s="46"/>
      <c r="M632" s="46"/>
      <c r="N632" s="46"/>
      <c r="O632" s="46"/>
      <c r="P632" s="46"/>
      <c r="Q632" s="46"/>
      <c r="R632" s="46"/>
      <c r="S632" s="46"/>
    </row>
    <row r="633" spans="1:19" ht="14.1" customHeight="1">
      <c r="A633" s="27" t="s">
        <v>3851</v>
      </c>
      <c r="B633" s="27" t="s">
        <v>137</v>
      </c>
      <c r="C633" s="27" t="s">
        <v>291</v>
      </c>
      <c r="D633" s="27" t="s">
        <v>172</v>
      </c>
      <c r="E633" s="28">
        <v>28100</v>
      </c>
      <c r="F633" s="27" t="s">
        <v>4074</v>
      </c>
      <c r="G633" s="48"/>
      <c r="H633" s="47" t="str">
        <f t="shared" si="27"/>
        <v>ANDINA</v>
      </c>
      <c r="I633" s="6">
        <f t="shared" si="28"/>
        <v>28100</v>
      </c>
      <c r="J633" s="47">
        <f t="shared" si="29"/>
        <v>28100</v>
      </c>
      <c r="L633" s="44"/>
      <c r="M633" s="44"/>
      <c r="N633" s="44"/>
      <c r="O633" s="44"/>
      <c r="P633" s="44"/>
      <c r="Q633" s="44"/>
      <c r="R633" s="44"/>
      <c r="S633" s="44"/>
    </row>
    <row r="634" spans="1:19" ht="14.1" customHeight="1">
      <c r="A634" s="27" t="s">
        <v>3851</v>
      </c>
      <c r="B634" s="27" t="s">
        <v>137</v>
      </c>
      <c r="C634" s="27" t="s">
        <v>243</v>
      </c>
      <c r="D634" s="27" t="s">
        <v>172</v>
      </c>
      <c r="E634" s="28">
        <v>22250</v>
      </c>
      <c r="F634" s="27" t="s">
        <v>4074</v>
      </c>
      <c r="G634" s="48"/>
      <c r="H634" s="47" t="str">
        <f t="shared" si="27"/>
        <v>ANDINA</v>
      </c>
      <c r="I634" s="6">
        <f t="shared" si="28"/>
        <v>22250</v>
      </c>
      <c r="J634" s="47">
        <f t="shared" si="29"/>
        <v>22250</v>
      </c>
      <c r="L634" s="44"/>
      <c r="M634" s="44"/>
      <c r="N634" s="44"/>
      <c r="O634" s="44"/>
      <c r="P634" s="44"/>
      <c r="Q634" s="44"/>
      <c r="R634" s="44"/>
      <c r="S634" s="44"/>
    </row>
    <row r="635" spans="1:19" ht="14.1" customHeight="1">
      <c r="A635" s="27" t="s">
        <v>3851</v>
      </c>
      <c r="B635" s="27" t="s">
        <v>137</v>
      </c>
      <c r="C635" s="27" t="s">
        <v>237</v>
      </c>
      <c r="D635" s="27" t="s">
        <v>172</v>
      </c>
      <c r="E635" s="28">
        <v>31326.04</v>
      </c>
      <c r="F635" s="27" t="s">
        <v>4074</v>
      </c>
      <c r="G635" s="48"/>
      <c r="H635" s="47" t="str">
        <f t="shared" si="27"/>
        <v>ANDINA</v>
      </c>
      <c r="I635" s="6">
        <f t="shared" si="28"/>
        <v>31326.04</v>
      </c>
      <c r="J635" s="47">
        <f t="shared" si="29"/>
        <v>31326.04</v>
      </c>
      <c r="L635" s="44"/>
      <c r="M635" s="44"/>
      <c r="N635" s="44"/>
      <c r="O635" s="44"/>
      <c r="P635" s="44"/>
      <c r="Q635" s="44"/>
      <c r="R635" s="44"/>
      <c r="S635" s="44"/>
    </row>
    <row r="636" spans="1:19" ht="14.1" customHeight="1">
      <c r="A636" s="27" t="s">
        <v>3851</v>
      </c>
      <c r="B636" s="27" t="s">
        <v>137</v>
      </c>
      <c r="C636" s="27" t="s">
        <v>246</v>
      </c>
      <c r="D636" s="27" t="s">
        <v>172</v>
      </c>
      <c r="E636" s="28">
        <v>65250.53</v>
      </c>
      <c r="F636" s="27" t="s">
        <v>4073</v>
      </c>
      <c r="G636" s="48"/>
      <c r="H636" s="47" t="str">
        <f t="shared" si="27"/>
        <v>ANDINA</v>
      </c>
      <c r="I636" s="6">
        <f t="shared" si="28"/>
        <v>63733.286363636376</v>
      </c>
      <c r="J636" s="47">
        <f t="shared" si="29"/>
        <v>63733.286363636376</v>
      </c>
      <c r="L636" s="44"/>
      <c r="M636" s="44"/>
      <c r="N636" s="44"/>
      <c r="O636" s="44"/>
      <c r="P636" s="44"/>
      <c r="Q636" s="44"/>
      <c r="R636" s="44"/>
      <c r="S636" s="44"/>
    </row>
    <row r="637" spans="1:19" ht="14.1" customHeight="1">
      <c r="A637" s="27" t="s">
        <v>3851</v>
      </c>
      <c r="B637" s="27" t="s">
        <v>170</v>
      </c>
      <c r="C637" s="27" t="s">
        <v>259</v>
      </c>
      <c r="D637" s="27" t="s">
        <v>172</v>
      </c>
      <c r="E637" s="28">
        <v>277871.67</v>
      </c>
      <c r="F637" s="27" t="s">
        <v>4074</v>
      </c>
      <c r="G637" s="48"/>
      <c r="H637" s="47" t="str">
        <f t="shared" si="27"/>
        <v>ANDINA</v>
      </c>
      <c r="I637" s="6">
        <f t="shared" si="28"/>
        <v>277871.67</v>
      </c>
      <c r="J637" s="47">
        <f t="shared" si="29"/>
        <v>277871.67</v>
      </c>
      <c r="L637" s="44"/>
      <c r="M637" s="44"/>
      <c r="N637" s="44"/>
      <c r="O637" s="44"/>
      <c r="P637" s="44"/>
      <c r="Q637" s="44"/>
      <c r="R637" s="44"/>
      <c r="S637" s="44"/>
    </row>
    <row r="638" spans="1:19" ht="14.1" customHeight="1">
      <c r="A638" s="27" t="s">
        <v>3851</v>
      </c>
      <c r="B638" s="27" t="s">
        <v>170</v>
      </c>
      <c r="C638" s="27" t="s">
        <v>276</v>
      </c>
      <c r="D638" s="27" t="s">
        <v>172</v>
      </c>
      <c r="E638" s="28">
        <v>83726.98</v>
      </c>
      <c r="F638" s="27" t="s">
        <v>4073</v>
      </c>
      <c r="G638" s="48"/>
      <c r="H638" s="47" t="str">
        <f t="shared" si="27"/>
        <v>ANDINA</v>
      </c>
      <c r="I638" s="6">
        <f t="shared" si="28"/>
        <v>83734.880909090891</v>
      </c>
      <c r="J638" s="47">
        <f t="shared" si="29"/>
        <v>83734.880909090891</v>
      </c>
      <c r="L638" s="44"/>
      <c r="M638" s="44"/>
      <c r="N638" s="44"/>
      <c r="O638" s="44"/>
      <c r="P638" s="44"/>
      <c r="Q638" s="44"/>
      <c r="R638" s="44"/>
      <c r="S638" s="44"/>
    </row>
    <row r="639" spans="1:19" ht="14.1" customHeight="1">
      <c r="A639" s="27" t="s">
        <v>3851</v>
      </c>
      <c r="B639" s="27" t="s">
        <v>170</v>
      </c>
      <c r="C639" s="27" t="s">
        <v>240</v>
      </c>
      <c r="D639" s="27" t="s">
        <v>172</v>
      </c>
      <c r="E639" s="28">
        <v>26767</v>
      </c>
      <c r="F639" s="27" t="s">
        <v>4074</v>
      </c>
      <c r="G639" s="48"/>
      <c r="H639" s="47" t="str">
        <f t="shared" si="27"/>
        <v>ANDINA</v>
      </c>
      <c r="I639" s="6">
        <f t="shared" si="28"/>
        <v>26767</v>
      </c>
      <c r="J639" s="47">
        <f t="shared" si="29"/>
        <v>26767</v>
      </c>
      <c r="L639" s="44"/>
      <c r="M639" s="44"/>
      <c r="N639" s="44"/>
      <c r="O639" s="44"/>
      <c r="P639" s="44"/>
      <c r="Q639" s="44"/>
      <c r="R639" s="44"/>
      <c r="S639" s="44"/>
    </row>
    <row r="640" spans="1:19" ht="14.1" customHeight="1">
      <c r="A640" s="27" t="s">
        <v>3851</v>
      </c>
      <c r="B640" s="27" t="s">
        <v>170</v>
      </c>
      <c r="C640" s="27" t="s">
        <v>251</v>
      </c>
      <c r="D640" s="27" t="s">
        <v>226</v>
      </c>
      <c r="E640" s="28">
        <v>61445.54</v>
      </c>
      <c r="F640" s="27" t="s">
        <v>4073</v>
      </c>
      <c r="G640" s="48"/>
      <c r="H640" s="47" t="str">
        <f t="shared" si="27"/>
        <v>ANDINA</v>
      </c>
      <c r="I640" s="6">
        <f t="shared" si="28"/>
        <v>61410.171818181821</v>
      </c>
      <c r="J640" s="47">
        <f t="shared" si="29"/>
        <v>61410.171818181821</v>
      </c>
      <c r="L640" s="44"/>
      <c r="M640" s="44"/>
      <c r="N640" s="44"/>
      <c r="O640" s="44"/>
      <c r="P640" s="44"/>
      <c r="Q640" s="44"/>
      <c r="R640" s="44"/>
      <c r="S640" s="44"/>
    </row>
    <row r="641" spans="1:19" ht="14.1" customHeight="1">
      <c r="A641" s="27" t="s">
        <v>3851</v>
      </c>
      <c r="B641" s="27" t="s">
        <v>170</v>
      </c>
      <c r="C641" s="27" t="s">
        <v>256</v>
      </c>
      <c r="D641" s="27" t="s">
        <v>172</v>
      </c>
      <c r="E641" s="28">
        <v>28462.5</v>
      </c>
      <c r="F641" s="27" t="s">
        <v>4074</v>
      </c>
      <c r="G641" s="48"/>
      <c r="H641" s="47" t="str">
        <f t="shared" si="27"/>
        <v>ANDINA</v>
      </c>
      <c r="I641" s="6">
        <f t="shared" si="28"/>
        <v>28462.5</v>
      </c>
      <c r="J641" s="47">
        <f t="shared" si="29"/>
        <v>28462.5</v>
      </c>
      <c r="L641" s="44"/>
      <c r="M641" s="44"/>
      <c r="N641" s="44"/>
      <c r="O641" s="44"/>
      <c r="P641" s="44"/>
      <c r="Q641" s="44"/>
      <c r="R641" s="44"/>
      <c r="S641" s="44"/>
    </row>
    <row r="642" spans="1:19" ht="14.1" customHeight="1">
      <c r="A642" s="27" t="s">
        <v>3851</v>
      </c>
      <c r="B642" s="27" t="s">
        <v>170</v>
      </c>
      <c r="C642" s="27" t="s">
        <v>311</v>
      </c>
      <c r="D642" s="27" t="s">
        <v>172</v>
      </c>
      <c r="E642" s="28">
        <v>41187.07</v>
      </c>
      <c r="F642" s="27" t="s">
        <v>4074</v>
      </c>
      <c r="G642" s="48"/>
      <c r="H642" s="47" t="str">
        <f t="shared" ref="H642:H705" si="30">IF(OR(A642="Antioquia",A642="Bogotá, D.C.",A642="Boyacá",A642="Cundinamarca",A642="Caldas",A642="Risaralda",A642="Quindío",A642="Tolima",A642="Huila",A642="Santander",A642="Norte de Santander"),"ANDINA",
IF(OR(A642="Atlántico",A642="Bolívar",A642="Cesar",A642="Córdoba",A642="Sucre",A642="Magdalena"),"CARIBE",
IF(OR(A642="Valle del Cauca",A642="Cauca",A642="Nariño"),"PACIFICO",
IF(OR(A642="Meta",A642="Casanare",A642="Arauca"),"ORINOQUIA",
"AMAZONIA"))))</f>
        <v>ANDINA</v>
      </c>
      <c r="I642" s="6">
        <f t="shared" ref="I642:I705" si="31">IF(F642="Departamental",E642,
AVERAGEIFS($E:$E,$H:$H,H642,$B:$B,B642,$C:$C,C642))</f>
        <v>41187.07</v>
      </c>
      <c r="J642" s="47">
        <f t="shared" si="29"/>
        <v>41187.07</v>
      </c>
      <c r="L642" s="44"/>
      <c r="M642" s="44"/>
      <c r="N642" s="44"/>
      <c r="O642" s="44"/>
      <c r="P642" s="44"/>
      <c r="Q642" s="44"/>
      <c r="R642" s="44"/>
      <c r="S642" s="44"/>
    </row>
    <row r="643" spans="1:19" ht="14.1" customHeight="1">
      <c r="A643" s="27" t="s">
        <v>3851</v>
      </c>
      <c r="B643" s="27" t="s">
        <v>170</v>
      </c>
      <c r="C643" s="27" t="s">
        <v>171</v>
      </c>
      <c r="D643" s="27" t="s">
        <v>172</v>
      </c>
      <c r="E643" s="28">
        <v>115879.72</v>
      </c>
      <c r="F643" s="27" t="s">
        <v>4073</v>
      </c>
      <c r="G643" s="48"/>
      <c r="H643" s="47" t="str">
        <f t="shared" si="30"/>
        <v>ANDINA</v>
      </c>
      <c r="I643" s="6">
        <f t="shared" si="31"/>
        <v>117943.50181818182</v>
      </c>
      <c r="J643" s="47">
        <f t="shared" ref="J643:J706" si="32">IF(G643&lt;&gt;"",G643,I643)</f>
        <v>117943.50181818182</v>
      </c>
      <c r="L643" s="44"/>
      <c r="M643" s="44"/>
      <c r="N643" s="44"/>
      <c r="O643" s="44"/>
      <c r="P643" s="44"/>
      <c r="Q643" s="44"/>
      <c r="R643" s="44"/>
      <c r="S643" s="44"/>
    </row>
    <row r="644" spans="1:19" ht="14.1" customHeight="1">
      <c r="A644" s="27" t="s">
        <v>3851</v>
      </c>
      <c r="B644" s="27" t="s">
        <v>170</v>
      </c>
      <c r="C644" s="27" t="s">
        <v>252</v>
      </c>
      <c r="D644" s="27" t="s">
        <v>226</v>
      </c>
      <c r="E644" s="28">
        <v>21867.29</v>
      </c>
      <c r="F644" s="27" t="s">
        <v>4073</v>
      </c>
      <c r="G644" s="48"/>
      <c r="H644" s="47" t="str">
        <f t="shared" si="30"/>
        <v>ANDINA</v>
      </c>
      <c r="I644" s="6">
        <f t="shared" si="31"/>
        <v>21729.190000000002</v>
      </c>
      <c r="J644" s="47">
        <f t="shared" si="32"/>
        <v>21729.190000000002</v>
      </c>
      <c r="L644" s="44"/>
      <c r="M644" s="44"/>
      <c r="N644" s="44"/>
      <c r="O644" s="44"/>
      <c r="P644" s="44"/>
      <c r="Q644" s="44"/>
      <c r="R644" s="44"/>
      <c r="S644" s="44"/>
    </row>
    <row r="645" spans="1:19" ht="14.1" customHeight="1">
      <c r="A645" s="27" t="s">
        <v>3851</v>
      </c>
      <c r="B645" s="27" t="s">
        <v>170</v>
      </c>
      <c r="C645" s="27" t="s">
        <v>296</v>
      </c>
      <c r="D645" s="27" t="s">
        <v>226</v>
      </c>
      <c r="E645" s="28">
        <v>24900</v>
      </c>
      <c r="F645" s="27" t="s">
        <v>4074</v>
      </c>
      <c r="G645" s="48"/>
      <c r="H645" s="47" t="str">
        <f t="shared" si="30"/>
        <v>ANDINA</v>
      </c>
      <c r="I645" s="6">
        <f t="shared" si="31"/>
        <v>24900</v>
      </c>
      <c r="J645" s="47">
        <f t="shared" si="32"/>
        <v>24900</v>
      </c>
      <c r="L645" s="44"/>
      <c r="M645" s="44"/>
      <c r="N645" s="44"/>
      <c r="O645" s="44"/>
      <c r="P645" s="44"/>
      <c r="Q645" s="44"/>
      <c r="R645" s="44"/>
      <c r="S645" s="44"/>
    </row>
    <row r="646" spans="1:19" ht="14.1" customHeight="1">
      <c r="A646" s="27" t="s">
        <v>3851</v>
      </c>
      <c r="B646" s="27" t="s">
        <v>170</v>
      </c>
      <c r="C646" s="27" t="s">
        <v>173</v>
      </c>
      <c r="D646" s="27" t="s">
        <v>172</v>
      </c>
      <c r="E646" s="28">
        <v>158803.12</v>
      </c>
      <c r="F646" s="27" t="s">
        <v>4074</v>
      </c>
      <c r="G646" s="48"/>
      <c r="H646" s="47" t="str">
        <f t="shared" si="30"/>
        <v>ANDINA</v>
      </c>
      <c r="I646" s="6">
        <f t="shared" si="31"/>
        <v>158803.12</v>
      </c>
      <c r="J646" s="47">
        <f t="shared" si="32"/>
        <v>158803.12</v>
      </c>
      <c r="L646" s="44"/>
      <c r="M646" s="44"/>
      <c r="N646" s="44"/>
      <c r="O646" s="44"/>
      <c r="P646" s="44"/>
      <c r="Q646" s="44"/>
      <c r="R646" s="44"/>
      <c r="S646" s="44"/>
    </row>
    <row r="647" spans="1:19" ht="14.1" customHeight="1">
      <c r="A647" s="27" t="s">
        <v>3851</v>
      </c>
      <c r="B647" s="27" t="s">
        <v>170</v>
      </c>
      <c r="C647" s="27" t="s">
        <v>225</v>
      </c>
      <c r="D647" s="27" t="s">
        <v>226</v>
      </c>
      <c r="E647" s="28">
        <v>37977.24</v>
      </c>
      <c r="F647" s="27" t="s">
        <v>4073</v>
      </c>
      <c r="G647" s="48"/>
      <c r="H647" s="47" t="str">
        <f t="shared" si="30"/>
        <v>ANDINA</v>
      </c>
      <c r="I647" s="6">
        <f t="shared" si="31"/>
        <v>38415.336363636357</v>
      </c>
      <c r="J647" s="47">
        <f t="shared" si="32"/>
        <v>38415.336363636357</v>
      </c>
      <c r="L647" s="44"/>
      <c r="M647" s="44"/>
      <c r="N647" s="44"/>
      <c r="O647" s="44"/>
      <c r="P647" s="44"/>
      <c r="Q647" s="44"/>
      <c r="R647" s="44"/>
      <c r="S647" s="44"/>
    </row>
    <row r="648" spans="1:19" ht="14.1" customHeight="1">
      <c r="A648" s="27" t="s">
        <v>3851</v>
      </c>
      <c r="B648" s="27" t="s">
        <v>176</v>
      </c>
      <c r="C648" s="27" t="s">
        <v>262</v>
      </c>
      <c r="D648" s="27" t="s">
        <v>172</v>
      </c>
      <c r="E648" s="28">
        <v>18271.78</v>
      </c>
      <c r="F648" s="27" t="s">
        <v>4073</v>
      </c>
      <c r="G648" s="48"/>
      <c r="H648" s="47" t="str">
        <f t="shared" si="30"/>
        <v>ANDINA</v>
      </c>
      <c r="I648" s="6">
        <f t="shared" si="31"/>
        <v>18231.699090909093</v>
      </c>
      <c r="J648" s="47">
        <f t="shared" si="32"/>
        <v>18231.699090909093</v>
      </c>
      <c r="L648" s="44"/>
      <c r="M648" s="44"/>
      <c r="N648" s="44"/>
      <c r="O648" s="44"/>
      <c r="P648" s="44"/>
      <c r="Q648" s="44"/>
      <c r="R648" s="44"/>
      <c r="S648" s="44"/>
    </row>
    <row r="649" spans="1:19" ht="14.1" customHeight="1">
      <c r="A649" s="27" t="s">
        <v>3851</v>
      </c>
      <c r="B649" s="27" t="s">
        <v>176</v>
      </c>
      <c r="C649" s="27" t="s">
        <v>253</v>
      </c>
      <c r="D649" s="27" t="s">
        <v>172</v>
      </c>
      <c r="E649" s="28">
        <v>24023.33</v>
      </c>
      <c r="F649" s="27" t="s">
        <v>4073</v>
      </c>
      <c r="G649" s="48"/>
      <c r="H649" s="47" t="str">
        <f t="shared" si="30"/>
        <v>ANDINA</v>
      </c>
      <c r="I649" s="6">
        <f t="shared" si="31"/>
        <v>25145.120909090914</v>
      </c>
      <c r="J649" s="47">
        <f t="shared" si="32"/>
        <v>25145.120909090914</v>
      </c>
      <c r="L649" s="44"/>
      <c r="M649" s="44"/>
      <c r="N649" s="44"/>
      <c r="O649" s="44"/>
      <c r="P649" s="44"/>
      <c r="Q649" s="44"/>
      <c r="R649" s="44"/>
      <c r="S649" s="44"/>
    </row>
    <row r="650" spans="1:19" ht="14.1" customHeight="1">
      <c r="A650" s="27" t="s">
        <v>3851</v>
      </c>
      <c r="B650" s="27" t="s">
        <v>176</v>
      </c>
      <c r="C650" s="27" t="s">
        <v>177</v>
      </c>
      <c r="D650" s="27" t="s">
        <v>172</v>
      </c>
      <c r="E650" s="28">
        <v>19717.63</v>
      </c>
      <c r="F650" s="27" t="s">
        <v>4074</v>
      </c>
      <c r="G650" s="48"/>
      <c r="H650" s="47" t="str">
        <f t="shared" si="30"/>
        <v>ANDINA</v>
      </c>
      <c r="I650" s="6">
        <f t="shared" si="31"/>
        <v>19717.63</v>
      </c>
      <c r="J650" s="47">
        <f t="shared" si="32"/>
        <v>19717.63</v>
      </c>
      <c r="L650" s="44"/>
      <c r="M650" s="44"/>
      <c r="N650" s="44"/>
      <c r="O650" s="44"/>
      <c r="P650" s="44"/>
      <c r="Q650" s="44"/>
      <c r="R650" s="44"/>
      <c r="S650" s="44"/>
    </row>
    <row r="651" spans="1:19" ht="14.1" customHeight="1">
      <c r="A651" s="27" t="s">
        <v>3851</v>
      </c>
      <c r="B651" s="27" t="s">
        <v>176</v>
      </c>
      <c r="C651" s="27" t="s">
        <v>231</v>
      </c>
      <c r="D651" s="27" t="s">
        <v>172</v>
      </c>
      <c r="E651" s="28">
        <v>23723.98</v>
      </c>
      <c r="F651" s="27" t="s">
        <v>4074</v>
      </c>
      <c r="G651" s="48"/>
      <c r="H651" s="47" t="str">
        <f t="shared" si="30"/>
        <v>ANDINA</v>
      </c>
      <c r="I651" s="6">
        <f t="shared" si="31"/>
        <v>23723.98</v>
      </c>
      <c r="J651" s="47">
        <f t="shared" si="32"/>
        <v>23723.98</v>
      </c>
      <c r="L651" s="44"/>
      <c r="M651" s="44"/>
      <c r="N651" s="44"/>
      <c r="O651" s="44"/>
      <c r="P651" s="44"/>
      <c r="Q651" s="44"/>
      <c r="R651" s="44"/>
      <c r="S651" s="44"/>
    </row>
    <row r="652" spans="1:19" ht="14.1" customHeight="1">
      <c r="A652" s="27" t="s">
        <v>3851</v>
      </c>
      <c r="B652" s="27" t="s">
        <v>180</v>
      </c>
      <c r="C652" s="27" t="s">
        <v>181</v>
      </c>
      <c r="D652" s="27" t="s">
        <v>172</v>
      </c>
      <c r="E652" s="28">
        <v>34056.25</v>
      </c>
      <c r="F652" s="27" t="s">
        <v>4073</v>
      </c>
      <c r="G652" s="48"/>
      <c r="H652" s="47" t="str">
        <f t="shared" si="30"/>
        <v>ANDINA</v>
      </c>
      <c r="I652" s="6">
        <f t="shared" si="31"/>
        <v>33820.26545454545</v>
      </c>
      <c r="J652" s="47">
        <f t="shared" si="32"/>
        <v>33820.26545454545</v>
      </c>
      <c r="L652" s="44"/>
      <c r="M652" s="44"/>
      <c r="N652" s="44"/>
      <c r="O652" s="44"/>
      <c r="P652" s="44"/>
      <c r="Q652" s="44"/>
      <c r="R652" s="44"/>
      <c r="S652" s="44"/>
    </row>
    <row r="653" spans="1:19" ht="14.1" customHeight="1">
      <c r="A653" s="27" t="s">
        <v>3851</v>
      </c>
      <c r="B653" s="27" t="s">
        <v>180</v>
      </c>
      <c r="C653" s="27" t="s">
        <v>263</v>
      </c>
      <c r="D653" s="27" t="s">
        <v>172</v>
      </c>
      <c r="E653" s="28">
        <v>196358.33</v>
      </c>
      <c r="F653" s="27" t="s">
        <v>4074</v>
      </c>
      <c r="G653" s="48"/>
      <c r="H653" s="47" t="str">
        <f t="shared" si="30"/>
        <v>ANDINA</v>
      </c>
      <c r="I653" s="6">
        <f t="shared" si="31"/>
        <v>196358.33</v>
      </c>
      <c r="J653" s="47">
        <f t="shared" si="32"/>
        <v>196358.33</v>
      </c>
      <c r="L653" s="44"/>
      <c r="M653" s="44"/>
      <c r="N653" s="44"/>
      <c r="O653" s="44"/>
      <c r="P653" s="44"/>
      <c r="Q653" s="44"/>
      <c r="R653" s="44"/>
      <c r="S653" s="44"/>
    </row>
    <row r="654" spans="1:19" ht="14.1" customHeight="1">
      <c r="A654" s="27" t="s">
        <v>3851</v>
      </c>
      <c r="B654" s="27" t="s">
        <v>180</v>
      </c>
      <c r="C654" s="27" t="s">
        <v>277</v>
      </c>
      <c r="D654" s="27" t="s">
        <v>172</v>
      </c>
      <c r="E654" s="28">
        <v>90689.07</v>
      </c>
      <c r="F654" s="27" t="s">
        <v>4073</v>
      </c>
      <c r="G654" s="48"/>
      <c r="H654" s="47" t="str">
        <f t="shared" si="30"/>
        <v>ANDINA</v>
      </c>
      <c r="I654" s="6">
        <f t="shared" si="31"/>
        <v>88565.010909090925</v>
      </c>
      <c r="J654" s="47">
        <f t="shared" si="32"/>
        <v>88565.010909090925</v>
      </c>
      <c r="L654" s="44"/>
      <c r="M654" s="44"/>
      <c r="N654" s="44"/>
      <c r="O654" s="44"/>
      <c r="P654" s="44"/>
      <c r="Q654" s="44"/>
      <c r="R654" s="44"/>
      <c r="S654" s="44"/>
    </row>
    <row r="655" spans="1:19" ht="14.1" customHeight="1">
      <c r="A655" s="27" t="s">
        <v>3851</v>
      </c>
      <c r="B655" s="27" t="s">
        <v>180</v>
      </c>
      <c r="C655" s="27" t="s">
        <v>300</v>
      </c>
      <c r="D655" s="27" t="s">
        <v>172</v>
      </c>
      <c r="E655" s="28">
        <v>66141.87</v>
      </c>
      <c r="F655" s="27" t="s">
        <v>4073</v>
      </c>
      <c r="G655" s="48"/>
      <c r="H655" s="47" t="str">
        <f t="shared" si="30"/>
        <v>ANDINA</v>
      </c>
      <c r="I655" s="6">
        <f t="shared" si="31"/>
        <v>67595.050909090904</v>
      </c>
      <c r="J655" s="47">
        <f t="shared" si="32"/>
        <v>67595.050909090904</v>
      </c>
      <c r="L655" s="44"/>
      <c r="M655" s="44"/>
      <c r="N655" s="44"/>
      <c r="O655" s="44"/>
      <c r="P655" s="44"/>
      <c r="Q655" s="44"/>
      <c r="R655" s="44"/>
      <c r="S655" s="44"/>
    </row>
    <row r="656" spans="1:19" ht="14.1" customHeight="1">
      <c r="A656" s="27" t="s">
        <v>3851</v>
      </c>
      <c r="B656" s="27" t="s">
        <v>180</v>
      </c>
      <c r="C656" s="27" t="s">
        <v>242</v>
      </c>
      <c r="D656" s="27" t="s">
        <v>172</v>
      </c>
      <c r="E656" s="28">
        <v>28955.759999999998</v>
      </c>
      <c r="F656" s="27" t="s">
        <v>4074</v>
      </c>
      <c r="G656" s="48"/>
      <c r="H656" s="47" t="str">
        <f t="shared" si="30"/>
        <v>ANDINA</v>
      </c>
      <c r="I656" s="6">
        <f t="shared" si="31"/>
        <v>28955.759999999998</v>
      </c>
      <c r="J656" s="47">
        <f t="shared" si="32"/>
        <v>28955.759999999998</v>
      </c>
      <c r="L656" s="44"/>
      <c r="M656" s="44"/>
      <c r="N656" s="44"/>
      <c r="O656" s="44"/>
      <c r="P656" s="44"/>
      <c r="Q656" s="44"/>
      <c r="R656" s="44"/>
      <c r="S656" s="44"/>
    </row>
    <row r="657" spans="1:19" ht="14.1" customHeight="1">
      <c r="A657" s="27" t="s">
        <v>3851</v>
      </c>
      <c r="B657" s="27" t="s">
        <v>180</v>
      </c>
      <c r="C657" s="27" t="s">
        <v>254</v>
      </c>
      <c r="D657" s="27" t="s">
        <v>172</v>
      </c>
      <c r="E657" s="28">
        <v>150535.42000000001</v>
      </c>
      <c r="F657" s="27" t="s">
        <v>4074</v>
      </c>
      <c r="G657" s="48"/>
      <c r="H657" s="47" t="str">
        <f t="shared" si="30"/>
        <v>ANDINA</v>
      </c>
      <c r="I657" s="6">
        <f t="shared" si="31"/>
        <v>150535.42000000001</v>
      </c>
      <c r="J657" s="47">
        <f t="shared" si="32"/>
        <v>150535.42000000001</v>
      </c>
      <c r="L657" s="44"/>
      <c r="M657" s="44"/>
      <c r="N657" s="44"/>
      <c r="O657" s="44"/>
      <c r="P657" s="44"/>
      <c r="Q657" s="44"/>
      <c r="R657" s="44"/>
      <c r="S657" s="44"/>
    </row>
    <row r="658" spans="1:19" ht="14.1" customHeight="1">
      <c r="A658" s="27" t="s">
        <v>3851</v>
      </c>
      <c r="B658" s="27" t="s">
        <v>180</v>
      </c>
      <c r="C658" s="27" t="s">
        <v>305</v>
      </c>
      <c r="D658" s="27" t="s">
        <v>172</v>
      </c>
      <c r="E658" s="28">
        <v>72327.89</v>
      </c>
      <c r="F658" s="27" t="s">
        <v>4073</v>
      </c>
      <c r="G658" s="48"/>
      <c r="H658" s="47" t="str">
        <f t="shared" si="30"/>
        <v>ANDINA</v>
      </c>
      <c r="I658" s="6">
        <f t="shared" si="31"/>
        <v>72524.681818181823</v>
      </c>
      <c r="J658" s="47">
        <f t="shared" si="32"/>
        <v>72524.681818181823</v>
      </c>
      <c r="L658" s="44"/>
      <c r="M658" s="44"/>
      <c r="N658" s="44"/>
      <c r="O658" s="44"/>
      <c r="P658" s="44"/>
      <c r="Q658" s="44"/>
      <c r="R658" s="44"/>
      <c r="S658" s="44"/>
    </row>
    <row r="659" spans="1:19" ht="14.1" customHeight="1">
      <c r="A659" s="27" t="s">
        <v>3851</v>
      </c>
      <c r="B659" s="27" t="s">
        <v>180</v>
      </c>
      <c r="C659" s="27" t="s">
        <v>297</v>
      </c>
      <c r="D659" s="27" t="s">
        <v>172</v>
      </c>
      <c r="E659" s="28">
        <v>149375.29999999999</v>
      </c>
      <c r="F659" s="27" t="s">
        <v>4073</v>
      </c>
      <c r="G659" s="48"/>
      <c r="H659" s="47" t="str">
        <f t="shared" si="30"/>
        <v>ANDINA</v>
      </c>
      <c r="I659" s="6">
        <f t="shared" si="31"/>
        <v>150305.83363636368</v>
      </c>
      <c r="J659" s="47">
        <f t="shared" si="32"/>
        <v>150305.83363636368</v>
      </c>
      <c r="L659" s="44"/>
      <c r="M659" s="44"/>
      <c r="N659" s="44"/>
      <c r="O659" s="44"/>
      <c r="P659" s="44"/>
      <c r="Q659" s="44"/>
      <c r="R659" s="44"/>
      <c r="S659" s="44"/>
    </row>
    <row r="660" spans="1:19" ht="14.1" customHeight="1">
      <c r="A660" s="27" t="s">
        <v>3851</v>
      </c>
      <c r="B660" s="27" t="s">
        <v>180</v>
      </c>
      <c r="C660" s="27" t="s">
        <v>314</v>
      </c>
      <c r="D660" s="27" t="s">
        <v>172</v>
      </c>
      <c r="E660" s="28">
        <v>26160</v>
      </c>
      <c r="F660" s="27" t="s">
        <v>4074</v>
      </c>
      <c r="G660" s="48"/>
      <c r="H660" s="47" t="str">
        <f t="shared" si="30"/>
        <v>ANDINA</v>
      </c>
      <c r="I660" s="6">
        <f t="shared" si="31"/>
        <v>26160</v>
      </c>
      <c r="J660" s="47">
        <f t="shared" si="32"/>
        <v>26160</v>
      </c>
      <c r="L660" s="44"/>
      <c r="M660" s="44"/>
      <c r="N660" s="44"/>
      <c r="O660" s="44"/>
      <c r="P660" s="44"/>
      <c r="Q660" s="44"/>
      <c r="R660" s="44"/>
      <c r="S660" s="44"/>
    </row>
    <row r="661" spans="1:19" ht="14.1" customHeight="1">
      <c r="A661" s="27" t="s">
        <v>3851</v>
      </c>
      <c r="B661" s="27" t="s">
        <v>180</v>
      </c>
      <c r="C661" s="27" t="s">
        <v>182</v>
      </c>
      <c r="D661" s="27" t="s">
        <v>172</v>
      </c>
      <c r="E661" s="28">
        <v>157100</v>
      </c>
      <c r="F661" s="27" t="s">
        <v>4074</v>
      </c>
      <c r="G661" s="48"/>
      <c r="H661" s="47" t="str">
        <f t="shared" si="30"/>
        <v>ANDINA</v>
      </c>
      <c r="I661" s="6">
        <f t="shared" si="31"/>
        <v>157100</v>
      </c>
      <c r="J661" s="47">
        <f t="shared" si="32"/>
        <v>157100</v>
      </c>
      <c r="L661" s="44"/>
      <c r="M661" s="44"/>
      <c r="N661" s="44"/>
      <c r="O661" s="44"/>
      <c r="P661" s="44"/>
      <c r="Q661" s="44"/>
      <c r="R661" s="44"/>
      <c r="S661" s="44"/>
    </row>
    <row r="662" spans="1:19" ht="14.1" customHeight="1">
      <c r="A662" s="27" t="s">
        <v>3852</v>
      </c>
      <c r="B662" s="27" t="s">
        <v>4072</v>
      </c>
      <c r="C662" s="27" t="s">
        <v>316</v>
      </c>
      <c r="D662" s="27" t="s">
        <v>172</v>
      </c>
      <c r="E662" s="28">
        <v>46378.17</v>
      </c>
      <c r="F662" s="27" t="s">
        <v>4073</v>
      </c>
      <c r="G662" s="48"/>
      <c r="H662" s="47" t="str">
        <f t="shared" si="30"/>
        <v>CARIBE</v>
      </c>
      <c r="I662" s="6">
        <f t="shared" si="31"/>
        <v>46378.169999999991</v>
      </c>
      <c r="J662" s="47">
        <f t="shared" si="32"/>
        <v>46378.169999999991</v>
      </c>
      <c r="L662" s="46"/>
      <c r="M662" s="46"/>
      <c r="N662" s="46"/>
      <c r="O662" s="46"/>
      <c r="P662" s="46"/>
      <c r="Q662" s="46"/>
      <c r="R662" s="46"/>
      <c r="S662" s="46"/>
    </row>
    <row r="663" spans="1:19" ht="14.1" customHeight="1">
      <c r="A663" s="27" t="s">
        <v>3852</v>
      </c>
      <c r="B663" s="27" t="s">
        <v>137</v>
      </c>
      <c r="C663" s="27" t="s">
        <v>291</v>
      </c>
      <c r="D663" s="27" t="s">
        <v>172</v>
      </c>
      <c r="E663" s="28">
        <v>22086.61</v>
      </c>
      <c r="F663" s="27" t="s">
        <v>4073</v>
      </c>
      <c r="G663" s="48"/>
      <c r="H663" s="47" t="str">
        <f t="shared" si="30"/>
        <v>CARIBE</v>
      </c>
      <c r="I663" s="6">
        <f t="shared" si="31"/>
        <v>22086.61</v>
      </c>
      <c r="J663" s="47">
        <f t="shared" si="32"/>
        <v>22086.61</v>
      </c>
      <c r="L663" s="44"/>
      <c r="M663" s="44"/>
      <c r="N663" s="44"/>
      <c r="O663" s="44"/>
      <c r="P663" s="44"/>
      <c r="Q663" s="44"/>
      <c r="R663" s="44"/>
      <c r="S663" s="44"/>
    </row>
    <row r="664" spans="1:19" ht="14.1" customHeight="1">
      <c r="A664" s="27" t="s">
        <v>3852</v>
      </c>
      <c r="B664" s="27" t="s">
        <v>137</v>
      </c>
      <c r="C664" s="27" t="s">
        <v>243</v>
      </c>
      <c r="D664" s="27" t="s">
        <v>172</v>
      </c>
      <c r="E664" s="28">
        <v>21754.73</v>
      </c>
      <c r="F664" s="27" t="s">
        <v>4073</v>
      </c>
      <c r="G664" s="48"/>
      <c r="H664" s="47" t="str">
        <f t="shared" si="30"/>
        <v>CARIBE</v>
      </c>
      <c r="I664" s="6">
        <f t="shared" si="31"/>
        <v>21754.73</v>
      </c>
      <c r="J664" s="47">
        <f t="shared" si="32"/>
        <v>21754.73</v>
      </c>
      <c r="L664" s="44"/>
      <c r="M664" s="44"/>
      <c r="N664" s="44"/>
      <c r="O664" s="44"/>
      <c r="P664" s="44"/>
      <c r="Q664" s="44"/>
      <c r="R664" s="44"/>
      <c r="S664" s="44"/>
    </row>
    <row r="665" spans="1:19" ht="14.1" customHeight="1">
      <c r="A665" s="27" t="s">
        <v>3852</v>
      </c>
      <c r="B665" s="27" t="s">
        <v>137</v>
      </c>
      <c r="C665" s="27" t="s">
        <v>237</v>
      </c>
      <c r="D665" s="27" t="s">
        <v>172</v>
      </c>
      <c r="E665" s="28">
        <v>28933.31</v>
      </c>
      <c r="F665" s="27" t="s">
        <v>4073</v>
      </c>
      <c r="G665" s="48"/>
      <c r="H665" s="47" t="str">
        <f t="shared" si="30"/>
        <v>CARIBE</v>
      </c>
      <c r="I665" s="6">
        <f t="shared" si="31"/>
        <v>30936.223333333332</v>
      </c>
      <c r="J665" s="47">
        <f t="shared" si="32"/>
        <v>30936.223333333332</v>
      </c>
      <c r="L665" s="44"/>
      <c r="M665" s="44"/>
      <c r="N665" s="44"/>
      <c r="O665" s="44"/>
      <c r="P665" s="44"/>
      <c r="Q665" s="44"/>
      <c r="R665" s="44"/>
      <c r="S665" s="44"/>
    </row>
    <row r="666" spans="1:19" ht="14.1" customHeight="1">
      <c r="A666" s="27" t="s">
        <v>3852</v>
      </c>
      <c r="B666" s="27" t="s">
        <v>137</v>
      </c>
      <c r="C666" s="27" t="s">
        <v>246</v>
      </c>
      <c r="D666" s="27" t="s">
        <v>172</v>
      </c>
      <c r="E666" s="28">
        <v>65250.53</v>
      </c>
      <c r="F666" s="27" t="s">
        <v>4073</v>
      </c>
      <c r="G666" s="48"/>
      <c r="H666" s="47" t="str">
        <f t="shared" si="30"/>
        <v>CARIBE</v>
      </c>
      <c r="I666" s="6">
        <f t="shared" si="31"/>
        <v>65250.530000000006</v>
      </c>
      <c r="J666" s="47">
        <f t="shared" si="32"/>
        <v>65250.530000000006</v>
      </c>
      <c r="L666" s="44"/>
      <c r="M666" s="44"/>
      <c r="N666" s="44"/>
      <c r="O666" s="44"/>
      <c r="P666" s="44"/>
      <c r="Q666" s="44"/>
      <c r="R666" s="44"/>
      <c r="S666" s="44"/>
    </row>
    <row r="667" spans="1:19" ht="14.1" customHeight="1">
      <c r="A667" s="27" t="s">
        <v>3852</v>
      </c>
      <c r="B667" s="27" t="s">
        <v>170</v>
      </c>
      <c r="C667" s="27" t="s">
        <v>259</v>
      </c>
      <c r="D667" s="27" t="s">
        <v>172</v>
      </c>
      <c r="E667" s="28">
        <v>283758.28999999998</v>
      </c>
      <c r="F667" s="27" t="s">
        <v>4073</v>
      </c>
      <c r="G667" s="48"/>
      <c r="H667" s="47" t="str">
        <f t="shared" si="30"/>
        <v>CARIBE</v>
      </c>
      <c r="I667" s="6">
        <f t="shared" si="31"/>
        <v>287765.70500000002</v>
      </c>
      <c r="J667" s="47">
        <f t="shared" si="32"/>
        <v>287765.70500000002</v>
      </c>
      <c r="L667" s="44"/>
      <c r="M667" s="44"/>
      <c r="N667" s="44"/>
      <c r="O667" s="44"/>
      <c r="P667" s="44"/>
      <c r="Q667" s="44"/>
      <c r="R667" s="44"/>
      <c r="S667" s="44"/>
    </row>
    <row r="668" spans="1:19" ht="14.1" customHeight="1">
      <c r="A668" s="27" t="s">
        <v>3852</v>
      </c>
      <c r="B668" s="27" t="s">
        <v>170</v>
      </c>
      <c r="C668" s="27" t="s">
        <v>276</v>
      </c>
      <c r="D668" s="27" t="s">
        <v>172</v>
      </c>
      <c r="E668" s="28">
        <v>83726.98</v>
      </c>
      <c r="F668" s="27" t="s">
        <v>4073</v>
      </c>
      <c r="G668" s="48"/>
      <c r="H668" s="47" t="str">
        <f t="shared" si="30"/>
        <v>CARIBE</v>
      </c>
      <c r="I668" s="6">
        <f t="shared" si="31"/>
        <v>83726.98</v>
      </c>
      <c r="J668" s="47">
        <f t="shared" si="32"/>
        <v>83726.98</v>
      </c>
      <c r="L668" s="44"/>
      <c r="M668" s="44"/>
      <c r="N668" s="44"/>
      <c r="O668" s="44"/>
      <c r="P668" s="44"/>
      <c r="Q668" s="44"/>
      <c r="R668" s="44"/>
      <c r="S668" s="44"/>
    </row>
    <row r="669" spans="1:19" ht="14.1" customHeight="1">
      <c r="A669" s="27" t="s">
        <v>3852</v>
      </c>
      <c r="B669" s="27" t="s">
        <v>170</v>
      </c>
      <c r="C669" s="27" t="s">
        <v>240</v>
      </c>
      <c r="D669" s="27" t="s">
        <v>172</v>
      </c>
      <c r="E669" s="28">
        <v>23574.34</v>
      </c>
      <c r="F669" s="27" t="s">
        <v>4073</v>
      </c>
      <c r="G669" s="48"/>
      <c r="H669" s="47" t="str">
        <f t="shared" si="30"/>
        <v>CARIBE</v>
      </c>
      <c r="I669" s="6">
        <f t="shared" si="31"/>
        <v>23574.34</v>
      </c>
      <c r="J669" s="47">
        <f t="shared" si="32"/>
        <v>23574.34</v>
      </c>
      <c r="L669" s="44"/>
      <c r="M669" s="44"/>
      <c r="N669" s="44"/>
      <c r="O669" s="44"/>
      <c r="P669" s="44"/>
      <c r="Q669" s="44"/>
      <c r="R669" s="44"/>
      <c r="S669" s="44"/>
    </row>
    <row r="670" spans="1:19" ht="14.1" customHeight="1">
      <c r="A670" s="27" t="s">
        <v>3852</v>
      </c>
      <c r="B670" s="27" t="s">
        <v>170</v>
      </c>
      <c r="C670" s="27" t="s">
        <v>251</v>
      </c>
      <c r="D670" s="27" t="s">
        <v>226</v>
      </c>
      <c r="E670" s="28">
        <v>61445.54</v>
      </c>
      <c r="F670" s="27" t="s">
        <v>4073</v>
      </c>
      <c r="G670" s="48"/>
      <c r="H670" s="47" t="str">
        <f t="shared" si="30"/>
        <v>CARIBE</v>
      </c>
      <c r="I670" s="6">
        <f t="shared" si="31"/>
        <v>61445.54</v>
      </c>
      <c r="J670" s="47">
        <f t="shared" si="32"/>
        <v>61445.54</v>
      </c>
      <c r="L670" s="44"/>
      <c r="M670" s="44"/>
      <c r="N670" s="44"/>
      <c r="O670" s="44"/>
      <c r="P670" s="44"/>
      <c r="Q670" s="44"/>
      <c r="R670" s="44"/>
      <c r="S670" s="44"/>
    </row>
    <row r="671" spans="1:19" ht="14.1" customHeight="1">
      <c r="A671" s="27" t="s">
        <v>3852</v>
      </c>
      <c r="B671" s="27" t="s">
        <v>170</v>
      </c>
      <c r="C671" s="27" t="s">
        <v>256</v>
      </c>
      <c r="D671" s="27" t="s">
        <v>172</v>
      </c>
      <c r="E671" s="28">
        <v>29504.6</v>
      </c>
      <c r="F671" s="27" t="s">
        <v>4073</v>
      </c>
      <c r="G671" s="48"/>
      <c r="H671" s="47" t="str">
        <f t="shared" si="30"/>
        <v>CARIBE</v>
      </c>
      <c r="I671" s="6">
        <f t="shared" si="31"/>
        <v>30290.368333333332</v>
      </c>
      <c r="J671" s="47">
        <f t="shared" si="32"/>
        <v>30290.368333333332</v>
      </c>
      <c r="L671" s="44"/>
      <c r="M671" s="44"/>
      <c r="N671" s="44"/>
      <c r="O671" s="44"/>
      <c r="P671" s="44"/>
      <c r="Q671" s="44"/>
      <c r="R671" s="44"/>
      <c r="S671" s="44"/>
    </row>
    <row r="672" spans="1:19" ht="14.1" customHeight="1">
      <c r="A672" s="27" t="s">
        <v>3852</v>
      </c>
      <c r="B672" s="27" t="s">
        <v>170</v>
      </c>
      <c r="C672" s="27" t="s">
        <v>311</v>
      </c>
      <c r="D672" s="27" t="s">
        <v>172</v>
      </c>
      <c r="E672" s="28">
        <v>40598.93</v>
      </c>
      <c r="F672" s="27" t="s">
        <v>4073</v>
      </c>
      <c r="G672" s="48"/>
      <c r="H672" s="47" t="str">
        <f t="shared" si="30"/>
        <v>CARIBE</v>
      </c>
      <c r="I672" s="6">
        <f t="shared" si="31"/>
        <v>40799.10833333333</v>
      </c>
      <c r="J672" s="47">
        <f t="shared" si="32"/>
        <v>40799.10833333333</v>
      </c>
      <c r="L672" s="44"/>
      <c r="M672" s="44"/>
      <c r="N672" s="44"/>
      <c r="O672" s="44"/>
      <c r="P672" s="44"/>
      <c r="Q672" s="44"/>
      <c r="R672" s="44"/>
      <c r="S672" s="44"/>
    </row>
    <row r="673" spans="1:19" ht="14.1" customHeight="1">
      <c r="A673" s="27" t="s">
        <v>3852</v>
      </c>
      <c r="B673" s="27" t="s">
        <v>170</v>
      </c>
      <c r="C673" s="27" t="s">
        <v>171</v>
      </c>
      <c r="D673" s="27" t="s">
        <v>172</v>
      </c>
      <c r="E673" s="28">
        <v>115879.72</v>
      </c>
      <c r="F673" s="27" t="s">
        <v>4073</v>
      </c>
      <c r="G673" s="48"/>
      <c r="H673" s="47" t="str">
        <f t="shared" si="30"/>
        <v>CARIBE</v>
      </c>
      <c r="I673" s="6">
        <f t="shared" si="31"/>
        <v>115879.71999999999</v>
      </c>
      <c r="J673" s="47">
        <f t="shared" si="32"/>
        <v>115879.71999999999</v>
      </c>
      <c r="L673" s="44"/>
      <c r="M673" s="44"/>
      <c r="N673" s="44"/>
      <c r="O673" s="44"/>
      <c r="P673" s="44"/>
      <c r="Q673" s="44"/>
      <c r="R673" s="44"/>
      <c r="S673" s="44"/>
    </row>
    <row r="674" spans="1:19" ht="14.1" customHeight="1">
      <c r="A674" s="27" t="s">
        <v>3852</v>
      </c>
      <c r="B674" s="27" t="s">
        <v>170</v>
      </c>
      <c r="C674" s="27" t="s">
        <v>252</v>
      </c>
      <c r="D674" s="27" t="s">
        <v>226</v>
      </c>
      <c r="E674" s="28">
        <v>21867.29</v>
      </c>
      <c r="F674" s="27" t="s">
        <v>4073</v>
      </c>
      <c r="G674" s="48"/>
      <c r="H674" s="47" t="str">
        <f t="shared" si="30"/>
        <v>CARIBE</v>
      </c>
      <c r="I674" s="6">
        <f t="shared" si="31"/>
        <v>21867.290000000005</v>
      </c>
      <c r="J674" s="47">
        <f t="shared" si="32"/>
        <v>21867.290000000005</v>
      </c>
      <c r="L674" s="44"/>
      <c r="M674" s="44"/>
      <c r="N674" s="44"/>
      <c r="O674" s="44"/>
      <c r="P674" s="44"/>
      <c r="Q674" s="44"/>
      <c r="R674" s="44"/>
      <c r="S674" s="44"/>
    </row>
    <row r="675" spans="1:19" ht="14.1" customHeight="1">
      <c r="A675" s="27" t="s">
        <v>3852</v>
      </c>
      <c r="B675" s="27" t="s">
        <v>170</v>
      </c>
      <c r="C675" s="27" t="s">
        <v>296</v>
      </c>
      <c r="D675" s="27" t="s">
        <v>226</v>
      </c>
      <c r="E675" s="28">
        <v>23167.62</v>
      </c>
      <c r="F675" s="27" t="s">
        <v>4073</v>
      </c>
      <c r="G675" s="48"/>
      <c r="H675" s="47" t="str">
        <f t="shared" si="30"/>
        <v>CARIBE</v>
      </c>
      <c r="I675" s="6">
        <f t="shared" si="31"/>
        <v>23167.62</v>
      </c>
      <c r="J675" s="47">
        <f t="shared" si="32"/>
        <v>23167.62</v>
      </c>
      <c r="L675" s="44"/>
      <c r="M675" s="44"/>
      <c r="N675" s="44"/>
      <c r="O675" s="44"/>
      <c r="P675" s="44"/>
      <c r="Q675" s="44"/>
      <c r="R675" s="44"/>
      <c r="S675" s="44"/>
    </row>
    <row r="676" spans="1:19" ht="14.1" customHeight="1">
      <c r="A676" s="27" t="s">
        <v>3852</v>
      </c>
      <c r="B676" s="27" t="s">
        <v>170</v>
      </c>
      <c r="C676" s="27" t="s">
        <v>173</v>
      </c>
      <c r="D676" s="27" t="s">
        <v>172</v>
      </c>
      <c r="E676" s="28">
        <v>153430.65</v>
      </c>
      <c r="F676" s="27" t="s">
        <v>4073</v>
      </c>
      <c r="G676" s="48"/>
      <c r="H676" s="47" t="str">
        <f t="shared" si="30"/>
        <v>CARIBE</v>
      </c>
      <c r="I676" s="6">
        <f t="shared" si="31"/>
        <v>155608.875</v>
      </c>
      <c r="J676" s="47">
        <f t="shared" si="32"/>
        <v>155608.875</v>
      </c>
      <c r="L676" s="44"/>
      <c r="M676" s="44"/>
      <c r="N676" s="44"/>
      <c r="O676" s="44"/>
      <c r="P676" s="44"/>
      <c r="Q676" s="44"/>
      <c r="R676" s="44"/>
      <c r="S676" s="44"/>
    </row>
    <row r="677" spans="1:19" ht="14.1" customHeight="1">
      <c r="A677" s="27" t="s">
        <v>3852</v>
      </c>
      <c r="B677" s="27" t="s">
        <v>170</v>
      </c>
      <c r="C677" s="27" t="s">
        <v>225</v>
      </c>
      <c r="D677" s="27" t="s">
        <v>226</v>
      </c>
      <c r="E677" s="28">
        <v>37977.24</v>
      </c>
      <c r="F677" s="27" t="s">
        <v>4073</v>
      </c>
      <c r="G677" s="48"/>
      <c r="H677" s="47" t="str">
        <f t="shared" si="30"/>
        <v>CARIBE</v>
      </c>
      <c r="I677" s="6">
        <f t="shared" si="31"/>
        <v>37977.24</v>
      </c>
      <c r="J677" s="47">
        <f t="shared" si="32"/>
        <v>37977.24</v>
      </c>
      <c r="L677" s="44"/>
      <c r="M677" s="44"/>
      <c r="N677" s="44"/>
      <c r="O677" s="44"/>
      <c r="P677" s="44"/>
      <c r="Q677" s="44"/>
      <c r="R677" s="44"/>
      <c r="S677" s="44"/>
    </row>
    <row r="678" spans="1:19" ht="14.1" customHeight="1">
      <c r="A678" s="27" t="s">
        <v>3852</v>
      </c>
      <c r="B678" s="27" t="s">
        <v>176</v>
      </c>
      <c r="C678" s="27" t="s">
        <v>262</v>
      </c>
      <c r="D678" s="27" t="s">
        <v>172</v>
      </c>
      <c r="E678" s="28">
        <v>15750</v>
      </c>
      <c r="F678" s="27" t="s">
        <v>4074</v>
      </c>
      <c r="G678" s="48"/>
      <c r="H678" s="47" t="str">
        <f t="shared" si="30"/>
        <v>CARIBE</v>
      </c>
      <c r="I678" s="6">
        <f t="shared" si="31"/>
        <v>15750</v>
      </c>
      <c r="J678" s="47">
        <f t="shared" si="32"/>
        <v>15750</v>
      </c>
      <c r="L678" s="44"/>
      <c r="M678" s="44"/>
      <c r="N678" s="44"/>
      <c r="O678" s="44"/>
      <c r="P678" s="44"/>
      <c r="Q678" s="44"/>
      <c r="R678" s="44"/>
      <c r="S678" s="44"/>
    </row>
    <row r="679" spans="1:19" ht="14.1" customHeight="1">
      <c r="A679" s="27" t="s">
        <v>3852</v>
      </c>
      <c r="B679" s="27" t="s">
        <v>176</v>
      </c>
      <c r="C679" s="27" t="s">
        <v>253</v>
      </c>
      <c r="D679" s="27" t="s">
        <v>172</v>
      </c>
      <c r="E679" s="28">
        <v>24023.33</v>
      </c>
      <c r="F679" s="27" t="s">
        <v>4073</v>
      </c>
      <c r="G679" s="48"/>
      <c r="H679" s="47" t="str">
        <f t="shared" si="30"/>
        <v>CARIBE</v>
      </c>
      <c r="I679" s="6">
        <f t="shared" si="31"/>
        <v>25552.775000000005</v>
      </c>
      <c r="J679" s="47">
        <f t="shared" si="32"/>
        <v>25552.775000000005</v>
      </c>
      <c r="L679" s="44"/>
      <c r="M679" s="44"/>
      <c r="N679" s="44"/>
      <c r="O679" s="44"/>
      <c r="P679" s="44"/>
      <c r="Q679" s="44"/>
      <c r="R679" s="44"/>
      <c r="S679" s="44"/>
    </row>
    <row r="680" spans="1:19" ht="14.1" customHeight="1">
      <c r="A680" s="27" t="s">
        <v>3852</v>
      </c>
      <c r="B680" s="27" t="s">
        <v>176</v>
      </c>
      <c r="C680" s="27" t="s">
        <v>177</v>
      </c>
      <c r="D680" s="27" t="s">
        <v>172</v>
      </c>
      <c r="E680" s="28">
        <v>19303.330000000002</v>
      </c>
      <c r="F680" s="27" t="s">
        <v>4074</v>
      </c>
      <c r="G680" s="48"/>
      <c r="H680" s="47" t="str">
        <f t="shared" si="30"/>
        <v>CARIBE</v>
      </c>
      <c r="I680" s="6">
        <f t="shared" si="31"/>
        <v>19303.330000000002</v>
      </c>
      <c r="J680" s="47">
        <f t="shared" si="32"/>
        <v>19303.330000000002</v>
      </c>
      <c r="L680" s="44"/>
      <c r="M680" s="44"/>
      <c r="N680" s="44"/>
      <c r="O680" s="44"/>
      <c r="P680" s="44"/>
      <c r="Q680" s="44"/>
      <c r="R680" s="44"/>
      <c r="S680" s="44"/>
    </row>
    <row r="681" spans="1:19" ht="14.1" customHeight="1">
      <c r="A681" s="27" t="s">
        <v>3852</v>
      </c>
      <c r="B681" s="27" t="s">
        <v>176</v>
      </c>
      <c r="C681" s="27" t="s">
        <v>231</v>
      </c>
      <c r="D681" s="27" t="s">
        <v>172</v>
      </c>
      <c r="E681" s="28">
        <v>22799.69</v>
      </c>
      <c r="F681" s="27" t="s">
        <v>4073</v>
      </c>
      <c r="G681" s="48"/>
      <c r="H681" s="47" t="str">
        <f t="shared" si="30"/>
        <v>CARIBE</v>
      </c>
      <c r="I681" s="6">
        <f t="shared" si="31"/>
        <v>23114.399999999998</v>
      </c>
      <c r="J681" s="47">
        <f t="shared" si="32"/>
        <v>23114.399999999998</v>
      </c>
      <c r="L681" s="44"/>
      <c r="M681" s="44"/>
      <c r="N681" s="44"/>
      <c r="O681" s="44"/>
      <c r="P681" s="44"/>
      <c r="Q681" s="44"/>
      <c r="R681" s="44"/>
      <c r="S681" s="44"/>
    </row>
    <row r="682" spans="1:19" ht="14.1" customHeight="1">
      <c r="A682" s="27" t="s">
        <v>3852</v>
      </c>
      <c r="B682" s="27" t="s">
        <v>180</v>
      </c>
      <c r="C682" s="27" t="s">
        <v>181</v>
      </c>
      <c r="D682" s="27" t="s">
        <v>172</v>
      </c>
      <c r="E682" s="28">
        <v>34056.25</v>
      </c>
      <c r="F682" s="27" t="s">
        <v>4073</v>
      </c>
      <c r="G682" s="48"/>
      <c r="H682" s="47" t="str">
        <f t="shared" si="30"/>
        <v>CARIBE</v>
      </c>
      <c r="I682" s="6">
        <f t="shared" si="31"/>
        <v>34056.25</v>
      </c>
      <c r="J682" s="47">
        <f t="shared" si="32"/>
        <v>34056.25</v>
      </c>
      <c r="L682" s="44"/>
      <c r="M682" s="44"/>
      <c r="N682" s="44"/>
      <c r="O682" s="44"/>
      <c r="P682" s="44"/>
      <c r="Q682" s="44"/>
      <c r="R682" s="44"/>
      <c r="S682" s="44"/>
    </row>
    <row r="683" spans="1:19" ht="14.1" customHeight="1">
      <c r="A683" s="27" t="s">
        <v>3852</v>
      </c>
      <c r="B683" s="27" t="s">
        <v>180</v>
      </c>
      <c r="C683" s="27" t="s">
        <v>263</v>
      </c>
      <c r="D683" s="27" t="s">
        <v>172</v>
      </c>
      <c r="E683" s="28">
        <v>199043.33</v>
      </c>
      <c r="F683" s="27" t="s">
        <v>4073</v>
      </c>
      <c r="G683" s="48"/>
      <c r="H683" s="47" t="str">
        <f t="shared" si="30"/>
        <v>CARIBE</v>
      </c>
      <c r="I683" s="6">
        <f t="shared" si="31"/>
        <v>204744.54333333333</v>
      </c>
      <c r="J683" s="47">
        <f t="shared" si="32"/>
        <v>204744.54333333333</v>
      </c>
      <c r="L683" s="44"/>
      <c r="M683" s="44"/>
      <c r="N683" s="44"/>
      <c r="O683" s="44"/>
      <c r="P683" s="44"/>
      <c r="Q683" s="44"/>
      <c r="R683" s="44"/>
      <c r="S683" s="44"/>
    </row>
    <row r="684" spans="1:19" ht="14.1" customHeight="1">
      <c r="A684" s="27" t="s">
        <v>3852</v>
      </c>
      <c r="B684" s="27" t="s">
        <v>180</v>
      </c>
      <c r="C684" s="27" t="s">
        <v>277</v>
      </c>
      <c r="D684" s="27" t="s">
        <v>172</v>
      </c>
      <c r="E684" s="28">
        <v>90689.07</v>
      </c>
      <c r="F684" s="27" t="s">
        <v>4073</v>
      </c>
      <c r="G684" s="48"/>
      <c r="H684" s="47" t="str">
        <f t="shared" si="30"/>
        <v>CARIBE</v>
      </c>
      <c r="I684" s="6">
        <f t="shared" si="31"/>
        <v>90689.07</v>
      </c>
      <c r="J684" s="47">
        <f t="shared" si="32"/>
        <v>90689.07</v>
      </c>
      <c r="L684" s="44"/>
      <c r="M684" s="44"/>
      <c r="N684" s="44"/>
      <c r="O684" s="44"/>
      <c r="P684" s="44"/>
      <c r="Q684" s="44"/>
      <c r="R684" s="44"/>
      <c r="S684" s="44"/>
    </row>
    <row r="685" spans="1:19" ht="14.1" customHeight="1">
      <c r="A685" s="27" t="s">
        <v>3852</v>
      </c>
      <c r="B685" s="27" t="s">
        <v>180</v>
      </c>
      <c r="C685" s="27" t="s">
        <v>300</v>
      </c>
      <c r="D685" s="27" t="s">
        <v>172</v>
      </c>
      <c r="E685" s="28">
        <v>66141.87</v>
      </c>
      <c r="F685" s="27" t="s">
        <v>4073</v>
      </c>
      <c r="G685" s="48"/>
      <c r="H685" s="47" t="str">
        <f t="shared" si="30"/>
        <v>CARIBE</v>
      </c>
      <c r="I685" s="6">
        <f t="shared" si="31"/>
        <v>65872.78833333333</v>
      </c>
      <c r="J685" s="47">
        <f t="shared" si="32"/>
        <v>65872.78833333333</v>
      </c>
      <c r="L685" s="44"/>
      <c r="M685" s="44"/>
      <c r="N685" s="44"/>
      <c r="O685" s="44"/>
      <c r="P685" s="44"/>
      <c r="Q685" s="44"/>
      <c r="R685" s="44"/>
      <c r="S685" s="44"/>
    </row>
    <row r="686" spans="1:19" ht="14.1" customHeight="1">
      <c r="A686" s="27" t="s">
        <v>3852</v>
      </c>
      <c r="B686" s="27" t="s">
        <v>180</v>
      </c>
      <c r="C686" s="27" t="s">
        <v>242</v>
      </c>
      <c r="D686" s="27" t="s">
        <v>172</v>
      </c>
      <c r="E686" s="28">
        <v>29709.31</v>
      </c>
      <c r="F686" s="27" t="s">
        <v>4074</v>
      </c>
      <c r="G686" s="48"/>
      <c r="H686" s="47" t="str">
        <f t="shared" si="30"/>
        <v>CARIBE</v>
      </c>
      <c r="I686" s="6">
        <f t="shared" si="31"/>
        <v>29709.31</v>
      </c>
      <c r="J686" s="47">
        <f t="shared" si="32"/>
        <v>29709.31</v>
      </c>
      <c r="L686" s="44"/>
      <c r="M686" s="44"/>
      <c r="N686" s="44"/>
      <c r="O686" s="44"/>
      <c r="P686" s="44"/>
      <c r="Q686" s="44"/>
      <c r="R686" s="44"/>
      <c r="S686" s="44"/>
    </row>
    <row r="687" spans="1:19" ht="14.1" customHeight="1">
      <c r="A687" s="27" t="s">
        <v>3852</v>
      </c>
      <c r="B687" s="27" t="s">
        <v>180</v>
      </c>
      <c r="C687" s="27" t="s">
        <v>254</v>
      </c>
      <c r="D687" s="27" t="s">
        <v>172</v>
      </c>
      <c r="E687" s="28">
        <v>146171.37</v>
      </c>
      <c r="F687" s="27" t="s">
        <v>4073</v>
      </c>
      <c r="G687" s="48"/>
      <c r="H687" s="47" t="str">
        <f t="shared" si="30"/>
        <v>CARIBE</v>
      </c>
      <c r="I687" s="6">
        <f t="shared" si="31"/>
        <v>146171.37</v>
      </c>
      <c r="J687" s="47">
        <f t="shared" si="32"/>
        <v>146171.37</v>
      </c>
      <c r="L687" s="44"/>
      <c r="M687" s="44"/>
      <c r="N687" s="44"/>
      <c r="O687" s="44"/>
      <c r="P687" s="44"/>
      <c r="Q687" s="44"/>
      <c r="R687" s="44"/>
      <c r="S687" s="44"/>
    </row>
    <row r="688" spans="1:19" ht="14.1" customHeight="1">
      <c r="A688" s="27" t="s">
        <v>3852</v>
      </c>
      <c r="B688" s="27" t="s">
        <v>180</v>
      </c>
      <c r="C688" s="27" t="s">
        <v>305</v>
      </c>
      <c r="D688" s="27" t="s">
        <v>172</v>
      </c>
      <c r="E688" s="28">
        <v>72327.89</v>
      </c>
      <c r="F688" s="27" t="s">
        <v>4073</v>
      </c>
      <c r="G688" s="48"/>
      <c r="H688" s="47" t="str">
        <f t="shared" si="30"/>
        <v>CARIBE</v>
      </c>
      <c r="I688" s="6">
        <f t="shared" si="31"/>
        <v>72653.15833333334</v>
      </c>
      <c r="J688" s="47">
        <f t="shared" si="32"/>
        <v>72653.15833333334</v>
      </c>
      <c r="L688" s="44"/>
      <c r="M688" s="44"/>
      <c r="N688" s="44"/>
      <c r="O688" s="44"/>
      <c r="P688" s="44"/>
      <c r="Q688" s="44"/>
      <c r="R688" s="44"/>
      <c r="S688" s="44"/>
    </row>
    <row r="689" spans="1:19" ht="14.1" customHeight="1">
      <c r="A689" s="27" t="s">
        <v>3852</v>
      </c>
      <c r="B689" s="27" t="s">
        <v>180</v>
      </c>
      <c r="C689" s="27" t="s">
        <v>297</v>
      </c>
      <c r="D689" s="27" t="s">
        <v>172</v>
      </c>
      <c r="E689" s="28">
        <v>149375.29999999999</v>
      </c>
      <c r="F689" s="27" t="s">
        <v>4073</v>
      </c>
      <c r="G689" s="48"/>
      <c r="H689" s="47" t="str">
        <f t="shared" si="30"/>
        <v>CARIBE</v>
      </c>
      <c r="I689" s="6">
        <f t="shared" si="31"/>
        <v>149375.30000000002</v>
      </c>
      <c r="J689" s="47">
        <f t="shared" si="32"/>
        <v>149375.30000000002</v>
      </c>
      <c r="L689" s="44"/>
      <c r="M689" s="44"/>
      <c r="N689" s="44"/>
      <c r="O689" s="44"/>
      <c r="P689" s="44"/>
      <c r="Q689" s="44"/>
      <c r="R689" s="44"/>
      <c r="S689" s="44"/>
    </row>
    <row r="690" spans="1:19" ht="14.1" customHeight="1">
      <c r="A690" s="27" t="s">
        <v>3852</v>
      </c>
      <c r="B690" s="27" t="s">
        <v>180</v>
      </c>
      <c r="C690" s="27" t="s">
        <v>314</v>
      </c>
      <c r="D690" s="27" t="s">
        <v>172</v>
      </c>
      <c r="E690" s="28">
        <v>28103.200000000001</v>
      </c>
      <c r="F690" s="27" t="s">
        <v>4073</v>
      </c>
      <c r="G690" s="48"/>
      <c r="H690" s="47" t="str">
        <f t="shared" si="30"/>
        <v>CARIBE</v>
      </c>
      <c r="I690" s="6">
        <f t="shared" si="31"/>
        <v>28103.200000000001</v>
      </c>
      <c r="J690" s="47">
        <f t="shared" si="32"/>
        <v>28103.200000000001</v>
      </c>
      <c r="L690" s="44"/>
      <c r="M690" s="44"/>
      <c r="N690" s="44"/>
      <c r="O690" s="44"/>
      <c r="P690" s="44"/>
      <c r="Q690" s="44"/>
      <c r="R690" s="44"/>
      <c r="S690" s="44"/>
    </row>
    <row r="691" spans="1:19" ht="14.1" customHeight="1">
      <c r="A691" s="27" t="s">
        <v>3852</v>
      </c>
      <c r="B691" s="27" t="s">
        <v>180</v>
      </c>
      <c r="C691" s="27" t="s">
        <v>182</v>
      </c>
      <c r="D691" s="27" t="s">
        <v>172</v>
      </c>
      <c r="E691" s="28">
        <v>151029.59</v>
      </c>
      <c r="F691" s="27" t="s">
        <v>4073</v>
      </c>
      <c r="G691" s="48"/>
      <c r="H691" s="47" t="str">
        <f t="shared" si="30"/>
        <v>CARIBE</v>
      </c>
      <c r="I691" s="6">
        <f t="shared" si="31"/>
        <v>151029.59</v>
      </c>
      <c r="J691" s="47">
        <f t="shared" si="32"/>
        <v>151029.59</v>
      </c>
      <c r="L691" s="44"/>
      <c r="M691" s="44"/>
      <c r="N691" s="44"/>
      <c r="O691" s="44"/>
      <c r="P691" s="44"/>
      <c r="Q691" s="44"/>
      <c r="R691" s="44"/>
      <c r="S691" s="44"/>
    </row>
    <row r="692" spans="1:19" ht="14.1" customHeight="1">
      <c r="A692" s="27" t="s">
        <v>3853</v>
      </c>
      <c r="B692" s="27" t="s">
        <v>4072</v>
      </c>
      <c r="C692" s="27" t="s">
        <v>316</v>
      </c>
      <c r="D692" s="27" t="s">
        <v>172</v>
      </c>
      <c r="E692" s="28">
        <v>46378.17</v>
      </c>
      <c r="F692" s="27" t="s">
        <v>4073</v>
      </c>
      <c r="G692" s="48"/>
      <c r="H692" s="47" t="str">
        <f t="shared" si="30"/>
        <v>ANDINA</v>
      </c>
      <c r="I692" s="6">
        <f t="shared" si="31"/>
        <v>46393.717272727263</v>
      </c>
      <c r="J692" s="47">
        <f t="shared" si="32"/>
        <v>46393.717272727263</v>
      </c>
      <c r="L692" s="46"/>
      <c r="M692" s="46"/>
      <c r="N692" s="46"/>
      <c r="O692" s="46"/>
      <c r="P692" s="46"/>
      <c r="Q692" s="46"/>
      <c r="R692" s="46"/>
      <c r="S692" s="46"/>
    </row>
    <row r="693" spans="1:19">
      <c r="A693" s="27" t="s">
        <v>3853</v>
      </c>
      <c r="B693" s="27" t="s">
        <v>137</v>
      </c>
      <c r="C693" s="27" t="s">
        <v>291</v>
      </c>
      <c r="D693" s="27" t="s">
        <v>172</v>
      </c>
      <c r="E693" s="28">
        <v>26734.85</v>
      </c>
      <c r="F693" s="27" t="s">
        <v>4074</v>
      </c>
      <c r="G693" s="48"/>
      <c r="H693" s="47" t="str">
        <f t="shared" si="30"/>
        <v>ANDINA</v>
      </c>
      <c r="I693" s="6">
        <f t="shared" si="31"/>
        <v>26734.85</v>
      </c>
      <c r="J693" s="47">
        <f t="shared" si="32"/>
        <v>26734.85</v>
      </c>
    </row>
    <row r="694" spans="1:19">
      <c r="A694" s="27" t="s">
        <v>3853</v>
      </c>
      <c r="B694" s="27" t="s">
        <v>137</v>
      </c>
      <c r="C694" s="27" t="s">
        <v>243</v>
      </c>
      <c r="D694" s="27" t="s">
        <v>172</v>
      </c>
      <c r="E694" s="28">
        <v>21754.73</v>
      </c>
      <c r="F694" s="27" t="s">
        <v>4073</v>
      </c>
      <c r="G694" s="48"/>
      <c r="H694" s="47" t="str">
        <f t="shared" si="30"/>
        <v>ANDINA</v>
      </c>
      <c r="I694" s="6">
        <f t="shared" si="31"/>
        <v>21924.077272727274</v>
      </c>
      <c r="J694" s="47">
        <f t="shared" si="32"/>
        <v>21924.077272727274</v>
      </c>
    </row>
    <row r="695" spans="1:19">
      <c r="A695" s="27" t="s">
        <v>3853</v>
      </c>
      <c r="B695" s="27" t="s">
        <v>137</v>
      </c>
      <c r="C695" s="27" t="s">
        <v>237</v>
      </c>
      <c r="D695" s="27" t="s">
        <v>172</v>
      </c>
      <c r="E695" s="28">
        <v>28825</v>
      </c>
      <c r="F695" s="27" t="s">
        <v>4074</v>
      </c>
      <c r="G695" s="48"/>
      <c r="H695" s="47" t="str">
        <f t="shared" si="30"/>
        <v>ANDINA</v>
      </c>
      <c r="I695" s="6">
        <f t="shared" si="31"/>
        <v>28825</v>
      </c>
      <c r="J695" s="47">
        <f t="shared" si="32"/>
        <v>28825</v>
      </c>
    </row>
    <row r="696" spans="1:19">
      <c r="A696" s="27" t="s">
        <v>3853</v>
      </c>
      <c r="B696" s="27" t="s">
        <v>137</v>
      </c>
      <c r="C696" s="27" t="s">
        <v>246</v>
      </c>
      <c r="D696" s="27" t="s">
        <v>172</v>
      </c>
      <c r="E696" s="28">
        <v>65250.53</v>
      </c>
      <c r="F696" s="27" t="s">
        <v>4073</v>
      </c>
      <c r="G696" s="48"/>
      <c r="H696" s="47" t="str">
        <f t="shared" si="30"/>
        <v>ANDINA</v>
      </c>
      <c r="I696" s="6">
        <f t="shared" si="31"/>
        <v>63733.286363636376</v>
      </c>
      <c r="J696" s="47">
        <f t="shared" si="32"/>
        <v>63733.286363636376</v>
      </c>
    </row>
    <row r="697" spans="1:19">
      <c r="A697" s="27" t="s">
        <v>3853</v>
      </c>
      <c r="B697" s="27" t="s">
        <v>170</v>
      </c>
      <c r="C697" s="27" t="s">
        <v>259</v>
      </c>
      <c r="D697" s="27" t="s">
        <v>172</v>
      </c>
      <c r="E697" s="28">
        <v>293348.89</v>
      </c>
      <c r="F697" s="27" t="s">
        <v>4074</v>
      </c>
      <c r="G697" s="48"/>
      <c r="H697" s="47" t="str">
        <f t="shared" si="30"/>
        <v>ANDINA</v>
      </c>
      <c r="I697" s="6">
        <f t="shared" si="31"/>
        <v>293348.89</v>
      </c>
      <c r="J697" s="47">
        <f t="shared" si="32"/>
        <v>293348.89</v>
      </c>
    </row>
    <row r="698" spans="1:19">
      <c r="A698" s="27" t="s">
        <v>3853</v>
      </c>
      <c r="B698" s="27" t="s">
        <v>170</v>
      </c>
      <c r="C698" s="27" t="s">
        <v>276</v>
      </c>
      <c r="D698" s="27" t="s">
        <v>172</v>
      </c>
      <c r="E698" s="28">
        <v>83726.98</v>
      </c>
      <c r="F698" s="27" t="s">
        <v>4073</v>
      </c>
      <c r="G698" s="48"/>
      <c r="H698" s="47" t="str">
        <f t="shared" si="30"/>
        <v>ANDINA</v>
      </c>
      <c r="I698" s="6">
        <f t="shared" si="31"/>
        <v>83734.880909090891</v>
      </c>
      <c r="J698" s="47">
        <f t="shared" si="32"/>
        <v>83734.880909090891</v>
      </c>
    </row>
    <row r="699" spans="1:19">
      <c r="A699" s="27" t="s">
        <v>3853</v>
      </c>
      <c r="B699" s="27" t="s">
        <v>170</v>
      </c>
      <c r="C699" s="27" t="s">
        <v>240</v>
      </c>
      <c r="D699" s="27" t="s">
        <v>172</v>
      </c>
      <c r="E699" s="28">
        <v>23574.34</v>
      </c>
      <c r="F699" s="27" t="s">
        <v>4073</v>
      </c>
      <c r="G699" s="48"/>
      <c r="H699" s="47" t="str">
        <f t="shared" si="30"/>
        <v>ANDINA</v>
      </c>
      <c r="I699" s="6">
        <f t="shared" si="31"/>
        <v>24304.165454545455</v>
      </c>
      <c r="J699" s="47">
        <f t="shared" si="32"/>
        <v>24304.165454545455</v>
      </c>
    </row>
    <row r="700" spans="1:19">
      <c r="A700" s="27" t="s">
        <v>3853</v>
      </c>
      <c r="B700" s="27" t="s">
        <v>170</v>
      </c>
      <c r="C700" s="27" t="s">
        <v>251</v>
      </c>
      <c r="D700" s="27" t="s">
        <v>226</v>
      </c>
      <c r="E700" s="28">
        <v>61445.54</v>
      </c>
      <c r="F700" s="27" t="s">
        <v>4073</v>
      </c>
      <c r="G700" s="48"/>
      <c r="H700" s="47" t="str">
        <f t="shared" si="30"/>
        <v>ANDINA</v>
      </c>
      <c r="I700" s="6">
        <f t="shared" si="31"/>
        <v>61410.171818181821</v>
      </c>
      <c r="J700" s="47">
        <f t="shared" si="32"/>
        <v>61410.171818181821</v>
      </c>
    </row>
    <row r="701" spans="1:19">
      <c r="A701" s="27" t="s">
        <v>3853</v>
      </c>
      <c r="B701" s="27" t="s">
        <v>170</v>
      </c>
      <c r="C701" s="27" t="s">
        <v>256</v>
      </c>
      <c r="D701" s="27" t="s">
        <v>172</v>
      </c>
      <c r="E701" s="28">
        <v>31618.26</v>
      </c>
      <c r="F701" s="27" t="s">
        <v>4074</v>
      </c>
      <c r="G701" s="48"/>
      <c r="H701" s="47" t="str">
        <f t="shared" si="30"/>
        <v>ANDINA</v>
      </c>
      <c r="I701" s="6">
        <f t="shared" si="31"/>
        <v>31618.26</v>
      </c>
      <c r="J701" s="47">
        <f t="shared" si="32"/>
        <v>31618.26</v>
      </c>
    </row>
    <row r="702" spans="1:19">
      <c r="A702" s="27" t="s">
        <v>3853</v>
      </c>
      <c r="B702" s="27" t="s">
        <v>170</v>
      </c>
      <c r="C702" s="27" t="s">
        <v>311</v>
      </c>
      <c r="D702" s="27" t="s">
        <v>172</v>
      </c>
      <c r="E702" s="28">
        <v>43793.83</v>
      </c>
      <c r="F702" s="27" t="s">
        <v>4074</v>
      </c>
      <c r="G702" s="48"/>
      <c r="H702" s="47" t="str">
        <f t="shared" si="30"/>
        <v>ANDINA</v>
      </c>
      <c r="I702" s="6">
        <f t="shared" si="31"/>
        <v>43793.83</v>
      </c>
      <c r="J702" s="47">
        <f t="shared" si="32"/>
        <v>43793.83</v>
      </c>
    </row>
    <row r="703" spans="1:19">
      <c r="A703" s="27" t="s">
        <v>3853</v>
      </c>
      <c r="B703" s="27" t="s">
        <v>170</v>
      </c>
      <c r="C703" s="27" t="s">
        <v>171</v>
      </c>
      <c r="D703" s="27" t="s">
        <v>172</v>
      </c>
      <c r="E703" s="28">
        <v>115879.72</v>
      </c>
      <c r="F703" s="27" t="s">
        <v>4073</v>
      </c>
      <c r="G703" s="48"/>
      <c r="H703" s="47" t="str">
        <f t="shared" si="30"/>
        <v>ANDINA</v>
      </c>
      <c r="I703" s="6">
        <f t="shared" si="31"/>
        <v>117943.50181818182</v>
      </c>
      <c r="J703" s="47">
        <f t="shared" si="32"/>
        <v>117943.50181818182</v>
      </c>
    </row>
    <row r="704" spans="1:19">
      <c r="A704" s="27" t="s">
        <v>3853</v>
      </c>
      <c r="B704" s="27" t="s">
        <v>170</v>
      </c>
      <c r="C704" s="27" t="s">
        <v>252</v>
      </c>
      <c r="D704" s="27" t="s">
        <v>226</v>
      </c>
      <c r="E704" s="28">
        <v>23043.89</v>
      </c>
      <c r="F704" s="27" t="s">
        <v>4074</v>
      </c>
      <c r="G704" s="48"/>
      <c r="H704" s="47" t="str">
        <f t="shared" si="30"/>
        <v>ANDINA</v>
      </c>
      <c r="I704" s="6">
        <f t="shared" si="31"/>
        <v>23043.89</v>
      </c>
      <c r="J704" s="47">
        <f t="shared" si="32"/>
        <v>23043.89</v>
      </c>
    </row>
    <row r="705" spans="1:10">
      <c r="A705" s="27" t="s">
        <v>3853</v>
      </c>
      <c r="B705" s="27" t="s">
        <v>170</v>
      </c>
      <c r="C705" s="27" t="s">
        <v>296</v>
      </c>
      <c r="D705" s="27" t="s">
        <v>226</v>
      </c>
      <c r="E705" s="28">
        <v>23167.62</v>
      </c>
      <c r="F705" s="27" t="s">
        <v>4073</v>
      </c>
      <c r="G705" s="48"/>
      <c r="H705" s="47" t="str">
        <f t="shared" si="30"/>
        <v>ANDINA</v>
      </c>
      <c r="I705" s="6">
        <f t="shared" si="31"/>
        <v>23368.076363636363</v>
      </c>
      <c r="J705" s="47">
        <f t="shared" si="32"/>
        <v>23368.076363636363</v>
      </c>
    </row>
    <row r="706" spans="1:10">
      <c r="A706" s="27" t="s">
        <v>3853</v>
      </c>
      <c r="B706" s="27" t="s">
        <v>170</v>
      </c>
      <c r="C706" s="27" t="s">
        <v>173</v>
      </c>
      <c r="D706" s="27" t="s">
        <v>172</v>
      </c>
      <c r="E706" s="28">
        <v>162626.43</v>
      </c>
      <c r="F706" s="27" t="s">
        <v>4074</v>
      </c>
      <c r="G706" s="48"/>
      <c r="H706" s="47" t="str">
        <f t="shared" ref="H706:H769" si="33">IF(OR(A706="Antioquia",A706="Bogotá, D.C.",A706="Boyacá",A706="Cundinamarca",A706="Caldas",A706="Risaralda",A706="Quindío",A706="Tolima",A706="Huila",A706="Santander",A706="Norte de Santander"),"ANDINA",
IF(OR(A706="Atlántico",A706="Bolívar",A706="Cesar",A706="Córdoba",A706="Sucre",A706="Magdalena"),"CARIBE",
IF(OR(A706="Valle del Cauca",A706="Cauca",A706="Nariño"),"PACIFICO",
IF(OR(A706="Meta",A706="Casanare",A706="Arauca"),"ORINOQUIA",
"AMAZONIA"))))</f>
        <v>ANDINA</v>
      </c>
      <c r="I706" s="6">
        <f t="shared" ref="I706:I769" si="34">IF(F706="Departamental",E706,
AVERAGEIFS($E:$E,$H:$H,H706,$B:$B,B706,$C:$C,C706))</f>
        <v>162626.43</v>
      </c>
      <c r="J706" s="47">
        <f t="shared" si="32"/>
        <v>162626.43</v>
      </c>
    </row>
    <row r="707" spans="1:10">
      <c r="A707" s="27" t="s">
        <v>3853</v>
      </c>
      <c r="B707" s="27" t="s">
        <v>170</v>
      </c>
      <c r="C707" s="27" t="s">
        <v>225</v>
      </c>
      <c r="D707" s="27" t="s">
        <v>226</v>
      </c>
      <c r="E707" s="28">
        <v>37977.24</v>
      </c>
      <c r="F707" s="27" t="s">
        <v>4073</v>
      </c>
      <c r="G707" s="48"/>
      <c r="H707" s="47" t="str">
        <f t="shared" si="33"/>
        <v>ANDINA</v>
      </c>
      <c r="I707" s="6">
        <f t="shared" si="34"/>
        <v>38415.336363636357</v>
      </c>
      <c r="J707" s="47">
        <f t="shared" ref="J707:J770" si="35">IF(G707&lt;&gt;"",G707,I707)</f>
        <v>38415.336363636357</v>
      </c>
    </row>
    <row r="708" spans="1:10">
      <c r="A708" s="27" t="s">
        <v>3853</v>
      </c>
      <c r="B708" s="27" t="s">
        <v>176</v>
      </c>
      <c r="C708" s="27" t="s">
        <v>262</v>
      </c>
      <c r="D708" s="27" t="s">
        <v>172</v>
      </c>
      <c r="E708" s="28">
        <v>17968.169999999998</v>
      </c>
      <c r="F708" s="27" t="s">
        <v>4074</v>
      </c>
      <c r="G708" s="48"/>
      <c r="H708" s="47" t="str">
        <f t="shared" si="33"/>
        <v>ANDINA</v>
      </c>
      <c r="I708" s="6">
        <f t="shared" si="34"/>
        <v>17968.169999999998</v>
      </c>
      <c r="J708" s="47">
        <f t="shared" si="35"/>
        <v>17968.169999999998</v>
      </c>
    </row>
    <row r="709" spans="1:10">
      <c r="A709" s="27" t="s">
        <v>3853</v>
      </c>
      <c r="B709" s="27" t="s">
        <v>176</v>
      </c>
      <c r="C709" s="27" t="s">
        <v>253</v>
      </c>
      <c r="D709" s="27" t="s">
        <v>172</v>
      </c>
      <c r="E709" s="28">
        <v>24023.33</v>
      </c>
      <c r="F709" s="27" t="s">
        <v>4073</v>
      </c>
      <c r="G709" s="48"/>
      <c r="H709" s="47" t="str">
        <f t="shared" si="33"/>
        <v>ANDINA</v>
      </c>
      <c r="I709" s="6">
        <f t="shared" si="34"/>
        <v>25145.120909090914</v>
      </c>
      <c r="J709" s="47">
        <f t="shared" si="35"/>
        <v>25145.120909090914</v>
      </c>
    </row>
    <row r="710" spans="1:10">
      <c r="A710" s="27" t="s">
        <v>3853</v>
      </c>
      <c r="B710" s="27" t="s">
        <v>176</v>
      </c>
      <c r="C710" s="27" t="s">
        <v>177</v>
      </c>
      <c r="D710" s="27" t="s">
        <v>172</v>
      </c>
      <c r="E710" s="28">
        <v>21334.62</v>
      </c>
      <c r="F710" s="27" t="s">
        <v>4074</v>
      </c>
      <c r="G710" s="48"/>
      <c r="H710" s="47" t="str">
        <f t="shared" si="33"/>
        <v>ANDINA</v>
      </c>
      <c r="I710" s="6">
        <f t="shared" si="34"/>
        <v>21334.62</v>
      </c>
      <c r="J710" s="47">
        <f t="shared" si="35"/>
        <v>21334.62</v>
      </c>
    </row>
    <row r="711" spans="1:10">
      <c r="A711" s="27" t="s">
        <v>3853</v>
      </c>
      <c r="B711" s="27" t="s">
        <v>176</v>
      </c>
      <c r="C711" s="27" t="s">
        <v>231</v>
      </c>
      <c r="D711" s="27" t="s">
        <v>172</v>
      </c>
      <c r="E711" s="28">
        <v>23564.7</v>
      </c>
      <c r="F711" s="27" t="s">
        <v>4074</v>
      </c>
      <c r="G711" s="48"/>
      <c r="H711" s="47" t="str">
        <f t="shared" si="33"/>
        <v>ANDINA</v>
      </c>
      <c r="I711" s="6">
        <f t="shared" si="34"/>
        <v>23564.7</v>
      </c>
      <c r="J711" s="47">
        <f t="shared" si="35"/>
        <v>23564.7</v>
      </c>
    </row>
    <row r="712" spans="1:10">
      <c r="A712" s="27" t="s">
        <v>3853</v>
      </c>
      <c r="B712" s="27" t="s">
        <v>180</v>
      </c>
      <c r="C712" s="27" t="s">
        <v>181</v>
      </c>
      <c r="D712" s="27" t="s">
        <v>172</v>
      </c>
      <c r="E712" s="28">
        <v>34056.25</v>
      </c>
      <c r="F712" s="27" t="s">
        <v>4073</v>
      </c>
      <c r="G712" s="48"/>
      <c r="H712" s="47" t="str">
        <f t="shared" si="33"/>
        <v>ANDINA</v>
      </c>
      <c r="I712" s="6">
        <f t="shared" si="34"/>
        <v>33820.26545454545</v>
      </c>
      <c r="J712" s="47">
        <f t="shared" si="35"/>
        <v>33820.26545454545</v>
      </c>
    </row>
    <row r="713" spans="1:10">
      <c r="A713" s="27" t="s">
        <v>3853</v>
      </c>
      <c r="B713" s="27" t="s">
        <v>180</v>
      </c>
      <c r="C713" s="27" t="s">
        <v>263</v>
      </c>
      <c r="D713" s="27" t="s">
        <v>172</v>
      </c>
      <c r="E713" s="28">
        <v>211885.51</v>
      </c>
      <c r="F713" s="27" t="s">
        <v>4074</v>
      </c>
      <c r="G713" s="48"/>
      <c r="H713" s="47" t="str">
        <f t="shared" si="33"/>
        <v>ANDINA</v>
      </c>
      <c r="I713" s="6">
        <f t="shared" si="34"/>
        <v>211885.51</v>
      </c>
      <c r="J713" s="47">
        <f t="shared" si="35"/>
        <v>211885.51</v>
      </c>
    </row>
    <row r="714" spans="1:10">
      <c r="A714" s="27" t="s">
        <v>3853</v>
      </c>
      <c r="B714" s="27" t="s">
        <v>180</v>
      </c>
      <c r="C714" s="27" t="s">
        <v>277</v>
      </c>
      <c r="D714" s="27" t="s">
        <v>172</v>
      </c>
      <c r="E714" s="28">
        <v>90689.07</v>
      </c>
      <c r="F714" s="27" t="s">
        <v>4073</v>
      </c>
      <c r="G714" s="48"/>
      <c r="H714" s="47" t="str">
        <f t="shared" si="33"/>
        <v>ANDINA</v>
      </c>
      <c r="I714" s="6">
        <f t="shared" si="34"/>
        <v>88565.010909090925</v>
      </c>
      <c r="J714" s="47">
        <f t="shared" si="35"/>
        <v>88565.010909090925</v>
      </c>
    </row>
    <row r="715" spans="1:10">
      <c r="A715" s="27" t="s">
        <v>3853</v>
      </c>
      <c r="B715" s="27" t="s">
        <v>180</v>
      </c>
      <c r="C715" s="27" t="s">
        <v>300</v>
      </c>
      <c r="D715" s="27" t="s">
        <v>172</v>
      </c>
      <c r="E715" s="28">
        <v>66141.87</v>
      </c>
      <c r="F715" s="27" t="s">
        <v>4073</v>
      </c>
      <c r="G715" s="48"/>
      <c r="H715" s="47" t="str">
        <f t="shared" si="33"/>
        <v>ANDINA</v>
      </c>
      <c r="I715" s="6">
        <f t="shared" si="34"/>
        <v>67595.050909090904</v>
      </c>
      <c r="J715" s="47">
        <f t="shared" si="35"/>
        <v>67595.050909090904</v>
      </c>
    </row>
    <row r="716" spans="1:10">
      <c r="A716" s="27" t="s">
        <v>3853</v>
      </c>
      <c r="B716" s="27" t="s">
        <v>180</v>
      </c>
      <c r="C716" s="27" t="s">
        <v>242</v>
      </c>
      <c r="D716" s="27" t="s">
        <v>172</v>
      </c>
      <c r="E716" s="28">
        <v>30379.75</v>
      </c>
      <c r="F716" s="27" t="s">
        <v>4074</v>
      </c>
      <c r="G716" s="48"/>
      <c r="H716" s="47" t="str">
        <f t="shared" si="33"/>
        <v>ANDINA</v>
      </c>
      <c r="I716" s="6">
        <f t="shared" si="34"/>
        <v>30379.75</v>
      </c>
      <c r="J716" s="47">
        <f t="shared" si="35"/>
        <v>30379.75</v>
      </c>
    </row>
    <row r="717" spans="1:10">
      <c r="A717" s="27" t="s">
        <v>3853</v>
      </c>
      <c r="B717" s="27" t="s">
        <v>180</v>
      </c>
      <c r="C717" s="27" t="s">
        <v>254</v>
      </c>
      <c r="D717" s="27" t="s">
        <v>172</v>
      </c>
      <c r="E717" s="28">
        <v>147968.46</v>
      </c>
      <c r="F717" s="27" t="s">
        <v>4074</v>
      </c>
      <c r="G717" s="48"/>
      <c r="H717" s="47" t="str">
        <f t="shared" si="33"/>
        <v>ANDINA</v>
      </c>
      <c r="I717" s="6">
        <f t="shared" si="34"/>
        <v>147968.46</v>
      </c>
      <c r="J717" s="47">
        <f t="shared" si="35"/>
        <v>147968.46</v>
      </c>
    </row>
    <row r="718" spans="1:10">
      <c r="A718" s="27" t="s">
        <v>3853</v>
      </c>
      <c r="B718" s="27" t="s">
        <v>180</v>
      </c>
      <c r="C718" s="27" t="s">
        <v>305</v>
      </c>
      <c r="D718" s="27" t="s">
        <v>172</v>
      </c>
      <c r="E718" s="28">
        <v>72327.89</v>
      </c>
      <c r="F718" s="27" t="s">
        <v>4073</v>
      </c>
      <c r="G718" s="48"/>
      <c r="H718" s="47" t="str">
        <f t="shared" si="33"/>
        <v>ANDINA</v>
      </c>
      <c r="I718" s="6">
        <f t="shared" si="34"/>
        <v>72524.681818181823</v>
      </c>
      <c r="J718" s="47">
        <f t="shared" si="35"/>
        <v>72524.681818181823</v>
      </c>
    </row>
    <row r="719" spans="1:10">
      <c r="A719" s="27" t="s">
        <v>3853</v>
      </c>
      <c r="B719" s="27" t="s">
        <v>180</v>
      </c>
      <c r="C719" s="27" t="s">
        <v>297</v>
      </c>
      <c r="D719" s="27" t="s">
        <v>172</v>
      </c>
      <c r="E719" s="28">
        <v>136614.79999999999</v>
      </c>
      <c r="F719" s="27" t="s">
        <v>4074</v>
      </c>
      <c r="G719" s="48"/>
      <c r="H719" s="47" t="str">
        <f t="shared" si="33"/>
        <v>ANDINA</v>
      </c>
      <c r="I719" s="6">
        <f t="shared" si="34"/>
        <v>136614.79999999999</v>
      </c>
      <c r="J719" s="47">
        <f t="shared" si="35"/>
        <v>136614.79999999999</v>
      </c>
    </row>
    <row r="720" spans="1:10">
      <c r="A720" s="27" t="s">
        <v>3853</v>
      </c>
      <c r="B720" s="27" t="s">
        <v>180</v>
      </c>
      <c r="C720" s="27" t="s">
        <v>314</v>
      </c>
      <c r="D720" s="27" t="s">
        <v>172</v>
      </c>
      <c r="E720" s="28">
        <v>27632.13</v>
      </c>
      <c r="F720" s="27" t="s">
        <v>4074</v>
      </c>
      <c r="G720" s="48"/>
      <c r="H720" s="47" t="str">
        <f t="shared" si="33"/>
        <v>ANDINA</v>
      </c>
      <c r="I720" s="6">
        <f t="shared" si="34"/>
        <v>27632.13</v>
      </c>
      <c r="J720" s="47">
        <f t="shared" si="35"/>
        <v>27632.13</v>
      </c>
    </row>
    <row r="721" spans="1:10">
      <c r="A721" s="27" t="s">
        <v>3853</v>
      </c>
      <c r="B721" s="27" t="s">
        <v>180</v>
      </c>
      <c r="C721" s="27" t="s">
        <v>182</v>
      </c>
      <c r="D721" s="27" t="s">
        <v>172</v>
      </c>
      <c r="E721" s="28">
        <v>163625.93</v>
      </c>
      <c r="F721" s="27" t="s">
        <v>4074</v>
      </c>
      <c r="G721" s="48"/>
      <c r="H721" s="47" t="str">
        <f t="shared" si="33"/>
        <v>ANDINA</v>
      </c>
      <c r="I721" s="6">
        <f t="shared" si="34"/>
        <v>163625.93</v>
      </c>
      <c r="J721" s="47">
        <f t="shared" si="35"/>
        <v>163625.93</v>
      </c>
    </row>
    <row r="722" spans="1:10">
      <c r="A722" s="27" t="s">
        <v>3854</v>
      </c>
      <c r="B722" s="27" t="s">
        <v>4072</v>
      </c>
      <c r="C722" s="27" t="s">
        <v>316</v>
      </c>
      <c r="D722" s="27" t="s">
        <v>172</v>
      </c>
      <c r="E722" s="28">
        <v>46448.61</v>
      </c>
      <c r="F722" s="27" t="s">
        <v>4074</v>
      </c>
      <c r="G722" s="48"/>
      <c r="H722" s="47" t="str">
        <f t="shared" si="33"/>
        <v>PACIFICO</v>
      </c>
      <c r="I722" s="6">
        <f t="shared" si="34"/>
        <v>46448.61</v>
      </c>
      <c r="J722" s="47">
        <f t="shared" si="35"/>
        <v>46448.61</v>
      </c>
    </row>
    <row r="723" spans="1:10">
      <c r="A723" s="27" t="s">
        <v>3854</v>
      </c>
      <c r="B723" s="27" t="s">
        <v>137</v>
      </c>
      <c r="C723" s="27" t="s">
        <v>291</v>
      </c>
      <c r="D723" s="27" t="s">
        <v>172</v>
      </c>
      <c r="E723" s="28">
        <v>22086.61</v>
      </c>
      <c r="F723" s="27" t="s">
        <v>4073</v>
      </c>
      <c r="G723" s="48"/>
      <c r="H723" s="47" t="str">
        <f t="shared" si="33"/>
        <v>PACIFICO</v>
      </c>
      <c r="I723" s="6">
        <f t="shared" si="34"/>
        <v>22086.61</v>
      </c>
      <c r="J723" s="47">
        <f t="shared" si="35"/>
        <v>22086.61</v>
      </c>
    </row>
    <row r="724" spans="1:10">
      <c r="A724" s="27" t="s">
        <v>3854</v>
      </c>
      <c r="B724" s="27" t="s">
        <v>137</v>
      </c>
      <c r="C724" s="27" t="s">
        <v>243</v>
      </c>
      <c r="D724" s="27" t="s">
        <v>172</v>
      </c>
      <c r="E724" s="28">
        <v>21754.73</v>
      </c>
      <c r="F724" s="27" t="s">
        <v>4073</v>
      </c>
      <c r="G724" s="48"/>
      <c r="H724" s="47" t="str">
        <f t="shared" si="33"/>
        <v>PACIFICO</v>
      </c>
      <c r="I724" s="6">
        <f t="shared" si="34"/>
        <v>23239.263333333332</v>
      </c>
      <c r="J724" s="47">
        <f t="shared" si="35"/>
        <v>23239.263333333332</v>
      </c>
    </row>
    <row r="725" spans="1:10">
      <c r="A725" s="27" t="s">
        <v>3854</v>
      </c>
      <c r="B725" s="27" t="s">
        <v>137</v>
      </c>
      <c r="C725" s="27" t="s">
        <v>237</v>
      </c>
      <c r="D725" s="27" t="s">
        <v>172</v>
      </c>
      <c r="E725" s="28">
        <v>26639.58</v>
      </c>
      <c r="F725" s="27" t="s">
        <v>4074</v>
      </c>
      <c r="G725" s="48"/>
      <c r="H725" s="47" t="str">
        <f t="shared" si="33"/>
        <v>PACIFICO</v>
      </c>
      <c r="I725" s="6">
        <f t="shared" si="34"/>
        <v>26639.58</v>
      </c>
      <c r="J725" s="47">
        <f t="shared" si="35"/>
        <v>26639.58</v>
      </c>
    </row>
    <row r="726" spans="1:10">
      <c r="A726" s="27" t="s">
        <v>3854</v>
      </c>
      <c r="B726" s="27" t="s">
        <v>137</v>
      </c>
      <c r="C726" s="27" t="s">
        <v>246</v>
      </c>
      <c r="D726" s="27" t="s">
        <v>172</v>
      </c>
      <c r="E726" s="28">
        <v>65250.53</v>
      </c>
      <c r="F726" s="27" t="s">
        <v>4073</v>
      </c>
      <c r="G726" s="48"/>
      <c r="H726" s="47" t="str">
        <f t="shared" si="33"/>
        <v>PACIFICO</v>
      </c>
      <c r="I726" s="6">
        <f t="shared" si="34"/>
        <v>65250.53</v>
      </c>
      <c r="J726" s="47">
        <f t="shared" si="35"/>
        <v>65250.53</v>
      </c>
    </row>
    <row r="727" spans="1:10">
      <c r="A727" s="27" t="s">
        <v>3854</v>
      </c>
      <c r="B727" s="27" t="s">
        <v>170</v>
      </c>
      <c r="C727" s="27" t="s">
        <v>259</v>
      </c>
      <c r="D727" s="27" t="s">
        <v>172</v>
      </c>
      <c r="E727" s="28">
        <v>307921.71999999997</v>
      </c>
      <c r="F727" s="27" t="s">
        <v>4074</v>
      </c>
      <c r="G727" s="48"/>
      <c r="H727" s="47" t="str">
        <f t="shared" si="33"/>
        <v>PACIFICO</v>
      </c>
      <c r="I727" s="6">
        <f t="shared" si="34"/>
        <v>307921.71999999997</v>
      </c>
      <c r="J727" s="47">
        <f t="shared" si="35"/>
        <v>307921.71999999997</v>
      </c>
    </row>
    <row r="728" spans="1:10">
      <c r="A728" s="27" t="s">
        <v>3854</v>
      </c>
      <c r="B728" s="27" t="s">
        <v>170</v>
      </c>
      <c r="C728" s="27" t="s">
        <v>276</v>
      </c>
      <c r="D728" s="27" t="s">
        <v>172</v>
      </c>
      <c r="E728" s="28">
        <v>83726.98</v>
      </c>
      <c r="F728" s="27" t="s">
        <v>4073</v>
      </c>
      <c r="G728" s="48"/>
      <c r="H728" s="47" t="str">
        <f t="shared" si="33"/>
        <v>PACIFICO</v>
      </c>
      <c r="I728" s="6">
        <f t="shared" si="34"/>
        <v>83726.98</v>
      </c>
      <c r="J728" s="47">
        <f t="shared" si="35"/>
        <v>83726.98</v>
      </c>
    </row>
    <row r="729" spans="1:10">
      <c r="A729" s="27" t="s">
        <v>3854</v>
      </c>
      <c r="B729" s="27" t="s">
        <v>170</v>
      </c>
      <c r="C729" s="27" t="s">
        <v>240</v>
      </c>
      <c r="D729" s="27" t="s">
        <v>172</v>
      </c>
      <c r="E729" s="28">
        <v>23574.34</v>
      </c>
      <c r="F729" s="27" t="s">
        <v>4073</v>
      </c>
      <c r="G729" s="48"/>
      <c r="H729" s="47" t="str">
        <f t="shared" si="33"/>
        <v>PACIFICO</v>
      </c>
      <c r="I729" s="6">
        <f t="shared" si="34"/>
        <v>23397.076666666664</v>
      </c>
      <c r="J729" s="47">
        <f t="shared" si="35"/>
        <v>23397.076666666664</v>
      </c>
    </row>
    <row r="730" spans="1:10">
      <c r="A730" s="27" t="s">
        <v>3854</v>
      </c>
      <c r="B730" s="27" t="s">
        <v>170</v>
      </c>
      <c r="C730" s="27" t="s">
        <v>251</v>
      </c>
      <c r="D730" s="27" t="s">
        <v>226</v>
      </c>
      <c r="E730" s="28">
        <v>61445.54</v>
      </c>
      <c r="F730" s="27" t="s">
        <v>4073</v>
      </c>
      <c r="G730" s="48"/>
      <c r="H730" s="47" t="str">
        <f t="shared" si="33"/>
        <v>PACIFICO</v>
      </c>
      <c r="I730" s="6">
        <f t="shared" si="34"/>
        <v>61445.54</v>
      </c>
      <c r="J730" s="47">
        <f t="shared" si="35"/>
        <v>61445.54</v>
      </c>
    </row>
    <row r="731" spans="1:10">
      <c r="A731" s="27" t="s">
        <v>3854</v>
      </c>
      <c r="B731" s="27" t="s">
        <v>170</v>
      </c>
      <c r="C731" s="27" t="s">
        <v>256</v>
      </c>
      <c r="D731" s="27" t="s">
        <v>172</v>
      </c>
      <c r="E731" s="28">
        <v>29979.41</v>
      </c>
      <c r="F731" s="27" t="s">
        <v>4074</v>
      </c>
      <c r="G731" s="48"/>
      <c r="H731" s="47" t="str">
        <f t="shared" si="33"/>
        <v>PACIFICO</v>
      </c>
      <c r="I731" s="6">
        <f t="shared" si="34"/>
        <v>29979.41</v>
      </c>
      <c r="J731" s="47">
        <f t="shared" si="35"/>
        <v>29979.41</v>
      </c>
    </row>
    <row r="732" spans="1:10">
      <c r="A732" s="27" t="s">
        <v>3854</v>
      </c>
      <c r="B732" s="27" t="s">
        <v>170</v>
      </c>
      <c r="C732" s="27" t="s">
        <v>311</v>
      </c>
      <c r="D732" s="27" t="s">
        <v>172</v>
      </c>
      <c r="E732" s="28">
        <v>46111.25</v>
      </c>
      <c r="F732" s="27" t="s">
        <v>4074</v>
      </c>
      <c r="G732" s="48"/>
      <c r="H732" s="47" t="str">
        <f t="shared" si="33"/>
        <v>PACIFICO</v>
      </c>
      <c r="I732" s="6">
        <f t="shared" si="34"/>
        <v>46111.25</v>
      </c>
      <c r="J732" s="47">
        <f t="shared" si="35"/>
        <v>46111.25</v>
      </c>
    </row>
    <row r="733" spans="1:10">
      <c r="A733" s="27" t="s">
        <v>3854</v>
      </c>
      <c r="B733" s="27" t="s">
        <v>170</v>
      </c>
      <c r="C733" s="27" t="s">
        <v>171</v>
      </c>
      <c r="D733" s="27" t="s">
        <v>172</v>
      </c>
      <c r="E733" s="28">
        <v>115879.72</v>
      </c>
      <c r="F733" s="27" t="s">
        <v>4073</v>
      </c>
      <c r="G733" s="48"/>
      <c r="H733" s="47" t="str">
        <f t="shared" si="33"/>
        <v>PACIFICO</v>
      </c>
      <c r="I733" s="6">
        <f t="shared" si="34"/>
        <v>117146.48</v>
      </c>
      <c r="J733" s="47">
        <f t="shared" si="35"/>
        <v>117146.48</v>
      </c>
    </row>
    <row r="734" spans="1:10">
      <c r="A734" s="27" t="s">
        <v>3854</v>
      </c>
      <c r="B734" s="27" t="s">
        <v>170</v>
      </c>
      <c r="C734" s="27" t="s">
        <v>252</v>
      </c>
      <c r="D734" s="27" t="s">
        <v>226</v>
      </c>
      <c r="E734" s="28">
        <v>23646.67</v>
      </c>
      <c r="F734" s="27" t="s">
        <v>4074</v>
      </c>
      <c r="G734" s="48"/>
      <c r="H734" s="47" t="str">
        <f t="shared" si="33"/>
        <v>PACIFICO</v>
      </c>
      <c r="I734" s="6">
        <f t="shared" si="34"/>
        <v>23646.67</v>
      </c>
      <c r="J734" s="47">
        <f t="shared" si="35"/>
        <v>23646.67</v>
      </c>
    </row>
    <row r="735" spans="1:10">
      <c r="A735" s="27" t="s">
        <v>3854</v>
      </c>
      <c r="B735" s="27" t="s">
        <v>170</v>
      </c>
      <c r="C735" s="27" t="s">
        <v>296</v>
      </c>
      <c r="D735" s="27" t="s">
        <v>226</v>
      </c>
      <c r="E735" s="28">
        <v>23167.62</v>
      </c>
      <c r="F735" s="27" t="s">
        <v>4073</v>
      </c>
      <c r="G735" s="48"/>
      <c r="H735" s="47" t="str">
        <f t="shared" si="33"/>
        <v>PACIFICO</v>
      </c>
      <c r="I735" s="6">
        <f t="shared" si="34"/>
        <v>23098.41333333333</v>
      </c>
      <c r="J735" s="47">
        <f t="shared" si="35"/>
        <v>23098.41333333333</v>
      </c>
    </row>
    <row r="736" spans="1:10">
      <c r="A736" s="27" t="s">
        <v>3854</v>
      </c>
      <c r="B736" s="27" t="s">
        <v>170</v>
      </c>
      <c r="C736" s="27" t="s">
        <v>173</v>
      </c>
      <c r="D736" s="27" t="s">
        <v>172</v>
      </c>
      <c r="E736" s="28">
        <v>162994.17000000001</v>
      </c>
      <c r="F736" s="27" t="s">
        <v>4074</v>
      </c>
      <c r="G736" s="48"/>
      <c r="H736" s="47" t="str">
        <f t="shared" si="33"/>
        <v>PACIFICO</v>
      </c>
      <c r="I736" s="6">
        <f t="shared" si="34"/>
        <v>162994.17000000001</v>
      </c>
      <c r="J736" s="47">
        <f t="shared" si="35"/>
        <v>162994.17000000001</v>
      </c>
    </row>
    <row r="737" spans="1:10">
      <c r="A737" s="27" t="s">
        <v>3854</v>
      </c>
      <c r="B737" s="27" t="s">
        <v>170</v>
      </c>
      <c r="C737" s="27" t="s">
        <v>225</v>
      </c>
      <c r="D737" s="27" t="s">
        <v>226</v>
      </c>
      <c r="E737" s="28">
        <v>39981.67</v>
      </c>
      <c r="F737" s="27" t="s">
        <v>4074</v>
      </c>
      <c r="G737" s="48"/>
      <c r="H737" s="47" t="str">
        <f t="shared" si="33"/>
        <v>PACIFICO</v>
      </c>
      <c r="I737" s="6">
        <f t="shared" si="34"/>
        <v>39981.67</v>
      </c>
      <c r="J737" s="47">
        <f t="shared" si="35"/>
        <v>39981.67</v>
      </c>
    </row>
    <row r="738" spans="1:10">
      <c r="A738" s="27" t="s">
        <v>3854</v>
      </c>
      <c r="B738" s="27" t="s">
        <v>176</v>
      </c>
      <c r="C738" s="27" t="s">
        <v>262</v>
      </c>
      <c r="D738" s="27" t="s">
        <v>172</v>
      </c>
      <c r="E738" s="28">
        <v>18194.59</v>
      </c>
      <c r="F738" s="27" t="s">
        <v>4074</v>
      </c>
      <c r="G738" s="48"/>
      <c r="H738" s="47" t="str">
        <f t="shared" si="33"/>
        <v>PACIFICO</v>
      </c>
      <c r="I738" s="6">
        <f t="shared" si="34"/>
        <v>18194.59</v>
      </c>
      <c r="J738" s="47">
        <f t="shared" si="35"/>
        <v>18194.59</v>
      </c>
    </row>
    <row r="739" spans="1:10">
      <c r="A739" s="27" t="s">
        <v>3854</v>
      </c>
      <c r="B739" s="27" t="s">
        <v>176</v>
      </c>
      <c r="C739" s="27" t="s">
        <v>253</v>
      </c>
      <c r="D739" s="27" t="s">
        <v>172</v>
      </c>
      <c r="E739" s="28">
        <v>24023.33</v>
      </c>
      <c r="F739" s="27" t="s">
        <v>4073</v>
      </c>
      <c r="G739" s="48"/>
      <c r="H739" s="47" t="str">
        <f t="shared" si="33"/>
        <v>PACIFICO</v>
      </c>
      <c r="I739" s="6">
        <f t="shared" si="34"/>
        <v>24023.33</v>
      </c>
      <c r="J739" s="47">
        <f t="shared" si="35"/>
        <v>24023.33</v>
      </c>
    </row>
    <row r="740" spans="1:10">
      <c r="A740" s="27" t="s">
        <v>3854</v>
      </c>
      <c r="B740" s="27" t="s">
        <v>176</v>
      </c>
      <c r="C740" s="27" t="s">
        <v>177</v>
      </c>
      <c r="D740" s="27" t="s">
        <v>172</v>
      </c>
      <c r="E740" s="28">
        <v>20153.830000000002</v>
      </c>
      <c r="F740" s="27" t="s">
        <v>4073</v>
      </c>
      <c r="G740" s="48"/>
      <c r="H740" s="47" t="str">
        <f t="shared" si="33"/>
        <v>PACIFICO</v>
      </c>
      <c r="I740" s="6">
        <f t="shared" si="34"/>
        <v>20169.490000000002</v>
      </c>
      <c r="J740" s="47">
        <f t="shared" si="35"/>
        <v>20169.490000000002</v>
      </c>
    </row>
    <row r="741" spans="1:10">
      <c r="A741" s="27" t="s">
        <v>3854</v>
      </c>
      <c r="B741" s="27" t="s">
        <v>176</v>
      </c>
      <c r="C741" s="27" t="s">
        <v>231</v>
      </c>
      <c r="D741" s="27" t="s">
        <v>172</v>
      </c>
      <c r="E741" s="28">
        <v>23601.54</v>
      </c>
      <c r="F741" s="27" t="s">
        <v>4074</v>
      </c>
      <c r="G741" s="48"/>
      <c r="H741" s="47" t="str">
        <f t="shared" si="33"/>
        <v>PACIFICO</v>
      </c>
      <c r="I741" s="6">
        <f t="shared" si="34"/>
        <v>23601.54</v>
      </c>
      <c r="J741" s="47">
        <f t="shared" si="35"/>
        <v>23601.54</v>
      </c>
    </row>
    <row r="742" spans="1:10">
      <c r="A742" s="27" t="s">
        <v>3854</v>
      </c>
      <c r="B742" s="27" t="s">
        <v>180</v>
      </c>
      <c r="C742" s="27" t="s">
        <v>181</v>
      </c>
      <c r="D742" s="27" t="s">
        <v>172</v>
      </c>
      <c r="E742" s="28">
        <v>34056.25</v>
      </c>
      <c r="F742" s="27" t="s">
        <v>4073</v>
      </c>
      <c r="G742" s="48"/>
      <c r="H742" s="47" t="str">
        <f t="shared" si="33"/>
        <v>PACIFICO</v>
      </c>
      <c r="I742" s="6">
        <f t="shared" si="34"/>
        <v>34056.25</v>
      </c>
      <c r="J742" s="47">
        <f t="shared" si="35"/>
        <v>34056.25</v>
      </c>
    </row>
    <row r="743" spans="1:10">
      <c r="A743" s="27" t="s">
        <v>3854</v>
      </c>
      <c r="B743" s="27" t="s">
        <v>180</v>
      </c>
      <c r="C743" s="27" t="s">
        <v>263</v>
      </c>
      <c r="D743" s="27" t="s">
        <v>172</v>
      </c>
      <c r="E743" s="28">
        <v>216971.18</v>
      </c>
      <c r="F743" s="27" t="s">
        <v>4074</v>
      </c>
      <c r="G743" s="48"/>
      <c r="H743" s="47" t="str">
        <f t="shared" si="33"/>
        <v>PACIFICO</v>
      </c>
      <c r="I743" s="6">
        <f t="shared" si="34"/>
        <v>216971.18</v>
      </c>
      <c r="J743" s="47">
        <f t="shared" si="35"/>
        <v>216971.18</v>
      </c>
    </row>
    <row r="744" spans="1:10">
      <c r="A744" s="27" t="s">
        <v>3854</v>
      </c>
      <c r="B744" s="27" t="s">
        <v>180</v>
      </c>
      <c r="C744" s="27" t="s">
        <v>277</v>
      </c>
      <c r="D744" s="27" t="s">
        <v>172</v>
      </c>
      <c r="E744" s="28">
        <v>90689.07</v>
      </c>
      <c r="F744" s="27" t="s">
        <v>4073</v>
      </c>
      <c r="G744" s="48"/>
      <c r="H744" s="47" t="str">
        <f t="shared" si="33"/>
        <v>PACIFICO</v>
      </c>
      <c r="I744" s="6">
        <f t="shared" si="34"/>
        <v>90689.07</v>
      </c>
      <c r="J744" s="47">
        <f t="shared" si="35"/>
        <v>90689.07</v>
      </c>
    </row>
    <row r="745" spans="1:10">
      <c r="A745" s="27" t="s">
        <v>3854</v>
      </c>
      <c r="B745" s="27" t="s">
        <v>180</v>
      </c>
      <c r="C745" s="27" t="s">
        <v>300</v>
      </c>
      <c r="D745" s="27" t="s">
        <v>172</v>
      </c>
      <c r="E745" s="28">
        <v>66141.87</v>
      </c>
      <c r="F745" s="27" t="s">
        <v>4073</v>
      </c>
      <c r="G745" s="48"/>
      <c r="H745" s="47" t="str">
        <f t="shared" si="33"/>
        <v>PACIFICO</v>
      </c>
      <c r="I745" s="6">
        <f t="shared" si="34"/>
        <v>66141.87</v>
      </c>
      <c r="J745" s="47">
        <f t="shared" si="35"/>
        <v>66141.87</v>
      </c>
    </row>
    <row r="746" spans="1:10">
      <c r="A746" s="27" t="s">
        <v>3854</v>
      </c>
      <c r="B746" s="27" t="s">
        <v>180</v>
      </c>
      <c r="C746" s="27" t="s">
        <v>242</v>
      </c>
      <c r="D746" s="27" t="s">
        <v>172</v>
      </c>
      <c r="E746" s="28">
        <v>27730</v>
      </c>
      <c r="F746" s="27" t="s">
        <v>4074</v>
      </c>
      <c r="G746" s="48"/>
      <c r="H746" s="47" t="str">
        <f t="shared" si="33"/>
        <v>PACIFICO</v>
      </c>
      <c r="I746" s="6">
        <f t="shared" si="34"/>
        <v>27730</v>
      </c>
      <c r="J746" s="47">
        <f t="shared" si="35"/>
        <v>27730</v>
      </c>
    </row>
    <row r="747" spans="1:10">
      <c r="A747" s="27" t="s">
        <v>3854</v>
      </c>
      <c r="B747" s="27" t="s">
        <v>180</v>
      </c>
      <c r="C747" s="27" t="s">
        <v>254</v>
      </c>
      <c r="D747" s="27" t="s">
        <v>172</v>
      </c>
      <c r="E747" s="28">
        <v>156312.5</v>
      </c>
      <c r="F747" s="27" t="s">
        <v>4074</v>
      </c>
      <c r="G747" s="48"/>
      <c r="H747" s="47" t="str">
        <f t="shared" si="33"/>
        <v>PACIFICO</v>
      </c>
      <c r="I747" s="6">
        <f t="shared" si="34"/>
        <v>156312.5</v>
      </c>
      <c r="J747" s="47">
        <f t="shared" si="35"/>
        <v>156312.5</v>
      </c>
    </row>
    <row r="748" spans="1:10">
      <c r="A748" s="27" t="s">
        <v>3854</v>
      </c>
      <c r="B748" s="27" t="s">
        <v>180</v>
      </c>
      <c r="C748" s="27" t="s">
        <v>305</v>
      </c>
      <c r="D748" s="27" t="s">
        <v>172</v>
      </c>
      <c r="E748" s="28">
        <v>77666.67</v>
      </c>
      <c r="F748" s="27" t="s">
        <v>4074</v>
      </c>
      <c r="G748" s="48"/>
      <c r="H748" s="47" t="str">
        <f t="shared" si="33"/>
        <v>PACIFICO</v>
      </c>
      <c r="I748" s="6">
        <f t="shared" si="34"/>
        <v>77666.67</v>
      </c>
      <c r="J748" s="47">
        <f t="shared" si="35"/>
        <v>77666.67</v>
      </c>
    </row>
    <row r="749" spans="1:10">
      <c r="A749" s="27" t="s">
        <v>3854</v>
      </c>
      <c r="B749" s="27" t="s">
        <v>180</v>
      </c>
      <c r="C749" s="27" t="s">
        <v>297</v>
      </c>
      <c r="D749" s="27" t="s">
        <v>172</v>
      </c>
      <c r="E749" s="28">
        <v>149375.29999999999</v>
      </c>
      <c r="F749" s="27" t="s">
        <v>4073</v>
      </c>
      <c r="G749" s="48"/>
      <c r="H749" s="47" t="str">
        <f t="shared" si="33"/>
        <v>PACIFICO</v>
      </c>
      <c r="I749" s="6">
        <f t="shared" si="34"/>
        <v>149375.29999999999</v>
      </c>
      <c r="J749" s="47">
        <f t="shared" si="35"/>
        <v>149375.29999999999</v>
      </c>
    </row>
    <row r="750" spans="1:10">
      <c r="A750" s="27" t="s">
        <v>3854</v>
      </c>
      <c r="B750" s="27" t="s">
        <v>180</v>
      </c>
      <c r="C750" s="27" t="s">
        <v>314</v>
      </c>
      <c r="D750" s="27" t="s">
        <v>172</v>
      </c>
      <c r="E750" s="28">
        <v>27116.68</v>
      </c>
      <c r="F750" s="27" t="s">
        <v>4074</v>
      </c>
      <c r="G750" s="48"/>
      <c r="H750" s="47" t="str">
        <f t="shared" si="33"/>
        <v>PACIFICO</v>
      </c>
      <c r="I750" s="6">
        <f t="shared" si="34"/>
        <v>27116.68</v>
      </c>
      <c r="J750" s="47">
        <f t="shared" si="35"/>
        <v>27116.68</v>
      </c>
    </row>
    <row r="751" spans="1:10">
      <c r="A751" s="27" t="s">
        <v>3854</v>
      </c>
      <c r="B751" s="27" t="s">
        <v>180</v>
      </c>
      <c r="C751" s="27" t="s">
        <v>182</v>
      </c>
      <c r="D751" s="27" t="s">
        <v>172</v>
      </c>
      <c r="E751" s="28">
        <v>156406.24</v>
      </c>
      <c r="F751" s="27" t="s">
        <v>4074</v>
      </c>
      <c r="G751" s="48"/>
      <c r="H751" s="47" t="str">
        <f t="shared" si="33"/>
        <v>PACIFICO</v>
      </c>
      <c r="I751" s="6">
        <f t="shared" si="34"/>
        <v>156406.24</v>
      </c>
      <c r="J751" s="47">
        <f t="shared" si="35"/>
        <v>156406.24</v>
      </c>
    </row>
    <row r="752" spans="1:10">
      <c r="A752" s="29" t="s">
        <v>3831</v>
      </c>
      <c r="B752" s="30" t="s">
        <v>149</v>
      </c>
      <c r="C752" s="53" t="s">
        <v>4110</v>
      </c>
      <c r="D752" s="53" t="s">
        <v>151</v>
      </c>
      <c r="E752" s="31">
        <v>128747.557051775</v>
      </c>
      <c r="F752" s="27" t="s">
        <v>4074</v>
      </c>
      <c r="G752" s="48"/>
      <c r="H752" s="47" t="str">
        <f t="shared" si="33"/>
        <v>ANDINA</v>
      </c>
      <c r="I752" s="6">
        <f t="shared" si="34"/>
        <v>128747.557051775</v>
      </c>
      <c r="J752" s="47">
        <f t="shared" si="35"/>
        <v>128747.557051775</v>
      </c>
    </row>
    <row r="753" spans="1:10">
      <c r="A753" s="29" t="s">
        <v>4075</v>
      </c>
      <c r="B753" s="30" t="s">
        <v>149</v>
      </c>
      <c r="C753" s="53" t="s">
        <v>4110</v>
      </c>
      <c r="D753" s="53" t="s">
        <v>151</v>
      </c>
      <c r="E753" s="31">
        <v>133473.4375</v>
      </c>
      <c r="F753" s="27" t="s">
        <v>4074</v>
      </c>
      <c r="G753" s="48"/>
      <c r="H753" s="47" t="str">
        <f t="shared" si="33"/>
        <v>ANDINA</v>
      </c>
      <c r="I753" s="6">
        <f t="shared" si="34"/>
        <v>133473.4375</v>
      </c>
      <c r="J753" s="47">
        <f t="shared" si="35"/>
        <v>133473.4375</v>
      </c>
    </row>
    <row r="754" spans="1:10">
      <c r="A754" s="29" t="s">
        <v>3834</v>
      </c>
      <c r="B754" s="30" t="s">
        <v>149</v>
      </c>
      <c r="C754" s="53" t="s">
        <v>4110</v>
      </c>
      <c r="D754" s="53" t="s">
        <v>151</v>
      </c>
      <c r="E754" s="31">
        <v>139059.16666666669</v>
      </c>
      <c r="F754" s="27" t="s">
        <v>4074</v>
      </c>
      <c r="G754" s="48"/>
      <c r="H754" s="47" t="str">
        <f t="shared" si="33"/>
        <v>CARIBE</v>
      </c>
      <c r="I754" s="6">
        <f t="shared" si="34"/>
        <v>139059.16666666669</v>
      </c>
      <c r="J754" s="47">
        <f t="shared" si="35"/>
        <v>139059.16666666669</v>
      </c>
    </row>
    <row r="755" spans="1:10">
      <c r="A755" s="29" t="s">
        <v>3835</v>
      </c>
      <c r="B755" s="30" t="s">
        <v>149</v>
      </c>
      <c r="C755" s="53" t="s">
        <v>4110</v>
      </c>
      <c r="D755" s="53" t="s">
        <v>151</v>
      </c>
      <c r="E755" s="31">
        <v>125311.11111110001</v>
      </c>
      <c r="F755" s="27" t="s">
        <v>4074</v>
      </c>
      <c r="G755" s="48"/>
      <c r="H755" s="47" t="str">
        <f t="shared" si="33"/>
        <v>ANDINA</v>
      </c>
      <c r="I755" s="6">
        <f t="shared" si="34"/>
        <v>125311.11111110001</v>
      </c>
      <c r="J755" s="47">
        <f t="shared" si="35"/>
        <v>125311.11111110001</v>
      </c>
    </row>
    <row r="756" spans="1:10">
      <c r="A756" s="29" t="s">
        <v>3836</v>
      </c>
      <c r="B756" s="30" t="s">
        <v>149</v>
      </c>
      <c r="C756" s="53" t="s">
        <v>4110</v>
      </c>
      <c r="D756" s="53" t="s">
        <v>151</v>
      </c>
      <c r="E756" s="31">
        <v>120435</v>
      </c>
      <c r="F756" s="27" t="s">
        <v>4074</v>
      </c>
      <c r="G756" s="48"/>
      <c r="H756" s="47" t="str">
        <f t="shared" si="33"/>
        <v>ANDINA</v>
      </c>
      <c r="I756" s="6">
        <f t="shared" si="34"/>
        <v>120435</v>
      </c>
      <c r="J756" s="47">
        <f t="shared" si="35"/>
        <v>120435</v>
      </c>
    </row>
    <row r="757" spans="1:10">
      <c r="A757" s="29" t="s">
        <v>3839</v>
      </c>
      <c r="B757" s="30" t="s">
        <v>149</v>
      </c>
      <c r="C757" s="53" t="s">
        <v>4110</v>
      </c>
      <c r="D757" s="53" t="s">
        <v>151</v>
      </c>
      <c r="E757" s="31">
        <v>125849.2424242409</v>
      </c>
      <c r="F757" s="27" t="s">
        <v>4074</v>
      </c>
      <c r="G757" s="48"/>
      <c r="H757" s="47" t="str">
        <f t="shared" si="33"/>
        <v>PACIFICO</v>
      </c>
      <c r="I757" s="6">
        <f t="shared" si="34"/>
        <v>125849.2424242409</v>
      </c>
      <c r="J757" s="47">
        <f t="shared" si="35"/>
        <v>125849.2424242409</v>
      </c>
    </row>
    <row r="758" spans="1:10">
      <c r="A758" s="29" t="s">
        <v>3840</v>
      </c>
      <c r="B758" s="30" t="s">
        <v>149</v>
      </c>
      <c r="C758" s="53" t="s">
        <v>4110</v>
      </c>
      <c r="D758" s="53" t="s">
        <v>151</v>
      </c>
      <c r="E758" s="31">
        <v>123585</v>
      </c>
      <c r="F758" s="27" t="s">
        <v>4074</v>
      </c>
      <c r="G758" s="48"/>
      <c r="H758" s="47" t="str">
        <f t="shared" si="33"/>
        <v>CARIBE</v>
      </c>
      <c r="I758" s="6">
        <f t="shared" si="34"/>
        <v>123585</v>
      </c>
      <c r="J758" s="47">
        <f t="shared" si="35"/>
        <v>123585</v>
      </c>
    </row>
    <row r="759" spans="1:10">
      <c r="A759" s="29" t="s">
        <v>3841</v>
      </c>
      <c r="B759" s="30" t="s">
        <v>149</v>
      </c>
      <c r="C759" s="53" t="s">
        <v>4110</v>
      </c>
      <c r="D759" s="53" t="s">
        <v>151</v>
      </c>
      <c r="E759" s="31">
        <v>128869.27666667</v>
      </c>
      <c r="F759" s="27" t="s">
        <v>4074</v>
      </c>
      <c r="G759" s="48"/>
      <c r="H759" s="47" t="str">
        <f t="shared" si="33"/>
        <v>CARIBE</v>
      </c>
      <c r="I759" s="6">
        <f t="shared" si="34"/>
        <v>128869.27666667</v>
      </c>
      <c r="J759" s="47">
        <f t="shared" si="35"/>
        <v>128869.27666667</v>
      </c>
    </row>
    <row r="760" spans="1:10">
      <c r="A760" s="29" t="s">
        <v>3842</v>
      </c>
      <c r="B760" s="30" t="s">
        <v>149</v>
      </c>
      <c r="C760" s="53" t="s">
        <v>4110</v>
      </c>
      <c r="D760" s="53" t="s">
        <v>151</v>
      </c>
      <c r="E760" s="31">
        <v>131327.758828675</v>
      </c>
      <c r="F760" s="27" t="s">
        <v>4074</v>
      </c>
      <c r="G760" s="48"/>
      <c r="H760" s="47" t="str">
        <f t="shared" si="33"/>
        <v>ANDINA</v>
      </c>
      <c r="I760" s="6">
        <f t="shared" si="34"/>
        <v>131327.758828675</v>
      </c>
      <c r="J760" s="47">
        <f t="shared" si="35"/>
        <v>131327.758828675</v>
      </c>
    </row>
    <row r="761" spans="1:10">
      <c r="A761" s="29" t="s">
        <v>3843</v>
      </c>
      <c r="B761" s="30" t="s">
        <v>149</v>
      </c>
      <c r="C761" s="53" t="s">
        <v>4110</v>
      </c>
      <c r="D761" s="53" t="s">
        <v>151</v>
      </c>
      <c r="E761" s="31">
        <v>125330.95427060471</v>
      </c>
      <c r="F761" s="27" t="s">
        <v>4074</v>
      </c>
      <c r="G761" s="48"/>
      <c r="H761" s="47" t="str">
        <f t="shared" si="33"/>
        <v>ANDINA</v>
      </c>
      <c r="I761" s="6">
        <f t="shared" si="34"/>
        <v>125330.95427060471</v>
      </c>
      <c r="J761" s="47">
        <f t="shared" si="35"/>
        <v>125330.95427060471</v>
      </c>
    </row>
    <row r="762" spans="1:10">
      <c r="A762" s="29" t="s">
        <v>3845</v>
      </c>
      <c r="B762" s="30" t="s">
        <v>149</v>
      </c>
      <c r="C762" s="53" t="s">
        <v>4110</v>
      </c>
      <c r="D762" s="53" t="s">
        <v>151</v>
      </c>
      <c r="E762" s="31">
        <v>132762.9629629667</v>
      </c>
      <c r="F762" s="27" t="s">
        <v>4074</v>
      </c>
      <c r="G762" s="48"/>
      <c r="H762" s="47" t="str">
        <f t="shared" si="33"/>
        <v>ORINOQUIA</v>
      </c>
      <c r="I762" s="6">
        <f t="shared" si="34"/>
        <v>132762.9629629667</v>
      </c>
      <c r="J762" s="47">
        <f t="shared" si="35"/>
        <v>132762.9629629667</v>
      </c>
    </row>
    <row r="763" spans="1:10">
      <c r="A763" s="29" t="s">
        <v>3846</v>
      </c>
      <c r="B763" s="30" t="s">
        <v>149</v>
      </c>
      <c r="C763" s="53" t="s">
        <v>4110</v>
      </c>
      <c r="D763" s="53" t="s">
        <v>151</v>
      </c>
      <c r="E763" s="31">
        <v>121047.61904761429</v>
      </c>
      <c r="F763" s="27" t="s">
        <v>4074</v>
      </c>
      <c r="G763" s="48"/>
      <c r="H763" s="47" t="str">
        <f t="shared" si="33"/>
        <v>PACIFICO</v>
      </c>
      <c r="I763" s="6">
        <f t="shared" si="34"/>
        <v>121047.61904761429</v>
      </c>
      <c r="J763" s="47">
        <f t="shared" si="35"/>
        <v>121047.61904761429</v>
      </c>
    </row>
    <row r="764" spans="1:10">
      <c r="A764" s="29" t="s">
        <v>3847</v>
      </c>
      <c r="B764" s="30" t="s">
        <v>149</v>
      </c>
      <c r="C764" s="53" t="s">
        <v>4110</v>
      </c>
      <c r="D764" s="53" t="s">
        <v>151</v>
      </c>
      <c r="E764" s="31">
        <v>127694.04761905</v>
      </c>
      <c r="F764" s="27" t="s">
        <v>4074</v>
      </c>
      <c r="G764" s="48"/>
      <c r="H764" s="47" t="str">
        <f t="shared" si="33"/>
        <v>ANDINA</v>
      </c>
      <c r="I764" s="6">
        <f t="shared" si="34"/>
        <v>127694.04761905</v>
      </c>
      <c r="J764" s="47">
        <f t="shared" si="35"/>
        <v>127694.04761905</v>
      </c>
    </row>
    <row r="765" spans="1:10">
      <c r="A765" s="29" t="s">
        <v>3849</v>
      </c>
      <c r="B765" s="30" t="s">
        <v>149</v>
      </c>
      <c r="C765" s="53" t="s">
        <v>4110</v>
      </c>
      <c r="D765" s="53" t="s">
        <v>151</v>
      </c>
      <c r="E765" s="31">
        <v>120400</v>
      </c>
      <c r="F765" s="27" t="s">
        <v>4074</v>
      </c>
      <c r="G765" s="48"/>
      <c r="H765" s="47" t="str">
        <f t="shared" si="33"/>
        <v>ANDINA</v>
      </c>
      <c r="I765" s="6">
        <f t="shared" si="34"/>
        <v>120400</v>
      </c>
      <c r="J765" s="47">
        <f t="shared" si="35"/>
        <v>120400</v>
      </c>
    </row>
    <row r="766" spans="1:10">
      <c r="A766" s="29" t="s">
        <v>3850</v>
      </c>
      <c r="B766" s="30" t="s">
        <v>149</v>
      </c>
      <c r="C766" s="53" t="s">
        <v>4110</v>
      </c>
      <c r="D766" s="53" t="s">
        <v>151</v>
      </c>
      <c r="E766" s="31">
        <v>127866.66666666001</v>
      </c>
      <c r="F766" s="27" t="s">
        <v>4074</v>
      </c>
      <c r="G766" s="48"/>
      <c r="H766" s="47" t="str">
        <f t="shared" si="33"/>
        <v>ANDINA</v>
      </c>
      <c r="I766" s="6">
        <f t="shared" si="34"/>
        <v>127866.66666666001</v>
      </c>
      <c r="J766" s="47">
        <f t="shared" si="35"/>
        <v>127866.66666666001</v>
      </c>
    </row>
    <row r="767" spans="1:10">
      <c r="A767" s="29" t="s">
        <v>3851</v>
      </c>
      <c r="B767" s="30" t="s">
        <v>149</v>
      </c>
      <c r="C767" s="53" t="s">
        <v>4110</v>
      </c>
      <c r="D767" s="53" t="s">
        <v>151</v>
      </c>
      <c r="E767" s="31">
        <v>129153.23040293</v>
      </c>
      <c r="F767" s="27" t="s">
        <v>4074</v>
      </c>
      <c r="G767" s="48"/>
      <c r="H767" s="47" t="str">
        <f t="shared" si="33"/>
        <v>ANDINA</v>
      </c>
      <c r="I767" s="6">
        <f t="shared" si="34"/>
        <v>129153.23040293</v>
      </c>
      <c r="J767" s="47">
        <f t="shared" si="35"/>
        <v>129153.23040293</v>
      </c>
    </row>
    <row r="768" spans="1:10">
      <c r="A768" s="29" t="s">
        <v>3852</v>
      </c>
      <c r="B768" s="30" t="s">
        <v>149</v>
      </c>
      <c r="C768" s="53" t="s">
        <v>4110</v>
      </c>
      <c r="D768" s="53" t="s">
        <v>151</v>
      </c>
      <c r="E768" s="31">
        <v>131920.83333332499</v>
      </c>
      <c r="F768" s="27" t="s">
        <v>4074</v>
      </c>
      <c r="G768" s="48"/>
      <c r="H768" s="47" t="str">
        <f t="shared" si="33"/>
        <v>CARIBE</v>
      </c>
      <c r="I768" s="6">
        <f t="shared" si="34"/>
        <v>131920.83333332499</v>
      </c>
      <c r="J768" s="47">
        <f t="shared" si="35"/>
        <v>131920.83333332499</v>
      </c>
    </row>
    <row r="769" spans="1:10">
      <c r="A769" s="29" t="s">
        <v>3853</v>
      </c>
      <c r="B769" s="30" t="s">
        <v>149</v>
      </c>
      <c r="C769" s="53" t="s">
        <v>4110</v>
      </c>
      <c r="D769" s="53" t="s">
        <v>151</v>
      </c>
      <c r="E769" s="31">
        <v>127986.90622819281</v>
      </c>
      <c r="F769" s="27" t="s">
        <v>4074</v>
      </c>
      <c r="G769" s="48"/>
      <c r="H769" s="47" t="str">
        <f t="shared" si="33"/>
        <v>ANDINA</v>
      </c>
      <c r="I769" s="6">
        <f t="shared" si="34"/>
        <v>127986.90622819281</v>
      </c>
      <c r="J769" s="47">
        <f t="shared" si="35"/>
        <v>127986.90622819281</v>
      </c>
    </row>
    <row r="770" spans="1:10">
      <c r="A770" s="29" t="s">
        <v>3854</v>
      </c>
      <c r="B770" s="30" t="s">
        <v>149</v>
      </c>
      <c r="C770" s="53" t="s">
        <v>4110</v>
      </c>
      <c r="D770" s="53" t="s">
        <v>151</v>
      </c>
      <c r="E770" s="31">
        <v>124653.6453634105</v>
      </c>
      <c r="F770" s="27" t="s">
        <v>4074</v>
      </c>
      <c r="G770" s="48"/>
      <c r="H770" s="47" t="str">
        <f t="shared" ref="H770:H833" si="36">IF(OR(A770="Antioquia",A770="Bogotá, D.C.",A770="Boyacá",A770="Cundinamarca",A770="Caldas",A770="Risaralda",A770="Quindío",A770="Tolima",A770="Huila",A770="Santander",A770="Norte de Santander"),"ANDINA",
IF(OR(A770="Atlántico",A770="Bolívar",A770="Cesar",A770="Córdoba",A770="Sucre",A770="Magdalena"),"CARIBE",
IF(OR(A770="Valle del Cauca",A770="Cauca",A770="Nariño"),"PACIFICO",
IF(OR(A770="Meta",A770="Casanare",A770="Arauca"),"ORINOQUIA",
"AMAZONIA"))))</f>
        <v>PACIFICO</v>
      </c>
      <c r="I770" s="6">
        <f t="shared" ref="I770:I833" si="37">IF(F770="Departamental",E770,
AVERAGEIFS($E:$E,$H:$H,H770,$B:$B,B770,$C:$C,C770))</f>
        <v>124653.6453634105</v>
      </c>
      <c r="J770" s="47">
        <f t="shared" si="35"/>
        <v>124653.6453634105</v>
      </c>
    </row>
    <row r="771" spans="1:10">
      <c r="A771" s="29" t="s">
        <v>4076</v>
      </c>
      <c r="B771" s="30" t="s">
        <v>149</v>
      </c>
      <c r="C771" s="53" t="s">
        <v>4110</v>
      </c>
      <c r="D771" s="53" t="s">
        <v>151</v>
      </c>
      <c r="E771" s="31">
        <v>127882.97797722</v>
      </c>
      <c r="F771" s="27" t="s">
        <v>4073</v>
      </c>
      <c r="G771" s="48"/>
      <c r="H771" s="47" t="str">
        <f t="shared" si="36"/>
        <v>AMAZONIA</v>
      </c>
      <c r="I771" s="6">
        <f t="shared" si="37"/>
        <v>127882.97797722001</v>
      </c>
      <c r="J771" s="47">
        <f t="shared" ref="J771:J834" si="38">IF(G771&lt;&gt;"",G771,I771)</f>
        <v>127882.97797722001</v>
      </c>
    </row>
    <row r="772" spans="1:10">
      <c r="A772" s="29" t="s">
        <v>3831</v>
      </c>
      <c r="B772" s="30" t="s">
        <v>149</v>
      </c>
      <c r="C772" s="53" t="s">
        <v>166</v>
      </c>
      <c r="D772" s="53" t="s">
        <v>151</v>
      </c>
      <c r="E772" s="31">
        <v>115247.77777776661</v>
      </c>
      <c r="F772" s="27" t="s">
        <v>4074</v>
      </c>
      <c r="G772" s="48"/>
      <c r="H772" s="47" t="str">
        <f t="shared" si="36"/>
        <v>ANDINA</v>
      </c>
      <c r="I772" s="6">
        <f t="shared" si="37"/>
        <v>115247.77777776661</v>
      </c>
      <c r="J772" s="47">
        <f t="shared" si="38"/>
        <v>115247.77777776661</v>
      </c>
    </row>
    <row r="773" spans="1:10">
      <c r="A773" s="29" t="s">
        <v>4075</v>
      </c>
      <c r="B773" s="30" t="s">
        <v>149</v>
      </c>
      <c r="C773" s="53" t="s">
        <v>166</v>
      </c>
      <c r="D773" s="53" t="s">
        <v>151</v>
      </c>
      <c r="E773" s="31">
        <v>113923.6111111167</v>
      </c>
      <c r="F773" s="27" t="s">
        <v>4074</v>
      </c>
      <c r="G773" s="48"/>
      <c r="H773" s="47" t="str">
        <f t="shared" si="36"/>
        <v>ANDINA</v>
      </c>
      <c r="I773" s="6">
        <f t="shared" si="37"/>
        <v>113923.6111111167</v>
      </c>
      <c r="J773" s="47">
        <f t="shared" si="38"/>
        <v>113923.6111111167</v>
      </c>
    </row>
    <row r="774" spans="1:10">
      <c r="A774" s="29" t="s">
        <v>3834</v>
      </c>
      <c r="B774" s="30" t="s">
        <v>149</v>
      </c>
      <c r="C774" s="53" t="s">
        <v>166</v>
      </c>
      <c r="D774" s="53" t="s">
        <v>151</v>
      </c>
      <c r="E774" s="31">
        <v>111349.3008880651</v>
      </c>
      <c r="F774" s="27" t="s">
        <v>4073</v>
      </c>
      <c r="G774" s="48"/>
      <c r="H774" s="47" t="str">
        <f t="shared" si="36"/>
        <v>CARIBE</v>
      </c>
      <c r="I774" s="6">
        <f t="shared" si="37"/>
        <v>110447.46294403257</v>
      </c>
      <c r="J774" s="47">
        <f t="shared" si="38"/>
        <v>110447.46294403257</v>
      </c>
    </row>
    <row r="775" spans="1:10">
      <c r="A775" s="29" t="s">
        <v>3835</v>
      </c>
      <c r="B775" s="30" t="s">
        <v>149</v>
      </c>
      <c r="C775" s="53" t="s">
        <v>166</v>
      </c>
      <c r="D775" s="53" t="s">
        <v>151</v>
      </c>
      <c r="E775" s="31">
        <v>111349.3008880651</v>
      </c>
      <c r="F775" s="27" t="s">
        <v>4073</v>
      </c>
      <c r="G775" s="48"/>
      <c r="H775" s="47" t="str">
        <f t="shared" si="36"/>
        <v>ANDINA</v>
      </c>
      <c r="I775" s="6">
        <f t="shared" si="37"/>
        <v>111358.58762778463</v>
      </c>
      <c r="J775" s="47">
        <f t="shared" si="38"/>
        <v>111358.58762778463</v>
      </c>
    </row>
    <row r="776" spans="1:10">
      <c r="A776" s="29" t="s">
        <v>3836</v>
      </c>
      <c r="B776" s="30" t="s">
        <v>149</v>
      </c>
      <c r="C776" s="53" t="s">
        <v>166</v>
      </c>
      <c r="D776" s="53" t="s">
        <v>151</v>
      </c>
      <c r="E776" s="31">
        <v>111349.3008880651</v>
      </c>
      <c r="F776" s="27" t="s">
        <v>4073</v>
      </c>
      <c r="G776" s="48"/>
      <c r="H776" s="47" t="str">
        <f t="shared" si="36"/>
        <v>ANDINA</v>
      </c>
      <c r="I776" s="6">
        <f t="shared" si="37"/>
        <v>111358.58762778463</v>
      </c>
      <c r="J776" s="47">
        <f t="shared" si="38"/>
        <v>111358.58762778463</v>
      </c>
    </row>
    <row r="777" spans="1:10">
      <c r="A777" s="29" t="s">
        <v>3839</v>
      </c>
      <c r="B777" s="30" t="s">
        <v>149</v>
      </c>
      <c r="C777" s="53" t="s">
        <v>166</v>
      </c>
      <c r="D777" s="53" t="s">
        <v>151</v>
      </c>
      <c r="E777" s="31">
        <v>110000</v>
      </c>
      <c r="F777" s="27" t="s">
        <v>4074</v>
      </c>
      <c r="G777" s="48"/>
      <c r="H777" s="47" t="str">
        <f t="shared" si="36"/>
        <v>PACIFICO</v>
      </c>
      <c r="I777" s="6">
        <f t="shared" si="37"/>
        <v>110000</v>
      </c>
      <c r="J777" s="47">
        <f t="shared" si="38"/>
        <v>110000</v>
      </c>
    </row>
    <row r="778" spans="1:10">
      <c r="A778" s="29" t="s">
        <v>3840</v>
      </c>
      <c r="B778" s="30" t="s">
        <v>149</v>
      </c>
      <c r="C778" s="53" t="s">
        <v>166</v>
      </c>
      <c r="D778" s="53" t="s">
        <v>151</v>
      </c>
      <c r="E778" s="31">
        <v>104825</v>
      </c>
      <c r="F778" s="27" t="s">
        <v>4074</v>
      </c>
      <c r="G778" s="48"/>
      <c r="H778" s="47" t="str">
        <f t="shared" si="36"/>
        <v>CARIBE</v>
      </c>
      <c r="I778" s="6">
        <f t="shared" si="37"/>
        <v>104825</v>
      </c>
      <c r="J778" s="47">
        <f t="shared" si="38"/>
        <v>104825</v>
      </c>
    </row>
    <row r="779" spans="1:10">
      <c r="A779" s="29" t="s">
        <v>3841</v>
      </c>
      <c r="B779" s="30" t="s">
        <v>149</v>
      </c>
      <c r="C779" s="53" t="s">
        <v>166</v>
      </c>
      <c r="D779" s="53" t="s">
        <v>151</v>
      </c>
      <c r="E779" s="31">
        <v>106170.625</v>
      </c>
      <c r="F779" s="27" t="s">
        <v>4074</v>
      </c>
      <c r="G779" s="48"/>
      <c r="H779" s="47" t="str">
        <f t="shared" si="36"/>
        <v>CARIBE</v>
      </c>
      <c r="I779" s="6">
        <f t="shared" si="37"/>
        <v>106170.625</v>
      </c>
      <c r="J779" s="47">
        <f t="shared" si="38"/>
        <v>106170.625</v>
      </c>
    </row>
    <row r="780" spans="1:10">
      <c r="A780" s="29" t="s">
        <v>3842</v>
      </c>
      <c r="B780" s="30" t="s">
        <v>149</v>
      </c>
      <c r="C780" s="53" t="s">
        <v>166</v>
      </c>
      <c r="D780" s="53" t="s">
        <v>151</v>
      </c>
      <c r="E780" s="31">
        <v>112883.2785790583</v>
      </c>
      <c r="F780" s="27" t="s">
        <v>4074</v>
      </c>
      <c r="G780" s="48"/>
      <c r="H780" s="47" t="str">
        <f t="shared" si="36"/>
        <v>ANDINA</v>
      </c>
      <c r="I780" s="6">
        <f t="shared" si="37"/>
        <v>112883.2785790583</v>
      </c>
      <c r="J780" s="47">
        <f t="shared" si="38"/>
        <v>112883.2785790583</v>
      </c>
    </row>
    <row r="781" spans="1:10">
      <c r="A781" s="29" t="s">
        <v>3843</v>
      </c>
      <c r="B781" s="30" t="s">
        <v>149</v>
      </c>
      <c r="C781" s="53" t="s">
        <v>166</v>
      </c>
      <c r="D781" s="53" t="s">
        <v>151</v>
      </c>
      <c r="E781" s="31">
        <v>108592.91005292221</v>
      </c>
      <c r="F781" s="27" t="s">
        <v>4074</v>
      </c>
      <c r="G781" s="48"/>
      <c r="H781" s="47" t="str">
        <f t="shared" si="36"/>
        <v>ANDINA</v>
      </c>
      <c r="I781" s="6">
        <f t="shared" si="37"/>
        <v>108592.91005292221</v>
      </c>
      <c r="J781" s="47">
        <f t="shared" si="38"/>
        <v>108592.91005292221</v>
      </c>
    </row>
    <row r="782" spans="1:10">
      <c r="A782" s="29" t="s">
        <v>3845</v>
      </c>
      <c r="B782" s="30" t="s">
        <v>149</v>
      </c>
      <c r="C782" s="53" t="s">
        <v>166</v>
      </c>
      <c r="D782" s="53" t="s">
        <v>151</v>
      </c>
      <c r="E782" s="31">
        <v>111349.3008880651</v>
      </c>
      <c r="F782" s="27" t="s">
        <v>4073</v>
      </c>
      <c r="G782" s="48"/>
      <c r="H782" s="47" t="str">
        <f t="shared" si="36"/>
        <v>ORINOQUIA</v>
      </c>
      <c r="I782" s="6">
        <f t="shared" si="37"/>
        <v>111349.30088806509</v>
      </c>
      <c r="J782" s="47">
        <f t="shared" si="38"/>
        <v>111349.30088806509</v>
      </c>
    </row>
    <row r="783" spans="1:10">
      <c r="A783" s="29" t="s">
        <v>3846</v>
      </c>
      <c r="B783" s="30" t="s">
        <v>149</v>
      </c>
      <c r="C783" s="53" t="s">
        <v>166</v>
      </c>
      <c r="D783" s="53" t="s">
        <v>151</v>
      </c>
      <c r="E783" s="31">
        <v>111349.3008880651</v>
      </c>
      <c r="F783" s="27" t="s">
        <v>4073</v>
      </c>
      <c r="G783" s="48"/>
      <c r="H783" s="47" t="str">
        <f t="shared" si="36"/>
        <v>PACIFICO</v>
      </c>
      <c r="I783" s="6">
        <f t="shared" si="37"/>
        <v>109449.76696268837</v>
      </c>
      <c r="J783" s="47">
        <f t="shared" si="38"/>
        <v>109449.76696268837</v>
      </c>
    </row>
    <row r="784" spans="1:10">
      <c r="A784" s="29" t="s">
        <v>3847</v>
      </c>
      <c r="B784" s="30" t="s">
        <v>149</v>
      </c>
      <c r="C784" s="53" t="s">
        <v>166</v>
      </c>
      <c r="D784" s="53" t="s">
        <v>151</v>
      </c>
      <c r="E784" s="31">
        <v>111349.3008880651</v>
      </c>
      <c r="F784" s="27" t="s">
        <v>4073</v>
      </c>
      <c r="G784" s="48"/>
      <c r="H784" s="47" t="str">
        <f t="shared" si="36"/>
        <v>ANDINA</v>
      </c>
      <c r="I784" s="6">
        <f t="shared" si="37"/>
        <v>111358.58762778463</v>
      </c>
      <c r="J784" s="47">
        <f t="shared" si="38"/>
        <v>111358.58762778463</v>
      </c>
    </row>
    <row r="785" spans="1:10">
      <c r="A785" s="29" t="s">
        <v>3849</v>
      </c>
      <c r="B785" s="30" t="s">
        <v>149</v>
      </c>
      <c r="C785" s="53" t="s">
        <v>166</v>
      </c>
      <c r="D785" s="53" t="s">
        <v>151</v>
      </c>
      <c r="E785" s="31">
        <v>111349.3008880651</v>
      </c>
      <c r="F785" s="27" t="s">
        <v>4073</v>
      </c>
      <c r="G785" s="48"/>
      <c r="H785" s="47" t="str">
        <f t="shared" si="36"/>
        <v>ANDINA</v>
      </c>
      <c r="I785" s="6">
        <f t="shared" si="37"/>
        <v>111358.58762778463</v>
      </c>
      <c r="J785" s="47">
        <f t="shared" si="38"/>
        <v>111358.58762778463</v>
      </c>
    </row>
    <row r="786" spans="1:10">
      <c r="A786" s="29" t="s">
        <v>3850</v>
      </c>
      <c r="B786" s="30" t="s">
        <v>149</v>
      </c>
      <c r="C786" s="53" t="s">
        <v>166</v>
      </c>
      <c r="D786" s="53" t="s">
        <v>151</v>
      </c>
      <c r="E786" s="31">
        <v>107333.3333333333</v>
      </c>
      <c r="F786" s="27" t="s">
        <v>4074</v>
      </c>
      <c r="G786" s="48"/>
      <c r="H786" s="47" t="str">
        <f t="shared" si="36"/>
        <v>ANDINA</v>
      </c>
      <c r="I786" s="6">
        <f t="shared" si="37"/>
        <v>107333.3333333333</v>
      </c>
      <c r="J786" s="47">
        <f t="shared" si="38"/>
        <v>107333.3333333333</v>
      </c>
    </row>
    <row r="787" spans="1:10">
      <c r="A787" s="29" t="s">
        <v>3851</v>
      </c>
      <c r="B787" s="30" t="s">
        <v>149</v>
      </c>
      <c r="C787" s="53" t="s">
        <v>166</v>
      </c>
      <c r="D787" s="53" t="s">
        <v>151</v>
      </c>
      <c r="E787" s="31">
        <v>111349.3008880651</v>
      </c>
      <c r="F787" s="27" t="s">
        <v>4073</v>
      </c>
      <c r="G787" s="48"/>
      <c r="H787" s="47" t="str">
        <f t="shared" si="36"/>
        <v>ANDINA</v>
      </c>
      <c r="I787" s="6">
        <f t="shared" si="37"/>
        <v>111358.58762778463</v>
      </c>
      <c r="J787" s="47">
        <f t="shared" si="38"/>
        <v>111358.58762778463</v>
      </c>
    </row>
    <row r="788" spans="1:10">
      <c r="A788" s="29" t="s">
        <v>3852</v>
      </c>
      <c r="B788" s="30" t="s">
        <v>149</v>
      </c>
      <c r="C788" s="53" t="s">
        <v>166</v>
      </c>
      <c r="D788" s="53" t="s">
        <v>151</v>
      </c>
      <c r="E788" s="31">
        <v>117641.25</v>
      </c>
      <c r="F788" s="27" t="s">
        <v>4074</v>
      </c>
      <c r="G788" s="48"/>
      <c r="H788" s="47" t="str">
        <f t="shared" si="36"/>
        <v>CARIBE</v>
      </c>
      <c r="I788" s="6">
        <f t="shared" si="37"/>
        <v>117641.25</v>
      </c>
      <c r="J788" s="47">
        <f t="shared" si="38"/>
        <v>117641.25</v>
      </c>
    </row>
    <row r="789" spans="1:10">
      <c r="A789" s="29" t="s">
        <v>3853</v>
      </c>
      <c r="B789" s="30" t="s">
        <v>149</v>
      </c>
      <c r="C789" s="53" t="s">
        <v>166</v>
      </c>
      <c r="D789" s="53" t="s">
        <v>151</v>
      </c>
      <c r="E789" s="31">
        <v>110217.0486111083</v>
      </c>
      <c r="F789" s="27" t="s">
        <v>4074</v>
      </c>
      <c r="G789" s="48"/>
      <c r="H789" s="47" t="str">
        <f t="shared" si="36"/>
        <v>ANDINA</v>
      </c>
      <c r="I789" s="6">
        <f t="shared" si="37"/>
        <v>110217.0486111083</v>
      </c>
      <c r="J789" s="47">
        <f t="shared" si="38"/>
        <v>110217.0486111083</v>
      </c>
    </row>
    <row r="790" spans="1:10">
      <c r="A790" s="29" t="s">
        <v>3854</v>
      </c>
      <c r="B790" s="30" t="s">
        <v>149</v>
      </c>
      <c r="C790" s="53" t="s">
        <v>166</v>
      </c>
      <c r="D790" s="53" t="s">
        <v>151</v>
      </c>
      <c r="E790" s="31">
        <v>107000</v>
      </c>
      <c r="F790" s="27" t="s">
        <v>4074</v>
      </c>
      <c r="G790" s="48"/>
      <c r="H790" s="47" t="str">
        <f t="shared" si="36"/>
        <v>PACIFICO</v>
      </c>
      <c r="I790" s="6">
        <f t="shared" si="37"/>
        <v>107000</v>
      </c>
      <c r="J790" s="47">
        <f t="shared" si="38"/>
        <v>107000</v>
      </c>
    </row>
    <row r="791" spans="1:10">
      <c r="A791" s="29" t="s">
        <v>4076</v>
      </c>
      <c r="B791" s="30" t="s">
        <v>149</v>
      </c>
      <c r="C791" s="53" t="s">
        <v>166</v>
      </c>
      <c r="D791" s="53" t="s">
        <v>151</v>
      </c>
      <c r="E791" s="31">
        <v>111349.3008880651</v>
      </c>
      <c r="F791" s="27" t="s">
        <v>4073</v>
      </c>
      <c r="G791" s="48"/>
      <c r="H791" s="47" t="str">
        <f t="shared" si="36"/>
        <v>AMAZONIA</v>
      </c>
      <c r="I791" s="6">
        <f t="shared" si="37"/>
        <v>111349.30088806509</v>
      </c>
      <c r="J791" s="47">
        <f t="shared" si="38"/>
        <v>111349.30088806509</v>
      </c>
    </row>
    <row r="792" spans="1:10">
      <c r="A792" s="29" t="s">
        <v>3831</v>
      </c>
      <c r="B792" s="30" t="s">
        <v>149</v>
      </c>
      <c r="C792" s="53" t="s">
        <v>163</v>
      </c>
      <c r="D792" s="53" t="s">
        <v>164</v>
      </c>
      <c r="E792" s="31">
        <v>126413.28152765</v>
      </c>
      <c r="F792" s="27" t="s">
        <v>4074</v>
      </c>
      <c r="G792" s="48"/>
      <c r="H792" s="47" t="str">
        <f t="shared" si="36"/>
        <v>ANDINA</v>
      </c>
      <c r="I792" s="6">
        <f t="shared" si="37"/>
        <v>126413.28152765</v>
      </c>
      <c r="J792" s="47">
        <f t="shared" si="38"/>
        <v>126413.28152765</v>
      </c>
    </row>
    <row r="793" spans="1:10">
      <c r="A793" s="29" t="s">
        <v>4075</v>
      </c>
      <c r="B793" s="30" t="s">
        <v>149</v>
      </c>
      <c r="C793" s="53" t="s">
        <v>163</v>
      </c>
      <c r="D793" s="53" t="s">
        <v>164</v>
      </c>
      <c r="E793" s="31">
        <v>136922.22222221669</v>
      </c>
      <c r="F793" s="27" t="s">
        <v>4074</v>
      </c>
      <c r="G793" s="48"/>
      <c r="H793" s="47" t="str">
        <f t="shared" si="36"/>
        <v>ANDINA</v>
      </c>
      <c r="I793" s="6">
        <f t="shared" si="37"/>
        <v>136922.22222221669</v>
      </c>
      <c r="J793" s="47">
        <f t="shared" si="38"/>
        <v>136922.22222221669</v>
      </c>
    </row>
    <row r="794" spans="1:10">
      <c r="A794" s="29" t="s">
        <v>3834</v>
      </c>
      <c r="B794" s="30" t="s">
        <v>149</v>
      </c>
      <c r="C794" s="53" t="s">
        <v>163</v>
      </c>
      <c r="D794" s="53" t="s">
        <v>164</v>
      </c>
      <c r="E794" s="31">
        <v>129509.6904195097</v>
      </c>
      <c r="F794" s="27" t="s">
        <v>4073</v>
      </c>
      <c r="G794" s="48"/>
      <c r="H794" s="47" t="str">
        <f t="shared" si="36"/>
        <v>CARIBE</v>
      </c>
      <c r="I794" s="6">
        <f t="shared" si="37"/>
        <v>129509.6904195097</v>
      </c>
      <c r="J794" s="47">
        <f t="shared" si="38"/>
        <v>129509.6904195097</v>
      </c>
    </row>
    <row r="795" spans="1:10">
      <c r="A795" s="29" t="s">
        <v>3835</v>
      </c>
      <c r="B795" s="30" t="s">
        <v>149</v>
      </c>
      <c r="C795" s="53" t="s">
        <v>163</v>
      </c>
      <c r="D795" s="53" t="s">
        <v>164</v>
      </c>
      <c r="E795" s="31">
        <v>125954.45665445</v>
      </c>
      <c r="F795" s="27" t="s">
        <v>4074</v>
      </c>
      <c r="G795" s="48"/>
      <c r="H795" s="47" t="str">
        <f t="shared" si="36"/>
        <v>ANDINA</v>
      </c>
      <c r="I795" s="6">
        <f t="shared" si="37"/>
        <v>125954.45665445</v>
      </c>
      <c r="J795" s="47">
        <f t="shared" si="38"/>
        <v>125954.45665445</v>
      </c>
    </row>
    <row r="796" spans="1:10">
      <c r="A796" s="29" t="s">
        <v>3836</v>
      </c>
      <c r="B796" s="30" t="s">
        <v>149</v>
      </c>
      <c r="C796" s="53" t="s">
        <v>163</v>
      </c>
      <c r="D796" s="53" t="s">
        <v>164</v>
      </c>
      <c r="E796" s="31">
        <v>126930.95238095</v>
      </c>
      <c r="F796" s="27" t="s">
        <v>4074</v>
      </c>
      <c r="G796" s="48"/>
      <c r="H796" s="47" t="str">
        <f t="shared" si="36"/>
        <v>ANDINA</v>
      </c>
      <c r="I796" s="6">
        <f t="shared" si="37"/>
        <v>126930.95238095</v>
      </c>
      <c r="J796" s="47">
        <f t="shared" si="38"/>
        <v>126930.95238095</v>
      </c>
    </row>
    <row r="797" spans="1:10">
      <c r="A797" s="29" t="s">
        <v>3839</v>
      </c>
      <c r="B797" s="30" t="s">
        <v>149</v>
      </c>
      <c r="C797" s="53" t="s">
        <v>163</v>
      </c>
      <c r="D797" s="53" t="s">
        <v>164</v>
      </c>
      <c r="E797" s="31">
        <v>128084.44444445</v>
      </c>
      <c r="F797" s="27" t="s">
        <v>4074</v>
      </c>
      <c r="G797" s="48"/>
      <c r="H797" s="47" t="str">
        <f t="shared" si="36"/>
        <v>PACIFICO</v>
      </c>
      <c r="I797" s="6">
        <f t="shared" si="37"/>
        <v>128084.44444445</v>
      </c>
      <c r="J797" s="47">
        <f t="shared" si="38"/>
        <v>128084.44444445</v>
      </c>
    </row>
    <row r="798" spans="1:10">
      <c r="A798" s="29" t="s">
        <v>3840</v>
      </c>
      <c r="B798" s="30" t="s">
        <v>149</v>
      </c>
      <c r="C798" s="53" t="s">
        <v>163</v>
      </c>
      <c r="D798" s="53" t="s">
        <v>164</v>
      </c>
      <c r="E798" s="31">
        <v>129509.6904195097</v>
      </c>
      <c r="F798" s="27" t="s">
        <v>4073</v>
      </c>
      <c r="G798" s="48"/>
      <c r="H798" s="47" t="str">
        <f t="shared" si="36"/>
        <v>CARIBE</v>
      </c>
      <c r="I798" s="6">
        <f t="shared" si="37"/>
        <v>129509.6904195097</v>
      </c>
      <c r="J798" s="47">
        <f t="shared" si="38"/>
        <v>129509.6904195097</v>
      </c>
    </row>
    <row r="799" spans="1:10">
      <c r="A799" s="29" t="s">
        <v>3841</v>
      </c>
      <c r="B799" s="30" t="s">
        <v>149</v>
      </c>
      <c r="C799" s="53" t="s">
        <v>163</v>
      </c>
      <c r="D799" s="53" t="s">
        <v>164</v>
      </c>
      <c r="E799" s="31">
        <v>129509.6904195097</v>
      </c>
      <c r="F799" s="27" t="s">
        <v>4073</v>
      </c>
      <c r="G799" s="48"/>
      <c r="H799" s="47" t="str">
        <f t="shared" si="36"/>
        <v>CARIBE</v>
      </c>
      <c r="I799" s="6">
        <f t="shared" si="37"/>
        <v>129509.6904195097</v>
      </c>
      <c r="J799" s="47">
        <f t="shared" si="38"/>
        <v>129509.6904195097</v>
      </c>
    </row>
    <row r="800" spans="1:10">
      <c r="A800" s="29" t="s">
        <v>3842</v>
      </c>
      <c r="B800" s="30" t="s">
        <v>149</v>
      </c>
      <c r="C800" s="53" t="s">
        <v>163</v>
      </c>
      <c r="D800" s="53" t="s">
        <v>164</v>
      </c>
      <c r="E800" s="31">
        <v>127276.2478070167</v>
      </c>
      <c r="F800" s="27" t="s">
        <v>4074</v>
      </c>
      <c r="G800" s="48"/>
      <c r="H800" s="47" t="str">
        <f t="shared" si="36"/>
        <v>ANDINA</v>
      </c>
      <c r="I800" s="6">
        <f t="shared" si="37"/>
        <v>127276.2478070167</v>
      </c>
      <c r="J800" s="47">
        <f t="shared" si="38"/>
        <v>127276.2478070167</v>
      </c>
    </row>
    <row r="801" spans="1:10">
      <c r="A801" s="29" t="s">
        <v>3843</v>
      </c>
      <c r="B801" s="30" t="s">
        <v>149</v>
      </c>
      <c r="C801" s="53" t="s">
        <v>163</v>
      </c>
      <c r="D801" s="53" t="s">
        <v>164</v>
      </c>
      <c r="E801" s="31">
        <v>125465.4207516333</v>
      </c>
      <c r="F801" s="27" t="s">
        <v>4074</v>
      </c>
      <c r="G801" s="48"/>
      <c r="H801" s="47" t="str">
        <f t="shared" si="36"/>
        <v>ANDINA</v>
      </c>
      <c r="I801" s="6">
        <f t="shared" si="37"/>
        <v>125465.4207516333</v>
      </c>
      <c r="J801" s="47">
        <f t="shared" si="38"/>
        <v>125465.4207516333</v>
      </c>
    </row>
    <row r="802" spans="1:10">
      <c r="A802" s="29" t="s">
        <v>3845</v>
      </c>
      <c r="B802" s="30" t="s">
        <v>149</v>
      </c>
      <c r="C802" s="53" t="s">
        <v>163</v>
      </c>
      <c r="D802" s="53" t="s">
        <v>164</v>
      </c>
      <c r="E802" s="31">
        <v>127375</v>
      </c>
      <c r="F802" s="27" t="s">
        <v>4074</v>
      </c>
      <c r="G802" s="48"/>
      <c r="H802" s="47" t="str">
        <f t="shared" si="36"/>
        <v>ORINOQUIA</v>
      </c>
      <c r="I802" s="6">
        <f t="shared" si="37"/>
        <v>127375</v>
      </c>
      <c r="J802" s="47">
        <f t="shared" si="38"/>
        <v>127375</v>
      </c>
    </row>
    <row r="803" spans="1:10">
      <c r="A803" s="29" t="s">
        <v>3846</v>
      </c>
      <c r="B803" s="30" t="s">
        <v>149</v>
      </c>
      <c r="C803" s="53" t="s">
        <v>163</v>
      </c>
      <c r="D803" s="53" t="s">
        <v>164</v>
      </c>
      <c r="E803" s="31">
        <v>123138.8888889167</v>
      </c>
      <c r="F803" s="27" t="s">
        <v>4074</v>
      </c>
      <c r="G803" s="48"/>
      <c r="H803" s="47" t="str">
        <f t="shared" si="36"/>
        <v>PACIFICO</v>
      </c>
      <c r="I803" s="6">
        <f t="shared" si="37"/>
        <v>123138.8888889167</v>
      </c>
      <c r="J803" s="47">
        <f t="shared" si="38"/>
        <v>123138.8888889167</v>
      </c>
    </row>
    <row r="804" spans="1:10">
      <c r="A804" s="29" t="s">
        <v>3847</v>
      </c>
      <c r="B804" s="30" t="s">
        <v>149</v>
      </c>
      <c r="C804" s="53" t="s">
        <v>163</v>
      </c>
      <c r="D804" s="53" t="s">
        <v>164</v>
      </c>
      <c r="E804" s="31">
        <v>129509.6904195097</v>
      </c>
      <c r="F804" s="27" t="s">
        <v>4073</v>
      </c>
      <c r="G804" s="48"/>
      <c r="H804" s="47" t="str">
        <f t="shared" si="36"/>
        <v>ANDINA</v>
      </c>
      <c r="I804" s="6">
        <f t="shared" si="37"/>
        <v>128936.98628670449</v>
      </c>
      <c r="J804" s="47">
        <f t="shared" si="38"/>
        <v>128936.98628670449</v>
      </c>
    </row>
    <row r="805" spans="1:10">
      <c r="A805" s="29" t="s">
        <v>3849</v>
      </c>
      <c r="B805" s="30" t="s">
        <v>149</v>
      </c>
      <c r="C805" s="53" t="s">
        <v>163</v>
      </c>
      <c r="D805" s="53" t="s">
        <v>164</v>
      </c>
      <c r="E805" s="31">
        <v>129509.6904195097</v>
      </c>
      <c r="F805" s="27" t="s">
        <v>4073</v>
      </c>
      <c r="G805" s="48"/>
      <c r="H805" s="47" t="str">
        <f t="shared" si="36"/>
        <v>ANDINA</v>
      </c>
      <c r="I805" s="6">
        <f t="shared" si="37"/>
        <v>128936.98628670449</v>
      </c>
      <c r="J805" s="47">
        <f t="shared" si="38"/>
        <v>128936.98628670449</v>
      </c>
    </row>
    <row r="806" spans="1:10">
      <c r="A806" s="29" t="s">
        <v>3850</v>
      </c>
      <c r="B806" s="30" t="s">
        <v>149</v>
      </c>
      <c r="C806" s="53" t="s">
        <v>163</v>
      </c>
      <c r="D806" s="53" t="s">
        <v>164</v>
      </c>
      <c r="E806" s="31">
        <v>128169.99999998001</v>
      </c>
      <c r="F806" s="27" t="s">
        <v>4074</v>
      </c>
      <c r="G806" s="48"/>
      <c r="H806" s="47" t="str">
        <f t="shared" si="36"/>
        <v>ANDINA</v>
      </c>
      <c r="I806" s="6">
        <f t="shared" si="37"/>
        <v>128169.99999998001</v>
      </c>
      <c r="J806" s="47">
        <f t="shared" si="38"/>
        <v>128169.99999998001</v>
      </c>
    </row>
    <row r="807" spans="1:10">
      <c r="A807" s="29" t="s">
        <v>3851</v>
      </c>
      <c r="B807" s="30" t="s">
        <v>149</v>
      </c>
      <c r="C807" s="53" t="s">
        <v>163</v>
      </c>
      <c r="D807" s="53" t="s">
        <v>164</v>
      </c>
      <c r="E807" s="31">
        <v>131709.97474746671</v>
      </c>
      <c r="F807" s="27" t="s">
        <v>4074</v>
      </c>
      <c r="G807" s="48"/>
      <c r="H807" s="47" t="str">
        <f t="shared" si="36"/>
        <v>ANDINA</v>
      </c>
      <c r="I807" s="6">
        <f t="shared" si="37"/>
        <v>131709.97474746671</v>
      </c>
      <c r="J807" s="47">
        <f t="shared" si="38"/>
        <v>131709.97474746671</v>
      </c>
    </row>
    <row r="808" spans="1:10">
      <c r="A808" s="29" t="s">
        <v>3852</v>
      </c>
      <c r="B808" s="30" t="s">
        <v>149</v>
      </c>
      <c r="C808" s="53" t="s">
        <v>163</v>
      </c>
      <c r="D808" s="53" t="s">
        <v>164</v>
      </c>
      <c r="E808" s="31">
        <v>129509.6904195097</v>
      </c>
      <c r="F808" s="27" t="s">
        <v>4073</v>
      </c>
      <c r="G808" s="48"/>
      <c r="H808" s="47" t="str">
        <f t="shared" si="36"/>
        <v>CARIBE</v>
      </c>
      <c r="I808" s="6">
        <f t="shared" si="37"/>
        <v>129509.6904195097</v>
      </c>
      <c r="J808" s="47">
        <f t="shared" si="38"/>
        <v>129509.6904195097</v>
      </c>
    </row>
    <row r="809" spans="1:10">
      <c r="A809" s="29" t="s">
        <v>3853</v>
      </c>
      <c r="B809" s="30" t="s">
        <v>149</v>
      </c>
      <c r="C809" s="53" t="s">
        <v>163</v>
      </c>
      <c r="D809" s="53" t="s">
        <v>164</v>
      </c>
      <c r="E809" s="31">
        <v>130444.9122233667</v>
      </c>
      <c r="F809" s="27" t="s">
        <v>4074</v>
      </c>
      <c r="G809" s="48"/>
      <c r="H809" s="47" t="str">
        <f t="shared" si="36"/>
        <v>ANDINA</v>
      </c>
      <c r="I809" s="6">
        <f t="shared" si="37"/>
        <v>130444.9122233667</v>
      </c>
      <c r="J809" s="47">
        <f t="shared" si="38"/>
        <v>130444.9122233667</v>
      </c>
    </row>
    <row r="810" spans="1:10">
      <c r="A810" s="29" t="s">
        <v>3854</v>
      </c>
      <c r="B810" s="30" t="s">
        <v>149</v>
      </c>
      <c r="C810" s="53" t="s">
        <v>163</v>
      </c>
      <c r="D810" s="53" t="s">
        <v>164</v>
      </c>
      <c r="E810" s="31">
        <v>138054.1340852</v>
      </c>
      <c r="F810" s="27" t="s">
        <v>4074</v>
      </c>
      <c r="G810" s="48"/>
      <c r="H810" s="47" t="str">
        <f t="shared" si="36"/>
        <v>PACIFICO</v>
      </c>
      <c r="I810" s="6">
        <f t="shared" si="37"/>
        <v>138054.1340852</v>
      </c>
      <c r="J810" s="47">
        <f t="shared" si="38"/>
        <v>138054.1340852</v>
      </c>
    </row>
    <row r="811" spans="1:10">
      <c r="A811" s="29" t="s">
        <v>4076</v>
      </c>
      <c r="B811" s="30" t="s">
        <v>149</v>
      </c>
      <c r="C811" s="53" t="s">
        <v>163</v>
      </c>
      <c r="D811" s="53" t="s">
        <v>164</v>
      </c>
      <c r="E811" s="31">
        <v>129509.6904195097</v>
      </c>
      <c r="F811" s="27" t="s">
        <v>4073</v>
      </c>
      <c r="G811" s="48"/>
      <c r="H811" s="47" t="str">
        <f t="shared" si="36"/>
        <v>AMAZONIA</v>
      </c>
      <c r="I811" s="6">
        <f t="shared" si="37"/>
        <v>129509.6904195097</v>
      </c>
      <c r="J811" s="47">
        <f t="shared" si="38"/>
        <v>129509.6904195097</v>
      </c>
    </row>
    <row r="812" spans="1:10">
      <c r="A812" s="29" t="s">
        <v>3831</v>
      </c>
      <c r="B812" s="30" t="s">
        <v>149</v>
      </c>
      <c r="C812" s="53" t="s">
        <v>150</v>
      </c>
      <c r="D812" s="53" t="s">
        <v>151</v>
      </c>
      <c r="E812" s="31">
        <v>195758.05555621881</v>
      </c>
      <c r="F812" s="27" t="s">
        <v>4074</v>
      </c>
      <c r="G812" s="48"/>
      <c r="H812" s="47" t="str">
        <f t="shared" si="36"/>
        <v>ANDINA</v>
      </c>
      <c r="I812" s="6">
        <f t="shared" si="37"/>
        <v>195758.05555621881</v>
      </c>
      <c r="J812" s="47">
        <f t="shared" si="38"/>
        <v>195758.05555621881</v>
      </c>
    </row>
    <row r="813" spans="1:10">
      <c r="A813" s="29" t="s">
        <v>4075</v>
      </c>
      <c r="B813" s="30" t="s">
        <v>149</v>
      </c>
      <c r="C813" s="53" t="s">
        <v>150</v>
      </c>
      <c r="D813" s="53" t="s">
        <v>151</v>
      </c>
      <c r="E813" s="31">
        <v>203176.38888888329</v>
      </c>
      <c r="F813" s="27" t="s">
        <v>4074</v>
      </c>
      <c r="G813" s="48"/>
      <c r="H813" s="47" t="str">
        <f t="shared" si="36"/>
        <v>ANDINA</v>
      </c>
      <c r="I813" s="6">
        <f t="shared" si="37"/>
        <v>203176.38888888329</v>
      </c>
      <c r="J813" s="47">
        <f t="shared" si="38"/>
        <v>203176.38888888329</v>
      </c>
    </row>
    <row r="814" spans="1:10">
      <c r="A814" s="29" t="s">
        <v>3834</v>
      </c>
      <c r="B814" s="30" t="s">
        <v>149</v>
      </c>
      <c r="C814" s="53" t="s">
        <v>150</v>
      </c>
      <c r="D814" s="53" t="s">
        <v>151</v>
      </c>
      <c r="E814" s="31">
        <v>194085.8096882547</v>
      </c>
      <c r="F814" s="27" t="s">
        <v>4073</v>
      </c>
      <c r="G814" s="48"/>
      <c r="H814" s="47" t="str">
        <f t="shared" si="36"/>
        <v>CARIBE</v>
      </c>
      <c r="I814" s="6">
        <f t="shared" si="37"/>
        <v>192126.65090328091</v>
      </c>
      <c r="J814" s="47">
        <f t="shared" si="38"/>
        <v>192126.65090328091</v>
      </c>
    </row>
    <row r="815" spans="1:10">
      <c r="A815" s="29" t="s">
        <v>3835</v>
      </c>
      <c r="B815" s="30" t="s">
        <v>149</v>
      </c>
      <c r="C815" s="53" t="s">
        <v>150</v>
      </c>
      <c r="D815" s="53" t="s">
        <v>151</v>
      </c>
      <c r="E815" s="31">
        <v>196542.5</v>
      </c>
      <c r="F815" s="27" t="s">
        <v>4074</v>
      </c>
      <c r="G815" s="48"/>
      <c r="H815" s="47" t="str">
        <f t="shared" si="36"/>
        <v>ANDINA</v>
      </c>
      <c r="I815" s="6">
        <f t="shared" si="37"/>
        <v>196542.5</v>
      </c>
      <c r="J815" s="47">
        <f t="shared" si="38"/>
        <v>196542.5</v>
      </c>
    </row>
    <row r="816" spans="1:10">
      <c r="A816" s="29" t="s">
        <v>3836</v>
      </c>
      <c r="B816" s="30" t="s">
        <v>149</v>
      </c>
      <c r="C816" s="53" t="s">
        <v>150</v>
      </c>
      <c r="D816" s="53" t="s">
        <v>151</v>
      </c>
      <c r="E816" s="31">
        <v>182841.66666666669</v>
      </c>
      <c r="F816" s="27" t="s">
        <v>4074</v>
      </c>
      <c r="G816" s="48"/>
      <c r="H816" s="47" t="str">
        <f t="shared" si="36"/>
        <v>ANDINA</v>
      </c>
      <c r="I816" s="6">
        <f t="shared" si="37"/>
        <v>182841.66666666669</v>
      </c>
      <c r="J816" s="47">
        <f t="shared" si="38"/>
        <v>182841.66666666669</v>
      </c>
    </row>
    <row r="817" spans="1:10">
      <c r="A817" s="29" t="s">
        <v>3839</v>
      </c>
      <c r="B817" s="30" t="s">
        <v>149</v>
      </c>
      <c r="C817" s="53" t="s">
        <v>150</v>
      </c>
      <c r="D817" s="53" t="s">
        <v>151</v>
      </c>
      <c r="E817" s="31">
        <v>198055.68333333</v>
      </c>
      <c r="F817" s="27" t="s">
        <v>4074</v>
      </c>
      <c r="G817" s="48"/>
      <c r="H817" s="47" t="str">
        <f t="shared" si="36"/>
        <v>PACIFICO</v>
      </c>
      <c r="I817" s="6">
        <f t="shared" si="37"/>
        <v>198055.68333333</v>
      </c>
      <c r="J817" s="47">
        <f t="shared" si="38"/>
        <v>198055.68333333</v>
      </c>
    </row>
    <row r="818" spans="1:10">
      <c r="A818" s="29" t="s">
        <v>3840</v>
      </c>
      <c r="B818" s="30" t="s">
        <v>149</v>
      </c>
      <c r="C818" s="53" t="s">
        <v>150</v>
      </c>
      <c r="D818" s="53" t="s">
        <v>151</v>
      </c>
      <c r="E818" s="31">
        <v>192533.33333333331</v>
      </c>
      <c r="F818" s="27" t="s">
        <v>4074</v>
      </c>
      <c r="G818" s="48"/>
      <c r="H818" s="47" t="str">
        <f t="shared" si="36"/>
        <v>CARIBE</v>
      </c>
      <c r="I818" s="6">
        <f t="shared" si="37"/>
        <v>192533.33333333331</v>
      </c>
      <c r="J818" s="47">
        <f t="shared" si="38"/>
        <v>192533.33333333331</v>
      </c>
    </row>
    <row r="819" spans="1:10">
      <c r="A819" s="29" t="s">
        <v>3841</v>
      </c>
      <c r="B819" s="30" t="s">
        <v>149</v>
      </c>
      <c r="C819" s="53" t="s">
        <v>150</v>
      </c>
      <c r="D819" s="53" t="s">
        <v>151</v>
      </c>
      <c r="E819" s="31">
        <v>194085.8096882547</v>
      </c>
      <c r="F819" s="27" t="s">
        <v>4073</v>
      </c>
      <c r="G819" s="48"/>
      <c r="H819" s="47" t="str">
        <f t="shared" si="36"/>
        <v>CARIBE</v>
      </c>
      <c r="I819" s="6">
        <f t="shared" si="37"/>
        <v>192126.65090328091</v>
      </c>
      <c r="J819" s="47">
        <f t="shared" si="38"/>
        <v>192126.65090328091</v>
      </c>
    </row>
    <row r="820" spans="1:10">
      <c r="A820" s="29" t="s">
        <v>3842</v>
      </c>
      <c r="B820" s="30" t="s">
        <v>149</v>
      </c>
      <c r="C820" s="53" t="s">
        <v>150</v>
      </c>
      <c r="D820" s="53" t="s">
        <v>151</v>
      </c>
      <c r="E820" s="31">
        <v>196099.6022459034</v>
      </c>
      <c r="F820" s="27" t="s">
        <v>4074</v>
      </c>
      <c r="G820" s="48"/>
      <c r="H820" s="47" t="str">
        <f t="shared" si="36"/>
        <v>ANDINA</v>
      </c>
      <c r="I820" s="6">
        <f t="shared" si="37"/>
        <v>196099.6022459034</v>
      </c>
      <c r="J820" s="47">
        <f t="shared" si="38"/>
        <v>196099.6022459034</v>
      </c>
    </row>
    <row r="821" spans="1:10">
      <c r="A821" s="29" t="s">
        <v>3843</v>
      </c>
      <c r="B821" s="30" t="s">
        <v>149</v>
      </c>
      <c r="C821" s="53" t="s">
        <v>150</v>
      </c>
      <c r="D821" s="53" t="s">
        <v>151</v>
      </c>
      <c r="E821" s="31">
        <v>188755.24911816671</v>
      </c>
      <c r="F821" s="27" t="s">
        <v>4074</v>
      </c>
      <c r="G821" s="48"/>
      <c r="H821" s="47" t="str">
        <f t="shared" si="36"/>
        <v>ANDINA</v>
      </c>
      <c r="I821" s="6">
        <f t="shared" si="37"/>
        <v>188755.24911816671</v>
      </c>
      <c r="J821" s="47">
        <f t="shared" si="38"/>
        <v>188755.24911816671</v>
      </c>
    </row>
    <row r="822" spans="1:10">
      <c r="A822" s="29" t="s">
        <v>3845</v>
      </c>
      <c r="B822" s="30" t="s">
        <v>149</v>
      </c>
      <c r="C822" s="53" t="s">
        <v>150</v>
      </c>
      <c r="D822" s="53" t="s">
        <v>151</v>
      </c>
      <c r="E822" s="31">
        <v>194085.8096882547</v>
      </c>
      <c r="F822" s="27" t="s">
        <v>4073</v>
      </c>
      <c r="G822" s="48"/>
      <c r="H822" s="47" t="str">
        <f t="shared" si="36"/>
        <v>ORINOQUIA</v>
      </c>
      <c r="I822" s="6">
        <f t="shared" si="37"/>
        <v>194085.8096882547</v>
      </c>
      <c r="J822" s="47">
        <f t="shared" si="38"/>
        <v>194085.8096882547</v>
      </c>
    </row>
    <row r="823" spans="1:10">
      <c r="A823" s="29" t="s">
        <v>3846</v>
      </c>
      <c r="B823" s="30" t="s">
        <v>149</v>
      </c>
      <c r="C823" s="53" t="s">
        <v>150</v>
      </c>
      <c r="D823" s="53" t="s">
        <v>151</v>
      </c>
      <c r="E823" s="31">
        <v>189546.875</v>
      </c>
      <c r="F823" s="27" t="s">
        <v>4074</v>
      </c>
      <c r="G823" s="48"/>
      <c r="H823" s="47" t="str">
        <f t="shared" si="36"/>
        <v>PACIFICO</v>
      </c>
      <c r="I823" s="6">
        <f t="shared" si="37"/>
        <v>189546.875</v>
      </c>
      <c r="J823" s="47">
        <f t="shared" si="38"/>
        <v>189546.875</v>
      </c>
    </row>
    <row r="824" spans="1:10">
      <c r="A824" s="29" t="s">
        <v>3847</v>
      </c>
      <c r="B824" s="30" t="s">
        <v>149</v>
      </c>
      <c r="C824" s="53" t="s">
        <v>150</v>
      </c>
      <c r="D824" s="53" t="s">
        <v>151</v>
      </c>
      <c r="E824" s="31">
        <v>192528.57142857861</v>
      </c>
      <c r="F824" s="27" t="s">
        <v>4074</v>
      </c>
      <c r="G824" s="48"/>
      <c r="H824" s="47" t="str">
        <f t="shared" si="36"/>
        <v>ANDINA</v>
      </c>
      <c r="I824" s="6">
        <f t="shared" si="37"/>
        <v>192528.57142857861</v>
      </c>
      <c r="J824" s="47">
        <f t="shared" si="38"/>
        <v>192528.57142857861</v>
      </c>
    </row>
    <row r="825" spans="1:10">
      <c r="A825" s="29" t="s">
        <v>3849</v>
      </c>
      <c r="B825" s="30" t="s">
        <v>149</v>
      </c>
      <c r="C825" s="53" t="s">
        <v>150</v>
      </c>
      <c r="D825" s="53" t="s">
        <v>151</v>
      </c>
      <c r="E825" s="31">
        <v>190220</v>
      </c>
      <c r="F825" s="27" t="s">
        <v>4074</v>
      </c>
      <c r="G825" s="48"/>
      <c r="H825" s="47" t="str">
        <f t="shared" si="36"/>
        <v>ANDINA</v>
      </c>
      <c r="I825" s="6">
        <f t="shared" si="37"/>
        <v>190220</v>
      </c>
      <c r="J825" s="47">
        <f t="shared" si="38"/>
        <v>190220</v>
      </c>
    </row>
    <row r="826" spans="1:10">
      <c r="A826" s="29" t="s">
        <v>3850</v>
      </c>
      <c r="B826" s="30" t="s">
        <v>149</v>
      </c>
      <c r="C826" s="53" t="s">
        <v>150</v>
      </c>
      <c r="D826" s="53" t="s">
        <v>151</v>
      </c>
      <c r="E826" s="31">
        <v>190280</v>
      </c>
      <c r="F826" s="27" t="s">
        <v>4074</v>
      </c>
      <c r="G826" s="48"/>
      <c r="H826" s="47" t="str">
        <f t="shared" si="36"/>
        <v>ANDINA</v>
      </c>
      <c r="I826" s="6">
        <f t="shared" si="37"/>
        <v>190280</v>
      </c>
      <c r="J826" s="47">
        <f t="shared" si="38"/>
        <v>190280</v>
      </c>
    </row>
    <row r="827" spans="1:10">
      <c r="A827" s="29" t="s">
        <v>3851</v>
      </c>
      <c r="B827" s="30" t="s">
        <v>149</v>
      </c>
      <c r="C827" s="53" t="s">
        <v>150</v>
      </c>
      <c r="D827" s="53" t="s">
        <v>151</v>
      </c>
      <c r="E827" s="31">
        <v>194608.84523809381</v>
      </c>
      <c r="F827" s="27" t="s">
        <v>4074</v>
      </c>
      <c r="G827" s="48"/>
      <c r="H827" s="47" t="str">
        <f t="shared" si="36"/>
        <v>ANDINA</v>
      </c>
      <c r="I827" s="6">
        <f t="shared" si="37"/>
        <v>194608.84523809381</v>
      </c>
      <c r="J827" s="47">
        <f t="shared" si="38"/>
        <v>194608.84523809381</v>
      </c>
    </row>
    <row r="828" spans="1:10">
      <c r="A828" s="29" t="s">
        <v>3852</v>
      </c>
      <c r="B828" s="30" t="s">
        <v>149</v>
      </c>
      <c r="C828" s="53" t="s">
        <v>150</v>
      </c>
      <c r="D828" s="53" t="s">
        <v>151</v>
      </c>
      <c r="E828" s="31">
        <v>183883.33333333331</v>
      </c>
      <c r="F828" s="27" t="s">
        <v>4074</v>
      </c>
      <c r="G828" s="48"/>
      <c r="H828" s="47" t="str">
        <f t="shared" si="36"/>
        <v>CARIBE</v>
      </c>
      <c r="I828" s="6">
        <f t="shared" si="37"/>
        <v>183883.33333333331</v>
      </c>
      <c r="J828" s="47">
        <f t="shared" si="38"/>
        <v>183883.33333333331</v>
      </c>
    </row>
    <row r="829" spans="1:10">
      <c r="A829" s="29" t="s">
        <v>3853</v>
      </c>
      <c r="B829" s="30" t="s">
        <v>149</v>
      </c>
      <c r="C829" s="53" t="s">
        <v>150</v>
      </c>
      <c r="D829" s="53" t="s">
        <v>151</v>
      </c>
      <c r="E829" s="31">
        <v>196502.1693121694</v>
      </c>
      <c r="F829" s="27" t="s">
        <v>4074</v>
      </c>
      <c r="G829" s="48"/>
      <c r="H829" s="47" t="str">
        <f t="shared" si="36"/>
        <v>ANDINA</v>
      </c>
      <c r="I829" s="6">
        <f t="shared" si="37"/>
        <v>196502.1693121694</v>
      </c>
      <c r="J829" s="47">
        <f t="shared" si="38"/>
        <v>196502.1693121694</v>
      </c>
    </row>
    <row r="830" spans="1:10">
      <c r="A830" s="29" t="s">
        <v>3854</v>
      </c>
      <c r="B830" s="30" t="s">
        <v>149</v>
      </c>
      <c r="C830" s="53" t="s">
        <v>150</v>
      </c>
      <c r="D830" s="53" t="s">
        <v>151</v>
      </c>
      <c r="E830" s="31">
        <v>196177.60854341171</v>
      </c>
      <c r="F830" s="27" t="s">
        <v>4074</v>
      </c>
      <c r="G830" s="48"/>
      <c r="H830" s="47" t="str">
        <f t="shared" si="36"/>
        <v>PACIFICO</v>
      </c>
      <c r="I830" s="6">
        <f t="shared" si="37"/>
        <v>196177.60854341171</v>
      </c>
      <c r="J830" s="47">
        <f t="shared" si="38"/>
        <v>196177.60854341171</v>
      </c>
    </row>
    <row r="831" spans="1:10">
      <c r="A831" s="29" t="s">
        <v>4076</v>
      </c>
      <c r="B831" s="30" t="s">
        <v>149</v>
      </c>
      <c r="C831" s="53" t="s">
        <v>150</v>
      </c>
      <c r="D831" s="53" t="s">
        <v>151</v>
      </c>
      <c r="E831" s="31">
        <v>194085.8096882547</v>
      </c>
      <c r="F831" s="27" t="s">
        <v>4073</v>
      </c>
      <c r="G831" s="48"/>
      <c r="H831" s="47" t="str">
        <f t="shared" si="36"/>
        <v>AMAZONIA</v>
      </c>
      <c r="I831" s="6">
        <f t="shared" si="37"/>
        <v>194085.8096882547</v>
      </c>
      <c r="J831" s="47">
        <f t="shared" si="38"/>
        <v>194085.8096882547</v>
      </c>
    </row>
    <row r="832" spans="1:10">
      <c r="A832" s="29" t="s">
        <v>3831</v>
      </c>
      <c r="B832" s="30" t="s">
        <v>149</v>
      </c>
      <c r="C832" s="53" t="s">
        <v>156</v>
      </c>
      <c r="D832" s="53" t="s">
        <v>151</v>
      </c>
      <c r="E832" s="32">
        <v>16640.006733999999</v>
      </c>
      <c r="F832" s="27" t="s">
        <v>4074</v>
      </c>
      <c r="G832" s="48"/>
      <c r="H832" s="47" t="str">
        <f t="shared" si="36"/>
        <v>ANDINA</v>
      </c>
      <c r="I832" s="6">
        <f t="shared" si="37"/>
        <v>16640.006733999999</v>
      </c>
      <c r="J832" s="47">
        <f t="shared" si="38"/>
        <v>16640.006733999999</v>
      </c>
    </row>
    <row r="833" spans="1:10">
      <c r="A833" s="29" t="s">
        <v>4075</v>
      </c>
      <c r="B833" s="30" t="s">
        <v>149</v>
      </c>
      <c r="C833" s="53" t="s">
        <v>156</v>
      </c>
      <c r="D833" s="53" t="s">
        <v>151</v>
      </c>
      <c r="E833" s="32">
        <v>16744.497139344228</v>
      </c>
      <c r="F833" s="27" t="s">
        <v>4073</v>
      </c>
      <c r="G833" s="48"/>
      <c r="H833" s="47" t="str">
        <f t="shared" si="36"/>
        <v>ANDINA</v>
      </c>
      <c r="I833" s="6">
        <f t="shared" si="37"/>
        <v>16763.802288384613</v>
      </c>
      <c r="J833" s="47">
        <f t="shared" si="38"/>
        <v>16763.802288384613</v>
      </c>
    </row>
    <row r="834" spans="1:10">
      <c r="A834" s="29" t="s">
        <v>3834</v>
      </c>
      <c r="B834" s="30" t="s">
        <v>149</v>
      </c>
      <c r="C834" s="53" t="s">
        <v>156</v>
      </c>
      <c r="D834" s="53" t="s">
        <v>151</v>
      </c>
      <c r="E834" s="32">
        <v>16744.497139344228</v>
      </c>
      <c r="F834" s="27" t="s">
        <v>4073</v>
      </c>
      <c r="G834" s="48"/>
      <c r="H834" s="47" t="str">
        <f t="shared" ref="H834:H897" si="39">IF(OR(A834="Antioquia",A834="Bogotá, D.C.",A834="Boyacá",A834="Cundinamarca",A834="Caldas",A834="Risaralda",A834="Quindío",A834="Tolima",A834="Huila",A834="Santander",A834="Norte de Santander"),"ANDINA",
IF(OR(A834="Atlántico",A834="Bolívar",A834="Cesar",A834="Córdoba",A834="Sucre",A834="Magdalena"),"CARIBE",
IF(OR(A834="Valle del Cauca",A834="Cauca",A834="Nariño"),"PACIFICO",
IF(OR(A834="Meta",A834="Casanare",A834="Arauca"),"ORINOQUIA",
"AMAZONIA"))))</f>
        <v>CARIBE</v>
      </c>
      <c r="I834" s="6">
        <f t="shared" ref="I834:I897" si="40">IF(F834="Departamental",E834,
AVERAGEIFS($E:$E,$H:$H,H834,$B:$B,B834,$C:$C,C834))</f>
        <v>16744.497139344228</v>
      </c>
      <c r="J834" s="47">
        <f t="shared" si="38"/>
        <v>16744.497139344228</v>
      </c>
    </row>
    <row r="835" spans="1:10">
      <c r="A835" s="29" t="s">
        <v>3835</v>
      </c>
      <c r="B835" s="30" t="s">
        <v>149</v>
      </c>
      <c r="C835" s="53" t="s">
        <v>156</v>
      </c>
      <c r="D835" s="53" t="s">
        <v>151</v>
      </c>
      <c r="E835" s="32">
        <v>17083.333333333332</v>
      </c>
      <c r="F835" s="27" t="s">
        <v>4074</v>
      </c>
      <c r="G835" s="48"/>
      <c r="H835" s="47" t="str">
        <f t="shared" si="39"/>
        <v>ANDINA</v>
      </c>
      <c r="I835" s="6">
        <f t="shared" si="40"/>
        <v>17083.333333333332</v>
      </c>
      <c r="J835" s="47">
        <f t="shared" ref="J835:J898" si="41">IF(G835&lt;&gt;"",G835,I835)</f>
        <v>17083.333333333332</v>
      </c>
    </row>
    <row r="836" spans="1:10">
      <c r="A836" s="29" t="s">
        <v>3836</v>
      </c>
      <c r="B836" s="30" t="s">
        <v>149</v>
      </c>
      <c r="C836" s="53" t="s">
        <v>156</v>
      </c>
      <c r="D836" s="53" t="s">
        <v>151</v>
      </c>
      <c r="E836" s="32">
        <v>19028.611111100003</v>
      </c>
      <c r="F836" s="27" t="s">
        <v>4074</v>
      </c>
      <c r="G836" s="48"/>
      <c r="H836" s="47" t="str">
        <f t="shared" si="39"/>
        <v>ANDINA</v>
      </c>
      <c r="I836" s="6">
        <f t="shared" si="40"/>
        <v>19028.611111100003</v>
      </c>
      <c r="J836" s="47">
        <f t="shared" si="41"/>
        <v>19028.611111100003</v>
      </c>
    </row>
    <row r="837" spans="1:10">
      <c r="A837" s="29" t="s">
        <v>3839</v>
      </c>
      <c r="B837" s="30" t="s">
        <v>149</v>
      </c>
      <c r="C837" s="53" t="s">
        <v>156</v>
      </c>
      <c r="D837" s="53" t="s">
        <v>151</v>
      </c>
      <c r="E837" s="32">
        <v>17212.5</v>
      </c>
      <c r="F837" s="27" t="s">
        <v>4074</v>
      </c>
      <c r="G837" s="48"/>
      <c r="H837" s="47" t="str">
        <f t="shared" si="39"/>
        <v>PACIFICO</v>
      </c>
      <c r="I837" s="6">
        <f t="shared" si="40"/>
        <v>17212.5</v>
      </c>
      <c r="J837" s="47">
        <f t="shared" si="41"/>
        <v>17212.5</v>
      </c>
    </row>
    <row r="838" spans="1:10">
      <c r="A838" s="29" t="s">
        <v>3840</v>
      </c>
      <c r="B838" s="30" t="s">
        <v>149</v>
      </c>
      <c r="C838" s="53" t="s">
        <v>156</v>
      </c>
      <c r="D838" s="53" t="s">
        <v>151</v>
      </c>
      <c r="E838" s="32">
        <v>16744.497139344228</v>
      </c>
      <c r="F838" s="27" t="s">
        <v>4073</v>
      </c>
      <c r="G838" s="48"/>
      <c r="H838" s="47" t="str">
        <f t="shared" si="39"/>
        <v>CARIBE</v>
      </c>
      <c r="I838" s="6">
        <f t="shared" si="40"/>
        <v>16744.497139344228</v>
      </c>
      <c r="J838" s="47">
        <f t="shared" si="41"/>
        <v>16744.497139344228</v>
      </c>
    </row>
    <row r="839" spans="1:10">
      <c r="A839" s="29" t="s">
        <v>3841</v>
      </c>
      <c r="B839" s="30" t="s">
        <v>149</v>
      </c>
      <c r="C839" s="53" t="s">
        <v>156</v>
      </c>
      <c r="D839" s="53" t="s">
        <v>151</v>
      </c>
      <c r="E839" s="32">
        <v>16744.497139344228</v>
      </c>
      <c r="F839" s="27" t="s">
        <v>4073</v>
      </c>
      <c r="G839" s="48"/>
      <c r="H839" s="47" t="str">
        <f t="shared" si="39"/>
        <v>CARIBE</v>
      </c>
      <c r="I839" s="6">
        <f t="shared" si="40"/>
        <v>16744.497139344228</v>
      </c>
      <c r="J839" s="47">
        <f t="shared" si="41"/>
        <v>16744.497139344228</v>
      </c>
    </row>
    <row r="840" spans="1:10">
      <c r="A840" s="29" t="s">
        <v>3842</v>
      </c>
      <c r="B840" s="30" t="s">
        <v>149</v>
      </c>
      <c r="C840" s="53" t="s">
        <v>156</v>
      </c>
      <c r="D840" s="53" t="s">
        <v>151</v>
      </c>
      <c r="E840" s="32">
        <v>14874.924242423078</v>
      </c>
      <c r="F840" s="27" t="s">
        <v>4074</v>
      </c>
      <c r="G840" s="48"/>
      <c r="H840" s="47" t="str">
        <f t="shared" si="39"/>
        <v>ANDINA</v>
      </c>
      <c r="I840" s="6">
        <f t="shared" si="40"/>
        <v>14874.924242423078</v>
      </c>
      <c r="J840" s="47">
        <f t="shared" si="41"/>
        <v>14874.924242423078</v>
      </c>
    </row>
    <row r="841" spans="1:10">
      <c r="A841" s="29" t="s">
        <v>3843</v>
      </c>
      <c r="B841" s="30" t="s">
        <v>149</v>
      </c>
      <c r="C841" s="53" t="s">
        <v>156</v>
      </c>
      <c r="D841" s="53" t="s">
        <v>151</v>
      </c>
      <c r="E841" s="32">
        <v>14335.416666666666</v>
      </c>
      <c r="F841" s="27" t="s">
        <v>4074</v>
      </c>
      <c r="G841" s="48"/>
      <c r="H841" s="47" t="str">
        <f t="shared" si="39"/>
        <v>ANDINA</v>
      </c>
      <c r="I841" s="6">
        <f t="shared" si="40"/>
        <v>14335.416666666666</v>
      </c>
      <c r="J841" s="47">
        <f t="shared" si="41"/>
        <v>14335.416666666666</v>
      </c>
    </row>
    <row r="842" spans="1:10">
      <c r="A842" s="29" t="s">
        <v>3845</v>
      </c>
      <c r="B842" s="30" t="s">
        <v>149</v>
      </c>
      <c r="C842" s="53" t="s">
        <v>156</v>
      </c>
      <c r="D842" s="53" t="s">
        <v>151</v>
      </c>
      <c r="E842" s="32">
        <v>18533.241758238462</v>
      </c>
      <c r="F842" s="27" t="s">
        <v>4074</v>
      </c>
      <c r="G842" s="48"/>
      <c r="H842" s="47" t="str">
        <f t="shared" si="39"/>
        <v>ORINOQUIA</v>
      </c>
      <c r="I842" s="6">
        <f t="shared" si="40"/>
        <v>18533.241758238462</v>
      </c>
      <c r="J842" s="47">
        <f t="shared" si="41"/>
        <v>18533.241758238462</v>
      </c>
    </row>
    <row r="843" spans="1:10">
      <c r="A843" s="29" t="s">
        <v>3846</v>
      </c>
      <c r="B843" s="30" t="s">
        <v>149</v>
      </c>
      <c r="C843" s="53" t="s">
        <v>156</v>
      </c>
      <c r="D843" s="53" t="s">
        <v>151</v>
      </c>
      <c r="E843" s="32">
        <v>16744.497139344228</v>
      </c>
      <c r="F843" s="27" t="s">
        <v>4073</v>
      </c>
      <c r="G843" s="48"/>
      <c r="H843" s="47" t="str">
        <f t="shared" si="39"/>
        <v>PACIFICO</v>
      </c>
      <c r="I843" s="6">
        <f t="shared" si="40"/>
        <v>16904.552227833261</v>
      </c>
      <c r="J843" s="47">
        <f t="shared" si="41"/>
        <v>16904.552227833261</v>
      </c>
    </row>
    <row r="844" spans="1:10">
      <c r="A844" s="29" t="s">
        <v>3847</v>
      </c>
      <c r="B844" s="30" t="s">
        <v>149</v>
      </c>
      <c r="C844" s="53" t="s">
        <v>156</v>
      </c>
      <c r="D844" s="53" t="s">
        <v>151</v>
      </c>
      <c r="E844" s="32">
        <v>16744.497139344228</v>
      </c>
      <c r="F844" s="27" t="s">
        <v>4073</v>
      </c>
      <c r="G844" s="48"/>
      <c r="H844" s="47" t="str">
        <f t="shared" si="39"/>
        <v>ANDINA</v>
      </c>
      <c r="I844" s="6">
        <f t="shared" si="40"/>
        <v>16763.802288384613</v>
      </c>
      <c r="J844" s="47">
        <f t="shared" si="41"/>
        <v>16763.802288384613</v>
      </c>
    </row>
    <row r="845" spans="1:10">
      <c r="A845" s="29" t="s">
        <v>3849</v>
      </c>
      <c r="B845" s="30" t="s">
        <v>149</v>
      </c>
      <c r="C845" s="53" t="s">
        <v>156</v>
      </c>
      <c r="D845" s="53" t="s">
        <v>151</v>
      </c>
      <c r="E845" s="32">
        <v>16744.497139344228</v>
      </c>
      <c r="F845" s="27" t="s">
        <v>4073</v>
      </c>
      <c r="G845" s="48"/>
      <c r="H845" s="47" t="str">
        <f t="shared" si="39"/>
        <v>ANDINA</v>
      </c>
      <c r="I845" s="6">
        <f t="shared" si="40"/>
        <v>16763.802288384613</v>
      </c>
      <c r="J845" s="47">
        <f t="shared" si="41"/>
        <v>16763.802288384613</v>
      </c>
    </row>
    <row r="846" spans="1:10">
      <c r="A846" s="29" t="s">
        <v>3850</v>
      </c>
      <c r="B846" s="30" t="s">
        <v>149</v>
      </c>
      <c r="C846" s="53" t="s">
        <v>156</v>
      </c>
      <c r="D846" s="53" t="s">
        <v>151</v>
      </c>
      <c r="E846" s="32">
        <v>18427.106481483333</v>
      </c>
      <c r="F846" s="27" t="s">
        <v>4074</v>
      </c>
      <c r="G846" s="48"/>
      <c r="H846" s="47" t="str">
        <f t="shared" si="39"/>
        <v>ANDINA</v>
      </c>
      <c r="I846" s="6">
        <f t="shared" si="40"/>
        <v>18427.106481483333</v>
      </c>
      <c r="J846" s="47">
        <f t="shared" si="41"/>
        <v>18427.106481483333</v>
      </c>
    </row>
    <row r="847" spans="1:10">
      <c r="A847" s="29" t="s">
        <v>3851</v>
      </c>
      <c r="B847" s="30" t="s">
        <v>149</v>
      </c>
      <c r="C847" s="53" t="s">
        <v>156</v>
      </c>
      <c r="D847" s="53" t="s">
        <v>151</v>
      </c>
      <c r="E847" s="32">
        <v>18300.000000008335</v>
      </c>
      <c r="F847" s="27" t="s">
        <v>4074</v>
      </c>
      <c r="G847" s="48"/>
      <c r="H847" s="47" t="str">
        <f t="shared" si="39"/>
        <v>ANDINA</v>
      </c>
      <c r="I847" s="6">
        <f t="shared" si="40"/>
        <v>18300.000000008335</v>
      </c>
      <c r="J847" s="47">
        <f t="shared" si="41"/>
        <v>18300.000000008335</v>
      </c>
    </row>
    <row r="848" spans="1:10">
      <c r="A848" s="29" t="s">
        <v>3852</v>
      </c>
      <c r="B848" s="30" t="s">
        <v>149</v>
      </c>
      <c r="C848" s="53" t="s">
        <v>156</v>
      </c>
      <c r="D848" s="53" t="s">
        <v>151</v>
      </c>
      <c r="E848" s="32">
        <v>16744.497139344228</v>
      </c>
      <c r="F848" s="27" t="s">
        <v>4073</v>
      </c>
      <c r="G848" s="48"/>
      <c r="H848" s="47" t="str">
        <f t="shared" si="39"/>
        <v>CARIBE</v>
      </c>
      <c r="I848" s="6">
        <f t="shared" si="40"/>
        <v>16744.497139344228</v>
      </c>
      <c r="J848" s="47">
        <f t="shared" si="41"/>
        <v>16744.497139344228</v>
      </c>
    </row>
    <row r="849" spans="1:10">
      <c r="A849" s="29" t="s">
        <v>3853</v>
      </c>
      <c r="B849" s="30" t="s">
        <v>149</v>
      </c>
      <c r="C849" s="53" t="s">
        <v>156</v>
      </c>
      <c r="D849" s="53" t="s">
        <v>151</v>
      </c>
      <c r="E849" s="32">
        <v>15478.935185183334</v>
      </c>
      <c r="F849" s="27" t="s">
        <v>4074</v>
      </c>
      <c r="G849" s="48"/>
      <c r="H849" s="47" t="str">
        <f t="shared" si="39"/>
        <v>ANDINA</v>
      </c>
      <c r="I849" s="6">
        <f t="shared" si="40"/>
        <v>15478.935185183334</v>
      </c>
      <c r="J849" s="47">
        <f t="shared" si="41"/>
        <v>15478.935185183334</v>
      </c>
    </row>
    <row r="850" spans="1:10">
      <c r="A850" s="29" t="s">
        <v>3854</v>
      </c>
      <c r="B850" s="30" t="s">
        <v>149</v>
      </c>
      <c r="C850" s="53" t="s">
        <v>156</v>
      </c>
      <c r="D850" s="53" t="s">
        <v>151</v>
      </c>
      <c r="E850" s="32">
        <v>16756.659544155555</v>
      </c>
      <c r="F850" s="27" t="s">
        <v>4074</v>
      </c>
      <c r="G850" s="48"/>
      <c r="H850" s="47" t="str">
        <f t="shared" si="39"/>
        <v>PACIFICO</v>
      </c>
      <c r="I850" s="6">
        <f t="shared" si="40"/>
        <v>16756.659544155555</v>
      </c>
      <c r="J850" s="47">
        <f t="shared" si="41"/>
        <v>16756.659544155555</v>
      </c>
    </row>
    <row r="851" spans="1:10">
      <c r="A851" s="29" t="s">
        <v>4076</v>
      </c>
      <c r="B851" s="30" t="s">
        <v>149</v>
      </c>
      <c r="C851" s="53" t="s">
        <v>156</v>
      </c>
      <c r="D851" s="53" t="s">
        <v>151</v>
      </c>
      <c r="E851" s="32">
        <v>16744.497139344232</v>
      </c>
      <c r="F851" s="27" t="s">
        <v>4073</v>
      </c>
      <c r="G851" s="48"/>
      <c r="H851" s="47" t="str">
        <f t="shared" si="39"/>
        <v>AMAZONIA</v>
      </c>
      <c r="I851" s="6">
        <f t="shared" si="40"/>
        <v>16744.497139344232</v>
      </c>
      <c r="J851" s="47">
        <f t="shared" si="41"/>
        <v>16744.497139344232</v>
      </c>
    </row>
    <row r="852" spans="1:10">
      <c r="A852" s="29" t="s">
        <v>3831</v>
      </c>
      <c r="B852" s="27" t="s">
        <v>170</v>
      </c>
      <c r="C852" s="29" t="s">
        <v>230</v>
      </c>
      <c r="D852" s="53" t="s">
        <v>172</v>
      </c>
      <c r="E852" s="31">
        <v>264979.26829268539</v>
      </c>
      <c r="F852" s="27" t="s">
        <v>4073</v>
      </c>
      <c r="G852" s="48"/>
      <c r="H852" s="47" t="str">
        <f t="shared" si="39"/>
        <v>ANDINA</v>
      </c>
      <c r="I852" s="6">
        <f t="shared" si="40"/>
        <v>265399.14441338344</v>
      </c>
      <c r="J852" s="47">
        <f t="shared" si="41"/>
        <v>265399.14441338344</v>
      </c>
    </row>
    <row r="853" spans="1:10">
      <c r="A853" s="29" t="s">
        <v>4075</v>
      </c>
      <c r="B853" s="27" t="s">
        <v>170</v>
      </c>
      <c r="C853" s="29" t="s">
        <v>230</v>
      </c>
      <c r="D853" s="53" t="s">
        <v>172</v>
      </c>
      <c r="E853" s="31">
        <v>264979.26829268539</v>
      </c>
      <c r="F853" s="27" t="s">
        <v>4073</v>
      </c>
      <c r="G853" s="48"/>
      <c r="H853" s="47" t="str">
        <f t="shared" si="39"/>
        <v>ANDINA</v>
      </c>
      <c r="I853" s="6">
        <f t="shared" si="40"/>
        <v>265399.14441338344</v>
      </c>
      <c r="J853" s="47">
        <f t="shared" si="41"/>
        <v>265399.14441338344</v>
      </c>
    </row>
    <row r="854" spans="1:10">
      <c r="A854" s="29" t="s">
        <v>3835</v>
      </c>
      <c r="B854" s="27" t="s">
        <v>170</v>
      </c>
      <c r="C854" s="29" t="s">
        <v>230</v>
      </c>
      <c r="D854" s="53" t="s">
        <v>172</v>
      </c>
      <c r="E854" s="31">
        <v>286225.00000000559</v>
      </c>
      <c r="F854" s="27" t="s">
        <v>4074</v>
      </c>
      <c r="G854" s="48"/>
      <c r="H854" s="47" t="str">
        <f t="shared" si="39"/>
        <v>ANDINA</v>
      </c>
      <c r="I854" s="6">
        <f t="shared" si="40"/>
        <v>286225.00000000559</v>
      </c>
      <c r="J854" s="47">
        <f t="shared" si="41"/>
        <v>286225.00000000559</v>
      </c>
    </row>
    <row r="855" spans="1:10">
      <c r="A855" s="29" t="s">
        <v>3836</v>
      </c>
      <c r="B855" s="27" t="s">
        <v>170</v>
      </c>
      <c r="C855" s="29" t="s">
        <v>230</v>
      </c>
      <c r="D855" s="53" t="s">
        <v>172</v>
      </c>
      <c r="E855" s="31">
        <v>264979.26829268539</v>
      </c>
      <c r="F855" s="27" t="s">
        <v>4073</v>
      </c>
      <c r="G855" s="48"/>
      <c r="H855" s="47" t="str">
        <f t="shared" si="39"/>
        <v>ANDINA</v>
      </c>
      <c r="I855" s="6">
        <f t="shared" si="40"/>
        <v>265399.14441338344</v>
      </c>
      <c r="J855" s="47">
        <f t="shared" si="41"/>
        <v>265399.14441338344</v>
      </c>
    </row>
    <row r="856" spans="1:10">
      <c r="A856" s="29" t="s">
        <v>3837</v>
      </c>
      <c r="B856" s="27" t="s">
        <v>170</v>
      </c>
      <c r="C856" s="29" t="s">
        <v>230</v>
      </c>
      <c r="D856" s="53" t="s">
        <v>172</v>
      </c>
      <c r="E856" s="31">
        <v>264979.26829268539</v>
      </c>
      <c r="F856" s="27" t="s">
        <v>4073</v>
      </c>
      <c r="G856" s="48"/>
      <c r="H856" s="47" t="str">
        <f t="shared" si="39"/>
        <v>AMAZONIA</v>
      </c>
      <c r="I856" s="6">
        <f t="shared" si="40"/>
        <v>264979.26829268539</v>
      </c>
      <c r="J856" s="47">
        <f t="shared" si="41"/>
        <v>264979.26829268539</v>
      </c>
    </row>
    <row r="857" spans="1:10">
      <c r="A857" s="29" t="s">
        <v>3838</v>
      </c>
      <c r="B857" s="27" t="s">
        <v>170</v>
      </c>
      <c r="C857" s="29" t="s">
        <v>230</v>
      </c>
      <c r="D857" s="53" t="s">
        <v>172</v>
      </c>
      <c r="E857" s="31">
        <v>264979.26829268539</v>
      </c>
      <c r="F857" s="27" t="s">
        <v>4073</v>
      </c>
      <c r="G857" s="48"/>
      <c r="H857" s="47" t="str">
        <f t="shared" si="39"/>
        <v>ORINOQUIA</v>
      </c>
      <c r="I857" s="6">
        <f t="shared" si="40"/>
        <v>264979.26829268527</v>
      </c>
      <c r="J857" s="47">
        <f t="shared" si="41"/>
        <v>264979.26829268527</v>
      </c>
    </row>
    <row r="858" spans="1:10">
      <c r="A858" s="29" t="s">
        <v>3839</v>
      </c>
      <c r="B858" s="27" t="s">
        <v>170</v>
      </c>
      <c r="C858" s="29" t="s">
        <v>230</v>
      </c>
      <c r="D858" s="53" t="s">
        <v>172</v>
      </c>
      <c r="E858" s="31">
        <v>264979.26829268539</v>
      </c>
      <c r="F858" s="27" t="s">
        <v>4073</v>
      </c>
      <c r="G858" s="48"/>
      <c r="H858" s="47" t="str">
        <f t="shared" si="39"/>
        <v>PACIFICO</v>
      </c>
      <c r="I858" s="6">
        <f t="shared" si="40"/>
        <v>264979.26829268539</v>
      </c>
      <c r="J858" s="47">
        <f t="shared" si="41"/>
        <v>264979.26829268539</v>
      </c>
    </row>
    <row r="859" spans="1:10">
      <c r="A859" s="29" t="s">
        <v>3840</v>
      </c>
      <c r="B859" s="27" t="s">
        <v>170</v>
      </c>
      <c r="C859" s="29" t="s">
        <v>230</v>
      </c>
      <c r="D859" s="53" t="s">
        <v>172</v>
      </c>
      <c r="E859" s="31">
        <v>264979.26829268539</v>
      </c>
      <c r="F859" s="27" t="s">
        <v>4073</v>
      </c>
      <c r="G859" s="48"/>
      <c r="H859" s="47" t="str">
        <f t="shared" si="39"/>
        <v>CARIBE</v>
      </c>
      <c r="I859" s="6">
        <f t="shared" si="40"/>
        <v>264979.26829268516</v>
      </c>
      <c r="J859" s="47">
        <f t="shared" si="41"/>
        <v>264979.26829268516</v>
      </c>
    </row>
    <row r="860" spans="1:10">
      <c r="A860" s="29" t="s">
        <v>3841</v>
      </c>
      <c r="B860" s="27" t="s">
        <v>170</v>
      </c>
      <c r="C860" s="29" t="s">
        <v>230</v>
      </c>
      <c r="D860" s="53" t="s">
        <v>172</v>
      </c>
      <c r="E860" s="31">
        <v>264979.26829268539</v>
      </c>
      <c r="F860" s="27" t="s">
        <v>4073</v>
      </c>
      <c r="G860" s="48"/>
      <c r="H860" s="47" t="str">
        <f t="shared" si="39"/>
        <v>CARIBE</v>
      </c>
      <c r="I860" s="6">
        <f t="shared" si="40"/>
        <v>264979.26829268516</v>
      </c>
      <c r="J860" s="47">
        <f t="shared" si="41"/>
        <v>264979.26829268516</v>
      </c>
    </row>
    <row r="861" spans="1:10">
      <c r="A861" s="29" t="s">
        <v>3842</v>
      </c>
      <c r="B861" s="27" t="s">
        <v>170</v>
      </c>
      <c r="C861" s="29" t="s">
        <v>230</v>
      </c>
      <c r="D861" s="53" t="s">
        <v>172</v>
      </c>
      <c r="E861" s="31">
        <v>248352.17391304349</v>
      </c>
      <c r="F861" s="53" t="s">
        <v>4074</v>
      </c>
      <c r="H861" s="47" t="str">
        <f t="shared" si="39"/>
        <v>ANDINA</v>
      </c>
      <c r="I861" s="6">
        <f t="shared" si="40"/>
        <v>248352.17391304349</v>
      </c>
      <c r="J861" s="47">
        <f t="shared" si="41"/>
        <v>248352.17391304349</v>
      </c>
    </row>
    <row r="862" spans="1:10">
      <c r="A862" s="29" t="s">
        <v>3843</v>
      </c>
      <c r="B862" s="27" t="s">
        <v>170</v>
      </c>
      <c r="C862" s="29" t="s">
        <v>230</v>
      </c>
      <c r="D862" s="53" t="s">
        <v>172</v>
      </c>
      <c r="E862" s="31">
        <v>264979.26829268539</v>
      </c>
      <c r="F862" s="27" t="s">
        <v>4073</v>
      </c>
      <c r="G862" s="48"/>
      <c r="H862" s="47" t="str">
        <f t="shared" si="39"/>
        <v>ANDINA</v>
      </c>
      <c r="I862" s="6">
        <f t="shared" si="40"/>
        <v>265399.14441338344</v>
      </c>
      <c r="J862" s="47">
        <f t="shared" si="41"/>
        <v>265399.14441338344</v>
      </c>
    </row>
    <row r="863" spans="1:10">
      <c r="A863" s="29" t="s">
        <v>3845</v>
      </c>
      <c r="B863" s="27" t="s">
        <v>170</v>
      </c>
      <c r="C863" s="29" t="s">
        <v>230</v>
      </c>
      <c r="D863" s="53" t="s">
        <v>172</v>
      </c>
      <c r="E863" s="31">
        <v>264979.26829268539</v>
      </c>
      <c r="F863" s="27" t="s">
        <v>4073</v>
      </c>
      <c r="G863" s="48"/>
      <c r="H863" s="47" t="str">
        <f t="shared" si="39"/>
        <v>ORINOQUIA</v>
      </c>
      <c r="I863" s="6">
        <f t="shared" si="40"/>
        <v>264979.26829268527</v>
      </c>
      <c r="J863" s="47">
        <f t="shared" si="41"/>
        <v>264979.26829268527</v>
      </c>
    </row>
    <row r="864" spans="1:10">
      <c r="A864" s="29" t="s">
        <v>3846</v>
      </c>
      <c r="B864" s="27" t="s">
        <v>170</v>
      </c>
      <c r="C864" s="29" t="s">
        <v>230</v>
      </c>
      <c r="D864" s="53" t="s">
        <v>172</v>
      </c>
      <c r="E864" s="31">
        <v>264979.26829268539</v>
      </c>
      <c r="F864" s="27" t="s">
        <v>4073</v>
      </c>
      <c r="G864" s="48"/>
      <c r="H864" s="47" t="str">
        <f t="shared" si="39"/>
        <v>PACIFICO</v>
      </c>
      <c r="I864" s="6">
        <f t="shared" si="40"/>
        <v>264979.26829268539</v>
      </c>
      <c r="J864" s="47">
        <f t="shared" si="41"/>
        <v>264979.26829268539</v>
      </c>
    </row>
    <row r="865" spans="1:10">
      <c r="A865" s="29" t="s">
        <v>3847</v>
      </c>
      <c r="B865" s="27" t="s">
        <v>170</v>
      </c>
      <c r="C865" s="29" t="s">
        <v>230</v>
      </c>
      <c r="D865" s="53" t="s">
        <v>172</v>
      </c>
      <c r="E865" s="31">
        <v>264979.26829268539</v>
      </c>
      <c r="F865" s="27" t="s">
        <v>4073</v>
      </c>
      <c r="G865" s="48"/>
      <c r="H865" s="47" t="str">
        <f t="shared" si="39"/>
        <v>ANDINA</v>
      </c>
      <c r="I865" s="6">
        <f t="shared" si="40"/>
        <v>265399.14441338344</v>
      </c>
      <c r="J865" s="47">
        <f t="shared" si="41"/>
        <v>265399.14441338344</v>
      </c>
    </row>
    <row r="866" spans="1:10">
      <c r="A866" s="29" t="s">
        <v>3848</v>
      </c>
      <c r="B866" s="27" t="s">
        <v>170</v>
      </c>
      <c r="C866" s="29" t="s">
        <v>230</v>
      </c>
      <c r="D866" s="53" t="s">
        <v>172</v>
      </c>
      <c r="E866" s="31">
        <v>264979.26829268539</v>
      </c>
      <c r="F866" s="27" t="s">
        <v>4073</v>
      </c>
      <c r="G866" s="48"/>
      <c r="H866" s="47" t="str">
        <f t="shared" si="39"/>
        <v>AMAZONIA</v>
      </c>
      <c r="I866" s="6">
        <f t="shared" si="40"/>
        <v>264979.26829268539</v>
      </c>
      <c r="J866" s="47">
        <f t="shared" si="41"/>
        <v>264979.26829268539</v>
      </c>
    </row>
    <row r="867" spans="1:10">
      <c r="A867" s="29" t="s">
        <v>3849</v>
      </c>
      <c r="B867" s="27" t="s">
        <v>170</v>
      </c>
      <c r="C867" s="29" t="s">
        <v>230</v>
      </c>
      <c r="D867" s="53" t="s">
        <v>172</v>
      </c>
      <c r="E867" s="31">
        <v>264979.26829268539</v>
      </c>
      <c r="F867" s="27" t="s">
        <v>4073</v>
      </c>
      <c r="G867" s="48"/>
      <c r="H867" s="47" t="str">
        <f t="shared" si="39"/>
        <v>ANDINA</v>
      </c>
      <c r="I867" s="6">
        <f t="shared" si="40"/>
        <v>265399.14441338344</v>
      </c>
      <c r="J867" s="47">
        <f t="shared" si="41"/>
        <v>265399.14441338344</v>
      </c>
    </row>
    <row r="868" spans="1:10">
      <c r="A868" s="29" t="s">
        <v>3850</v>
      </c>
      <c r="B868" s="27" t="s">
        <v>170</v>
      </c>
      <c r="C868" s="29" t="s">
        <v>230</v>
      </c>
      <c r="D868" s="53" t="s">
        <v>172</v>
      </c>
      <c r="E868" s="31">
        <v>264979.26829268539</v>
      </c>
      <c r="F868" s="27" t="s">
        <v>4073</v>
      </c>
      <c r="G868" s="48"/>
      <c r="H868" s="47" t="str">
        <f t="shared" si="39"/>
        <v>ANDINA</v>
      </c>
      <c r="I868" s="6">
        <f t="shared" si="40"/>
        <v>265399.14441338344</v>
      </c>
      <c r="J868" s="47">
        <f t="shared" si="41"/>
        <v>265399.14441338344</v>
      </c>
    </row>
    <row r="869" spans="1:10">
      <c r="A869" s="29" t="s">
        <v>3851</v>
      </c>
      <c r="B869" s="27" t="s">
        <v>170</v>
      </c>
      <c r="C869" s="29" t="s">
        <v>230</v>
      </c>
      <c r="D869" s="53" t="s">
        <v>172</v>
      </c>
      <c r="E869" s="31">
        <v>264979.26829268539</v>
      </c>
      <c r="F869" s="27" t="s">
        <v>4073</v>
      </c>
      <c r="G869" s="48"/>
      <c r="H869" s="47" t="str">
        <f t="shared" si="39"/>
        <v>ANDINA</v>
      </c>
      <c r="I869" s="6">
        <f t="shared" si="40"/>
        <v>265399.14441338344</v>
      </c>
      <c r="J869" s="47">
        <f t="shared" si="41"/>
        <v>265399.14441338344</v>
      </c>
    </row>
    <row r="870" spans="1:10">
      <c r="A870" s="29" t="s">
        <v>3853</v>
      </c>
      <c r="B870" s="27" t="s">
        <v>170</v>
      </c>
      <c r="C870" s="29" t="s">
        <v>230</v>
      </c>
      <c r="D870" s="53" t="s">
        <v>172</v>
      </c>
      <c r="E870" s="31">
        <v>264979.26829268539</v>
      </c>
      <c r="F870" s="27" t="s">
        <v>4073</v>
      </c>
      <c r="G870" s="48"/>
      <c r="H870" s="47" t="str">
        <f t="shared" si="39"/>
        <v>ANDINA</v>
      </c>
      <c r="I870" s="6">
        <f t="shared" si="40"/>
        <v>265399.14441338344</v>
      </c>
      <c r="J870" s="47">
        <f t="shared" si="41"/>
        <v>265399.14441338344</v>
      </c>
    </row>
    <row r="871" spans="1:10">
      <c r="A871" s="29" t="s">
        <v>3854</v>
      </c>
      <c r="B871" s="27" t="s">
        <v>170</v>
      </c>
      <c r="C871" s="29" t="s">
        <v>230</v>
      </c>
      <c r="D871" s="53" t="s">
        <v>172</v>
      </c>
      <c r="E871" s="31">
        <v>264979.26829268539</v>
      </c>
      <c r="F871" s="27" t="s">
        <v>4073</v>
      </c>
      <c r="G871" s="48"/>
      <c r="H871" s="47" t="str">
        <f t="shared" si="39"/>
        <v>PACIFICO</v>
      </c>
      <c r="I871" s="6">
        <f t="shared" si="40"/>
        <v>264979.26829268539</v>
      </c>
      <c r="J871" s="47">
        <f t="shared" si="41"/>
        <v>264979.26829268539</v>
      </c>
    </row>
    <row r="872" spans="1:10">
      <c r="A872" s="29" t="s">
        <v>4076</v>
      </c>
      <c r="B872" s="27" t="s">
        <v>170</v>
      </c>
      <c r="C872" s="29" t="s">
        <v>230</v>
      </c>
      <c r="D872" s="53" t="s">
        <v>172</v>
      </c>
      <c r="E872" s="31">
        <v>264979.26829268539</v>
      </c>
      <c r="F872" s="27" t="s">
        <v>4073</v>
      </c>
      <c r="G872" s="48"/>
      <c r="H872" s="47" t="str">
        <f t="shared" si="39"/>
        <v>AMAZONIA</v>
      </c>
      <c r="I872" s="6">
        <f t="shared" si="40"/>
        <v>264979.26829268539</v>
      </c>
      <c r="J872" s="47">
        <f t="shared" si="41"/>
        <v>264979.26829268539</v>
      </c>
    </row>
    <row r="873" spans="1:10">
      <c r="A873" s="29" t="s">
        <v>3831</v>
      </c>
      <c r="B873" s="27" t="s">
        <v>170</v>
      </c>
      <c r="C873" s="29" t="s">
        <v>260</v>
      </c>
      <c r="D873" s="53" t="s">
        <v>261</v>
      </c>
      <c r="E873" s="31">
        <v>24260.586802332</v>
      </c>
      <c r="F873" s="53" t="s">
        <v>4074</v>
      </c>
      <c r="H873" s="47" t="str">
        <f t="shared" si="39"/>
        <v>ANDINA</v>
      </c>
      <c r="I873" s="6">
        <f t="shared" si="40"/>
        <v>24260.586802332</v>
      </c>
      <c r="J873" s="47">
        <f t="shared" si="41"/>
        <v>24260.586802332</v>
      </c>
    </row>
    <row r="874" spans="1:10">
      <c r="A874" s="29" t="s">
        <v>4075</v>
      </c>
      <c r="B874" s="27" t="s">
        <v>170</v>
      </c>
      <c r="C874" s="29" t="s">
        <v>260</v>
      </c>
      <c r="D874" s="53" t="s">
        <v>261</v>
      </c>
      <c r="E874" s="31">
        <v>24693.327403061288</v>
      </c>
      <c r="F874" s="53" t="s">
        <v>4074</v>
      </c>
      <c r="H874" s="47" t="str">
        <f t="shared" si="39"/>
        <v>ANDINA</v>
      </c>
      <c r="I874" s="6">
        <f t="shared" si="40"/>
        <v>24693.327403061288</v>
      </c>
      <c r="J874" s="47">
        <f t="shared" si="41"/>
        <v>24693.327403061288</v>
      </c>
    </row>
    <row r="875" spans="1:10">
      <c r="A875" s="29" t="s">
        <v>3835</v>
      </c>
      <c r="B875" s="27" t="s">
        <v>170</v>
      </c>
      <c r="C875" s="29" t="s">
        <v>260</v>
      </c>
      <c r="D875" s="53" t="s">
        <v>261</v>
      </c>
      <c r="E875" s="31">
        <v>23501.637268306375</v>
      </c>
      <c r="F875" s="53" t="s">
        <v>4074</v>
      </c>
      <c r="H875" s="47" t="str">
        <f t="shared" si="39"/>
        <v>ANDINA</v>
      </c>
      <c r="I875" s="6">
        <f t="shared" si="40"/>
        <v>23501.637268306375</v>
      </c>
      <c r="J875" s="47">
        <f t="shared" si="41"/>
        <v>23501.637268306375</v>
      </c>
    </row>
    <row r="876" spans="1:10">
      <c r="A876" s="29" t="s">
        <v>3836</v>
      </c>
      <c r="B876" s="27" t="s">
        <v>170</v>
      </c>
      <c r="C876" s="29" t="s">
        <v>260</v>
      </c>
      <c r="D876" s="53" t="s">
        <v>261</v>
      </c>
      <c r="E876" s="31">
        <v>24310.419354836009</v>
      </c>
      <c r="F876" s="53" t="s">
        <v>4074</v>
      </c>
      <c r="H876" s="47" t="str">
        <f t="shared" si="39"/>
        <v>ANDINA</v>
      </c>
      <c r="I876" s="6">
        <f t="shared" si="40"/>
        <v>24310.419354836009</v>
      </c>
      <c r="J876" s="47">
        <f t="shared" si="41"/>
        <v>24310.419354836009</v>
      </c>
    </row>
    <row r="877" spans="1:10">
      <c r="A877" s="29" t="s">
        <v>3837</v>
      </c>
      <c r="B877" s="27" t="s">
        <v>170</v>
      </c>
      <c r="C877" s="29" t="s">
        <v>260</v>
      </c>
      <c r="D877" s="53" t="s">
        <v>261</v>
      </c>
      <c r="E877" s="31">
        <v>24123.469387755104</v>
      </c>
      <c r="F877" s="53" t="s">
        <v>4074</v>
      </c>
      <c r="H877" s="47" t="str">
        <f t="shared" si="39"/>
        <v>AMAZONIA</v>
      </c>
      <c r="I877" s="6">
        <f t="shared" si="40"/>
        <v>24123.469387755104</v>
      </c>
      <c r="J877" s="47">
        <f t="shared" si="41"/>
        <v>24123.469387755104</v>
      </c>
    </row>
    <row r="878" spans="1:10">
      <c r="A878" s="29" t="s">
        <v>3838</v>
      </c>
      <c r="B878" s="27" t="s">
        <v>170</v>
      </c>
      <c r="C878" s="29" t="s">
        <v>260</v>
      </c>
      <c r="D878" s="53" t="s">
        <v>261</v>
      </c>
      <c r="E878" s="31">
        <v>25191.637566139689</v>
      </c>
      <c r="F878" s="53" t="s">
        <v>4074</v>
      </c>
      <c r="H878" s="47" t="str">
        <f t="shared" si="39"/>
        <v>ORINOQUIA</v>
      </c>
      <c r="I878" s="6">
        <f t="shared" si="40"/>
        <v>25191.637566139689</v>
      </c>
      <c r="J878" s="47">
        <f t="shared" si="41"/>
        <v>25191.637566139689</v>
      </c>
    </row>
    <row r="879" spans="1:10">
      <c r="A879" s="29" t="s">
        <v>3839</v>
      </c>
      <c r="B879" s="27" t="s">
        <v>170</v>
      </c>
      <c r="C879" s="29" t="s">
        <v>260</v>
      </c>
      <c r="D879" s="53" t="s">
        <v>261</v>
      </c>
      <c r="E879" s="31">
        <v>25534.226046466123</v>
      </c>
      <c r="F879" s="53" t="s">
        <v>4074</v>
      </c>
      <c r="H879" s="47" t="str">
        <f t="shared" si="39"/>
        <v>PACIFICO</v>
      </c>
      <c r="I879" s="6">
        <f t="shared" si="40"/>
        <v>25534.226046466123</v>
      </c>
      <c r="J879" s="47">
        <f t="shared" si="41"/>
        <v>25534.226046466123</v>
      </c>
    </row>
    <row r="880" spans="1:10">
      <c r="A880" s="29" t="s">
        <v>3840</v>
      </c>
      <c r="B880" s="27" t="s">
        <v>170</v>
      </c>
      <c r="C880" s="29" t="s">
        <v>260</v>
      </c>
      <c r="D880" s="53" t="s">
        <v>261</v>
      </c>
      <c r="E880" s="31">
        <v>24430.157645961663</v>
      </c>
      <c r="F880" s="53" t="s">
        <v>4073</v>
      </c>
      <c r="H880" s="47" t="str">
        <f t="shared" si="39"/>
        <v>CARIBE</v>
      </c>
      <c r="I880" s="6">
        <f t="shared" si="40"/>
        <v>24430.157645961688</v>
      </c>
      <c r="J880" s="47">
        <f t="shared" si="41"/>
        <v>24430.157645961688</v>
      </c>
    </row>
    <row r="881" spans="1:10">
      <c r="A881" s="29" t="s">
        <v>3841</v>
      </c>
      <c r="B881" s="27" t="s">
        <v>170</v>
      </c>
      <c r="C881" s="29" t="s">
        <v>260</v>
      </c>
      <c r="D881" s="53" t="s">
        <v>261</v>
      </c>
      <c r="E881" s="31">
        <v>24430.157645961663</v>
      </c>
      <c r="F881" s="53" t="s">
        <v>4073</v>
      </c>
      <c r="H881" s="47" t="str">
        <f t="shared" si="39"/>
        <v>CARIBE</v>
      </c>
      <c r="I881" s="6">
        <f t="shared" si="40"/>
        <v>24430.157645961688</v>
      </c>
      <c r="J881" s="47">
        <f t="shared" si="41"/>
        <v>24430.157645961688</v>
      </c>
    </row>
    <row r="882" spans="1:10">
      <c r="A882" s="29" t="s">
        <v>3842</v>
      </c>
      <c r="B882" s="27" t="s">
        <v>170</v>
      </c>
      <c r="C882" s="29" t="s">
        <v>260</v>
      </c>
      <c r="D882" s="53" t="s">
        <v>261</v>
      </c>
      <c r="E882" s="31">
        <v>23912.225131029096</v>
      </c>
      <c r="F882" s="53" t="s">
        <v>4074</v>
      </c>
      <c r="H882" s="47" t="str">
        <f t="shared" si="39"/>
        <v>ANDINA</v>
      </c>
      <c r="I882" s="6">
        <f t="shared" si="40"/>
        <v>23912.225131029096</v>
      </c>
      <c r="J882" s="47">
        <f t="shared" si="41"/>
        <v>23912.225131029096</v>
      </c>
    </row>
    <row r="883" spans="1:10">
      <c r="A883" s="29" t="s">
        <v>3843</v>
      </c>
      <c r="B883" s="27" t="s">
        <v>170</v>
      </c>
      <c r="C883" s="29" t="s">
        <v>260</v>
      </c>
      <c r="D883" s="53" t="s">
        <v>261</v>
      </c>
      <c r="E883" s="31">
        <v>24016.369369369182</v>
      </c>
      <c r="F883" s="53" t="s">
        <v>4074</v>
      </c>
      <c r="H883" s="47" t="str">
        <f t="shared" si="39"/>
        <v>ANDINA</v>
      </c>
      <c r="I883" s="6">
        <f t="shared" si="40"/>
        <v>24016.369369369182</v>
      </c>
      <c r="J883" s="47">
        <f t="shared" si="41"/>
        <v>24016.369369369182</v>
      </c>
    </row>
    <row r="884" spans="1:10">
      <c r="A884" s="29" t="s">
        <v>3845</v>
      </c>
      <c r="B884" s="27" t="s">
        <v>170</v>
      </c>
      <c r="C884" s="29" t="s">
        <v>260</v>
      </c>
      <c r="D884" s="53" t="s">
        <v>261</v>
      </c>
      <c r="E884" s="31">
        <v>24689.476062273079</v>
      </c>
      <c r="F884" s="53" t="s">
        <v>4074</v>
      </c>
      <c r="H884" s="47" t="str">
        <f t="shared" si="39"/>
        <v>ORINOQUIA</v>
      </c>
      <c r="I884" s="6">
        <f t="shared" si="40"/>
        <v>24689.476062273079</v>
      </c>
      <c r="J884" s="47">
        <f t="shared" si="41"/>
        <v>24689.476062273079</v>
      </c>
    </row>
    <row r="885" spans="1:10">
      <c r="A885" s="29" t="s">
        <v>3846</v>
      </c>
      <c r="B885" s="27" t="s">
        <v>170</v>
      </c>
      <c r="C885" s="29" t="s">
        <v>260</v>
      </c>
      <c r="D885" s="53" t="s">
        <v>261</v>
      </c>
      <c r="E885" s="31">
        <v>24312.399032740595</v>
      </c>
      <c r="F885" s="53" t="s">
        <v>4074</v>
      </c>
      <c r="H885" s="47" t="str">
        <f t="shared" si="39"/>
        <v>PACIFICO</v>
      </c>
      <c r="I885" s="6">
        <f t="shared" si="40"/>
        <v>24312.399032740595</v>
      </c>
      <c r="J885" s="47">
        <f t="shared" si="41"/>
        <v>24312.399032740595</v>
      </c>
    </row>
    <row r="886" spans="1:10">
      <c r="A886" s="29" t="s">
        <v>3847</v>
      </c>
      <c r="B886" s="27" t="s">
        <v>170</v>
      </c>
      <c r="C886" s="29" t="s">
        <v>260</v>
      </c>
      <c r="D886" s="53" t="s">
        <v>261</v>
      </c>
      <c r="E886" s="31">
        <v>24307.206266320351</v>
      </c>
      <c r="F886" s="53" t="s">
        <v>4074</v>
      </c>
      <c r="H886" s="47" t="str">
        <f t="shared" si="39"/>
        <v>ANDINA</v>
      </c>
      <c r="I886" s="6">
        <f t="shared" si="40"/>
        <v>24307.206266320351</v>
      </c>
      <c r="J886" s="47">
        <f t="shared" si="41"/>
        <v>24307.206266320351</v>
      </c>
    </row>
    <row r="887" spans="1:10">
      <c r="A887" s="29" t="s">
        <v>3848</v>
      </c>
      <c r="B887" s="27" t="s">
        <v>170</v>
      </c>
      <c r="C887" s="29" t="s">
        <v>260</v>
      </c>
      <c r="D887" s="53" t="s">
        <v>261</v>
      </c>
      <c r="E887" s="31">
        <v>24646.505376345158</v>
      </c>
      <c r="F887" s="53" t="s">
        <v>4074</v>
      </c>
      <c r="H887" s="47" t="str">
        <f t="shared" si="39"/>
        <v>AMAZONIA</v>
      </c>
      <c r="I887" s="6">
        <f t="shared" si="40"/>
        <v>24646.505376345158</v>
      </c>
      <c r="J887" s="47">
        <f t="shared" si="41"/>
        <v>24646.505376345158</v>
      </c>
    </row>
    <row r="888" spans="1:10">
      <c r="A888" s="29" t="s">
        <v>3849</v>
      </c>
      <c r="B888" s="27" t="s">
        <v>170</v>
      </c>
      <c r="C888" s="29" t="s">
        <v>260</v>
      </c>
      <c r="D888" s="53" t="s">
        <v>261</v>
      </c>
      <c r="E888" s="31">
        <v>23982.882882882885</v>
      </c>
      <c r="F888" s="53" t="s">
        <v>4074</v>
      </c>
      <c r="H888" s="47" t="str">
        <f t="shared" si="39"/>
        <v>ANDINA</v>
      </c>
      <c r="I888" s="6">
        <f t="shared" si="40"/>
        <v>23982.882882882885</v>
      </c>
      <c r="J888" s="47">
        <f t="shared" si="41"/>
        <v>23982.882882882885</v>
      </c>
    </row>
    <row r="889" spans="1:10">
      <c r="A889" s="29" t="s">
        <v>3850</v>
      </c>
      <c r="B889" s="27" t="s">
        <v>170</v>
      </c>
      <c r="C889" s="29" t="s">
        <v>260</v>
      </c>
      <c r="D889" s="53" t="s">
        <v>261</v>
      </c>
      <c r="E889" s="31">
        <v>24468.49022346516</v>
      </c>
      <c r="F889" s="53" t="s">
        <v>4074</v>
      </c>
      <c r="H889" s="47" t="str">
        <f t="shared" si="39"/>
        <v>ANDINA</v>
      </c>
      <c r="I889" s="6">
        <f t="shared" si="40"/>
        <v>24468.49022346516</v>
      </c>
      <c r="J889" s="47">
        <f t="shared" si="41"/>
        <v>24468.49022346516</v>
      </c>
    </row>
    <row r="890" spans="1:10">
      <c r="A890" s="29" t="s">
        <v>3851</v>
      </c>
      <c r="B890" s="27" t="s">
        <v>170</v>
      </c>
      <c r="C890" s="29" t="s">
        <v>260</v>
      </c>
      <c r="D890" s="53" t="s">
        <v>261</v>
      </c>
      <c r="E890" s="31">
        <v>25625.138004248176</v>
      </c>
      <c r="F890" s="53" t="s">
        <v>4074</v>
      </c>
      <c r="H890" s="47" t="str">
        <f t="shared" si="39"/>
        <v>ANDINA</v>
      </c>
      <c r="I890" s="6">
        <f t="shared" si="40"/>
        <v>25625.138004248176</v>
      </c>
      <c r="J890" s="47">
        <f t="shared" si="41"/>
        <v>25625.138004248176</v>
      </c>
    </row>
    <row r="891" spans="1:10">
      <c r="A891" s="29" t="s">
        <v>3853</v>
      </c>
      <c r="B891" s="27" t="s">
        <v>170</v>
      </c>
      <c r="C891" s="29" t="s">
        <v>260</v>
      </c>
      <c r="D891" s="53" t="s">
        <v>261</v>
      </c>
      <c r="E891" s="31">
        <v>25797.914552545044</v>
      </c>
      <c r="F891" s="53" t="s">
        <v>4074</v>
      </c>
      <c r="H891" s="47" t="str">
        <f t="shared" si="39"/>
        <v>ANDINA</v>
      </c>
      <c r="I891" s="6">
        <f t="shared" si="40"/>
        <v>25797.914552545044</v>
      </c>
      <c r="J891" s="47">
        <f t="shared" si="41"/>
        <v>25797.914552545044</v>
      </c>
    </row>
    <row r="892" spans="1:10">
      <c r="A892" s="29" t="s">
        <v>3854</v>
      </c>
      <c r="B892" s="27" t="s">
        <v>170</v>
      </c>
      <c r="C892" s="29" t="s">
        <v>260</v>
      </c>
      <c r="D892" s="53" t="s">
        <v>261</v>
      </c>
      <c r="E892" s="31">
        <v>25110.311699446582</v>
      </c>
      <c r="F892" s="53" t="s">
        <v>4074</v>
      </c>
      <c r="H892" s="47" t="str">
        <f t="shared" si="39"/>
        <v>PACIFICO</v>
      </c>
      <c r="I892" s="6">
        <f t="shared" si="40"/>
        <v>25110.311699446582</v>
      </c>
      <c r="J892" s="47">
        <f t="shared" si="41"/>
        <v>25110.311699446582</v>
      </c>
    </row>
    <row r="893" spans="1:10">
      <c r="A893" s="29" t="s">
        <v>4076</v>
      </c>
      <c r="B893" s="27" t="s">
        <v>170</v>
      </c>
      <c r="C893" s="29" t="s">
        <v>260</v>
      </c>
      <c r="D893" s="53" t="s">
        <v>261</v>
      </c>
      <c r="E893" s="31">
        <v>24430.157645961663</v>
      </c>
      <c r="F893" s="53" t="s">
        <v>4073</v>
      </c>
      <c r="H893" s="47" t="str">
        <f t="shared" si="39"/>
        <v>AMAZONIA</v>
      </c>
      <c r="I893" s="6">
        <f t="shared" si="40"/>
        <v>24400.044136687309</v>
      </c>
      <c r="J893" s="47">
        <f t="shared" si="41"/>
        <v>24400.044136687309</v>
      </c>
    </row>
    <row r="894" spans="1:10">
      <c r="A894" s="29" t="s">
        <v>3831</v>
      </c>
      <c r="B894" s="27" t="s">
        <v>170</v>
      </c>
      <c r="C894" s="29" t="s">
        <v>4077</v>
      </c>
      <c r="D894" s="53" t="s">
        <v>226</v>
      </c>
      <c r="E894" s="31">
        <v>36066.666666664285</v>
      </c>
      <c r="F894" s="53" t="s">
        <v>4073</v>
      </c>
      <c r="H894" s="47" t="str">
        <f t="shared" si="39"/>
        <v>ANDINA</v>
      </c>
      <c r="I894" s="6">
        <f t="shared" si="40"/>
        <v>36080.555555553357</v>
      </c>
      <c r="J894" s="47">
        <f t="shared" si="41"/>
        <v>36080.555555553357</v>
      </c>
    </row>
    <row r="895" spans="1:10">
      <c r="A895" s="29" t="s">
        <v>4075</v>
      </c>
      <c r="B895" s="27" t="s">
        <v>170</v>
      </c>
      <c r="C895" s="29" t="s">
        <v>4077</v>
      </c>
      <c r="D895" s="53" t="s">
        <v>226</v>
      </c>
      <c r="E895" s="31">
        <v>36036.11111110833</v>
      </c>
      <c r="F895" s="53" t="s">
        <v>4074</v>
      </c>
      <c r="H895" s="47" t="str">
        <f t="shared" si="39"/>
        <v>ANDINA</v>
      </c>
      <c r="I895" s="6">
        <f t="shared" si="40"/>
        <v>36036.11111110833</v>
      </c>
      <c r="J895" s="47">
        <f t="shared" si="41"/>
        <v>36036.11111110833</v>
      </c>
    </row>
    <row r="896" spans="1:10">
      <c r="A896" s="29" t="s">
        <v>3835</v>
      </c>
      <c r="B896" s="27" t="s">
        <v>170</v>
      </c>
      <c r="C896" s="29" t="s">
        <v>4077</v>
      </c>
      <c r="D896" s="53" t="s">
        <v>226</v>
      </c>
      <c r="E896" s="31">
        <v>36066.666666664285</v>
      </c>
      <c r="F896" s="53" t="s">
        <v>4073</v>
      </c>
      <c r="H896" s="47" t="str">
        <f t="shared" si="39"/>
        <v>ANDINA</v>
      </c>
      <c r="I896" s="6">
        <f t="shared" si="40"/>
        <v>36080.555555553357</v>
      </c>
      <c r="J896" s="47">
        <f t="shared" si="41"/>
        <v>36080.555555553357</v>
      </c>
    </row>
    <row r="897" spans="1:10">
      <c r="A897" s="29" t="s">
        <v>3836</v>
      </c>
      <c r="B897" s="27" t="s">
        <v>170</v>
      </c>
      <c r="C897" s="29" t="s">
        <v>4077</v>
      </c>
      <c r="D897" s="53" t="s">
        <v>226</v>
      </c>
      <c r="E897" s="31">
        <v>36066.666666664285</v>
      </c>
      <c r="F897" s="53" t="s">
        <v>4073</v>
      </c>
      <c r="H897" s="47" t="str">
        <f t="shared" si="39"/>
        <v>ANDINA</v>
      </c>
      <c r="I897" s="6">
        <f t="shared" si="40"/>
        <v>36080.555555553357</v>
      </c>
      <c r="J897" s="47">
        <f t="shared" si="41"/>
        <v>36080.555555553357</v>
      </c>
    </row>
    <row r="898" spans="1:10">
      <c r="A898" s="29" t="s">
        <v>3837</v>
      </c>
      <c r="B898" s="27" t="s">
        <v>170</v>
      </c>
      <c r="C898" s="29" t="s">
        <v>4077</v>
      </c>
      <c r="D898" s="53" t="s">
        <v>226</v>
      </c>
      <c r="E898" s="31">
        <v>36066.666666664285</v>
      </c>
      <c r="F898" s="53" t="s">
        <v>4073</v>
      </c>
      <c r="H898" s="47" t="str">
        <f t="shared" ref="H898:H961" si="42">IF(OR(A898="Antioquia",A898="Bogotá, D.C.",A898="Boyacá",A898="Cundinamarca",A898="Caldas",A898="Risaralda",A898="Quindío",A898="Tolima",A898="Huila",A898="Santander",A898="Norte de Santander"),"ANDINA",
IF(OR(A898="Atlántico",A898="Bolívar",A898="Cesar",A898="Córdoba",A898="Sucre",A898="Magdalena"),"CARIBE",
IF(OR(A898="Valle del Cauca",A898="Cauca",A898="Nariño"),"PACIFICO",
IF(OR(A898="Meta",A898="Casanare",A898="Arauca"),"ORINOQUIA",
"AMAZONIA"))))</f>
        <v>AMAZONIA</v>
      </c>
      <c r="I898" s="6">
        <f t="shared" ref="I898:I961" si="43">IF(F898="Departamental",E898,
AVERAGEIFS($E:$E,$H:$H,H898,$B:$B,B898,$C:$C,C898))</f>
        <v>36066.666666664285</v>
      </c>
      <c r="J898" s="47">
        <f t="shared" si="41"/>
        <v>36066.666666664285</v>
      </c>
    </row>
    <row r="899" spans="1:10">
      <c r="A899" s="29" t="s">
        <v>3838</v>
      </c>
      <c r="B899" s="27" t="s">
        <v>170</v>
      </c>
      <c r="C899" s="29" t="s">
        <v>4077</v>
      </c>
      <c r="D899" s="53" t="s">
        <v>226</v>
      </c>
      <c r="E899" s="31">
        <v>36066.666666664285</v>
      </c>
      <c r="F899" s="53" t="s">
        <v>4073</v>
      </c>
      <c r="H899" s="47" t="str">
        <f t="shared" si="42"/>
        <v>ORINOQUIA</v>
      </c>
      <c r="I899" s="6">
        <f t="shared" si="43"/>
        <v>36066.666666664292</v>
      </c>
      <c r="J899" s="47">
        <f t="shared" ref="J899:J962" si="44">IF(G899&lt;&gt;"",G899,I899)</f>
        <v>36066.666666664292</v>
      </c>
    </row>
    <row r="900" spans="1:10">
      <c r="A900" s="29" t="s">
        <v>3839</v>
      </c>
      <c r="B900" s="27" t="s">
        <v>170</v>
      </c>
      <c r="C900" s="29" t="s">
        <v>4077</v>
      </c>
      <c r="D900" s="53" t="s">
        <v>226</v>
      </c>
      <c r="E900" s="31">
        <v>36066.666666664285</v>
      </c>
      <c r="F900" s="53" t="s">
        <v>4073</v>
      </c>
      <c r="H900" s="47" t="str">
        <f t="shared" si="42"/>
        <v>PACIFICO</v>
      </c>
      <c r="I900" s="6">
        <f t="shared" si="43"/>
        <v>36066.666666664285</v>
      </c>
      <c r="J900" s="47">
        <f t="shared" si="44"/>
        <v>36066.666666664285</v>
      </c>
    </row>
    <row r="901" spans="1:10">
      <c r="A901" s="29" t="s">
        <v>3840</v>
      </c>
      <c r="B901" s="27" t="s">
        <v>170</v>
      </c>
      <c r="C901" s="29" t="s">
        <v>4077</v>
      </c>
      <c r="D901" s="53" t="s">
        <v>226</v>
      </c>
      <c r="E901" s="31">
        <v>36066.666666664285</v>
      </c>
      <c r="F901" s="53" t="s">
        <v>4073</v>
      </c>
      <c r="H901" s="47" t="str">
        <f t="shared" si="42"/>
        <v>CARIBE</v>
      </c>
      <c r="I901" s="6">
        <f t="shared" si="43"/>
        <v>36066.666666664292</v>
      </c>
      <c r="J901" s="47">
        <f t="shared" si="44"/>
        <v>36066.666666664292</v>
      </c>
    </row>
    <row r="902" spans="1:10">
      <c r="A902" s="29" t="s">
        <v>3841</v>
      </c>
      <c r="B902" s="27" t="s">
        <v>170</v>
      </c>
      <c r="C902" s="29" t="s">
        <v>4077</v>
      </c>
      <c r="D902" s="53" t="s">
        <v>226</v>
      </c>
      <c r="E902" s="31">
        <v>36066.666666664285</v>
      </c>
      <c r="F902" s="53" t="s">
        <v>4073</v>
      </c>
      <c r="H902" s="47" t="str">
        <f t="shared" si="42"/>
        <v>CARIBE</v>
      </c>
      <c r="I902" s="6">
        <f t="shared" si="43"/>
        <v>36066.666666664292</v>
      </c>
      <c r="J902" s="47">
        <f t="shared" si="44"/>
        <v>36066.666666664292</v>
      </c>
    </row>
    <row r="903" spans="1:10">
      <c r="A903" s="29" t="s">
        <v>3842</v>
      </c>
      <c r="B903" s="27" t="s">
        <v>170</v>
      </c>
      <c r="C903" s="29" t="s">
        <v>4077</v>
      </c>
      <c r="D903" s="53" t="s">
        <v>226</v>
      </c>
      <c r="E903" s="31">
        <v>36066.666666664285</v>
      </c>
      <c r="F903" s="53" t="s">
        <v>4073</v>
      </c>
      <c r="H903" s="47" t="str">
        <f t="shared" si="42"/>
        <v>ANDINA</v>
      </c>
      <c r="I903" s="6">
        <f t="shared" si="43"/>
        <v>36080.555555553357</v>
      </c>
      <c r="J903" s="47">
        <f t="shared" si="44"/>
        <v>36080.555555553357</v>
      </c>
    </row>
    <row r="904" spans="1:10">
      <c r="A904" s="29" t="s">
        <v>3843</v>
      </c>
      <c r="B904" s="27" t="s">
        <v>170</v>
      </c>
      <c r="C904" s="29" t="s">
        <v>4077</v>
      </c>
      <c r="D904" s="53" t="s">
        <v>226</v>
      </c>
      <c r="E904" s="31">
        <v>36066.666666664285</v>
      </c>
      <c r="F904" s="53" t="s">
        <v>4073</v>
      </c>
      <c r="H904" s="47" t="str">
        <f t="shared" si="42"/>
        <v>ANDINA</v>
      </c>
      <c r="I904" s="6">
        <f t="shared" si="43"/>
        <v>36080.555555553357</v>
      </c>
      <c r="J904" s="47">
        <f t="shared" si="44"/>
        <v>36080.555555553357</v>
      </c>
    </row>
    <row r="905" spans="1:10">
      <c r="A905" s="29" t="s">
        <v>3845</v>
      </c>
      <c r="B905" s="27" t="s">
        <v>170</v>
      </c>
      <c r="C905" s="29" t="s">
        <v>4077</v>
      </c>
      <c r="D905" s="53" t="s">
        <v>226</v>
      </c>
      <c r="E905" s="31">
        <v>36066.666666664285</v>
      </c>
      <c r="F905" s="53" t="s">
        <v>4073</v>
      </c>
      <c r="H905" s="47" t="str">
        <f t="shared" si="42"/>
        <v>ORINOQUIA</v>
      </c>
      <c r="I905" s="6">
        <f t="shared" si="43"/>
        <v>36066.666666664292</v>
      </c>
      <c r="J905" s="47">
        <f t="shared" si="44"/>
        <v>36066.666666664292</v>
      </c>
    </row>
    <row r="906" spans="1:10">
      <c r="A906" s="29" t="s">
        <v>3846</v>
      </c>
      <c r="B906" s="27" t="s">
        <v>170</v>
      </c>
      <c r="C906" s="29" t="s">
        <v>4077</v>
      </c>
      <c r="D906" s="53" t="s">
        <v>226</v>
      </c>
      <c r="E906" s="31">
        <v>36066.666666664285</v>
      </c>
      <c r="F906" s="53" t="s">
        <v>4073</v>
      </c>
      <c r="H906" s="47" t="str">
        <f t="shared" si="42"/>
        <v>PACIFICO</v>
      </c>
      <c r="I906" s="6">
        <f t="shared" si="43"/>
        <v>36066.666666664285</v>
      </c>
      <c r="J906" s="47">
        <f t="shared" si="44"/>
        <v>36066.666666664285</v>
      </c>
    </row>
    <row r="907" spans="1:10">
      <c r="A907" s="29" t="s">
        <v>3847</v>
      </c>
      <c r="B907" s="27" t="s">
        <v>170</v>
      </c>
      <c r="C907" s="29" t="s">
        <v>4077</v>
      </c>
      <c r="D907" s="53" t="s">
        <v>226</v>
      </c>
      <c r="E907" s="31">
        <v>36066.666666664285</v>
      </c>
      <c r="F907" s="53" t="s">
        <v>4073</v>
      </c>
      <c r="H907" s="47" t="str">
        <f t="shared" si="42"/>
        <v>ANDINA</v>
      </c>
      <c r="I907" s="6">
        <f t="shared" si="43"/>
        <v>36080.555555553357</v>
      </c>
      <c r="J907" s="47">
        <f t="shared" si="44"/>
        <v>36080.555555553357</v>
      </c>
    </row>
    <row r="908" spans="1:10">
      <c r="A908" s="29" t="s">
        <v>3848</v>
      </c>
      <c r="B908" s="27" t="s">
        <v>170</v>
      </c>
      <c r="C908" s="29" t="s">
        <v>4077</v>
      </c>
      <c r="D908" s="53" t="s">
        <v>226</v>
      </c>
      <c r="E908" s="31">
        <v>36066.666666664285</v>
      </c>
      <c r="F908" s="53" t="s">
        <v>4073</v>
      </c>
      <c r="H908" s="47" t="str">
        <f t="shared" si="42"/>
        <v>AMAZONIA</v>
      </c>
      <c r="I908" s="6">
        <f t="shared" si="43"/>
        <v>36066.666666664285</v>
      </c>
      <c r="J908" s="47">
        <f t="shared" si="44"/>
        <v>36066.666666664285</v>
      </c>
    </row>
    <row r="909" spans="1:10">
      <c r="A909" s="29" t="s">
        <v>3849</v>
      </c>
      <c r="B909" s="27" t="s">
        <v>170</v>
      </c>
      <c r="C909" s="29" t="s">
        <v>4077</v>
      </c>
      <c r="D909" s="53" t="s">
        <v>226</v>
      </c>
      <c r="E909" s="31">
        <v>36066.666666664285</v>
      </c>
      <c r="F909" s="53" t="s">
        <v>4073</v>
      </c>
      <c r="H909" s="47" t="str">
        <f t="shared" si="42"/>
        <v>ANDINA</v>
      </c>
      <c r="I909" s="6">
        <f t="shared" si="43"/>
        <v>36080.555555553357</v>
      </c>
      <c r="J909" s="47">
        <f t="shared" si="44"/>
        <v>36080.555555553357</v>
      </c>
    </row>
    <row r="910" spans="1:10">
      <c r="A910" s="29" t="s">
        <v>3850</v>
      </c>
      <c r="B910" s="27" t="s">
        <v>170</v>
      </c>
      <c r="C910" s="29" t="s">
        <v>4077</v>
      </c>
      <c r="D910" s="53" t="s">
        <v>226</v>
      </c>
      <c r="E910" s="31">
        <v>36066.666666664285</v>
      </c>
      <c r="F910" s="53" t="s">
        <v>4073</v>
      </c>
      <c r="H910" s="47" t="str">
        <f t="shared" si="42"/>
        <v>ANDINA</v>
      </c>
      <c r="I910" s="6">
        <f t="shared" si="43"/>
        <v>36080.555555553357</v>
      </c>
      <c r="J910" s="47">
        <f t="shared" si="44"/>
        <v>36080.555555553357</v>
      </c>
    </row>
    <row r="911" spans="1:10">
      <c r="A911" s="29" t="s">
        <v>3851</v>
      </c>
      <c r="B911" s="27" t="s">
        <v>170</v>
      </c>
      <c r="C911" s="29" t="s">
        <v>4077</v>
      </c>
      <c r="D911" s="53" t="s">
        <v>226</v>
      </c>
      <c r="E911" s="31">
        <v>36250</v>
      </c>
      <c r="F911" s="53" t="s">
        <v>4074</v>
      </c>
      <c r="H911" s="47" t="str">
        <f t="shared" si="42"/>
        <v>ANDINA</v>
      </c>
      <c r="I911" s="6">
        <f t="shared" si="43"/>
        <v>36250</v>
      </c>
      <c r="J911" s="47">
        <f t="shared" si="44"/>
        <v>36250</v>
      </c>
    </row>
    <row r="912" spans="1:10">
      <c r="A912" s="29" t="s">
        <v>3853</v>
      </c>
      <c r="B912" s="27" t="s">
        <v>170</v>
      </c>
      <c r="C912" s="29" t="s">
        <v>4077</v>
      </c>
      <c r="D912" s="53" t="s">
        <v>226</v>
      </c>
      <c r="E912" s="31">
        <v>36066.666666664285</v>
      </c>
      <c r="F912" s="53" t="s">
        <v>4073</v>
      </c>
      <c r="H912" s="47" t="str">
        <f t="shared" si="42"/>
        <v>ANDINA</v>
      </c>
      <c r="I912" s="6">
        <f t="shared" si="43"/>
        <v>36080.555555553357</v>
      </c>
      <c r="J912" s="47">
        <f t="shared" si="44"/>
        <v>36080.555555553357</v>
      </c>
    </row>
    <row r="913" spans="1:10">
      <c r="A913" s="29" t="s">
        <v>3854</v>
      </c>
      <c r="B913" s="27" t="s">
        <v>170</v>
      </c>
      <c r="C913" s="29" t="s">
        <v>4077</v>
      </c>
      <c r="D913" s="53" t="s">
        <v>226</v>
      </c>
      <c r="E913" s="31">
        <v>36066.666666664285</v>
      </c>
      <c r="F913" s="53" t="s">
        <v>4073</v>
      </c>
      <c r="H913" s="47" t="str">
        <f t="shared" si="42"/>
        <v>PACIFICO</v>
      </c>
      <c r="I913" s="6">
        <f t="shared" si="43"/>
        <v>36066.666666664285</v>
      </c>
      <c r="J913" s="47">
        <f t="shared" si="44"/>
        <v>36066.666666664285</v>
      </c>
    </row>
    <row r="914" spans="1:10">
      <c r="A914" s="29" t="s">
        <v>4076</v>
      </c>
      <c r="B914" s="27" t="s">
        <v>170</v>
      </c>
      <c r="C914" s="29" t="s">
        <v>4077</v>
      </c>
      <c r="D914" s="53" t="s">
        <v>226</v>
      </c>
      <c r="E914" s="31">
        <v>36066.666666664285</v>
      </c>
      <c r="F914" s="53" t="s">
        <v>4073</v>
      </c>
      <c r="H914" s="47" t="str">
        <f t="shared" si="42"/>
        <v>AMAZONIA</v>
      </c>
      <c r="I914" s="6">
        <f t="shared" si="43"/>
        <v>36066.666666664285</v>
      </c>
      <c r="J914" s="47">
        <f t="shared" si="44"/>
        <v>36066.666666664285</v>
      </c>
    </row>
    <row r="915" spans="1:10">
      <c r="A915" s="29" t="s">
        <v>3831</v>
      </c>
      <c r="B915" s="27" t="s">
        <v>170</v>
      </c>
      <c r="C915" s="29" t="s">
        <v>238</v>
      </c>
      <c r="D915" s="53" t="s">
        <v>239</v>
      </c>
      <c r="E915" s="31">
        <v>27456.756756756757</v>
      </c>
      <c r="F915" s="53" t="s">
        <v>4074</v>
      </c>
      <c r="H915" s="47" t="str">
        <f t="shared" si="42"/>
        <v>ANDINA</v>
      </c>
      <c r="I915" s="6">
        <f t="shared" si="43"/>
        <v>27456.756756756757</v>
      </c>
      <c r="J915" s="47">
        <f t="shared" si="44"/>
        <v>27456.756756756757</v>
      </c>
    </row>
    <row r="916" spans="1:10">
      <c r="A916" s="29" t="s">
        <v>4075</v>
      </c>
      <c r="B916" s="27" t="s">
        <v>170</v>
      </c>
      <c r="C916" s="29" t="s">
        <v>238</v>
      </c>
      <c r="D916" s="53" t="s">
        <v>239</v>
      </c>
      <c r="E916" s="31">
        <v>28463.172043011291</v>
      </c>
      <c r="F916" s="53" t="s">
        <v>4074</v>
      </c>
      <c r="H916" s="47" t="str">
        <f t="shared" si="42"/>
        <v>ANDINA</v>
      </c>
      <c r="I916" s="6">
        <f t="shared" si="43"/>
        <v>28463.172043011291</v>
      </c>
      <c r="J916" s="47">
        <f t="shared" si="44"/>
        <v>28463.172043011291</v>
      </c>
    </row>
    <row r="917" spans="1:10">
      <c r="A917" s="29" t="s">
        <v>3835</v>
      </c>
      <c r="B917" s="27" t="s">
        <v>170</v>
      </c>
      <c r="C917" s="29" t="s">
        <v>238</v>
      </c>
      <c r="D917" s="53" t="s">
        <v>239</v>
      </c>
      <c r="E917" s="31">
        <v>29062.313127203677</v>
      </c>
      <c r="F917" s="53" t="s">
        <v>4073</v>
      </c>
      <c r="H917" s="47" t="str">
        <f t="shared" si="42"/>
        <v>ANDINA</v>
      </c>
      <c r="I917" s="6">
        <f t="shared" si="43"/>
        <v>28315.09769782715</v>
      </c>
      <c r="J917" s="47">
        <f t="shared" si="44"/>
        <v>28315.09769782715</v>
      </c>
    </row>
    <row r="918" spans="1:10">
      <c r="A918" s="29" t="s">
        <v>3836</v>
      </c>
      <c r="B918" s="27" t="s">
        <v>170</v>
      </c>
      <c r="C918" s="29" t="s">
        <v>238</v>
      </c>
      <c r="D918" s="53" t="s">
        <v>239</v>
      </c>
      <c r="E918" s="31">
        <v>30918.644067796609</v>
      </c>
      <c r="F918" s="53" t="s">
        <v>4074</v>
      </c>
      <c r="H918" s="47" t="str">
        <f t="shared" si="42"/>
        <v>ANDINA</v>
      </c>
      <c r="I918" s="6">
        <f t="shared" si="43"/>
        <v>30918.644067796609</v>
      </c>
      <c r="J918" s="47">
        <f t="shared" si="44"/>
        <v>30918.644067796609</v>
      </c>
    </row>
    <row r="919" spans="1:10">
      <c r="A919" s="29" t="s">
        <v>3837</v>
      </c>
      <c r="B919" s="27" t="s">
        <v>170</v>
      </c>
      <c r="C919" s="29" t="s">
        <v>238</v>
      </c>
      <c r="D919" s="53" t="s">
        <v>239</v>
      </c>
      <c r="E919" s="31">
        <v>29062.313127203677</v>
      </c>
      <c r="F919" s="53" t="s">
        <v>4073</v>
      </c>
      <c r="H919" s="47" t="str">
        <f t="shared" si="42"/>
        <v>AMAZONIA</v>
      </c>
      <c r="I919" s="6">
        <f t="shared" si="43"/>
        <v>29062.313127203681</v>
      </c>
      <c r="J919" s="47">
        <f t="shared" si="44"/>
        <v>29062.313127203681</v>
      </c>
    </row>
    <row r="920" spans="1:10">
      <c r="A920" s="29" t="s">
        <v>3838</v>
      </c>
      <c r="B920" s="27" t="s">
        <v>170</v>
      </c>
      <c r="C920" s="29" t="s">
        <v>238</v>
      </c>
      <c r="D920" s="53" t="s">
        <v>239</v>
      </c>
      <c r="E920" s="31">
        <v>29062.313127203677</v>
      </c>
      <c r="F920" s="53" t="s">
        <v>4073</v>
      </c>
      <c r="H920" s="47" t="str">
        <f t="shared" si="42"/>
        <v>ORINOQUIA</v>
      </c>
      <c r="I920" s="6">
        <f t="shared" si="43"/>
        <v>29062.313127203684</v>
      </c>
      <c r="J920" s="47">
        <f t="shared" si="44"/>
        <v>29062.313127203684</v>
      </c>
    </row>
    <row r="921" spans="1:10">
      <c r="A921" s="29" t="s">
        <v>3839</v>
      </c>
      <c r="B921" s="27" t="s">
        <v>170</v>
      </c>
      <c r="C921" s="29" t="s">
        <v>238</v>
      </c>
      <c r="D921" s="53" t="s">
        <v>239</v>
      </c>
      <c r="E921" s="31">
        <v>29539.195833332098</v>
      </c>
      <c r="F921" s="53" t="s">
        <v>4074</v>
      </c>
      <c r="H921" s="47" t="str">
        <f t="shared" si="42"/>
        <v>PACIFICO</v>
      </c>
      <c r="I921" s="6">
        <f t="shared" si="43"/>
        <v>29539.195833332098</v>
      </c>
      <c r="J921" s="47">
        <f t="shared" si="44"/>
        <v>29539.195833332098</v>
      </c>
    </row>
    <row r="922" spans="1:10">
      <c r="A922" s="29" t="s">
        <v>3840</v>
      </c>
      <c r="B922" s="27" t="s">
        <v>170</v>
      </c>
      <c r="C922" s="29" t="s">
        <v>238</v>
      </c>
      <c r="D922" s="53" t="s">
        <v>239</v>
      </c>
      <c r="E922" s="31">
        <v>28547.916666667857</v>
      </c>
      <c r="F922" s="53" t="s">
        <v>4074</v>
      </c>
      <c r="H922" s="47" t="str">
        <f t="shared" si="42"/>
        <v>CARIBE</v>
      </c>
      <c r="I922" s="6">
        <f t="shared" si="43"/>
        <v>28547.916666667857</v>
      </c>
      <c r="J922" s="47">
        <f t="shared" si="44"/>
        <v>28547.916666667857</v>
      </c>
    </row>
    <row r="923" spans="1:10">
      <c r="A923" s="29" t="s">
        <v>3841</v>
      </c>
      <c r="B923" s="27" t="s">
        <v>170</v>
      </c>
      <c r="C923" s="29" t="s">
        <v>238</v>
      </c>
      <c r="D923" s="53" t="s">
        <v>239</v>
      </c>
      <c r="E923" s="31">
        <v>26370.277777766667</v>
      </c>
      <c r="F923" s="53" t="s">
        <v>4074</v>
      </c>
      <c r="H923" s="47" t="str">
        <f t="shared" si="42"/>
        <v>CARIBE</v>
      </c>
      <c r="I923" s="6">
        <f t="shared" si="43"/>
        <v>26370.277777766667</v>
      </c>
      <c r="J923" s="47">
        <f t="shared" si="44"/>
        <v>26370.277777766667</v>
      </c>
    </row>
    <row r="924" spans="1:10">
      <c r="A924" s="29" t="s">
        <v>3842</v>
      </c>
      <c r="B924" s="27" t="s">
        <v>170</v>
      </c>
      <c r="C924" s="29" t="s">
        <v>238</v>
      </c>
      <c r="D924" s="53" t="s">
        <v>239</v>
      </c>
      <c r="E924" s="31">
        <v>28392.156862744116</v>
      </c>
      <c r="F924" s="53" t="s">
        <v>4074</v>
      </c>
      <c r="H924" s="47" t="str">
        <f t="shared" si="42"/>
        <v>ANDINA</v>
      </c>
      <c r="I924" s="6">
        <f t="shared" si="43"/>
        <v>28392.156862744116</v>
      </c>
      <c r="J924" s="47">
        <f t="shared" si="44"/>
        <v>28392.156862744116</v>
      </c>
    </row>
    <row r="925" spans="1:10">
      <c r="A925" s="29" t="s">
        <v>3843</v>
      </c>
      <c r="B925" s="27" t="s">
        <v>170</v>
      </c>
      <c r="C925" s="29" t="s">
        <v>238</v>
      </c>
      <c r="D925" s="53" t="s">
        <v>239</v>
      </c>
      <c r="E925" s="31">
        <v>29062.313127203677</v>
      </c>
      <c r="F925" s="53" t="s">
        <v>4073</v>
      </c>
      <c r="H925" s="47" t="str">
        <f t="shared" si="42"/>
        <v>ANDINA</v>
      </c>
      <c r="I925" s="6">
        <f t="shared" si="43"/>
        <v>28315.09769782715</v>
      </c>
      <c r="J925" s="47">
        <f t="shared" si="44"/>
        <v>28315.09769782715</v>
      </c>
    </row>
    <row r="926" spans="1:10">
      <c r="A926" s="29" t="s">
        <v>3845</v>
      </c>
      <c r="B926" s="27" t="s">
        <v>170</v>
      </c>
      <c r="C926" s="29" t="s">
        <v>238</v>
      </c>
      <c r="D926" s="53" t="s">
        <v>239</v>
      </c>
      <c r="E926" s="31">
        <v>29062.313127203677</v>
      </c>
      <c r="F926" s="53" t="s">
        <v>4073</v>
      </c>
      <c r="H926" s="47" t="str">
        <f t="shared" si="42"/>
        <v>ORINOQUIA</v>
      </c>
      <c r="I926" s="6">
        <f t="shared" si="43"/>
        <v>29062.313127203684</v>
      </c>
      <c r="J926" s="47">
        <f t="shared" si="44"/>
        <v>29062.313127203684</v>
      </c>
    </row>
    <row r="927" spans="1:10">
      <c r="A927" s="29" t="s">
        <v>3846</v>
      </c>
      <c r="B927" s="27" t="s">
        <v>170</v>
      </c>
      <c r="C927" s="29" t="s">
        <v>238</v>
      </c>
      <c r="D927" s="53" t="s">
        <v>239</v>
      </c>
      <c r="E927" s="31">
        <v>29062.313127203677</v>
      </c>
      <c r="F927" s="53" t="s">
        <v>4073</v>
      </c>
      <c r="H927" s="47" t="str">
        <f t="shared" si="42"/>
        <v>PACIFICO</v>
      </c>
      <c r="I927" s="6">
        <f t="shared" si="43"/>
        <v>29299.579768305233</v>
      </c>
      <c r="J927" s="47">
        <f t="shared" si="44"/>
        <v>29299.579768305233</v>
      </c>
    </row>
    <row r="928" spans="1:10">
      <c r="A928" s="29" t="s">
        <v>3847</v>
      </c>
      <c r="B928" s="27" t="s">
        <v>170</v>
      </c>
      <c r="C928" s="29" t="s">
        <v>238</v>
      </c>
      <c r="D928" s="53" t="s">
        <v>239</v>
      </c>
      <c r="E928" s="31">
        <v>29062.313127203677</v>
      </c>
      <c r="F928" s="53" t="s">
        <v>4073</v>
      </c>
      <c r="H928" s="47" t="str">
        <f t="shared" si="42"/>
        <v>ANDINA</v>
      </c>
      <c r="I928" s="6">
        <f t="shared" si="43"/>
        <v>28315.09769782715</v>
      </c>
      <c r="J928" s="47">
        <f t="shared" si="44"/>
        <v>28315.09769782715</v>
      </c>
    </row>
    <row r="929" spans="1:10">
      <c r="A929" s="29" t="s">
        <v>3848</v>
      </c>
      <c r="B929" s="27" t="s">
        <v>170</v>
      </c>
      <c r="C929" s="29" t="s">
        <v>238</v>
      </c>
      <c r="D929" s="53" t="s">
        <v>239</v>
      </c>
      <c r="E929" s="31">
        <v>29062.313127203677</v>
      </c>
      <c r="F929" s="53" t="s">
        <v>4073</v>
      </c>
      <c r="H929" s="47" t="str">
        <f t="shared" si="42"/>
        <v>AMAZONIA</v>
      </c>
      <c r="I929" s="6">
        <f t="shared" si="43"/>
        <v>29062.313127203681</v>
      </c>
      <c r="J929" s="47">
        <f t="shared" si="44"/>
        <v>29062.313127203681</v>
      </c>
    </row>
    <row r="930" spans="1:10">
      <c r="A930" s="29" t="s">
        <v>3849</v>
      </c>
      <c r="B930" s="27" t="s">
        <v>170</v>
      </c>
      <c r="C930" s="29" t="s">
        <v>238</v>
      </c>
      <c r="D930" s="53" t="s">
        <v>239</v>
      </c>
      <c r="E930" s="31">
        <v>27238.690476190477</v>
      </c>
      <c r="F930" s="53" t="s">
        <v>4074</v>
      </c>
      <c r="H930" s="47" t="str">
        <f t="shared" si="42"/>
        <v>ANDINA</v>
      </c>
      <c r="I930" s="6">
        <f t="shared" si="43"/>
        <v>27238.690476190477</v>
      </c>
      <c r="J930" s="47">
        <f t="shared" si="44"/>
        <v>27238.690476190477</v>
      </c>
    </row>
    <row r="931" spans="1:10">
      <c r="A931" s="29" t="s">
        <v>3850</v>
      </c>
      <c r="B931" s="27" t="s">
        <v>170</v>
      </c>
      <c r="C931" s="29" t="s">
        <v>238</v>
      </c>
      <c r="D931" s="53" t="s">
        <v>239</v>
      </c>
      <c r="E931" s="31">
        <v>29062.313127203677</v>
      </c>
      <c r="F931" s="53" t="s">
        <v>4073</v>
      </c>
      <c r="H931" s="47" t="str">
        <f t="shared" si="42"/>
        <v>ANDINA</v>
      </c>
      <c r="I931" s="6">
        <f t="shared" si="43"/>
        <v>28315.09769782715</v>
      </c>
      <c r="J931" s="47">
        <f t="shared" si="44"/>
        <v>28315.09769782715</v>
      </c>
    </row>
    <row r="932" spans="1:10">
      <c r="A932" s="29" t="s">
        <v>3851</v>
      </c>
      <c r="B932" s="27" t="s">
        <v>170</v>
      </c>
      <c r="C932" s="29" t="s">
        <v>238</v>
      </c>
      <c r="D932" s="53" t="s">
        <v>239</v>
      </c>
      <c r="E932" s="31">
        <v>28747.401960784708</v>
      </c>
      <c r="F932" s="53" t="s">
        <v>4074</v>
      </c>
      <c r="H932" s="47" t="str">
        <f t="shared" si="42"/>
        <v>ANDINA</v>
      </c>
      <c r="I932" s="6">
        <f t="shared" si="43"/>
        <v>28747.401960784708</v>
      </c>
      <c r="J932" s="47">
        <f t="shared" si="44"/>
        <v>28747.401960784708</v>
      </c>
    </row>
    <row r="933" spans="1:10">
      <c r="A933" s="29" t="s">
        <v>3853</v>
      </c>
      <c r="B933" s="27" t="s">
        <v>170</v>
      </c>
      <c r="C933" s="29" t="s">
        <v>238</v>
      </c>
      <c r="D933" s="53" t="s">
        <v>239</v>
      </c>
      <c r="E933" s="31">
        <v>24000</v>
      </c>
      <c r="F933" s="53" t="s">
        <v>4074</v>
      </c>
      <c r="H933" s="47" t="str">
        <f t="shared" si="42"/>
        <v>ANDINA</v>
      </c>
      <c r="I933" s="6">
        <f t="shared" si="43"/>
        <v>24000</v>
      </c>
      <c r="J933" s="47">
        <f t="shared" si="44"/>
        <v>24000</v>
      </c>
    </row>
    <row r="934" spans="1:10">
      <c r="A934" s="29" t="s">
        <v>3854</v>
      </c>
      <c r="B934" s="27" t="s">
        <v>170</v>
      </c>
      <c r="C934" s="29" t="s">
        <v>238</v>
      </c>
      <c r="D934" s="53" t="s">
        <v>239</v>
      </c>
      <c r="E934" s="31">
        <v>29297.230344379921</v>
      </c>
      <c r="F934" s="53" t="s">
        <v>4074</v>
      </c>
      <c r="H934" s="47" t="str">
        <f t="shared" si="42"/>
        <v>PACIFICO</v>
      </c>
      <c r="I934" s="6">
        <f t="shared" si="43"/>
        <v>29297.230344379921</v>
      </c>
      <c r="J934" s="47">
        <f t="shared" si="44"/>
        <v>29297.230344379921</v>
      </c>
    </row>
    <row r="935" spans="1:10">
      <c r="A935" s="29" t="s">
        <v>4076</v>
      </c>
      <c r="B935" s="27" t="s">
        <v>170</v>
      </c>
      <c r="C935" s="29" t="s">
        <v>238</v>
      </c>
      <c r="D935" s="53" t="s">
        <v>239</v>
      </c>
      <c r="E935" s="31">
        <v>29062.313127203677</v>
      </c>
      <c r="F935" s="53" t="s">
        <v>4073</v>
      </c>
      <c r="H935" s="47" t="str">
        <f t="shared" si="42"/>
        <v>AMAZONIA</v>
      </c>
      <c r="I935" s="6">
        <f t="shared" si="43"/>
        <v>29062.313127203681</v>
      </c>
      <c r="J935" s="47">
        <f t="shared" si="44"/>
        <v>29062.313127203681</v>
      </c>
    </row>
    <row r="936" spans="1:10">
      <c r="A936" s="29" t="s">
        <v>3831</v>
      </c>
      <c r="B936" s="27" t="s">
        <v>170</v>
      </c>
      <c r="C936" s="29" t="s">
        <v>309</v>
      </c>
      <c r="D936" s="53" t="s">
        <v>4078</v>
      </c>
      <c r="E936" s="31">
        <v>78080.853020496768</v>
      </c>
      <c r="F936" s="53" t="s">
        <v>4073</v>
      </c>
      <c r="H936" s="47" t="str">
        <f t="shared" si="42"/>
        <v>ANDINA</v>
      </c>
      <c r="I936" s="6">
        <f t="shared" si="43"/>
        <v>78513.839998753727</v>
      </c>
      <c r="J936" s="47">
        <f t="shared" si="44"/>
        <v>78513.839998753727</v>
      </c>
    </row>
    <row r="937" spans="1:10">
      <c r="A937" s="29" t="s">
        <v>4075</v>
      </c>
      <c r="B937" s="27" t="s">
        <v>170</v>
      </c>
      <c r="C937" s="29" t="s">
        <v>309</v>
      </c>
      <c r="D937" s="53" t="s">
        <v>4078</v>
      </c>
      <c r="E937" s="31">
        <v>78080.853020496768</v>
      </c>
      <c r="F937" s="53" t="s">
        <v>4073</v>
      </c>
      <c r="H937" s="47" t="str">
        <f t="shared" si="42"/>
        <v>ANDINA</v>
      </c>
      <c r="I937" s="6">
        <f t="shared" si="43"/>
        <v>78513.839998753727</v>
      </c>
      <c r="J937" s="47">
        <f t="shared" si="44"/>
        <v>78513.839998753727</v>
      </c>
    </row>
    <row r="938" spans="1:10">
      <c r="A938" s="29" t="s">
        <v>3835</v>
      </c>
      <c r="B938" s="27" t="s">
        <v>170</v>
      </c>
      <c r="C938" s="29" t="s">
        <v>309</v>
      </c>
      <c r="D938" s="53" t="s">
        <v>4078</v>
      </c>
      <c r="E938" s="31">
        <v>77470.1364234059</v>
      </c>
      <c r="F938" s="53" t="s">
        <v>4074</v>
      </c>
      <c r="H938" s="47" t="str">
        <f t="shared" si="42"/>
        <v>ANDINA</v>
      </c>
      <c r="I938" s="6">
        <f t="shared" si="43"/>
        <v>77470.1364234059</v>
      </c>
      <c r="J938" s="47">
        <f t="shared" si="44"/>
        <v>77470.1364234059</v>
      </c>
    </row>
    <row r="939" spans="1:10">
      <c r="A939" s="29" t="s">
        <v>3836</v>
      </c>
      <c r="B939" s="27" t="s">
        <v>170</v>
      </c>
      <c r="C939" s="29" t="s">
        <v>309</v>
      </c>
      <c r="D939" s="53" t="s">
        <v>4078</v>
      </c>
      <c r="E939" s="31">
        <v>81804.002732240973</v>
      </c>
      <c r="F939" s="53" t="s">
        <v>4074</v>
      </c>
      <c r="H939" s="47" t="str">
        <f t="shared" si="42"/>
        <v>ANDINA</v>
      </c>
      <c r="I939" s="6">
        <f t="shared" si="43"/>
        <v>81804.002732240973</v>
      </c>
      <c r="J939" s="47">
        <f t="shared" si="44"/>
        <v>81804.002732240973</v>
      </c>
    </row>
    <row r="940" spans="1:10">
      <c r="A940" s="29" t="s">
        <v>3837</v>
      </c>
      <c r="B940" s="27" t="s">
        <v>170</v>
      </c>
      <c r="C940" s="29" t="s">
        <v>309</v>
      </c>
      <c r="D940" s="53" t="s">
        <v>4078</v>
      </c>
      <c r="E940" s="31">
        <v>78080.853020496768</v>
      </c>
      <c r="F940" s="53" t="s">
        <v>4073</v>
      </c>
      <c r="H940" s="47" t="str">
        <f t="shared" si="42"/>
        <v>AMAZONIA</v>
      </c>
      <c r="I940" s="6">
        <f t="shared" si="43"/>
        <v>78080.853020496768</v>
      </c>
      <c r="J940" s="47">
        <f t="shared" si="44"/>
        <v>78080.853020496768</v>
      </c>
    </row>
    <row r="941" spans="1:10">
      <c r="A941" s="29" t="s">
        <v>3838</v>
      </c>
      <c r="B941" s="27" t="s">
        <v>170</v>
      </c>
      <c r="C941" s="29" t="s">
        <v>309</v>
      </c>
      <c r="D941" s="53" t="s">
        <v>4078</v>
      </c>
      <c r="E941" s="31">
        <v>78080.853020496768</v>
      </c>
      <c r="F941" s="53" t="s">
        <v>4073</v>
      </c>
      <c r="H941" s="47" t="str">
        <f t="shared" si="42"/>
        <v>ORINOQUIA</v>
      </c>
      <c r="I941" s="6">
        <f t="shared" si="43"/>
        <v>78080.853020496783</v>
      </c>
      <c r="J941" s="47">
        <f t="shared" si="44"/>
        <v>78080.853020496783</v>
      </c>
    </row>
    <row r="942" spans="1:10">
      <c r="A942" s="29" t="s">
        <v>3839</v>
      </c>
      <c r="B942" s="27" t="s">
        <v>170</v>
      </c>
      <c r="C942" s="29" t="s">
        <v>309</v>
      </c>
      <c r="D942" s="53" t="s">
        <v>4078</v>
      </c>
      <c r="E942" s="31">
        <v>78080.853020496768</v>
      </c>
      <c r="F942" s="53" t="s">
        <v>4073</v>
      </c>
      <c r="H942" s="47" t="str">
        <f t="shared" si="42"/>
        <v>PACIFICO</v>
      </c>
      <c r="I942" s="6">
        <f t="shared" si="43"/>
        <v>78080.853020496768</v>
      </c>
      <c r="J942" s="47">
        <f t="shared" si="44"/>
        <v>78080.853020496768</v>
      </c>
    </row>
    <row r="943" spans="1:10">
      <c r="A943" s="29" t="s">
        <v>3840</v>
      </c>
      <c r="B943" s="27" t="s">
        <v>170</v>
      </c>
      <c r="C943" s="29" t="s">
        <v>309</v>
      </c>
      <c r="D943" s="53" t="s">
        <v>4078</v>
      </c>
      <c r="E943" s="31">
        <v>78080.853020496768</v>
      </c>
      <c r="F943" s="53" t="s">
        <v>4073</v>
      </c>
      <c r="H943" s="47" t="str">
        <f t="shared" si="42"/>
        <v>CARIBE</v>
      </c>
      <c r="I943" s="6">
        <f t="shared" si="43"/>
        <v>78080.853020496783</v>
      </c>
      <c r="J943" s="47">
        <f t="shared" si="44"/>
        <v>78080.853020496783</v>
      </c>
    </row>
    <row r="944" spans="1:10">
      <c r="A944" s="29" t="s">
        <v>3841</v>
      </c>
      <c r="B944" s="27" t="s">
        <v>170</v>
      </c>
      <c r="C944" s="29" t="s">
        <v>309</v>
      </c>
      <c r="D944" s="53" t="s">
        <v>4078</v>
      </c>
      <c r="E944" s="31">
        <v>78080.853020496768</v>
      </c>
      <c r="F944" s="53" t="s">
        <v>4073</v>
      </c>
      <c r="H944" s="47" t="str">
        <f t="shared" si="42"/>
        <v>CARIBE</v>
      </c>
      <c r="I944" s="6">
        <f t="shared" si="43"/>
        <v>78080.853020496783</v>
      </c>
      <c r="J944" s="47">
        <f t="shared" si="44"/>
        <v>78080.853020496783</v>
      </c>
    </row>
    <row r="945" spans="1:10">
      <c r="A945" s="29" t="s">
        <v>3842</v>
      </c>
      <c r="B945" s="27" t="s">
        <v>170</v>
      </c>
      <c r="C945" s="29" t="s">
        <v>309</v>
      </c>
      <c r="D945" s="53" t="s">
        <v>4078</v>
      </c>
      <c r="E945" s="31">
        <v>79731.276666670004</v>
      </c>
      <c r="F945" s="53" t="s">
        <v>4074</v>
      </c>
      <c r="H945" s="47" t="str">
        <f t="shared" si="42"/>
        <v>ANDINA</v>
      </c>
      <c r="I945" s="6">
        <f t="shared" si="43"/>
        <v>79731.276666670004</v>
      </c>
      <c r="J945" s="47">
        <f t="shared" si="44"/>
        <v>79731.276666670004</v>
      </c>
    </row>
    <row r="946" spans="1:10">
      <c r="A946" s="29" t="s">
        <v>3843</v>
      </c>
      <c r="B946" s="27" t="s">
        <v>170</v>
      </c>
      <c r="C946" s="29" t="s">
        <v>309</v>
      </c>
      <c r="D946" s="53" t="s">
        <v>4078</v>
      </c>
      <c r="E946" s="31">
        <v>78080.853020496768</v>
      </c>
      <c r="F946" s="53" t="s">
        <v>4073</v>
      </c>
      <c r="H946" s="47" t="str">
        <f t="shared" si="42"/>
        <v>ANDINA</v>
      </c>
      <c r="I946" s="6">
        <f t="shared" si="43"/>
        <v>78513.839998753727</v>
      </c>
      <c r="J946" s="47">
        <f t="shared" si="44"/>
        <v>78513.839998753727</v>
      </c>
    </row>
    <row r="947" spans="1:10">
      <c r="A947" s="29" t="s">
        <v>3845</v>
      </c>
      <c r="B947" s="27" t="s">
        <v>170</v>
      </c>
      <c r="C947" s="29" t="s">
        <v>309</v>
      </c>
      <c r="D947" s="53" t="s">
        <v>4078</v>
      </c>
      <c r="E947" s="31">
        <v>78080.853020496768</v>
      </c>
      <c r="F947" s="53" t="s">
        <v>4073</v>
      </c>
      <c r="H947" s="47" t="str">
        <f t="shared" si="42"/>
        <v>ORINOQUIA</v>
      </c>
      <c r="I947" s="6">
        <f t="shared" si="43"/>
        <v>78080.853020496783</v>
      </c>
      <c r="J947" s="47">
        <f t="shared" si="44"/>
        <v>78080.853020496783</v>
      </c>
    </row>
    <row r="948" spans="1:10">
      <c r="A948" s="29" t="s">
        <v>3846</v>
      </c>
      <c r="B948" s="27" t="s">
        <v>170</v>
      </c>
      <c r="C948" s="29" t="s">
        <v>309</v>
      </c>
      <c r="D948" s="53" t="s">
        <v>4078</v>
      </c>
      <c r="E948" s="31">
        <v>78080.853020496768</v>
      </c>
      <c r="F948" s="53" t="s">
        <v>4073</v>
      </c>
      <c r="H948" s="47" t="str">
        <f t="shared" si="42"/>
        <v>PACIFICO</v>
      </c>
      <c r="I948" s="6">
        <f t="shared" si="43"/>
        <v>78080.853020496768</v>
      </c>
      <c r="J948" s="47">
        <f t="shared" si="44"/>
        <v>78080.853020496768</v>
      </c>
    </row>
    <row r="949" spans="1:10">
      <c r="A949" s="29" t="s">
        <v>3847</v>
      </c>
      <c r="B949" s="27" t="s">
        <v>170</v>
      </c>
      <c r="C949" s="29" t="s">
        <v>309</v>
      </c>
      <c r="D949" s="53" t="s">
        <v>4078</v>
      </c>
      <c r="E949" s="31">
        <v>78080.853020496768</v>
      </c>
      <c r="F949" s="53" t="s">
        <v>4073</v>
      </c>
      <c r="H949" s="47" t="str">
        <f t="shared" si="42"/>
        <v>ANDINA</v>
      </c>
      <c r="I949" s="6">
        <f t="shared" si="43"/>
        <v>78513.839998753727</v>
      </c>
      <c r="J949" s="47">
        <f t="shared" si="44"/>
        <v>78513.839998753727</v>
      </c>
    </row>
    <row r="950" spans="1:10">
      <c r="A950" s="29" t="s">
        <v>3848</v>
      </c>
      <c r="B950" s="27" t="s">
        <v>170</v>
      </c>
      <c r="C950" s="29" t="s">
        <v>309</v>
      </c>
      <c r="D950" s="53" t="s">
        <v>4078</v>
      </c>
      <c r="E950" s="31">
        <v>78080.853020496768</v>
      </c>
      <c r="F950" s="53" t="s">
        <v>4073</v>
      </c>
      <c r="H950" s="47" t="str">
        <f t="shared" si="42"/>
        <v>AMAZONIA</v>
      </c>
      <c r="I950" s="6">
        <f t="shared" si="43"/>
        <v>78080.853020496768</v>
      </c>
      <c r="J950" s="47">
        <f t="shared" si="44"/>
        <v>78080.853020496768</v>
      </c>
    </row>
    <row r="951" spans="1:10">
      <c r="A951" s="29" t="s">
        <v>3849</v>
      </c>
      <c r="B951" s="27" t="s">
        <v>170</v>
      </c>
      <c r="C951" s="29" t="s">
        <v>309</v>
      </c>
      <c r="D951" s="53" t="s">
        <v>4078</v>
      </c>
      <c r="E951" s="31">
        <v>78080.853020496768</v>
      </c>
      <c r="F951" s="53" t="s">
        <v>4073</v>
      </c>
      <c r="H951" s="47" t="str">
        <f t="shared" si="42"/>
        <v>ANDINA</v>
      </c>
      <c r="I951" s="6">
        <f t="shared" si="43"/>
        <v>78513.839998753727</v>
      </c>
      <c r="J951" s="47">
        <f t="shared" si="44"/>
        <v>78513.839998753727</v>
      </c>
    </row>
    <row r="952" spans="1:10">
      <c r="A952" s="29" t="s">
        <v>3850</v>
      </c>
      <c r="B952" s="27" t="s">
        <v>170</v>
      </c>
      <c r="C952" s="29" t="s">
        <v>309</v>
      </c>
      <c r="D952" s="53" t="s">
        <v>4078</v>
      </c>
      <c r="E952" s="31">
        <v>78080.853020496768</v>
      </c>
      <c r="F952" s="53" t="s">
        <v>4073</v>
      </c>
      <c r="H952" s="47" t="str">
        <f t="shared" si="42"/>
        <v>ANDINA</v>
      </c>
      <c r="I952" s="6">
        <f t="shared" si="43"/>
        <v>78513.839998753727</v>
      </c>
      <c r="J952" s="47">
        <f t="shared" si="44"/>
        <v>78513.839998753727</v>
      </c>
    </row>
    <row r="953" spans="1:10">
      <c r="A953" s="29" t="s">
        <v>3851</v>
      </c>
      <c r="B953" s="27" t="s">
        <v>170</v>
      </c>
      <c r="C953" s="29" t="s">
        <v>309</v>
      </c>
      <c r="D953" s="53" t="s">
        <v>4078</v>
      </c>
      <c r="E953" s="31">
        <v>78080.853020496768</v>
      </c>
      <c r="F953" s="53" t="s">
        <v>4073</v>
      </c>
      <c r="H953" s="47" t="str">
        <f t="shared" si="42"/>
        <v>ANDINA</v>
      </c>
      <c r="I953" s="6">
        <f t="shared" si="43"/>
        <v>78513.839998753727</v>
      </c>
      <c r="J953" s="47">
        <f t="shared" si="44"/>
        <v>78513.839998753727</v>
      </c>
    </row>
    <row r="954" spans="1:10">
      <c r="A954" s="29" t="s">
        <v>3853</v>
      </c>
      <c r="B954" s="27" t="s">
        <v>170</v>
      </c>
      <c r="C954" s="29" t="s">
        <v>309</v>
      </c>
      <c r="D954" s="53" t="s">
        <v>4078</v>
      </c>
      <c r="E954" s="31">
        <v>78080.853020496768</v>
      </c>
      <c r="F954" s="53" t="s">
        <v>4073</v>
      </c>
      <c r="H954" s="47" t="str">
        <f t="shared" si="42"/>
        <v>ANDINA</v>
      </c>
      <c r="I954" s="6">
        <f t="shared" si="43"/>
        <v>78513.839998753727</v>
      </c>
      <c r="J954" s="47">
        <f t="shared" si="44"/>
        <v>78513.839998753727</v>
      </c>
    </row>
    <row r="955" spans="1:10">
      <c r="A955" s="29" t="s">
        <v>3854</v>
      </c>
      <c r="B955" s="27" t="s">
        <v>170</v>
      </c>
      <c r="C955" s="29" t="s">
        <v>309</v>
      </c>
      <c r="D955" s="53" t="s">
        <v>4078</v>
      </c>
      <c r="E955" s="31">
        <v>78080.853020496768</v>
      </c>
      <c r="F955" s="53" t="s">
        <v>4073</v>
      </c>
      <c r="H955" s="47" t="str">
        <f t="shared" si="42"/>
        <v>PACIFICO</v>
      </c>
      <c r="I955" s="6">
        <f t="shared" si="43"/>
        <v>78080.853020496768</v>
      </c>
      <c r="J955" s="47">
        <f t="shared" si="44"/>
        <v>78080.853020496768</v>
      </c>
    </row>
    <row r="956" spans="1:10">
      <c r="A956" s="29" t="s">
        <v>4076</v>
      </c>
      <c r="B956" s="27" t="s">
        <v>170</v>
      </c>
      <c r="C956" s="29" t="s">
        <v>309</v>
      </c>
      <c r="D956" s="53" t="s">
        <v>4078</v>
      </c>
      <c r="E956" s="31">
        <v>78080.853020496768</v>
      </c>
      <c r="F956" s="53" t="s">
        <v>4073</v>
      </c>
      <c r="H956" s="47" t="str">
        <f t="shared" si="42"/>
        <v>AMAZONIA</v>
      </c>
      <c r="I956" s="6">
        <f t="shared" si="43"/>
        <v>78080.853020496768</v>
      </c>
      <c r="J956" s="47">
        <f t="shared" si="44"/>
        <v>78080.853020496768</v>
      </c>
    </row>
    <row r="957" spans="1:10">
      <c r="A957" s="29" t="s">
        <v>3831</v>
      </c>
      <c r="B957" s="27" t="s">
        <v>170</v>
      </c>
      <c r="C957" s="29" t="s">
        <v>295</v>
      </c>
      <c r="D957" s="53" t="s">
        <v>261</v>
      </c>
      <c r="E957" s="32">
        <v>28466.305372251012</v>
      </c>
      <c r="F957" s="53" t="s">
        <v>4074</v>
      </c>
      <c r="H957" s="47" t="str">
        <f t="shared" si="42"/>
        <v>ANDINA</v>
      </c>
      <c r="I957" s="6">
        <f t="shared" si="43"/>
        <v>28466.305372251012</v>
      </c>
      <c r="J957" s="47">
        <f t="shared" si="44"/>
        <v>28466.305372251012</v>
      </c>
    </row>
    <row r="958" spans="1:10">
      <c r="A958" s="29" t="s">
        <v>4075</v>
      </c>
      <c r="B958" s="27" t="s">
        <v>170</v>
      </c>
      <c r="C958" s="29" t="s">
        <v>295</v>
      </c>
      <c r="D958" s="53" t="s">
        <v>261</v>
      </c>
      <c r="E958" s="32">
        <v>27972.182347672577</v>
      </c>
      <c r="F958" s="53" t="s">
        <v>4074</v>
      </c>
      <c r="H958" s="47" t="str">
        <f t="shared" si="42"/>
        <v>ANDINA</v>
      </c>
      <c r="I958" s="6">
        <f t="shared" si="43"/>
        <v>27972.182347672577</v>
      </c>
      <c r="J958" s="47">
        <f t="shared" si="44"/>
        <v>27972.182347672577</v>
      </c>
    </row>
    <row r="959" spans="1:10">
      <c r="A959" s="29" t="s">
        <v>3835</v>
      </c>
      <c r="B959" s="27" t="s">
        <v>170</v>
      </c>
      <c r="C959" s="29" t="s">
        <v>295</v>
      </c>
      <c r="D959" s="53" t="s">
        <v>261</v>
      </c>
      <c r="E959" s="32">
        <v>27283.070912538824</v>
      </c>
      <c r="F959" s="53" t="s">
        <v>4074</v>
      </c>
      <c r="H959" s="47" t="str">
        <f t="shared" si="42"/>
        <v>ANDINA</v>
      </c>
      <c r="I959" s="6">
        <f t="shared" si="43"/>
        <v>27283.070912538824</v>
      </c>
      <c r="J959" s="47">
        <f t="shared" si="44"/>
        <v>27283.070912538824</v>
      </c>
    </row>
    <row r="960" spans="1:10">
      <c r="A960" s="29" t="s">
        <v>3836</v>
      </c>
      <c r="B960" s="27" t="s">
        <v>170</v>
      </c>
      <c r="C960" s="29" t="s">
        <v>295</v>
      </c>
      <c r="D960" s="53" t="s">
        <v>261</v>
      </c>
      <c r="E960" s="32">
        <v>28406.531810035489</v>
      </c>
      <c r="F960" s="53" t="s">
        <v>4074</v>
      </c>
      <c r="H960" s="47" t="str">
        <f t="shared" si="42"/>
        <v>ANDINA</v>
      </c>
      <c r="I960" s="6">
        <f t="shared" si="43"/>
        <v>28406.531810035489</v>
      </c>
      <c r="J960" s="47">
        <f t="shared" si="44"/>
        <v>28406.531810035489</v>
      </c>
    </row>
    <row r="961" spans="1:10">
      <c r="A961" s="29" t="s">
        <v>3837</v>
      </c>
      <c r="B961" s="27" t="s">
        <v>170</v>
      </c>
      <c r="C961" s="29" t="s">
        <v>295</v>
      </c>
      <c r="D961" s="53" t="s">
        <v>261</v>
      </c>
      <c r="E961" s="32">
        <v>28069.252879000622</v>
      </c>
      <c r="F961" s="53" t="s">
        <v>4073</v>
      </c>
      <c r="H961" s="47" t="str">
        <f t="shared" si="42"/>
        <v>AMAZONIA</v>
      </c>
      <c r="I961" s="6">
        <f t="shared" si="43"/>
        <v>27809.609446215469</v>
      </c>
      <c r="J961" s="47">
        <f t="shared" si="44"/>
        <v>27809.609446215469</v>
      </c>
    </row>
    <row r="962" spans="1:10">
      <c r="A962" s="29" t="s">
        <v>3838</v>
      </c>
      <c r="B962" s="27" t="s">
        <v>170</v>
      </c>
      <c r="C962" s="29" t="s">
        <v>295</v>
      </c>
      <c r="D962" s="53" t="s">
        <v>261</v>
      </c>
      <c r="E962" s="32">
        <v>28069.252879000622</v>
      </c>
      <c r="F962" s="53" t="s">
        <v>4073</v>
      </c>
      <c r="H962" s="47" t="str">
        <f t="shared" ref="H962:H1025" si="45">IF(OR(A962="Antioquia",A962="Bogotá, D.C.",A962="Boyacá",A962="Cundinamarca",A962="Caldas",A962="Risaralda",A962="Quindío",A962="Tolima",A962="Huila",A962="Santander",A962="Norte de Santander"),"ANDINA",
IF(OR(A962="Atlántico",A962="Bolívar",A962="Cesar",A962="Córdoba",A962="Sucre",A962="Magdalena"),"CARIBE",
IF(OR(A962="Valle del Cauca",A962="Cauca",A962="Nariño"),"PACIFICO",
IF(OR(A962="Meta",A962="Casanare",A962="Arauca"),"ORINOQUIA",
"AMAZONIA"))))</f>
        <v>ORINOQUIA</v>
      </c>
      <c r="I962" s="6">
        <f t="shared" ref="I962:I1025" si="46">IF(F962="Departamental",E962,
AVERAGEIFS($E:$E,$H:$H,H962,$B:$B,B962,$C:$C,C962))</f>
        <v>28069.252879000614</v>
      </c>
      <c r="J962" s="47">
        <f t="shared" si="44"/>
        <v>28069.252879000614</v>
      </c>
    </row>
    <row r="963" spans="1:10">
      <c r="A963" s="29" t="s">
        <v>3839</v>
      </c>
      <c r="B963" s="27" t="s">
        <v>170</v>
      </c>
      <c r="C963" s="29" t="s">
        <v>295</v>
      </c>
      <c r="D963" s="53" t="s">
        <v>261</v>
      </c>
      <c r="E963" s="32">
        <v>29269.489247313439</v>
      </c>
      <c r="F963" s="53" t="s">
        <v>4074</v>
      </c>
      <c r="H963" s="47" t="str">
        <f t="shared" si="45"/>
        <v>PACIFICO</v>
      </c>
      <c r="I963" s="6">
        <f t="shared" si="46"/>
        <v>29269.489247313439</v>
      </c>
      <c r="J963" s="47">
        <f t="shared" ref="J963:J1026" si="47">IF(G963&lt;&gt;"",G963,I963)</f>
        <v>29269.489247313439</v>
      </c>
    </row>
    <row r="964" spans="1:10">
      <c r="A964" s="29" t="s">
        <v>3840</v>
      </c>
      <c r="B964" s="27" t="s">
        <v>170</v>
      </c>
      <c r="C964" s="29" t="s">
        <v>295</v>
      </c>
      <c r="D964" s="53" t="s">
        <v>261</v>
      </c>
      <c r="E964" s="32">
        <v>28069.252879000622</v>
      </c>
      <c r="F964" s="53" t="s">
        <v>4073</v>
      </c>
      <c r="H964" s="47" t="str">
        <f t="shared" si="45"/>
        <v>CARIBE</v>
      </c>
      <c r="I964" s="6">
        <f t="shared" si="46"/>
        <v>28069.252879000607</v>
      </c>
      <c r="J964" s="47">
        <f t="shared" si="47"/>
        <v>28069.252879000607</v>
      </c>
    </row>
    <row r="965" spans="1:10">
      <c r="A965" s="29" t="s">
        <v>3841</v>
      </c>
      <c r="B965" s="27" t="s">
        <v>170</v>
      </c>
      <c r="C965" s="29" t="s">
        <v>295</v>
      </c>
      <c r="D965" s="53" t="s">
        <v>261</v>
      </c>
      <c r="E965" s="32">
        <v>28069.252879000622</v>
      </c>
      <c r="F965" s="53" t="s">
        <v>4073</v>
      </c>
      <c r="H965" s="47" t="str">
        <f t="shared" si="45"/>
        <v>CARIBE</v>
      </c>
      <c r="I965" s="6">
        <f t="shared" si="46"/>
        <v>28069.252879000607</v>
      </c>
      <c r="J965" s="47">
        <f t="shared" si="47"/>
        <v>28069.252879000607</v>
      </c>
    </row>
    <row r="966" spans="1:10">
      <c r="A966" s="29" t="s">
        <v>3842</v>
      </c>
      <c r="B966" s="27" t="s">
        <v>170</v>
      </c>
      <c r="C966" s="29" t="s">
        <v>295</v>
      </c>
      <c r="D966" s="53" t="s">
        <v>261</v>
      </c>
      <c r="E966" s="32">
        <v>27346.104666957704</v>
      </c>
      <c r="F966" s="53" t="s">
        <v>4074</v>
      </c>
      <c r="H966" s="47" t="str">
        <f t="shared" si="45"/>
        <v>ANDINA</v>
      </c>
      <c r="I966" s="6">
        <f t="shared" si="46"/>
        <v>27346.104666957704</v>
      </c>
      <c r="J966" s="47">
        <f t="shared" si="47"/>
        <v>27346.104666957704</v>
      </c>
    </row>
    <row r="967" spans="1:10">
      <c r="A967" s="29" t="s">
        <v>3843</v>
      </c>
      <c r="B967" s="27" t="s">
        <v>170</v>
      </c>
      <c r="C967" s="29" t="s">
        <v>295</v>
      </c>
      <c r="D967" s="53" t="s">
        <v>261</v>
      </c>
      <c r="E967" s="32">
        <v>27598.569856987782</v>
      </c>
      <c r="F967" s="53" t="s">
        <v>4074</v>
      </c>
      <c r="H967" s="47" t="str">
        <f t="shared" si="45"/>
        <v>ANDINA</v>
      </c>
      <c r="I967" s="6">
        <f t="shared" si="46"/>
        <v>27598.569856987782</v>
      </c>
      <c r="J967" s="47">
        <f t="shared" si="47"/>
        <v>27598.569856987782</v>
      </c>
    </row>
    <row r="968" spans="1:10">
      <c r="A968" s="29" t="s">
        <v>3845</v>
      </c>
      <c r="B968" s="27" t="s">
        <v>170</v>
      </c>
      <c r="C968" s="29" t="s">
        <v>295</v>
      </c>
      <c r="D968" s="53" t="s">
        <v>261</v>
      </c>
      <c r="E968" s="32">
        <v>28069.252879000622</v>
      </c>
      <c r="F968" s="53" t="s">
        <v>4073</v>
      </c>
      <c r="H968" s="47" t="str">
        <f t="shared" si="45"/>
        <v>ORINOQUIA</v>
      </c>
      <c r="I968" s="6">
        <f t="shared" si="46"/>
        <v>28069.252879000614</v>
      </c>
      <c r="J968" s="47">
        <f t="shared" si="47"/>
        <v>28069.252879000614</v>
      </c>
    </row>
    <row r="969" spans="1:10">
      <c r="A969" s="29" t="s">
        <v>3846</v>
      </c>
      <c r="B969" s="27" t="s">
        <v>170</v>
      </c>
      <c r="C969" s="29" t="s">
        <v>295</v>
      </c>
      <c r="D969" s="53" t="s">
        <v>261</v>
      </c>
      <c r="E969" s="32">
        <v>28055.053583829689</v>
      </c>
      <c r="F969" s="53" t="s">
        <v>4074</v>
      </c>
      <c r="H969" s="47" t="str">
        <f t="shared" si="45"/>
        <v>PACIFICO</v>
      </c>
      <c r="I969" s="6">
        <f t="shared" si="46"/>
        <v>28055.053583829689</v>
      </c>
      <c r="J969" s="47">
        <f t="shared" si="47"/>
        <v>28055.053583829689</v>
      </c>
    </row>
    <row r="970" spans="1:10">
      <c r="A970" s="29" t="s">
        <v>3847</v>
      </c>
      <c r="B970" s="27" t="s">
        <v>170</v>
      </c>
      <c r="C970" s="29" t="s">
        <v>295</v>
      </c>
      <c r="D970" s="53" t="s">
        <v>261</v>
      </c>
      <c r="E970" s="32">
        <v>27620.43010752838</v>
      </c>
      <c r="F970" s="53" t="s">
        <v>4074</v>
      </c>
      <c r="H970" s="47" t="str">
        <f t="shared" si="45"/>
        <v>ANDINA</v>
      </c>
      <c r="I970" s="6">
        <f t="shared" si="46"/>
        <v>27620.43010752838</v>
      </c>
      <c r="J970" s="47">
        <f t="shared" si="47"/>
        <v>27620.43010752838</v>
      </c>
    </row>
    <row r="971" spans="1:10">
      <c r="A971" s="29" t="s">
        <v>3848</v>
      </c>
      <c r="B971" s="27" t="s">
        <v>170</v>
      </c>
      <c r="C971" s="29" t="s">
        <v>295</v>
      </c>
      <c r="D971" s="53" t="s">
        <v>261</v>
      </c>
      <c r="E971" s="32">
        <v>27290.322580645163</v>
      </c>
      <c r="F971" s="53" t="s">
        <v>4074</v>
      </c>
      <c r="H971" s="47" t="str">
        <f t="shared" si="45"/>
        <v>AMAZONIA</v>
      </c>
      <c r="I971" s="6">
        <f t="shared" si="46"/>
        <v>27290.322580645163</v>
      </c>
      <c r="J971" s="47">
        <f t="shared" si="47"/>
        <v>27290.322580645163</v>
      </c>
    </row>
    <row r="972" spans="1:10">
      <c r="A972" s="29" t="s">
        <v>3849</v>
      </c>
      <c r="B972" s="27" t="s">
        <v>170</v>
      </c>
      <c r="C972" s="29" t="s">
        <v>295</v>
      </c>
      <c r="D972" s="53" t="s">
        <v>261</v>
      </c>
      <c r="E972" s="32">
        <v>27954.779411767649</v>
      </c>
      <c r="F972" s="53" t="s">
        <v>4074</v>
      </c>
      <c r="H972" s="47" t="str">
        <f t="shared" si="45"/>
        <v>ANDINA</v>
      </c>
      <c r="I972" s="6">
        <f t="shared" si="46"/>
        <v>27954.779411767649</v>
      </c>
      <c r="J972" s="47">
        <f t="shared" si="47"/>
        <v>27954.779411767649</v>
      </c>
    </row>
    <row r="973" spans="1:10">
      <c r="A973" s="29" t="s">
        <v>3850</v>
      </c>
      <c r="B973" s="27" t="s">
        <v>170</v>
      </c>
      <c r="C973" s="29" t="s">
        <v>295</v>
      </c>
      <c r="D973" s="53" t="s">
        <v>261</v>
      </c>
      <c r="E973" s="32">
        <v>28327.845695971788</v>
      </c>
      <c r="F973" s="53" t="s">
        <v>4074</v>
      </c>
      <c r="H973" s="47" t="str">
        <f t="shared" si="45"/>
        <v>ANDINA</v>
      </c>
      <c r="I973" s="6">
        <f t="shared" si="46"/>
        <v>28327.845695971788</v>
      </c>
      <c r="J973" s="47">
        <f t="shared" si="47"/>
        <v>28327.845695971788</v>
      </c>
    </row>
    <row r="974" spans="1:10">
      <c r="A974" s="29" t="s">
        <v>3851</v>
      </c>
      <c r="B974" s="27" t="s">
        <v>170</v>
      </c>
      <c r="C974" s="29" t="s">
        <v>295</v>
      </c>
      <c r="D974" s="53" t="s">
        <v>261</v>
      </c>
      <c r="E974" s="32">
        <v>29017.944075305317</v>
      </c>
      <c r="F974" s="53" t="s">
        <v>4074</v>
      </c>
      <c r="H974" s="47" t="str">
        <f t="shared" si="45"/>
        <v>ANDINA</v>
      </c>
      <c r="I974" s="6">
        <f t="shared" si="46"/>
        <v>29017.944075305317</v>
      </c>
      <c r="J974" s="47">
        <f t="shared" si="47"/>
        <v>29017.944075305317</v>
      </c>
    </row>
    <row r="975" spans="1:10">
      <c r="A975" s="29" t="s">
        <v>3853</v>
      </c>
      <c r="B975" s="27" t="s">
        <v>170</v>
      </c>
      <c r="C975" s="29" t="s">
        <v>295</v>
      </c>
      <c r="D975" s="53" t="s">
        <v>261</v>
      </c>
      <c r="E975" s="32">
        <v>30505.625520833128</v>
      </c>
      <c r="F975" s="53" t="s">
        <v>4074</v>
      </c>
      <c r="H975" s="47" t="str">
        <f t="shared" si="45"/>
        <v>ANDINA</v>
      </c>
      <c r="I975" s="6">
        <f t="shared" si="46"/>
        <v>30505.625520833128</v>
      </c>
      <c r="J975" s="47">
        <f t="shared" si="47"/>
        <v>30505.625520833128</v>
      </c>
    </row>
    <row r="976" spans="1:10">
      <c r="A976" s="29" t="s">
        <v>3854</v>
      </c>
      <c r="B976" s="27" t="s">
        <v>170</v>
      </c>
      <c r="C976" s="29" t="s">
        <v>295</v>
      </c>
      <c r="D976" s="53" t="s">
        <v>261</v>
      </c>
      <c r="E976" s="32">
        <v>29187.287518037454</v>
      </c>
      <c r="F976" s="53" t="s">
        <v>4074</v>
      </c>
      <c r="H976" s="47" t="str">
        <f t="shared" si="45"/>
        <v>PACIFICO</v>
      </c>
      <c r="I976" s="6">
        <f t="shared" si="46"/>
        <v>29187.287518037454</v>
      </c>
      <c r="J976" s="47">
        <f t="shared" si="47"/>
        <v>29187.287518037454</v>
      </c>
    </row>
    <row r="977" spans="1:12">
      <c r="A977" s="33" t="s">
        <v>4076</v>
      </c>
      <c r="B977" s="34" t="s">
        <v>170</v>
      </c>
      <c r="C977" s="33" t="s">
        <v>295</v>
      </c>
      <c r="D977" s="35" t="s">
        <v>261</v>
      </c>
      <c r="E977" s="36">
        <v>28069.252879000622</v>
      </c>
      <c r="F977" s="35" t="s">
        <v>4073</v>
      </c>
      <c r="G977" s="3"/>
      <c r="H977" s="47" t="str">
        <f t="shared" si="45"/>
        <v>AMAZONIA</v>
      </c>
      <c r="I977" s="6">
        <f t="shared" si="46"/>
        <v>27809.609446215469</v>
      </c>
      <c r="J977" s="47">
        <f t="shared" si="47"/>
        <v>27809.609446215469</v>
      </c>
    </row>
    <row r="978" spans="1:12">
      <c r="A978" s="29" t="s">
        <v>3831</v>
      </c>
      <c r="B978" s="53" t="s">
        <v>249</v>
      </c>
      <c r="C978" s="53" t="s">
        <v>4113</v>
      </c>
      <c r="D978" s="53" t="s">
        <v>172</v>
      </c>
      <c r="E978" s="36">
        <v>61293.170152503277</v>
      </c>
      <c r="F978" s="53" t="s">
        <v>4074</v>
      </c>
      <c r="H978" s="47" t="str">
        <f t="shared" si="45"/>
        <v>ANDINA</v>
      </c>
      <c r="I978" s="6">
        <f t="shared" si="46"/>
        <v>61293.170152503277</v>
      </c>
      <c r="J978" s="47">
        <f t="shared" si="47"/>
        <v>61293.170152503277</v>
      </c>
      <c r="L978" s="2"/>
    </row>
    <row r="979" spans="1:12">
      <c r="A979" s="29" t="s">
        <v>4075</v>
      </c>
      <c r="B979" s="53" t="s">
        <v>249</v>
      </c>
      <c r="C979" s="53" t="s">
        <v>4113</v>
      </c>
      <c r="D979" s="53" t="s">
        <v>172</v>
      </c>
      <c r="E979" s="36">
        <v>65848.288690475005</v>
      </c>
      <c r="F979" s="53" t="s">
        <v>4074</v>
      </c>
      <c r="H979" s="47" t="str">
        <f t="shared" si="45"/>
        <v>ANDINA</v>
      </c>
      <c r="I979" s="6">
        <f t="shared" si="46"/>
        <v>65848.288690475005</v>
      </c>
      <c r="J979" s="47">
        <f t="shared" si="47"/>
        <v>65848.288690475005</v>
      </c>
      <c r="L979" s="2"/>
    </row>
    <row r="980" spans="1:12">
      <c r="A980" s="29" t="s">
        <v>3835</v>
      </c>
      <c r="B980" s="53" t="s">
        <v>249</v>
      </c>
      <c r="C980" s="53" t="s">
        <v>4113</v>
      </c>
      <c r="D980" s="53" t="s">
        <v>172</v>
      </c>
      <c r="E980" s="36">
        <v>65417.104761902854</v>
      </c>
      <c r="F980" s="53" t="s">
        <v>4074</v>
      </c>
      <c r="H980" s="47" t="str">
        <f t="shared" si="45"/>
        <v>ANDINA</v>
      </c>
      <c r="I980" s="6">
        <f t="shared" si="46"/>
        <v>65417.104761902854</v>
      </c>
      <c r="J980" s="47">
        <f t="shared" si="47"/>
        <v>65417.104761902854</v>
      </c>
      <c r="L980" s="2"/>
    </row>
    <row r="981" spans="1:12">
      <c r="A981" s="29" t="s">
        <v>3836</v>
      </c>
      <c r="B981" s="53" t="s">
        <v>249</v>
      </c>
      <c r="C981" s="53" t="s">
        <v>4113</v>
      </c>
      <c r="D981" s="53" t="s">
        <v>172</v>
      </c>
      <c r="E981" s="36">
        <v>66920.638888888891</v>
      </c>
      <c r="F981" s="53" t="s">
        <v>4074</v>
      </c>
      <c r="H981" s="47" t="str">
        <f t="shared" si="45"/>
        <v>ANDINA</v>
      </c>
      <c r="I981" s="6">
        <f t="shared" si="46"/>
        <v>66920.638888888891</v>
      </c>
      <c r="J981" s="47">
        <f t="shared" si="47"/>
        <v>66920.638888888891</v>
      </c>
      <c r="L981" s="2"/>
    </row>
    <row r="982" spans="1:12">
      <c r="A982" s="29" t="s">
        <v>3837</v>
      </c>
      <c r="B982" s="53" t="s">
        <v>249</v>
      </c>
      <c r="C982" s="53" t="s">
        <v>4113</v>
      </c>
      <c r="D982" s="53" t="s">
        <v>172</v>
      </c>
      <c r="E982" s="36">
        <v>65237.675085954339</v>
      </c>
      <c r="F982" s="53" t="s">
        <v>4073</v>
      </c>
      <c r="H982" s="47" t="str">
        <f t="shared" si="45"/>
        <v>AMAZONIA</v>
      </c>
      <c r="I982" s="6">
        <f t="shared" si="46"/>
        <v>65237.675085954339</v>
      </c>
      <c r="J982" s="47">
        <f t="shared" si="47"/>
        <v>65237.675085954339</v>
      </c>
      <c r="L982" s="2"/>
    </row>
    <row r="983" spans="1:12">
      <c r="A983" s="29" t="s">
        <v>3838</v>
      </c>
      <c r="B983" s="53" t="s">
        <v>249</v>
      </c>
      <c r="C983" s="53" t="s">
        <v>4113</v>
      </c>
      <c r="D983" s="53" t="s">
        <v>172</v>
      </c>
      <c r="E983" s="36">
        <v>65237.675085954339</v>
      </c>
      <c r="F983" s="53" t="s">
        <v>4073</v>
      </c>
      <c r="H983" s="47" t="str">
        <f t="shared" si="45"/>
        <v>ORINOQUIA</v>
      </c>
      <c r="I983" s="6">
        <f t="shared" si="46"/>
        <v>65237.675085954339</v>
      </c>
      <c r="J983" s="47">
        <f t="shared" si="47"/>
        <v>65237.675085954339</v>
      </c>
      <c r="L983" s="2"/>
    </row>
    <row r="984" spans="1:12">
      <c r="A984" s="29" t="s">
        <v>3839</v>
      </c>
      <c r="B984" s="53" t="s">
        <v>249</v>
      </c>
      <c r="C984" s="53" t="s">
        <v>4113</v>
      </c>
      <c r="D984" s="53" t="s">
        <v>172</v>
      </c>
      <c r="E984" s="36">
        <v>65237.675085954339</v>
      </c>
      <c r="F984" s="53" t="s">
        <v>4073</v>
      </c>
      <c r="H984" s="47" t="str">
        <f t="shared" si="45"/>
        <v>PACIFICO</v>
      </c>
      <c r="I984" s="6">
        <f t="shared" si="46"/>
        <v>65779.231950307832</v>
      </c>
      <c r="J984" s="47">
        <f t="shared" si="47"/>
        <v>65779.231950307832</v>
      </c>
    </row>
    <row r="985" spans="1:12">
      <c r="A985" s="29" t="s">
        <v>3840</v>
      </c>
      <c r="B985" s="53" t="s">
        <v>249</v>
      </c>
      <c r="C985" s="53" t="s">
        <v>4113</v>
      </c>
      <c r="D985" s="53" t="s">
        <v>172</v>
      </c>
      <c r="E985" s="36">
        <v>72795</v>
      </c>
      <c r="F985" s="53" t="s">
        <v>4074</v>
      </c>
      <c r="H985" s="47" t="str">
        <f t="shared" si="45"/>
        <v>CARIBE</v>
      </c>
      <c r="I985" s="6">
        <f t="shared" si="46"/>
        <v>72795</v>
      </c>
      <c r="J985" s="47">
        <f t="shared" si="47"/>
        <v>72795</v>
      </c>
    </row>
    <row r="986" spans="1:12">
      <c r="A986" s="29" t="s">
        <v>3841</v>
      </c>
      <c r="B986" s="53" t="s">
        <v>249</v>
      </c>
      <c r="C986" s="53" t="s">
        <v>4113</v>
      </c>
      <c r="D986" s="53" t="s">
        <v>172</v>
      </c>
      <c r="E986" s="36">
        <v>65237.675085954339</v>
      </c>
      <c r="F986" s="53" t="s">
        <v>4073</v>
      </c>
      <c r="H986" s="47" t="str">
        <f t="shared" si="45"/>
        <v>CARIBE</v>
      </c>
      <c r="I986" s="6">
        <f t="shared" si="46"/>
        <v>66749.140068763474</v>
      </c>
      <c r="J986" s="47">
        <f t="shared" si="47"/>
        <v>66749.140068763474</v>
      </c>
    </row>
    <row r="987" spans="1:12">
      <c r="A987" s="29" t="s">
        <v>3842</v>
      </c>
      <c r="B987" s="53" t="s">
        <v>249</v>
      </c>
      <c r="C987" s="53" t="s">
        <v>4113</v>
      </c>
      <c r="D987" s="53" t="s">
        <v>172</v>
      </c>
      <c r="E987" s="36">
        <v>63088.885245902449</v>
      </c>
      <c r="F987" s="53" t="s">
        <v>4074</v>
      </c>
      <c r="H987" s="47" t="str">
        <f t="shared" si="45"/>
        <v>ANDINA</v>
      </c>
      <c r="I987" s="6">
        <f t="shared" si="46"/>
        <v>63088.885245902449</v>
      </c>
      <c r="J987" s="47">
        <f t="shared" si="47"/>
        <v>63088.885245902449</v>
      </c>
    </row>
    <row r="988" spans="1:12">
      <c r="A988" s="29" t="s">
        <v>3843</v>
      </c>
      <c r="B988" s="53" t="s">
        <v>249</v>
      </c>
      <c r="C988" s="53" t="s">
        <v>4113</v>
      </c>
      <c r="D988" s="53" t="s">
        <v>172</v>
      </c>
      <c r="E988" s="36">
        <v>72736.666666669989</v>
      </c>
      <c r="F988" s="53" t="s">
        <v>4074</v>
      </c>
      <c r="H988" s="47" t="str">
        <f t="shared" si="45"/>
        <v>ANDINA</v>
      </c>
      <c r="I988" s="6">
        <f t="shared" si="46"/>
        <v>72736.666666669989</v>
      </c>
      <c r="J988" s="47">
        <f t="shared" si="47"/>
        <v>72736.666666669989</v>
      </c>
    </row>
    <row r="989" spans="1:12">
      <c r="A989" s="29" t="s">
        <v>3845</v>
      </c>
      <c r="B989" s="53" t="s">
        <v>249</v>
      </c>
      <c r="C989" s="53" t="s">
        <v>4113</v>
      </c>
      <c r="D989" s="53" t="s">
        <v>172</v>
      </c>
      <c r="E989" s="36">
        <v>65237.675085954339</v>
      </c>
      <c r="F989" s="53" t="s">
        <v>4073</v>
      </c>
      <c r="H989" s="47" t="str">
        <f t="shared" si="45"/>
        <v>ORINOQUIA</v>
      </c>
      <c r="I989" s="6">
        <f t="shared" si="46"/>
        <v>65237.675085954339</v>
      </c>
      <c r="J989" s="47">
        <f t="shared" si="47"/>
        <v>65237.675085954339</v>
      </c>
    </row>
    <row r="990" spans="1:12">
      <c r="A990" s="29" t="s">
        <v>3846</v>
      </c>
      <c r="B990" s="53" t="s">
        <v>249</v>
      </c>
      <c r="C990" s="53" t="s">
        <v>4113</v>
      </c>
      <c r="D990" s="53" t="s">
        <v>172</v>
      </c>
      <c r="E990" s="36">
        <v>65237.675085954339</v>
      </c>
      <c r="F990" s="53" t="s">
        <v>4073</v>
      </c>
      <c r="H990" s="47" t="str">
        <f t="shared" si="45"/>
        <v>PACIFICO</v>
      </c>
      <c r="I990" s="6">
        <f t="shared" si="46"/>
        <v>65779.231950307832</v>
      </c>
      <c r="J990" s="47">
        <f t="shared" si="47"/>
        <v>65779.231950307832</v>
      </c>
    </row>
    <row r="991" spans="1:12">
      <c r="A991" s="29" t="s">
        <v>3847</v>
      </c>
      <c r="B991" s="53" t="s">
        <v>249</v>
      </c>
      <c r="C991" s="53" t="s">
        <v>4113</v>
      </c>
      <c r="D991" s="53" t="s">
        <v>172</v>
      </c>
      <c r="E991" s="36">
        <v>65237.675085954339</v>
      </c>
      <c r="F991" s="53" t="s">
        <v>4073</v>
      </c>
      <c r="H991" s="47" t="str">
        <f t="shared" si="45"/>
        <v>ANDINA</v>
      </c>
      <c r="I991" s="6">
        <f t="shared" si="46"/>
        <v>66483.428939464749</v>
      </c>
      <c r="J991" s="47">
        <f t="shared" si="47"/>
        <v>66483.428939464749</v>
      </c>
    </row>
    <row r="992" spans="1:12">
      <c r="A992" s="29" t="s">
        <v>3848</v>
      </c>
      <c r="B992" s="53" t="s">
        <v>249</v>
      </c>
      <c r="C992" s="53" t="s">
        <v>4113</v>
      </c>
      <c r="D992" s="53" t="s">
        <v>172</v>
      </c>
      <c r="E992" s="36">
        <v>65237.675085954339</v>
      </c>
      <c r="F992" s="53" t="s">
        <v>4073</v>
      </c>
      <c r="H992" s="47" t="str">
        <f t="shared" si="45"/>
        <v>AMAZONIA</v>
      </c>
      <c r="I992" s="6">
        <f t="shared" si="46"/>
        <v>65237.675085954339</v>
      </c>
      <c r="J992" s="47">
        <f t="shared" si="47"/>
        <v>65237.675085954339</v>
      </c>
    </row>
    <row r="993" spans="1:12">
      <c r="A993" s="29" t="s">
        <v>3849</v>
      </c>
      <c r="B993" s="53" t="s">
        <v>249</v>
      </c>
      <c r="C993" s="53" t="s">
        <v>4113</v>
      </c>
      <c r="D993" s="53" t="s">
        <v>172</v>
      </c>
      <c r="E993" s="36">
        <v>61859.027777766663</v>
      </c>
      <c r="F993" s="53" t="s">
        <v>4074</v>
      </c>
      <c r="H993" s="47" t="str">
        <f t="shared" si="45"/>
        <v>ANDINA</v>
      </c>
      <c r="I993" s="6">
        <f t="shared" si="46"/>
        <v>61859.027777766663</v>
      </c>
      <c r="J993" s="47">
        <f t="shared" si="47"/>
        <v>61859.027777766663</v>
      </c>
    </row>
    <row r="994" spans="1:12">
      <c r="A994" s="29" t="s">
        <v>3850</v>
      </c>
      <c r="B994" s="53" t="s">
        <v>249</v>
      </c>
      <c r="C994" s="53" t="s">
        <v>4113</v>
      </c>
      <c r="D994" s="53" t="s">
        <v>172</v>
      </c>
      <c r="E994" s="36">
        <v>69764.957805907601</v>
      </c>
      <c r="F994" s="53" t="s">
        <v>4074</v>
      </c>
      <c r="H994" s="47" t="str">
        <f t="shared" si="45"/>
        <v>ANDINA</v>
      </c>
      <c r="I994" s="6">
        <f t="shared" si="46"/>
        <v>69764.957805907601</v>
      </c>
      <c r="J994" s="47">
        <f t="shared" si="47"/>
        <v>69764.957805907601</v>
      </c>
    </row>
    <row r="995" spans="1:12">
      <c r="A995" s="29" t="s">
        <v>3851</v>
      </c>
      <c r="B995" s="53" t="s">
        <v>249</v>
      </c>
      <c r="C995" s="53" t="s">
        <v>4113</v>
      </c>
      <c r="D995" s="53" t="s">
        <v>172</v>
      </c>
      <c r="E995" s="36">
        <v>68127.619047619999</v>
      </c>
      <c r="F995" s="53" t="s">
        <v>4074</v>
      </c>
      <c r="H995" s="47" t="str">
        <f t="shared" si="45"/>
        <v>ANDINA</v>
      </c>
      <c r="I995" s="6">
        <f t="shared" si="46"/>
        <v>68127.619047619999</v>
      </c>
      <c r="J995" s="47">
        <f t="shared" si="47"/>
        <v>68127.619047619999</v>
      </c>
    </row>
    <row r="996" spans="1:12">
      <c r="A996" s="29" t="s">
        <v>3853</v>
      </c>
      <c r="B996" s="53" t="s">
        <v>249</v>
      </c>
      <c r="C996" s="53" t="s">
        <v>4113</v>
      </c>
      <c r="D996" s="53" t="s">
        <v>172</v>
      </c>
      <c r="E996" s="36">
        <v>71023.684210521053</v>
      </c>
      <c r="F996" s="53" t="s">
        <v>4074</v>
      </c>
      <c r="H996" s="47" t="str">
        <f t="shared" si="45"/>
        <v>ANDINA</v>
      </c>
      <c r="I996" s="6">
        <f t="shared" si="46"/>
        <v>71023.684210521053</v>
      </c>
      <c r="J996" s="47">
        <f t="shared" si="47"/>
        <v>71023.684210521053</v>
      </c>
      <c r="L996" s="2"/>
    </row>
    <row r="997" spans="1:12">
      <c r="A997" s="29" t="s">
        <v>3854</v>
      </c>
      <c r="B997" s="53" t="s">
        <v>249</v>
      </c>
      <c r="C997" s="53" t="s">
        <v>4113</v>
      </c>
      <c r="D997" s="53" t="s">
        <v>172</v>
      </c>
      <c r="E997" s="36">
        <v>66862.345679014819</v>
      </c>
      <c r="F997" s="53" t="s">
        <v>4074</v>
      </c>
      <c r="H997" s="47" t="str">
        <f t="shared" si="45"/>
        <v>PACIFICO</v>
      </c>
      <c r="I997" s="6">
        <f t="shared" si="46"/>
        <v>66862.345679014819</v>
      </c>
      <c r="J997" s="47">
        <f t="shared" si="47"/>
        <v>66862.345679014819</v>
      </c>
      <c r="L997" s="2"/>
    </row>
    <row r="998" spans="1:12">
      <c r="A998" s="29" t="s">
        <v>4076</v>
      </c>
      <c r="B998" s="53" t="s">
        <v>249</v>
      </c>
      <c r="C998" s="53" t="s">
        <v>4113</v>
      </c>
      <c r="D998" s="53" t="s">
        <v>172</v>
      </c>
      <c r="E998" s="36">
        <v>65237.675085954339</v>
      </c>
      <c r="F998" s="53" t="s">
        <v>4073</v>
      </c>
      <c r="H998" s="47" t="str">
        <f t="shared" si="45"/>
        <v>AMAZONIA</v>
      </c>
      <c r="I998" s="6">
        <f t="shared" si="46"/>
        <v>65237.675085954339</v>
      </c>
      <c r="J998" s="47">
        <f t="shared" si="47"/>
        <v>65237.675085954339</v>
      </c>
      <c r="L998" s="2"/>
    </row>
    <row r="999" spans="1:12">
      <c r="A999" s="29" t="s">
        <v>3831</v>
      </c>
      <c r="B999" s="53" t="s">
        <v>249</v>
      </c>
      <c r="C999" s="53" t="s">
        <v>4128</v>
      </c>
      <c r="D999" s="53" t="s">
        <v>226</v>
      </c>
      <c r="E999" s="36">
        <v>74834.73873873784</v>
      </c>
      <c r="F999" s="53" t="s">
        <v>4074</v>
      </c>
      <c r="H999" s="47" t="str">
        <f t="shared" si="45"/>
        <v>ANDINA</v>
      </c>
      <c r="I999" s="6">
        <f t="shared" si="46"/>
        <v>74834.73873873784</v>
      </c>
      <c r="J999" s="47">
        <f t="shared" si="47"/>
        <v>74834.73873873784</v>
      </c>
      <c r="L999" s="2"/>
    </row>
    <row r="1000" spans="1:12">
      <c r="A1000" s="29" t="s">
        <v>4075</v>
      </c>
      <c r="B1000" s="53" t="s">
        <v>249</v>
      </c>
      <c r="C1000" s="53" t="s">
        <v>4128</v>
      </c>
      <c r="D1000" s="53" t="s">
        <v>226</v>
      </c>
      <c r="E1000" s="36">
        <v>75352.251700679597</v>
      </c>
      <c r="F1000" s="53" t="s">
        <v>4073</v>
      </c>
      <c r="H1000" s="47" t="str">
        <f t="shared" si="45"/>
        <v>ANDINA</v>
      </c>
      <c r="I1000" s="6">
        <f t="shared" si="46"/>
        <v>75450.265519229142</v>
      </c>
      <c r="J1000" s="47">
        <f t="shared" si="47"/>
        <v>75450.265519229142</v>
      </c>
      <c r="L1000" s="2"/>
    </row>
    <row r="1001" spans="1:12">
      <c r="A1001" s="29" t="s">
        <v>3835</v>
      </c>
      <c r="B1001" s="53" t="s">
        <v>249</v>
      </c>
      <c r="C1001" s="53" t="s">
        <v>4128</v>
      </c>
      <c r="D1001" s="53" t="s">
        <v>226</v>
      </c>
      <c r="E1001" s="36">
        <v>75352.251700679597</v>
      </c>
      <c r="F1001" s="53" t="s">
        <v>4073</v>
      </c>
      <c r="H1001" s="47" t="str">
        <f t="shared" si="45"/>
        <v>ANDINA</v>
      </c>
      <c r="I1001" s="6">
        <f t="shared" si="46"/>
        <v>75450.265519229142</v>
      </c>
      <c r="J1001" s="47">
        <f t="shared" si="47"/>
        <v>75450.265519229142</v>
      </c>
      <c r="L1001" s="2"/>
    </row>
    <row r="1002" spans="1:12">
      <c r="A1002" s="29" t="s">
        <v>3836</v>
      </c>
      <c r="B1002" s="53" t="s">
        <v>249</v>
      </c>
      <c r="C1002" s="53" t="s">
        <v>4128</v>
      </c>
      <c r="D1002" s="53" t="s">
        <v>226</v>
      </c>
      <c r="E1002" s="36">
        <v>75352.251700679597</v>
      </c>
      <c r="F1002" s="53" t="s">
        <v>4073</v>
      </c>
      <c r="H1002" s="47" t="str">
        <f t="shared" si="45"/>
        <v>ANDINA</v>
      </c>
      <c r="I1002" s="6">
        <f t="shared" si="46"/>
        <v>75450.265519229142</v>
      </c>
      <c r="J1002" s="47">
        <f t="shared" si="47"/>
        <v>75450.265519229142</v>
      </c>
      <c r="L1002" s="2"/>
    </row>
    <row r="1003" spans="1:12">
      <c r="A1003" s="29" t="s">
        <v>3837</v>
      </c>
      <c r="B1003" s="53" t="s">
        <v>249</v>
      </c>
      <c r="C1003" s="53" t="s">
        <v>4128</v>
      </c>
      <c r="D1003" s="53" t="s">
        <v>226</v>
      </c>
      <c r="E1003" s="36">
        <v>75352.251700679597</v>
      </c>
      <c r="F1003" s="53" t="s">
        <v>4073</v>
      </c>
      <c r="H1003" s="47" t="str">
        <f t="shared" si="45"/>
        <v>AMAZONIA</v>
      </c>
      <c r="I1003" s="6">
        <f t="shared" si="46"/>
        <v>75352.251700679597</v>
      </c>
      <c r="J1003" s="47">
        <f t="shared" si="47"/>
        <v>75352.251700679597</v>
      </c>
      <c r="L1003" s="2"/>
    </row>
    <row r="1004" spans="1:12">
      <c r="A1004" s="29" t="s">
        <v>3838</v>
      </c>
      <c r="B1004" s="53" t="s">
        <v>249</v>
      </c>
      <c r="C1004" s="53" t="s">
        <v>4128</v>
      </c>
      <c r="D1004" s="53" t="s">
        <v>226</v>
      </c>
      <c r="E1004" s="36">
        <v>75352.251700679597</v>
      </c>
      <c r="F1004" s="53" t="s">
        <v>4073</v>
      </c>
      <c r="H1004" s="47" t="str">
        <f t="shared" si="45"/>
        <v>ORINOQUIA</v>
      </c>
      <c r="I1004" s="6">
        <f t="shared" si="46"/>
        <v>75352.251700679597</v>
      </c>
      <c r="J1004" s="47">
        <f t="shared" si="47"/>
        <v>75352.251700679597</v>
      </c>
      <c r="L1004" s="2"/>
    </row>
    <row r="1005" spans="1:12">
      <c r="A1005" s="29" t="s">
        <v>3839</v>
      </c>
      <c r="B1005" s="53" t="s">
        <v>249</v>
      </c>
      <c r="C1005" s="53" t="s">
        <v>4128</v>
      </c>
      <c r="D1005" s="53" t="s">
        <v>226</v>
      </c>
      <c r="E1005" s="36">
        <v>75352.251700679597</v>
      </c>
      <c r="F1005" s="53" t="s">
        <v>4073</v>
      </c>
      <c r="H1005" s="47" t="str">
        <f t="shared" si="45"/>
        <v>PACIFICO</v>
      </c>
      <c r="I1005" s="6">
        <f t="shared" si="46"/>
        <v>75352.251700679597</v>
      </c>
      <c r="J1005" s="47">
        <f t="shared" si="47"/>
        <v>75352.251700679597</v>
      </c>
      <c r="L1005" s="2"/>
    </row>
    <row r="1006" spans="1:12">
      <c r="A1006" s="29" t="s">
        <v>3840</v>
      </c>
      <c r="B1006" s="53" t="s">
        <v>249</v>
      </c>
      <c r="C1006" s="53" t="s">
        <v>4128</v>
      </c>
      <c r="D1006" s="53" t="s">
        <v>226</v>
      </c>
      <c r="E1006" s="36">
        <v>75352.251700679597</v>
      </c>
      <c r="F1006" s="53" t="s">
        <v>4073</v>
      </c>
      <c r="H1006" s="47" t="str">
        <f t="shared" si="45"/>
        <v>CARIBE</v>
      </c>
      <c r="I1006" s="6">
        <f t="shared" si="46"/>
        <v>75352.251700679597</v>
      </c>
      <c r="J1006" s="47">
        <f t="shared" si="47"/>
        <v>75352.251700679597</v>
      </c>
      <c r="L1006" s="2"/>
    </row>
    <row r="1007" spans="1:12">
      <c r="A1007" s="29" t="s">
        <v>3841</v>
      </c>
      <c r="B1007" s="53" t="s">
        <v>249</v>
      </c>
      <c r="C1007" s="53" t="s">
        <v>4128</v>
      </c>
      <c r="D1007" s="53" t="s">
        <v>226</v>
      </c>
      <c r="E1007" s="36">
        <v>75352.251700679597</v>
      </c>
      <c r="F1007" s="53" t="s">
        <v>4073</v>
      </c>
      <c r="H1007" s="47" t="str">
        <f t="shared" si="45"/>
        <v>CARIBE</v>
      </c>
      <c r="I1007" s="6">
        <f t="shared" si="46"/>
        <v>75352.251700679597</v>
      </c>
      <c r="J1007" s="47">
        <f t="shared" si="47"/>
        <v>75352.251700679597</v>
      </c>
      <c r="L1007" s="2"/>
    </row>
    <row r="1008" spans="1:12">
      <c r="A1008" s="29" t="s">
        <v>3842</v>
      </c>
      <c r="B1008" s="53" t="s">
        <v>249</v>
      </c>
      <c r="C1008" s="53" t="s">
        <v>4128</v>
      </c>
      <c r="D1008" s="53" t="s">
        <v>226</v>
      </c>
      <c r="E1008" s="36">
        <v>76947.916666666672</v>
      </c>
      <c r="F1008" s="53" t="s">
        <v>4074</v>
      </c>
      <c r="H1008" s="47" t="str">
        <f t="shared" si="45"/>
        <v>ANDINA</v>
      </c>
      <c r="I1008" s="6">
        <f t="shared" si="46"/>
        <v>76947.916666666672</v>
      </c>
      <c r="J1008" s="47">
        <f t="shared" si="47"/>
        <v>76947.916666666672</v>
      </c>
      <c r="L1008" s="2"/>
    </row>
    <row r="1009" spans="1:12">
      <c r="A1009" s="29" t="s">
        <v>3843</v>
      </c>
      <c r="B1009" s="53" t="s">
        <v>249</v>
      </c>
      <c r="C1009" s="53" t="s">
        <v>4128</v>
      </c>
      <c r="D1009" s="53" t="s">
        <v>226</v>
      </c>
      <c r="E1009" s="36">
        <v>75352.251700679597</v>
      </c>
      <c r="F1009" s="53" t="s">
        <v>4073</v>
      </c>
      <c r="H1009" s="47" t="str">
        <f t="shared" si="45"/>
        <v>ANDINA</v>
      </c>
      <c r="I1009" s="6">
        <f t="shared" si="46"/>
        <v>75450.265519229142</v>
      </c>
      <c r="J1009" s="47">
        <f t="shared" si="47"/>
        <v>75450.265519229142</v>
      </c>
      <c r="L1009" s="2"/>
    </row>
    <row r="1010" spans="1:12">
      <c r="A1010" s="29" t="s">
        <v>3845</v>
      </c>
      <c r="B1010" s="53" t="s">
        <v>249</v>
      </c>
      <c r="C1010" s="53" t="s">
        <v>4128</v>
      </c>
      <c r="D1010" s="53" t="s">
        <v>226</v>
      </c>
      <c r="E1010" s="36">
        <v>75352.251700679597</v>
      </c>
      <c r="F1010" s="53" t="s">
        <v>4073</v>
      </c>
      <c r="H1010" s="47" t="str">
        <f t="shared" si="45"/>
        <v>ORINOQUIA</v>
      </c>
      <c r="I1010" s="6">
        <f t="shared" si="46"/>
        <v>75352.251700679597</v>
      </c>
      <c r="J1010" s="47">
        <f t="shared" si="47"/>
        <v>75352.251700679597</v>
      </c>
      <c r="L1010" s="2"/>
    </row>
    <row r="1011" spans="1:12">
      <c r="A1011" s="29" t="s">
        <v>3846</v>
      </c>
      <c r="B1011" s="53" t="s">
        <v>249</v>
      </c>
      <c r="C1011" s="53" t="s">
        <v>4128</v>
      </c>
      <c r="D1011" s="53" t="s">
        <v>226</v>
      </c>
      <c r="E1011" s="36">
        <v>75352.251700679597</v>
      </c>
      <c r="F1011" s="53" t="s">
        <v>4073</v>
      </c>
      <c r="H1011" s="47" t="str">
        <f t="shared" si="45"/>
        <v>PACIFICO</v>
      </c>
      <c r="I1011" s="6">
        <f t="shared" si="46"/>
        <v>75352.251700679597</v>
      </c>
      <c r="J1011" s="47">
        <f t="shared" si="47"/>
        <v>75352.251700679597</v>
      </c>
      <c r="L1011" s="2"/>
    </row>
    <row r="1012" spans="1:12">
      <c r="A1012" s="29" t="s">
        <v>3847</v>
      </c>
      <c r="B1012" s="53" t="s">
        <v>249</v>
      </c>
      <c r="C1012" s="53" t="s">
        <v>4128</v>
      </c>
      <c r="D1012" s="53" t="s">
        <v>226</v>
      </c>
      <c r="E1012" s="36">
        <v>75352.251700679597</v>
      </c>
      <c r="F1012" s="53" t="s">
        <v>4073</v>
      </c>
      <c r="H1012" s="47" t="str">
        <f t="shared" si="45"/>
        <v>ANDINA</v>
      </c>
      <c r="I1012" s="6">
        <f t="shared" si="46"/>
        <v>75450.265519229142</v>
      </c>
      <c r="J1012" s="47">
        <f t="shared" si="47"/>
        <v>75450.265519229142</v>
      </c>
      <c r="L1012" s="2"/>
    </row>
    <row r="1013" spans="1:12">
      <c r="A1013" s="29" t="s">
        <v>3848</v>
      </c>
      <c r="B1013" s="53" t="s">
        <v>249</v>
      </c>
      <c r="C1013" s="53" t="s">
        <v>4128</v>
      </c>
      <c r="D1013" s="53" t="s">
        <v>226</v>
      </c>
      <c r="E1013" s="36">
        <v>75352.251700679597</v>
      </c>
      <c r="F1013" s="53" t="s">
        <v>4073</v>
      </c>
      <c r="H1013" s="47" t="str">
        <f t="shared" si="45"/>
        <v>AMAZONIA</v>
      </c>
      <c r="I1013" s="6">
        <f t="shared" si="46"/>
        <v>75352.251700679597</v>
      </c>
      <c r="J1013" s="47">
        <f t="shared" si="47"/>
        <v>75352.251700679597</v>
      </c>
      <c r="L1013" s="2"/>
    </row>
    <row r="1014" spans="1:12">
      <c r="A1014" s="29" t="s">
        <v>3849</v>
      </c>
      <c r="B1014" s="53" t="s">
        <v>249</v>
      </c>
      <c r="C1014" s="53" t="s">
        <v>4128</v>
      </c>
      <c r="D1014" s="53" t="s">
        <v>226</v>
      </c>
      <c r="E1014" s="36">
        <v>75352.251700679597</v>
      </c>
      <c r="F1014" s="53" t="s">
        <v>4073</v>
      </c>
      <c r="H1014" s="47" t="str">
        <f t="shared" si="45"/>
        <v>ANDINA</v>
      </c>
      <c r="I1014" s="6">
        <f t="shared" si="46"/>
        <v>75450.265519229142</v>
      </c>
      <c r="J1014" s="47">
        <f t="shared" si="47"/>
        <v>75450.265519229142</v>
      </c>
      <c r="L1014" s="2"/>
    </row>
    <row r="1015" spans="1:12">
      <c r="A1015" s="29" t="s">
        <v>3850</v>
      </c>
      <c r="B1015" s="53" t="s">
        <v>249</v>
      </c>
      <c r="C1015" s="53" t="s">
        <v>4128</v>
      </c>
      <c r="D1015" s="53" t="s">
        <v>226</v>
      </c>
      <c r="E1015" s="36">
        <v>75352.251700679597</v>
      </c>
      <c r="F1015" s="53" t="s">
        <v>4073</v>
      </c>
      <c r="H1015" s="47" t="str">
        <f t="shared" si="45"/>
        <v>ANDINA</v>
      </c>
      <c r="I1015" s="6">
        <f t="shared" si="46"/>
        <v>75450.265519229142</v>
      </c>
      <c r="J1015" s="47">
        <f t="shared" si="47"/>
        <v>75450.265519229142</v>
      </c>
      <c r="L1015" s="2"/>
    </row>
    <row r="1016" spans="1:12">
      <c r="A1016" s="29" t="s">
        <v>3851</v>
      </c>
      <c r="B1016" s="53" t="s">
        <v>249</v>
      </c>
      <c r="C1016" s="53" t="s">
        <v>4128</v>
      </c>
      <c r="D1016" s="53" t="s">
        <v>226</v>
      </c>
      <c r="E1016" s="36">
        <v>75352.251700679597</v>
      </c>
      <c r="F1016" s="53" t="s">
        <v>4073</v>
      </c>
      <c r="H1016" s="47" t="str">
        <f t="shared" si="45"/>
        <v>ANDINA</v>
      </c>
      <c r="I1016" s="6">
        <f t="shared" si="46"/>
        <v>75450.265519229142</v>
      </c>
      <c r="J1016" s="47">
        <f t="shared" si="47"/>
        <v>75450.265519229142</v>
      </c>
      <c r="L1016" s="2"/>
    </row>
    <row r="1017" spans="1:12">
      <c r="A1017" s="29" t="s">
        <v>3853</v>
      </c>
      <c r="B1017" s="53" t="s">
        <v>249</v>
      </c>
      <c r="C1017" s="53" t="s">
        <v>4128</v>
      </c>
      <c r="D1017" s="53" t="s">
        <v>226</v>
      </c>
      <c r="E1017" s="36">
        <v>75352.251700679597</v>
      </c>
      <c r="F1017" s="53" t="s">
        <v>4073</v>
      </c>
      <c r="H1017" s="47" t="str">
        <f t="shared" si="45"/>
        <v>ANDINA</v>
      </c>
      <c r="I1017" s="6">
        <f t="shared" si="46"/>
        <v>75450.265519229142</v>
      </c>
      <c r="J1017" s="47">
        <f t="shared" si="47"/>
        <v>75450.265519229142</v>
      </c>
      <c r="L1017" s="2"/>
    </row>
    <row r="1018" spans="1:12">
      <c r="A1018" s="29" t="s">
        <v>3854</v>
      </c>
      <c r="B1018" s="53" t="s">
        <v>249</v>
      </c>
      <c r="C1018" s="53" t="s">
        <v>4128</v>
      </c>
      <c r="D1018" s="53" t="s">
        <v>226</v>
      </c>
      <c r="E1018" s="36">
        <v>75352.251700679597</v>
      </c>
      <c r="F1018" s="53" t="s">
        <v>4073</v>
      </c>
      <c r="H1018" s="47" t="str">
        <f t="shared" si="45"/>
        <v>PACIFICO</v>
      </c>
      <c r="I1018" s="6">
        <f t="shared" si="46"/>
        <v>75352.251700679597</v>
      </c>
      <c r="J1018" s="47">
        <f t="shared" si="47"/>
        <v>75352.251700679597</v>
      </c>
      <c r="L1018" s="2"/>
    </row>
    <row r="1019" spans="1:12">
      <c r="A1019" s="29" t="s">
        <v>4076</v>
      </c>
      <c r="B1019" s="53" t="s">
        <v>249</v>
      </c>
      <c r="C1019" s="53" t="s">
        <v>4128</v>
      </c>
      <c r="D1019" s="53" t="s">
        <v>226</v>
      </c>
      <c r="E1019" s="36">
        <v>75352.251700679597</v>
      </c>
      <c r="F1019" s="53" t="s">
        <v>4073</v>
      </c>
      <c r="H1019" s="47" t="str">
        <f t="shared" si="45"/>
        <v>AMAZONIA</v>
      </c>
      <c r="I1019" s="6">
        <f t="shared" si="46"/>
        <v>75352.251700679597</v>
      </c>
      <c r="J1019" s="47">
        <f t="shared" si="47"/>
        <v>75352.251700679597</v>
      </c>
      <c r="L1019" s="2"/>
    </row>
    <row r="1020" spans="1:12">
      <c r="A1020" s="29" t="s">
        <v>3831</v>
      </c>
      <c r="B1020" s="53" t="s">
        <v>249</v>
      </c>
      <c r="C1020" s="53" t="s">
        <v>4129</v>
      </c>
      <c r="D1020" s="53" t="s">
        <v>172</v>
      </c>
      <c r="E1020" s="36">
        <v>219478.57142857148</v>
      </c>
      <c r="F1020" s="53" t="s">
        <v>4074</v>
      </c>
      <c r="H1020" s="47" t="str">
        <f t="shared" si="45"/>
        <v>ANDINA</v>
      </c>
      <c r="I1020" s="6">
        <f t="shared" si="46"/>
        <v>219478.57142857148</v>
      </c>
      <c r="J1020" s="47">
        <f t="shared" si="47"/>
        <v>219478.57142857148</v>
      </c>
      <c r="L1020" s="2"/>
    </row>
    <row r="1021" spans="1:12">
      <c r="A1021" s="29" t="s">
        <v>4075</v>
      </c>
      <c r="B1021" s="53" t="s">
        <v>249</v>
      </c>
      <c r="C1021" s="53" t="s">
        <v>4129</v>
      </c>
      <c r="D1021" s="53" t="s">
        <v>172</v>
      </c>
      <c r="E1021" s="36">
        <v>232445.83333333334</v>
      </c>
      <c r="F1021" s="53" t="s">
        <v>4074</v>
      </c>
      <c r="H1021" s="47" t="str">
        <f t="shared" si="45"/>
        <v>ANDINA</v>
      </c>
      <c r="I1021" s="6">
        <f t="shared" si="46"/>
        <v>232445.83333333334</v>
      </c>
      <c r="J1021" s="47">
        <f t="shared" si="47"/>
        <v>232445.83333333334</v>
      </c>
      <c r="L1021" s="2"/>
    </row>
    <row r="1022" spans="1:12">
      <c r="A1022" s="29" t="s">
        <v>3835</v>
      </c>
      <c r="B1022" s="53" t="s">
        <v>249</v>
      </c>
      <c r="C1022" s="53" t="s">
        <v>4129</v>
      </c>
      <c r="D1022" s="53" t="s">
        <v>172</v>
      </c>
      <c r="E1022" s="36">
        <v>248500</v>
      </c>
      <c r="F1022" s="53" t="s">
        <v>4074</v>
      </c>
      <c r="H1022" s="47" t="str">
        <f t="shared" si="45"/>
        <v>ANDINA</v>
      </c>
      <c r="I1022" s="6">
        <f t="shared" si="46"/>
        <v>248500</v>
      </c>
      <c r="J1022" s="47">
        <f t="shared" si="47"/>
        <v>248500</v>
      </c>
      <c r="L1022" s="2"/>
    </row>
    <row r="1023" spans="1:12">
      <c r="A1023" s="29" t="s">
        <v>3836</v>
      </c>
      <c r="B1023" s="53" t="s">
        <v>249</v>
      </c>
      <c r="C1023" s="53" t="s">
        <v>4129</v>
      </c>
      <c r="D1023" s="53" t="s">
        <v>172</v>
      </c>
      <c r="E1023" s="36">
        <v>230019.09385113302</v>
      </c>
      <c r="F1023" s="53" t="s">
        <v>4073</v>
      </c>
      <c r="H1023" s="47" t="str">
        <f t="shared" si="45"/>
        <v>ANDINA</v>
      </c>
      <c r="I1023" s="6">
        <f t="shared" si="46"/>
        <v>233073.55570874931</v>
      </c>
      <c r="J1023" s="47">
        <f t="shared" si="47"/>
        <v>233073.55570874931</v>
      </c>
      <c r="L1023" s="2"/>
    </row>
    <row r="1024" spans="1:12">
      <c r="A1024" s="29" t="s">
        <v>3837</v>
      </c>
      <c r="B1024" s="53" t="s">
        <v>249</v>
      </c>
      <c r="C1024" s="53" t="s">
        <v>4129</v>
      </c>
      <c r="D1024" s="53" t="s">
        <v>172</v>
      </c>
      <c r="E1024" s="36">
        <v>230019.09385113302</v>
      </c>
      <c r="F1024" s="53" t="s">
        <v>4073</v>
      </c>
      <c r="H1024" s="47" t="str">
        <f t="shared" si="45"/>
        <v>AMAZONIA</v>
      </c>
      <c r="I1024" s="6">
        <f t="shared" si="46"/>
        <v>230019.09385113302</v>
      </c>
      <c r="J1024" s="47">
        <f t="shared" si="47"/>
        <v>230019.09385113302</v>
      </c>
      <c r="L1024" s="2"/>
    </row>
    <row r="1025" spans="1:12">
      <c r="A1025" s="29" t="s">
        <v>3838</v>
      </c>
      <c r="B1025" s="53" t="s">
        <v>249</v>
      </c>
      <c r="C1025" s="53" t="s">
        <v>4129</v>
      </c>
      <c r="D1025" s="53" t="s">
        <v>172</v>
      </c>
      <c r="E1025" s="36">
        <v>230019.09385113302</v>
      </c>
      <c r="F1025" s="53" t="s">
        <v>4073</v>
      </c>
      <c r="H1025" s="47" t="str">
        <f t="shared" si="45"/>
        <v>ORINOQUIA</v>
      </c>
      <c r="I1025" s="6">
        <f t="shared" si="46"/>
        <v>230019.09385113302</v>
      </c>
      <c r="J1025" s="47">
        <f t="shared" si="47"/>
        <v>230019.09385113302</v>
      </c>
      <c r="L1025" s="2"/>
    </row>
    <row r="1026" spans="1:12">
      <c r="A1026" s="29" t="s">
        <v>3839</v>
      </c>
      <c r="B1026" s="53" t="s">
        <v>249</v>
      </c>
      <c r="C1026" s="53" t="s">
        <v>4129</v>
      </c>
      <c r="D1026" s="53" t="s">
        <v>172</v>
      </c>
      <c r="E1026" s="36">
        <v>230019.09385113302</v>
      </c>
      <c r="F1026" s="53" t="s">
        <v>4073</v>
      </c>
      <c r="H1026" s="47" t="str">
        <f t="shared" ref="H1026:H1089" si="48">IF(OR(A1026="Antioquia",A1026="Bogotá, D.C.",A1026="Boyacá",A1026="Cundinamarca",A1026="Caldas",A1026="Risaralda",A1026="Quindío",A1026="Tolima",A1026="Huila",A1026="Santander",A1026="Norte de Santander"),"ANDINA",
IF(OR(A1026="Atlántico",A1026="Bolívar",A1026="Cesar",A1026="Córdoba",A1026="Sucre",A1026="Magdalena"),"CARIBE",
IF(OR(A1026="Valle del Cauca",A1026="Cauca",A1026="Nariño"),"PACIFICO",
IF(OR(A1026="Meta",A1026="Casanare",A1026="Arauca"),"ORINOQUIA",
"AMAZONIA"))))</f>
        <v>PACIFICO</v>
      </c>
      <c r="I1026" s="6">
        <f t="shared" ref="I1026:I1089" si="49">IF(F1026="Departamental",E1026,
AVERAGEIFS($E:$E,$H:$H,H1026,$B:$B,B1026,$C:$C,C1026))</f>
        <v>230019.09385113302</v>
      </c>
      <c r="J1026" s="47">
        <f t="shared" si="47"/>
        <v>230019.09385113302</v>
      </c>
      <c r="L1026" s="2"/>
    </row>
    <row r="1027" spans="1:12">
      <c r="A1027" s="29" t="s">
        <v>3840</v>
      </c>
      <c r="B1027" s="53" t="s">
        <v>249</v>
      </c>
      <c r="C1027" s="53" t="s">
        <v>4129</v>
      </c>
      <c r="D1027" s="53" t="s">
        <v>172</v>
      </c>
      <c r="E1027" s="36">
        <v>230019.09385113302</v>
      </c>
      <c r="F1027" s="53" t="s">
        <v>4073</v>
      </c>
      <c r="H1027" s="47" t="str">
        <f t="shared" si="48"/>
        <v>CARIBE</v>
      </c>
      <c r="I1027" s="6">
        <f t="shared" si="49"/>
        <v>230019.09385113302</v>
      </c>
      <c r="J1027" s="47">
        <f t="shared" ref="J1027:J1090" si="50">IF(G1027&lt;&gt;"",G1027,I1027)</f>
        <v>230019.09385113302</v>
      </c>
      <c r="L1027" s="2"/>
    </row>
    <row r="1028" spans="1:12">
      <c r="A1028" s="29" t="s">
        <v>3841</v>
      </c>
      <c r="B1028" s="53" t="s">
        <v>249</v>
      </c>
      <c r="C1028" s="53" t="s">
        <v>4129</v>
      </c>
      <c r="D1028" s="53" t="s">
        <v>172</v>
      </c>
      <c r="E1028" s="36">
        <v>230019.09385113302</v>
      </c>
      <c r="F1028" s="53" t="s">
        <v>4073</v>
      </c>
      <c r="H1028" s="47" t="str">
        <f t="shared" si="48"/>
        <v>CARIBE</v>
      </c>
      <c r="I1028" s="6">
        <f t="shared" si="49"/>
        <v>230019.09385113302</v>
      </c>
      <c r="J1028" s="47">
        <f t="shared" si="50"/>
        <v>230019.09385113302</v>
      </c>
      <c r="L1028" s="2"/>
    </row>
    <row r="1029" spans="1:12">
      <c r="A1029" s="29" t="s">
        <v>3842</v>
      </c>
      <c r="B1029" s="53" t="s">
        <v>249</v>
      </c>
      <c r="C1029" s="53" t="s">
        <v>4129</v>
      </c>
      <c r="D1029" s="53" t="s">
        <v>172</v>
      </c>
      <c r="E1029" s="36">
        <v>236843.47826086957</v>
      </c>
      <c r="F1029" s="53" t="s">
        <v>4074</v>
      </c>
      <c r="H1029" s="47" t="str">
        <f t="shared" si="48"/>
        <v>ANDINA</v>
      </c>
      <c r="I1029" s="6">
        <f t="shared" si="49"/>
        <v>236843.47826086957</v>
      </c>
      <c r="J1029" s="47">
        <f t="shared" si="50"/>
        <v>236843.47826086957</v>
      </c>
      <c r="L1029" s="2"/>
    </row>
    <row r="1030" spans="1:12">
      <c r="A1030" s="29" t="s">
        <v>3843</v>
      </c>
      <c r="B1030" s="53" t="s">
        <v>249</v>
      </c>
      <c r="C1030" s="53" t="s">
        <v>4129</v>
      </c>
      <c r="D1030" s="53" t="s">
        <v>172</v>
      </c>
      <c r="E1030" s="36">
        <v>230019.09385113302</v>
      </c>
      <c r="F1030" s="53" t="s">
        <v>4073</v>
      </c>
      <c r="H1030" s="47" t="str">
        <f t="shared" si="48"/>
        <v>ANDINA</v>
      </c>
      <c r="I1030" s="6">
        <f t="shared" si="49"/>
        <v>233073.55570874931</v>
      </c>
      <c r="J1030" s="47">
        <f t="shared" si="50"/>
        <v>233073.55570874931</v>
      </c>
      <c r="L1030" s="2"/>
    </row>
    <row r="1031" spans="1:12">
      <c r="A1031" s="29" t="s">
        <v>3845</v>
      </c>
      <c r="B1031" s="53" t="s">
        <v>249</v>
      </c>
      <c r="C1031" s="53" t="s">
        <v>4129</v>
      </c>
      <c r="D1031" s="53" t="s">
        <v>172</v>
      </c>
      <c r="E1031" s="36">
        <v>230019.09385113302</v>
      </c>
      <c r="F1031" s="53" t="s">
        <v>4073</v>
      </c>
      <c r="H1031" s="47" t="str">
        <f t="shared" si="48"/>
        <v>ORINOQUIA</v>
      </c>
      <c r="I1031" s="6">
        <f t="shared" si="49"/>
        <v>230019.09385113302</v>
      </c>
      <c r="J1031" s="47">
        <f t="shared" si="50"/>
        <v>230019.09385113302</v>
      </c>
      <c r="L1031" s="2"/>
    </row>
    <row r="1032" spans="1:12">
      <c r="A1032" s="29" t="s">
        <v>3846</v>
      </c>
      <c r="B1032" s="53" t="s">
        <v>249</v>
      </c>
      <c r="C1032" s="53" t="s">
        <v>4129</v>
      </c>
      <c r="D1032" s="53" t="s">
        <v>172</v>
      </c>
      <c r="E1032" s="36">
        <v>230019.09385113302</v>
      </c>
      <c r="F1032" s="53" t="s">
        <v>4073</v>
      </c>
      <c r="H1032" s="47" t="str">
        <f t="shared" si="48"/>
        <v>PACIFICO</v>
      </c>
      <c r="I1032" s="6">
        <f t="shared" si="49"/>
        <v>230019.09385113302</v>
      </c>
      <c r="J1032" s="47">
        <f t="shared" si="50"/>
        <v>230019.09385113302</v>
      </c>
      <c r="L1032" s="2"/>
    </row>
    <row r="1033" spans="1:12">
      <c r="A1033" s="29" t="s">
        <v>3847</v>
      </c>
      <c r="B1033" s="53" t="s">
        <v>249</v>
      </c>
      <c r="C1033" s="53" t="s">
        <v>4129</v>
      </c>
      <c r="D1033" s="53" t="s">
        <v>172</v>
      </c>
      <c r="E1033" s="36">
        <v>230019.09385113302</v>
      </c>
      <c r="F1033" s="53" t="s">
        <v>4073</v>
      </c>
      <c r="H1033" s="47" t="str">
        <f t="shared" si="48"/>
        <v>ANDINA</v>
      </c>
      <c r="I1033" s="6">
        <f t="shared" si="49"/>
        <v>233073.55570874931</v>
      </c>
      <c r="J1033" s="47">
        <f t="shared" si="50"/>
        <v>233073.55570874931</v>
      </c>
      <c r="L1033" s="2"/>
    </row>
    <row r="1034" spans="1:12">
      <c r="A1034" s="29" t="s">
        <v>3848</v>
      </c>
      <c r="B1034" s="53" t="s">
        <v>249</v>
      </c>
      <c r="C1034" s="53" t="s">
        <v>4129</v>
      </c>
      <c r="D1034" s="53" t="s">
        <v>172</v>
      </c>
      <c r="E1034" s="36">
        <v>230019.09385113302</v>
      </c>
      <c r="F1034" s="53" t="s">
        <v>4073</v>
      </c>
      <c r="H1034" s="47" t="str">
        <f t="shared" si="48"/>
        <v>AMAZONIA</v>
      </c>
      <c r="I1034" s="6">
        <f t="shared" si="49"/>
        <v>230019.09385113302</v>
      </c>
      <c r="J1034" s="47">
        <f t="shared" si="50"/>
        <v>230019.09385113302</v>
      </c>
      <c r="L1034" s="2"/>
    </row>
    <row r="1035" spans="1:12">
      <c r="A1035" s="29" t="s">
        <v>3849</v>
      </c>
      <c r="B1035" s="53" t="s">
        <v>249</v>
      </c>
      <c r="C1035" s="53" t="s">
        <v>4129</v>
      </c>
      <c r="D1035" s="53" t="s">
        <v>172</v>
      </c>
      <c r="E1035" s="36">
        <v>230019.09385113302</v>
      </c>
      <c r="F1035" s="53" t="s">
        <v>4073</v>
      </c>
      <c r="H1035" s="47" t="str">
        <f t="shared" si="48"/>
        <v>ANDINA</v>
      </c>
      <c r="I1035" s="6">
        <f t="shared" si="49"/>
        <v>233073.55570874931</v>
      </c>
      <c r="J1035" s="47">
        <f t="shared" si="50"/>
        <v>233073.55570874931</v>
      </c>
      <c r="L1035" s="2"/>
    </row>
    <row r="1036" spans="1:12">
      <c r="A1036" s="29" t="s">
        <v>3850</v>
      </c>
      <c r="B1036" s="53" t="s">
        <v>249</v>
      </c>
      <c r="C1036" s="53" t="s">
        <v>4129</v>
      </c>
      <c r="D1036" s="53" t="s">
        <v>172</v>
      </c>
      <c r="E1036" s="36">
        <v>230019.09385113302</v>
      </c>
      <c r="F1036" s="53" t="s">
        <v>4073</v>
      </c>
      <c r="H1036" s="47" t="str">
        <f t="shared" si="48"/>
        <v>ANDINA</v>
      </c>
      <c r="I1036" s="6">
        <f t="shared" si="49"/>
        <v>233073.55570874931</v>
      </c>
      <c r="J1036" s="47">
        <f t="shared" si="50"/>
        <v>233073.55570874931</v>
      </c>
      <c r="L1036" s="2"/>
    </row>
    <row r="1037" spans="1:12">
      <c r="A1037" s="29" t="s">
        <v>3851</v>
      </c>
      <c r="B1037" s="53" t="s">
        <v>249</v>
      </c>
      <c r="C1037" s="53" t="s">
        <v>4129</v>
      </c>
      <c r="D1037" s="53" t="s">
        <v>172</v>
      </c>
      <c r="E1037" s="36">
        <v>230019.09385113302</v>
      </c>
      <c r="F1037" s="53" t="s">
        <v>4073</v>
      </c>
      <c r="H1037" s="47" t="str">
        <f t="shared" si="48"/>
        <v>ANDINA</v>
      </c>
      <c r="I1037" s="6">
        <f t="shared" si="49"/>
        <v>233073.55570874931</v>
      </c>
      <c r="J1037" s="47">
        <f t="shared" si="50"/>
        <v>233073.55570874931</v>
      </c>
      <c r="L1037" s="2"/>
    </row>
    <row r="1038" spans="1:12">
      <c r="A1038" s="29" t="s">
        <v>3853</v>
      </c>
      <c r="B1038" s="53" t="s">
        <v>249</v>
      </c>
      <c r="C1038" s="53" t="s">
        <v>4129</v>
      </c>
      <c r="D1038" s="53" t="s">
        <v>172</v>
      </c>
      <c r="E1038" s="36">
        <v>246426.66666667</v>
      </c>
      <c r="F1038" s="53" t="s">
        <v>4074</v>
      </c>
      <c r="H1038" s="47" t="str">
        <f t="shared" si="48"/>
        <v>ANDINA</v>
      </c>
      <c r="I1038" s="6">
        <f t="shared" si="49"/>
        <v>246426.66666667</v>
      </c>
      <c r="J1038" s="47">
        <f t="shared" si="50"/>
        <v>246426.66666667</v>
      </c>
      <c r="L1038" s="2"/>
    </row>
    <row r="1039" spans="1:12">
      <c r="A1039" s="29" t="s">
        <v>3854</v>
      </c>
      <c r="B1039" s="53" t="s">
        <v>249</v>
      </c>
      <c r="C1039" s="53" t="s">
        <v>4129</v>
      </c>
      <c r="D1039" s="53" t="s">
        <v>172</v>
      </c>
      <c r="E1039" s="36">
        <v>230019.09385113302</v>
      </c>
      <c r="F1039" s="53" t="s">
        <v>4073</v>
      </c>
      <c r="H1039" s="47" t="str">
        <f t="shared" si="48"/>
        <v>PACIFICO</v>
      </c>
      <c r="I1039" s="6">
        <f t="shared" si="49"/>
        <v>230019.09385113302</v>
      </c>
      <c r="J1039" s="47">
        <f t="shared" si="50"/>
        <v>230019.09385113302</v>
      </c>
      <c r="L1039" s="2"/>
    </row>
    <row r="1040" spans="1:12">
      <c r="A1040" s="29" t="s">
        <v>4076</v>
      </c>
      <c r="B1040" s="53" t="s">
        <v>249</v>
      </c>
      <c r="C1040" s="53" t="s">
        <v>4130</v>
      </c>
      <c r="D1040" s="53" t="s">
        <v>172</v>
      </c>
      <c r="E1040" s="36">
        <v>30409.090909090908</v>
      </c>
      <c r="F1040" s="53" t="s">
        <v>4073</v>
      </c>
      <c r="H1040" s="47" t="str">
        <f t="shared" si="48"/>
        <v>AMAZONIA</v>
      </c>
      <c r="I1040" s="6">
        <f t="shared" si="49"/>
        <v>30409.090909090908</v>
      </c>
      <c r="J1040" s="47">
        <f t="shared" si="50"/>
        <v>30409.090909090908</v>
      </c>
      <c r="L1040" s="2"/>
    </row>
    <row r="1041" spans="1:12">
      <c r="A1041" s="29" t="s">
        <v>3831</v>
      </c>
      <c r="B1041" s="53" t="s">
        <v>249</v>
      </c>
      <c r="C1041" s="53" t="s">
        <v>4130</v>
      </c>
      <c r="D1041" s="53" t="s">
        <v>172</v>
      </c>
      <c r="E1041" s="36">
        <v>30409.090909090908</v>
      </c>
      <c r="F1041" s="53" t="s">
        <v>4073</v>
      </c>
      <c r="H1041" s="47" t="str">
        <f t="shared" si="48"/>
        <v>ANDINA</v>
      </c>
      <c r="I1041" s="6">
        <f t="shared" si="49"/>
        <v>30409.090909090904</v>
      </c>
      <c r="J1041" s="47">
        <f t="shared" si="50"/>
        <v>30409.090909090904</v>
      </c>
      <c r="L1041" s="2"/>
    </row>
    <row r="1042" spans="1:12">
      <c r="A1042" s="29" t="s">
        <v>4075</v>
      </c>
      <c r="B1042" s="53" t="s">
        <v>249</v>
      </c>
      <c r="C1042" s="53" t="s">
        <v>4130</v>
      </c>
      <c r="D1042" s="53" t="s">
        <v>172</v>
      </c>
      <c r="E1042" s="36">
        <v>30409.090909090908</v>
      </c>
      <c r="F1042" s="53" t="s">
        <v>4073</v>
      </c>
      <c r="H1042" s="47" t="str">
        <f t="shared" si="48"/>
        <v>ANDINA</v>
      </c>
      <c r="I1042" s="6">
        <f t="shared" si="49"/>
        <v>30409.090909090904</v>
      </c>
      <c r="J1042" s="47">
        <f t="shared" si="50"/>
        <v>30409.090909090904</v>
      </c>
      <c r="L1042" s="2"/>
    </row>
    <row r="1043" spans="1:12">
      <c r="A1043" s="29" t="s">
        <v>3835</v>
      </c>
      <c r="B1043" s="53" t="s">
        <v>249</v>
      </c>
      <c r="C1043" s="53" t="s">
        <v>4130</v>
      </c>
      <c r="D1043" s="53" t="s">
        <v>172</v>
      </c>
      <c r="E1043" s="36">
        <v>30409.090909090908</v>
      </c>
      <c r="F1043" s="53" t="s">
        <v>4073</v>
      </c>
      <c r="H1043" s="47" t="str">
        <f t="shared" si="48"/>
        <v>ANDINA</v>
      </c>
      <c r="I1043" s="6">
        <f t="shared" si="49"/>
        <v>30409.090909090904</v>
      </c>
      <c r="J1043" s="47">
        <f t="shared" si="50"/>
        <v>30409.090909090904</v>
      </c>
      <c r="L1043" s="2"/>
    </row>
    <row r="1044" spans="1:12">
      <c r="A1044" s="29" t="s">
        <v>3836</v>
      </c>
      <c r="B1044" s="53" t="s">
        <v>249</v>
      </c>
      <c r="C1044" s="53" t="s">
        <v>4130</v>
      </c>
      <c r="D1044" s="53" t="s">
        <v>172</v>
      </c>
      <c r="E1044" s="36">
        <v>30409.090909090908</v>
      </c>
      <c r="F1044" s="53" t="s">
        <v>4073</v>
      </c>
      <c r="H1044" s="47" t="str">
        <f t="shared" si="48"/>
        <v>ANDINA</v>
      </c>
      <c r="I1044" s="6">
        <f t="shared" si="49"/>
        <v>30409.090909090904</v>
      </c>
      <c r="J1044" s="47">
        <f t="shared" si="50"/>
        <v>30409.090909090904</v>
      </c>
      <c r="L1044" s="2"/>
    </row>
    <row r="1045" spans="1:12">
      <c r="A1045" s="29" t="s">
        <v>3837</v>
      </c>
      <c r="B1045" s="53" t="s">
        <v>249</v>
      </c>
      <c r="C1045" s="53" t="s">
        <v>4130</v>
      </c>
      <c r="D1045" s="53" t="s">
        <v>172</v>
      </c>
      <c r="E1045" s="36">
        <v>30409.090909090908</v>
      </c>
      <c r="F1045" s="53" t="s">
        <v>4073</v>
      </c>
      <c r="H1045" s="47" t="str">
        <f t="shared" si="48"/>
        <v>AMAZONIA</v>
      </c>
      <c r="I1045" s="6">
        <f t="shared" si="49"/>
        <v>30409.090909090908</v>
      </c>
      <c r="J1045" s="47">
        <f t="shared" si="50"/>
        <v>30409.090909090908</v>
      </c>
      <c r="L1045" s="2"/>
    </row>
    <row r="1046" spans="1:12">
      <c r="A1046" s="29" t="s">
        <v>3838</v>
      </c>
      <c r="B1046" s="53" t="s">
        <v>249</v>
      </c>
      <c r="C1046" s="53" t="s">
        <v>4130</v>
      </c>
      <c r="D1046" s="53" t="s">
        <v>172</v>
      </c>
      <c r="E1046" s="36">
        <v>30409.090909090908</v>
      </c>
      <c r="F1046" s="53" t="s">
        <v>4073</v>
      </c>
      <c r="H1046" s="47" t="str">
        <f t="shared" si="48"/>
        <v>ORINOQUIA</v>
      </c>
      <c r="I1046" s="6">
        <f t="shared" si="49"/>
        <v>30409.090909090908</v>
      </c>
      <c r="J1046" s="47">
        <f t="shared" si="50"/>
        <v>30409.090909090908</v>
      </c>
      <c r="L1046" s="2"/>
    </row>
    <row r="1047" spans="1:12">
      <c r="A1047" s="29" t="s">
        <v>3839</v>
      </c>
      <c r="B1047" s="53" t="s">
        <v>249</v>
      </c>
      <c r="C1047" s="53" t="s">
        <v>4130</v>
      </c>
      <c r="D1047" s="53" t="s">
        <v>172</v>
      </c>
      <c r="E1047" s="36">
        <v>30409.090909090908</v>
      </c>
      <c r="F1047" s="53" t="s">
        <v>4073</v>
      </c>
      <c r="H1047" s="47" t="str">
        <f t="shared" si="48"/>
        <v>PACIFICO</v>
      </c>
      <c r="I1047" s="6">
        <f t="shared" si="49"/>
        <v>30409.090909090908</v>
      </c>
      <c r="J1047" s="47">
        <f t="shared" si="50"/>
        <v>30409.090909090908</v>
      </c>
      <c r="L1047" s="2"/>
    </row>
    <row r="1048" spans="1:12">
      <c r="A1048" s="29" t="s">
        <v>3840</v>
      </c>
      <c r="B1048" s="53" t="s">
        <v>249</v>
      </c>
      <c r="C1048" s="53" t="s">
        <v>4130</v>
      </c>
      <c r="D1048" s="53" t="s">
        <v>172</v>
      </c>
      <c r="E1048" s="36">
        <v>30409.090909090908</v>
      </c>
      <c r="F1048" s="53" t="s">
        <v>4073</v>
      </c>
      <c r="H1048" s="47" t="str">
        <f t="shared" si="48"/>
        <v>CARIBE</v>
      </c>
      <c r="I1048" s="6">
        <f t="shared" si="49"/>
        <v>30409.090909090904</v>
      </c>
      <c r="J1048" s="47">
        <f t="shared" si="50"/>
        <v>30409.090909090904</v>
      </c>
      <c r="L1048" s="2"/>
    </row>
    <row r="1049" spans="1:12">
      <c r="A1049" s="29" t="s">
        <v>3841</v>
      </c>
      <c r="B1049" s="53" t="s">
        <v>249</v>
      </c>
      <c r="C1049" s="53" t="s">
        <v>4130</v>
      </c>
      <c r="D1049" s="53" t="s">
        <v>172</v>
      </c>
      <c r="E1049" s="36">
        <v>30409.090909090908</v>
      </c>
      <c r="F1049" s="53" t="s">
        <v>4073</v>
      </c>
      <c r="H1049" s="47" t="str">
        <f t="shared" si="48"/>
        <v>CARIBE</v>
      </c>
      <c r="I1049" s="6">
        <f t="shared" si="49"/>
        <v>30409.090909090904</v>
      </c>
      <c r="J1049" s="47">
        <f t="shared" si="50"/>
        <v>30409.090909090904</v>
      </c>
      <c r="L1049" s="2"/>
    </row>
    <row r="1050" spans="1:12">
      <c r="A1050" s="29" t="s">
        <v>3842</v>
      </c>
      <c r="B1050" s="53" t="s">
        <v>249</v>
      </c>
      <c r="C1050" s="53" t="s">
        <v>4130</v>
      </c>
      <c r="D1050" s="53" t="s">
        <v>172</v>
      </c>
      <c r="E1050" s="36">
        <v>30409.090909090908</v>
      </c>
      <c r="F1050" s="53" t="s">
        <v>4073</v>
      </c>
      <c r="H1050" s="47" t="str">
        <f t="shared" si="48"/>
        <v>ANDINA</v>
      </c>
      <c r="I1050" s="6">
        <f t="shared" si="49"/>
        <v>30409.090909090904</v>
      </c>
      <c r="J1050" s="47">
        <f t="shared" si="50"/>
        <v>30409.090909090904</v>
      </c>
      <c r="L1050" s="2"/>
    </row>
    <row r="1051" spans="1:12">
      <c r="A1051" s="29" t="s">
        <v>3843</v>
      </c>
      <c r="B1051" s="53" t="s">
        <v>249</v>
      </c>
      <c r="C1051" s="53" t="s">
        <v>4130</v>
      </c>
      <c r="D1051" s="53" t="s">
        <v>172</v>
      </c>
      <c r="E1051" s="36">
        <v>30409.090909090908</v>
      </c>
      <c r="F1051" s="53" t="s">
        <v>4073</v>
      </c>
      <c r="H1051" s="47" t="str">
        <f t="shared" si="48"/>
        <v>ANDINA</v>
      </c>
      <c r="I1051" s="6">
        <f t="shared" si="49"/>
        <v>30409.090909090904</v>
      </c>
      <c r="J1051" s="47">
        <f t="shared" si="50"/>
        <v>30409.090909090904</v>
      </c>
      <c r="L1051" s="2"/>
    </row>
    <row r="1052" spans="1:12">
      <c r="A1052" s="29" t="s">
        <v>3845</v>
      </c>
      <c r="B1052" s="53" t="s">
        <v>249</v>
      </c>
      <c r="C1052" s="53" t="s">
        <v>4130</v>
      </c>
      <c r="D1052" s="53" t="s">
        <v>172</v>
      </c>
      <c r="E1052" s="36">
        <v>30409.090909090908</v>
      </c>
      <c r="F1052" s="53" t="s">
        <v>4073</v>
      </c>
      <c r="H1052" s="47" t="str">
        <f t="shared" si="48"/>
        <v>ORINOQUIA</v>
      </c>
      <c r="I1052" s="6">
        <f t="shared" si="49"/>
        <v>30409.090909090908</v>
      </c>
      <c r="J1052" s="47">
        <f t="shared" si="50"/>
        <v>30409.090909090908</v>
      </c>
      <c r="L1052" s="2"/>
    </row>
    <row r="1053" spans="1:12">
      <c r="A1053" s="29" t="s">
        <v>3846</v>
      </c>
      <c r="B1053" s="53" t="s">
        <v>249</v>
      </c>
      <c r="C1053" s="53" t="s">
        <v>4130</v>
      </c>
      <c r="D1053" s="53" t="s">
        <v>172</v>
      </c>
      <c r="E1053" s="36">
        <v>30409.090909090908</v>
      </c>
      <c r="F1053" s="53" t="s">
        <v>4073</v>
      </c>
      <c r="H1053" s="47" t="str">
        <f t="shared" si="48"/>
        <v>PACIFICO</v>
      </c>
      <c r="I1053" s="6">
        <f t="shared" si="49"/>
        <v>30409.090909090908</v>
      </c>
      <c r="J1053" s="47">
        <f t="shared" si="50"/>
        <v>30409.090909090908</v>
      </c>
      <c r="L1053" s="2"/>
    </row>
    <row r="1054" spans="1:12">
      <c r="A1054" s="29" t="s">
        <v>3847</v>
      </c>
      <c r="B1054" s="53" t="s">
        <v>249</v>
      </c>
      <c r="C1054" s="53" t="s">
        <v>4130</v>
      </c>
      <c r="D1054" s="53" t="s">
        <v>172</v>
      </c>
      <c r="E1054" s="36">
        <v>30409.090909090908</v>
      </c>
      <c r="F1054" s="53" t="s">
        <v>4073</v>
      </c>
      <c r="H1054" s="47" t="str">
        <f t="shared" si="48"/>
        <v>ANDINA</v>
      </c>
      <c r="I1054" s="6">
        <f t="shared" si="49"/>
        <v>30409.090909090904</v>
      </c>
      <c r="J1054" s="47">
        <f t="shared" si="50"/>
        <v>30409.090909090904</v>
      </c>
      <c r="L1054" s="2"/>
    </row>
    <row r="1055" spans="1:12">
      <c r="A1055" s="29" t="s">
        <v>3848</v>
      </c>
      <c r="B1055" s="53" t="s">
        <v>249</v>
      </c>
      <c r="C1055" s="53" t="s">
        <v>4130</v>
      </c>
      <c r="D1055" s="53" t="s">
        <v>172</v>
      </c>
      <c r="E1055" s="36">
        <v>30409.090909090908</v>
      </c>
      <c r="F1055" s="53" t="s">
        <v>4073</v>
      </c>
      <c r="H1055" s="47" t="str">
        <f t="shared" si="48"/>
        <v>AMAZONIA</v>
      </c>
      <c r="I1055" s="6">
        <f t="shared" si="49"/>
        <v>30409.090909090908</v>
      </c>
      <c r="J1055" s="47">
        <f t="shared" si="50"/>
        <v>30409.090909090908</v>
      </c>
      <c r="L1055" s="2"/>
    </row>
    <row r="1056" spans="1:12">
      <c r="A1056" s="29" t="s">
        <v>3849</v>
      </c>
      <c r="B1056" s="53" t="s">
        <v>249</v>
      </c>
      <c r="C1056" s="53" t="s">
        <v>4130</v>
      </c>
      <c r="D1056" s="53" t="s">
        <v>172</v>
      </c>
      <c r="E1056" s="36">
        <v>30409.090909090908</v>
      </c>
      <c r="F1056" s="53" t="s">
        <v>4073</v>
      </c>
      <c r="H1056" s="47" t="str">
        <f t="shared" si="48"/>
        <v>ANDINA</v>
      </c>
      <c r="I1056" s="6">
        <f t="shared" si="49"/>
        <v>30409.090909090904</v>
      </c>
      <c r="J1056" s="47">
        <f t="shared" si="50"/>
        <v>30409.090909090904</v>
      </c>
      <c r="L1056" s="2"/>
    </row>
    <row r="1057" spans="1:12">
      <c r="A1057" s="29" t="s">
        <v>3850</v>
      </c>
      <c r="B1057" s="53" t="s">
        <v>249</v>
      </c>
      <c r="C1057" s="53" t="s">
        <v>4130</v>
      </c>
      <c r="D1057" s="53" t="s">
        <v>172</v>
      </c>
      <c r="E1057" s="36">
        <v>30409.090909090908</v>
      </c>
      <c r="F1057" s="53" t="s">
        <v>4073</v>
      </c>
      <c r="H1057" s="47" t="str">
        <f t="shared" si="48"/>
        <v>ANDINA</v>
      </c>
      <c r="I1057" s="6">
        <f t="shared" si="49"/>
        <v>30409.090909090904</v>
      </c>
      <c r="J1057" s="47">
        <f t="shared" si="50"/>
        <v>30409.090909090904</v>
      </c>
      <c r="L1057" s="2"/>
    </row>
    <row r="1058" spans="1:12">
      <c r="A1058" s="29" t="s">
        <v>3851</v>
      </c>
      <c r="B1058" s="53" t="s">
        <v>249</v>
      </c>
      <c r="C1058" s="53" t="s">
        <v>4130</v>
      </c>
      <c r="D1058" s="53" t="s">
        <v>172</v>
      </c>
      <c r="E1058" s="36">
        <v>30409.090909090908</v>
      </c>
      <c r="F1058" s="53" t="s">
        <v>4073</v>
      </c>
      <c r="H1058" s="47" t="str">
        <f t="shared" si="48"/>
        <v>ANDINA</v>
      </c>
      <c r="I1058" s="6">
        <f t="shared" si="49"/>
        <v>30409.090909090904</v>
      </c>
      <c r="J1058" s="47">
        <f t="shared" si="50"/>
        <v>30409.090909090904</v>
      </c>
      <c r="L1058" s="2"/>
    </row>
    <row r="1059" spans="1:12">
      <c r="A1059" s="29" t="s">
        <v>3853</v>
      </c>
      <c r="B1059" s="53" t="s">
        <v>249</v>
      </c>
      <c r="C1059" s="53" t="s">
        <v>4130</v>
      </c>
      <c r="D1059" s="53" t="s">
        <v>172</v>
      </c>
      <c r="E1059" s="36">
        <v>30409.090909090908</v>
      </c>
      <c r="F1059" s="53" t="s">
        <v>4073</v>
      </c>
      <c r="H1059" s="47" t="str">
        <f t="shared" si="48"/>
        <v>ANDINA</v>
      </c>
      <c r="I1059" s="6">
        <f t="shared" si="49"/>
        <v>30409.090909090904</v>
      </c>
      <c r="J1059" s="47">
        <f t="shared" si="50"/>
        <v>30409.090909090904</v>
      </c>
      <c r="L1059" s="2"/>
    </row>
    <row r="1060" spans="1:12">
      <c r="A1060" s="29" t="s">
        <v>3854</v>
      </c>
      <c r="B1060" s="53" t="s">
        <v>249</v>
      </c>
      <c r="C1060" s="53" t="s">
        <v>4130</v>
      </c>
      <c r="D1060" s="53" t="s">
        <v>172</v>
      </c>
      <c r="E1060" s="36">
        <v>30409.090909090908</v>
      </c>
      <c r="F1060" s="53" t="s">
        <v>4073</v>
      </c>
      <c r="H1060" s="47" t="str">
        <f t="shared" si="48"/>
        <v>PACIFICO</v>
      </c>
      <c r="I1060" s="6">
        <f t="shared" si="49"/>
        <v>30409.090909090908</v>
      </c>
      <c r="J1060" s="47">
        <f t="shared" si="50"/>
        <v>30409.090909090908</v>
      </c>
      <c r="L1060" s="2"/>
    </row>
    <row r="1061" spans="1:12">
      <c r="A1061" s="29" t="s">
        <v>4076</v>
      </c>
      <c r="B1061" s="53" t="s">
        <v>249</v>
      </c>
      <c r="C1061" s="53" t="s">
        <v>4130</v>
      </c>
      <c r="D1061" s="53" t="s">
        <v>172</v>
      </c>
      <c r="E1061" s="36">
        <v>30409.090909090908</v>
      </c>
      <c r="F1061" s="53" t="s">
        <v>4073</v>
      </c>
      <c r="H1061" s="47" t="str">
        <f t="shared" si="48"/>
        <v>AMAZONIA</v>
      </c>
      <c r="I1061" s="6">
        <f t="shared" si="49"/>
        <v>30409.090909090908</v>
      </c>
      <c r="J1061" s="47">
        <f t="shared" si="50"/>
        <v>30409.090909090908</v>
      </c>
      <c r="L1061" s="2"/>
    </row>
    <row r="1062" spans="1:12">
      <c r="A1062" s="29" t="s">
        <v>3831</v>
      </c>
      <c r="B1062" s="53" t="s">
        <v>249</v>
      </c>
      <c r="C1062" s="53" t="s">
        <v>4131</v>
      </c>
      <c r="D1062" s="53" t="s">
        <v>172</v>
      </c>
      <c r="E1062" s="36">
        <v>126785.71428571429</v>
      </c>
      <c r="F1062" s="53" t="s">
        <v>4073</v>
      </c>
      <c r="H1062" s="47" t="str">
        <f t="shared" si="48"/>
        <v>ANDINA</v>
      </c>
      <c r="I1062" s="6">
        <f t="shared" si="49"/>
        <v>126785.7142857143</v>
      </c>
      <c r="J1062" s="47">
        <f t="shared" si="50"/>
        <v>126785.7142857143</v>
      </c>
      <c r="L1062" s="2"/>
    </row>
    <row r="1063" spans="1:12">
      <c r="A1063" s="29" t="s">
        <v>4075</v>
      </c>
      <c r="B1063" s="53" t="s">
        <v>249</v>
      </c>
      <c r="C1063" s="53" t="s">
        <v>4131</v>
      </c>
      <c r="D1063" s="53" t="s">
        <v>172</v>
      </c>
      <c r="E1063" s="36">
        <v>126785.71428571429</v>
      </c>
      <c r="F1063" s="53" t="s">
        <v>4073</v>
      </c>
      <c r="H1063" s="47" t="str">
        <f t="shared" si="48"/>
        <v>ANDINA</v>
      </c>
      <c r="I1063" s="6">
        <f t="shared" si="49"/>
        <v>126785.7142857143</v>
      </c>
      <c r="J1063" s="47">
        <f t="shared" si="50"/>
        <v>126785.7142857143</v>
      </c>
      <c r="L1063" s="2"/>
    </row>
    <row r="1064" spans="1:12">
      <c r="A1064" s="29" t="s">
        <v>3835</v>
      </c>
      <c r="B1064" s="53" t="s">
        <v>249</v>
      </c>
      <c r="C1064" s="53" t="s">
        <v>4131</v>
      </c>
      <c r="D1064" s="53" t="s">
        <v>172</v>
      </c>
      <c r="E1064" s="36">
        <v>126785.71428571429</v>
      </c>
      <c r="F1064" s="53" t="s">
        <v>4073</v>
      </c>
      <c r="H1064" s="47" t="str">
        <f t="shared" si="48"/>
        <v>ANDINA</v>
      </c>
      <c r="I1064" s="6">
        <f t="shared" si="49"/>
        <v>126785.7142857143</v>
      </c>
      <c r="J1064" s="47">
        <f t="shared" si="50"/>
        <v>126785.7142857143</v>
      </c>
      <c r="L1064" s="2"/>
    </row>
    <row r="1065" spans="1:12">
      <c r="A1065" s="29" t="s">
        <v>3836</v>
      </c>
      <c r="B1065" s="53" t="s">
        <v>249</v>
      </c>
      <c r="C1065" s="53" t="s">
        <v>4131</v>
      </c>
      <c r="D1065" s="53" t="s">
        <v>172</v>
      </c>
      <c r="E1065" s="36">
        <v>126785.71428571429</v>
      </c>
      <c r="F1065" s="53" t="s">
        <v>4073</v>
      </c>
      <c r="H1065" s="47" t="str">
        <f t="shared" si="48"/>
        <v>ANDINA</v>
      </c>
      <c r="I1065" s="6">
        <f t="shared" si="49"/>
        <v>126785.7142857143</v>
      </c>
      <c r="J1065" s="47">
        <f t="shared" si="50"/>
        <v>126785.7142857143</v>
      </c>
      <c r="L1065" s="2"/>
    </row>
    <row r="1066" spans="1:12">
      <c r="A1066" s="29" t="s">
        <v>3837</v>
      </c>
      <c r="B1066" s="53" t="s">
        <v>249</v>
      </c>
      <c r="C1066" s="53" t="s">
        <v>4131</v>
      </c>
      <c r="D1066" s="53" t="s">
        <v>172</v>
      </c>
      <c r="E1066" s="36">
        <v>126785.71428571429</v>
      </c>
      <c r="F1066" s="53" t="s">
        <v>4073</v>
      </c>
      <c r="H1066" s="47" t="str">
        <f t="shared" si="48"/>
        <v>AMAZONIA</v>
      </c>
      <c r="I1066" s="6">
        <f t="shared" si="49"/>
        <v>126785.71428571428</v>
      </c>
      <c r="J1066" s="47">
        <f t="shared" si="50"/>
        <v>126785.71428571428</v>
      </c>
      <c r="L1066" s="2"/>
    </row>
    <row r="1067" spans="1:12">
      <c r="A1067" s="29" t="s">
        <v>3838</v>
      </c>
      <c r="B1067" s="53" t="s">
        <v>249</v>
      </c>
      <c r="C1067" s="53" t="s">
        <v>4131</v>
      </c>
      <c r="D1067" s="53" t="s">
        <v>172</v>
      </c>
      <c r="E1067" s="36">
        <v>126785.71428571429</v>
      </c>
      <c r="F1067" s="53" t="s">
        <v>4073</v>
      </c>
      <c r="H1067" s="47" t="str">
        <f t="shared" si="48"/>
        <v>ORINOQUIA</v>
      </c>
      <c r="I1067" s="6">
        <f t="shared" si="49"/>
        <v>126785.71428571428</v>
      </c>
      <c r="J1067" s="47">
        <f t="shared" si="50"/>
        <v>126785.71428571428</v>
      </c>
      <c r="L1067" s="2"/>
    </row>
    <row r="1068" spans="1:12">
      <c r="A1068" s="29" t="s">
        <v>3839</v>
      </c>
      <c r="B1068" s="53" t="s">
        <v>249</v>
      </c>
      <c r="C1068" s="53" t="s">
        <v>4131</v>
      </c>
      <c r="D1068" s="53" t="s">
        <v>172</v>
      </c>
      <c r="E1068" s="36">
        <v>126785.71428571429</v>
      </c>
      <c r="F1068" s="53" t="s">
        <v>4073</v>
      </c>
      <c r="H1068" s="47" t="str">
        <f t="shared" si="48"/>
        <v>PACIFICO</v>
      </c>
      <c r="I1068" s="6">
        <f t="shared" si="49"/>
        <v>126785.71428571428</v>
      </c>
      <c r="J1068" s="47">
        <f t="shared" si="50"/>
        <v>126785.71428571428</v>
      </c>
      <c r="L1068" s="2"/>
    </row>
    <row r="1069" spans="1:12">
      <c r="A1069" s="29" t="s">
        <v>3840</v>
      </c>
      <c r="B1069" s="53" t="s">
        <v>249</v>
      </c>
      <c r="C1069" s="53" t="s">
        <v>4131</v>
      </c>
      <c r="D1069" s="53" t="s">
        <v>172</v>
      </c>
      <c r="E1069" s="36">
        <v>126785.71428571429</v>
      </c>
      <c r="F1069" s="53" t="s">
        <v>4073</v>
      </c>
      <c r="H1069" s="47" t="str">
        <f t="shared" si="48"/>
        <v>CARIBE</v>
      </c>
      <c r="I1069" s="6">
        <f t="shared" si="49"/>
        <v>126785.71428571429</v>
      </c>
      <c r="J1069" s="47">
        <f t="shared" si="50"/>
        <v>126785.71428571429</v>
      </c>
      <c r="L1069" s="2"/>
    </row>
    <row r="1070" spans="1:12">
      <c r="A1070" s="29" t="s">
        <v>3841</v>
      </c>
      <c r="B1070" s="53" t="s">
        <v>249</v>
      </c>
      <c r="C1070" s="53" t="s">
        <v>4131</v>
      </c>
      <c r="D1070" s="53" t="s">
        <v>172</v>
      </c>
      <c r="E1070" s="36">
        <v>126785.71428571429</v>
      </c>
      <c r="F1070" s="53" t="s">
        <v>4073</v>
      </c>
      <c r="H1070" s="47" t="str">
        <f t="shared" si="48"/>
        <v>CARIBE</v>
      </c>
      <c r="I1070" s="6">
        <f t="shared" si="49"/>
        <v>126785.71428571429</v>
      </c>
      <c r="J1070" s="47">
        <f t="shared" si="50"/>
        <v>126785.71428571429</v>
      </c>
      <c r="L1070" s="2"/>
    </row>
    <row r="1071" spans="1:12">
      <c r="A1071" s="29" t="s">
        <v>3842</v>
      </c>
      <c r="B1071" s="53" t="s">
        <v>249</v>
      </c>
      <c r="C1071" s="53" t="s">
        <v>4131</v>
      </c>
      <c r="D1071" s="53" t="s">
        <v>172</v>
      </c>
      <c r="E1071" s="36">
        <v>126785.71428571429</v>
      </c>
      <c r="F1071" s="53" t="s">
        <v>4073</v>
      </c>
      <c r="H1071" s="47" t="str">
        <f t="shared" si="48"/>
        <v>ANDINA</v>
      </c>
      <c r="I1071" s="6">
        <f t="shared" si="49"/>
        <v>126785.7142857143</v>
      </c>
      <c r="J1071" s="47">
        <f t="shared" si="50"/>
        <v>126785.7142857143</v>
      </c>
      <c r="L1071" s="2"/>
    </row>
    <row r="1072" spans="1:12">
      <c r="A1072" s="29" t="s">
        <v>3843</v>
      </c>
      <c r="B1072" s="53" t="s">
        <v>249</v>
      </c>
      <c r="C1072" s="53" t="s">
        <v>4131</v>
      </c>
      <c r="D1072" s="53" t="s">
        <v>172</v>
      </c>
      <c r="E1072" s="36">
        <v>126785.71428571429</v>
      </c>
      <c r="F1072" s="53" t="s">
        <v>4073</v>
      </c>
      <c r="H1072" s="47" t="str">
        <f t="shared" si="48"/>
        <v>ANDINA</v>
      </c>
      <c r="I1072" s="6">
        <f t="shared" si="49"/>
        <v>126785.7142857143</v>
      </c>
      <c r="J1072" s="47">
        <f t="shared" si="50"/>
        <v>126785.7142857143</v>
      </c>
      <c r="L1072" s="2"/>
    </row>
    <row r="1073" spans="1:12">
      <c r="A1073" s="29" t="s">
        <v>3845</v>
      </c>
      <c r="B1073" s="53" t="s">
        <v>249</v>
      </c>
      <c r="C1073" s="53" t="s">
        <v>4131</v>
      </c>
      <c r="D1073" s="53" t="s">
        <v>172</v>
      </c>
      <c r="E1073" s="36">
        <v>126785.71428571429</v>
      </c>
      <c r="F1073" s="53" t="s">
        <v>4073</v>
      </c>
      <c r="H1073" s="47" t="str">
        <f t="shared" si="48"/>
        <v>ORINOQUIA</v>
      </c>
      <c r="I1073" s="6">
        <f t="shared" si="49"/>
        <v>126785.71428571428</v>
      </c>
      <c r="J1073" s="47">
        <f t="shared" si="50"/>
        <v>126785.71428571428</v>
      </c>
      <c r="L1073" s="2"/>
    </row>
    <row r="1074" spans="1:12">
      <c r="A1074" s="29" t="s">
        <v>3846</v>
      </c>
      <c r="B1074" s="53" t="s">
        <v>249</v>
      </c>
      <c r="C1074" s="53" t="s">
        <v>4131</v>
      </c>
      <c r="D1074" s="53" t="s">
        <v>172</v>
      </c>
      <c r="E1074" s="36">
        <v>126785.71428571429</v>
      </c>
      <c r="F1074" s="53" t="s">
        <v>4073</v>
      </c>
      <c r="H1074" s="47" t="str">
        <f t="shared" si="48"/>
        <v>PACIFICO</v>
      </c>
      <c r="I1074" s="6">
        <f t="shared" si="49"/>
        <v>126785.71428571428</v>
      </c>
      <c r="J1074" s="47">
        <f t="shared" si="50"/>
        <v>126785.71428571428</v>
      </c>
      <c r="L1074" s="2"/>
    </row>
    <row r="1075" spans="1:12">
      <c r="A1075" s="29" t="s">
        <v>3847</v>
      </c>
      <c r="B1075" s="53" t="s">
        <v>249</v>
      </c>
      <c r="C1075" s="53" t="s">
        <v>4131</v>
      </c>
      <c r="D1075" s="53" t="s">
        <v>172</v>
      </c>
      <c r="E1075" s="36">
        <v>126785.71428571429</v>
      </c>
      <c r="F1075" s="53" t="s">
        <v>4073</v>
      </c>
      <c r="H1075" s="47" t="str">
        <f t="shared" si="48"/>
        <v>ANDINA</v>
      </c>
      <c r="I1075" s="6">
        <f t="shared" si="49"/>
        <v>126785.7142857143</v>
      </c>
      <c r="J1075" s="47">
        <f t="shared" si="50"/>
        <v>126785.7142857143</v>
      </c>
      <c r="L1075" s="2"/>
    </row>
    <row r="1076" spans="1:12">
      <c r="A1076" s="29" t="s">
        <v>3848</v>
      </c>
      <c r="B1076" s="53" t="s">
        <v>249</v>
      </c>
      <c r="C1076" s="53" t="s">
        <v>4131</v>
      </c>
      <c r="D1076" s="53" t="s">
        <v>172</v>
      </c>
      <c r="E1076" s="36">
        <v>126785.71428571429</v>
      </c>
      <c r="F1076" s="53" t="s">
        <v>4073</v>
      </c>
      <c r="H1076" s="47" t="str">
        <f t="shared" si="48"/>
        <v>AMAZONIA</v>
      </c>
      <c r="I1076" s="6">
        <f t="shared" si="49"/>
        <v>126785.71428571428</v>
      </c>
      <c r="J1076" s="47">
        <f t="shared" si="50"/>
        <v>126785.71428571428</v>
      </c>
      <c r="L1076" s="2"/>
    </row>
    <row r="1077" spans="1:12">
      <c r="A1077" s="29" t="s">
        <v>3849</v>
      </c>
      <c r="B1077" s="53" t="s">
        <v>249</v>
      </c>
      <c r="C1077" s="53" t="s">
        <v>4131</v>
      </c>
      <c r="D1077" s="53" t="s">
        <v>172</v>
      </c>
      <c r="E1077" s="36">
        <v>126785.71428571429</v>
      </c>
      <c r="F1077" s="53" t="s">
        <v>4073</v>
      </c>
      <c r="H1077" s="47" t="str">
        <f t="shared" si="48"/>
        <v>ANDINA</v>
      </c>
      <c r="I1077" s="6">
        <f t="shared" si="49"/>
        <v>126785.7142857143</v>
      </c>
      <c r="J1077" s="47">
        <f t="shared" si="50"/>
        <v>126785.7142857143</v>
      </c>
      <c r="L1077" s="2"/>
    </row>
    <row r="1078" spans="1:12">
      <c r="A1078" s="29" t="s">
        <v>3850</v>
      </c>
      <c r="B1078" s="53" t="s">
        <v>249</v>
      </c>
      <c r="C1078" s="53" t="s">
        <v>4131</v>
      </c>
      <c r="D1078" s="53" t="s">
        <v>172</v>
      </c>
      <c r="E1078" s="36">
        <v>126785.71428571429</v>
      </c>
      <c r="F1078" s="53" t="s">
        <v>4073</v>
      </c>
      <c r="H1078" s="47" t="str">
        <f t="shared" si="48"/>
        <v>ANDINA</v>
      </c>
      <c r="I1078" s="6">
        <f t="shared" si="49"/>
        <v>126785.7142857143</v>
      </c>
      <c r="J1078" s="47">
        <f t="shared" si="50"/>
        <v>126785.7142857143</v>
      </c>
      <c r="L1078" s="2"/>
    </row>
    <row r="1079" spans="1:12">
      <c r="A1079" s="29" t="s">
        <v>3851</v>
      </c>
      <c r="B1079" s="53" t="s">
        <v>249</v>
      </c>
      <c r="C1079" s="53" t="s">
        <v>4131</v>
      </c>
      <c r="D1079" s="53" t="s">
        <v>172</v>
      </c>
      <c r="E1079" s="36">
        <v>126785.71428571429</v>
      </c>
      <c r="F1079" s="53" t="s">
        <v>4073</v>
      </c>
      <c r="H1079" s="47" t="str">
        <f t="shared" si="48"/>
        <v>ANDINA</v>
      </c>
      <c r="I1079" s="6">
        <f t="shared" si="49"/>
        <v>126785.7142857143</v>
      </c>
      <c r="J1079" s="47">
        <f t="shared" si="50"/>
        <v>126785.7142857143</v>
      </c>
      <c r="L1079" s="2"/>
    </row>
    <row r="1080" spans="1:12">
      <c r="A1080" s="29" t="s">
        <v>3853</v>
      </c>
      <c r="B1080" s="53" t="s">
        <v>249</v>
      </c>
      <c r="C1080" s="53" t="s">
        <v>4131</v>
      </c>
      <c r="D1080" s="53" t="s">
        <v>172</v>
      </c>
      <c r="E1080" s="36">
        <v>126785.71428571429</v>
      </c>
      <c r="F1080" s="53" t="s">
        <v>4073</v>
      </c>
      <c r="H1080" s="47" t="str">
        <f t="shared" si="48"/>
        <v>ANDINA</v>
      </c>
      <c r="I1080" s="6">
        <f t="shared" si="49"/>
        <v>126785.7142857143</v>
      </c>
      <c r="J1080" s="47">
        <f t="shared" si="50"/>
        <v>126785.7142857143</v>
      </c>
      <c r="L1080" s="2"/>
    </row>
    <row r="1081" spans="1:12">
      <c r="A1081" s="29" t="s">
        <v>3854</v>
      </c>
      <c r="B1081" s="53" t="s">
        <v>249</v>
      </c>
      <c r="C1081" s="53" t="s">
        <v>4131</v>
      </c>
      <c r="D1081" s="53" t="s">
        <v>172</v>
      </c>
      <c r="E1081" s="36">
        <v>126785.71428571429</v>
      </c>
      <c r="F1081" s="53" t="s">
        <v>4073</v>
      </c>
      <c r="H1081" s="47" t="str">
        <f t="shared" si="48"/>
        <v>PACIFICO</v>
      </c>
      <c r="I1081" s="6">
        <f t="shared" si="49"/>
        <v>126785.71428571428</v>
      </c>
      <c r="J1081" s="47">
        <f t="shared" si="50"/>
        <v>126785.71428571428</v>
      </c>
      <c r="L1081" s="2"/>
    </row>
    <row r="1082" spans="1:12">
      <c r="A1082" s="29" t="s">
        <v>4076</v>
      </c>
      <c r="B1082" s="53" t="s">
        <v>249</v>
      </c>
      <c r="C1082" s="53" t="s">
        <v>4131</v>
      </c>
      <c r="D1082" s="53" t="s">
        <v>172</v>
      </c>
      <c r="E1082" s="36">
        <v>126785.71428571429</v>
      </c>
      <c r="F1082" s="53" t="s">
        <v>4073</v>
      </c>
      <c r="H1082" s="47" t="str">
        <f t="shared" si="48"/>
        <v>AMAZONIA</v>
      </c>
      <c r="I1082" s="6">
        <f t="shared" si="49"/>
        <v>126785.71428571428</v>
      </c>
      <c r="J1082" s="47">
        <f t="shared" si="50"/>
        <v>126785.71428571428</v>
      </c>
      <c r="L1082" s="2"/>
    </row>
    <row r="1083" spans="1:12">
      <c r="A1083" s="29" t="s">
        <v>3831</v>
      </c>
      <c r="B1083" s="53" t="s">
        <v>249</v>
      </c>
      <c r="C1083" s="53" t="s">
        <v>316</v>
      </c>
      <c r="D1083" s="53" t="s">
        <v>172</v>
      </c>
      <c r="E1083" s="36">
        <v>46378.174603169042</v>
      </c>
      <c r="F1083" s="53" t="s">
        <v>4073</v>
      </c>
      <c r="H1083" s="47" t="str">
        <f t="shared" si="48"/>
        <v>ANDINA</v>
      </c>
      <c r="I1083" s="6">
        <f t="shared" si="49"/>
        <v>46393.720648032853</v>
      </c>
      <c r="J1083" s="47">
        <f t="shared" si="50"/>
        <v>46393.720648032853</v>
      </c>
      <c r="L1083" s="2"/>
    </row>
    <row r="1084" spans="1:12">
      <c r="A1084" s="29" t="s">
        <v>4075</v>
      </c>
      <c r="B1084" s="53" t="s">
        <v>249</v>
      </c>
      <c r="C1084" s="53" t="s">
        <v>316</v>
      </c>
      <c r="D1084" s="53" t="s">
        <v>172</v>
      </c>
      <c r="E1084" s="36">
        <v>46561.36363636364</v>
      </c>
      <c r="F1084" s="53" t="s">
        <v>4074</v>
      </c>
      <c r="H1084" s="47" t="str">
        <f t="shared" si="48"/>
        <v>ANDINA</v>
      </c>
      <c r="I1084" s="6">
        <f t="shared" si="49"/>
        <v>46561.36363636364</v>
      </c>
      <c r="J1084" s="47">
        <f t="shared" si="50"/>
        <v>46561.36363636364</v>
      </c>
      <c r="L1084" s="2"/>
    </row>
    <row r="1085" spans="1:12">
      <c r="A1085" s="29" t="s">
        <v>3835</v>
      </c>
      <c r="B1085" s="53" t="s">
        <v>249</v>
      </c>
      <c r="C1085" s="53" t="s">
        <v>316</v>
      </c>
      <c r="D1085" s="53" t="s">
        <v>172</v>
      </c>
      <c r="E1085" s="36">
        <v>49116.666666655554</v>
      </c>
      <c r="F1085" s="53" t="s">
        <v>4074</v>
      </c>
      <c r="H1085" s="47" t="str">
        <f t="shared" si="48"/>
        <v>ANDINA</v>
      </c>
      <c r="I1085" s="6">
        <f t="shared" si="49"/>
        <v>49116.666666655554</v>
      </c>
      <c r="J1085" s="47">
        <f t="shared" si="50"/>
        <v>49116.666666655554</v>
      </c>
      <c r="L1085" s="2"/>
    </row>
    <row r="1086" spans="1:12">
      <c r="A1086" s="29" t="s">
        <v>3836</v>
      </c>
      <c r="B1086" s="53" t="s">
        <v>249</v>
      </c>
      <c r="C1086" s="53" t="s">
        <v>316</v>
      </c>
      <c r="D1086" s="53" t="s">
        <v>172</v>
      </c>
      <c r="E1086" s="36">
        <v>46378.174603169042</v>
      </c>
      <c r="F1086" s="53" t="s">
        <v>4073</v>
      </c>
      <c r="H1086" s="47" t="str">
        <f t="shared" si="48"/>
        <v>ANDINA</v>
      </c>
      <c r="I1086" s="6">
        <f t="shared" si="49"/>
        <v>46393.720648032853</v>
      </c>
      <c r="J1086" s="47">
        <f t="shared" si="50"/>
        <v>46393.720648032853</v>
      </c>
      <c r="L1086" s="2"/>
    </row>
    <row r="1087" spans="1:12">
      <c r="A1087" s="29" t="s">
        <v>3837</v>
      </c>
      <c r="B1087" s="53" t="s">
        <v>249</v>
      </c>
      <c r="C1087" s="53" t="s">
        <v>316</v>
      </c>
      <c r="D1087" s="53" t="s">
        <v>172</v>
      </c>
      <c r="E1087" s="36">
        <v>46378.174603169042</v>
      </c>
      <c r="F1087" s="53" t="s">
        <v>4073</v>
      </c>
      <c r="H1087" s="47" t="str">
        <f t="shared" si="48"/>
        <v>AMAZONIA</v>
      </c>
      <c r="I1087" s="6">
        <f t="shared" si="49"/>
        <v>46378.174603169049</v>
      </c>
      <c r="J1087" s="47">
        <f t="shared" si="50"/>
        <v>46378.174603169049</v>
      </c>
      <c r="L1087" s="2"/>
    </row>
    <row r="1088" spans="1:12">
      <c r="A1088" s="29" t="s">
        <v>3838</v>
      </c>
      <c r="B1088" s="53" t="s">
        <v>249</v>
      </c>
      <c r="C1088" s="53" t="s">
        <v>316</v>
      </c>
      <c r="D1088" s="53" t="s">
        <v>172</v>
      </c>
      <c r="E1088" s="36">
        <v>46378.174603169042</v>
      </c>
      <c r="F1088" s="53" t="s">
        <v>4073</v>
      </c>
      <c r="H1088" s="47" t="str">
        <f t="shared" si="48"/>
        <v>ORINOQUIA</v>
      </c>
      <c r="I1088" s="6">
        <f t="shared" si="49"/>
        <v>46378.174603169049</v>
      </c>
      <c r="J1088" s="47">
        <f t="shared" si="50"/>
        <v>46378.174603169049</v>
      </c>
      <c r="L1088" s="2"/>
    </row>
    <row r="1089" spans="1:12">
      <c r="A1089" s="29" t="s">
        <v>3839</v>
      </c>
      <c r="B1089" s="53" t="s">
        <v>249</v>
      </c>
      <c r="C1089" s="53" t="s">
        <v>316</v>
      </c>
      <c r="D1089" s="53" t="s">
        <v>172</v>
      </c>
      <c r="E1089" s="36">
        <v>46378.174603169042</v>
      </c>
      <c r="F1089" s="53" t="s">
        <v>4073</v>
      </c>
      <c r="H1089" s="47" t="str">
        <f t="shared" si="48"/>
        <v>PACIFICO</v>
      </c>
      <c r="I1089" s="6">
        <f t="shared" si="49"/>
        <v>46401.653439148802</v>
      </c>
      <c r="J1089" s="47">
        <f t="shared" si="50"/>
        <v>46401.653439148802</v>
      </c>
      <c r="L1089" s="2"/>
    </row>
    <row r="1090" spans="1:12">
      <c r="A1090" s="29" t="s">
        <v>3840</v>
      </c>
      <c r="B1090" s="53" t="s">
        <v>249</v>
      </c>
      <c r="C1090" s="53" t="s">
        <v>316</v>
      </c>
      <c r="D1090" s="53" t="s">
        <v>172</v>
      </c>
      <c r="E1090" s="36">
        <v>46378.174603169042</v>
      </c>
      <c r="F1090" s="53" t="s">
        <v>4073</v>
      </c>
      <c r="H1090" s="47" t="str">
        <f t="shared" ref="H1090:H1153" si="51">IF(OR(A1090="Antioquia",A1090="Bogotá, D.C.",A1090="Boyacá",A1090="Cundinamarca",A1090="Caldas",A1090="Risaralda",A1090="Quindío",A1090="Tolima",A1090="Huila",A1090="Santander",A1090="Norte de Santander"),"ANDINA",
IF(OR(A1090="Atlántico",A1090="Bolívar",A1090="Cesar",A1090="Córdoba",A1090="Sucre",A1090="Magdalena"),"CARIBE",
IF(OR(A1090="Valle del Cauca",A1090="Cauca",A1090="Nariño"),"PACIFICO",
IF(OR(A1090="Meta",A1090="Casanare",A1090="Arauca"),"ORINOQUIA",
"AMAZONIA"))))</f>
        <v>CARIBE</v>
      </c>
      <c r="I1090" s="6">
        <f t="shared" ref="I1090:I1153" si="52">IF(F1090="Departamental",E1090,
AVERAGEIFS($E:$E,$H:$H,H1090,$B:$B,B1090,$C:$C,C1090))</f>
        <v>46378.174603169042</v>
      </c>
      <c r="J1090" s="47">
        <f t="shared" si="50"/>
        <v>46378.174603169042</v>
      </c>
      <c r="L1090" s="2"/>
    </row>
    <row r="1091" spans="1:12">
      <c r="A1091" s="29" t="s">
        <v>3841</v>
      </c>
      <c r="B1091" s="53" t="s">
        <v>249</v>
      </c>
      <c r="C1091" s="53" t="s">
        <v>316</v>
      </c>
      <c r="D1091" s="53" t="s">
        <v>172</v>
      </c>
      <c r="E1091" s="36">
        <v>46378.174603169042</v>
      </c>
      <c r="F1091" s="53" t="s">
        <v>4073</v>
      </c>
      <c r="H1091" s="47" t="str">
        <f t="shared" si="51"/>
        <v>CARIBE</v>
      </c>
      <c r="I1091" s="6">
        <f t="shared" si="52"/>
        <v>46378.174603169042</v>
      </c>
      <c r="J1091" s="47">
        <f t="shared" ref="J1091:J1154" si="53">IF(G1091&lt;&gt;"",G1091,I1091)</f>
        <v>46378.174603169042</v>
      </c>
      <c r="L1091" s="2"/>
    </row>
    <row r="1092" spans="1:12">
      <c r="A1092" s="29" t="s">
        <v>3842</v>
      </c>
      <c r="B1092" s="53" t="s">
        <v>249</v>
      </c>
      <c r="C1092" s="53" t="s">
        <v>316</v>
      </c>
      <c r="D1092" s="53" t="s">
        <v>172</v>
      </c>
      <c r="E1092" s="36">
        <v>46378.174603169042</v>
      </c>
      <c r="F1092" s="53" t="s">
        <v>4073</v>
      </c>
      <c r="H1092" s="47" t="str">
        <f t="shared" si="51"/>
        <v>ANDINA</v>
      </c>
      <c r="I1092" s="6">
        <f t="shared" si="52"/>
        <v>46393.720648032853</v>
      </c>
      <c r="J1092" s="47">
        <f t="shared" si="53"/>
        <v>46393.720648032853</v>
      </c>
      <c r="L1092" s="2"/>
    </row>
    <row r="1093" spans="1:12">
      <c r="A1093" s="29" t="s">
        <v>3843</v>
      </c>
      <c r="B1093" s="53" t="s">
        <v>249</v>
      </c>
      <c r="C1093" s="53" t="s">
        <v>316</v>
      </c>
      <c r="D1093" s="53" t="s">
        <v>172</v>
      </c>
      <c r="E1093" s="36">
        <v>46378.174603169042</v>
      </c>
      <c r="F1093" s="53" t="s">
        <v>4073</v>
      </c>
      <c r="H1093" s="47" t="str">
        <f t="shared" si="51"/>
        <v>ANDINA</v>
      </c>
      <c r="I1093" s="6">
        <f t="shared" si="52"/>
        <v>46393.720648032853</v>
      </c>
      <c r="J1093" s="47">
        <f t="shared" si="53"/>
        <v>46393.720648032853</v>
      </c>
      <c r="L1093" s="2"/>
    </row>
    <row r="1094" spans="1:12">
      <c r="A1094" s="29" t="s">
        <v>3845</v>
      </c>
      <c r="B1094" s="53" t="s">
        <v>249</v>
      </c>
      <c r="C1094" s="53" t="s">
        <v>316</v>
      </c>
      <c r="D1094" s="53" t="s">
        <v>172</v>
      </c>
      <c r="E1094" s="36">
        <v>46378.174603169042</v>
      </c>
      <c r="F1094" s="53" t="s">
        <v>4073</v>
      </c>
      <c r="H1094" s="47" t="str">
        <f t="shared" si="51"/>
        <v>ORINOQUIA</v>
      </c>
      <c r="I1094" s="6">
        <f t="shared" si="52"/>
        <v>46378.174603169049</v>
      </c>
      <c r="J1094" s="47">
        <f t="shared" si="53"/>
        <v>46378.174603169049</v>
      </c>
      <c r="L1094" s="2"/>
    </row>
    <row r="1095" spans="1:12">
      <c r="A1095" s="29" t="s">
        <v>3846</v>
      </c>
      <c r="B1095" s="53" t="s">
        <v>249</v>
      </c>
      <c r="C1095" s="53" t="s">
        <v>316</v>
      </c>
      <c r="D1095" s="53" t="s">
        <v>172</v>
      </c>
      <c r="E1095" s="36">
        <v>46378.174603169042</v>
      </c>
      <c r="F1095" s="53" t="s">
        <v>4073</v>
      </c>
      <c r="H1095" s="47" t="str">
        <f t="shared" si="51"/>
        <v>PACIFICO</v>
      </c>
      <c r="I1095" s="6">
        <f t="shared" si="52"/>
        <v>46401.653439148802</v>
      </c>
      <c r="J1095" s="47">
        <f t="shared" si="53"/>
        <v>46401.653439148802</v>
      </c>
      <c r="L1095" s="2"/>
    </row>
    <row r="1096" spans="1:12">
      <c r="A1096" s="29" t="s">
        <v>3847</v>
      </c>
      <c r="B1096" s="53" t="s">
        <v>249</v>
      </c>
      <c r="C1096" s="53" t="s">
        <v>316</v>
      </c>
      <c r="D1096" s="53" t="s">
        <v>172</v>
      </c>
      <c r="E1096" s="36">
        <v>46378.174603169042</v>
      </c>
      <c r="F1096" s="53" t="s">
        <v>4073</v>
      </c>
      <c r="H1096" s="47" t="str">
        <f t="shared" si="51"/>
        <v>ANDINA</v>
      </c>
      <c r="I1096" s="6">
        <f t="shared" si="52"/>
        <v>46393.720648032853</v>
      </c>
      <c r="J1096" s="47">
        <f t="shared" si="53"/>
        <v>46393.720648032853</v>
      </c>
      <c r="L1096" s="2"/>
    </row>
    <row r="1097" spans="1:12">
      <c r="A1097" s="29" t="s">
        <v>3848</v>
      </c>
      <c r="B1097" s="53" t="s">
        <v>249</v>
      </c>
      <c r="C1097" s="53" t="s">
        <v>316</v>
      </c>
      <c r="D1097" s="53" t="s">
        <v>172</v>
      </c>
      <c r="E1097" s="36">
        <v>46378.174603169042</v>
      </c>
      <c r="F1097" s="53" t="s">
        <v>4073</v>
      </c>
      <c r="H1097" s="47" t="str">
        <f t="shared" si="51"/>
        <v>AMAZONIA</v>
      </c>
      <c r="I1097" s="6">
        <f t="shared" si="52"/>
        <v>46378.174603169049</v>
      </c>
      <c r="J1097" s="47">
        <f t="shared" si="53"/>
        <v>46378.174603169049</v>
      </c>
      <c r="L1097" s="2"/>
    </row>
    <row r="1098" spans="1:12">
      <c r="A1098" s="29" t="s">
        <v>3849</v>
      </c>
      <c r="B1098" s="53" t="s">
        <v>249</v>
      </c>
      <c r="C1098" s="53" t="s">
        <v>316</v>
      </c>
      <c r="D1098" s="53" t="s">
        <v>172</v>
      </c>
      <c r="E1098" s="36">
        <v>43627.499999990003</v>
      </c>
      <c r="F1098" s="53" t="s">
        <v>4074</v>
      </c>
      <c r="H1098" s="47" t="str">
        <f t="shared" si="51"/>
        <v>ANDINA</v>
      </c>
      <c r="I1098" s="6">
        <f t="shared" si="52"/>
        <v>43627.499999990003</v>
      </c>
      <c r="J1098" s="47">
        <f t="shared" si="53"/>
        <v>43627.499999990003</v>
      </c>
    </row>
    <row r="1099" spans="1:12">
      <c r="A1099" s="29" t="s">
        <v>3850</v>
      </c>
      <c r="B1099" s="53" t="s">
        <v>249</v>
      </c>
      <c r="C1099" s="53" t="s">
        <v>316</v>
      </c>
      <c r="D1099" s="53" t="s">
        <v>172</v>
      </c>
      <c r="E1099" s="36">
        <v>46378.174603169042</v>
      </c>
      <c r="F1099" s="53" t="s">
        <v>4073</v>
      </c>
      <c r="H1099" s="47" t="str">
        <f t="shared" si="51"/>
        <v>ANDINA</v>
      </c>
      <c r="I1099" s="6">
        <f t="shared" si="52"/>
        <v>46393.720648032853</v>
      </c>
      <c r="J1099" s="47">
        <f t="shared" si="53"/>
        <v>46393.720648032853</v>
      </c>
      <c r="L1099" s="2"/>
    </row>
    <row r="1100" spans="1:12">
      <c r="A1100" s="29" t="s">
        <v>3851</v>
      </c>
      <c r="B1100" s="53" t="s">
        <v>249</v>
      </c>
      <c r="C1100" s="53" t="s">
        <v>316</v>
      </c>
      <c r="D1100" s="53" t="s">
        <v>172</v>
      </c>
      <c r="E1100" s="36">
        <v>46378.174603169042</v>
      </c>
      <c r="F1100" s="53" t="s">
        <v>4073</v>
      </c>
      <c r="H1100" s="47" t="str">
        <f t="shared" si="51"/>
        <v>ANDINA</v>
      </c>
      <c r="I1100" s="6">
        <f t="shared" si="52"/>
        <v>46393.720648032853</v>
      </c>
      <c r="J1100" s="47">
        <f t="shared" si="53"/>
        <v>46393.720648032853</v>
      </c>
    </row>
    <row r="1101" spans="1:12">
      <c r="A1101" s="29" t="s">
        <v>3853</v>
      </c>
      <c r="B1101" s="53" t="s">
        <v>249</v>
      </c>
      <c r="C1101" s="53" t="s">
        <v>316</v>
      </c>
      <c r="D1101" s="53" t="s">
        <v>172</v>
      </c>
      <c r="E1101" s="36">
        <v>46378.174603169042</v>
      </c>
      <c r="F1101" s="53" t="s">
        <v>4073</v>
      </c>
      <c r="H1101" s="47" t="str">
        <f t="shared" si="51"/>
        <v>ANDINA</v>
      </c>
      <c r="I1101" s="6">
        <f t="shared" si="52"/>
        <v>46393.720648032853</v>
      </c>
      <c r="J1101" s="47">
        <f t="shared" si="53"/>
        <v>46393.720648032853</v>
      </c>
    </row>
    <row r="1102" spans="1:12">
      <c r="A1102" s="29" t="s">
        <v>3854</v>
      </c>
      <c r="B1102" s="53" t="s">
        <v>249</v>
      </c>
      <c r="C1102" s="53" t="s">
        <v>316</v>
      </c>
      <c r="D1102" s="53" t="s">
        <v>172</v>
      </c>
      <c r="E1102" s="36">
        <v>46448.61111110833</v>
      </c>
      <c r="F1102" s="53" t="s">
        <v>4074</v>
      </c>
      <c r="H1102" s="47" t="str">
        <f t="shared" si="51"/>
        <v>PACIFICO</v>
      </c>
      <c r="I1102" s="6">
        <f t="shared" si="52"/>
        <v>46448.61111110833</v>
      </c>
      <c r="J1102" s="47">
        <f t="shared" si="53"/>
        <v>46448.61111110833</v>
      </c>
    </row>
    <row r="1103" spans="1:12">
      <c r="A1103" s="29" t="s">
        <v>4076</v>
      </c>
      <c r="B1103" s="53" t="s">
        <v>249</v>
      </c>
      <c r="C1103" s="53" t="s">
        <v>316</v>
      </c>
      <c r="D1103" s="53" t="s">
        <v>172</v>
      </c>
      <c r="E1103" s="36">
        <v>46378.174603169042</v>
      </c>
      <c r="F1103" s="53" t="s">
        <v>4073</v>
      </c>
      <c r="H1103" s="47" t="str">
        <f t="shared" si="51"/>
        <v>AMAZONIA</v>
      </c>
      <c r="I1103" s="6">
        <f t="shared" si="52"/>
        <v>46378.174603169049</v>
      </c>
      <c r="J1103" s="47">
        <f t="shared" si="53"/>
        <v>46378.174603169049</v>
      </c>
    </row>
    <row r="1104" spans="1:12">
      <c r="A1104" s="29" t="s">
        <v>3831</v>
      </c>
      <c r="B1104" s="53" t="s">
        <v>249</v>
      </c>
      <c r="C1104" s="53" t="s">
        <v>4132</v>
      </c>
      <c r="D1104" s="53" t="s">
        <v>172</v>
      </c>
      <c r="E1104" s="36">
        <v>46031.944444450004</v>
      </c>
      <c r="F1104" s="53" t="s">
        <v>4073</v>
      </c>
      <c r="H1104" s="47" t="str">
        <f t="shared" si="51"/>
        <v>ANDINA</v>
      </c>
      <c r="I1104" s="6">
        <f t="shared" si="52"/>
        <v>46031.944444450019</v>
      </c>
      <c r="J1104" s="47">
        <f t="shared" si="53"/>
        <v>46031.944444450019</v>
      </c>
    </row>
    <row r="1105" spans="1:12">
      <c r="A1105" s="29" t="s">
        <v>4075</v>
      </c>
      <c r="B1105" s="53" t="s">
        <v>249</v>
      </c>
      <c r="C1105" s="53" t="s">
        <v>4132</v>
      </c>
      <c r="D1105" s="53" t="s">
        <v>172</v>
      </c>
      <c r="E1105" s="36">
        <v>46031.944444450004</v>
      </c>
      <c r="F1105" s="53" t="s">
        <v>4073</v>
      </c>
      <c r="H1105" s="47" t="str">
        <f t="shared" si="51"/>
        <v>ANDINA</v>
      </c>
      <c r="I1105" s="6">
        <f t="shared" si="52"/>
        <v>46031.944444450019</v>
      </c>
      <c r="J1105" s="47">
        <f t="shared" si="53"/>
        <v>46031.944444450019</v>
      </c>
    </row>
    <row r="1106" spans="1:12">
      <c r="A1106" s="29" t="s">
        <v>3835</v>
      </c>
      <c r="B1106" s="53" t="s">
        <v>249</v>
      </c>
      <c r="C1106" s="53" t="s">
        <v>4132</v>
      </c>
      <c r="D1106" s="53" t="s">
        <v>172</v>
      </c>
      <c r="E1106" s="36">
        <v>46031.944444450004</v>
      </c>
      <c r="F1106" s="53" t="s">
        <v>4073</v>
      </c>
      <c r="H1106" s="47" t="str">
        <f t="shared" si="51"/>
        <v>ANDINA</v>
      </c>
      <c r="I1106" s="6">
        <f t="shared" si="52"/>
        <v>46031.944444450019</v>
      </c>
      <c r="J1106" s="47">
        <f t="shared" si="53"/>
        <v>46031.944444450019</v>
      </c>
    </row>
    <row r="1107" spans="1:12">
      <c r="A1107" s="29" t="s">
        <v>3836</v>
      </c>
      <c r="B1107" s="53" t="s">
        <v>249</v>
      </c>
      <c r="C1107" s="53" t="s">
        <v>4132</v>
      </c>
      <c r="D1107" s="53" t="s">
        <v>172</v>
      </c>
      <c r="E1107" s="36">
        <v>46031.944444450004</v>
      </c>
      <c r="F1107" s="53" t="s">
        <v>4073</v>
      </c>
      <c r="H1107" s="47" t="str">
        <f t="shared" si="51"/>
        <v>ANDINA</v>
      </c>
      <c r="I1107" s="6">
        <f t="shared" si="52"/>
        <v>46031.944444450019</v>
      </c>
      <c r="J1107" s="47">
        <f t="shared" si="53"/>
        <v>46031.944444450019</v>
      </c>
    </row>
    <row r="1108" spans="1:12">
      <c r="A1108" s="29" t="s">
        <v>3837</v>
      </c>
      <c r="B1108" s="53" t="s">
        <v>249</v>
      </c>
      <c r="C1108" s="53" t="s">
        <v>4132</v>
      </c>
      <c r="D1108" s="53" t="s">
        <v>172</v>
      </c>
      <c r="E1108" s="36">
        <v>46031.944444450004</v>
      </c>
      <c r="F1108" s="53" t="s">
        <v>4073</v>
      </c>
      <c r="H1108" s="47" t="str">
        <f t="shared" si="51"/>
        <v>AMAZONIA</v>
      </c>
      <c r="I1108" s="6">
        <f t="shared" si="52"/>
        <v>46031.944444450004</v>
      </c>
      <c r="J1108" s="47">
        <f t="shared" si="53"/>
        <v>46031.944444450004</v>
      </c>
    </row>
    <row r="1109" spans="1:12">
      <c r="A1109" s="29" t="s">
        <v>3838</v>
      </c>
      <c r="B1109" s="53" t="s">
        <v>249</v>
      </c>
      <c r="C1109" s="53" t="s">
        <v>4132</v>
      </c>
      <c r="D1109" s="53" t="s">
        <v>172</v>
      </c>
      <c r="E1109" s="36">
        <v>46031.944444450004</v>
      </c>
      <c r="F1109" s="53" t="s">
        <v>4073</v>
      </c>
      <c r="H1109" s="47" t="str">
        <f t="shared" si="51"/>
        <v>ORINOQUIA</v>
      </c>
      <c r="I1109" s="6">
        <f t="shared" si="52"/>
        <v>46031.944444450004</v>
      </c>
      <c r="J1109" s="47">
        <f t="shared" si="53"/>
        <v>46031.944444450004</v>
      </c>
    </row>
    <row r="1110" spans="1:12">
      <c r="A1110" s="29" t="s">
        <v>3839</v>
      </c>
      <c r="B1110" s="53" t="s">
        <v>249</v>
      </c>
      <c r="C1110" s="53" t="s">
        <v>4132</v>
      </c>
      <c r="D1110" s="53" t="s">
        <v>172</v>
      </c>
      <c r="E1110" s="36">
        <v>46031.944444450004</v>
      </c>
      <c r="F1110" s="53" t="s">
        <v>4073</v>
      </c>
      <c r="H1110" s="47" t="str">
        <f t="shared" si="51"/>
        <v>PACIFICO</v>
      </c>
      <c r="I1110" s="6">
        <f t="shared" si="52"/>
        <v>46031.944444450004</v>
      </c>
      <c r="J1110" s="47">
        <f t="shared" si="53"/>
        <v>46031.944444450004</v>
      </c>
    </row>
    <row r="1111" spans="1:12">
      <c r="A1111" s="29" t="s">
        <v>3840</v>
      </c>
      <c r="B1111" s="53" t="s">
        <v>249</v>
      </c>
      <c r="C1111" s="53" t="s">
        <v>4132</v>
      </c>
      <c r="D1111" s="53" t="s">
        <v>172</v>
      </c>
      <c r="E1111" s="36">
        <v>46031.944444450004</v>
      </c>
      <c r="F1111" s="53" t="s">
        <v>4073</v>
      </c>
      <c r="H1111" s="47" t="str">
        <f t="shared" si="51"/>
        <v>CARIBE</v>
      </c>
      <c r="I1111" s="6">
        <f t="shared" si="52"/>
        <v>46031.944444450004</v>
      </c>
      <c r="J1111" s="47">
        <f t="shared" si="53"/>
        <v>46031.944444450004</v>
      </c>
    </row>
    <row r="1112" spans="1:12">
      <c r="A1112" s="29" t="s">
        <v>3841</v>
      </c>
      <c r="B1112" s="53" t="s">
        <v>249</v>
      </c>
      <c r="C1112" s="53" t="s">
        <v>4132</v>
      </c>
      <c r="D1112" s="53" t="s">
        <v>172</v>
      </c>
      <c r="E1112" s="36">
        <v>46031.944444450004</v>
      </c>
      <c r="F1112" s="53" t="s">
        <v>4073</v>
      </c>
      <c r="H1112" s="47" t="str">
        <f t="shared" si="51"/>
        <v>CARIBE</v>
      </c>
      <c r="I1112" s="6">
        <f t="shared" si="52"/>
        <v>46031.944444450004</v>
      </c>
      <c r="J1112" s="47">
        <f t="shared" si="53"/>
        <v>46031.944444450004</v>
      </c>
    </row>
    <row r="1113" spans="1:12">
      <c r="A1113" s="29" t="s">
        <v>3842</v>
      </c>
      <c r="B1113" s="53" t="s">
        <v>249</v>
      </c>
      <c r="C1113" s="53" t="s">
        <v>4132</v>
      </c>
      <c r="D1113" s="53" t="s">
        <v>172</v>
      </c>
      <c r="E1113" s="36">
        <v>46031.944444450004</v>
      </c>
      <c r="F1113" s="53" t="s">
        <v>4073</v>
      </c>
      <c r="H1113" s="47" t="str">
        <f t="shared" si="51"/>
        <v>ANDINA</v>
      </c>
      <c r="I1113" s="6">
        <f t="shared" si="52"/>
        <v>46031.944444450019</v>
      </c>
      <c r="J1113" s="47">
        <f t="shared" si="53"/>
        <v>46031.944444450019</v>
      </c>
    </row>
    <row r="1114" spans="1:12">
      <c r="A1114" s="29" t="s">
        <v>3843</v>
      </c>
      <c r="B1114" s="53" t="s">
        <v>249</v>
      </c>
      <c r="C1114" s="53" t="s">
        <v>4132</v>
      </c>
      <c r="D1114" s="53" t="s">
        <v>172</v>
      </c>
      <c r="E1114" s="36">
        <v>46031.944444450004</v>
      </c>
      <c r="F1114" s="53" t="s">
        <v>4073</v>
      </c>
      <c r="H1114" s="47" t="str">
        <f t="shared" si="51"/>
        <v>ANDINA</v>
      </c>
      <c r="I1114" s="6">
        <f t="shared" si="52"/>
        <v>46031.944444450019</v>
      </c>
      <c r="J1114" s="47">
        <f t="shared" si="53"/>
        <v>46031.944444450019</v>
      </c>
      <c r="L1114" s="2"/>
    </row>
    <row r="1115" spans="1:12">
      <c r="A1115" s="29" t="s">
        <v>3845</v>
      </c>
      <c r="B1115" s="53" t="s">
        <v>249</v>
      </c>
      <c r="C1115" s="53" t="s">
        <v>4132</v>
      </c>
      <c r="D1115" s="53" t="s">
        <v>172</v>
      </c>
      <c r="E1115" s="36">
        <v>46031.944444450004</v>
      </c>
      <c r="F1115" s="53" t="s">
        <v>4073</v>
      </c>
      <c r="H1115" s="47" t="str">
        <f t="shared" si="51"/>
        <v>ORINOQUIA</v>
      </c>
      <c r="I1115" s="6">
        <f t="shared" si="52"/>
        <v>46031.944444450004</v>
      </c>
      <c r="J1115" s="47">
        <f t="shared" si="53"/>
        <v>46031.944444450004</v>
      </c>
    </row>
    <row r="1116" spans="1:12">
      <c r="A1116" s="29" t="s">
        <v>3846</v>
      </c>
      <c r="B1116" s="53" t="s">
        <v>249</v>
      </c>
      <c r="C1116" s="53" t="s">
        <v>4132</v>
      </c>
      <c r="D1116" s="53" t="s">
        <v>172</v>
      </c>
      <c r="E1116" s="36">
        <v>46031.944444450004</v>
      </c>
      <c r="F1116" s="53" t="s">
        <v>4073</v>
      </c>
      <c r="H1116" s="47" t="str">
        <f t="shared" si="51"/>
        <v>PACIFICO</v>
      </c>
      <c r="I1116" s="6">
        <f t="shared" si="52"/>
        <v>46031.944444450004</v>
      </c>
      <c r="J1116" s="47">
        <f t="shared" si="53"/>
        <v>46031.944444450004</v>
      </c>
    </row>
    <row r="1117" spans="1:12">
      <c r="A1117" s="29" t="s">
        <v>3847</v>
      </c>
      <c r="B1117" s="53" t="s">
        <v>249</v>
      </c>
      <c r="C1117" s="53" t="s">
        <v>4132</v>
      </c>
      <c r="D1117" s="53" t="s">
        <v>172</v>
      </c>
      <c r="E1117" s="36">
        <v>46031.944444450004</v>
      </c>
      <c r="F1117" s="53" t="s">
        <v>4073</v>
      </c>
      <c r="H1117" s="47" t="str">
        <f t="shared" si="51"/>
        <v>ANDINA</v>
      </c>
      <c r="I1117" s="6">
        <f t="shared" si="52"/>
        <v>46031.944444450019</v>
      </c>
      <c r="J1117" s="47">
        <f t="shared" si="53"/>
        <v>46031.944444450019</v>
      </c>
    </row>
    <row r="1118" spans="1:12">
      <c r="A1118" s="29" t="s">
        <v>3848</v>
      </c>
      <c r="B1118" s="53" t="s">
        <v>249</v>
      </c>
      <c r="C1118" s="53" t="s">
        <v>4132</v>
      </c>
      <c r="D1118" s="53" t="s">
        <v>172</v>
      </c>
      <c r="E1118" s="36">
        <v>46031.944444450004</v>
      </c>
      <c r="F1118" s="53" t="s">
        <v>4073</v>
      </c>
      <c r="H1118" s="47" t="str">
        <f t="shared" si="51"/>
        <v>AMAZONIA</v>
      </c>
      <c r="I1118" s="6">
        <f t="shared" si="52"/>
        <v>46031.944444450004</v>
      </c>
      <c r="J1118" s="47">
        <f t="shared" si="53"/>
        <v>46031.944444450004</v>
      </c>
    </row>
    <row r="1119" spans="1:12">
      <c r="A1119" s="29" t="s">
        <v>3849</v>
      </c>
      <c r="B1119" s="53" t="s">
        <v>249</v>
      </c>
      <c r="C1119" s="53" t="s">
        <v>4132</v>
      </c>
      <c r="D1119" s="53" t="s">
        <v>172</v>
      </c>
      <c r="E1119" s="36">
        <v>46031.944444450004</v>
      </c>
      <c r="F1119" s="53" t="s">
        <v>4073</v>
      </c>
      <c r="H1119" s="47" t="str">
        <f t="shared" si="51"/>
        <v>ANDINA</v>
      </c>
      <c r="I1119" s="6">
        <f t="shared" si="52"/>
        <v>46031.944444450019</v>
      </c>
      <c r="J1119" s="47">
        <f t="shared" si="53"/>
        <v>46031.944444450019</v>
      </c>
    </row>
    <row r="1120" spans="1:12">
      <c r="A1120" s="29" t="s">
        <v>3850</v>
      </c>
      <c r="B1120" s="53" t="s">
        <v>249</v>
      </c>
      <c r="C1120" s="53" t="s">
        <v>4132</v>
      </c>
      <c r="D1120" s="53" t="s">
        <v>172</v>
      </c>
      <c r="E1120" s="36">
        <v>46031.944444450004</v>
      </c>
      <c r="F1120" s="53" t="s">
        <v>4073</v>
      </c>
      <c r="H1120" s="47" t="str">
        <f t="shared" si="51"/>
        <v>ANDINA</v>
      </c>
      <c r="I1120" s="6">
        <f t="shared" si="52"/>
        <v>46031.944444450019</v>
      </c>
      <c r="J1120" s="47">
        <f t="shared" si="53"/>
        <v>46031.944444450019</v>
      </c>
    </row>
    <row r="1121" spans="1:10">
      <c r="A1121" s="29" t="s">
        <v>3851</v>
      </c>
      <c r="B1121" s="53" t="s">
        <v>249</v>
      </c>
      <c r="C1121" s="53" t="s">
        <v>4132</v>
      </c>
      <c r="D1121" s="53" t="s">
        <v>172</v>
      </c>
      <c r="E1121" s="36">
        <v>46031.944444450004</v>
      </c>
      <c r="F1121" s="53" t="s">
        <v>4073</v>
      </c>
      <c r="H1121" s="47" t="str">
        <f t="shared" si="51"/>
        <v>ANDINA</v>
      </c>
      <c r="I1121" s="6">
        <f t="shared" si="52"/>
        <v>46031.944444450019</v>
      </c>
      <c r="J1121" s="47">
        <f t="shared" si="53"/>
        <v>46031.944444450019</v>
      </c>
    </row>
    <row r="1122" spans="1:10">
      <c r="A1122" s="29" t="s">
        <v>3853</v>
      </c>
      <c r="B1122" s="53" t="s">
        <v>249</v>
      </c>
      <c r="C1122" s="53" t="s">
        <v>4132</v>
      </c>
      <c r="D1122" s="53" t="s">
        <v>172</v>
      </c>
      <c r="E1122" s="36">
        <v>46031.944444450004</v>
      </c>
      <c r="F1122" s="53" t="s">
        <v>4073</v>
      </c>
      <c r="H1122" s="47" t="str">
        <f t="shared" si="51"/>
        <v>ANDINA</v>
      </c>
      <c r="I1122" s="6">
        <f t="shared" si="52"/>
        <v>46031.944444450019</v>
      </c>
      <c r="J1122" s="47">
        <f t="shared" si="53"/>
        <v>46031.944444450019</v>
      </c>
    </row>
    <row r="1123" spans="1:10">
      <c r="A1123" s="29" t="s">
        <v>3854</v>
      </c>
      <c r="B1123" s="53" t="s">
        <v>249</v>
      </c>
      <c r="C1123" s="53" t="s">
        <v>4132</v>
      </c>
      <c r="D1123" s="53" t="s">
        <v>172</v>
      </c>
      <c r="E1123" s="36">
        <v>46031.944444450004</v>
      </c>
      <c r="F1123" s="53" t="s">
        <v>4073</v>
      </c>
      <c r="H1123" s="47" t="str">
        <f t="shared" si="51"/>
        <v>PACIFICO</v>
      </c>
      <c r="I1123" s="6">
        <f t="shared" si="52"/>
        <v>46031.944444450004</v>
      </c>
      <c r="J1123" s="47">
        <f t="shared" si="53"/>
        <v>46031.944444450004</v>
      </c>
    </row>
    <row r="1124" spans="1:10">
      <c r="A1124" s="29" t="s">
        <v>4076</v>
      </c>
      <c r="B1124" s="53" t="s">
        <v>249</v>
      </c>
      <c r="C1124" s="53" t="s">
        <v>4132</v>
      </c>
      <c r="D1124" s="53" t="s">
        <v>172</v>
      </c>
      <c r="E1124" s="36">
        <v>46031.944444450004</v>
      </c>
      <c r="F1124" s="53" t="s">
        <v>4073</v>
      </c>
      <c r="H1124" s="47" t="str">
        <f t="shared" si="51"/>
        <v>AMAZONIA</v>
      </c>
      <c r="I1124" s="6">
        <f t="shared" si="52"/>
        <v>46031.944444450004</v>
      </c>
      <c r="J1124" s="47">
        <f t="shared" si="53"/>
        <v>46031.944444450004</v>
      </c>
    </row>
    <row r="1125" spans="1:10">
      <c r="A1125" s="29" t="s">
        <v>3831</v>
      </c>
      <c r="B1125" s="53" t="s">
        <v>249</v>
      </c>
      <c r="C1125" s="53" t="s">
        <v>4133</v>
      </c>
      <c r="D1125" s="53" t="s">
        <v>172</v>
      </c>
      <c r="E1125" s="36">
        <v>56151.928104576473</v>
      </c>
      <c r="F1125" s="53" t="s">
        <v>4074</v>
      </c>
      <c r="H1125" s="47" t="str">
        <f t="shared" si="51"/>
        <v>ANDINA</v>
      </c>
      <c r="I1125" s="6">
        <f t="shared" si="52"/>
        <v>56151.928104576473</v>
      </c>
      <c r="J1125" s="47">
        <f t="shared" si="53"/>
        <v>56151.928104576473</v>
      </c>
    </row>
    <row r="1126" spans="1:10">
      <c r="A1126" s="29" t="s">
        <v>4075</v>
      </c>
      <c r="B1126" s="53" t="s">
        <v>249</v>
      </c>
      <c r="C1126" s="53" t="s">
        <v>4133</v>
      </c>
      <c r="D1126" s="53" t="s">
        <v>172</v>
      </c>
      <c r="E1126" s="36">
        <v>58498.055720900004</v>
      </c>
      <c r="F1126" s="53" t="s">
        <v>4074</v>
      </c>
      <c r="H1126" s="47" t="str">
        <f t="shared" si="51"/>
        <v>ANDINA</v>
      </c>
      <c r="I1126" s="6">
        <f t="shared" si="52"/>
        <v>58498.055720900004</v>
      </c>
      <c r="J1126" s="47">
        <f t="shared" si="53"/>
        <v>58498.055720900004</v>
      </c>
    </row>
    <row r="1127" spans="1:10">
      <c r="A1127" s="29" t="s">
        <v>3835</v>
      </c>
      <c r="B1127" s="53" t="s">
        <v>249</v>
      </c>
      <c r="C1127" s="53" t="s">
        <v>4133</v>
      </c>
      <c r="D1127" s="53" t="s">
        <v>172</v>
      </c>
      <c r="E1127" s="36">
        <v>57222.940952379191</v>
      </c>
      <c r="F1127" s="53" t="s">
        <v>4074</v>
      </c>
      <c r="H1127" s="47" t="str">
        <f t="shared" si="51"/>
        <v>ANDINA</v>
      </c>
      <c r="I1127" s="6">
        <f t="shared" si="52"/>
        <v>57222.940952379191</v>
      </c>
      <c r="J1127" s="47">
        <f t="shared" si="53"/>
        <v>57222.940952379191</v>
      </c>
    </row>
    <row r="1128" spans="1:10">
      <c r="A1128" s="29" t="s">
        <v>3836</v>
      </c>
      <c r="B1128" s="53" t="s">
        <v>249</v>
      </c>
      <c r="C1128" s="53" t="s">
        <v>4133</v>
      </c>
      <c r="D1128" s="53" t="s">
        <v>172</v>
      </c>
      <c r="E1128" s="36">
        <v>58936.111111100006</v>
      </c>
      <c r="F1128" s="53" t="s">
        <v>4074</v>
      </c>
      <c r="H1128" s="47" t="str">
        <f t="shared" si="51"/>
        <v>ANDINA</v>
      </c>
      <c r="I1128" s="6">
        <f t="shared" si="52"/>
        <v>58936.111111100006</v>
      </c>
      <c r="J1128" s="47">
        <f t="shared" si="53"/>
        <v>58936.111111100006</v>
      </c>
    </row>
    <row r="1129" spans="1:10">
      <c r="A1129" s="29" t="s">
        <v>3837</v>
      </c>
      <c r="B1129" s="53" t="s">
        <v>249</v>
      </c>
      <c r="C1129" s="53" t="s">
        <v>4133</v>
      </c>
      <c r="D1129" s="53" t="s">
        <v>172</v>
      </c>
      <c r="E1129" s="36">
        <v>57912.060126068194</v>
      </c>
      <c r="F1129" s="53" t="s">
        <v>4073</v>
      </c>
      <c r="H1129" s="47" t="str">
        <f t="shared" si="51"/>
        <v>AMAZONIA</v>
      </c>
      <c r="I1129" s="6">
        <f t="shared" si="52"/>
        <v>57912.060126068194</v>
      </c>
      <c r="J1129" s="47">
        <f t="shared" si="53"/>
        <v>57912.060126068194</v>
      </c>
    </row>
    <row r="1130" spans="1:10">
      <c r="A1130" s="29" t="s">
        <v>3838</v>
      </c>
      <c r="B1130" s="53" t="s">
        <v>249</v>
      </c>
      <c r="C1130" s="53" t="s">
        <v>4133</v>
      </c>
      <c r="D1130" s="53" t="s">
        <v>172</v>
      </c>
      <c r="E1130" s="36">
        <v>57912.060126068194</v>
      </c>
      <c r="F1130" s="53" t="s">
        <v>4073</v>
      </c>
      <c r="H1130" s="47" t="str">
        <f t="shared" si="51"/>
        <v>ORINOQUIA</v>
      </c>
      <c r="I1130" s="6">
        <f t="shared" si="52"/>
        <v>57912.060126068194</v>
      </c>
      <c r="J1130" s="47">
        <f t="shared" si="53"/>
        <v>57912.060126068194</v>
      </c>
    </row>
    <row r="1131" spans="1:10">
      <c r="A1131" s="29" t="s">
        <v>3839</v>
      </c>
      <c r="B1131" s="53" t="s">
        <v>249</v>
      </c>
      <c r="C1131" s="53" t="s">
        <v>4133</v>
      </c>
      <c r="D1131" s="53" t="s">
        <v>172</v>
      </c>
      <c r="E1131" s="36">
        <v>57912.060126068194</v>
      </c>
      <c r="F1131" s="53" t="s">
        <v>4073</v>
      </c>
      <c r="H1131" s="47" t="str">
        <f t="shared" si="51"/>
        <v>PACIFICO</v>
      </c>
      <c r="I1131" s="6">
        <f t="shared" si="52"/>
        <v>59078.762105513444</v>
      </c>
      <c r="J1131" s="47">
        <f t="shared" si="53"/>
        <v>59078.762105513444</v>
      </c>
    </row>
    <row r="1132" spans="1:10">
      <c r="A1132" s="29" t="s">
        <v>3840</v>
      </c>
      <c r="B1132" s="53" t="s">
        <v>249</v>
      </c>
      <c r="C1132" s="53" t="s">
        <v>4133</v>
      </c>
      <c r="D1132" s="53" t="s">
        <v>172</v>
      </c>
      <c r="E1132" s="36">
        <v>57912.060126068194</v>
      </c>
      <c r="F1132" s="53" t="s">
        <v>4073</v>
      </c>
      <c r="H1132" s="47" t="str">
        <f t="shared" si="51"/>
        <v>CARIBE</v>
      </c>
      <c r="I1132" s="6">
        <f t="shared" si="52"/>
        <v>57912.060126068201</v>
      </c>
      <c r="J1132" s="47">
        <f t="shared" si="53"/>
        <v>57912.060126068201</v>
      </c>
    </row>
    <row r="1133" spans="1:10">
      <c r="A1133" s="29" t="s">
        <v>3841</v>
      </c>
      <c r="B1133" s="53" t="s">
        <v>249</v>
      </c>
      <c r="C1133" s="53" t="s">
        <v>4133</v>
      </c>
      <c r="D1133" s="53" t="s">
        <v>172</v>
      </c>
      <c r="E1133" s="36">
        <v>57912.060126068194</v>
      </c>
      <c r="F1133" s="53" t="s">
        <v>4073</v>
      </c>
      <c r="H1133" s="47" t="str">
        <f t="shared" si="51"/>
        <v>CARIBE</v>
      </c>
      <c r="I1133" s="6">
        <f t="shared" si="52"/>
        <v>57912.060126068201</v>
      </c>
      <c r="J1133" s="47">
        <f t="shared" si="53"/>
        <v>57912.060126068201</v>
      </c>
    </row>
    <row r="1134" spans="1:10">
      <c r="A1134" s="29" t="s">
        <v>3842</v>
      </c>
      <c r="B1134" s="53" t="s">
        <v>249</v>
      </c>
      <c r="C1134" s="53" t="s">
        <v>4133</v>
      </c>
      <c r="D1134" s="53" t="s">
        <v>172</v>
      </c>
      <c r="E1134" s="36">
        <v>57107.237373739867</v>
      </c>
      <c r="F1134" s="53" t="s">
        <v>4074</v>
      </c>
      <c r="H1134" s="47" t="str">
        <f t="shared" si="51"/>
        <v>ANDINA</v>
      </c>
      <c r="I1134" s="6">
        <f t="shared" si="52"/>
        <v>57107.237373739867</v>
      </c>
      <c r="J1134" s="47">
        <f t="shared" si="53"/>
        <v>57107.237373739867</v>
      </c>
    </row>
    <row r="1135" spans="1:10">
      <c r="A1135" s="29" t="s">
        <v>3843</v>
      </c>
      <c r="B1135" s="53" t="s">
        <v>249</v>
      </c>
      <c r="C1135" s="53" t="s">
        <v>4133</v>
      </c>
      <c r="D1135" s="53" t="s">
        <v>172</v>
      </c>
      <c r="E1135" s="36">
        <v>57912.060126068194</v>
      </c>
      <c r="F1135" s="53" t="s">
        <v>4073</v>
      </c>
      <c r="H1135" s="47" t="str">
        <f t="shared" si="51"/>
        <v>ANDINA</v>
      </c>
      <c r="I1135" s="6">
        <f t="shared" si="52"/>
        <v>58518.193405800106</v>
      </c>
      <c r="J1135" s="47">
        <f t="shared" si="53"/>
        <v>58518.193405800106</v>
      </c>
    </row>
    <row r="1136" spans="1:10">
      <c r="A1136" s="29" t="s">
        <v>3845</v>
      </c>
      <c r="B1136" s="53" t="s">
        <v>249</v>
      </c>
      <c r="C1136" s="53" t="s">
        <v>4133</v>
      </c>
      <c r="D1136" s="53" t="s">
        <v>172</v>
      </c>
      <c r="E1136" s="36">
        <v>57912.060126068194</v>
      </c>
      <c r="F1136" s="53" t="s">
        <v>4073</v>
      </c>
      <c r="H1136" s="47" t="str">
        <f t="shared" si="51"/>
        <v>ORINOQUIA</v>
      </c>
      <c r="I1136" s="6">
        <f t="shared" si="52"/>
        <v>57912.060126068194</v>
      </c>
      <c r="J1136" s="47">
        <f t="shared" si="53"/>
        <v>57912.060126068194</v>
      </c>
    </row>
    <row r="1137" spans="1:12">
      <c r="A1137" s="29" t="s">
        <v>3846</v>
      </c>
      <c r="B1137" s="53" t="s">
        <v>249</v>
      </c>
      <c r="C1137" s="53" t="s">
        <v>4133</v>
      </c>
      <c r="D1137" s="53" t="s">
        <v>172</v>
      </c>
      <c r="E1137" s="36">
        <v>58763.80952380714</v>
      </c>
      <c r="F1137" s="53" t="s">
        <v>4074</v>
      </c>
      <c r="H1137" s="47" t="str">
        <f t="shared" si="51"/>
        <v>PACIFICO</v>
      </c>
      <c r="I1137" s="6">
        <f t="shared" si="52"/>
        <v>58763.80952380714</v>
      </c>
      <c r="J1137" s="47">
        <f t="shared" si="53"/>
        <v>58763.80952380714</v>
      </c>
    </row>
    <row r="1138" spans="1:12">
      <c r="A1138" s="29" t="s">
        <v>3847</v>
      </c>
      <c r="B1138" s="53" t="s">
        <v>249</v>
      </c>
      <c r="C1138" s="53" t="s">
        <v>4133</v>
      </c>
      <c r="D1138" s="53" t="s">
        <v>172</v>
      </c>
      <c r="E1138" s="36">
        <v>57912.060126068194</v>
      </c>
      <c r="F1138" s="53" t="s">
        <v>4073</v>
      </c>
      <c r="H1138" s="47" t="str">
        <f t="shared" si="51"/>
        <v>ANDINA</v>
      </c>
      <c r="I1138" s="6">
        <f t="shared" si="52"/>
        <v>58518.193405800106</v>
      </c>
      <c r="J1138" s="47">
        <f t="shared" si="53"/>
        <v>58518.193405800106</v>
      </c>
    </row>
    <row r="1139" spans="1:12">
      <c r="A1139" s="29" t="s">
        <v>3848</v>
      </c>
      <c r="B1139" s="53" t="s">
        <v>249</v>
      </c>
      <c r="C1139" s="53" t="s">
        <v>4133</v>
      </c>
      <c r="D1139" s="53" t="s">
        <v>172</v>
      </c>
      <c r="E1139" s="36">
        <v>57912.060126068194</v>
      </c>
      <c r="F1139" s="53" t="s">
        <v>4073</v>
      </c>
      <c r="H1139" s="47" t="str">
        <f t="shared" si="51"/>
        <v>AMAZONIA</v>
      </c>
      <c r="I1139" s="6">
        <f t="shared" si="52"/>
        <v>57912.060126068194</v>
      </c>
      <c r="J1139" s="47">
        <f t="shared" si="53"/>
        <v>57912.060126068194</v>
      </c>
    </row>
    <row r="1140" spans="1:12">
      <c r="A1140" s="29" t="s">
        <v>3849</v>
      </c>
      <c r="B1140" s="53" t="s">
        <v>249</v>
      </c>
      <c r="C1140" s="53" t="s">
        <v>4133</v>
      </c>
      <c r="D1140" s="53" t="s">
        <v>172</v>
      </c>
      <c r="E1140" s="36">
        <v>57433.333333324998</v>
      </c>
      <c r="F1140" s="53" t="s">
        <v>4074</v>
      </c>
      <c r="H1140" s="47" t="str">
        <f t="shared" si="51"/>
        <v>ANDINA</v>
      </c>
      <c r="I1140" s="6">
        <f t="shared" si="52"/>
        <v>57433.333333324998</v>
      </c>
      <c r="J1140" s="47">
        <f t="shared" si="53"/>
        <v>57433.333333324998</v>
      </c>
    </row>
    <row r="1141" spans="1:12">
      <c r="A1141" s="29" t="s">
        <v>3850</v>
      </c>
      <c r="B1141" s="53" t="s">
        <v>249</v>
      </c>
      <c r="C1141" s="53" t="s">
        <v>4133</v>
      </c>
      <c r="D1141" s="53" t="s">
        <v>172</v>
      </c>
      <c r="E1141" s="36">
        <v>60003.680272108162</v>
      </c>
      <c r="F1141" s="53" t="s">
        <v>4074</v>
      </c>
      <c r="H1141" s="47" t="str">
        <f t="shared" si="51"/>
        <v>ANDINA</v>
      </c>
      <c r="I1141" s="6">
        <f t="shared" si="52"/>
        <v>60003.680272108162</v>
      </c>
      <c r="J1141" s="47">
        <f t="shared" si="53"/>
        <v>60003.680272108162</v>
      </c>
    </row>
    <row r="1142" spans="1:12">
      <c r="A1142" s="29" t="s">
        <v>3851</v>
      </c>
      <c r="B1142" s="53" t="s">
        <v>249</v>
      </c>
      <c r="C1142" s="53" t="s">
        <v>4133</v>
      </c>
      <c r="D1142" s="53" t="s">
        <v>172</v>
      </c>
      <c r="E1142" s="36">
        <v>63015.362318843479</v>
      </c>
      <c r="F1142" s="53" t="s">
        <v>4074</v>
      </c>
      <c r="H1142" s="47" t="str">
        <f t="shared" si="51"/>
        <v>ANDINA</v>
      </c>
      <c r="I1142" s="6">
        <f t="shared" si="52"/>
        <v>63015.362318843479</v>
      </c>
      <c r="J1142" s="47">
        <f t="shared" si="53"/>
        <v>63015.362318843479</v>
      </c>
    </row>
    <row r="1143" spans="1:12">
      <c r="A1143" s="29" t="s">
        <v>3853</v>
      </c>
      <c r="B1143" s="53" t="s">
        <v>249</v>
      </c>
      <c r="C1143" s="53" t="s">
        <v>4133</v>
      </c>
      <c r="D1143" s="53" t="s">
        <v>172</v>
      </c>
      <c r="E1143" s="36">
        <v>59507.358024692592</v>
      </c>
      <c r="F1143" s="53" t="s">
        <v>4074</v>
      </c>
      <c r="H1143" s="47" t="str">
        <f t="shared" si="51"/>
        <v>ANDINA</v>
      </c>
      <c r="I1143" s="6">
        <f t="shared" si="52"/>
        <v>59507.358024692592</v>
      </c>
      <c r="J1143" s="47">
        <f t="shared" si="53"/>
        <v>59507.358024692592</v>
      </c>
    </row>
    <row r="1144" spans="1:12">
      <c r="A1144" s="29" t="s">
        <v>3854</v>
      </c>
      <c r="B1144" s="53" t="s">
        <v>249</v>
      </c>
      <c r="C1144" s="53" t="s">
        <v>4133</v>
      </c>
      <c r="D1144" s="53" t="s">
        <v>172</v>
      </c>
      <c r="E1144" s="36">
        <v>60560.416666664998</v>
      </c>
      <c r="F1144" s="53" t="s">
        <v>4074</v>
      </c>
      <c r="H1144" s="47" t="str">
        <f t="shared" si="51"/>
        <v>PACIFICO</v>
      </c>
      <c r="I1144" s="6">
        <f t="shared" si="52"/>
        <v>60560.416666664998</v>
      </c>
      <c r="J1144" s="47">
        <f t="shared" si="53"/>
        <v>60560.416666664998</v>
      </c>
      <c r="L1144" s="2"/>
    </row>
    <row r="1145" spans="1:12">
      <c r="A1145" s="29" t="s">
        <v>4076</v>
      </c>
      <c r="B1145" s="53" t="s">
        <v>249</v>
      </c>
      <c r="C1145" s="53" t="s">
        <v>4133</v>
      </c>
      <c r="D1145" s="53" t="s">
        <v>172</v>
      </c>
      <c r="E1145" s="36">
        <v>57912.060126068194</v>
      </c>
      <c r="F1145" s="53" t="s">
        <v>4073</v>
      </c>
      <c r="H1145" s="47" t="str">
        <f t="shared" si="51"/>
        <v>AMAZONIA</v>
      </c>
      <c r="I1145" s="6">
        <f t="shared" si="52"/>
        <v>57912.060126068194</v>
      </c>
      <c r="J1145" s="47">
        <f t="shared" si="53"/>
        <v>57912.060126068194</v>
      </c>
    </row>
    <row r="1146" spans="1:12">
      <c r="A1146" s="29" t="s">
        <v>3831</v>
      </c>
      <c r="B1146" s="53" t="s">
        <v>249</v>
      </c>
      <c r="C1146" s="53" t="s">
        <v>4116</v>
      </c>
      <c r="D1146" s="53" t="s">
        <v>172</v>
      </c>
      <c r="E1146" s="36">
        <v>149732.64864864864</v>
      </c>
      <c r="F1146" s="53" t="s">
        <v>4073</v>
      </c>
      <c r="H1146" s="47" t="str">
        <f t="shared" si="51"/>
        <v>ANDINA</v>
      </c>
      <c r="I1146" s="6">
        <f t="shared" si="52"/>
        <v>150439.62084641765</v>
      </c>
      <c r="J1146" s="47">
        <f t="shared" si="53"/>
        <v>150439.62084641765</v>
      </c>
    </row>
    <row r="1147" spans="1:12">
      <c r="A1147" s="29" t="s">
        <v>4075</v>
      </c>
      <c r="B1147" s="53" t="s">
        <v>249</v>
      </c>
      <c r="C1147" s="53" t="s">
        <v>4116</v>
      </c>
      <c r="D1147" s="53" t="s">
        <v>172</v>
      </c>
      <c r="E1147" s="36">
        <v>142541.66666666666</v>
      </c>
      <c r="F1147" s="53" t="s">
        <v>4074</v>
      </c>
      <c r="H1147" s="47" t="str">
        <f t="shared" si="51"/>
        <v>ANDINA</v>
      </c>
      <c r="I1147" s="6">
        <f t="shared" si="52"/>
        <v>142541.66666666666</v>
      </c>
      <c r="J1147" s="47">
        <f t="shared" si="53"/>
        <v>142541.66666666666</v>
      </c>
    </row>
    <row r="1148" spans="1:12">
      <c r="A1148" s="29" t="s">
        <v>3835</v>
      </c>
      <c r="B1148" s="53" t="s">
        <v>249</v>
      </c>
      <c r="C1148" s="53" t="s">
        <v>4116</v>
      </c>
      <c r="D1148" s="53" t="s">
        <v>172</v>
      </c>
      <c r="E1148" s="36">
        <v>161333.33333333334</v>
      </c>
      <c r="F1148" s="53" t="s">
        <v>4074</v>
      </c>
      <c r="H1148" s="47" t="str">
        <f t="shared" si="51"/>
        <v>ANDINA</v>
      </c>
      <c r="I1148" s="6">
        <f t="shared" si="52"/>
        <v>161333.33333333334</v>
      </c>
      <c r="J1148" s="47">
        <f t="shared" si="53"/>
        <v>161333.33333333334</v>
      </c>
    </row>
    <row r="1149" spans="1:12">
      <c r="A1149" s="29" t="s">
        <v>3836</v>
      </c>
      <c r="B1149" s="53" t="s">
        <v>249</v>
      </c>
      <c r="C1149" s="53" t="s">
        <v>4116</v>
      </c>
      <c r="D1149" s="53" t="s">
        <v>172</v>
      </c>
      <c r="E1149" s="36">
        <v>149732.64864864864</v>
      </c>
      <c r="F1149" s="53" t="s">
        <v>4073</v>
      </c>
      <c r="H1149" s="47" t="str">
        <f t="shared" si="51"/>
        <v>ANDINA</v>
      </c>
      <c r="I1149" s="6">
        <f t="shared" si="52"/>
        <v>150439.62084641765</v>
      </c>
      <c r="J1149" s="47">
        <f t="shared" si="53"/>
        <v>150439.62084641765</v>
      </c>
    </row>
    <row r="1150" spans="1:12">
      <c r="A1150" s="29" t="s">
        <v>3837</v>
      </c>
      <c r="B1150" s="53" t="s">
        <v>249</v>
      </c>
      <c r="C1150" s="53" t="s">
        <v>4116</v>
      </c>
      <c r="D1150" s="53" t="s">
        <v>172</v>
      </c>
      <c r="E1150" s="36">
        <v>149732.64864864864</v>
      </c>
      <c r="F1150" s="53" t="s">
        <v>4073</v>
      </c>
      <c r="H1150" s="47" t="str">
        <f t="shared" si="51"/>
        <v>AMAZONIA</v>
      </c>
      <c r="I1150" s="6">
        <f t="shared" si="52"/>
        <v>149732.64864864864</v>
      </c>
      <c r="J1150" s="47">
        <f t="shared" si="53"/>
        <v>149732.64864864864</v>
      </c>
    </row>
    <row r="1151" spans="1:12">
      <c r="A1151" s="29" t="s">
        <v>3838</v>
      </c>
      <c r="B1151" s="53" t="s">
        <v>249</v>
      </c>
      <c r="C1151" s="53" t="s">
        <v>4116</v>
      </c>
      <c r="D1151" s="53" t="s">
        <v>172</v>
      </c>
      <c r="E1151" s="36">
        <v>149732.64864864864</v>
      </c>
      <c r="F1151" s="53" t="s">
        <v>4073</v>
      </c>
      <c r="H1151" s="47" t="str">
        <f t="shared" si="51"/>
        <v>ORINOQUIA</v>
      </c>
      <c r="I1151" s="6">
        <f t="shared" si="52"/>
        <v>149732.64864864864</v>
      </c>
      <c r="J1151" s="47">
        <f t="shared" si="53"/>
        <v>149732.64864864864</v>
      </c>
    </row>
    <row r="1152" spans="1:12">
      <c r="A1152" s="29" t="s">
        <v>3839</v>
      </c>
      <c r="B1152" s="53" t="s">
        <v>249</v>
      </c>
      <c r="C1152" s="53" t="s">
        <v>4116</v>
      </c>
      <c r="D1152" s="53" t="s">
        <v>172</v>
      </c>
      <c r="E1152" s="36">
        <v>149732.64864864864</v>
      </c>
      <c r="F1152" s="53" t="s">
        <v>4073</v>
      </c>
      <c r="H1152" s="47" t="str">
        <f t="shared" si="51"/>
        <v>PACIFICO</v>
      </c>
      <c r="I1152" s="6">
        <f t="shared" si="52"/>
        <v>149732.64864864864</v>
      </c>
      <c r="J1152" s="47">
        <f t="shared" si="53"/>
        <v>149732.64864864864</v>
      </c>
    </row>
    <row r="1153" spans="1:10">
      <c r="A1153" s="29" t="s">
        <v>3840</v>
      </c>
      <c r="B1153" s="53" t="s">
        <v>249</v>
      </c>
      <c r="C1153" s="53" t="s">
        <v>4116</v>
      </c>
      <c r="D1153" s="53" t="s">
        <v>172</v>
      </c>
      <c r="E1153" s="36">
        <v>149732.64864864864</v>
      </c>
      <c r="F1153" s="53" t="s">
        <v>4073</v>
      </c>
      <c r="H1153" s="47" t="str">
        <f t="shared" si="51"/>
        <v>CARIBE</v>
      </c>
      <c r="I1153" s="6">
        <f t="shared" si="52"/>
        <v>149732.64864864864</v>
      </c>
      <c r="J1153" s="47">
        <f t="shared" si="53"/>
        <v>149732.64864864864</v>
      </c>
    </row>
    <row r="1154" spans="1:10">
      <c r="A1154" s="29" t="s">
        <v>3841</v>
      </c>
      <c r="B1154" s="53" t="s">
        <v>249</v>
      </c>
      <c r="C1154" s="53" t="s">
        <v>4116</v>
      </c>
      <c r="D1154" s="53" t="s">
        <v>172</v>
      </c>
      <c r="E1154" s="36">
        <v>149732.64864864864</v>
      </c>
      <c r="F1154" s="53" t="s">
        <v>4073</v>
      </c>
      <c r="H1154" s="47" t="str">
        <f t="shared" ref="H1154:H1217" si="54">IF(OR(A1154="Antioquia",A1154="Bogotá, D.C.",A1154="Boyacá",A1154="Cundinamarca",A1154="Caldas",A1154="Risaralda",A1154="Quindío",A1154="Tolima",A1154="Huila",A1154="Santander",A1154="Norte de Santander"),"ANDINA",
IF(OR(A1154="Atlántico",A1154="Bolívar",A1154="Cesar",A1154="Córdoba",A1154="Sucre",A1154="Magdalena"),"CARIBE",
IF(OR(A1154="Valle del Cauca",A1154="Cauca",A1154="Nariño"),"PACIFICO",
IF(OR(A1154="Meta",A1154="Casanare",A1154="Arauca"),"ORINOQUIA",
"AMAZONIA"))))</f>
        <v>CARIBE</v>
      </c>
      <c r="I1154" s="6">
        <f t="shared" ref="I1154:I1217" si="55">IF(F1154="Departamental",E1154,
AVERAGEIFS($E:$E,$H:$H,H1154,$B:$B,B1154,$C:$C,C1154))</f>
        <v>149732.64864864864</v>
      </c>
      <c r="J1154" s="47">
        <f t="shared" si="53"/>
        <v>149732.64864864864</v>
      </c>
    </row>
    <row r="1155" spans="1:10">
      <c r="A1155" s="29" t="s">
        <v>3842</v>
      </c>
      <c r="B1155" s="53" t="s">
        <v>249</v>
      </c>
      <c r="C1155" s="53" t="s">
        <v>4116</v>
      </c>
      <c r="D1155" s="53" t="s">
        <v>172</v>
      </c>
      <c r="E1155" s="36">
        <v>144950.4705882353</v>
      </c>
      <c r="F1155" s="53" t="s">
        <v>4074</v>
      </c>
      <c r="H1155" s="47" t="str">
        <f t="shared" si="54"/>
        <v>ANDINA</v>
      </c>
      <c r="I1155" s="6">
        <f t="shared" si="55"/>
        <v>144950.4705882353</v>
      </c>
      <c r="J1155" s="47">
        <f t="shared" ref="J1155:J1218" si="56">IF(G1155&lt;&gt;"",G1155,I1155)</f>
        <v>144950.4705882353</v>
      </c>
    </row>
    <row r="1156" spans="1:10">
      <c r="A1156" s="29" t="s">
        <v>3843</v>
      </c>
      <c r="B1156" s="53" t="s">
        <v>249</v>
      </c>
      <c r="C1156" s="53" t="s">
        <v>4116</v>
      </c>
      <c r="D1156" s="53" t="s">
        <v>172</v>
      </c>
      <c r="E1156" s="36">
        <v>149732.64864864864</v>
      </c>
      <c r="F1156" s="53" t="s">
        <v>4073</v>
      </c>
      <c r="H1156" s="47" t="str">
        <f t="shared" si="54"/>
        <v>ANDINA</v>
      </c>
      <c r="I1156" s="6">
        <f t="shared" si="55"/>
        <v>150439.62084641765</v>
      </c>
      <c r="J1156" s="47">
        <f t="shared" si="56"/>
        <v>150439.62084641765</v>
      </c>
    </row>
    <row r="1157" spans="1:10">
      <c r="A1157" s="29" t="s">
        <v>3845</v>
      </c>
      <c r="B1157" s="53" t="s">
        <v>249</v>
      </c>
      <c r="C1157" s="53" t="s">
        <v>4116</v>
      </c>
      <c r="D1157" s="53" t="s">
        <v>172</v>
      </c>
      <c r="E1157" s="36">
        <v>149732.64864864864</v>
      </c>
      <c r="F1157" s="53" t="s">
        <v>4073</v>
      </c>
      <c r="H1157" s="47" t="str">
        <f t="shared" si="54"/>
        <v>ORINOQUIA</v>
      </c>
      <c r="I1157" s="6">
        <f t="shared" si="55"/>
        <v>149732.64864864864</v>
      </c>
      <c r="J1157" s="47">
        <f t="shared" si="56"/>
        <v>149732.64864864864</v>
      </c>
    </row>
    <row r="1158" spans="1:10">
      <c r="A1158" s="29" t="s">
        <v>3846</v>
      </c>
      <c r="B1158" s="53" t="s">
        <v>249</v>
      </c>
      <c r="C1158" s="53" t="s">
        <v>4116</v>
      </c>
      <c r="D1158" s="53" t="s">
        <v>172</v>
      </c>
      <c r="E1158" s="36">
        <v>149732.64864864864</v>
      </c>
      <c r="F1158" s="53" t="s">
        <v>4073</v>
      </c>
      <c r="H1158" s="47" t="str">
        <f t="shared" si="54"/>
        <v>PACIFICO</v>
      </c>
      <c r="I1158" s="6">
        <f t="shared" si="55"/>
        <v>149732.64864864864</v>
      </c>
      <c r="J1158" s="47">
        <f t="shared" si="56"/>
        <v>149732.64864864864</v>
      </c>
    </row>
    <row r="1159" spans="1:10">
      <c r="A1159" s="29" t="s">
        <v>3847</v>
      </c>
      <c r="B1159" s="53" t="s">
        <v>249</v>
      </c>
      <c r="C1159" s="53" t="s">
        <v>4116</v>
      </c>
      <c r="D1159" s="53" t="s">
        <v>172</v>
      </c>
      <c r="E1159" s="36">
        <v>149732.64864864864</v>
      </c>
      <c r="F1159" s="53" t="s">
        <v>4073</v>
      </c>
      <c r="H1159" s="47" t="str">
        <f t="shared" si="54"/>
        <v>ANDINA</v>
      </c>
      <c r="I1159" s="6">
        <f t="shared" si="55"/>
        <v>150439.62084641765</v>
      </c>
      <c r="J1159" s="47">
        <f t="shared" si="56"/>
        <v>150439.62084641765</v>
      </c>
    </row>
    <row r="1160" spans="1:10">
      <c r="A1160" s="29" t="s">
        <v>3848</v>
      </c>
      <c r="B1160" s="53" t="s">
        <v>249</v>
      </c>
      <c r="C1160" s="53" t="s">
        <v>4116</v>
      </c>
      <c r="D1160" s="53" t="s">
        <v>172</v>
      </c>
      <c r="E1160" s="36">
        <v>149732.64864864864</v>
      </c>
      <c r="F1160" s="53" t="s">
        <v>4073</v>
      </c>
      <c r="H1160" s="47" t="str">
        <f t="shared" si="54"/>
        <v>AMAZONIA</v>
      </c>
      <c r="I1160" s="6">
        <f t="shared" si="55"/>
        <v>149732.64864864864</v>
      </c>
      <c r="J1160" s="47">
        <f t="shared" si="56"/>
        <v>149732.64864864864</v>
      </c>
    </row>
    <row r="1161" spans="1:10">
      <c r="A1161" s="29" t="s">
        <v>3849</v>
      </c>
      <c r="B1161" s="53" t="s">
        <v>249</v>
      </c>
      <c r="C1161" s="53" t="s">
        <v>4116</v>
      </c>
      <c r="D1161" s="53" t="s">
        <v>172</v>
      </c>
      <c r="E1161" s="36">
        <v>149732.64864864864</v>
      </c>
      <c r="F1161" s="53" t="s">
        <v>4073</v>
      </c>
      <c r="H1161" s="47" t="str">
        <f t="shared" si="54"/>
        <v>ANDINA</v>
      </c>
      <c r="I1161" s="6">
        <f t="shared" si="55"/>
        <v>150439.62084641765</v>
      </c>
      <c r="J1161" s="47">
        <f t="shared" si="56"/>
        <v>150439.62084641765</v>
      </c>
    </row>
    <row r="1162" spans="1:10">
      <c r="A1162" s="29" t="s">
        <v>3850</v>
      </c>
      <c r="B1162" s="53" t="s">
        <v>249</v>
      </c>
      <c r="C1162" s="53" t="s">
        <v>4116</v>
      </c>
      <c r="D1162" s="53" t="s">
        <v>172</v>
      </c>
      <c r="E1162" s="36">
        <v>149732.64864864864</v>
      </c>
      <c r="F1162" s="53" t="s">
        <v>4073</v>
      </c>
      <c r="H1162" s="47" t="str">
        <f t="shared" si="54"/>
        <v>ANDINA</v>
      </c>
      <c r="I1162" s="6">
        <f t="shared" si="55"/>
        <v>150439.62084641765</v>
      </c>
      <c r="J1162" s="47">
        <f t="shared" si="56"/>
        <v>150439.62084641765</v>
      </c>
    </row>
    <row r="1163" spans="1:10">
      <c r="A1163" s="29" t="s">
        <v>3851</v>
      </c>
      <c r="B1163" s="53" t="s">
        <v>249</v>
      </c>
      <c r="C1163" s="53" t="s">
        <v>4116</v>
      </c>
      <c r="D1163" s="53" t="s">
        <v>172</v>
      </c>
      <c r="E1163" s="36">
        <v>157881.81818181818</v>
      </c>
      <c r="F1163" s="53" t="s">
        <v>4074</v>
      </c>
      <c r="H1163" s="47" t="str">
        <f t="shared" si="54"/>
        <v>ANDINA</v>
      </c>
      <c r="I1163" s="6">
        <f t="shared" si="55"/>
        <v>157881.81818181818</v>
      </c>
      <c r="J1163" s="47">
        <f t="shared" si="56"/>
        <v>157881.81818181818</v>
      </c>
    </row>
    <row r="1164" spans="1:10">
      <c r="A1164" s="29" t="s">
        <v>3853</v>
      </c>
      <c r="B1164" s="53" t="s">
        <v>249</v>
      </c>
      <c r="C1164" s="53" t="s">
        <v>4116</v>
      </c>
      <c r="D1164" s="53" t="s">
        <v>172</v>
      </c>
      <c r="E1164" s="36">
        <v>149732.64864864864</v>
      </c>
      <c r="F1164" s="53" t="s">
        <v>4073</v>
      </c>
      <c r="H1164" s="47" t="str">
        <f t="shared" si="54"/>
        <v>ANDINA</v>
      </c>
      <c r="I1164" s="6">
        <f t="shared" si="55"/>
        <v>150439.62084641765</v>
      </c>
      <c r="J1164" s="47">
        <f t="shared" si="56"/>
        <v>150439.62084641765</v>
      </c>
    </row>
    <row r="1165" spans="1:10">
      <c r="A1165" s="29" t="s">
        <v>3854</v>
      </c>
      <c r="B1165" s="53" t="s">
        <v>249</v>
      </c>
      <c r="C1165" s="53" t="s">
        <v>4116</v>
      </c>
      <c r="D1165" s="53" t="s">
        <v>172</v>
      </c>
      <c r="E1165" s="36">
        <v>149732.64864864864</v>
      </c>
      <c r="F1165" s="53" t="s">
        <v>4073</v>
      </c>
      <c r="H1165" s="47" t="str">
        <f t="shared" si="54"/>
        <v>PACIFICO</v>
      </c>
      <c r="I1165" s="6">
        <f t="shared" si="55"/>
        <v>149732.64864864864</v>
      </c>
      <c r="J1165" s="47">
        <f t="shared" si="56"/>
        <v>149732.64864864864</v>
      </c>
    </row>
    <row r="1166" spans="1:10">
      <c r="A1166" s="29" t="s">
        <v>4076</v>
      </c>
      <c r="B1166" s="53" t="s">
        <v>249</v>
      </c>
      <c r="C1166" s="53" t="s">
        <v>4116</v>
      </c>
      <c r="D1166" s="53" t="s">
        <v>172</v>
      </c>
      <c r="E1166" s="36">
        <v>149732.64864864864</v>
      </c>
      <c r="F1166" s="53" t="s">
        <v>4073</v>
      </c>
      <c r="H1166" s="47" t="str">
        <f t="shared" si="54"/>
        <v>AMAZONIA</v>
      </c>
      <c r="I1166" s="6">
        <f t="shared" si="55"/>
        <v>149732.64864864864</v>
      </c>
      <c r="J1166" s="47">
        <f t="shared" si="56"/>
        <v>149732.64864864864</v>
      </c>
    </row>
    <row r="1167" spans="1:10">
      <c r="A1167" s="29" t="s">
        <v>3831</v>
      </c>
      <c r="B1167" s="53" t="s">
        <v>249</v>
      </c>
      <c r="C1167" s="53" t="s">
        <v>4134</v>
      </c>
      <c r="D1167" s="53" t="s">
        <v>172</v>
      </c>
      <c r="E1167" s="36">
        <v>135758.97435898206</v>
      </c>
      <c r="F1167" s="53" t="s">
        <v>4074</v>
      </c>
      <c r="H1167" s="47" t="str">
        <f t="shared" si="54"/>
        <v>ANDINA</v>
      </c>
      <c r="I1167" s="6">
        <f t="shared" si="55"/>
        <v>135758.97435898206</v>
      </c>
      <c r="J1167" s="47">
        <f t="shared" si="56"/>
        <v>135758.97435898206</v>
      </c>
    </row>
    <row r="1168" spans="1:10">
      <c r="A1168" s="29" t="s">
        <v>4075</v>
      </c>
      <c r="B1168" s="53" t="s">
        <v>249</v>
      </c>
      <c r="C1168" s="53" t="s">
        <v>4134</v>
      </c>
      <c r="D1168" s="53" t="s">
        <v>172</v>
      </c>
      <c r="E1168" s="36">
        <v>150231.47916666666</v>
      </c>
      <c r="F1168" s="53" t="s">
        <v>4074</v>
      </c>
      <c r="H1168" s="47" t="str">
        <f t="shared" si="54"/>
        <v>ANDINA</v>
      </c>
      <c r="I1168" s="6">
        <f t="shared" si="55"/>
        <v>150231.47916666666</v>
      </c>
      <c r="J1168" s="47">
        <f t="shared" si="56"/>
        <v>150231.47916666666</v>
      </c>
    </row>
    <row r="1169" spans="1:12">
      <c r="A1169" s="29" t="s">
        <v>3835</v>
      </c>
      <c r="B1169" s="53" t="s">
        <v>249</v>
      </c>
      <c r="C1169" s="53" t="s">
        <v>4134</v>
      </c>
      <c r="D1169" s="53" t="s">
        <v>172</v>
      </c>
      <c r="E1169" s="36">
        <v>147711.87105263578</v>
      </c>
      <c r="F1169" s="53" t="s">
        <v>4073</v>
      </c>
      <c r="H1169" s="47" t="str">
        <f t="shared" si="54"/>
        <v>ANDINA</v>
      </c>
      <c r="I1169" s="6">
        <f t="shared" si="55"/>
        <v>147754.97637532323</v>
      </c>
      <c r="J1169" s="47">
        <f t="shared" si="56"/>
        <v>147754.97637532323</v>
      </c>
    </row>
    <row r="1170" spans="1:12">
      <c r="A1170" s="29" t="s">
        <v>3836</v>
      </c>
      <c r="B1170" s="53" t="s">
        <v>249</v>
      </c>
      <c r="C1170" s="53" t="s">
        <v>4134</v>
      </c>
      <c r="D1170" s="53" t="s">
        <v>172</v>
      </c>
      <c r="E1170" s="36">
        <v>147711.87105263578</v>
      </c>
      <c r="F1170" s="53" t="s">
        <v>4073</v>
      </c>
      <c r="H1170" s="47" t="str">
        <f t="shared" si="54"/>
        <v>ANDINA</v>
      </c>
      <c r="I1170" s="6">
        <f t="shared" si="55"/>
        <v>147754.97637532323</v>
      </c>
      <c r="J1170" s="47">
        <f t="shared" si="56"/>
        <v>147754.97637532323</v>
      </c>
    </row>
    <row r="1171" spans="1:12">
      <c r="A1171" s="29" t="s">
        <v>3837</v>
      </c>
      <c r="B1171" s="53" t="s">
        <v>249</v>
      </c>
      <c r="C1171" s="53" t="s">
        <v>4134</v>
      </c>
      <c r="D1171" s="53" t="s">
        <v>172</v>
      </c>
      <c r="E1171" s="36">
        <v>147711.87105263578</v>
      </c>
      <c r="F1171" s="53" t="s">
        <v>4073</v>
      </c>
      <c r="H1171" s="47" t="str">
        <f t="shared" si="54"/>
        <v>AMAZONIA</v>
      </c>
      <c r="I1171" s="6">
        <f t="shared" si="55"/>
        <v>147711.87105263578</v>
      </c>
      <c r="J1171" s="47">
        <f t="shared" si="56"/>
        <v>147711.87105263578</v>
      </c>
    </row>
    <row r="1172" spans="1:12">
      <c r="A1172" s="29" t="s">
        <v>3838</v>
      </c>
      <c r="B1172" s="53" t="s">
        <v>249</v>
      </c>
      <c r="C1172" s="53" t="s">
        <v>4134</v>
      </c>
      <c r="D1172" s="53" t="s">
        <v>172</v>
      </c>
      <c r="E1172" s="36">
        <v>147711.87105263578</v>
      </c>
      <c r="F1172" s="53" t="s">
        <v>4073</v>
      </c>
      <c r="H1172" s="47" t="str">
        <f t="shared" si="54"/>
        <v>ORINOQUIA</v>
      </c>
      <c r="I1172" s="6">
        <f t="shared" si="55"/>
        <v>147711.87105263578</v>
      </c>
      <c r="J1172" s="47">
        <f t="shared" si="56"/>
        <v>147711.87105263578</v>
      </c>
    </row>
    <row r="1173" spans="1:12">
      <c r="A1173" s="29" t="s">
        <v>3839</v>
      </c>
      <c r="B1173" s="53" t="s">
        <v>249</v>
      </c>
      <c r="C1173" s="53" t="s">
        <v>4134</v>
      </c>
      <c r="D1173" s="53" t="s">
        <v>172</v>
      </c>
      <c r="E1173" s="36">
        <v>147711.87105263578</v>
      </c>
      <c r="F1173" s="53" t="s">
        <v>4073</v>
      </c>
      <c r="H1173" s="47" t="str">
        <f t="shared" si="54"/>
        <v>PACIFICO</v>
      </c>
      <c r="I1173" s="6">
        <f t="shared" si="55"/>
        <v>147711.87105263578</v>
      </c>
      <c r="J1173" s="47">
        <f t="shared" si="56"/>
        <v>147711.87105263578</v>
      </c>
    </row>
    <row r="1174" spans="1:12">
      <c r="A1174" s="29" t="s">
        <v>3840</v>
      </c>
      <c r="B1174" s="53" t="s">
        <v>249</v>
      </c>
      <c r="C1174" s="53" t="s">
        <v>4134</v>
      </c>
      <c r="D1174" s="53" t="s">
        <v>172</v>
      </c>
      <c r="E1174" s="36">
        <v>147711.87105263578</v>
      </c>
      <c r="F1174" s="53" t="s">
        <v>4073</v>
      </c>
      <c r="H1174" s="47" t="str">
        <f t="shared" si="54"/>
        <v>CARIBE</v>
      </c>
      <c r="I1174" s="6">
        <f t="shared" si="55"/>
        <v>147711.87105263578</v>
      </c>
      <c r="J1174" s="47">
        <f t="shared" si="56"/>
        <v>147711.87105263578</v>
      </c>
      <c r="L1174" s="2"/>
    </row>
    <row r="1175" spans="1:12">
      <c r="A1175" s="29" t="s">
        <v>3841</v>
      </c>
      <c r="B1175" s="53" t="s">
        <v>249</v>
      </c>
      <c r="C1175" s="53" t="s">
        <v>4134</v>
      </c>
      <c r="D1175" s="53" t="s">
        <v>172</v>
      </c>
      <c r="E1175" s="36">
        <v>147711.87105263578</v>
      </c>
      <c r="F1175" s="53" t="s">
        <v>4073</v>
      </c>
      <c r="H1175" s="47" t="str">
        <f t="shared" si="54"/>
        <v>CARIBE</v>
      </c>
      <c r="I1175" s="6">
        <f t="shared" si="55"/>
        <v>147711.87105263578</v>
      </c>
      <c r="J1175" s="47">
        <f t="shared" si="56"/>
        <v>147711.87105263578</v>
      </c>
    </row>
    <row r="1176" spans="1:12">
      <c r="A1176" s="29" t="s">
        <v>3842</v>
      </c>
      <c r="B1176" s="53" t="s">
        <v>249</v>
      </c>
      <c r="C1176" s="53" t="s">
        <v>4134</v>
      </c>
      <c r="D1176" s="53" t="s">
        <v>172</v>
      </c>
      <c r="E1176" s="36">
        <v>157619.31818182045</v>
      </c>
      <c r="F1176" s="53" t="s">
        <v>4074</v>
      </c>
      <c r="H1176" s="47" t="str">
        <f t="shared" si="54"/>
        <v>ANDINA</v>
      </c>
      <c r="I1176" s="6">
        <f t="shared" si="55"/>
        <v>157619.31818182045</v>
      </c>
      <c r="J1176" s="47">
        <f t="shared" si="56"/>
        <v>157619.31818182045</v>
      </c>
    </row>
    <row r="1177" spans="1:12">
      <c r="A1177" s="29" t="s">
        <v>3843</v>
      </c>
      <c r="B1177" s="53" t="s">
        <v>249</v>
      </c>
      <c r="C1177" s="53" t="s">
        <v>4134</v>
      </c>
      <c r="D1177" s="53" t="s">
        <v>172</v>
      </c>
      <c r="E1177" s="36">
        <v>147711.87105263578</v>
      </c>
      <c r="F1177" s="53" t="s">
        <v>4073</v>
      </c>
      <c r="H1177" s="47" t="str">
        <f t="shared" si="54"/>
        <v>ANDINA</v>
      </c>
      <c r="I1177" s="6">
        <f t="shared" si="55"/>
        <v>147754.97637532323</v>
      </c>
      <c r="J1177" s="47">
        <f t="shared" si="56"/>
        <v>147754.97637532323</v>
      </c>
    </row>
    <row r="1178" spans="1:12">
      <c r="A1178" s="29" t="s">
        <v>3845</v>
      </c>
      <c r="B1178" s="53" t="s">
        <v>249</v>
      </c>
      <c r="C1178" s="53" t="s">
        <v>4134</v>
      </c>
      <c r="D1178" s="53" t="s">
        <v>172</v>
      </c>
      <c r="E1178" s="36">
        <v>147711.87105263578</v>
      </c>
      <c r="F1178" s="53" t="s">
        <v>4073</v>
      </c>
      <c r="H1178" s="47" t="str">
        <f t="shared" si="54"/>
        <v>ORINOQUIA</v>
      </c>
      <c r="I1178" s="6">
        <f t="shared" si="55"/>
        <v>147711.87105263578</v>
      </c>
      <c r="J1178" s="47">
        <f t="shared" si="56"/>
        <v>147711.87105263578</v>
      </c>
    </row>
    <row r="1179" spans="1:12">
      <c r="A1179" s="29" t="s">
        <v>3846</v>
      </c>
      <c r="B1179" s="53" t="s">
        <v>249</v>
      </c>
      <c r="C1179" s="53" t="s">
        <v>4134</v>
      </c>
      <c r="D1179" s="53" t="s">
        <v>172</v>
      </c>
      <c r="E1179" s="36">
        <v>147711.87105263578</v>
      </c>
      <c r="F1179" s="53" t="s">
        <v>4073</v>
      </c>
      <c r="H1179" s="47" t="str">
        <f t="shared" si="54"/>
        <v>PACIFICO</v>
      </c>
      <c r="I1179" s="6">
        <f t="shared" si="55"/>
        <v>147711.87105263578</v>
      </c>
      <c r="J1179" s="47">
        <f t="shared" si="56"/>
        <v>147711.87105263578</v>
      </c>
    </row>
    <row r="1180" spans="1:12">
      <c r="A1180" s="29" t="s">
        <v>3847</v>
      </c>
      <c r="B1180" s="53" t="s">
        <v>249</v>
      </c>
      <c r="C1180" s="53" t="s">
        <v>4134</v>
      </c>
      <c r="D1180" s="53" t="s">
        <v>172</v>
      </c>
      <c r="E1180" s="36">
        <v>147711.87105263578</v>
      </c>
      <c r="F1180" s="53" t="s">
        <v>4073</v>
      </c>
      <c r="H1180" s="47" t="str">
        <f t="shared" si="54"/>
        <v>ANDINA</v>
      </c>
      <c r="I1180" s="6">
        <f t="shared" si="55"/>
        <v>147754.97637532323</v>
      </c>
      <c r="J1180" s="47">
        <f t="shared" si="56"/>
        <v>147754.97637532323</v>
      </c>
    </row>
    <row r="1181" spans="1:12">
      <c r="A1181" s="29" t="s">
        <v>3848</v>
      </c>
      <c r="B1181" s="53" t="s">
        <v>249</v>
      </c>
      <c r="C1181" s="53" t="s">
        <v>4134</v>
      </c>
      <c r="D1181" s="53" t="s">
        <v>172</v>
      </c>
      <c r="E1181" s="36">
        <v>147711.87105263578</v>
      </c>
      <c r="F1181" s="53" t="s">
        <v>4073</v>
      </c>
      <c r="H1181" s="47" t="str">
        <f t="shared" si="54"/>
        <v>AMAZONIA</v>
      </c>
      <c r="I1181" s="6">
        <f t="shared" si="55"/>
        <v>147711.87105263578</v>
      </c>
      <c r="J1181" s="47">
        <f t="shared" si="56"/>
        <v>147711.87105263578</v>
      </c>
    </row>
    <row r="1182" spans="1:12">
      <c r="A1182" s="29" t="s">
        <v>3849</v>
      </c>
      <c r="B1182" s="53" t="s">
        <v>249</v>
      </c>
      <c r="C1182" s="53" t="s">
        <v>4134</v>
      </c>
      <c r="D1182" s="53" t="s">
        <v>172</v>
      </c>
      <c r="E1182" s="36">
        <v>147711.87105263578</v>
      </c>
      <c r="F1182" s="53" t="s">
        <v>4073</v>
      </c>
      <c r="H1182" s="47" t="str">
        <f t="shared" si="54"/>
        <v>ANDINA</v>
      </c>
      <c r="I1182" s="6">
        <f t="shared" si="55"/>
        <v>147754.97637532323</v>
      </c>
      <c r="J1182" s="47">
        <f t="shared" si="56"/>
        <v>147754.97637532323</v>
      </c>
    </row>
    <row r="1183" spans="1:12">
      <c r="A1183" s="29" t="s">
        <v>3850</v>
      </c>
      <c r="B1183" s="53" t="s">
        <v>249</v>
      </c>
      <c r="C1183" s="53" t="s">
        <v>4134</v>
      </c>
      <c r="D1183" s="53" t="s">
        <v>172</v>
      </c>
      <c r="E1183" s="36">
        <v>147711.87105263578</v>
      </c>
      <c r="F1183" s="53" t="s">
        <v>4073</v>
      </c>
      <c r="H1183" s="47" t="str">
        <f t="shared" si="54"/>
        <v>ANDINA</v>
      </c>
      <c r="I1183" s="6">
        <f t="shared" si="55"/>
        <v>147754.97637532323</v>
      </c>
      <c r="J1183" s="47">
        <f t="shared" si="56"/>
        <v>147754.97637532323</v>
      </c>
    </row>
    <row r="1184" spans="1:12">
      <c r="A1184" s="29" t="s">
        <v>3851</v>
      </c>
      <c r="B1184" s="53" t="s">
        <v>249</v>
      </c>
      <c r="C1184" s="53" t="s">
        <v>4134</v>
      </c>
      <c r="D1184" s="53" t="s">
        <v>172</v>
      </c>
      <c r="E1184" s="36">
        <v>147711.87105263578</v>
      </c>
      <c r="F1184" s="53" t="s">
        <v>4073</v>
      </c>
      <c r="H1184" s="47" t="str">
        <f t="shared" si="54"/>
        <v>ANDINA</v>
      </c>
      <c r="I1184" s="6">
        <f t="shared" si="55"/>
        <v>147754.97637532323</v>
      </c>
      <c r="J1184" s="47">
        <f t="shared" si="56"/>
        <v>147754.97637532323</v>
      </c>
    </row>
    <row r="1185" spans="1:12">
      <c r="A1185" s="29" t="s">
        <v>3853</v>
      </c>
      <c r="B1185" s="53" t="s">
        <v>249</v>
      </c>
      <c r="C1185" s="53" t="s">
        <v>4134</v>
      </c>
      <c r="D1185" s="53" t="s">
        <v>172</v>
      </c>
      <c r="E1185" s="36">
        <v>147711.87105263578</v>
      </c>
      <c r="F1185" s="53" t="s">
        <v>4073</v>
      </c>
      <c r="H1185" s="47" t="str">
        <f t="shared" si="54"/>
        <v>ANDINA</v>
      </c>
      <c r="I1185" s="6">
        <f t="shared" si="55"/>
        <v>147754.97637532323</v>
      </c>
      <c r="J1185" s="47">
        <f t="shared" si="56"/>
        <v>147754.97637532323</v>
      </c>
    </row>
    <row r="1186" spans="1:12">
      <c r="A1186" s="29" t="s">
        <v>3854</v>
      </c>
      <c r="B1186" s="53" t="s">
        <v>249</v>
      </c>
      <c r="C1186" s="53" t="s">
        <v>4134</v>
      </c>
      <c r="D1186" s="53" t="s">
        <v>172</v>
      </c>
      <c r="E1186" s="36">
        <v>147711.87105263578</v>
      </c>
      <c r="F1186" s="53" t="s">
        <v>4073</v>
      </c>
      <c r="H1186" s="47" t="str">
        <f t="shared" si="54"/>
        <v>PACIFICO</v>
      </c>
      <c r="I1186" s="6">
        <f t="shared" si="55"/>
        <v>147711.87105263578</v>
      </c>
      <c r="J1186" s="47">
        <f t="shared" si="56"/>
        <v>147711.87105263578</v>
      </c>
    </row>
    <row r="1187" spans="1:12">
      <c r="A1187" s="29" t="s">
        <v>4076</v>
      </c>
      <c r="B1187" s="53" t="s">
        <v>249</v>
      </c>
      <c r="C1187" s="53" t="s">
        <v>4134</v>
      </c>
      <c r="D1187" s="53" t="s">
        <v>172</v>
      </c>
      <c r="E1187" s="36">
        <v>147711.87105263578</v>
      </c>
      <c r="F1187" s="53" t="s">
        <v>4073</v>
      </c>
      <c r="H1187" s="47" t="str">
        <f t="shared" si="54"/>
        <v>AMAZONIA</v>
      </c>
      <c r="I1187" s="6">
        <f t="shared" si="55"/>
        <v>147711.87105263578</v>
      </c>
      <c r="J1187" s="47">
        <f t="shared" si="56"/>
        <v>147711.87105263578</v>
      </c>
    </row>
    <row r="1188" spans="1:12">
      <c r="A1188" s="29" t="s">
        <v>3831</v>
      </c>
      <c r="B1188" s="53" t="s">
        <v>249</v>
      </c>
      <c r="C1188" s="53" t="s">
        <v>4135</v>
      </c>
      <c r="D1188" s="53" t="s">
        <v>226</v>
      </c>
      <c r="E1188" s="36">
        <v>76550</v>
      </c>
      <c r="F1188" s="53" t="s">
        <v>4074</v>
      </c>
      <c r="H1188" s="47" t="str">
        <f t="shared" si="54"/>
        <v>ANDINA</v>
      </c>
      <c r="I1188" s="6">
        <f t="shared" si="55"/>
        <v>76550</v>
      </c>
      <c r="J1188" s="47">
        <f t="shared" si="56"/>
        <v>76550</v>
      </c>
    </row>
    <row r="1189" spans="1:12">
      <c r="A1189" s="29" t="s">
        <v>4075</v>
      </c>
      <c r="B1189" s="53" t="s">
        <v>249</v>
      </c>
      <c r="C1189" s="53" t="s">
        <v>4135</v>
      </c>
      <c r="D1189" s="53" t="s">
        <v>226</v>
      </c>
      <c r="E1189" s="36">
        <v>76550</v>
      </c>
      <c r="F1189" s="53" t="s">
        <v>4073</v>
      </c>
      <c r="H1189" s="47" t="str">
        <f t="shared" si="54"/>
        <v>ANDINA</v>
      </c>
      <c r="I1189" s="6">
        <f t="shared" si="55"/>
        <v>76550</v>
      </c>
      <c r="J1189" s="47">
        <f t="shared" si="56"/>
        <v>76550</v>
      </c>
      <c r="L1189" s="2"/>
    </row>
    <row r="1190" spans="1:12">
      <c r="A1190" s="29" t="s">
        <v>3835</v>
      </c>
      <c r="B1190" s="53" t="s">
        <v>249</v>
      </c>
      <c r="C1190" s="53" t="s">
        <v>4135</v>
      </c>
      <c r="D1190" s="53" t="s">
        <v>226</v>
      </c>
      <c r="E1190" s="36">
        <v>76550</v>
      </c>
      <c r="F1190" s="53" t="s">
        <v>4073</v>
      </c>
      <c r="H1190" s="47" t="str">
        <f t="shared" si="54"/>
        <v>ANDINA</v>
      </c>
      <c r="I1190" s="6">
        <f t="shared" si="55"/>
        <v>76550</v>
      </c>
      <c r="J1190" s="47">
        <f t="shared" si="56"/>
        <v>76550</v>
      </c>
    </row>
    <row r="1191" spans="1:12">
      <c r="A1191" s="29" t="s">
        <v>3836</v>
      </c>
      <c r="B1191" s="53" t="s">
        <v>249</v>
      </c>
      <c r="C1191" s="53" t="s">
        <v>4135</v>
      </c>
      <c r="D1191" s="53" t="s">
        <v>226</v>
      </c>
      <c r="E1191" s="36">
        <v>76550</v>
      </c>
      <c r="F1191" s="53" t="s">
        <v>4073</v>
      </c>
      <c r="H1191" s="47" t="str">
        <f t="shared" si="54"/>
        <v>ANDINA</v>
      </c>
      <c r="I1191" s="6">
        <f t="shared" si="55"/>
        <v>76550</v>
      </c>
      <c r="J1191" s="47">
        <f t="shared" si="56"/>
        <v>76550</v>
      </c>
    </row>
    <row r="1192" spans="1:12">
      <c r="A1192" s="29" t="s">
        <v>3837</v>
      </c>
      <c r="B1192" s="53" t="s">
        <v>249</v>
      </c>
      <c r="C1192" s="53" t="s">
        <v>4135</v>
      </c>
      <c r="D1192" s="53" t="s">
        <v>226</v>
      </c>
      <c r="E1192" s="36">
        <v>76550</v>
      </c>
      <c r="F1192" s="53" t="s">
        <v>4073</v>
      </c>
      <c r="H1192" s="47" t="str">
        <f t="shared" si="54"/>
        <v>AMAZONIA</v>
      </c>
      <c r="I1192" s="6">
        <f t="shared" si="55"/>
        <v>76550</v>
      </c>
      <c r="J1192" s="47">
        <f t="shared" si="56"/>
        <v>76550</v>
      </c>
    </row>
    <row r="1193" spans="1:12">
      <c r="A1193" s="29" t="s">
        <v>3838</v>
      </c>
      <c r="B1193" s="53" t="s">
        <v>249</v>
      </c>
      <c r="C1193" s="53" t="s">
        <v>4135</v>
      </c>
      <c r="D1193" s="53" t="s">
        <v>226</v>
      </c>
      <c r="E1193" s="36">
        <v>76550</v>
      </c>
      <c r="F1193" s="53" t="s">
        <v>4073</v>
      </c>
      <c r="H1193" s="47" t="str">
        <f t="shared" si="54"/>
        <v>ORINOQUIA</v>
      </c>
      <c r="I1193" s="6">
        <f t="shared" si="55"/>
        <v>76550</v>
      </c>
      <c r="J1193" s="47">
        <f t="shared" si="56"/>
        <v>76550</v>
      </c>
    </row>
    <row r="1194" spans="1:12">
      <c r="A1194" s="29" t="s">
        <v>3839</v>
      </c>
      <c r="B1194" s="53" t="s">
        <v>249</v>
      </c>
      <c r="C1194" s="53" t="s">
        <v>4135</v>
      </c>
      <c r="D1194" s="53" t="s">
        <v>226</v>
      </c>
      <c r="E1194" s="36">
        <v>76550</v>
      </c>
      <c r="F1194" s="53" t="s">
        <v>4073</v>
      </c>
      <c r="H1194" s="47" t="str">
        <f t="shared" si="54"/>
        <v>PACIFICO</v>
      </c>
      <c r="I1194" s="6">
        <f t="shared" si="55"/>
        <v>76550</v>
      </c>
      <c r="J1194" s="47">
        <f t="shared" si="56"/>
        <v>76550</v>
      </c>
    </row>
    <row r="1195" spans="1:12">
      <c r="A1195" s="29" t="s">
        <v>3840</v>
      </c>
      <c r="B1195" s="53" t="s">
        <v>249</v>
      </c>
      <c r="C1195" s="53" t="s">
        <v>4135</v>
      </c>
      <c r="D1195" s="53" t="s">
        <v>226</v>
      </c>
      <c r="E1195" s="36">
        <v>76550</v>
      </c>
      <c r="F1195" s="53" t="s">
        <v>4073</v>
      </c>
      <c r="H1195" s="47" t="str">
        <f t="shared" si="54"/>
        <v>CARIBE</v>
      </c>
      <c r="I1195" s="6">
        <f t="shared" si="55"/>
        <v>76550</v>
      </c>
      <c r="J1195" s="47">
        <f t="shared" si="56"/>
        <v>76550</v>
      </c>
    </row>
    <row r="1196" spans="1:12">
      <c r="A1196" s="29" t="s">
        <v>3841</v>
      </c>
      <c r="B1196" s="53" t="s">
        <v>249</v>
      </c>
      <c r="C1196" s="53" t="s">
        <v>4135</v>
      </c>
      <c r="D1196" s="53" t="s">
        <v>226</v>
      </c>
      <c r="E1196" s="36">
        <v>76550</v>
      </c>
      <c r="F1196" s="53" t="s">
        <v>4073</v>
      </c>
      <c r="H1196" s="47" t="str">
        <f t="shared" si="54"/>
        <v>CARIBE</v>
      </c>
      <c r="I1196" s="6">
        <f t="shared" si="55"/>
        <v>76550</v>
      </c>
      <c r="J1196" s="47">
        <f t="shared" si="56"/>
        <v>76550</v>
      </c>
    </row>
    <row r="1197" spans="1:12">
      <c r="A1197" s="29" t="s">
        <v>3842</v>
      </c>
      <c r="B1197" s="53" t="s">
        <v>249</v>
      </c>
      <c r="C1197" s="53" t="s">
        <v>4135</v>
      </c>
      <c r="D1197" s="53" t="s">
        <v>226</v>
      </c>
      <c r="E1197" s="36">
        <v>76550</v>
      </c>
      <c r="F1197" s="53" t="s">
        <v>4073</v>
      </c>
      <c r="H1197" s="47" t="str">
        <f t="shared" si="54"/>
        <v>ANDINA</v>
      </c>
      <c r="I1197" s="6">
        <f t="shared" si="55"/>
        <v>76550</v>
      </c>
      <c r="J1197" s="47">
        <f t="shared" si="56"/>
        <v>76550</v>
      </c>
    </row>
    <row r="1198" spans="1:12">
      <c r="A1198" s="29" t="s">
        <v>3843</v>
      </c>
      <c r="B1198" s="53" t="s">
        <v>249</v>
      </c>
      <c r="C1198" s="53" t="s">
        <v>4135</v>
      </c>
      <c r="D1198" s="53" t="s">
        <v>226</v>
      </c>
      <c r="E1198" s="36">
        <v>76550</v>
      </c>
      <c r="F1198" s="53" t="s">
        <v>4073</v>
      </c>
      <c r="H1198" s="47" t="str">
        <f t="shared" si="54"/>
        <v>ANDINA</v>
      </c>
      <c r="I1198" s="6">
        <f t="shared" si="55"/>
        <v>76550</v>
      </c>
      <c r="J1198" s="47">
        <f t="shared" si="56"/>
        <v>76550</v>
      </c>
    </row>
    <row r="1199" spans="1:12">
      <c r="A1199" s="29" t="s">
        <v>3845</v>
      </c>
      <c r="B1199" s="53" t="s">
        <v>249</v>
      </c>
      <c r="C1199" s="53" t="s">
        <v>4135</v>
      </c>
      <c r="D1199" s="53" t="s">
        <v>226</v>
      </c>
      <c r="E1199" s="36">
        <v>76550</v>
      </c>
      <c r="F1199" s="53" t="s">
        <v>4073</v>
      </c>
      <c r="H1199" s="47" t="str">
        <f t="shared" si="54"/>
        <v>ORINOQUIA</v>
      </c>
      <c r="I1199" s="6">
        <f t="shared" si="55"/>
        <v>76550</v>
      </c>
      <c r="J1199" s="47">
        <f t="shared" si="56"/>
        <v>76550</v>
      </c>
    </row>
    <row r="1200" spans="1:12">
      <c r="A1200" s="29" t="s">
        <v>3846</v>
      </c>
      <c r="B1200" s="53" t="s">
        <v>249</v>
      </c>
      <c r="C1200" s="53" t="s">
        <v>4135</v>
      </c>
      <c r="D1200" s="53" t="s">
        <v>226</v>
      </c>
      <c r="E1200" s="36">
        <v>76550</v>
      </c>
      <c r="F1200" s="53" t="s">
        <v>4073</v>
      </c>
      <c r="H1200" s="47" t="str">
        <f t="shared" si="54"/>
        <v>PACIFICO</v>
      </c>
      <c r="I1200" s="6">
        <f t="shared" si="55"/>
        <v>76550</v>
      </c>
      <c r="J1200" s="47">
        <f t="shared" si="56"/>
        <v>76550</v>
      </c>
    </row>
    <row r="1201" spans="1:12">
      <c r="A1201" s="29" t="s">
        <v>3847</v>
      </c>
      <c r="B1201" s="53" t="s">
        <v>249</v>
      </c>
      <c r="C1201" s="53" t="s">
        <v>4135</v>
      </c>
      <c r="D1201" s="53" t="s">
        <v>226</v>
      </c>
      <c r="E1201" s="36">
        <v>76550</v>
      </c>
      <c r="F1201" s="53" t="s">
        <v>4073</v>
      </c>
      <c r="H1201" s="47" t="str">
        <f t="shared" si="54"/>
        <v>ANDINA</v>
      </c>
      <c r="I1201" s="6">
        <f t="shared" si="55"/>
        <v>76550</v>
      </c>
      <c r="J1201" s="47">
        <f t="shared" si="56"/>
        <v>76550</v>
      </c>
    </row>
    <row r="1202" spans="1:12">
      <c r="A1202" s="29" t="s">
        <v>3848</v>
      </c>
      <c r="B1202" s="53" t="s">
        <v>249</v>
      </c>
      <c r="C1202" s="53" t="s">
        <v>4135</v>
      </c>
      <c r="D1202" s="53" t="s">
        <v>226</v>
      </c>
      <c r="E1202" s="36">
        <v>76550</v>
      </c>
      <c r="F1202" s="53" t="s">
        <v>4073</v>
      </c>
      <c r="H1202" s="47" t="str">
        <f t="shared" si="54"/>
        <v>AMAZONIA</v>
      </c>
      <c r="I1202" s="6">
        <f t="shared" si="55"/>
        <v>76550</v>
      </c>
      <c r="J1202" s="47">
        <f t="shared" si="56"/>
        <v>76550</v>
      </c>
    </row>
    <row r="1203" spans="1:12">
      <c r="A1203" s="29" t="s">
        <v>3849</v>
      </c>
      <c r="B1203" s="53" t="s">
        <v>249</v>
      </c>
      <c r="C1203" s="53" t="s">
        <v>4135</v>
      </c>
      <c r="D1203" s="53" t="s">
        <v>226</v>
      </c>
      <c r="E1203" s="36">
        <v>76550</v>
      </c>
      <c r="F1203" s="53" t="s">
        <v>4073</v>
      </c>
      <c r="H1203" s="47" t="str">
        <f t="shared" si="54"/>
        <v>ANDINA</v>
      </c>
      <c r="I1203" s="6">
        <f t="shared" si="55"/>
        <v>76550</v>
      </c>
      <c r="J1203" s="47">
        <f t="shared" si="56"/>
        <v>76550</v>
      </c>
    </row>
    <row r="1204" spans="1:12">
      <c r="A1204" s="29" t="s">
        <v>3850</v>
      </c>
      <c r="B1204" s="53" t="s">
        <v>249</v>
      </c>
      <c r="C1204" s="53" t="s">
        <v>4135</v>
      </c>
      <c r="D1204" s="53" t="s">
        <v>226</v>
      </c>
      <c r="E1204" s="36">
        <v>76550</v>
      </c>
      <c r="F1204" s="53" t="s">
        <v>4073</v>
      </c>
      <c r="H1204" s="47" t="str">
        <f t="shared" si="54"/>
        <v>ANDINA</v>
      </c>
      <c r="I1204" s="6">
        <f t="shared" si="55"/>
        <v>76550</v>
      </c>
      <c r="J1204" s="47">
        <f t="shared" si="56"/>
        <v>76550</v>
      </c>
      <c r="L1204" s="2"/>
    </row>
    <row r="1205" spans="1:12">
      <c r="A1205" s="29" t="s">
        <v>3851</v>
      </c>
      <c r="B1205" s="53" t="s">
        <v>249</v>
      </c>
      <c r="C1205" s="53" t="s">
        <v>4135</v>
      </c>
      <c r="D1205" s="53" t="s">
        <v>226</v>
      </c>
      <c r="E1205" s="36">
        <v>76550</v>
      </c>
      <c r="F1205" s="53" t="s">
        <v>4073</v>
      </c>
      <c r="H1205" s="47" t="str">
        <f t="shared" si="54"/>
        <v>ANDINA</v>
      </c>
      <c r="I1205" s="6">
        <f t="shared" si="55"/>
        <v>76550</v>
      </c>
      <c r="J1205" s="47">
        <f t="shared" si="56"/>
        <v>76550</v>
      </c>
    </row>
    <row r="1206" spans="1:12">
      <c r="A1206" s="29" t="s">
        <v>3853</v>
      </c>
      <c r="B1206" s="53" t="s">
        <v>249</v>
      </c>
      <c r="C1206" s="53" t="s">
        <v>4135</v>
      </c>
      <c r="D1206" s="53" t="s">
        <v>226</v>
      </c>
      <c r="E1206" s="36">
        <v>76550</v>
      </c>
      <c r="F1206" s="53" t="s">
        <v>4073</v>
      </c>
      <c r="H1206" s="47" t="str">
        <f t="shared" si="54"/>
        <v>ANDINA</v>
      </c>
      <c r="I1206" s="6">
        <f t="shared" si="55"/>
        <v>76550</v>
      </c>
      <c r="J1206" s="47">
        <f t="shared" si="56"/>
        <v>76550</v>
      </c>
    </row>
    <row r="1207" spans="1:12">
      <c r="A1207" s="29" t="s">
        <v>3854</v>
      </c>
      <c r="B1207" s="53" t="s">
        <v>249</v>
      </c>
      <c r="C1207" s="53" t="s">
        <v>4135</v>
      </c>
      <c r="D1207" s="53" t="s">
        <v>226</v>
      </c>
      <c r="E1207" s="36">
        <v>76550</v>
      </c>
      <c r="F1207" s="53" t="s">
        <v>4073</v>
      </c>
      <c r="H1207" s="47" t="str">
        <f t="shared" si="54"/>
        <v>PACIFICO</v>
      </c>
      <c r="I1207" s="6">
        <f t="shared" si="55"/>
        <v>76550</v>
      </c>
      <c r="J1207" s="47">
        <f t="shared" si="56"/>
        <v>76550</v>
      </c>
    </row>
    <row r="1208" spans="1:12">
      <c r="A1208" s="29" t="s">
        <v>4076</v>
      </c>
      <c r="B1208" s="53" t="s">
        <v>249</v>
      </c>
      <c r="C1208" s="53" t="s">
        <v>4135</v>
      </c>
      <c r="D1208" s="53" t="s">
        <v>226</v>
      </c>
      <c r="E1208" s="36">
        <v>76550</v>
      </c>
      <c r="F1208" s="53" t="s">
        <v>4073</v>
      </c>
      <c r="H1208" s="47" t="str">
        <f t="shared" si="54"/>
        <v>AMAZONIA</v>
      </c>
      <c r="I1208" s="6">
        <f t="shared" si="55"/>
        <v>76550</v>
      </c>
      <c r="J1208" s="47">
        <f t="shared" si="56"/>
        <v>76550</v>
      </c>
    </row>
    <row r="1209" spans="1:12">
      <c r="A1209" s="29" t="s">
        <v>3831</v>
      </c>
      <c r="B1209" s="53" t="s">
        <v>249</v>
      </c>
      <c r="C1209" s="53" t="s">
        <v>4136</v>
      </c>
      <c r="D1209" s="53" t="s">
        <v>226</v>
      </c>
      <c r="E1209" s="36">
        <v>104990</v>
      </c>
      <c r="F1209" s="53" t="s">
        <v>4073</v>
      </c>
      <c r="H1209" s="47" t="str">
        <f t="shared" si="54"/>
        <v>ANDINA</v>
      </c>
      <c r="I1209" s="6">
        <f t="shared" si="55"/>
        <v>104404.31818181818</v>
      </c>
      <c r="J1209" s="47">
        <f t="shared" si="56"/>
        <v>104404.31818181818</v>
      </c>
    </row>
    <row r="1210" spans="1:12">
      <c r="A1210" s="29" t="s">
        <v>4075</v>
      </c>
      <c r="B1210" s="53" t="s">
        <v>249</v>
      </c>
      <c r="C1210" s="53" t="s">
        <v>4136</v>
      </c>
      <c r="D1210" s="53" t="s">
        <v>226</v>
      </c>
      <c r="E1210" s="36">
        <v>107137.5</v>
      </c>
      <c r="F1210" s="53" t="s">
        <v>4074</v>
      </c>
      <c r="H1210" s="47" t="str">
        <f t="shared" si="54"/>
        <v>ANDINA</v>
      </c>
      <c r="I1210" s="6">
        <f t="shared" si="55"/>
        <v>107137.5</v>
      </c>
      <c r="J1210" s="47">
        <f t="shared" si="56"/>
        <v>107137.5</v>
      </c>
    </row>
    <row r="1211" spans="1:12">
      <c r="A1211" s="29" t="s">
        <v>3835</v>
      </c>
      <c r="B1211" s="53" t="s">
        <v>249</v>
      </c>
      <c r="C1211" s="53" t="s">
        <v>4136</v>
      </c>
      <c r="D1211" s="53" t="s">
        <v>226</v>
      </c>
      <c r="E1211" s="36">
        <v>104990</v>
      </c>
      <c r="F1211" s="53" t="s">
        <v>4073</v>
      </c>
      <c r="H1211" s="47" t="str">
        <f t="shared" si="54"/>
        <v>ANDINA</v>
      </c>
      <c r="I1211" s="6">
        <f t="shared" si="55"/>
        <v>104404.31818181818</v>
      </c>
      <c r="J1211" s="47">
        <f t="shared" si="56"/>
        <v>104404.31818181818</v>
      </c>
    </row>
    <row r="1212" spans="1:12">
      <c r="A1212" s="29" t="s">
        <v>3836</v>
      </c>
      <c r="B1212" s="53" t="s">
        <v>249</v>
      </c>
      <c r="C1212" s="53" t="s">
        <v>4136</v>
      </c>
      <c r="D1212" s="53" t="s">
        <v>226</v>
      </c>
      <c r="E1212" s="36">
        <v>104990</v>
      </c>
      <c r="F1212" s="53" t="s">
        <v>4073</v>
      </c>
      <c r="H1212" s="47" t="str">
        <f t="shared" si="54"/>
        <v>ANDINA</v>
      </c>
      <c r="I1212" s="6">
        <f t="shared" si="55"/>
        <v>104404.31818181818</v>
      </c>
      <c r="J1212" s="47">
        <f t="shared" si="56"/>
        <v>104404.31818181818</v>
      </c>
    </row>
    <row r="1213" spans="1:12">
      <c r="A1213" s="29" t="s">
        <v>3837</v>
      </c>
      <c r="B1213" s="53" t="s">
        <v>249</v>
      </c>
      <c r="C1213" s="53" t="s">
        <v>4136</v>
      </c>
      <c r="D1213" s="53" t="s">
        <v>226</v>
      </c>
      <c r="E1213" s="36">
        <v>104990</v>
      </c>
      <c r="F1213" s="53" t="s">
        <v>4073</v>
      </c>
      <c r="H1213" s="47" t="str">
        <f t="shared" si="54"/>
        <v>AMAZONIA</v>
      </c>
      <c r="I1213" s="6">
        <f t="shared" si="55"/>
        <v>104990</v>
      </c>
      <c r="J1213" s="47">
        <f t="shared" si="56"/>
        <v>104990</v>
      </c>
    </row>
    <row r="1214" spans="1:12">
      <c r="A1214" s="29" t="s">
        <v>3838</v>
      </c>
      <c r="B1214" s="53" t="s">
        <v>249</v>
      </c>
      <c r="C1214" s="53" t="s">
        <v>4136</v>
      </c>
      <c r="D1214" s="53" t="s">
        <v>226</v>
      </c>
      <c r="E1214" s="36">
        <v>104990</v>
      </c>
      <c r="F1214" s="53" t="s">
        <v>4073</v>
      </c>
      <c r="H1214" s="47" t="str">
        <f t="shared" si="54"/>
        <v>ORINOQUIA</v>
      </c>
      <c r="I1214" s="6">
        <f t="shared" si="55"/>
        <v>104990</v>
      </c>
      <c r="J1214" s="47">
        <f t="shared" si="56"/>
        <v>104990</v>
      </c>
    </row>
    <row r="1215" spans="1:12">
      <c r="A1215" s="29" t="s">
        <v>3839</v>
      </c>
      <c r="B1215" s="53" t="s">
        <v>249</v>
      </c>
      <c r="C1215" s="53" t="s">
        <v>4136</v>
      </c>
      <c r="D1215" s="53" t="s">
        <v>226</v>
      </c>
      <c r="E1215" s="36">
        <v>104990</v>
      </c>
      <c r="F1215" s="53" t="s">
        <v>4073</v>
      </c>
      <c r="H1215" s="47" t="str">
        <f t="shared" si="54"/>
        <v>PACIFICO</v>
      </c>
      <c r="I1215" s="6">
        <f t="shared" si="55"/>
        <v>104990</v>
      </c>
      <c r="J1215" s="47">
        <f t="shared" si="56"/>
        <v>104990</v>
      </c>
    </row>
    <row r="1216" spans="1:12">
      <c r="A1216" s="29" t="s">
        <v>3840</v>
      </c>
      <c r="B1216" s="53" t="s">
        <v>249</v>
      </c>
      <c r="C1216" s="53" t="s">
        <v>4136</v>
      </c>
      <c r="D1216" s="53" t="s">
        <v>226</v>
      </c>
      <c r="E1216" s="36">
        <v>104990</v>
      </c>
      <c r="F1216" s="53" t="s">
        <v>4073</v>
      </c>
      <c r="H1216" s="47" t="str">
        <f t="shared" si="54"/>
        <v>CARIBE</v>
      </c>
      <c r="I1216" s="6">
        <f t="shared" si="55"/>
        <v>104990</v>
      </c>
      <c r="J1216" s="47">
        <f t="shared" si="56"/>
        <v>104990</v>
      </c>
    </row>
    <row r="1217" spans="1:12">
      <c r="A1217" s="29" t="s">
        <v>3841</v>
      </c>
      <c r="B1217" s="53" t="s">
        <v>249</v>
      </c>
      <c r="C1217" s="53" t="s">
        <v>4136</v>
      </c>
      <c r="D1217" s="53" t="s">
        <v>226</v>
      </c>
      <c r="E1217" s="36">
        <v>104990</v>
      </c>
      <c r="F1217" s="53" t="s">
        <v>4073</v>
      </c>
      <c r="H1217" s="47" t="str">
        <f t="shared" si="54"/>
        <v>CARIBE</v>
      </c>
      <c r="I1217" s="6">
        <f t="shared" si="55"/>
        <v>104990</v>
      </c>
      <c r="J1217" s="47">
        <f t="shared" si="56"/>
        <v>104990</v>
      </c>
    </row>
    <row r="1218" spans="1:12">
      <c r="A1218" s="29" t="s">
        <v>3842</v>
      </c>
      <c r="B1218" s="53" t="s">
        <v>249</v>
      </c>
      <c r="C1218" s="53" t="s">
        <v>4136</v>
      </c>
      <c r="D1218" s="53" t="s">
        <v>226</v>
      </c>
      <c r="E1218" s="36">
        <v>96400</v>
      </c>
      <c r="F1218" s="53" t="s">
        <v>4074</v>
      </c>
      <c r="H1218" s="47" t="str">
        <f t="shared" ref="H1218:H1281" si="57">IF(OR(A1218="Antioquia",A1218="Bogotá, D.C.",A1218="Boyacá",A1218="Cundinamarca",A1218="Caldas",A1218="Risaralda",A1218="Quindío",A1218="Tolima",A1218="Huila",A1218="Santander",A1218="Norte de Santander"),"ANDINA",
IF(OR(A1218="Atlántico",A1218="Bolívar",A1218="Cesar",A1218="Córdoba",A1218="Sucre",A1218="Magdalena"),"CARIBE",
IF(OR(A1218="Valle del Cauca",A1218="Cauca",A1218="Nariño"),"PACIFICO",
IF(OR(A1218="Meta",A1218="Casanare",A1218="Arauca"),"ORINOQUIA",
"AMAZONIA"))))</f>
        <v>ANDINA</v>
      </c>
      <c r="I1218" s="6">
        <f t="shared" ref="I1218:I1281" si="58">IF(F1218="Departamental",E1218,
AVERAGEIFS($E:$E,$H:$H,H1218,$B:$B,B1218,$C:$C,C1218))</f>
        <v>96400</v>
      </c>
      <c r="J1218" s="47">
        <f t="shared" si="56"/>
        <v>96400</v>
      </c>
    </row>
    <row r="1219" spans="1:12">
      <c r="A1219" s="29" t="s">
        <v>3843</v>
      </c>
      <c r="B1219" s="53" t="s">
        <v>249</v>
      </c>
      <c r="C1219" s="53" t="s">
        <v>4136</v>
      </c>
      <c r="D1219" s="53" t="s">
        <v>226</v>
      </c>
      <c r="E1219" s="36">
        <v>104990</v>
      </c>
      <c r="F1219" s="53" t="s">
        <v>4073</v>
      </c>
      <c r="H1219" s="47" t="str">
        <f t="shared" si="57"/>
        <v>ANDINA</v>
      </c>
      <c r="I1219" s="6">
        <f t="shared" si="58"/>
        <v>104404.31818181818</v>
      </c>
      <c r="J1219" s="47">
        <f t="shared" ref="J1219:J1282" si="59">IF(G1219&lt;&gt;"",G1219,I1219)</f>
        <v>104404.31818181818</v>
      </c>
      <c r="L1219" s="2"/>
    </row>
    <row r="1220" spans="1:12">
      <c r="A1220" s="29" t="s">
        <v>3845</v>
      </c>
      <c r="B1220" s="53" t="s">
        <v>249</v>
      </c>
      <c r="C1220" s="53" t="s">
        <v>4136</v>
      </c>
      <c r="D1220" s="53" t="s">
        <v>226</v>
      </c>
      <c r="E1220" s="36">
        <v>104990</v>
      </c>
      <c r="F1220" s="53" t="s">
        <v>4073</v>
      </c>
      <c r="H1220" s="47" t="str">
        <f t="shared" si="57"/>
        <v>ORINOQUIA</v>
      </c>
      <c r="I1220" s="6">
        <f t="shared" si="58"/>
        <v>104990</v>
      </c>
      <c r="J1220" s="47">
        <f t="shared" si="59"/>
        <v>104990</v>
      </c>
    </row>
    <row r="1221" spans="1:12">
      <c r="A1221" s="29" t="s">
        <v>3846</v>
      </c>
      <c r="B1221" s="53" t="s">
        <v>249</v>
      </c>
      <c r="C1221" s="53" t="s">
        <v>4136</v>
      </c>
      <c r="D1221" s="53" t="s">
        <v>226</v>
      </c>
      <c r="E1221" s="36">
        <v>104990</v>
      </c>
      <c r="F1221" s="53" t="s">
        <v>4073</v>
      </c>
      <c r="H1221" s="47" t="str">
        <f t="shared" si="57"/>
        <v>PACIFICO</v>
      </c>
      <c r="I1221" s="6">
        <f t="shared" si="58"/>
        <v>104990</v>
      </c>
      <c r="J1221" s="47">
        <f t="shared" si="59"/>
        <v>104990</v>
      </c>
    </row>
    <row r="1222" spans="1:12">
      <c r="A1222" s="29" t="s">
        <v>3847</v>
      </c>
      <c r="B1222" s="53" t="s">
        <v>249</v>
      </c>
      <c r="C1222" s="53" t="s">
        <v>4136</v>
      </c>
      <c r="D1222" s="53" t="s">
        <v>226</v>
      </c>
      <c r="E1222" s="36">
        <v>104990</v>
      </c>
      <c r="F1222" s="53" t="s">
        <v>4073</v>
      </c>
      <c r="H1222" s="47" t="str">
        <f t="shared" si="57"/>
        <v>ANDINA</v>
      </c>
      <c r="I1222" s="6">
        <f t="shared" si="58"/>
        <v>104404.31818181818</v>
      </c>
      <c r="J1222" s="47">
        <f t="shared" si="59"/>
        <v>104404.31818181818</v>
      </c>
    </row>
    <row r="1223" spans="1:12">
      <c r="A1223" s="29" t="s">
        <v>3848</v>
      </c>
      <c r="B1223" s="53" t="s">
        <v>249</v>
      </c>
      <c r="C1223" s="53" t="s">
        <v>4136</v>
      </c>
      <c r="D1223" s="53" t="s">
        <v>226</v>
      </c>
      <c r="E1223" s="36">
        <v>104990</v>
      </c>
      <c r="F1223" s="53" t="s">
        <v>4073</v>
      </c>
      <c r="H1223" s="47" t="str">
        <f t="shared" si="57"/>
        <v>AMAZONIA</v>
      </c>
      <c r="I1223" s="6">
        <f t="shared" si="58"/>
        <v>104990</v>
      </c>
      <c r="J1223" s="47">
        <f t="shared" si="59"/>
        <v>104990</v>
      </c>
    </row>
    <row r="1224" spans="1:12">
      <c r="A1224" s="29" t="s">
        <v>3849</v>
      </c>
      <c r="B1224" s="53" t="s">
        <v>249</v>
      </c>
      <c r="C1224" s="53" t="s">
        <v>4136</v>
      </c>
      <c r="D1224" s="53" t="s">
        <v>226</v>
      </c>
      <c r="E1224" s="36">
        <v>104990</v>
      </c>
      <c r="F1224" s="53" t="s">
        <v>4073</v>
      </c>
      <c r="H1224" s="47" t="str">
        <f t="shared" si="57"/>
        <v>ANDINA</v>
      </c>
      <c r="I1224" s="6">
        <f t="shared" si="58"/>
        <v>104404.31818181818</v>
      </c>
      <c r="J1224" s="47">
        <f t="shared" si="59"/>
        <v>104404.31818181818</v>
      </c>
    </row>
    <row r="1225" spans="1:12">
      <c r="A1225" s="29" t="s">
        <v>3850</v>
      </c>
      <c r="B1225" s="53" t="s">
        <v>249</v>
      </c>
      <c r="C1225" s="53" t="s">
        <v>4136</v>
      </c>
      <c r="D1225" s="53" t="s">
        <v>226</v>
      </c>
      <c r="E1225" s="36">
        <v>104990</v>
      </c>
      <c r="F1225" s="53" t="s">
        <v>4073</v>
      </c>
      <c r="H1225" s="47" t="str">
        <f t="shared" si="57"/>
        <v>ANDINA</v>
      </c>
      <c r="I1225" s="6">
        <f t="shared" si="58"/>
        <v>104404.31818181818</v>
      </c>
      <c r="J1225" s="47">
        <f t="shared" si="59"/>
        <v>104404.31818181818</v>
      </c>
    </row>
    <row r="1226" spans="1:12">
      <c r="A1226" s="29" t="s">
        <v>3851</v>
      </c>
      <c r="B1226" s="53" t="s">
        <v>249</v>
      </c>
      <c r="C1226" s="53" t="s">
        <v>4136</v>
      </c>
      <c r="D1226" s="53" t="s">
        <v>226</v>
      </c>
      <c r="E1226" s="36">
        <v>104990</v>
      </c>
      <c r="F1226" s="53" t="s">
        <v>4073</v>
      </c>
      <c r="H1226" s="47" t="str">
        <f t="shared" si="57"/>
        <v>ANDINA</v>
      </c>
      <c r="I1226" s="6">
        <f t="shared" si="58"/>
        <v>104404.31818181818</v>
      </c>
      <c r="J1226" s="47">
        <f t="shared" si="59"/>
        <v>104404.31818181818</v>
      </c>
    </row>
    <row r="1227" spans="1:12">
      <c r="A1227" s="29" t="s">
        <v>3853</v>
      </c>
      <c r="B1227" s="53" t="s">
        <v>249</v>
      </c>
      <c r="C1227" s="53" t="s">
        <v>4136</v>
      </c>
      <c r="D1227" s="53" t="s">
        <v>226</v>
      </c>
      <c r="E1227" s="36">
        <v>104990</v>
      </c>
      <c r="F1227" s="53" t="s">
        <v>4073</v>
      </c>
      <c r="H1227" s="47" t="str">
        <f t="shared" si="57"/>
        <v>ANDINA</v>
      </c>
      <c r="I1227" s="6">
        <f t="shared" si="58"/>
        <v>104404.31818181818</v>
      </c>
      <c r="J1227" s="47">
        <f t="shared" si="59"/>
        <v>104404.31818181818</v>
      </c>
    </row>
    <row r="1228" spans="1:12">
      <c r="A1228" s="29" t="s">
        <v>3854</v>
      </c>
      <c r="B1228" s="53" t="s">
        <v>249</v>
      </c>
      <c r="C1228" s="53" t="s">
        <v>4136</v>
      </c>
      <c r="D1228" s="53" t="s">
        <v>226</v>
      </c>
      <c r="E1228" s="36">
        <v>104990</v>
      </c>
      <c r="F1228" s="53" t="s">
        <v>4073</v>
      </c>
      <c r="H1228" s="47" t="str">
        <f t="shared" si="57"/>
        <v>PACIFICO</v>
      </c>
      <c r="I1228" s="6">
        <f t="shared" si="58"/>
        <v>104990</v>
      </c>
      <c r="J1228" s="47">
        <f t="shared" si="59"/>
        <v>104990</v>
      </c>
    </row>
    <row r="1229" spans="1:12">
      <c r="A1229" s="29" t="s">
        <v>4076</v>
      </c>
      <c r="B1229" s="53" t="s">
        <v>249</v>
      </c>
      <c r="C1229" s="53" t="s">
        <v>4136</v>
      </c>
      <c r="D1229" s="53" t="s">
        <v>226</v>
      </c>
      <c r="E1229" s="36">
        <v>104990</v>
      </c>
      <c r="F1229" s="53" t="s">
        <v>4073</v>
      </c>
      <c r="H1229" s="47" t="str">
        <f t="shared" si="57"/>
        <v>AMAZONIA</v>
      </c>
      <c r="I1229" s="6">
        <f t="shared" si="58"/>
        <v>104990</v>
      </c>
      <c r="J1229" s="47">
        <f t="shared" si="59"/>
        <v>104990</v>
      </c>
    </row>
    <row r="1230" spans="1:12">
      <c r="A1230" s="29" t="s">
        <v>3831</v>
      </c>
      <c r="B1230" s="53" t="s">
        <v>249</v>
      </c>
      <c r="C1230" s="37" t="s">
        <v>4137</v>
      </c>
      <c r="D1230" s="53" t="s">
        <v>4142</v>
      </c>
      <c r="E1230" s="36">
        <v>53773.61111110833</v>
      </c>
      <c r="F1230" s="53" t="s">
        <v>4073</v>
      </c>
      <c r="H1230" s="47" t="str">
        <f t="shared" si="57"/>
        <v>ANDINA</v>
      </c>
      <c r="I1230" s="6">
        <f t="shared" si="58"/>
        <v>53773.61111110833</v>
      </c>
      <c r="J1230" s="47">
        <f t="shared" si="59"/>
        <v>53773.61111110833</v>
      </c>
    </row>
    <row r="1231" spans="1:12">
      <c r="A1231" s="29" t="s">
        <v>4075</v>
      </c>
      <c r="B1231" s="53" t="s">
        <v>249</v>
      </c>
      <c r="C1231" s="37" t="s">
        <v>4137</v>
      </c>
      <c r="D1231" s="53" t="s">
        <v>4142</v>
      </c>
      <c r="E1231" s="36">
        <v>53773.61111110833</v>
      </c>
      <c r="F1231" s="53" t="s">
        <v>4073</v>
      </c>
      <c r="H1231" s="47" t="str">
        <f t="shared" si="57"/>
        <v>ANDINA</v>
      </c>
      <c r="I1231" s="6">
        <f t="shared" si="58"/>
        <v>53773.61111110833</v>
      </c>
      <c r="J1231" s="47">
        <f t="shared" si="59"/>
        <v>53773.61111110833</v>
      </c>
    </row>
    <row r="1232" spans="1:12">
      <c r="A1232" s="29" t="s">
        <v>3835</v>
      </c>
      <c r="B1232" s="53" t="s">
        <v>249</v>
      </c>
      <c r="C1232" s="37" t="s">
        <v>4137</v>
      </c>
      <c r="D1232" s="53" t="s">
        <v>4142</v>
      </c>
      <c r="E1232" s="36">
        <v>53773.61111110833</v>
      </c>
      <c r="F1232" s="53" t="s">
        <v>4073</v>
      </c>
      <c r="H1232" s="47" t="str">
        <f t="shared" si="57"/>
        <v>ANDINA</v>
      </c>
      <c r="I1232" s="6">
        <f t="shared" si="58"/>
        <v>53773.61111110833</v>
      </c>
      <c r="J1232" s="47">
        <f t="shared" si="59"/>
        <v>53773.61111110833</v>
      </c>
    </row>
    <row r="1233" spans="1:10">
      <c r="A1233" s="29" t="s">
        <v>3836</v>
      </c>
      <c r="B1233" s="53" t="s">
        <v>249</v>
      </c>
      <c r="C1233" s="37" t="s">
        <v>4137</v>
      </c>
      <c r="D1233" s="53" t="s">
        <v>4142</v>
      </c>
      <c r="E1233" s="36">
        <v>53773.61111110833</v>
      </c>
      <c r="F1233" s="53" t="s">
        <v>4073</v>
      </c>
      <c r="H1233" s="47" t="str">
        <f t="shared" si="57"/>
        <v>ANDINA</v>
      </c>
      <c r="I1233" s="6">
        <f t="shared" si="58"/>
        <v>53773.61111110833</v>
      </c>
      <c r="J1233" s="47">
        <f t="shared" si="59"/>
        <v>53773.61111110833</v>
      </c>
    </row>
    <row r="1234" spans="1:10">
      <c r="A1234" s="29" t="s">
        <v>3837</v>
      </c>
      <c r="B1234" s="53" t="s">
        <v>249</v>
      </c>
      <c r="C1234" s="37" t="s">
        <v>4137</v>
      </c>
      <c r="D1234" s="53" t="s">
        <v>4142</v>
      </c>
      <c r="E1234" s="36">
        <v>53773.61111110833</v>
      </c>
      <c r="F1234" s="53" t="s">
        <v>4073</v>
      </c>
      <c r="H1234" s="47" t="str">
        <f t="shared" si="57"/>
        <v>AMAZONIA</v>
      </c>
      <c r="I1234" s="6">
        <f t="shared" si="58"/>
        <v>53773.61111110833</v>
      </c>
      <c r="J1234" s="47">
        <f t="shared" si="59"/>
        <v>53773.61111110833</v>
      </c>
    </row>
    <row r="1235" spans="1:10">
      <c r="A1235" s="29" t="s">
        <v>3838</v>
      </c>
      <c r="B1235" s="53" t="s">
        <v>249</v>
      </c>
      <c r="C1235" s="37" t="s">
        <v>4137</v>
      </c>
      <c r="D1235" s="53" t="s">
        <v>4142</v>
      </c>
      <c r="E1235" s="36">
        <v>53773.61111110833</v>
      </c>
      <c r="F1235" s="53" t="s">
        <v>4073</v>
      </c>
      <c r="H1235" s="47" t="str">
        <f t="shared" si="57"/>
        <v>ORINOQUIA</v>
      </c>
      <c r="I1235" s="6">
        <f t="shared" si="58"/>
        <v>53773.61111110833</v>
      </c>
      <c r="J1235" s="47">
        <f t="shared" si="59"/>
        <v>53773.61111110833</v>
      </c>
    </row>
    <row r="1236" spans="1:10">
      <c r="A1236" s="29" t="s">
        <v>3839</v>
      </c>
      <c r="B1236" s="53" t="s">
        <v>249</v>
      </c>
      <c r="C1236" s="37" t="s">
        <v>4137</v>
      </c>
      <c r="D1236" s="53" t="s">
        <v>4142</v>
      </c>
      <c r="E1236" s="36">
        <v>53773.61111110833</v>
      </c>
      <c r="F1236" s="53" t="s">
        <v>4073</v>
      </c>
      <c r="H1236" s="47" t="str">
        <f t="shared" si="57"/>
        <v>PACIFICO</v>
      </c>
      <c r="I1236" s="6">
        <f t="shared" si="58"/>
        <v>53773.61111110833</v>
      </c>
      <c r="J1236" s="47">
        <f t="shared" si="59"/>
        <v>53773.61111110833</v>
      </c>
    </row>
    <row r="1237" spans="1:10">
      <c r="A1237" s="29" t="s">
        <v>3840</v>
      </c>
      <c r="B1237" s="53" t="s">
        <v>249</v>
      </c>
      <c r="C1237" s="37" t="s">
        <v>4137</v>
      </c>
      <c r="D1237" s="53" t="s">
        <v>4142</v>
      </c>
      <c r="E1237" s="36">
        <v>53773.61111110833</v>
      </c>
      <c r="F1237" s="53" t="s">
        <v>4073</v>
      </c>
      <c r="H1237" s="47" t="str">
        <f t="shared" si="57"/>
        <v>CARIBE</v>
      </c>
      <c r="I1237" s="6">
        <f t="shared" si="58"/>
        <v>53773.61111110833</v>
      </c>
      <c r="J1237" s="47">
        <f t="shared" si="59"/>
        <v>53773.61111110833</v>
      </c>
    </row>
    <row r="1238" spans="1:10">
      <c r="A1238" s="29" t="s">
        <v>3841</v>
      </c>
      <c r="B1238" s="53" t="s">
        <v>249</v>
      </c>
      <c r="C1238" s="37" t="s">
        <v>4137</v>
      </c>
      <c r="D1238" s="53" t="s">
        <v>4142</v>
      </c>
      <c r="E1238" s="36">
        <v>53773.61111110833</v>
      </c>
      <c r="F1238" s="53" t="s">
        <v>4073</v>
      </c>
      <c r="H1238" s="47" t="str">
        <f t="shared" si="57"/>
        <v>CARIBE</v>
      </c>
      <c r="I1238" s="6">
        <f t="shared" si="58"/>
        <v>53773.61111110833</v>
      </c>
      <c r="J1238" s="47">
        <f t="shared" si="59"/>
        <v>53773.61111110833</v>
      </c>
    </row>
    <row r="1239" spans="1:10">
      <c r="A1239" s="29" t="s">
        <v>3842</v>
      </c>
      <c r="B1239" s="53" t="s">
        <v>249</v>
      </c>
      <c r="C1239" s="37" t="s">
        <v>4137</v>
      </c>
      <c r="D1239" s="53" t="s">
        <v>4142</v>
      </c>
      <c r="E1239" s="36">
        <v>53773.61111110833</v>
      </c>
      <c r="F1239" s="53" t="s">
        <v>4073</v>
      </c>
      <c r="H1239" s="47" t="str">
        <f t="shared" si="57"/>
        <v>ANDINA</v>
      </c>
      <c r="I1239" s="6">
        <f t="shared" si="58"/>
        <v>53773.61111110833</v>
      </c>
      <c r="J1239" s="47">
        <f t="shared" si="59"/>
        <v>53773.61111110833</v>
      </c>
    </row>
    <row r="1240" spans="1:10">
      <c r="A1240" s="29" t="s">
        <v>3843</v>
      </c>
      <c r="B1240" s="53" t="s">
        <v>249</v>
      </c>
      <c r="C1240" s="37" t="s">
        <v>4137</v>
      </c>
      <c r="D1240" s="53" t="s">
        <v>4142</v>
      </c>
      <c r="E1240" s="36">
        <v>53773.61111110833</v>
      </c>
      <c r="F1240" s="53" t="s">
        <v>4073</v>
      </c>
      <c r="H1240" s="47" t="str">
        <f t="shared" si="57"/>
        <v>ANDINA</v>
      </c>
      <c r="I1240" s="6">
        <f t="shared" si="58"/>
        <v>53773.61111110833</v>
      </c>
      <c r="J1240" s="47">
        <f t="shared" si="59"/>
        <v>53773.61111110833</v>
      </c>
    </row>
    <row r="1241" spans="1:10">
      <c r="A1241" s="29" t="s">
        <v>3845</v>
      </c>
      <c r="B1241" s="53" t="s">
        <v>249</v>
      </c>
      <c r="C1241" s="37" t="s">
        <v>4137</v>
      </c>
      <c r="D1241" s="53" t="s">
        <v>4142</v>
      </c>
      <c r="E1241" s="36">
        <v>53773.61111110833</v>
      </c>
      <c r="F1241" s="53" t="s">
        <v>4073</v>
      </c>
      <c r="H1241" s="47" t="str">
        <f t="shared" si="57"/>
        <v>ORINOQUIA</v>
      </c>
      <c r="I1241" s="6">
        <f t="shared" si="58"/>
        <v>53773.61111110833</v>
      </c>
      <c r="J1241" s="47">
        <f t="shared" si="59"/>
        <v>53773.61111110833</v>
      </c>
    </row>
    <row r="1242" spans="1:10">
      <c r="A1242" s="29" t="s">
        <v>3846</v>
      </c>
      <c r="B1242" s="53" t="s">
        <v>249</v>
      </c>
      <c r="C1242" s="37" t="s">
        <v>4137</v>
      </c>
      <c r="D1242" s="53" t="s">
        <v>4142</v>
      </c>
      <c r="E1242" s="36">
        <v>53773.61111110833</v>
      </c>
      <c r="F1242" s="53" t="s">
        <v>4073</v>
      </c>
      <c r="H1242" s="47" t="str">
        <f t="shared" si="57"/>
        <v>PACIFICO</v>
      </c>
      <c r="I1242" s="6">
        <f t="shared" si="58"/>
        <v>53773.61111110833</v>
      </c>
      <c r="J1242" s="47">
        <f t="shared" si="59"/>
        <v>53773.61111110833</v>
      </c>
    </row>
    <row r="1243" spans="1:10">
      <c r="A1243" s="29" t="s">
        <v>3847</v>
      </c>
      <c r="B1243" s="53" t="s">
        <v>249</v>
      </c>
      <c r="C1243" s="37" t="s">
        <v>4137</v>
      </c>
      <c r="D1243" s="53" t="s">
        <v>4142</v>
      </c>
      <c r="E1243" s="36">
        <v>53773.61111110833</v>
      </c>
      <c r="F1243" s="53" t="s">
        <v>4073</v>
      </c>
      <c r="H1243" s="47" t="str">
        <f t="shared" si="57"/>
        <v>ANDINA</v>
      </c>
      <c r="I1243" s="6">
        <f t="shared" si="58"/>
        <v>53773.61111110833</v>
      </c>
      <c r="J1243" s="47">
        <f t="shared" si="59"/>
        <v>53773.61111110833</v>
      </c>
    </row>
    <row r="1244" spans="1:10">
      <c r="A1244" s="29" t="s">
        <v>3848</v>
      </c>
      <c r="B1244" s="53" t="s">
        <v>249</v>
      </c>
      <c r="C1244" s="37" t="s">
        <v>4137</v>
      </c>
      <c r="D1244" s="53" t="s">
        <v>4142</v>
      </c>
      <c r="E1244" s="36">
        <v>53773.61111110833</v>
      </c>
      <c r="F1244" s="53" t="s">
        <v>4073</v>
      </c>
      <c r="H1244" s="47" t="str">
        <f t="shared" si="57"/>
        <v>AMAZONIA</v>
      </c>
      <c r="I1244" s="6">
        <f t="shared" si="58"/>
        <v>53773.61111110833</v>
      </c>
      <c r="J1244" s="47">
        <f t="shared" si="59"/>
        <v>53773.61111110833</v>
      </c>
    </row>
    <row r="1245" spans="1:10">
      <c r="A1245" s="29" t="s">
        <v>3849</v>
      </c>
      <c r="B1245" s="53" t="s">
        <v>249</v>
      </c>
      <c r="C1245" s="37" t="s">
        <v>4137</v>
      </c>
      <c r="D1245" s="53" t="s">
        <v>4142</v>
      </c>
      <c r="E1245" s="36">
        <v>53773.61111110833</v>
      </c>
      <c r="F1245" s="53" t="s">
        <v>4073</v>
      </c>
      <c r="H1245" s="47" t="str">
        <f t="shared" si="57"/>
        <v>ANDINA</v>
      </c>
      <c r="I1245" s="6">
        <f t="shared" si="58"/>
        <v>53773.61111110833</v>
      </c>
      <c r="J1245" s="47">
        <f t="shared" si="59"/>
        <v>53773.61111110833</v>
      </c>
    </row>
    <row r="1246" spans="1:10">
      <c r="A1246" s="29" t="s">
        <v>3850</v>
      </c>
      <c r="B1246" s="53" t="s">
        <v>249</v>
      </c>
      <c r="C1246" s="37" t="s">
        <v>4137</v>
      </c>
      <c r="D1246" s="53" t="s">
        <v>4142</v>
      </c>
      <c r="E1246" s="36">
        <v>53773.61111110833</v>
      </c>
      <c r="F1246" s="53" t="s">
        <v>4073</v>
      </c>
      <c r="H1246" s="47" t="str">
        <f t="shared" si="57"/>
        <v>ANDINA</v>
      </c>
      <c r="I1246" s="6">
        <f t="shared" si="58"/>
        <v>53773.61111110833</v>
      </c>
      <c r="J1246" s="47">
        <f t="shared" si="59"/>
        <v>53773.61111110833</v>
      </c>
    </row>
    <row r="1247" spans="1:10">
      <c r="A1247" s="29" t="s">
        <v>3851</v>
      </c>
      <c r="B1247" s="53" t="s">
        <v>249</v>
      </c>
      <c r="C1247" s="37" t="s">
        <v>4137</v>
      </c>
      <c r="D1247" s="53" t="s">
        <v>4142</v>
      </c>
      <c r="E1247" s="36">
        <v>53773.61111110833</v>
      </c>
      <c r="F1247" s="53" t="s">
        <v>4073</v>
      </c>
      <c r="H1247" s="47" t="str">
        <f t="shared" si="57"/>
        <v>ANDINA</v>
      </c>
      <c r="I1247" s="6">
        <f t="shared" si="58"/>
        <v>53773.61111110833</v>
      </c>
      <c r="J1247" s="47">
        <f t="shared" si="59"/>
        <v>53773.61111110833</v>
      </c>
    </row>
    <row r="1248" spans="1:10">
      <c r="A1248" s="29" t="s">
        <v>3853</v>
      </c>
      <c r="B1248" s="53" t="s">
        <v>249</v>
      </c>
      <c r="C1248" s="37" t="s">
        <v>4137</v>
      </c>
      <c r="D1248" s="53" t="s">
        <v>4142</v>
      </c>
      <c r="E1248" s="36">
        <v>53773.61111110833</v>
      </c>
      <c r="F1248" s="53" t="s">
        <v>4073</v>
      </c>
      <c r="H1248" s="47" t="str">
        <f t="shared" si="57"/>
        <v>ANDINA</v>
      </c>
      <c r="I1248" s="6">
        <f t="shared" si="58"/>
        <v>53773.61111110833</v>
      </c>
      <c r="J1248" s="47">
        <f t="shared" si="59"/>
        <v>53773.61111110833</v>
      </c>
    </row>
    <row r="1249" spans="1:10">
      <c r="A1249" s="29" t="s">
        <v>3854</v>
      </c>
      <c r="B1249" s="53" t="s">
        <v>249</v>
      </c>
      <c r="C1249" s="37" t="s">
        <v>4137</v>
      </c>
      <c r="D1249" s="53" t="s">
        <v>4142</v>
      </c>
      <c r="E1249" s="36">
        <v>53773.61111110833</v>
      </c>
      <c r="F1249" s="53" t="s">
        <v>4073</v>
      </c>
      <c r="H1249" s="47" t="str">
        <f t="shared" si="57"/>
        <v>PACIFICO</v>
      </c>
      <c r="I1249" s="6">
        <f t="shared" si="58"/>
        <v>53773.61111110833</v>
      </c>
      <c r="J1249" s="47">
        <f t="shared" si="59"/>
        <v>53773.61111110833</v>
      </c>
    </row>
    <row r="1250" spans="1:10">
      <c r="A1250" s="29" t="s">
        <v>4076</v>
      </c>
      <c r="B1250" s="53" t="s">
        <v>249</v>
      </c>
      <c r="C1250" s="37" t="s">
        <v>4137</v>
      </c>
      <c r="D1250" s="53" t="s">
        <v>4142</v>
      </c>
      <c r="E1250" s="36">
        <v>53773.61111110833</v>
      </c>
      <c r="F1250" s="53" t="s">
        <v>4073</v>
      </c>
      <c r="H1250" s="47" t="str">
        <f t="shared" si="57"/>
        <v>AMAZONIA</v>
      </c>
      <c r="I1250" s="6">
        <f t="shared" si="58"/>
        <v>53773.61111110833</v>
      </c>
      <c r="J1250" s="47">
        <f t="shared" si="59"/>
        <v>53773.61111110833</v>
      </c>
    </row>
    <row r="1251" spans="1:10">
      <c r="A1251" s="29" t="s">
        <v>3831</v>
      </c>
      <c r="B1251" s="53" t="s">
        <v>249</v>
      </c>
      <c r="C1251" s="53" t="s">
        <v>4138</v>
      </c>
      <c r="D1251" s="53" t="s">
        <v>4142</v>
      </c>
      <c r="E1251" s="36">
        <v>89555.040650399998</v>
      </c>
      <c r="F1251" s="53" t="s">
        <v>4073</v>
      </c>
      <c r="H1251" s="47" t="str">
        <f t="shared" si="57"/>
        <v>ANDINA</v>
      </c>
      <c r="I1251" s="6">
        <f t="shared" si="58"/>
        <v>89572.461855724658</v>
      </c>
      <c r="J1251" s="47">
        <f t="shared" si="59"/>
        <v>89572.461855724658</v>
      </c>
    </row>
    <row r="1252" spans="1:10">
      <c r="A1252" s="29" t="s">
        <v>4075</v>
      </c>
      <c r="B1252" s="53" t="s">
        <v>249</v>
      </c>
      <c r="C1252" s="53" t="s">
        <v>4138</v>
      </c>
      <c r="D1252" s="53" t="s">
        <v>4142</v>
      </c>
      <c r="E1252" s="36">
        <v>89881.944444433335</v>
      </c>
      <c r="F1252" s="53" t="s">
        <v>4074</v>
      </c>
      <c r="H1252" s="47" t="str">
        <f t="shared" si="57"/>
        <v>ANDINA</v>
      </c>
      <c r="I1252" s="6">
        <f t="shared" si="58"/>
        <v>89881.944444433335</v>
      </c>
      <c r="J1252" s="47">
        <f t="shared" si="59"/>
        <v>89881.944444433335</v>
      </c>
    </row>
    <row r="1253" spans="1:10">
      <c r="A1253" s="29" t="s">
        <v>3835</v>
      </c>
      <c r="B1253" s="53" t="s">
        <v>249</v>
      </c>
      <c r="C1253" s="53" t="s">
        <v>4138</v>
      </c>
      <c r="D1253" s="53" t="s">
        <v>4142</v>
      </c>
      <c r="E1253" s="36">
        <v>89555.040650399998</v>
      </c>
      <c r="F1253" s="53" t="s">
        <v>4073</v>
      </c>
      <c r="H1253" s="47" t="str">
        <f t="shared" si="57"/>
        <v>ANDINA</v>
      </c>
      <c r="I1253" s="6">
        <f t="shared" si="58"/>
        <v>89572.461855724658</v>
      </c>
      <c r="J1253" s="47">
        <f t="shared" si="59"/>
        <v>89572.461855724658</v>
      </c>
    </row>
    <row r="1254" spans="1:10">
      <c r="A1254" s="29" t="s">
        <v>3836</v>
      </c>
      <c r="B1254" s="53" t="s">
        <v>249</v>
      </c>
      <c r="C1254" s="53" t="s">
        <v>4138</v>
      </c>
      <c r="D1254" s="53" t="s">
        <v>4142</v>
      </c>
      <c r="E1254" s="36">
        <v>89555.040650399998</v>
      </c>
      <c r="F1254" s="53" t="s">
        <v>4073</v>
      </c>
      <c r="H1254" s="47" t="str">
        <f t="shared" si="57"/>
        <v>ANDINA</v>
      </c>
      <c r="I1254" s="6">
        <f t="shared" si="58"/>
        <v>89572.461855724658</v>
      </c>
      <c r="J1254" s="47">
        <f t="shared" si="59"/>
        <v>89572.461855724658</v>
      </c>
    </row>
    <row r="1255" spans="1:10">
      <c r="A1255" s="29" t="s">
        <v>3837</v>
      </c>
      <c r="B1255" s="53" t="s">
        <v>249</v>
      </c>
      <c r="C1255" s="53" t="s">
        <v>4138</v>
      </c>
      <c r="D1255" s="53" t="s">
        <v>4142</v>
      </c>
      <c r="E1255" s="36">
        <v>89555.040650399998</v>
      </c>
      <c r="F1255" s="53" t="s">
        <v>4073</v>
      </c>
      <c r="H1255" s="47" t="str">
        <f t="shared" si="57"/>
        <v>AMAZONIA</v>
      </c>
      <c r="I1255" s="6">
        <f t="shared" si="58"/>
        <v>89555.040650399998</v>
      </c>
      <c r="J1255" s="47">
        <f t="shared" si="59"/>
        <v>89555.040650399998</v>
      </c>
    </row>
    <row r="1256" spans="1:10">
      <c r="A1256" s="29" t="s">
        <v>3838</v>
      </c>
      <c r="B1256" s="53" t="s">
        <v>249</v>
      </c>
      <c r="C1256" s="53" t="s">
        <v>4138</v>
      </c>
      <c r="D1256" s="53" t="s">
        <v>4142</v>
      </c>
      <c r="E1256" s="36">
        <v>89555.040650399998</v>
      </c>
      <c r="F1256" s="53" t="s">
        <v>4073</v>
      </c>
      <c r="H1256" s="47" t="str">
        <f t="shared" si="57"/>
        <v>ORINOQUIA</v>
      </c>
      <c r="I1256" s="6">
        <f t="shared" si="58"/>
        <v>89555.040650399998</v>
      </c>
      <c r="J1256" s="47">
        <f t="shared" si="59"/>
        <v>89555.040650399998</v>
      </c>
    </row>
    <row r="1257" spans="1:10">
      <c r="A1257" s="29" t="s">
        <v>3839</v>
      </c>
      <c r="B1257" s="53" t="s">
        <v>249</v>
      </c>
      <c r="C1257" s="53" t="s">
        <v>4138</v>
      </c>
      <c r="D1257" s="53" t="s">
        <v>4142</v>
      </c>
      <c r="E1257" s="36">
        <v>89555.040650399998</v>
      </c>
      <c r="F1257" s="53" t="s">
        <v>4073</v>
      </c>
      <c r="H1257" s="47" t="str">
        <f t="shared" si="57"/>
        <v>PACIFICO</v>
      </c>
      <c r="I1257" s="6">
        <f t="shared" si="58"/>
        <v>89555.040650399998</v>
      </c>
      <c r="J1257" s="47">
        <f t="shared" si="59"/>
        <v>89555.040650399998</v>
      </c>
    </row>
    <row r="1258" spans="1:10">
      <c r="A1258" s="29" t="s">
        <v>3840</v>
      </c>
      <c r="B1258" s="53" t="s">
        <v>249</v>
      </c>
      <c r="C1258" s="53" t="s">
        <v>4138</v>
      </c>
      <c r="D1258" s="53" t="s">
        <v>4142</v>
      </c>
      <c r="E1258" s="36">
        <v>89555.040650399998</v>
      </c>
      <c r="F1258" s="53" t="s">
        <v>4073</v>
      </c>
      <c r="H1258" s="47" t="str">
        <f t="shared" si="57"/>
        <v>CARIBE</v>
      </c>
      <c r="I1258" s="6">
        <f t="shared" si="58"/>
        <v>89555.040650399998</v>
      </c>
      <c r="J1258" s="47">
        <f t="shared" si="59"/>
        <v>89555.040650399998</v>
      </c>
    </row>
    <row r="1259" spans="1:10">
      <c r="A1259" s="29" t="s">
        <v>3841</v>
      </c>
      <c r="B1259" s="53" t="s">
        <v>249</v>
      </c>
      <c r="C1259" s="53" t="s">
        <v>4138</v>
      </c>
      <c r="D1259" s="53" t="s">
        <v>4142</v>
      </c>
      <c r="E1259" s="36">
        <v>89555.040650399998</v>
      </c>
      <c r="F1259" s="53" t="s">
        <v>4073</v>
      </c>
      <c r="H1259" s="47" t="str">
        <f t="shared" si="57"/>
        <v>CARIBE</v>
      </c>
      <c r="I1259" s="6">
        <f t="shared" si="58"/>
        <v>89555.040650399998</v>
      </c>
      <c r="J1259" s="47">
        <f t="shared" si="59"/>
        <v>89555.040650399998</v>
      </c>
    </row>
    <row r="1260" spans="1:10">
      <c r="A1260" s="29" t="s">
        <v>3842</v>
      </c>
      <c r="B1260" s="53" t="s">
        <v>249</v>
      </c>
      <c r="C1260" s="53" t="s">
        <v>4138</v>
      </c>
      <c r="D1260" s="53" t="s">
        <v>4142</v>
      </c>
      <c r="E1260" s="36">
        <v>89419.770114937928</v>
      </c>
      <c r="F1260" s="53" t="s">
        <v>4074</v>
      </c>
      <c r="H1260" s="47" t="str">
        <f t="shared" si="57"/>
        <v>ANDINA</v>
      </c>
      <c r="I1260" s="6">
        <f t="shared" si="58"/>
        <v>89419.770114937928</v>
      </c>
      <c r="J1260" s="47">
        <f t="shared" si="59"/>
        <v>89419.770114937928</v>
      </c>
    </row>
    <row r="1261" spans="1:10">
      <c r="A1261" s="29" t="s">
        <v>3843</v>
      </c>
      <c r="B1261" s="53" t="s">
        <v>249</v>
      </c>
      <c r="C1261" s="53" t="s">
        <v>4138</v>
      </c>
      <c r="D1261" s="53" t="s">
        <v>4142</v>
      </c>
      <c r="E1261" s="36">
        <v>89555.040650399998</v>
      </c>
      <c r="F1261" s="53" t="s">
        <v>4073</v>
      </c>
      <c r="H1261" s="47" t="str">
        <f t="shared" si="57"/>
        <v>ANDINA</v>
      </c>
      <c r="I1261" s="6">
        <f t="shared" si="58"/>
        <v>89572.461855724658</v>
      </c>
      <c r="J1261" s="47">
        <f t="shared" si="59"/>
        <v>89572.461855724658</v>
      </c>
    </row>
    <row r="1262" spans="1:10">
      <c r="A1262" s="29" t="s">
        <v>3845</v>
      </c>
      <c r="B1262" s="53" t="s">
        <v>249</v>
      </c>
      <c r="C1262" s="53" t="s">
        <v>4138</v>
      </c>
      <c r="D1262" s="53" t="s">
        <v>4142</v>
      </c>
      <c r="E1262" s="36">
        <v>89555.040650399998</v>
      </c>
      <c r="F1262" s="53" t="s">
        <v>4073</v>
      </c>
      <c r="H1262" s="47" t="str">
        <f t="shared" si="57"/>
        <v>ORINOQUIA</v>
      </c>
      <c r="I1262" s="6">
        <f t="shared" si="58"/>
        <v>89555.040650399998</v>
      </c>
      <c r="J1262" s="47">
        <f t="shared" si="59"/>
        <v>89555.040650399998</v>
      </c>
    </row>
    <row r="1263" spans="1:10">
      <c r="A1263" s="29" t="s">
        <v>3846</v>
      </c>
      <c r="B1263" s="53" t="s">
        <v>249</v>
      </c>
      <c r="C1263" s="53" t="s">
        <v>4138</v>
      </c>
      <c r="D1263" s="53" t="s">
        <v>4142</v>
      </c>
      <c r="E1263" s="36">
        <v>89555.040650399998</v>
      </c>
      <c r="F1263" s="53" t="s">
        <v>4073</v>
      </c>
      <c r="H1263" s="47" t="str">
        <f t="shared" si="57"/>
        <v>PACIFICO</v>
      </c>
      <c r="I1263" s="6">
        <f t="shared" si="58"/>
        <v>89555.040650399998</v>
      </c>
      <c r="J1263" s="47">
        <f t="shared" si="59"/>
        <v>89555.040650399998</v>
      </c>
    </row>
    <row r="1264" spans="1:10">
      <c r="A1264" s="29" t="s">
        <v>3847</v>
      </c>
      <c r="B1264" s="53" t="s">
        <v>249</v>
      </c>
      <c r="C1264" s="53" t="s">
        <v>4138</v>
      </c>
      <c r="D1264" s="53" t="s">
        <v>4142</v>
      </c>
      <c r="E1264" s="36">
        <v>89555.040650399998</v>
      </c>
      <c r="F1264" s="53" t="s">
        <v>4073</v>
      </c>
      <c r="H1264" s="47" t="str">
        <f t="shared" si="57"/>
        <v>ANDINA</v>
      </c>
      <c r="I1264" s="6">
        <f t="shared" si="58"/>
        <v>89572.461855724658</v>
      </c>
      <c r="J1264" s="47">
        <f t="shared" si="59"/>
        <v>89572.461855724658</v>
      </c>
    </row>
    <row r="1265" spans="1:10">
      <c r="A1265" s="29" t="s">
        <v>3848</v>
      </c>
      <c r="B1265" s="53" t="s">
        <v>249</v>
      </c>
      <c r="C1265" s="53" t="s">
        <v>4138</v>
      </c>
      <c r="D1265" s="53" t="s">
        <v>4142</v>
      </c>
      <c r="E1265" s="36">
        <v>89555.040650399998</v>
      </c>
      <c r="F1265" s="53" t="s">
        <v>4073</v>
      </c>
      <c r="H1265" s="47" t="str">
        <f t="shared" si="57"/>
        <v>AMAZONIA</v>
      </c>
      <c r="I1265" s="6">
        <f t="shared" si="58"/>
        <v>89555.040650399998</v>
      </c>
      <c r="J1265" s="47">
        <f t="shared" si="59"/>
        <v>89555.040650399998</v>
      </c>
    </row>
    <row r="1266" spans="1:10">
      <c r="A1266" s="29" t="s">
        <v>3849</v>
      </c>
      <c r="B1266" s="53" t="s">
        <v>249</v>
      </c>
      <c r="C1266" s="53" t="s">
        <v>4138</v>
      </c>
      <c r="D1266" s="53" t="s">
        <v>4142</v>
      </c>
      <c r="E1266" s="36">
        <v>89555.040650399998</v>
      </c>
      <c r="F1266" s="53" t="s">
        <v>4073</v>
      </c>
      <c r="H1266" s="47" t="str">
        <f t="shared" si="57"/>
        <v>ANDINA</v>
      </c>
      <c r="I1266" s="6">
        <f t="shared" si="58"/>
        <v>89572.461855724658</v>
      </c>
      <c r="J1266" s="47">
        <f t="shared" si="59"/>
        <v>89572.461855724658</v>
      </c>
    </row>
    <row r="1267" spans="1:10">
      <c r="A1267" s="29" t="s">
        <v>3850</v>
      </c>
      <c r="B1267" s="53" t="s">
        <v>249</v>
      </c>
      <c r="C1267" s="53" t="s">
        <v>4138</v>
      </c>
      <c r="D1267" s="53" t="s">
        <v>4142</v>
      </c>
      <c r="E1267" s="36">
        <v>89555.040650399998</v>
      </c>
      <c r="F1267" s="53" t="s">
        <v>4073</v>
      </c>
      <c r="H1267" s="47" t="str">
        <f t="shared" si="57"/>
        <v>ANDINA</v>
      </c>
      <c r="I1267" s="6">
        <f t="shared" si="58"/>
        <v>89572.461855724658</v>
      </c>
      <c r="J1267" s="47">
        <f t="shared" si="59"/>
        <v>89572.461855724658</v>
      </c>
    </row>
    <row r="1268" spans="1:10">
      <c r="A1268" s="29" t="s">
        <v>3851</v>
      </c>
      <c r="B1268" s="53" t="s">
        <v>249</v>
      </c>
      <c r="C1268" s="53" t="s">
        <v>4138</v>
      </c>
      <c r="D1268" s="53" t="s">
        <v>4142</v>
      </c>
      <c r="E1268" s="36">
        <v>89555.040650399998</v>
      </c>
      <c r="F1268" s="53" t="s">
        <v>4073</v>
      </c>
      <c r="H1268" s="47" t="str">
        <f t="shared" si="57"/>
        <v>ANDINA</v>
      </c>
      <c r="I1268" s="6">
        <f t="shared" si="58"/>
        <v>89572.461855724658</v>
      </c>
      <c r="J1268" s="47">
        <f t="shared" si="59"/>
        <v>89572.461855724658</v>
      </c>
    </row>
    <row r="1269" spans="1:10">
      <c r="A1269" s="29" t="s">
        <v>3853</v>
      </c>
      <c r="B1269" s="53" t="s">
        <v>249</v>
      </c>
      <c r="C1269" s="53" t="s">
        <v>4138</v>
      </c>
      <c r="D1269" s="53" t="s">
        <v>4142</v>
      </c>
      <c r="E1269" s="36">
        <v>89555.040650399998</v>
      </c>
      <c r="F1269" s="53" t="s">
        <v>4073</v>
      </c>
      <c r="H1269" s="47" t="str">
        <f t="shared" si="57"/>
        <v>ANDINA</v>
      </c>
      <c r="I1269" s="6">
        <f t="shared" si="58"/>
        <v>89572.461855724658</v>
      </c>
      <c r="J1269" s="47">
        <f t="shared" si="59"/>
        <v>89572.461855724658</v>
      </c>
    </row>
    <row r="1270" spans="1:10">
      <c r="A1270" s="29" t="s">
        <v>3854</v>
      </c>
      <c r="B1270" s="53" t="s">
        <v>249</v>
      </c>
      <c r="C1270" s="53" t="s">
        <v>4138</v>
      </c>
      <c r="D1270" s="53" t="s">
        <v>4142</v>
      </c>
      <c r="E1270" s="36">
        <v>89555.040650399998</v>
      </c>
      <c r="F1270" s="53" t="s">
        <v>4073</v>
      </c>
      <c r="H1270" s="47" t="str">
        <f t="shared" si="57"/>
        <v>PACIFICO</v>
      </c>
      <c r="I1270" s="6">
        <f t="shared" si="58"/>
        <v>89555.040650399998</v>
      </c>
      <c r="J1270" s="47">
        <f t="shared" si="59"/>
        <v>89555.040650399998</v>
      </c>
    </row>
    <row r="1271" spans="1:10">
      <c r="A1271" s="29" t="s">
        <v>4076</v>
      </c>
      <c r="B1271" s="53" t="s">
        <v>249</v>
      </c>
      <c r="C1271" s="53" t="s">
        <v>4138</v>
      </c>
      <c r="D1271" s="53" t="s">
        <v>4142</v>
      </c>
      <c r="E1271" s="36">
        <v>89555.040650399998</v>
      </c>
      <c r="F1271" s="53" t="s">
        <v>4073</v>
      </c>
      <c r="H1271" s="47" t="str">
        <f t="shared" si="57"/>
        <v>AMAZONIA</v>
      </c>
      <c r="I1271" s="6">
        <f t="shared" si="58"/>
        <v>89555.040650399998</v>
      </c>
      <c r="J1271" s="47">
        <f t="shared" si="59"/>
        <v>89555.040650399998</v>
      </c>
    </row>
    <row r="1272" spans="1:10">
      <c r="A1272" s="29" t="s">
        <v>3831</v>
      </c>
      <c r="B1272" s="53" t="s">
        <v>249</v>
      </c>
      <c r="C1272" s="53" t="s">
        <v>4139</v>
      </c>
      <c r="D1272" s="53" t="s">
        <v>4142</v>
      </c>
      <c r="E1272" s="36">
        <v>44212.121212127277</v>
      </c>
      <c r="F1272" s="53" t="s">
        <v>4073</v>
      </c>
      <c r="H1272" s="47" t="str">
        <f t="shared" si="57"/>
        <v>ANDINA</v>
      </c>
      <c r="I1272" s="6">
        <f t="shared" si="58"/>
        <v>44212.121212127277</v>
      </c>
      <c r="J1272" s="47">
        <f t="shared" si="59"/>
        <v>44212.121212127277</v>
      </c>
    </row>
    <row r="1273" spans="1:10">
      <c r="A1273" s="29" t="s">
        <v>4075</v>
      </c>
      <c r="B1273" s="53" t="s">
        <v>249</v>
      </c>
      <c r="C1273" s="53" t="s">
        <v>4139</v>
      </c>
      <c r="D1273" s="53" t="s">
        <v>4142</v>
      </c>
      <c r="E1273" s="36">
        <v>44212.121212127277</v>
      </c>
      <c r="F1273" s="53" t="s">
        <v>4074</v>
      </c>
      <c r="H1273" s="47" t="str">
        <f t="shared" si="57"/>
        <v>ANDINA</v>
      </c>
      <c r="I1273" s="6">
        <f t="shared" si="58"/>
        <v>44212.121212127277</v>
      </c>
      <c r="J1273" s="47">
        <f t="shared" si="59"/>
        <v>44212.121212127277</v>
      </c>
    </row>
    <row r="1274" spans="1:10">
      <c r="A1274" s="29" t="s">
        <v>3835</v>
      </c>
      <c r="B1274" s="53" t="s">
        <v>249</v>
      </c>
      <c r="C1274" s="53" t="s">
        <v>4139</v>
      </c>
      <c r="D1274" s="53" t="s">
        <v>4142</v>
      </c>
      <c r="E1274" s="36">
        <v>44212.121212127277</v>
      </c>
      <c r="F1274" s="53" t="s">
        <v>4073</v>
      </c>
      <c r="H1274" s="47" t="str">
        <f t="shared" si="57"/>
        <v>ANDINA</v>
      </c>
      <c r="I1274" s="6">
        <f t="shared" si="58"/>
        <v>44212.121212127277</v>
      </c>
      <c r="J1274" s="47">
        <f t="shared" si="59"/>
        <v>44212.121212127277</v>
      </c>
    </row>
    <row r="1275" spans="1:10">
      <c r="A1275" s="29" t="s">
        <v>3836</v>
      </c>
      <c r="B1275" s="53" t="s">
        <v>249</v>
      </c>
      <c r="C1275" s="53" t="s">
        <v>4139</v>
      </c>
      <c r="D1275" s="53" t="s">
        <v>4142</v>
      </c>
      <c r="E1275" s="36">
        <v>44212.121212127277</v>
      </c>
      <c r="F1275" s="53" t="s">
        <v>4073</v>
      </c>
      <c r="H1275" s="47" t="str">
        <f t="shared" si="57"/>
        <v>ANDINA</v>
      </c>
      <c r="I1275" s="6">
        <f t="shared" si="58"/>
        <v>44212.121212127277</v>
      </c>
      <c r="J1275" s="47">
        <f t="shared" si="59"/>
        <v>44212.121212127277</v>
      </c>
    </row>
    <row r="1276" spans="1:10">
      <c r="A1276" s="29" t="s">
        <v>3837</v>
      </c>
      <c r="B1276" s="53" t="s">
        <v>249</v>
      </c>
      <c r="C1276" s="53" t="s">
        <v>4139</v>
      </c>
      <c r="D1276" s="53" t="s">
        <v>4142</v>
      </c>
      <c r="E1276" s="36">
        <v>44212.121212127277</v>
      </c>
      <c r="F1276" s="53" t="s">
        <v>4073</v>
      </c>
      <c r="H1276" s="47" t="str">
        <f t="shared" si="57"/>
        <v>AMAZONIA</v>
      </c>
      <c r="I1276" s="6">
        <f t="shared" si="58"/>
        <v>44212.121212127277</v>
      </c>
      <c r="J1276" s="47">
        <f t="shared" si="59"/>
        <v>44212.121212127277</v>
      </c>
    </row>
    <row r="1277" spans="1:10">
      <c r="A1277" s="29" t="s">
        <v>3838</v>
      </c>
      <c r="B1277" s="53" t="s">
        <v>249</v>
      </c>
      <c r="C1277" s="53" t="s">
        <v>4139</v>
      </c>
      <c r="D1277" s="53" t="s">
        <v>4142</v>
      </c>
      <c r="E1277" s="36">
        <v>44212.121212127277</v>
      </c>
      <c r="F1277" s="53" t="s">
        <v>4073</v>
      </c>
      <c r="H1277" s="47" t="str">
        <f t="shared" si="57"/>
        <v>ORINOQUIA</v>
      </c>
      <c r="I1277" s="6">
        <f t="shared" si="58"/>
        <v>44212.121212127277</v>
      </c>
      <c r="J1277" s="47">
        <f t="shared" si="59"/>
        <v>44212.121212127277</v>
      </c>
    </row>
    <row r="1278" spans="1:10">
      <c r="A1278" s="29" t="s">
        <v>3839</v>
      </c>
      <c r="B1278" s="53" t="s">
        <v>249</v>
      </c>
      <c r="C1278" s="53" t="s">
        <v>4139</v>
      </c>
      <c r="D1278" s="53" t="s">
        <v>4142</v>
      </c>
      <c r="E1278" s="36">
        <v>44212.121212127277</v>
      </c>
      <c r="F1278" s="53" t="s">
        <v>4073</v>
      </c>
      <c r="H1278" s="47" t="str">
        <f t="shared" si="57"/>
        <v>PACIFICO</v>
      </c>
      <c r="I1278" s="6">
        <f t="shared" si="58"/>
        <v>44212.121212127277</v>
      </c>
      <c r="J1278" s="47">
        <f t="shared" si="59"/>
        <v>44212.121212127277</v>
      </c>
    </row>
    <row r="1279" spans="1:10">
      <c r="A1279" s="29" t="s">
        <v>3840</v>
      </c>
      <c r="B1279" s="53" t="s">
        <v>249</v>
      </c>
      <c r="C1279" s="53" t="s">
        <v>4139</v>
      </c>
      <c r="D1279" s="53" t="s">
        <v>4142</v>
      </c>
      <c r="E1279" s="36">
        <v>44212.121212127277</v>
      </c>
      <c r="F1279" s="53" t="s">
        <v>4073</v>
      </c>
      <c r="H1279" s="47" t="str">
        <f t="shared" si="57"/>
        <v>CARIBE</v>
      </c>
      <c r="I1279" s="6">
        <f t="shared" si="58"/>
        <v>44212.121212127277</v>
      </c>
      <c r="J1279" s="47">
        <f t="shared" si="59"/>
        <v>44212.121212127277</v>
      </c>
    </row>
    <row r="1280" spans="1:10">
      <c r="A1280" s="29" t="s">
        <v>3841</v>
      </c>
      <c r="B1280" s="53" t="s">
        <v>249</v>
      </c>
      <c r="C1280" s="53" t="s">
        <v>4139</v>
      </c>
      <c r="D1280" s="53" t="s">
        <v>4142</v>
      </c>
      <c r="E1280" s="36">
        <v>44212.121212127277</v>
      </c>
      <c r="F1280" s="53" t="s">
        <v>4073</v>
      </c>
      <c r="H1280" s="47" t="str">
        <f t="shared" si="57"/>
        <v>CARIBE</v>
      </c>
      <c r="I1280" s="6">
        <f t="shared" si="58"/>
        <v>44212.121212127277</v>
      </c>
      <c r="J1280" s="47">
        <f t="shared" si="59"/>
        <v>44212.121212127277</v>
      </c>
    </row>
    <row r="1281" spans="1:10">
      <c r="A1281" s="29" t="s">
        <v>3842</v>
      </c>
      <c r="B1281" s="53" t="s">
        <v>249</v>
      </c>
      <c r="C1281" s="53" t="s">
        <v>4139</v>
      </c>
      <c r="D1281" s="53" t="s">
        <v>4142</v>
      </c>
      <c r="E1281" s="36">
        <v>44212.121212127277</v>
      </c>
      <c r="F1281" s="53" t="s">
        <v>4073</v>
      </c>
      <c r="H1281" s="47" t="str">
        <f t="shared" si="57"/>
        <v>ANDINA</v>
      </c>
      <c r="I1281" s="6">
        <f t="shared" si="58"/>
        <v>44212.121212127277</v>
      </c>
      <c r="J1281" s="47">
        <f t="shared" si="59"/>
        <v>44212.121212127277</v>
      </c>
    </row>
    <row r="1282" spans="1:10">
      <c r="A1282" s="29" t="s">
        <v>3843</v>
      </c>
      <c r="B1282" s="53" t="s">
        <v>249</v>
      </c>
      <c r="C1282" s="53" t="s">
        <v>4139</v>
      </c>
      <c r="D1282" s="53" t="s">
        <v>4142</v>
      </c>
      <c r="E1282" s="36">
        <v>44212.121212127277</v>
      </c>
      <c r="F1282" s="53" t="s">
        <v>4073</v>
      </c>
      <c r="H1282" s="47" t="str">
        <f t="shared" ref="H1282:H1345" si="60">IF(OR(A1282="Antioquia",A1282="Bogotá, D.C.",A1282="Boyacá",A1282="Cundinamarca",A1282="Caldas",A1282="Risaralda",A1282="Quindío",A1282="Tolima",A1282="Huila",A1282="Santander",A1282="Norte de Santander"),"ANDINA",
IF(OR(A1282="Atlántico",A1282="Bolívar",A1282="Cesar",A1282="Córdoba",A1282="Sucre",A1282="Magdalena"),"CARIBE",
IF(OR(A1282="Valle del Cauca",A1282="Cauca",A1282="Nariño"),"PACIFICO",
IF(OR(A1282="Meta",A1282="Casanare",A1282="Arauca"),"ORINOQUIA",
"AMAZONIA"))))</f>
        <v>ANDINA</v>
      </c>
      <c r="I1282" s="6">
        <f t="shared" ref="I1282:I1345" si="61">IF(F1282="Departamental",E1282,
AVERAGEIFS($E:$E,$H:$H,H1282,$B:$B,B1282,$C:$C,C1282))</f>
        <v>44212.121212127277</v>
      </c>
      <c r="J1282" s="47">
        <f t="shared" si="59"/>
        <v>44212.121212127277</v>
      </c>
    </row>
    <row r="1283" spans="1:10">
      <c r="A1283" s="29" t="s">
        <v>3845</v>
      </c>
      <c r="B1283" s="53" t="s">
        <v>249</v>
      </c>
      <c r="C1283" s="53" t="s">
        <v>4139</v>
      </c>
      <c r="D1283" s="53" t="s">
        <v>4142</v>
      </c>
      <c r="E1283" s="36">
        <v>44212.121212127277</v>
      </c>
      <c r="F1283" s="53" t="s">
        <v>4073</v>
      </c>
      <c r="H1283" s="47" t="str">
        <f t="shared" si="60"/>
        <v>ORINOQUIA</v>
      </c>
      <c r="I1283" s="6">
        <f t="shared" si="61"/>
        <v>44212.121212127277</v>
      </c>
      <c r="J1283" s="47">
        <f t="shared" ref="J1283:J1346" si="62">IF(G1283&lt;&gt;"",G1283,I1283)</f>
        <v>44212.121212127277</v>
      </c>
    </row>
    <row r="1284" spans="1:10">
      <c r="A1284" s="29" t="s">
        <v>3846</v>
      </c>
      <c r="B1284" s="53" t="s">
        <v>249</v>
      </c>
      <c r="C1284" s="53" t="s">
        <v>4139</v>
      </c>
      <c r="D1284" s="53" t="s">
        <v>4142</v>
      </c>
      <c r="E1284" s="36">
        <v>44212.121212127277</v>
      </c>
      <c r="F1284" s="53" t="s">
        <v>4073</v>
      </c>
      <c r="H1284" s="47" t="str">
        <f t="shared" si="60"/>
        <v>PACIFICO</v>
      </c>
      <c r="I1284" s="6">
        <f t="shared" si="61"/>
        <v>44212.121212127277</v>
      </c>
      <c r="J1284" s="47">
        <f t="shared" si="62"/>
        <v>44212.121212127277</v>
      </c>
    </row>
    <row r="1285" spans="1:10">
      <c r="A1285" s="29" t="s">
        <v>3847</v>
      </c>
      <c r="B1285" s="53" t="s">
        <v>249</v>
      </c>
      <c r="C1285" s="53" t="s">
        <v>4139</v>
      </c>
      <c r="D1285" s="53" t="s">
        <v>4142</v>
      </c>
      <c r="E1285" s="36">
        <v>44212.121212127277</v>
      </c>
      <c r="F1285" s="53" t="s">
        <v>4073</v>
      </c>
      <c r="H1285" s="47" t="str">
        <f t="shared" si="60"/>
        <v>ANDINA</v>
      </c>
      <c r="I1285" s="6">
        <f t="shared" si="61"/>
        <v>44212.121212127277</v>
      </c>
      <c r="J1285" s="47">
        <f t="shared" si="62"/>
        <v>44212.121212127277</v>
      </c>
    </row>
    <row r="1286" spans="1:10">
      <c r="A1286" s="29" t="s">
        <v>3848</v>
      </c>
      <c r="B1286" s="53" t="s">
        <v>249</v>
      </c>
      <c r="C1286" s="53" t="s">
        <v>4139</v>
      </c>
      <c r="D1286" s="53" t="s">
        <v>4142</v>
      </c>
      <c r="E1286" s="36">
        <v>44212.121212127277</v>
      </c>
      <c r="F1286" s="53" t="s">
        <v>4073</v>
      </c>
      <c r="H1286" s="47" t="str">
        <f t="shared" si="60"/>
        <v>AMAZONIA</v>
      </c>
      <c r="I1286" s="6">
        <f t="shared" si="61"/>
        <v>44212.121212127277</v>
      </c>
      <c r="J1286" s="47">
        <f t="shared" si="62"/>
        <v>44212.121212127277</v>
      </c>
    </row>
    <row r="1287" spans="1:10">
      <c r="A1287" s="29" t="s">
        <v>3849</v>
      </c>
      <c r="B1287" s="53" t="s">
        <v>249</v>
      </c>
      <c r="C1287" s="53" t="s">
        <v>4139</v>
      </c>
      <c r="D1287" s="53" t="s">
        <v>4142</v>
      </c>
      <c r="E1287" s="36">
        <v>44212.121212127277</v>
      </c>
      <c r="F1287" s="53" t="s">
        <v>4073</v>
      </c>
      <c r="H1287" s="47" t="str">
        <f t="shared" si="60"/>
        <v>ANDINA</v>
      </c>
      <c r="I1287" s="6">
        <f t="shared" si="61"/>
        <v>44212.121212127277</v>
      </c>
      <c r="J1287" s="47">
        <f t="shared" si="62"/>
        <v>44212.121212127277</v>
      </c>
    </row>
    <row r="1288" spans="1:10">
      <c r="A1288" s="29" t="s">
        <v>3850</v>
      </c>
      <c r="B1288" s="53" t="s">
        <v>249</v>
      </c>
      <c r="C1288" s="53" t="s">
        <v>4139</v>
      </c>
      <c r="D1288" s="53" t="s">
        <v>4142</v>
      </c>
      <c r="E1288" s="36">
        <v>44212.121212127277</v>
      </c>
      <c r="F1288" s="53" t="s">
        <v>4073</v>
      </c>
      <c r="H1288" s="47" t="str">
        <f t="shared" si="60"/>
        <v>ANDINA</v>
      </c>
      <c r="I1288" s="6">
        <f t="shared" si="61"/>
        <v>44212.121212127277</v>
      </c>
      <c r="J1288" s="47">
        <f t="shared" si="62"/>
        <v>44212.121212127277</v>
      </c>
    </row>
    <row r="1289" spans="1:10">
      <c r="A1289" s="29" t="s">
        <v>3851</v>
      </c>
      <c r="B1289" s="53" t="s">
        <v>249</v>
      </c>
      <c r="C1289" s="53" t="s">
        <v>4139</v>
      </c>
      <c r="D1289" s="53" t="s">
        <v>4142</v>
      </c>
      <c r="E1289" s="36">
        <v>44212.121212127277</v>
      </c>
      <c r="F1289" s="53" t="s">
        <v>4073</v>
      </c>
      <c r="H1289" s="47" t="str">
        <f t="shared" si="60"/>
        <v>ANDINA</v>
      </c>
      <c r="I1289" s="6">
        <f t="shared" si="61"/>
        <v>44212.121212127277</v>
      </c>
      <c r="J1289" s="47">
        <f t="shared" si="62"/>
        <v>44212.121212127277</v>
      </c>
    </row>
    <row r="1290" spans="1:10">
      <c r="A1290" s="29" t="s">
        <v>3853</v>
      </c>
      <c r="B1290" s="53" t="s">
        <v>249</v>
      </c>
      <c r="C1290" s="53" t="s">
        <v>4139</v>
      </c>
      <c r="D1290" s="53" t="s">
        <v>4142</v>
      </c>
      <c r="E1290" s="36">
        <v>44212.121212127277</v>
      </c>
      <c r="F1290" s="53" t="s">
        <v>4073</v>
      </c>
      <c r="H1290" s="47" t="str">
        <f t="shared" si="60"/>
        <v>ANDINA</v>
      </c>
      <c r="I1290" s="6">
        <f t="shared" si="61"/>
        <v>44212.121212127277</v>
      </c>
      <c r="J1290" s="47">
        <f t="shared" si="62"/>
        <v>44212.121212127277</v>
      </c>
    </row>
    <row r="1291" spans="1:10">
      <c r="A1291" s="29" t="s">
        <v>3854</v>
      </c>
      <c r="B1291" s="53" t="s">
        <v>249</v>
      </c>
      <c r="C1291" s="53" t="s">
        <v>4139</v>
      </c>
      <c r="D1291" s="53" t="s">
        <v>4142</v>
      </c>
      <c r="E1291" s="36">
        <v>44212.121212127277</v>
      </c>
      <c r="F1291" s="53" t="s">
        <v>4073</v>
      </c>
      <c r="H1291" s="47" t="str">
        <f t="shared" si="60"/>
        <v>PACIFICO</v>
      </c>
      <c r="I1291" s="6">
        <f t="shared" si="61"/>
        <v>44212.121212127277</v>
      </c>
      <c r="J1291" s="47">
        <f t="shared" si="62"/>
        <v>44212.121212127277</v>
      </c>
    </row>
    <row r="1292" spans="1:10">
      <c r="A1292" s="29" t="s">
        <v>4076</v>
      </c>
      <c r="B1292" s="53" t="s">
        <v>249</v>
      </c>
      <c r="C1292" s="53" t="s">
        <v>4139</v>
      </c>
      <c r="D1292" s="53" t="s">
        <v>4142</v>
      </c>
      <c r="E1292" s="36">
        <v>44212.121212127277</v>
      </c>
      <c r="F1292" s="53" t="s">
        <v>4073</v>
      </c>
      <c r="H1292" s="47" t="str">
        <f t="shared" si="60"/>
        <v>AMAZONIA</v>
      </c>
      <c r="I1292" s="6">
        <f t="shared" si="61"/>
        <v>44212.121212127277</v>
      </c>
      <c r="J1292" s="47">
        <f t="shared" si="62"/>
        <v>44212.121212127277</v>
      </c>
    </row>
    <row r="1293" spans="1:10">
      <c r="A1293" s="29" t="s">
        <v>3831</v>
      </c>
      <c r="B1293" s="53" t="s">
        <v>249</v>
      </c>
      <c r="C1293" s="53" t="s">
        <v>4140</v>
      </c>
      <c r="D1293" s="53" t="s">
        <v>4142</v>
      </c>
      <c r="E1293" s="36">
        <v>47209.529853484622</v>
      </c>
      <c r="F1293" s="53" t="s">
        <v>4074</v>
      </c>
      <c r="H1293" s="47" t="str">
        <f t="shared" si="60"/>
        <v>ANDINA</v>
      </c>
      <c r="I1293" s="6">
        <f t="shared" si="61"/>
        <v>47209.529853484622</v>
      </c>
      <c r="J1293" s="47">
        <f t="shared" si="62"/>
        <v>47209.529853484622</v>
      </c>
    </row>
    <row r="1294" spans="1:10">
      <c r="A1294" s="29" t="s">
        <v>4075</v>
      </c>
      <c r="B1294" s="53" t="s">
        <v>249</v>
      </c>
      <c r="C1294" s="53" t="s">
        <v>4140</v>
      </c>
      <c r="D1294" s="53" t="s">
        <v>4142</v>
      </c>
      <c r="E1294" s="36">
        <v>50362.879629641662</v>
      </c>
      <c r="F1294" s="53" t="s">
        <v>4074</v>
      </c>
      <c r="H1294" s="47" t="str">
        <f t="shared" si="60"/>
        <v>ANDINA</v>
      </c>
      <c r="I1294" s="6">
        <f t="shared" si="61"/>
        <v>50362.879629641662</v>
      </c>
      <c r="J1294" s="47">
        <f t="shared" si="62"/>
        <v>50362.879629641662</v>
      </c>
    </row>
    <row r="1295" spans="1:10">
      <c r="A1295" s="29" t="s">
        <v>3835</v>
      </c>
      <c r="B1295" s="53" t="s">
        <v>249</v>
      </c>
      <c r="C1295" s="53" t="s">
        <v>4140</v>
      </c>
      <c r="D1295" s="53" t="s">
        <v>4142</v>
      </c>
      <c r="E1295" s="36">
        <v>49381.315789473687</v>
      </c>
      <c r="F1295" s="53" t="s">
        <v>4074</v>
      </c>
      <c r="H1295" s="47" t="str">
        <f t="shared" si="60"/>
        <v>ANDINA</v>
      </c>
      <c r="I1295" s="6">
        <f t="shared" si="61"/>
        <v>49381.315789473687</v>
      </c>
      <c r="J1295" s="47">
        <f t="shared" si="62"/>
        <v>49381.315789473687</v>
      </c>
    </row>
    <row r="1296" spans="1:10">
      <c r="A1296" s="29" t="s">
        <v>3836</v>
      </c>
      <c r="B1296" s="53" t="s">
        <v>249</v>
      </c>
      <c r="C1296" s="53" t="s">
        <v>4140</v>
      </c>
      <c r="D1296" s="53" t="s">
        <v>4142</v>
      </c>
      <c r="E1296" s="36">
        <v>50833.333333333336</v>
      </c>
      <c r="F1296" s="53" t="s">
        <v>4074</v>
      </c>
      <c r="H1296" s="47" t="str">
        <f t="shared" si="60"/>
        <v>ANDINA</v>
      </c>
      <c r="I1296" s="6">
        <f t="shared" si="61"/>
        <v>50833.333333333336</v>
      </c>
      <c r="J1296" s="47">
        <f t="shared" si="62"/>
        <v>50833.333333333336</v>
      </c>
    </row>
    <row r="1297" spans="1:10">
      <c r="A1297" s="29" t="s">
        <v>3837</v>
      </c>
      <c r="B1297" s="53" t="s">
        <v>249</v>
      </c>
      <c r="C1297" s="53" t="s">
        <v>4140</v>
      </c>
      <c r="D1297" s="53" t="s">
        <v>4142</v>
      </c>
      <c r="E1297" s="36">
        <v>44212.121212127277</v>
      </c>
      <c r="F1297" s="53" t="s">
        <v>4073</v>
      </c>
      <c r="H1297" s="47" t="str">
        <f t="shared" si="60"/>
        <v>AMAZONIA</v>
      </c>
      <c r="I1297" s="6">
        <f t="shared" si="61"/>
        <v>44212.121212127277</v>
      </c>
      <c r="J1297" s="47">
        <f t="shared" si="62"/>
        <v>44212.121212127277</v>
      </c>
    </row>
    <row r="1298" spans="1:10">
      <c r="A1298" s="29" t="s">
        <v>3838</v>
      </c>
      <c r="B1298" s="53" t="s">
        <v>249</v>
      </c>
      <c r="C1298" s="53" t="s">
        <v>4140</v>
      </c>
      <c r="D1298" s="53" t="s">
        <v>4142</v>
      </c>
      <c r="E1298" s="36">
        <v>44212.121212127277</v>
      </c>
      <c r="F1298" s="53" t="s">
        <v>4073</v>
      </c>
      <c r="H1298" s="47" t="str">
        <f t="shared" si="60"/>
        <v>ORINOQUIA</v>
      </c>
      <c r="I1298" s="6">
        <f t="shared" si="61"/>
        <v>38808.080808084851</v>
      </c>
      <c r="J1298" s="47">
        <f t="shared" si="62"/>
        <v>38808.080808084851</v>
      </c>
    </row>
    <row r="1299" spans="1:10">
      <c r="A1299" s="29" t="s">
        <v>3839</v>
      </c>
      <c r="B1299" s="53" t="s">
        <v>249</v>
      </c>
      <c r="C1299" s="53" t="s">
        <v>4140</v>
      </c>
      <c r="D1299" s="53" t="s">
        <v>4142</v>
      </c>
      <c r="E1299" s="36">
        <v>44212.121212127277</v>
      </c>
      <c r="F1299" s="53" t="s">
        <v>4073</v>
      </c>
      <c r="H1299" s="47" t="str">
        <f t="shared" si="60"/>
        <v>PACIFICO</v>
      </c>
      <c r="I1299" s="6">
        <f t="shared" si="61"/>
        <v>51276.752822343406</v>
      </c>
      <c r="J1299" s="47">
        <f t="shared" si="62"/>
        <v>51276.752822343406</v>
      </c>
    </row>
    <row r="1300" spans="1:10">
      <c r="A1300" s="29" t="s">
        <v>3840</v>
      </c>
      <c r="B1300" s="53" t="s">
        <v>249</v>
      </c>
      <c r="C1300" s="53" t="s">
        <v>4140</v>
      </c>
      <c r="D1300" s="53" t="s">
        <v>4142</v>
      </c>
      <c r="E1300" s="36">
        <v>56010</v>
      </c>
      <c r="F1300" s="53" t="s">
        <v>4074</v>
      </c>
      <c r="H1300" s="47" t="str">
        <f t="shared" si="60"/>
        <v>CARIBE</v>
      </c>
      <c r="I1300" s="6">
        <f t="shared" si="61"/>
        <v>56010</v>
      </c>
      <c r="J1300" s="47">
        <f t="shared" si="62"/>
        <v>56010</v>
      </c>
    </row>
    <row r="1301" spans="1:10">
      <c r="A1301" s="29" t="s">
        <v>3841</v>
      </c>
      <c r="B1301" s="53" t="s">
        <v>249</v>
      </c>
      <c r="C1301" s="53" t="s">
        <v>4140</v>
      </c>
      <c r="D1301" s="53" t="s">
        <v>4142</v>
      </c>
      <c r="E1301" s="36">
        <v>44212.121212127277</v>
      </c>
      <c r="F1301" s="53" t="s">
        <v>4073</v>
      </c>
      <c r="H1301" s="47" t="str">
        <f t="shared" si="60"/>
        <v>CARIBE</v>
      </c>
      <c r="I1301" s="6">
        <f t="shared" si="61"/>
        <v>36844.424242425455</v>
      </c>
      <c r="J1301" s="47">
        <f t="shared" si="62"/>
        <v>36844.424242425455</v>
      </c>
    </row>
    <row r="1302" spans="1:10">
      <c r="A1302" s="29" t="s">
        <v>3842</v>
      </c>
      <c r="B1302" s="53" t="s">
        <v>249</v>
      </c>
      <c r="C1302" s="53" t="s">
        <v>4140</v>
      </c>
      <c r="D1302" s="53" t="s">
        <v>4142</v>
      </c>
      <c r="E1302" s="36">
        <v>48258.527777778043</v>
      </c>
      <c r="F1302" s="53" t="s">
        <v>4074</v>
      </c>
      <c r="H1302" s="47" t="str">
        <f t="shared" si="60"/>
        <v>ANDINA</v>
      </c>
      <c r="I1302" s="6">
        <f t="shared" si="61"/>
        <v>48258.527777778043</v>
      </c>
      <c r="J1302" s="47">
        <f t="shared" si="62"/>
        <v>48258.527777778043</v>
      </c>
    </row>
    <row r="1303" spans="1:10">
      <c r="A1303" s="29" t="s">
        <v>3843</v>
      </c>
      <c r="B1303" s="53" t="s">
        <v>249</v>
      </c>
      <c r="C1303" s="53" t="s">
        <v>4140</v>
      </c>
      <c r="D1303" s="53" t="s">
        <v>4142</v>
      </c>
      <c r="E1303" s="36">
        <v>56128.7356321724</v>
      </c>
      <c r="F1303" s="53" t="s">
        <v>4074</v>
      </c>
      <c r="H1303" s="47" t="str">
        <f t="shared" si="60"/>
        <v>ANDINA</v>
      </c>
      <c r="I1303" s="6">
        <f t="shared" si="61"/>
        <v>56128.7356321724</v>
      </c>
      <c r="J1303" s="47">
        <f t="shared" si="62"/>
        <v>56128.7356321724</v>
      </c>
    </row>
    <row r="1304" spans="1:10">
      <c r="A1304" s="29" t="s">
        <v>3845</v>
      </c>
      <c r="B1304" s="53" t="s">
        <v>249</v>
      </c>
      <c r="C1304" s="53" t="s">
        <v>4140</v>
      </c>
      <c r="D1304" s="53" t="s">
        <v>4142</v>
      </c>
      <c r="E1304" s="36">
        <v>44212.121212127277</v>
      </c>
      <c r="F1304" s="53" t="s">
        <v>4074</v>
      </c>
      <c r="H1304" s="47" t="str">
        <f t="shared" si="60"/>
        <v>ORINOQUIA</v>
      </c>
      <c r="I1304" s="6">
        <f t="shared" si="61"/>
        <v>44212.121212127277</v>
      </c>
      <c r="J1304" s="47">
        <f t="shared" si="62"/>
        <v>44212.121212127277</v>
      </c>
    </row>
    <row r="1305" spans="1:10">
      <c r="A1305" s="29" t="s">
        <v>3846</v>
      </c>
      <c r="B1305" s="53" t="s">
        <v>249</v>
      </c>
      <c r="C1305" s="53" t="s">
        <v>4140</v>
      </c>
      <c r="D1305" s="53" t="s">
        <v>4142</v>
      </c>
      <c r="E1305" s="36">
        <v>58350</v>
      </c>
      <c r="F1305" s="53" t="s">
        <v>4074</v>
      </c>
      <c r="H1305" s="47" t="str">
        <f t="shared" si="60"/>
        <v>PACIFICO</v>
      </c>
      <c r="I1305" s="6">
        <f t="shared" si="61"/>
        <v>58350</v>
      </c>
      <c r="J1305" s="47">
        <f t="shared" si="62"/>
        <v>58350</v>
      </c>
    </row>
    <row r="1306" spans="1:10">
      <c r="A1306" s="29" t="s">
        <v>3847</v>
      </c>
      <c r="B1306" s="53" t="s">
        <v>249</v>
      </c>
      <c r="C1306" s="53" t="s">
        <v>4140</v>
      </c>
      <c r="D1306" s="53" t="s">
        <v>4142</v>
      </c>
      <c r="E1306" s="36">
        <v>44212.121212127277</v>
      </c>
      <c r="F1306" s="53" t="s">
        <v>4073</v>
      </c>
      <c r="H1306" s="47" t="str">
        <f t="shared" si="60"/>
        <v>ANDINA</v>
      </c>
      <c r="I1306" s="6">
        <f t="shared" si="61"/>
        <v>50805.013713513217</v>
      </c>
      <c r="J1306" s="47">
        <f t="shared" si="62"/>
        <v>50805.013713513217</v>
      </c>
    </row>
    <row r="1307" spans="1:10">
      <c r="A1307" s="29" t="s">
        <v>3848</v>
      </c>
      <c r="B1307" s="53" t="s">
        <v>249</v>
      </c>
      <c r="C1307" s="53" t="s">
        <v>4140</v>
      </c>
      <c r="D1307" s="53" t="s">
        <v>4142</v>
      </c>
      <c r="E1307" s="36">
        <v>44212.121212127277</v>
      </c>
      <c r="F1307" s="53" t="s">
        <v>4073</v>
      </c>
      <c r="H1307" s="47" t="str">
        <f t="shared" si="60"/>
        <v>AMAZONIA</v>
      </c>
      <c r="I1307" s="6">
        <f t="shared" si="61"/>
        <v>44212.121212127277</v>
      </c>
      <c r="J1307" s="47">
        <f t="shared" si="62"/>
        <v>44212.121212127277</v>
      </c>
    </row>
    <row r="1308" spans="1:10">
      <c r="A1308" s="29" t="s">
        <v>3849</v>
      </c>
      <c r="B1308" s="53" t="s">
        <v>249</v>
      </c>
      <c r="C1308" s="53" t="s">
        <v>4140</v>
      </c>
      <c r="D1308" s="53" t="s">
        <v>4142</v>
      </c>
      <c r="E1308" s="36">
        <v>47835.416666666664</v>
      </c>
      <c r="F1308" s="53" t="s">
        <v>4074</v>
      </c>
      <c r="H1308" s="47" t="str">
        <f t="shared" si="60"/>
        <v>ANDINA</v>
      </c>
      <c r="I1308" s="6">
        <f t="shared" si="61"/>
        <v>47835.416666666664</v>
      </c>
      <c r="J1308" s="47">
        <f t="shared" si="62"/>
        <v>47835.416666666664</v>
      </c>
    </row>
    <row r="1309" spans="1:10">
      <c r="A1309" s="29" t="s">
        <v>3850</v>
      </c>
      <c r="B1309" s="53" t="s">
        <v>249</v>
      </c>
      <c r="C1309" s="53" t="s">
        <v>4140</v>
      </c>
      <c r="D1309" s="53" t="s">
        <v>4142</v>
      </c>
      <c r="E1309" s="36">
        <v>54126.063829787236</v>
      </c>
      <c r="F1309" s="53" t="s">
        <v>4074</v>
      </c>
      <c r="H1309" s="47" t="str">
        <f t="shared" si="60"/>
        <v>ANDINA</v>
      </c>
      <c r="I1309" s="6">
        <f t="shared" si="61"/>
        <v>54126.063829787236</v>
      </c>
      <c r="J1309" s="47">
        <f t="shared" si="62"/>
        <v>54126.063829787236</v>
      </c>
    </row>
    <row r="1310" spans="1:10">
      <c r="A1310" s="29" t="s">
        <v>3851</v>
      </c>
      <c r="B1310" s="53" t="s">
        <v>249</v>
      </c>
      <c r="C1310" s="53" t="s">
        <v>4140</v>
      </c>
      <c r="D1310" s="53" t="s">
        <v>4142</v>
      </c>
      <c r="E1310" s="36">
        <v>54711.369281045096</v>
      </c>
      <c r="F1310" s="53" t="s">
        <v>4074</v>
      </c>
      <c r="H1310" s="47" t="str">
        <f t="shared" si="60"/>
        <v>ANDINA</v>
      </c>
      <c r="I1310" s="6">
        <f t="shared" si="61"/>
        <v>54711.369281045096</v>
      </c>
      <c r="J1310" s="47">
        <f t="shared" si="62"/>
        <v>54711.369281045096</v>
      </c>
    </row>
    <row r="1311" spans="1:10">
      <c r="A1311" s="29" t="s">
        <v>3853</v>
      </c>
      <c r="B1311" s="53" t="s">
        <v>249</v>
      </c>
      <c r="C1311" s="53" t="s">
        <v>4140</v>
      </c>
      <c r="D1311" s="53" t="s">
        <v>4142</v>
      </c>
      <c r="E1311" s="36">
        <v>55795.857843135294</v>
      </c>
      <c r="F1311" s="53" t="s">
        <v>4074</v>
      </c>
      <c r="H1311" s="47" t="str">
        <f t="shared" si="60"/>
        <v>ANDINA</v>
      </c>
      <c r="I1311" s="6">
        <f t="shared" si="61"/>
        <v>55795.857843135294</v>
      </c>
      <c r="J1311" s="47">
        <f t="shared" si="62"/>
        <v>55795.857843135294</v>
      </c>
    </row>
    <row r="1312" spans="1:10">
      <c r="A1312" s="29" t="s">
        <v>3854</v>
      </c>
      <c r="B1312" s="53" t="s">
        <v>249</v>
      </c>
      <c r="C1312" s="53" t="s">
        <v>4140</v>
      </c>
      <c r="D1312" s="53" t="s">
        <v>4142</v>
      </c>
      <c r="E1312" s="36">
        <v>51268.13725490294</v>
      </c>
      <c r="F1312" s="53" t="s">
        <v>4074</v>
      </c>
      <c r="H1312" s="47" t="str">
        <f t="shared" si="60"/>
        <v>PACIFICO</v>
      </c>
      <c r="I1312" s="6">
        <f t="shared" si="61"/>
        <v>51268.13725490294</v>
      </c>
      <c r="J1312" s="47">
        <f t="shared" si="62"/>
        <v>51268.13725490294</v>
      </c>
    </row>
    <row r="1313" spans="1:10">
      <c r="A1313" s="29" t="s">
        <v>4076</v>
      </c>
      <c r="B1313" s="53" t="s">
        <v>249</v>
      </c>
      <c r="C1313" s="53" t="s">
        <v>4141</v>
      </c>
      <c r="D1313" s="53" t="s">
        <v>4142</v>
      </c>
      <c r="E1313" s="36">
        <v>45014.916003855331</v>
      </c>
      <c r="F1313" s="53" t="s">
        <v>4073</v>
      </c>
      <c r="H1313" s="47" t="str">
        <f t="shared" si="60"/>
        <v>AMAZONIA</v>
      </c>
      <c r="I1313" s="6">
        <f t="shared" si="61"/>
        <v>45014.916003855331</v>
      </c>
      <c r="J1313" s="47">
        <f t="shared" si="62"/>
        <v>45014.916003855331</v>
      </c>
    </row>
    <row r="1314" spans="1:10">
      <c r="A1314" s="29" t="s">
        <v>3831</v>
      </c>
      <c r="B1314" s="53" t="s">
        <v>249</v>
      </c>
      <c r="C1314" s="53" t="s">
        <v>4141</v>
      </c>
      <c r="D1314" s="53" t="s">
        <v>4142</v>
      </c>
      <c r="E1314" s="36">
        <v>40891.683760684617</v>
      </c>
      <c r="F1314" s="53" t="s">
        <v>4074</v>
      </c>
      <c r="H1314" s="47" t="str">
        <f t="shared" si="60"/>
        <v>ANDINA</v>
      </c>
      <c r="I1314" s="6">
        <f t="shared" si="61"/>
        <v>40891.683760684617</v>
      </c>
      <c r="J1314" s="47">
        <f t="shared" si="62"/>
        <v>40891.683760684617</v>
      </c>
    </row>
    <row r="1315" spans="1:10">
      <c r="A1315" s="29" t="s">
        <v>4075</v>
      </c>
      <c r="B1315" s="53" t="s">
        <v>249</v>
      </c>
      <c r="C1315" s="53" t="s">
        <v>4141</v>
      </c>
      <c r="D1315" s="53" t="s">
        <v>4142</v>
      </c>
      <c r="E1315" s="36">
        <v>45375.648148141663</v>
      </c>
      <c r="F1315" s="53" t="s">
        <v>4074</v>
      </c>
      <c r="H1315" s="47" t="str">
        <f t="shared" si="60"/>
        <v>ANDINA</v>
      </c>
      <c r="I1315" s="6">
        <f t="shared" si="61"/>
        <v>45375.648148141663</v>
      </c>
      <c r="J1315" s="47">
        <f t="shared" si="62"/>
        <v>45375.648148141663</v>
      </c>
    </row>
    <row r="1316" spans="1:10">
      <c r="A1316" s="29" t="s">
        <v>3835</v>
      </c>
      <c r="B1316" s="53" t="s">
        <v>249</v>
      </c>
      <c r="C1316" s="53" t="s">
        <v>4141</v>
      </c>
      <c r="D1316" s="53" t="s">
        <v>4142</v>
      </c>
      <c r="E1316" s="36">
        <v>43392.370370368888</v>
      </c>
      <c r="F1316" s="53" t="s">
        <v>4074</v>
      </c>
      <c r="H1316" s="47" t="str">
        <f t="shared" si="60"/>
        <v>ANDINA</v>
      </c>
      <c r="I1316" s="6">
        <f t="shared" si="61"/>
        <v>43392.370370368888</v>
      </c>
      <c r="J1316" s="47">
        <f t="shared" si="62"/>
        <v>43392.370370368888</v>
      </c>
    </row>
    <row r="1317" spans="1:10">
      <c r="A1317" s="29" t="s">
        <v>3836</v>
      </c>
      <c r="B1317" s="53" t="s">
        <v>249</v>
      </c>
      <c r="C1317" s="53" t="s">
        <v>4141</v>
      </c>
      <c r="D1317" s="53" t="s">
        <v>4142</v>
      </c>
      <c r="E1317" s="36">
        <v>47250</v>
      </c>
      <c r="F1317" s="53" t="s">
        <v>4074</v>
      </c>
      <c r="H1317" s="47" t="str">
        <f t="shared" si="60"/>
        <v>ANDINA</v>
      </c>
      <c r="I1317" s="6">
        <f t="shared" si="61"/>
        <v>47250</v>
      </c>
      <c r="J1317" s="47">
        <f t="shared" si="62"/>
        <v>47250</v>
      </c>
    </row>
    <row r="1318" spans="1:10">
      <c r="A1318" s="29" t="s">
        <v>3837</v>
      </c>
      <c r="B1318" s="53" t="s">
        <v>249</v>
      </c>
      <c r="C1318" s="53" t="s">
        <v>4141</v>
      </c>
      <c r="D1318" s="53" t="s">
        <v>4142</v>
      </c>
      <c r="E1318" s="36">
        <v>45014.916003855331</v>
      </c>
      <c r="F1318" s="53" t="s">
        <v>4073</v>
      </c>
      <c r="H1318" s="47" t="str">
        <f t="shared" si="60"/>
        <v>AMAZONIA</v>
      </c>
      <c r="I1318" s="6">
        <f t="shared" si="61"/>
        <v>45014.916003855331</v>
      </c>
      <c r="J1318" s="47">
        <f t="shared" si="62"/>
        <v>45014.916003855331</v>
      </c>
    </row>
    <row r="1319" spans="1:10">
      <c r="A1319" s="29" t="s">
        <v>3838</v>
      </c>
      <c r="B1319" s="53" t="s">
        <v>249</v>
      </c>
      <c r="C1319" s="53" t="s">
        <v>4141</v>
      </c>
      <c r="D1319" s="53" t="s">
        <v>4142</v>
      </c>
      <c r="E1319" s="36">
        <v>45014.916003855331</v>
      </c>
      <c r="F1319" s="53" t="s">
        <v>4073</v>
      </c>
      <c r="H1319" s="47" t="str">
        <f t="shared" si="60"/>
        <v>ORINOQUIA</v>
      </c>
      <c r="I1319" s="6">
        <f t="shared" si="61"/>
        <v>45014.916003855331</v>
      </c>
      <c r="J1319" s="47">
        <f t="shared" si="62"/>
        <v>45014.916003855331</v>
      </c>
    </row>
    <row r="1320" spans="1:10">
      <c r="A1320" s="29" t="s">
        <v>3839</v>
      </c>
      <c r="B1320" s="53" t="s">
        <v>249</v>
      </c>
      <c r="C1320" s="53" t="s">
        <v>4141</v>
      </c>
      <c r="D1320" s="53" t="s">
        <v>4142</v>
      </c>
      <c r="E1320" s="36">
        <v>45014.916003855331</v>
      </c>
      <c r="F1320" s="53" t="s">
        <v>4073</v>
      </c>
      <c r="H1320" s="47" t="str">
        <f t="shared" si="60"/>
        <v>PACIFICO</v>
      </c>
      <c r="I1320" s="6">
        <f t="shared" si="61"/>
        <v>45133.028293757576</v>
      </c>
      <c r="J1320" s="47">
        <f t="shared" si="62"/>
        <v>45133.028293757576</v>
      </c>
    </row>
    <row r="1321" spans="1:10">
      <c r="A1321" s="29" t="s">
        <v>3840</v>
      </c>
      <c r="B1321" s="53" t="s">
        <v>249</v>
      </c>
      <c r="C1321" s="53" t="s">
        <v>4141</v>
      </c>
      <c r="D1321" s="53" t="s">
        <v>4142</v>
      </c>
      <c r="E1321" s="36">
        <v>49700</v>
      </c>
      <c r="F1321" s="53" t="s">
        <v>4074</v>
      </c>
      <c r="H1321" s="47" t="str">
        <f t="shared" si="60"/>
        <v>CARIBE</v>
      </c>
      <c r="I1321" s="6">
        <f t="shared" si="61"/>
        <v>49700</v>
      </c>
      <c r="J1321" s="47">
        <f t="shared" si="62"/>
        <v>49700</v>
      </c>
    </row>
    <row r="1322" spans="1:10">
      <c r="A1322" s="29" t="s">
        <v>3841</v>
      </c>
      <c r="B1322" s="53" t="s">
        <v>249</v>
      </c>
      <c r="C1322" s="53" t="s">
        <v>4141</v>
      </c>
      <c r="D1322" s="53" t="s">
        <v>4142</v>
      </c>
      <c r="E1322" s="36">
        <v>45014.916003855331</v>
      </c>
      <c r="F1322" s="53" t="s">
        <v>4073</v>
      </c>
      <c r="H1322" s="47" t="str">
        <f t="shared" si="60"/>
        <v>CARIBE</v>
      </c>
      <c r="I1322" s="6">
        <f t="shared" si="61"/>
        <v>45951.932803084259</v>
      </c>
      <c r="J1322" s="47">
        <f t="shared" si="62"/>
        <v>45951.932803084259</v>
      </c>
    </row>
    <row r="1323" spans="1:10">
      <c r="A1323" s="29" t="s">
        <v>3842</v>
      </c>
      <c r="B1323" s="53" t="s">
        <v>249</v>
      </c>
      <c r="C1323" s="53" t="s">
        <v>4141</v>
      </c>
      <c r="D1323" s="53" t="s">
        <v>4142</v>
      </c>
      <c r="E1323" s="36">
        <v>42746.452599387158</v>
      </c>
      <c r="F1323" s="53" t="s">
        <v>4074</v>
      </c>
      <c r="H1323" s="47" t="str">
        <f t="shared" si="60"/>
        <v>ANDINA</v>
      </c>
      <c r="I1323" s="6">
        <f t="shared" si="61"/>
        <v>42746.452599387158</v>
      </c>
      <c r="J1323" s="47">
        <f t="shared" si="62"/>
        <v>42746.452599387158</v>
      </c>
    </row>
    <row r="1324" spans="1:10">
      <c r="A1324" s="29" t="s">
        <v>3843</v>
      </c>
      <c r="B1324" s="53" t="s">
        <v>249</v>
      </c>
      <c r="C1324" s="53" t="s">
        <v>4141</v>
      </c>
      <c r="D1324" s="53" t="s">
        <v>4142</v>
      </c>
      <c r="E1324" s="36">
        <v>48051.234567899999</v>
      </c>
      <c r="F1324" s="53" t="s">
        <v>4074</v>
      </c>
      <c r="H1324" s="47" t="str">
        <f t="shared" si="60"/>
        <v>ANDINA</v>
      </c>
      <c r="I1324" s="6">
        <f t="shared" si="61"/>
        <v>48051.234567899999</v>
      </c>
      <c r="J1324" s="47">
        <f t="shared" si="62"/>
        <v>48051.234567899999</v>
      </c>
    </row>
    <row r="1325" spans="1:10">
      <c r="A1325" s="29" t="s">
        <v>3845</v>
      </c>
      <c r="B1325" s="53" t="s">
        <v>249</v>
      </c>
      <c r="C1325" s="53" t="s">
        <v>4141</v>
      </c>
      <c r="D1325" s="53" t="s">
        <v>4142</v>
      </c>
      <c r="E1325" s="36">
        <v>45014.916003855331</v>
      </c>
      <c r="F1325" s="53" t="s">
        <v>4073</v>
      </c>
      <c r="H1325" s="47" t="str">
        <f t="shared" si="60"/>
        <v>ORINOQUIA</v>
      </c>
      <c r="I1325" s="6">
        <f t="shared" si="61"/>
        <v>45014.916003855331</v>
      </c>
      <c r="J1325" s="47">
        <f t="shared" si="62"/>
        <v>45014.916003855331</v>
      </c>
    </row>
    <row r="1326" spans="1:10">
      <c r="A1326" s="29" t="s">
        <v>3846</v>
      </c>
      <c r="B1326" s="53" t="s">
        <v>249</v>
      </c>
      <c r="C1326" s="53" t="s">
        <v>4141</v>
      </c>
      <c r="D1326" s="53" t="s">
        <v>4142</v>
      </c>
      <c r="E1326" s="36">
        <v>45014.916003855331</v>
      </c>
      <c r="F1326" s="53" t="s">
        <v>4073</v>
      </c>
      <c r="H1326" s="47" t="str">
        <f t="shared" si="60"/>
        <v>PACIFICO</v>
      </c>
      <c r="I1326" s="6">
        <f t="shared" si="61"/>
        <v>45133.028293757576</v>
      </c>
      <c r="J1326" s="47">
        <f t="shared" si="62"/>
        <v>45133.028293757576</v>
      </c>
    </row>
    <row r="1327" spans="1:10">
      <c r="A1327" s="29" t="s">
        <v>3847</v>
      </c>
      <c r="B1327" s="53" t="s">
        <v>249</v>
      </c>
      <c r="C1327" s="53" t="s">
        <v>4141</v>
      </c>
      <c r="D1327" s="53" t="s">
        <v>4142</v>
      </c>
      <c r="E1327" s="36">
        <v>45014.916003855331</v>
      </c>
      <c r="F1327" s="53" t="s">
        <v>4073</v>
      </c>
      <c r="H1327" s="47" t="str">
        <f t="shared" si="60"/>
        <v>ANDINA</v>
      </c>
      <c r="I1327" s="6">
        <f t="shared" si="61"/>
        <v>45280.742074229202</v>
      </c>
      <c r="J1327" s="47">
        <f t="shared" si="62"/>
        <v>45280.742074229202</v>
      </c>
    </row>
    <row r="1328" spans="1:10">
      <c r="A1328" s="29" t="s">
        <v>3848</v>
      </c>
      <c r="B1328" s="53" t="s">
        <v>249</v>
      </c>
      <c r="C1328" s="53" t="s">
        <v>4141</v>
      </c>
      <c r="D1328" s="53" t="s">
        <v>4142</v>
      </c>
      <c r="E1328" s="36">
        <v>45014.916003855331</v>
      </c>
      <c r="F1328" s="53" t="s">
        <v>4073</v>
      </c>
      <c r="H1328" s="47" t="str">
        <f t="shared" si="60"/>
        <v>AMAZONIA</v>
      </c>
      <c r="I1328" s="6">
        <f t="shared" si="61"/>
        <v>45014.916003855331</v>
      </c>
      <c r="J1328" s="47">
        <f t="shared" si="62"/>
        <v>45014.916003855331</v>
      </c>
    </row>
    <row r="1329" spans="1:10">
      <c r="A1329" s="29" t="s">
        <v>3849</v>
      </c>
      <c r="B1329" s="53" t="s">
        <v>249</v>
      </c>
      <c r="C1329" s="53" t="s">
        <v>4141</v>
      </c>
      <c r="D1329" s="53" t="s">
        <v>4142</v>
      </c>
      <c r="E1329" s="36">
        <v>41514.583333329167</v>
      </c>
      <c r="F1329" s="53" t="s">
        <v>4074</v>
      </c>
      <c r="H1329" s="47" t="str">
        <f t="shared" si="60"/>
        <v>ANDINA</v>
      </c>
      <c r="I1329" s="6">
        <f t="shared" si="61"/>
        <v>41514.583333329167</v>
      </c>
      <c r="J1329" s="47">
        <f t="shared" si="62"/>
        <v>41514.583333329167</v>
      </c>
    </row>
    <row r="1330" spans="1:10">
      <c r="A1330" s="29" t="s">
        <v>3850</v>
      </c>
      <c r="B1330" s="53" t="s">
        <v>249</v>
      </c>
      <c r="C1330" s="53" t="s">
        <v>4141</v>
      </c>
      <c r="D1330" s="53" t="s">
        <v>4142</v>
      </c>
      <c r="E1330" s="36">
        <v>46603.3045977</v>
      </c>
      <c r="F1330" s="53" t="s">
        <v>4074</v>
      </c>
      <c r="H1330" s="47" t="str">
        <f t="shared" si="60"/>
        <v>ANDINA</v>
      </c>
      <c r="I1330" s="6">
        <f t="shared" si="61"/>
        <v>46603.3045977</v>
      </c>
      <c r="J1330" s="47">
        <f t="shared" si="62"/>
        <v>46603.3045977</v>
      </c>
    </row>
    <row r="1331" spans="1:10">
      <c r="A1331" s="29" t="s">
        <v>3851</v>
      </c>
      <c r="B1331" s="53" t="s">
        <v>249</v>
      </c>
      <c r="C1331" s="53" t="s">
        <v>4141</v>
      </c>
      <c r="D1331" s="53" t="s">
        <v>4142</v>
      </c>
      <c r="E1331" s="36">
        <v>48852.670289854344</v>
      </c>
      <c r="F1331" s="53" t="s">
        <v>4074</v>
      </c>
      <c r="H1331" s="47" t="str">
        <f t="shared" si="60"/>
        <v>ANDINA</v>
      </c>
      <c r="I1331" s="6">
        <f t="shared" si="61"/>
        <v>48852.670289854344</v>
      </c>
      <c r="J1331" s="47">
        <f t="shared" si="62"/>
        <v>48852.670289854344</v>
      </c>
    </row>
    <row r="1332" spans="1:10">
      <c r="A1332" s="29" t="s">
        <v>3853</v>
      </c>
      <c r="B1332" s="53" t="s">
        <v>249</v>
      </c>
      <c r="C1332" s="53" t="s">
        <v>4141</v>
      </c>
      <c r="D1332" s="53" t="s">
        <v>4142</v>
      </c>
      <c r="E1332" s="36">
        <v>48395.2991453</v>
      </c>
      <c r="F1332" s="53" t="s">
        <v>4074</v>
      </c>
      <c r="H1332" s="47" t="str">
        <f t="shared" si="60"/>
        <v>ANDINA</v>
      </c>
      <c r="I1332" s="6">
        <f t="shared" si="61"/>
        <v>48395.2991453</v>
      </c>
      <c r="J1332" s="47">
        <f t="shared" si="62"/>
        <v>48395.2991453</v>
      </c>
    </row>
    <row r="1333" spans="1:10">
      <c r="A1333" s="29" t="s">
        <v>3854</v>
      </c>
      <c r="B1333" s="53" t="s">
        <v>249</v>
      </c>
      <c r="C1333" s="53" t="s">
        <v>4141</v>
      </c>
      <c r="D1333" s="53" t="s">
        <v>4142</v>
      </c>
      <c r="E1333" s="36">
        <v>45369.252873562065</v>
      </c>
      <c r="F1333" s="53" t="s">
        <v>4074</v>
      </c>
      <c r="H1333" s="47" t="str">
        <f t="shared" si="60"/>
        <v>PACIFICO</v>
      </c>
      <c r="I1333" s="6">
        <f t="shared" si="61"/>
        <v>45369.252873562065</v>
      </c>
      <c r="J1333" s="47">
        <f t="shared" si="62"/>
        <v>45369.252873562065</v>
      </c>
    </row>
    <row r="1334" spans="1:10">
      <c r="A1334" s="29" t="s">
        <v>4076</v>
      </c>
      <c r="B1334" s="53" t="s">
        <v>249</v>
      </c>
      <c r="C1334" s="53" t="s">
        <v>4141</v>
      </c>
      <c r="D1334" s="53" t="s">
        <v>4142</v>
      </c>
      <c r="E1334" s="36">
        <v>45014.916003855331</v>
      </c>
      <c r="F1334" s="53" t="s">
        <v>4073</v>
      </c>
      <c r="H1334" s="47" t="str">
        <f t="shared" si="60"/>
        <v>AMAZONIA</v>
      </c>
      <c r="I1334" s="6">
        <f t="shared" si="61"/>
        <v>45014.916003855331</v>
      </c>
      <c r="J1334" s="47">
        <f t="shared" si="62"/>
        <v>45014.916003855331</v>
      </c>
    </row>
    <row r="1335" spans="1:10" ht="15">
      <c r="A1335" s="29" t="s">
        <v>3831</v>
      </c>
      <c r="B1335" s="53" t="s">
        <v>180</v>
      </c>
      <c r="C1335" s="57" t="s">
        <v>241</v>
      </c>
      <c r="D1335" s="53" t="s">
        <v>4224</v>
      </c>
      <c r="E1335" s="58">
        <v>27783.173860907915</v>
      </c>
      <c r="F1335" s="53" t="s">
        <v>4073</v>
      </c>
      <c r="H1335" s="47" t="str">
        <f t="shared" si="60"/>
        <v>ANDINA</v>
      </c>
      <c r="I1335" s="6">
        <f t="shared" si="61"/>
        <v>27781.163436282382</v>
      </c>
      <c r="J1335" s="47">
        <f t="shared" si="62"/>
        <v>27781.163436282382</v>
      </c>
    </row>
    <row r="1336" spans="1:10" ht="15">
      <c r="A1336" s="29" t="s">
        <v>4075</v>
      </c>
      <c r="B1336" s="53" t="s">
        <v>180</v>
      </c>
      <c r="C1336" s="57" t="s">
        <v>241</v>
      </c>
      <c r="D1336" s="53" t="s">
        <v>4224</v>
      </c>
      <c r="E1336" s="58">
        <v>27783.173860907915</v>
      </c>
      <c r="F1336" s="53" t="s">
        <v>4073</v>
      </c>
      <c r="H1336" s="47" t="str">
        <f t="shared" si="60"/>
        <v>ANDINA</v>
      </c>
      <c r="I1336" s="6">
        <f t="shared" si="61"/>
        <v>27781.163436282382</v>
      </c>
      <c r="J1336" s="47">
        <f t="shared" si="62"/>
        <v>27781.163436282382</v>
      </c>
    </row>
    <row r="1337" spans="1:10" ht="15">
      <c r="A1337" s="29" t="s">
        <v>3835</v>
      </c>
      <c r="B1337" s="53" t="s">
        <v>180</v>
      </c>
      <c r="C1337" s="57" t="s">
        <v>241</v>
      </c>
      <c r="D1337" s="53" t="s">
        <v>4224</v>
      </c>
      <c r="E1337" s="58">
        <v>27783.173860907915</v>
      </c>
      <c r="F1337" s="53" t="s">
        <v>4073</v>
      </c>
      <c r="H1337" s="47" t="str">
        <f t="shared" si="60"/>
        <v>ANDINA</v>
      </c>
      <c r="I1337" s="6">
        <f t="shared" si="61"/>
        <v>27781.163436282382</v>
      </c>
      <c r="J1337" s="47">
        <f t="shared" si="62"/>
        <v>27781.163436282382</v>
      </c>
    </row>
    <row r="1338" spans="1:10" ht="15">
      <c r="A1338" s="29" t="s">
        <v>3836</v>
      </c>
      <c r="B1338" s="53" t="s">
        <v>180</v>
      </c>
      <c r="C1338" s="57" t="s">
        <v>241</v>
      </c>
      <c r="D1338" s="53" t="s">
        <v>4224</v>
      </c>
      <c r="E1338" s="58">
        <v>27783.173860907915</v>
      </c>
      <c r="F1338" s="53" t="s">
        <v>4073</v>
      </c>
      <c r="H1338" s="47" t="str">
        <f t="shared" si="60"/>
        <v>ANDINA</v>
      </c>
      <c r="I1338" s="6">
        <f t="shared" si="61"/>
        <v>27781.163436282382</v>
      </c>
      <c r="J1338" s="47">
        <f t="shared" si="62"/>
        <v>27781.163436282382</v>
      </c>
    </row>
    <row r="1339" spans="1:10" ht="15">
      <c r="A1339" s="29" t="s">
        <v>3837</v>
      </c>
      <c r="B1339" s="53" t="s">
        <v>180</v>
      </c>
      <c r="C1339" s="57" t="s">
        <v>241</v>
      </c>
      <c r="D1339" s="53" t="s">
        <v>4224</v>
      </c>
      <c r="E1339" s="58">
        <v>27783.173860907915</v>
      </c>
      <c r="F1339" s="53" t="s">
        <v>4073</v>
      </c>
      <c r="H1339" s="47" t="str">
        <f t="shared" si="60"/>
        <v>AMAZONIA</v>
      </c>
      <c r="I1339" s="6">
        <f t="shared" si="61"/>
        <v>27783.173860907915</v>
      </c>
      <c r="J1339" s="47">
        <f t="shared" si="62"/>
        <v>27783.173860907915</v>
      </c>
    </row>
    <row r="1340" spans="1:10" ht="15">
      <c r="A1340" s="29" t="s">
        <v>3838</v>
      </c>
      <c r="B1340" s="53" t="s">
        <v>180</v>
      </c>
      <c r="C1340" s="57" t="s">
        <v>241</v>
      </c>
      <c r="D1340" s="53" t="s">
        <v>4224</v>
      </c>
      <c r="E1340" s="58">
        <v>27783.173860907915</v>
      </c>
      <c r="F1340" s="53" t="s">
        <v>4073</v>
      </c>
      <c r="H1340" s="47" t="str">
        <f t="shared" si="60"/>
        <v>ORINOQUIA</v>
      </c>
      <c r="I1340" s="6">
        <f t="shared" si="61"/>
        <v>27783.173860907908</v>
      </c>
      <c r="J1340" s="47">
        <f t="shared" si="62"/>
        <v>27783.173860907908</v>
      </c>
    </row>
    <row r="1341" spans="1:10" ht="15">
      <c r="A1341" s="29" t="s">
        <v>3839</v>
      </c>
      <c r="B1341" s="53" t="s">
        <v>180</v>
      </c>
      <c r="C1341" s="57" t="s">
        <v>241</v>
      </c>
      <c r="D1341" s="53" t="s">
        <v>4224</v>
      </c>
      <c r="E1341" s="58">
        <v>27783.173860907915</v>
      </c>
      <c r="F1341" s="53" t="s">
        <v>4073</v>
      </c>
      <c r="H1341" s="47" t="str">
        <f t="shared" si="60"/>
        <v>PACIFICO</v>
      </c>
      <c r="I1341" s="6">
        <f t="shared" si="61"/>
        <v>27807.822504493819</v>
      </c>
      <c r="J1341" s="47">
        <f t="shared" si="62"/>
        <v>27807.822504493819</v>
      </c>
    </row>
    <row r="1342" spans="1:10" ht="15">
      <c r="A1342" s="29" t="s">
        <v>3840</v>
      </c>
      <c r="B1342" s="53" t="s">
        <v>180</v>
      </c>
      <c r="C1342" s="57" t="s">
        <v>241</v>
      </c>
      <c r="D1342" s="53" t="s">
        <v>4224</v>
      </c>
      <c r="E1342" s="58">
        <v>27783.173860907915</v>
      </c>
      <c r="F1342" s="53" t="s">
        <v>4073</v>
      </c>
      <c r="H1342" s="47" t="str">
        <f t="shared" si="60"/>
        <v>CARIBE</v>
      </c>
      <c r="I1342" s="6">
        <f t="shared" si="61"/>
        <v>27783.173860907904</v>
      </c>
      <c r="J1342" s="47">
        <f t="shared" si="62"/>
        <v>27783.173860907904</v>
      </c>
    </row>
    <row r="1343" spans="1:10" ht="15">
      <c r="A1343" s="29" t="s">
        <v>3841</v>
      </c>
      <c r="B1343" s="53" t="s">
        <v>180</v>
      </c>
      <c r="C1343" s="57" t="s">
        <v>241</v>
      </c>
      <c r="D1343" s="53" t="s">
        <v>4224</v>
      </c>
      <c r="E1343" s="58">
        <v>27783.173860907915</v>
      </c>
      <c r="F1343" s="53" t="s">
        <v>4073</v>
      </c>
      <c r="H1343" s="47" t="str">
        <f t="shared" si="60"/>
        <v>CARIBE</v>
      </c>
      <c r="I1343" s="6">
        <f t="shared" si="61"/>
        <v>27783.173860907904</v>
      </c>
      <c r="J1343" s="47">
        <f t="shared" si="62"/>
        <v>27783.173860907904</v>
      </c>
    </row>
    <row r="1344" spans="1:10" ht="15">
      <c r="A1344" s="29" t="s">
        <v>3842</v>
      </c>
      <c r="B1344" s="53" t="s">
        <v>180</v>
      </c>
      <c r="C1344" s="57" t="s">
        <v>241</v>
      </c>
      <c r="D1344" s="53" t="s">
        <v>4224</v>
      </c>
      <c r="E1344" s="58">
        <v>27761.059190027103</v>
      </c>
      <c r="F1344" s="53" t="s">
        <v>4074</v>
      </c>
      <c r="H1344" s="47" t="str">
        <f t="shared" si="60"/>
        <v>ANDINA</v>
      </c>
      <c r="I1344" s="6">
        <f t="shared" si="61"/>
        <v>27761.059190027103</v>
      </c>
      <c r="J1344" s="47">
        <f t="shared" si="62"/>
        <v>27761.059190027103</v>
      </c>
    </row>
    <row r="1345" spans="1:10" ht="15">
      <c r="A1345" s="29" t="s">
        <v>3843</v>
      </c>
      <c r="B1345" s="53" t="s">
        <v>180</v>
      </c>
      <c r="C1345" s="57" t="s">
        <v>241</v>
      </c>
      <c r="D1345" s="53" t="s">
        <v>4224</v>
      </c>
      <c r="E1345" s="58">
        <v>27783.173860907915</v>
      </c>
      <c r="F1345" s="53" t="s">
        <v>4073</v>
      </c>
      <c r="H1345" s="47" t="str">
        <f t="shared" si="60"/>
        <v>ANDINA</v>
      </c>
      <c r="I1345" s="6">
        <f t="shared" si="61"/>
        <v>27781.163436282382</v>
      </c>
      <c r="J1345" s="47">
        <f t="shared" si="62"/>
        <v>27781.163436282382</v>
      </c>
    </row>
    <row r="1346" spans="1:10" ht="15">
      <c r="A1346" s="29" t="s">
        <v>3845</v>
      </c>
      <c r="B1346" s="53" t="s">
        <v>180</v>
      </c>
      <c r="C1346" s="57" t="s">
        <v>241</v>
      </c>
      <c r="D1346" s="53" t="s">
        <v>4224</v>
      </c>
      <c r="E1346" s="58">
        <v>27783.173860907915</v>
      </c>
      <c r="F1346" s="53" t="s">
        <v>4073</v>
      </c>
      <c r="H1346" s="47" t="str">
        <f t="shared" ref="H1346:H1409" si="63">IF(OR(A1346="Antioquia",A1346="Bogotá, D.C.",A1346="Boyacá",A1346="Cundinamarca",A1346="Caldas",A1346="Risaralda",A1346="Quindío",A1346="Tolima",A1346="Huila",A1346="Santander",A1346="Norte de Santander"),"ANDINA",
IF(OR(A1346="Atlántico",A1346="Bolívar",A1346="Cesar",A1346="Córdoba",A1346="Sucre",A1346="Magdalena"),"CARIBE",
IF(OR(A1346="Valle del Cauca",A1346="Cauca",A1346="Nariño"),"PACIFICO",
IF(OR(A1346="Meta",A1346="Casanare",A1346="Arauca"),"ORINOQUIA",
"AMAZONIA"))))</f>
        <v>ORINOQUIA</v>
      </c>
      <c r="I1346" s="6">
        <f t="shared" ref="I1346:I1409" si="64">IF(F1346="Departamental",E1346,
AVERAGEIFS($E:$E,$H:$H,H1346,$B:$B,B1346,$C:$C,C1346))</f>
        <v>27783.173860907908</v>
      </c>
      <c r="J1346" s="47">
        <f t="shared" si="62"/>
        <v>27783.173860907908</v>
      </c>
    </row>
    <row r="1347" spans="1:10" ht="15">
      <c r="A1347" s="29" t="s">
        <v>3846</v>
      </c>
      <c r="B1347" s="53" t="s">
        <v>180</v>
      </c>
      <c r="C1347" s="57" t="s">
        <v>241</v>
      </c>
      <c r="D1347" s="53" t="s">
        <v>4224</v>
      </c>
      <c r="E1347" s="58">
        <v>27857.119791665624</v>
      </c>
      <c r="F1347" s="53" t="s">
        <v>4074</v>
      </c>
      <c r="H1347" s="47" t="str">
        <f t="shared" si="63"/>
        <v>PACIFICO</v>
      </c>
      <c r="I1347" s="6">
        <f t="shared" si="64"/>
        <v>27857.119791665624</v>
      </c>
      <c r="J1347" s="47">
        <f t="shared" ref="J1347:J1410" si="65">IF(G1347&lt;&gt;"",G1347,I1347)</f>
        <v>27857.119791665624</v>
      </c>
    </row>
    <row r="1348" spans="1:10" ht="15">
      <c r="A1348" s="29" t="s">
        <v>3847</v>
      </c>
      <c r="B1348" s="53" t="s">
        <v>180</v>
      </c>
      <c r="C1348" s="57" t="s">
        <v>241</v>
      </c>
      <c r="D1348" s="53" t="s">
        <v>4224</v>
      </c>
      <c r="E1348" s="58">
        <v>27783.173860907915</v>
      </c>
      <c r="F1348" s="53" t="s">
        <v>4073</v>
      </c>
      <c r="H1348" s="47" t="str">
        <f t="shared" si="63"/>
        <v>ANDINA</v>
      </c>
      <c r="I1348" s="6">
        <f t="shared" si="64"/>
        <v>27781.163436282382</v>
      </c>
      <c r="J1348" s="47">
        <f t="shared" si="65"/>
        <v>27781.163436282382</v>
      </c>
    </row>
    <row r="1349" spans="1:10" ht="15">
      <c r="A1349" s="29" t="s">
        <v>3848</v>
      </c>
      <c r="B1349" s="53" t="s">
        <v>180</v>
      </c>
      <c r="C1349" s="57" t="s">
        <v>241</v>
      </c>
      <c r="D1349" s="53" t="s">
        <v>4224</v>
      </c>
      <c r="E1349" s="58">
        <v>27783.173860907915</v>
      </c>
      <c r="F1349" s="53" t="s">
        <v>4073</v>
      </c>
      <c r="H1349" s="47" t="str">
        <f t="shared" si="63"/>
        <v>AMAZONIA</v>
      </c>
      <c r="I1349" s="6">
        <f t="shared" si="64"/>
        <v>27783.173860907915</v>
      </c>
      <c r="J1349" s="47">
        <f t="shared" si="65"/>
        <v>27783.173860907915</v>
      </c>
    </row>
    <row r="1350" spans="1:10" ht="15">
      <c r="A1350" s="29" t="s">
        <v>3849</v>
      </c>
      <c r="B1350" s="53" t="s">
        <v>180</v>
      </c>
      <c r="C1350" s="57" t="s">
        <v>241</v>
      </c>
      <c r="D1350" s="53" t="s">
        <v>4224</v>
      </c>
      <c r="E1350" s="58">
        <v>27783.173860907915</v>
      </c>
      <c r="F1350" s="53" t="s">
        <v>4073</v>
      </c>
      <c r="H1350" s="47" t="str">
        <f t="shared" si="63"/>
        <v>ANDINA</v>
      </c>
      <c r="I1350" s="6">
        <f t="shared" si="64"/>
        <v>27781.163436282382</v>
      </c>
      <c r="J1350" s="47">
        <f t="shared" si="65"/>
        <v>27781.163436282382</v>
      </c>
    </row>
    <row r="1351" spans="1:10" ht="15">
      <c r="A1351" s="29" t="s">
        <v>3850</v>
      </c>
      <c r="B1351" s="53" t="s">
        <v>180</v>
      </c>
      <c r="C1351" s="57" t="s">
        <v>241</v>
      </c>
      <c r="D1351" s="53" t="s">
        <v>4224</v>
      </c>
      <c r="E1351" s="58">
        <v>27783.173860907915</v>
      </c>
      <c r="F1351" s="53" t="s">
        <v>4073</v>
      </c>
      <c r="H1351" s="47" t="str">
        <f t="shared" si="63"/>
        <v>ANDINA</v>
      </c>
      <c r="I1351" s="6">
        <f t="shared" si="64"/>
        <v>27781.163436282382</v>
      </c>
      <c r="J1351" s="47">
        <f t="shared" si="65"/>
        <v>27781.163436282382</v>
      </c>
    </row>
    <row r="1352" spans="1:10" ht="15">
      <c r="A1352" s="29" t="s">
        <v>3851</v>
      </c>
      <c r="B1352" s="53" t="s">
        <v>180</v>
      </c>
      <c r="C1352" s="57" t="s">
        <v>241</v>
      </c>
      <c r="D1352" s="53" t="s">
        <v>4224</v>
      </c>
      <c r="E1352" s="58">
        <v>27783.173860907915</v>
      </c>
      <c r="F1352" s="53" t="s">
        <v>4073</v>
      </c>
      <c r="H1352" s="47" t="str">
        <f t="shared" si="63"/>
        <v>ANDINA</v>
      </c>
      <c r="I1352" s="6">
        <f t="shared" si="64"/>
        <v>27781.163436282382</v>
      </c>
      <c r="J1352" s="47">
        <f t="shared" si="65"/>
        <v>27781.163436282382</v>
      </c>
    </row>
    <row r="1353" spans="1:10" ht="15">
      <c r="A1353" s="29" t="s">
        <v>3853</v>
      </c>
      <c r="B1353" s="53" t="s">
        <v>180</v>
      </c>
      <c r="C1353" s="57" t="s">
        <v>241</v>
      </c>
      <c r="D1353" s="53" t="s">
        <v>4224</v>
      </c>
      <c r="E1353" s="58">
        <v>27783.173860907915</v>
      </c>
      <c r="F1353" s="53" t="s">
        <v>4073</v>
      </c>
      <c r="H1353" s="47" t="str">
        <f t="shared" si="63"/>
        <v>ANDINA</v>
      </c>
      <c r="I1353" s="6">
        <f t="shared" si="64"/>
        <v>27781.163436282382</v>
      </c>
      <c r="J1353" s="47">
        <f t="shared" si="65"/>
        <v>27781.163436282382</v>
      </c>
    </row>
    <row r="1354" spans="1:10" ht="15">
      <c r="A1354" s="29" t="s">
        <v>3854</v>
      </c>
      <c r="B1354" s="53" t="s">
        <v>180</v>
      </c>
      <c r="C1354" s="57" t="s">
        <v>241</v>
      </c>
      <c r="D1354" s="53" t="s">
        <v>4224</v>
      </c>
      <c r="E1354" s="58">
        <v>27783.173860907915</v>
      </c>
      <c r="F1354" s="53" t="s">
        <v>4073</v>
      </c>
      <c r="H1354" s="47" t="str">
        <f t="shared" si="63"/>
        <v>PACIFICO</v>
      </c>
      <c r="I1354" s="6">
        <f t="shared" si="64"/>
        <v>27807.822504493819</v>
      </c>
      <c r="J1354" s="47">
        <f t="shared" si="65"/>
        <v>27807.822504493819</v>
      </c>
    </row>
    <row r="1355" spans="1:10" ht="15">
      <c r="A1355" s="29" t="s">
        <v>4076</v>
      </c>
      <c r="B1355" s="53" t="s">
        <v>180</v>
      </c>
      <c r="C1355" s="57" t="s">
        <v>241</v>
      </c>
      <c r="D1355" s="53" t="s">
        <v>4224</v>
      </c>
      <c r="E1355" s="58">
        <v>27783.173860907915</v>
      </c>
      <c r="F1355" s="53" t="s">
        <v>4073</v>
      </c>
      <c r="H1355" s="47" t="str">
        <f t="shared" si="63"/>
        <v>AMAZONIA</v>
      </c>
      <c r="I1355" s="6">
        <f t="shared" si="64"/>
        <v>27783.173860907915</v>
      </c>
      <c r="J1355" s="47">
        <f t="shared" si="65"/>
        <v>27783.173860907915</v>
      </c>
    </row>
    <row r="1356" spans="1:10">
      <c r="A1356" s="29" t="s">
        <v>3831</v>
      </c>
      <c r="B1356" s="53" t="s">
        <v>180</v>
      </c>
      <c r="C1356" s="57" t="s">
        <v>4114</v>
      </c>
      <c r="D1356" s="53" t="s">
        <v>172</v>
      </c>
      <c r="E1356" s="32">
        <v>26303.824059353414</v>
      </c>
      <c r="F1356" s="53" t="s">
        <v>4073</v>
      </c>
      <c r="H1356" s="47" t="str">
        <f t="shared" si="63"/>
        <v>ANDINA</v>
      </c>
      <c r="I1356" s="6">
        <f t="shared" si="64"/>
        <v>26692.813161291251</v>
      </c>
      <c r="J1356" s="47">
        <f t="shared" si="65"/>
        <v>26692.813161291251</v>
      </c>
    </row>
    <row r="1357" spans="1:10">
      <c r="A1357" s="29" t="s">
        <v>4075</v>
      </c>
      <c r="B1357" s="53" t="s">
        <v>180</v>
      </c>
      <c r="C1357" s="57" t="s">
        <v>4114</v>
      </c>
      <c r="D1357" s="53" t="s">
        <v>172</v>
      </c>
      <c r="E1357" s="32">
        <v>26303.824059353414</v>
      </c>
      <c r="F1357" s="53" t="s">
        <v>4073</v>
      </c>
      <c r="H1357" s="47" t="str">
        <f t="shared" si="63"/>
        <v>ANDINA</v>
      </c>
      <c r="I1357" s="6">
        <f t="shared" si="64"/>
        <v>26692.813161291251</v>
      </c>
      <c r="J1357" s="47">
        <f t="shared" si="65"/>
        <v>26692.813161291251</v>
      </c>
    </row>
    <row r="1358" spans="1:10">
      <c r="A1358" s="29" t="s">
        <v>3835</v>
      </c>
      <c r="B1358" s="53" t="s">
        <v>180</v>
      </c>
      <c r="C1358" s="57" t="s">
        <v>4114</v>
      </c>
      <c r="D1358" s="53" t="s">
        <v>172</v>
      </c>
      <c r="E1358" s="32">
        <v>28654.385964912282</v>
      </c>
      <c r="F1358" s="53" t="s">
        <v>4074</v>
      </c>
      <c r="H1358" s="47" t="str">
        <f t="shared" si="63"/>
        <v>ANDINA</v>
      </c>
      <c r="I1358" s="6">
        <f t="shared" si="64"/>
        <v>28654.385964912282</v>
      </c>
      <c r="J1358" s="47">
        <f t="shared" si="65"/>
        <v>28654.385964912282</v>
      </c>
    </row>
    <row r="1359" spans="1:10">
      <c r="A1359" s="29" t="s">
        <v>3836</v>
      </c>
      <c r="B1359" s="53" t="s">
        <v>180</v>
      </c>
      <c r="C1359" s="57" t="s">
        <v>4114</v>
      </c>
      <c r="D1359" s="53" t="s">
        <v>172</v>
      </c>
      <c r="E1359" s="32">
        <v>26303.824059353414</v>
      </c>
      <c r="F1359" s="53" t="s">
        <v>4073</v>
      </c>
      <c r="H1359" s="47" t="str">
        <f t="shared" si="63"/>
        <v>ANDINA</v>
      </c>
      <c r="I1359" s="6">
        <f t="shared" si="64"/>
        <v>26692.813161291251</v>
      </c>
      <c r="J1359" s="47">
        <f t="shared" si="65"/>
        <v>26692.813161291251</v>
      </c>
    </row>
    <row r="1360" spans="1:10">
      <c r="A1360" s="29" t="s">
        <v>3837</v>
      </c>
      <c r="B1360" s="53" t="s">
        <v>180</v>
      </c>
      <c r="C1360" s="57" t="s">
        <v>4114</v>
      </c>
      <c r="D1360" s="53" t="s">
        <v>172</v>
      </c>
      <c r="E1360" s="32">
        <v>26303.824059353414</v>
      </c>
      <c r="F1360" s="53" t="s">
        <v>4073</v>
      </c>
      <c r="H1360" s="47" t="str">
        <f t="shared" si="63"/>
        <v>AMAZONIA</v>
      </c>
      <c r="I1360" s="6">
        <f t="shared" si="64"/>
        <v>26303.824059353414</v>
      </c>
      <c r="J1360" s="47">
        <f t="shared" si="65"/>
        <v>26303.824059353414</v>
      </c>
    </row>
    <row r="1361" spans="1:10">
      <c r="A1361" s="29" t="s">
        <v>3838</v>
      </c>
      <c r="B1361" s="53" t="s">
        <v>180</v>
      </c>
      <c r="C1361" s="57" t="s">
        <v>4114</v>
      </c>
      <c r="D1361" s="53" t="s">
        <v>172</v>
      </c>
      <c r="E1361" s="32">
        <v>34868.42105263158</v>
      </c>
      <c r="F1361" s="53" t="s">
        <v>4074</v>
      </c>
      <c r="H1361" s="47" t="str">
        <f t="shared" si="63"/>
        <v>ORINOQUIA</v>
      </c>
      <c r="I1361" s="6">
        <f t="shared" si="64"/>
        <v>34868.42105263158</v>
      </c>
      <c r="J1361" s="47">
        <f t="shared" si="65"/>
        <v>34868.42105263158</v>
      </c>
    </row>
    <row r="1362" spans="1:10">
      <c r="A1362" s="29" t="s">
        <v>3839</v>
      </c>
      <c r="B1362" s="53" t="s">
        <v>180</v>
      </c>
      <c r="C1362" s="57" t="s">
        <v>4114</v>
      </c>
      <c r="D1362" s="53" t="s">
        <v>172</v>
      </c>
      <c r="E1362" s="32">
        <v>26447.361111107497</v>
      </c>
      <c r="F1362" s="53" t="s">
        <v>4074</v>
      </c>
      <c r="H1362" s="47" t="str">
        <f t="shared" si="63"/>
        <v>PACIFICO</v>
      </c>
      <c r="I1362" s="6">
        <f t="shared" si="64"/>
        <v>26447.361111107497</v>
      </c>
      <c r="J1362" s="47">
        <f t="shared" si="65"/>
        <v>26447.361111107497</v>
      </c>
    </row>
    <row r="1363" spans="1:10">
      <c r="A1363" s="29" t="s">
        <v>3840</v>
      </c>
      <c r="B1363" s="53" t="s">
        <v>180</v>
      </c>
      <c r="C1363" s="57" t="s">
        <v>4114</v>
      </c>
      <c r="D1363" s="53" t="s">
        <v>172</v>
      </c>
      <c r="E1363" s="32">
        <v>26697.701149424138</v>
      </c>
      <c r="F1363" s="53" t="s">
        <v>4074</v>
      </c>
      <c r="H1363" s="47" t="str">
        <f t="shared" si="63"/>
        <v>CARIBE</v>
      </c>
      <c r="I1363" s="6">
        <f t="shared" si="64"/>
        <v>26697.701149424138</v>
      </c>
      <c r="J1363" s="47">
        <f t="shared" si="65"/>
        <v>26697.701149424138</v>
      </c>
    </row>
    <row r="1364" spans="1:10">
      <c r="A1364" s="29" t="s">
        <v>3841</v>
      </c>
      <c r="B1364" s="53" t="s">
        <v>180</v>
      </c>
      <c r="C1364" s="57" t="s">
        <v>4114</v>
      </c>
      <c r="D1364" s="53" t="s">
        <v>172</v>
      </c>
      <c r="E1364" s="32">
        <v>27653.763440866129</v>
      </c>
      <c r="F1364" s="53" t="s">
        <v>4074</v>
      </c>
      <c r="H1364" s="47" t="str">
        <f t="shared" si="63"/>
        <v>CARIBE</v>
      </c>
      <c r="I1364" s="6">
        <f t="shared" si="64"/>
        <v>27653.763440866129</v>
      </c>
      <c r="J1364" s="47">
        <f t="shared" si="65"/>
        <v>27653.763440866129</v>
      </c>
    </row>
    <row r="1365" spans="1:10">
      <c r="A1365" s="29" t="s">
        <v>3842</v>
      </c>
      <c r="B1365" s="53" t="s">
        <v>180</v>
      </c>
      <c r="C1365" s="57" t="s">
        <v>4114</v>
      </c>
      <c r="D1365" s="53" t="s">
        <v>172</v>
      </c>
      <c r="E1365" s="32">
        <v>26303.824059353414</v>
      </c>
      <c r="F1365" s="53" t="s">
        <v>4073</v>
      </c>
      <c r="H1365" s="47" t="str">
        <f t="shared" si="63"/>
        <v>ANDINA</v>
      </c>
      <c r="I1365" s="6">
        <f t="shared" si="64"/>
        <v>26692.813161291251</v>
      </c>
      <c r="J1365" s="47">
        <f t="shared" si="65"/>
        <v>26692.813161291251</v>
      </c>
    </row>
    <row r="1366" spans="1:10">
      <c r="A1366" s="29" t="s">
        <v>3843</v>
      </c>
      <c r="B1366" s="53" t="s">
        <v>180</v>
      </c>
      <c r="C1366" s="57" t="s">
        <v>4114</v>
      </c>
      <c r="D1366" s="53" t="s">
        <v>172</v>
      </c>
      <c r="E1366" s="32">
        <v>26303.824059353414</v>
      </c>
      <c r="F1366" s="53" t="s">
        <v>4073</v>
      </c>
      <c r="H1366" s="47" t="str">
        <f t="shared" si="63"/>
        <v>ANDINA</v>
      </c>
      <c r="I1366" s="6">
        <f t="shared" si="64"/>
        <v>26692.813161291251</v>
      </c>
      <c r="J1366" s="47">
        <f t="shared" si="65"/>
        <v>26692.813161291251</v>
      </c>
    </row>
    <row r="1367" spans="1:10">
      <c r="A1367" s="29" t="s">
        <v>3845</v>
      </c>
      <c r="B1367" s="53" t="s">
        <v>180</v>
      </c>
      <c r="C1367" s="57" t="s">
        <v>4114</v>
      </c>
      <c r="D1367" s="53" t="s">
        <v>172</v>
      </c>
      <c r="E1367" s="32">
        <v>27400</v>
      </c>
      <c r="F1367" s="53" t="s">
        <v>4074</v>
      </c>
      <c r="H1367" s="47" t="str">
        <f t="shared" si="63"/>
        <v>ORINOQUIA</v>
      </c>
      <c r="I1367" s="6">
        <f t="shared" si="64"/>
        <v>27400</v>
      </c>
      <c r="J1367" s="47">
        <f t="shared" si="65"/>
        <v>27400</v>
      </c>
    </row>
    <row r="1368" spans="1:10">
      <c r="A1368" s="29" t="s">
        <v>3846</v>
      </c>
      <c r="B1368" s="53" t="s">
        <v>180</v>
      </c>
      <c r="C1368" s="57" t="s">
        <v>4114</v>
      </c>
      <c r="D1368" s="53" t="s">
        <v>172</v>
      </c>
      <c r="E1368" s="32">
        <v>13470.967741935481</v>
      </c>
      <c r="F1368" s="53" t="s">
        <v>4074</v>
      </c>
      <c r="H1368" s="47" t="str">
        <f t="shared" si="63"/>
        <v>PACIFICO</v>
      </c>
      <c r="I1368" s="6">
        <f t="shared" si="64"/>
        <v>13470.967741935481</v>
      </c>
      <c r="J1368" s="47">
        <f t="shared" si="65"/>
        <v>13470.967741935481</v>
      </c>
    </row>
    <row r="1369" spans="1:10">
      <c r="A1369" s="29" t="s">
        <v>3847</v>
      </c>
      <c r="B1369" s="53" t="s">
        <v>180</v>
      </c>
      <c r="C1369" s="57" t="s">
        <v>4114</v>
      </c>
      <c r="D1369" s="53" t="s">
        <v>172</v>
      </c>
      <c r="E1369" s="32">
        <v>25541.025641027274</v>
      </c>
      <c r="F1369" s="53" t="s">
        <v>4074</v>
      </c>
      <c r="H1369" s="47" t="str">
        <f t="shared" si="63"/>
        <v>ANDINA</v>
      </c>
      <c r="I1369" s="6">
        <f t="shared" si="64"/>
        <v>25541.025641027274</v>
      </c>
      <c r="J1369" s="47">
        <f t="shared" si="65"/>
        <v>25541.025641027274</v>
      </c>
    </row>
    <row r="1370" spans="1:10">
      <c r="A1370" s="29" t="s">
        <v>3848</v>
      </c>
      <c r="B1370" s="53" t="s">
        <v>180</v>
      </c>
      <c r="C1370" s="57" t="s">
        <v>4114</v>
      </c>
      <c r="D1370" s="53" t="s">
        <v>172</v>
      </c>
      <c r="E1370" s="32">
        <v>26303.824059353414</v>
      </c>
      <c r="F1370" s="53" t="s">
        <v>4073</v>
      </c>
      <c r="H1370" s="47" t="str">
        <f t="shared" si="63"/>
        <v>AMAZONIA</v>
      </c>
      <c r="I1370" s="6">
        <f t="shared" si="64"/>
        <v>26303.824059353414</v>
      </c>
      <c r="J1370" s="47">
        <f t="shared" si="65"/>
        <v>26303.824059353414</v>
      </c>
    </row>
    <row r="1371" spans="1:10">
      <c r="A1371" s="29" t="s">
        <v>3849</v>
      </c>
      <c r="B1371" s="53" t="s">
        <v>180</v>
      </c>
      <c r="C1371" s="57" t="s">
        <v>4114</v>
      </c>
      <c r="D1371" s="53" t="s">
        <v>172</v>
      </c>
      <c r="E1371" s="32">
        <v>26303.824059353414</v>
      </c>
      <c r="F1371" s="53" t="s">
        <v>4073</v>
      </c>
      <c r="H1371" s="47" t="str">
        <f t="shared" si="63"/>
        <v>ANDINA</v>
      </c>
      <c r="I1371" s="6">
        <f t="shared" si="64"/>
        <v>26692.813161291251</v>
      </c>
      <c r="J1371" s="47">
        <f t="shared" si="65"/>
        <v>26692.813161291251</v>
      </c>
    </row>
    <row r="1372" spans="1:10">
      <c r="A1372" s="29" t="s">
        <v>3850</v>
      </c>
      <c r="B1372" s="53" t="s">
        <v>180</v>
      </c>
      <c r="C1372" s="57" t="s">
        <v>4114</v>
      </c>
      <c r="D1372" s="53" t="s">
        <v>172</v>
      </c>
      <c r="E1372" s="32">
        <v>26303.824059353414</v>
      </c>
      <c r="F1372" s="53" t="s">
        <v>4073</v>
      </c>
      <c r="H1372" s="47" t="str">
        <f t="shared" si="63"/>
        <v>ANDINA</v>
      </c>
      <c r="I1372" s="6">
        <f t="shared" si="64"/>
        <v>26692.813161291251</v>
      </c>
      <c r="J1372" s="47">
        <f t="shared" si="65"/>
        <v>26692.813161291251</v>
      </c>
    </row>
    <row r="1373" spans="1:10">
      <c r="A1373" s="29" t="s">
        <v>3851</v>
      </c>
      <c r="B1373" s="53" t="s">
        <v>180</v>
      </c>
      <c r="C1373" s="57" t="s">
        <v>4114</v>
      </c>
      <c r="D1373" s="53" t="s">
        <v>172</v>
      </c>
      <c r="E1373" s="32">
        <v>28771.052631578947</v>
      </c>
      <c r="F1373" s="53" t="s">
        <v>4074</v>
      </c>
      <c r="H1373" s="47" t="str">
        <f t="shared" si="63"/>
        <v>ANDINA</v>
      </c>
      <c r="I1373" s="6">
        <f t="shared" si="64"/>
        <v>28771.052631578947</v>
      </c>
      <c r="J1373" s="47">
        <f t="shared" si="65"/>
        <v>28771.052631578947</v>
      </c>
    </row>
    <row r="1374" spans="1:10">
      <c r="A1374" s="29" t="s">
        <v>3853</v>
      </c>
      <c r="B1374" s="53" t="s">
        <v>180</v>
      </c>
      <c r="C1374" s="57" t="s">
        <v>4114</v>
      </c>
      <c r="D1374" s="53" t="s">
        <v>172</v>
      </c>
      <c r="E1374" s="32">
        <v>26527.712121211363</v>
      </c>
      <c r="F1374" s="53" t="s">
        <v>4074</v>
      </c>
      <c r="H1374" s="47" t="str">
        <f t="shared" si="63"/>
        <v>ANDINA</v>
      </c>
      <c r="I1374" s="6">
        <f t="shared" si="64"/>
        <v>26527.712121211363</v>
      </c>
      <c r="J1374" s="47">
        <f t="shared" si="65"/>
        <v>26527.712121211363</v>
      </c>
    </row>
    <row r="1375" spans="1:10">
      <c r="A1375" s="29" t="s">
        <v>3854</v>
      </c>
      <c r="B1375" s="53" t="s">
        <v>180</v>
      </c>
      <c r="C1375" s="57" t="s">
        <v>4114</v>
      </c>
      <c r="D1375" s="53" t="s">
        <v>172</v>
      </c>
      <c r="E1375" s="32">
        <v>26764.285714283928</v>
      </c>
      <c r="F1375" s="53" t="s">
        <v>4074</v>
      </c>
      <c r="H1375" s="47" t="str">
        <f t="shared" si="63"/>
        <v>PACIFICO</v>
      </c>
      <c r="I1375" s="6">
        <f t="shared" si="64"/>
        <v>26764.285714283928</v>
      </c>
      <c r="J1375" s="47">
        <f t="shared" si="65"/>
        <v>26764.285714283928</v>
      </c>
    </row>
    <row r="1376" spans="1:10">
      <c r="A1376" s="29" t="s">
        <v>4076</v>
      </c>
      <c r="B1376" s="53" t="s">
        <v>180</v>
      </c>
      <c r="C1376" s="57" t="s">
        <v>4114</v>
      </c>
      <c r="D1376" s="53" t="s">
        <v>172</v>
      </c>
      <c r="E1376" s="32">
        <v>26303.824059353414</v>
      </c>
      <c r="F1376" s="53" t="s">
        <v>4073</v>
      </c>
      <c r="H1376" s="47" t="str">
        <f t="shared" si="63"/>
        <v>AMAZONIA</v>
      </c>
      <c r="I1376" s="6">
        <f t="shared" si="64"/>
        <v>26303.824059353414</v>
      </c>
      <c r="J1376" s="47">
        <f t="shared" si="65"/>
        <v>26303.824059353414</v>
      </c>
    </row>
    <row r="1377" spans="1:10">
      <c r="A1377" s="29" t="s">
        <v>3831</v>
      </c>
      <c r="B1377" s="53" t="s">
        <v>249</v>
      </c>
      <c r="C1377" s="57" t="s">
        <v>4226</v>
      </c>
      <c r="D1377" s="53" t="s">
        <v>4225</v>
      </c>
      <c r="E1377" s="32">
        <v>60000</v>
      </c>
      <c r="F1377" s="53" t="s">
        <v>4073</v>
      </c>
      <c r="H1377" s="47" t="str">
        <f t="shared" si="63"/>
        <v>ANDINA</v>
      </c>
      <c r="I1377" s="6">
        <f t="shared" si="64"/>
        <v>60000</v>
      </c>
      <c r="J1377" s="47">
        <f t="shared" si="65"/>
        <v>60000</v>
      </c>
    </row>
    <row r="1378" spans="1:10">
      <c r="A1378" s="29" t="s">
        <v>4075</v>
      </c>
      <c r="B1378" s="53" t="s">
        <v>249</v>
      </c>
      <c r="C1378" s="57" t="s">
        <v>4226</v>
      </c>
      <c r="D1378" s="53" t="s">
        <v>4225</v>
      </c>
      <c r="E1378" s="32">
        <v>60000</v>
      </c>
      <c r="F1378" s="53" t="s">
        <v>4073</v>
      </c>
      <c r="H1378" s="47" t="str">
        <f t="shared" si="63"/>
        <v>ANDINA</v>
      </c>
      <c r="I1378" s="6">
        <f t="shared" si="64"/>
        <v>60000</v>
      </c>
      <c r="J1378" s="47">
        <f t="shared" si="65"/>
        <v>60000</v>
      </c>
    </row>
    <row r="1379" spans="1:10">
      <c r="A1379" s="29" t="s">
        <v>3835</v>
      </c>
      <c r="B1379" s="53" t="s">
        <v>249</v>
      </c>
      <c r="C1379" s="57" t="s">
        <v>4226</v>
      </c>
      <c r="D1379" s="53" t="s">
        <v>4225</v>
      </c>
      <c r="E1379" s="32">
        <v>60000</v>
      </c>
      <c r="F1379" s="53" t="s">
        <v>4073</v>
      </c>
      <c r="H1379" s="47" t="str">
        <f t="shared" si="63"/>
        <v>ANDINA</v>
      </c>
      <c r="I1379" s="6">
        <f t="shared" si="64"/>
        <v>60000</v>
      </c>
      <c r="J1379" s="47">
        <f t="shared" si="65"/>
        <v>60000</v>
      </c>
    </row>
    <row r="1380" spans="1:10">
      <c r="A1380" s="29" t="s">
        <v>3836</v>
      </c>
      <c r="B1380" s="53" t="s">
        <v>249</v>
      </c>
      <c r="C1380" s="57" t="s">
        <v>4226</v>
      </c>
      <c r="D1380" s="53" t="s">
        <v>4225</v>
      </c>
      <c r="E1380" s="32">
        <v>60000</v>
      </c>
      <c r="F1380" s="53" t="s">
        <v>4073</v>
      </c>
      <c r="H1380" s="47" t="str">
        <f t="shared" si="63"/>
        <v>ANDINA</v>
      </c>
      <c r="I1380" s="6">
        <f t="shared" si="64"/>
        <v>60000</v>
      </c>
      <c r="J1380" s="47">
        <f t="shared" si="65"/>
        <v>60000</v>
      </c>
    </row>
    <row r="1381" spans="1:10">
      <c r="A1381" s="29" t="s">
        <v>3837</v>
      </c>
      <c r="B1381" s="53" t="s">
        <v>249</v>
      </c>
      <c r="C1381" s="57" t="s">
        <v>4226</v>
      </c>
      <c r="D1381" s="53" t="s">
        <v>4225</v>
      </c>
      <c r="E1381" s="32">
        <v>60000</v>
      </c>
      <c r="F1381" s="53" t="s">
        <v>4073</v>
      </c>
      <c r="H1381" s="47" t="str">
        <f t="shared" si="63"/>
        <v>AMAZONIA</v>
      </c>
      <c r="I1381" s="6">
        <f t="shared" si="64"/>
        <v>60000</v>
      </c>
      <c r="J1381" s="47">
        <f t="shared" si="65"/>
        <v>60000</v>
      </c>
    </row>
    <row r="1382" spans="1:10">
      <c r="A1382" s="29" t="s">
        <v>3838</v>
      </c>
      <c r="B1382" s="53" t="s">
        <v>249</v>
      </c>
      <c r="C1382" s="57" t="s">
        <v>4226</v>
      </c>
      <c r="D1382" s="53" t="s">
        <v>4225</v>
      </c>
      <c r="E1382" s="32">
        <v>60000</v>
      </c>
      <c r="F1382" s="53" t="s">
        <v>4073</v>
      </c>
      <c r="H1382" s="47" t="str">
        <f t="shared" si="63"/>
        <v>ORINOQUIA</v>
      </c>
      <c r="I1382" s="6">
        <f t="shared" si="64"/>
        <v>60000</v>
      </c>
      <c r="J1382" s="47">
        <f t="shared" si="65"/>
        <v>60000</v>
      </c>
    </row>
    <row r="1383" spans="1:10">
      <c r="A1383" s="29" t="s">
        <v>3839</v>
      </c>
      <c r="B1383" s="53" t="s">
        <v>249</v>
      </c>
      <c r="C1383" s="57" t="s">
        <v>4226</v>
      </c>
      <c r="D1383" s="53" t="s">
        <v>4225</v>
      </c>
      <c r="E1383" s="32">
        <v>60000</v>
      </c>
      <c r="F1383" s="53" t="s">
        <v>4073</v>
      </c>
      <c r="H1383" s="47" t="str">
        <f t="shared" si="63"/>
        <v>PACIFICO</v>
      </c>
      <c r="I1383" s="6">
        <f t="shared" si="64"/>
        <v>60000</v>
      </c>
      <c r="J1383" s="47">
        <f t="shared" si="65"/>
        <v>60000</v>
      </c>
    </row>
    <row r="1384" spans="1:10">
      <c r="A1384" s="29" t="s">
        <v>3840</v>
      </c>
      <c r="B1384" s="53" t="s">
        <v>249</v>
      </c>
      <c r="C1384" s="57" t="s">
        <v>4226</v>
      </c>
      <c r="D1384" s="53" t="s">
        <v>4225</v>
      </c>
      <c r="E1384" s="32">
        <v>60000</v>
      </c>
      <c r="F1384" s="53" t="s">
        <v>4073</v>
      </c>
      <c r="H1384" s="47" t="str">
        <f t="shared" si="63"/>
        <v>CARIBE</v>
      </c>
      <c r="I1384" s="6">
        <f t="shared" si="64"/>
        <v>60000</v>
      </c>
      <c r="J1384" s="47">
        <f t="shared" si="65"/>
        <v>60000</v>
      </c>
    </row>
    <row r="1385" spans="1:10">
      <c r="A1385" s="29" t="s">
        <v>3841</v>
      </c>
      <c r="B1385" s="53" t="s">
        <v>249</v>
      </c>
      <c r="C1385" s="57" t="s">
        <v>4226</v>
      </c>
      <c r="D1385" s="53" t="s">
        <v>4225</v>
      </c>
      <c r="E1385" s="32">
        <v>60000</v>
      </c>
      <c r="F1385" s="53" t="s">
        <v>4073</v>
      </c>
      <c r="H1385" s="47" t="str">
        <f t="shared" si="63"/>
        <v>CARIBE</v>
      </c>
      <c r="I1385" s="6">
        <f t="shared" si="64"/>
        <v>60000</v>
      </c>
      <c r="J1385" s="47">
        <f t="shared" si="65"/>
        <v>60000</v>
      </c>
    </row>
    <row r="1386" spans="1:10">
      <c r="A1386" s="29" t="s">
        <v>3842</v>
      </c>
      <c r="B1386" s="53" t="s">
        <v>249</v>
      </c>
      <c r="C1386" s="57" t="s">
        <v>4226</v>
      </c>
      <c r="D1386" s="53" t="s">
        <v>4225</v>
      </c>
      <c r="E1386" s="32">
        <v>60000</v>
      </c>
      <c r="F1386" s="53" t="s">
        <v>4073</v>
      </c>
      <c r="H1386" s="47" t="str">
        <f t="shared" si="63"/>
        <v>ANDINA</v>
      </c>
      <c r="I1386" s="6">
        <f t="shared" si="64"/>
        <v>60000</v>
      </c>
      <c r="J1386" s="47">
        <f t="shared" si="65"/>
        <v>60000</v>
      </c>
    </row>
    <row r="1387" spans="1:10">
      <c r="A1387" s="29" t="s">
        <v>3843</v>
      </c>
      <c r="B1387" s="53" t="s">
        <v>249</v>
      </c>
      <c r="C1387" s="57" t="s">
        <v>4226</v>
      </c>
      <c r="D1387" s="53" t="s">
        <v>4225</v>
      </c>
      <c r="E1387" s="32">
        <v>60000</v>
      </c>
      <c r="F1387" s="53" t="s">
        <v>4073</v>
      </c>
      <c r="H1387" s="47" t="str">
        <f t="shared" si="63"/>
        <v>ANDINA</v>
      </c>
      <c r="I1387" s="6">
        <f t="shared" si="64"/>
        <v>60000</v>
      </c>
      <c r="J1387" s="47">
        <f t="shared" si="65"/>
        <v>60000</v>
      </c>
    </row>
    <row r="1388" spans="1:10">
      <c r="A1388" s="29" t="s">
        <v>3845</v>
      </c>
      <c r="B1388" s="53" t="s">
        <v>249</v>
      </c>
      <c r="C1388" s="57" t="s">
        <v>4226</v>
      </c>
      <c r="D1388" s="53" t="s">
        <v>4225</v>
      </c>
      <c r="E1388" s="32">
        <v>60000</v>
      </c>
      <c r="F1388" s="53" t="s">
        <v>4073</v>
      </c>
      <c r="H1388" s="47" t="str">
        <f t="shared" si="63"/>
        <v>ORINOQUIA</v>
      </c>
      <c r="I1388" s="6">
        <f t="shared" si="64"/>
        <v>60000</v>
      </c>
      <c r="J1388" s="47">
        <f t="shared" si="65"/>
        <v>60000</v>
      </c>
    </row>
    <row r="1389" spans="1:10">
      <c r="A1389" s="29" t="s">
        <v>3846</v>
      </c>
      <c r="B1389" s="53" t="s">
        <v>249</v>
      </c>
      <c r="C1389" s="57" t="s">
        <v>4226</v>
      </c>
      <c r="D1389" s="53" t="s">
        <v>4225</v>
      </c>
      <c r="E1389" s="32">
        <v>60000</v>
      </c>
      <c r="F1389" s="53" t="s">
        <v>4073</v>
      </c>
      <c r="H1389" s="47" t="str">
        <f t="shared" si="63"/>
        <v>PACIFICO</v>
      </c>
      <c r="I1389" s="6">
        <f t="shared" si="64"/>
        <v>60000</v>
      </c>
      <c r="J1389" s="47">
        <f t="shared" si="65"/>
        <v>60000</v>
      </c>
    </row>
    <row r="1390" spans="1:10">
      <c r="A1390" s="29" t="s">
        <v>3847</v>
      </c>
      <c r="B1390" s="53" t="s">
        <v>249</v>
      </c>
      <c r="C1390" s="57" t="s">
        <v>4226</v>
      </c>
      <c r="D1390" s="53" t="s">
        <v>4225</v>
      </c>
      <c r="E1390" s="32">
        <v>60000</v>
      </c>
      <c r="F1390" s="53" t="s">
        <v>4073</v>
      </c>
      <c r="H1390" s="47" t="str">
        <f t="shared" si="63"/>
        <v>ANDINA</v>
      </c>
      <c r="I1390" s="6">
        <f t="shared" si="64"/>
        <v>60000</v>
      </c>
      <c r="J1390" s="47">
        <f t="shared" si="65"/>
        <v>60000</v>
      </c>
    </row>
    <row r="1391" spans="1:10">
      <c r="A1391" s="29" t="s">
        <v>3848</v>
      </c>
      <c r="B1391" s="53" t="s">
        <v>249</v>
      </c>
      <c r="C1391" s="57" t="s">
        <v>4226</v>
      </c>
      <c r="D1391" s="53" t="s">
        <v>4225</v>
      </c>
      <c r="E1391" s="32">
        <v>60000</v>
      </c>
      <c r="F1391" s="53" t="s">
        <v>4073</v>
      </c>
      <c r="H1391" s="47" t="str">
        <f t="shared" si="63"/>
        <v>AMAZONIA</v>
      </c>
      <c r="I1391" s="6">
        <f t="shared" si="64"/>
        <v>60000</v>
      </c>
      <c r="J1391" s="47">
        <f t="shared" si="65"/>
        <v>60000</v>
      </c>
    </row>
    <row r="1392" spans="1:10">
      <c r="A1392" s="29" t="s">
        <v>3849</v>
      </c>
      <c r="B1392" s="53" t="s">
        <v>249</v>
      </c>
      <c r="C1392" s="57" t="s">
        <v>4226</v>
      </c>
      <c r="D1392" s="53" t="s">
        <v>4225</v>
      </c>
      <c r="E1392" s="32">
        <v>60000</v>
      </c>
      <c r="F1392" s="53" t="s">
        <v>4073</v>
      </c>
      <c r="H1392" s="47" t="str">
        <f t="shared" si="63"/>
        <v>ANDINA</v>
      </c>
      <c r="I1392" s="6">
        <f t="shared" si="64"/>
        <v>60000</v>
      </c>
      <c r="J1392" s="47">
        <f t="shared" si="65"/>
        <v>60000</v>
      </c>
    </row>
    <row r="1393" spans="1:11">
      <c r="A1393" s="29" t="s">
        <v>3850</v>
      </c>
      <c r="B1393" s="53" t="s">
        <v>249</v>
      </c>
      <c r="C1393" s="57" t="s">
        <v>4226</v>
      </c>
      <c r="D1393" s="53" t="s">
        <v>4225</v>
      </c>
      <c r="E1393" s="32">
        <v>60000</v>
      </c>
      <c r="F1393" s="53" t="s">
        <v>4073</v>
      </c>
      <c r="H1393" s="47" t="str">
        <f t="shared" si="63"/>
        <v>ANDINA</v>
      </c>
      <c r="I1393" s="6">
        <f t="shared" si="64"/>
        <v>60000</v>
      </c>
      <c r="J1393" s="47">
        <f t="shared" si="65"/>
        <v>60000</v>
      </c>
    </row>
    <row r="1394" spans="1:11">
      <c r="A1394" s="29" t="s">
        <v>3851</v>
      </c>
      <c r="B1394" s="53" t="s">
        <v>249</v>
      </c>
      <c r="C1394" s="57" t="s">
        <v>4226</v>
      </c>
      <c r="D1394" s="53" t="s">
        <v>4225</v>
      </c>
      <c r="E1394" s="32">
        <v>60000</v>
      </c>
      <c r="F1394" s="53" t="s">
        <v>4073</v>
      </c>
      <c r="H1394" s="47" t="str">
        <f t="shared" si="63"/>
        <v>ANDINA</v>
      </c>
      <c r="I1394" s="6">
        <f t="shared" si="64"/>
        <v>60000</v>
      </c>
      <c r="J1394" s="47">
        <f t="shared" si="65"/>
        <v>60000</v>
      </c>
    </row>
    <row r="1395" spans="1:11">
      <c r="A1395" s="29" t="s">
        <v>3853</v>
      </c>
      <c r="B1395" s="53" t="s">
        <v>249</v>
      </c>
      <c r="C1395" s="57" t="s">
        <v>4226</v>
      </c>
      <c r="D1395" s="53" t="s">
        <v>4225</v>
      </c>
      <c r="E1395" s="32">
        <v>60000</v>
      </c>
      <c r="F1395" s="53" t="s">
        <v>4073</v>
      </c>
      <c r="H1395" s="47" t="str">
        <f t="shared" si="63"/>
        <v>ANDINA</v>
      </c>
      <c r="I1395" s="6">
        <f t="shared" si="64"/>
        <v>60000</v>
      </c>
      <c r="J1395" s="47">
        <f t="shared" si="65"/>
        <v>60000</v>
      </c>
    </row>
    <row r="1396" spans="1:11">
      <c r="A1396" s="29" t="s">
        <v>3854</v>
      </c>
      <c r="B1396" s="53" t="s">
        <v>249</v>
      </c>
      <c r="C1396" s="57" t="s">
        <v>4226</v>
      </c>
      <c r="D1396" s="53" t="s">
        <v>4225</v>
      </c>
      <c r="E1396" s="32">
        <v>60000</v>
      </c>
      <c r="F1396" s="53" t="s">
        <v>4073</v>
      </c>
      <c r="H1396" s="47" t="str">
        <f t="shared" si="63"/>
        <v>PACIFICO</v>
      </c>
      <c r="I1396" s="6">
        <f t="shared" si="64"/>
        <v>60000</v>
      </c>
      <c r="J1396" s="47">
        <f t="shared" si="65"/>
        <v>60000</v>
      </c>
    </row>
    <row r="1397" spans="1:11">
      <c r="A1397" s="29" t="s">
        <v>4076</v>
      </c>
      <c r="B1397" s="53" t="s">
        <v>249</v>
      </c>
      <c r="C1397" s="57" t="s">
        <v>4226</v>
      </c>
      <c r="D1397" s="53" t="s">
        <v>4225</v>
      </c>
      <c r="E1397" s="32">
        <v>60000</v>
      </c>
      <c r="F1397" s="53" t="s">
        <v>4073</v>
      </c>
      <c r="H1397" s="47" t="str">
        <f t="shared" si="63"/>
        <v>AMAZONIA</v>
      </c>
      <c r="I1397" s="6">
        <f t="shared" si="64"/>
        <v>60000</v>
      </c>
      <c r="J1397" s="47">
        <f t="shared" si="65"/>
        <v>60000</v>
      </c>
    </row>
    <row r="1398" spans="1:11">
      <c r="A1398" s="29" t="s">
        <v>3831</v>
      </c>
      <c r="B1398" s="53" t="s">
        <v>149</v>
      </c>
      <c r="C1398" s="57" t="s">
        <v>159</v>
      </c>
      <c r="D1398" s="53" t="s">
        <v>4228</v>
      </c>
      <c r="E1398" s="32">
        <v>11132.312113096546</v>
      </c>
      <c r="F1398" s="53" t="s">
        <v>4074</v>
      </c>
      <c r="H1398" s="47" t="str">
        <f t="shared" si="63"/>
        <v>ANDINA</v>
      </c>
      <c r="I1398" s="6">
        <f t="shared" si="64"/>
        <v>11132.312113096546</v>
      </c>
      <c r="J1398" s="47">
        <f t="shared" si="65"/>
        <v>11132.312113096546</v>
      </c>
    </row>
    <row r="1399" spans="1:11">
      <c r="A1399" s="29" t="s">
        <v>4075</v>
      </c>
      <c r="B1399" s="53" t="s">
        <v>149</v>
      </c>
      <c r="C1399" s="57" t="s">
        <v>159</v>
      </c>
      <c r="D1399" s="53" t="s">
        <v>4228</v>
      </c>
      <c r="E1399" s="32">
        <v>11554.09444444667</v>
      </c>
      <c r="F1399" s="53" t="s">
        <v>4074</v>
      </c>
      <c r="H1399" s="47" t="str">
        <f t="shared" si="63"/>
        <v>ANDINA</v>
      </c>
      <c r="I1399" s="6">
        <f t="shared" si="64"/>
        <v>11554.09444444667</v>
      </c>
      <c r="J1399" s="47">
        <f t="shared" si="65"/>
        <v>11554.09444444667</v>
      </c>
      <c r="K1399" s="25"/>
    </row>
    <row r="1400" spans="1:11">
      <c r="A1400" s="29" t="s">
        <v>3835</v>
      </c>
      <c r="B1400" s="53" t="s">
        <v>149</v>
      </c>
      <c r="C1400" s="57" t="s">
        <v>159</v>
      </c>
      <c r="D1400" s="53" t="s">
        <v>4228</v>
      </c>
      <c r="E1400" s="32">
        <v>11344.012623839941</v>
      </c>
      <c r="F1400" s="53" t="s">
        <v>4074</v>
      </c>
      <c r="H1400" s="47" t="str">
        <f t="shared" si="63"/>
        <v>ANDINA</v>
      </c>
      <c r="I1400" s="6">
        <f t="shared" si="64"/>
        <v>11344.012623839941</v>
      </c>
      <c r="J1400" s="47">
        <f t="shared" si="65"/>
        <v>11344.012623839941</v>
      </c>
      <c r="K1400" s="25"/>
    </row>
    <row r="1401" spans="1:11">
      <c r="A1401" s="29" t="s">
        <v>3836</v>
      </c>
      <c r="B1401" s="53" t="s">
        <v>149</v>
      </c>
      <c r="C1401" s="57" t="s">
        <v>159</v>
      </c>
      <c r="D1401" s="53" t="s">
        <v>4228</v>
      </c>
      <c r="E1401" s="32">
        <v>11457.943640369376</v>
      </c>
      <c r="F1401" s="53" t="s">
        <v>4073</v>
      </c>
      <c r="H1401" s="47" t="str">
        <f t="shared" si="63"/>
        <v>ANDINA</v>
      </c>
      <c r="I1401" s="6">
        <f t="shared" si="64"/>
        <v>11425.689202757747</v>
      </c>
      <c r="J1401" s="47">
        <f t="shared" si="65"/>
        <v>11425.689202757747</v>
      </c>
      <c r="K1401" s="25"/>
    </row>
    <row r="1402" spans="1:11">
      <c r="A1402" s="29" t="s">
        <v>3837</v>
      </c>
      <c r="B1402" s="53" t="s">
        <v>149</v>
      </c>
      <c r="C1402" s="57" t="s">
        <v>159</v>
      </c>
      <c r="D1402" s="53" t="s">
        <v>4228</v>
      </c>
      <c r="E1402" s="32">
        <v>11457.943640369376</v>
      </c>
      <c r="F1402" s="53" t="s">
        <v>4073</v>
      </c>
      <c r="H1402" s="47" t="str">
        <f t="shared" si="63"/>
        <v>AMAZONIA</v>
      </c>
      <c r="I1402" s="6">
        <f t="shared" si="64"/>
        <v>11457.943640369376</v>
      </c>
      <c r="J1402" s="47">
        <f t="shared" si="65"/>
        <v>11457.943640369376</v>
      </c>
      <c r="K1402" s="25"/>
    </row>
    <row r="1403" spans="1:11">
      <c r="A1403" s="29" t="s">
        <v>3838</v>
      </c>
      <c r="B1403" s="53" t="s">
        <v>149</v>
      </c>
      <c r="C1403" s="57" t="s">
        <v>159</v>
      </c>
      <c r="D1403" s="53" t="s">
        <v>4228</v>
      </c>
      <c r="E1403" s="32">
        <v>12832.546511630235</v>
      </c>
      <c r="F1403" s="53" t="s">
        <v>4074</v>
      </c>
      <c r="H1403" s="47" t="str">
        <f t="shared" si="63"/>
        <v>ORINOQUIA</v>
      </c>
      <c r="I1403" s="6">
        <f t="shared" si="64"/>
        <v>12832.546511630235</v>
      </c>
      <c r="J1403" s="47">
        <f t="shared" si="65"/>
        <v>12832.546511630235</v>
      </c>
      <c r="K1403" s="25"/>
    </row>
    <row r="1404" spans="1:11">
      <c r="A1404" s="29" t="s">
        <v>3839</v>
      </c>
      <c r="B1404" s="53" t="s">
        <v>149</v>
      </c>
      <c r="C1404" s="57" t="s">
        <v>159</v>
      </c>
      <c r="D1404" s="53" t="s">
        <v>4228</v>
      </c>
      <c r="E1404" s="32">
        <v>11619.375925925555</v>
      </c>
      <c r="F1404" s="53" t="s">
        <v>4074</v>
      </c>
      <c r="H1404" s="47" t="str">
        <f t="shared" si="63"/>
        <v>PACIFICO</v>
      </c>
      <c r="I1404" s="6">
        <f t="shared" si="64"/>
        <v>11619.375925925555</v>
      </c>
      <c r="J1404" s="47">
        <f t="shared" si="65"/>
        <v>11619.375925925555</v>
      </c>
      <c r="K1404" s="25"/>
    </row>
    <row r="1405" spans="1:11">
      <c r="A1405" s="29" t="s">
        <v>3840</v>
      </c>
      <c r="B1405" s="53" t="s">
        <v>149</v>
      </c>
      <c r="C1405" s="57" t="s">
        <v>159</v>
      </c>
      <c r="D1405" s="53" t="s">
        <v>4228</v>
      </c>
      <c r="E1405" s="32">
        <v>13474.369747899998</v>
      </c>
      <c r="F1405" s="53" t="s">
        <v>4074</v>
      </c>
      <c r="H1405" s="47" t="str">
        <f t="shared" si="63"/>
        <v>CARIBE</v>
      </c>
      <c r="I1405" s="6">
        <f t="shared" si="64"/>
        <v>13474.369747899998</v>
      </c>
      <c r="J1405" s="47">
        <f t="shared" si="65"/>
        <v>13474.369747899998</v>
      </c>
      <c r="K1405" s="25"/>
    </row>
    <row r="1406" spans="1:11">
      <c r="A1406" s="29" t="s">
        <v>3841</v>
      </c>
      <c r="B1406" s="53" t="s">
        <v>149</v>
      </c>
      <c r="C1406" s="57" t="s">
        <v>159</v>
      </c>
      <c r="D1406" s="53" t="s">
        <v>4228</v>
      </c>
      <c r="E1406" s="32">
        <v>11457.943640369376</v>
      </c>
      <c r="F1406" s="53" t="s">
        <v>4073</v>
      </c>
      <c r="H1406" s="47" t="str">
        <f t="shared" si="63"/>
        <v>CARIBE</v>
      </c>
      <c r="I1406" s="6">
        <f t="shared" si="64"/>
        <v>11794.014658291155</v>
      </c>
      <c r="J1406" s="47">
        <f t="shared" si="65"/>
        <v>11794.014658291155</v>
      </c>
      <c r="K1406" s="25"/>
    </row>
    <row r="1407" spans="1:11">
      <c r="A1407" s="29" t="s">
        <v>3842</v>
      </c>
      <c r="B1407" s="53" t="s">
        <v>149</v>
      </c>
      <c r="C1407" s="57" t="s">
        <v>159</v>
      </c>
      <c r="D1407" s="53" t="s">
        <v>4228</v>
      </c>
      <c r="E1407" s="32">
        <v>11214.322222222978</v>
      </c>
      <c r="F1407" s="53" t="s">
        <v>4074</v>
      </c>
      <c r="H1407" s="47" t="str">
        <f t="shared" si="63"/>
        <v>ANDINA</v>
      </c>
      <c r="I1407" s="6">
        <f t="shared" si="64"/>
        <v>11214.322222222978</v>
      </c>
      <c r="J1407" s="47">
        <f t="shared" si="65"/>
        <v>11214.322222222978</v>
      </c>
      <c r="K1407" s="25"/>
    </row>
    <row r="1408" spans="1:11">
      <c r="A1408" s="29" t="s">
        <v>3843</v>
      </c>
      <c r="B1408" s="53" t="s">
        <v>149</v>
      </c>
      <c r="C1408" s="57" t="s">
        <v>159</v>
      </c>
      <c r="D1408" s="53" t="s">
        <v>4228</v>
      </c>
      <c r="E1408" s="32">
        <v>11348.383500560203</v>
      </c>
      <c r="F1408" s="53" t="s">
        <v>4074</v>
      </c>
      <c r="H1408" s="47" t="str">
        <f t="shared" si="63"/>
        <v>ANDINA</v>
      </c>
      <c r="I1408" s="6">
        <f t="shared" si="64"/>
        <v>11348.383500560203</v>
      </c>
      <c r="J1408" s="47">
        <f t="shared" si="65"/>
        <v>11348.383500560203</v>
      </c>
      <c r="K1408" s="25"/>
    </row>
    <row r="1409" spans="1:11">
      <c r="A1409" s="29" t="s">
        <v>3845</v>
      </c>
      <c r="B1409" s="53" t="s">
        <v>149</v>
      </c>
      <c r="C1409" s="57" t="s">
        <v>159</v>
      </c>
      <c r="D1409" s="53" t="s">
        <v>4228</v>
      </c>
      <c r="E1409" s="32">
        <v>12071.23657084634</v>
      </c>
      <c r="F1409" s="53" t="s">
        <v>4074</v>
      </c>
      <c r="H1409" s="47" t="str">
        <f t="shared" si="63"/>
        <v>ORINOQUIA</v>
      </c>
      <c r="I1409" s="6">
        <f t="shared" si="64"/>
        <v>12071.23657084634</v>
      </c>
      <c r="J1409" s="47">
        <f t="shared" si="65"/>
        <v>12071.23657084634</v>
      </c>
      <c r="K1409" s="25"/>
    </row>
    <row r="1410" spans="1:11">
      <c r="A1410" s="29" t="s">
        <v>3846</v>
      </c>
      <c r="B1410" s="53" t="s">
        <v>149</v>
      </c>
      <c r="C1410" s="57" t="s">
        <v>159</v>
      </c>
      <c r="D1410" s="53" t="s">
        <v>4228</v>
      </c>
      <c r="E1410" s="32">
        <v>10709.840579715657</v>
      </c>
      <c r="F1410" s="53" t="s">
        <v>4074</v>
      </c>
      <c r="H1410" s="47" t="str">
        <f t="shared" ref="H1410:H1460" si="66">IF(OR(A1410="Antioquia",A1410="Bogotá, D.C.",A1410="Boyacá",A1410="Cundinamarca",A1410="Caldas",A1410="Risaralda",A1410="Quindío",A1410="Tolima",A1410="Huila",A1410="Santander",A1410="Norte de Santander"),"ANDINA",
IF(OR(A1410="Atlántico",A1410="Bolívar",A1410="Cesar",A1410="Córdoba",A1410="Sucre",A1410="Magdalena"),"CARIBE",
IF(OR(A1410="Valle del Cauca",A1410="Cauca",A1410="Nariño"),"PACIFICO",
IF(OR(A1410="Meta",A1410="Casanare",A1410="Arauca"),"ORINOQUIA",
"AMAZONIA"))))</f>
        <v>PACIFICO</v>
      </c>
      <c r="I1410" s="6">
        <f t="shared" ref="I1410:I1460" si="67">IF(F1410="Departamental",E1410,
AVERAGEIFS($E:$E,$H:$H,H1410,$B:$B,B1410,$C:$C,C1410))</f>
        <v>10709.840579715657</v>
      </c>
      <c r="J1410" s="47">
        <f t="shared" si="65"/>
        <v>10709.840579715657</v>
      </c>
      <c r="K1410" s="25"/>
    </row>
    <row r="1411" spans="1:11">
      <c r="A1411" s="29" t="s">
        <v>3847</v>
      </c>
      <c r="B1411" s="53" t="s">
        <v>149</v>
      </c>
      <c r="C1411" s="57" t="s">
        <v>159</v>
      </c>
      <c r="D1411" s="53" t="s">
        <v>4228</v>
      </c>
      <c r="E1411" s="32">
        <v>11061.8101545298</v>
      </c>
      <c r="F1411" s="53" t="s">
        <v>4074</v>
      </c>
      <c r="H1411" s="47" t="str">
        <f t="shared" si="66"/>
        <v>ANDINA</v>
      </c>
      <c r="I1411" s="6">
        <f t="shared" si="67"/>
        <v>11061.8101545298</v>
      </c>
      <c r="J1411" s="47">
        <f t="shared" ref="J1411:J1460" si="68">IF(G1411&lt;&gt;"",G1411,I1411)</f>
        <v>11061.8101545298</v>
      </c>
      <c r="K1411" s="25"/>
    </row>
    <row r="1412" spans="1:11">
      <c r="A1412" s="29" t="s">
        <v>3848</v>
      </c>
      <c r="B1412" s="53" t="s">
        <v>149</v>
      </c>
      <c r="C1412" s="57" t="s">
        <v>159</v>
      </c>
      <c r="D1412" s="53" t="s">
        <v>4228</v>
      </c>
      <c r="E1412" s="32">
        <v>11457.943640369376</v>
      </c>
      <c r="F1412" s="53" t="s">
        <v>4073</v>
      </c>
      <c r="H1412" s="47" t="str">
        <f t="shared" si="66"/>
        <v>AMAZONIA</v>
      </c>
      <c r="I1412" s="6">
        <f t="shared" si="67"/>
        <v>11457.943640369376</v>
      </c>
      <c r="J1412" s="47">
        <f t="shared" si="68"/>
        <v>11457.943640369376</v>
      </c>
      <c r="K1412" s="25"/>
    </row>
    <row r="1413" spans="1:11">
      <c r="A1413" s="29" t="s">
        <v>3849</v>
      </c>
      <c r="B1413" s="53" t="s">
        <v>149</v>
      </c>
      <c r="C1413" s="57" t="s">
        <v>159</v>
      </c>
      <c r="D1413" s="53" t="s">
        <v>4228</v>
      </c>
      <c r="E1413" s="32">
        <v>11457.943640369376</v>
      </c>
      <c r="F1413" s="53" t="s">
        <v>4073</v>
      </c>
      <c r="H1413" s="47" t="str">
        <f t="shared" si="66"/>
        <v>ANDINA</v>
      </c>
      <c r="I1413" s="6">
        <f t="shared" si="67"/>
        <v>11425.689202757747</v>
      </c>
      <c r="J1413" s="47">
        <f t="shared" si="68"/>
        <v>11425.689202757747</v>
      </c>
      <c r="K1413" s="25"/>
    </row>
    <row r="1414" spans="1:11">
      <c r="A1414" s="29" t="s">
        <v>3850</v>
      </c>
      <c r="B1414" s="53" t="s">
        <v>149</v>
      </c>
      <c r="C1414" s="57" t="s">
        <v>159</v>
      </c>
      <c r="D1414" s="53" t="s">
        <v>4228</v>
      </c>
      <c r="E1414" s="32">
        <v>11563.782051282909</v>
      </c>
      <c r="F1414" s="53" t="s">
        <v>4074</v>
      </c>
      <c r="H1414" s="47" t="str">
        <f t="shared" si="66"/>
        <v>ANDINA</v>
      </c>
      <c r="I1414" s="6">
        <f t="shared" si="67"/>
        <v>11563.782051282909</v>
      </c>
      <c r="J1414" s="47">
        <f t="shared" si="68"/>
        <v>11563.782051282909</v>
      </c>
      <c r="K1414" s="25"/>
    </row>
    <row r="1415" spans="1:11">
      <c r="A1415" s="29" t="s">
        <v>3851</v>
      </c>
      <c r="B1415" s="53" t="s">
        <v>149</v>
      </c>
      <c r="C1415" s="57" t="s">
        <v>159</v>
      </c>
      <c r="D1415" s="53" t="s">
        <v>4228</v>
      </c>
      <c r="E1415" s="32">
        <v>11745.108527130811</v>
      </c>
      <c r="F1415" s="53" t="s">
        <v>4074</v>
      </c>
      <c r="H1415" s="47" t="str">
        <f t="shared" si="66"/>
        <v>ANDINA</v>
      </c>
      <c r="I1415" s="6">
        <f t="shared" si="67"/>
        <v>11745.108527130811</v>
      </c>
      <c r="J1415" s="47">
        <f t="shared" si="68"/>
        <v>11745.108527130811</v>
      </c>
      <c r="K1415" s="25"/>
    </row>
    <row r="1416" spans="1:11">
      <c r="A1416" s="29" t="s">
        <v>3853</v>
      </c>
      <c r="B1416" s="53" t="s">
        <v>149</v>
      </c>
      <c r="C1416" s="57" t="s">
        <v>159</v>
      </c>
      <c r="D1416" s="53" t="s">
        <v>4228</v>
      </c>
      <c r="E1416" s="32">
        <v>11802.868312486622</v>
      </c>
      <c r="F1416" s="53" t="s">
        <v>4074</v>
      </c>
      <c r="H1416" s="47" t="str">
        <f t="shared" si="66"/>
        <v>ANDINA</v>
      </c>
      <c r="I1416" s="6">
        <f t="shared" si="67"/>
        <v>11802.868312486622</v>
      </c>
      <c r="J1416" s="47">
        <f t="shared" si="68"/>
        <v>11802.868312486622</v>
      </c>
    </row>
    <row r="1417" spans="1:11">
      <c r="A1417" s="29" t="s">
        <v>3854</v>
      </c>
      <c r="B1417" s="53" t="s">
        <v>149</v>
      </c>
      <c r="C1417" s="57" t="s">
        <v>159</v>
      </c>
      <c r="D1417" s="53" t="s">
        <v>4228</v>
      </c>
      <c r="E1417" s="32">
        <v>11590.195778744539</v>
      </c>
      <c r="F1417" s="53" t="s">
        <v>4074</v>
      </c>
      <c r="H1417" s="47" t="str">
        <f t="shared" si="66"/>
        <v>PACIFICO</v>
      </c>
      <c r="I1417" s="6">
        <f t="shared" si="67"/>
        <v>11590.195778744539</v>
      </c>
      <c r="J1417" s="47">
        <f t="shared" si="68"/>
        <v>11590.195778744539</v>
      </c>
    </row>
    <row r="1418" spans="1:11">
      <c r="A1418" s="29" t="s">
        <v>4076</v>
      </c>
      <c r="B1418" s="53" t="s">
        <v>149</v>
      </c>
      <c r="C1418" s="57" t="s">
        <v>159</v>
      </c>
      <c r="D1418" s="53" t="s">
        <v>4228</v>
      </c>
      <c r="E1418" s="32">
        <v>11457.943640369376</v>
      </c>
      <c r="F1418" s="53" t="s">
        <v>4073</v>
      </c>
      <c r="H1418" s="47" t="str">
        <f t="shared" si="66"/>
        <v>AMAZONIA</v>
      </c>
      <c r="I1418" s="6">
        <f t="shared" si="67"/>
        <v>11457.943640369376</v>
      </c>
      <c r="J1418" s="47">
        <f t="shared" si="68"/>
        <v>11457.943640369376</v>
      </c>
    </row>
    <row r="1419" spans="1:11">
      <c r="A1419" s="29" t="s">
        <v>3831</v>
      </c>
      <c r="B1419" s="27" t="s">
        <v>176</v>
      </c>
      <c r="C1419" s="59" t="s">
        <v>4145</v>
      </c>
      <c r="D1419" s="53" t="s">
        <v>172</v>
      </c>
      <c r="E1419" s="32">
        <v>19889.1857318574</v>
      </c>
      <c r="F1419" s="53" t="s">
        <v>4073</v>
      </c>
      <c r="H1419" s="47" t="str">
        <f t="shared" si="66"/>
        <v>ANDINA</v>
      </c>
      <c r="I1419" s="6">
        <f t="shared" si="67"/>
        <v>19957.66986071007</v>
      </c>
      <c r="J1419" s="47">
        <f t="shared" si="68"/>
        <v>19957.66986071007</v>
      </c>
      <c r="K1419" s="22"/>
    </row>
    <row r="1420" spans="1:11">
      <c r="A1420" s="29" t="s">
        <v>4075</v>
      </c>
      <c r="B1420" s="27" t="s">
        <v>176</v>
      </c>
      <c r="C1420" s="59" t="s">
        <v>4145</v>
      </c>
      <c r="D1420" s="53" t="s">
        <v>172</v>
      </c>
      <c r="E1420" s="32">
        <v>19889.1857318574</v>
      </c>
      <c r="F1420" s="53" t="s">
        <v>4073</v>
      </c>
      <c r="H1420" s="47" t="str">
        <f t="shared" si="66"/>
        <v>ANDINA</v>
      </c>
      <c r="I1420" s="6">
        <f t="shared" si="67"/>
        <v>19957.66986071007</v>
      </c>
      <c r="J1420" s="47">
        <f t="shared" si="68"/>
        <v>19957.66986071007</v>
      </c>
      <c r="K1420" s="25"/>
    </row>
    <row r="1421" spans="1:11">
      <c r="A1421" s="29" t="s">
        <v>3835</v>
      </c>
      <c r="B1421" s="27" t="s">
        <v>176</v>
      </c>
      <c r="C1421" s="59" t="s">
        <v>4145</v>
      </c>
      <c r="D1421" s="53" t="s">
        <v>172</v>
      </c>
      <c r="E1421" s="32">
        <v>19889.1857318574</v>
      </c>
      <c r="F1421" s="53" t="s">
        <v>4073</v>
      </c>
      <c r="H1421" s="47" t="str">
        <f t="shared" si="66"/>
        <v>ANDINA</v>
      </c>
      <c r="I1421" s="6">
        <f t="shared" si="67"/>
        <v>19957.66986071007</v>
      </c>
      <c r="J1421" s="47">
        <f t="shared" si="68"/>
        <v>19957.66986071007</v>
      </c>
      <c r="K1421" s="25"/>
    </row>
    <row r="1422" spans="1:11">
      <c r="A1422" s="29" t="s">
        <v>3836</v>
      </c>
      <c r="B1422" s="27" t="s">
        <v>176</v>
      </c>
      <c r="C1422" s="59" t="s">
        <v>4145</v>
      </c>
      <c r="D1422" s="53" t="s">
        <v>172</v>
      </c>
      <c r="E1422" s="32">
        <v>18346.511695905261</v>
      </c>
      <c r="F1422" s="53" t="s">
        <v>4074</v>
      </c>
      <c r="H1422" s="47" t="str">
        <f t="shared" si="66"/>
        <v>ANDINA</v>
      </c>
      <c r="I1422" s="6">
        <f t="shared" si="67"/>
        <v>18346.511695905261</v>
      </c>
      <c r="J1422" s="47">
        <f t="shared" si="68"/>
        <v>18346.511695905261</v>
      </c>
      <c r="K1422" s="25"/>
    </row>
    <row r="1423" spans="1:11">
      <c r="A1423" s="29" t="s">
        <v>3837</v>
      </c>
      <c r="B1423" s="27" t="s">
        <v>176</v>
      </c>
      <c r="C1423" s="59" t="s">
        <v>4145</v>
      </c>
      <c r="D1423" s="53" t="s">
        <v>172</v>
      </c>
      <c r="E1423" s="32">
        <v>19889.1857318574</v>
      </c>
      <c r="F1423" s="53" t="s">
        <v>4073</v>
      </c>
      <c r="H1423" s="47" t="str">
        <f t="shared" si="66"/>
        <v>AMAZONIA</v>
      </c>
      <c r="I1423" s="6">
        <f t="shared" si="67"/>
        <v>19889.1857318574</v>
      </c>
      <c r="J1423" s="47">
        <f t="shared" si="68"/>
        <v>19889.1857318574</v>
      </c>
      <c r="K1423" s="25"/>
    </row>
    <row r="1424" spans="1:11">
      <c r="A1424" s="29" t="s">
        <v>3838</v>
      </c>
      <c r="B1424" s="27" t="s">
        <v>176</v>
      </c>
      <c r="C1424" s="59" t="s">
        <v>4145</v>
      </c>
      <c r="D1424" s="53" t="s">
        <v>172</v>
      </c>
      <c r="E1424" s="32">
        <v>19889.1857318574</v>
      </c>
      <c r="F1424" s="53" t="s">
        <v>4073</v>
      </c>
      <c r="H1424" s="47" t="str">
        <f t="shared" si="66"/>
        <v>ORINOQUIA</v>
      </c>
      <c r="I1424" s="6">
        <f t="shared" si="67"/>
        <v>19889.1857318574</v>
      </c>
      <c r="J1424" s="47">
        <f t="shared" si="68"/>
        <v>19889.1857318574</v>
      </c>
      <c r="K1424" s="25"/>
    </row>
    <row r="1425" spans="1:11">
      <c r="A1425" s="29" t="s">
        <v>3839</v>
      </c>
      <c r="B1425" s="27" t="s">
        <v>176</v>
      </c>
      <c r="C1425" s="59" t="s">
        <v>4145</v>
      </c>
      <c r="D1425" s="53" t="s">
        <v>172</v>
      </c>
      <c r="E1425" s="32">
        <v>19889.1857318574</v>
      </c>
      <c r="F1425" s="53" t="s">
        <v>4073</v>
      </c>
      <c r="H1425" s="47" t="str">
        <f t="shared" si="66"/>
        <v>PACIFICO</v>
      </c>
      <c r="I1425" s="6">
        <f t="shared" si="67"/>
        <v>19889.1857318574</v>
      </c>
      <c r="J1425" s="47">
        <f t="shared" si="68"/>
        <v>19889.1857318574</v>
      </c>
      <c r="K1425" s="25"/>
    </row>
    <row r="1426" spans="1:11">
      <c r="A1426" s="29" t="s">
        <v>3840</v>
      </c>
      <c r="B1426" s="27" t="s">
        <v>176</v>
      </c>
      <c r="C1426" s="59" t="s">
        <v>4145</v>
      </c>
      <c r="D1426" s="53" t="s">
        <v>172</v>
      </c>
      <c r="E1426" s="32">
        <v>20120.621468928817</v>
      </c>
      <c r="F1426" s="53" t="s">
        <v>4074</v>
      </c>
      <c r="H1426" s="47" t="str">
        <f t="shared" si="66"/>
        <v>CARIBE</v>
      </c>
      <c r="I1426" s="6">
        <f t="shared" si="67"/>
        <v>20120.621468928817</v>
      </c>
      <c r="J1426" s="47">
        <f t="shared" si="68"/>
        <v>20120.621468928817</v>
      </c>
      <c r="K1426" s="25"/>
    </row>
    <row r="1427" spans="1:11">
      <c r="A1427" s="29" t="s">
        <v>3841</v>
      </c>
      <c r="B1427" s="27" t="s">
        <v>176</v>
      </c>
      <c r="C1427" s="59" t="s">
        <v>4145</v>
      </c>
      <c r="D1427" s="53" t="s">
        <v>172</v>
      </c>
      <c r="E1427" s="32">
        <v>19889.1857318574</v>
      </c>
      <c r="F1427" s="53" t="s">
        <v>4073</v>
      </c>
      <c r="H1427" s="47" t="str">
        <f t="shared" si="66"/>
        <v>CARIBE</v>
      </c>
      <c r="I1427" s="6">
        <f t="shared" si="67"/>
        <v>19935.472879271685</v>
      </c>
      <c r="J1427" s="47">
        <f t="shared" si="68"/>
        <v>19935.472879271685</v>
      </c>
      <c r="K1427" s="25"/>
    </row>
    <row r="1428" spans="1:11">
      <c r="A1428" s="29" t="s">
        <v>3842</v>
      </c>
      <c r="B1428" s="27" t="s">
        <v>176</v>
      </c>
      <c r="C1428" s="59" t="s">
        <v>4145</v>
      </c>
      <c r="D1428" s="53" t="s">
        <v>172</v>
      </c>
      <c r="E1428" s="32">
        <v>22185.185185188886</v>
      </c>
      <c r="F1428" s="53" t="s">
        <v>4074</v>
      </c>
      <c r="H1428" s="47" t="str">
        <f t="shared" si="66"/>
        <v>ANDINA</v>
      </c>
      <c r="I1428" s="6">
        <f t="shared" si="67"/>
        <v>22185.185185188886</v>
      </c>
      <c r="J1428" s="47">
        <f t="shared" si="68"/>
        <v>22185.185185188886</v>
      </c>
      <c r="K1428" s="25"/>
    </row>
    <row r="1429" spans="1:11">
      <c r="A1429" s="29" t="s">
        <v>3843</v>
      </c>
      <c r="B1429" s="27" t="s">
        <v>176</v>
      </c>
      <c r="C1429" s="59" t="s">
        <v>4145</v>
      </c>
      <c r="D1429" s="53" t="s">
        <v>172</v>
      </c>
      <c r="E1429" s="32">
        <v>19889.1857318574</v>
      </c>
      <c r="F1429" s="53" t="s">
        <v>4073</v>
      </c>
      <c r="H1429" s="47" t="str">
        <f t="shared" si="66"/>
        <v>ANDINA</v>
      </c>
      <c r="I1429" s="6">
        <f t="shared" si="67"/>
        <v>19957.66986071007</v>
      </c>
      <c r="J1429" s="47">
        <f t="shared" si="68"/>
        <v>19957.66986071007</v>
      </c>
      <c r="K1429" s="25"/>
    </row>
    <row r="1430" spans="1:11">
      <c r="A1430" s="29" t="s">
        <v>3845</v>
      </c>
      <c r="B1430" s="27" t="s">
        <v>176</v>
      </c>
      <c r="C1430" s="59" t="s">
        <v>4145</v>
      </c>
      <c r="D1430" s="53" t="s">
        <v>172</v>
      </c>
      <c r="E1430" s="32">
        <v>19889.1857318574</v>
      </c>
      <c r="F1430" s="53" t="s">
        <v>4073</v>
      </c>
      <c r="H1430" s="47" t="str">
        <f t="shared" si="66"/>
        <v>ORINOQUIA</v>
      </c>
      <c r="I1430" s="6">
        <f t="shared" si="67"/>
        <v>19889.1857318574</v>
      </c>
      <c r="J1430" s="47">
        <f t="shared" si="68"/>
        <v>19889.1857318574</v>
      </c>
      <c r="K1430" s="25"/>
    </row>
    <row r="1431" spans="1:11">
      <c r="A1431" s="29" t="s">
        <v>3846</v>
      </c>
      <c r="B1431" s="27" t="s">
        <v>176</v>
      </c>
      <c r="C1431" s="59" t="s">
        <v>4145</v>
      </c>
      <c r="D1431" s="53" t="s">
        <v>172</v>
      </c>
      <c r="E1431" s="32">
        <v>19889.1857318574</v>
      </c>
      <c r="F1431" s="53" t="s">
        <v>4073</v>
      </c>
      <c r="H1431" s="47" t="str">
        <f t="shared" si="66"/>
        <v>PACIFICO</v>
      </c>
      <c r="I1431" s="6">
        <f t="shared" si="67"/>
        <v>19889.1857318574</v>
      </c>
      <c r="J1431" s="47">
        <f t="shared" si="68"/>
        <v>19889.1857318574</v>
      </c>
      <c r="K1431" s="25"/>
    </row>
    <row r="1432" spans="1:11">
      <c r="A1432" s="29" t="s">
        <v>3847</v>
      </c>
      <c r="B1432" s="27" t="s">
        <v>176</v>
      </c>
      <c r="C1432" s="59" t="s">
        <v>4145</v>
      </c>
      <c r="D1432" s="53" t="s">
        <v>172</v>
      </c>
      <c r="E1432" s="32">
        <v>19889.1857318574</v>
      </c>
      <c r="F1432" s="53" t="s">
        <v>4073</v>
      </c>
      <c r="H1432" s="47" t="str">
        <f t="shared" si="66"/>
        <v>ANDINA</v>
      </c>
      <c r="I1432" s="6">
        <f t="shared" si="67"/>
        <v>19957.66986071007</v>
      </c>
      <c r="J1432" s="47">
        <f t="shared" si="68"/>
        <v>19957.66986071007</v>
      </c>
      <c r="K1432" s="25"/>
    </row>
    <row r="1433" spans="1:11">
      <c r="A1433" s="29" t="s">
        <v>3848</v>
      </c>
      <c r="B1433" s="27" t="s">
        <v>176</v>
      </c>
      <c r="C1433" s="59" t="s">
        <v>4145</v>
      </c>
      <c r="D1433" s="53" t="s">
        <v>172</v>
      </c>
      <c r="E1433" s="32">
        <v>19889.1857318574</v>
      </c>
      <c r="F1433" s="53" t="s">
        <v>4073</v>
      </c>
      <c r="H1433" s="47" t="str">
        <f t="shared" si="66"/>
        <v>AMAZONIA</v>
      </c>
      <c r="I1433" s="6">
        <f t="shared" si="67"/>
        <v>19889.1857318574</v>
      </c>
      <c r="J1433" s="47">
        <f t="shared" si="68"/>
        <v>19889.1857318574</v>
      </c>
      <c r="K1433" s="25"/>
    </row>
    <row r="1434" spans="1:11">
      <c r="A1434" s="29" t="s">
        <v>3849</v>
      </c>
      <c r="B1434" s="27" t="s">
        <v>176</v>
      </c>
      <c r="C1434" s="59" t="s">
        <v>4145</v>
      </c>
      <c r="D1434" s="53" t="s">
        <v>172</v>
      </c>
      <c r="E1434" s="32">
        <v>19889.1857318574</v>
      </c>
      <c r="F1434" s="53" t="s">
        <v>4073</v>
      </c>
      <c r="H1434" s="47" t="str">
        <f t="shared" si="66"/>
        <v>ANDINA</v>
      </c>
      <c r="I1434" s="6">
        <f t="shared" si="67"/>
        <v>19957.66986071007</v>
      </c>
      <c r="J1434" s="47">
        <f t="shared" si="68"/>
        <v>19957.66986071007</v>
      </c>
      <c r="K1434" s="25"/>
    </row>
    <row r="1435" spans="1:11">
      <c r="A1435" s="29" t="s">
        <v>3850</v>
      </c>
      <c r="B1435" s="27" t="s">
        <v>176</v>
      </c>
      <c r="C1435" s="59" t="s">
        <v>4145</v>
      </c>
      <c r="D1435" s="53" t="s">
        <v>172</v>
      </c>
      <c r="E1435" s="32">
        <v>19889.1857318574</v>
      </c>
      <c r="F1435" s="53" t="s">
        <v>4073</v>
      </c>
      <c r="H1435" s="47" t="str">
        <f t="shared" si="66"/>
        <v>ANDINA</v>
      </c>
      <c r="I1435" s="6">
        <f t="shared" si="67"/>
        <v>19957.66986071007</v>
      </c>
      <c r="J1435" s="47">
        <f t="shared" si="68"/>
        <v>19957.66986071007</v>
      </c>
      <c r="K1435" s="25"/>
    </row>
    <row r="1436" spans="1:11">
      <c r="A1436" s="29" t="s">
        <v>3851</v>
      </c>
      <c r="B1436" s="27" t="s">
        <v>176</v>
      </c>
      <c r="C1436" s="59" t="s">
        <v>4145</v>
      </c>
      <c r="D1436" s="53" t="s">
        <v>172</v>
      </c>
      <c r="E1436" s="32">
        <v>19889.1857318574</v>
      </c>
      <c r="F1436" s="53" t="s">
        <v>4073</v>
      </c>
      <c r="H1436" s="47" t="str">
        <f t="shared" si="66"/>
        <v>ANDINA</v>
      </c>
      <c r="I1436" s="6">
        <f t="shared" si="67"/>
        <v>19957.66986071007</v>
      </c>
      <c r="J1436" s="47">
        <f t="shared" si="68"/>
        <v>19957.66986071007</v>
      </c>
      <c r="K1436" s="25"/>
    </row>
    <row r="1437" spans="1:11">
      <c r="A1437" s="29" t="s">
        <v>3853</v>
      </c>
      <c r="B1437" s="27" t="s">
        <v>176</v>
      </c>
      <c r="C1437" s="59" t="s">
        <v>4145</v>
      </c>
      <c r="D1437" s="53" t="s">
        <v>172</v>
      </c>
      <c r="E1437" s="32">
        <v>19889.1857318574</v>
      </c>
      <c r="F1437" s="53" t="s">
        <v>4073</v>
      </c>
      <c r="H1437" s="47" t="str">
        <f t="shared" si="66"/>
        <v>ANDINA</v>
      </c>
      <c r="I1437" s="6">
        <f t="shared" si="67"/>
        <v>19957.66986071007</v>
      </c>
      <c r="J1437" s="47">
        <f t="shared" si="68"/>
        <v>19957.66986071007</v>
      </c>
      <c r="K1437" s="25"/>
    </row>
    <row r="1438" spans="1:11">
      <c r="A1438" s="29" t="s">
        <v>3854</v>
      </c>
      <c r="B1438" s="27" t="s">
        <v>176</v>
      </c>
      <c r="C1438" s="59" t="s">
        <v>4145</v>
      </c>
      <c r="D1438" s="53" t="s">
        <v>172</v>
      </c>
      <c r="E1438" s="32">
        <v>19889.1857318574</v>
      </c>
      <c r="F1438" s="53" t="s">
        <v>4073</v>
      </c>
      <c r="H1438" s="47" t="str">
        <f t="shared" si="66"/>
        <v>PACIFICO</v>
      </c>
      <c r="I1438" s="6">
        <f t="shared" si="67"/>
        <v>19889.1857318574</v>
      </c>
      <c r="J1438" s="47">
        <f t="shared" si="68"/>
        <v>19889.1857318574</v>
      </c>
      <c r="K1438" s="25"/>
    </row>
    <row r="1439" spans="1:11">
      <c r="A1439" s="29" t="s">
        <v>4076</v>
      </c>
      <c r="B1439" s="27" t="s">
        <v>176</v>
      </c>
      <c r="C1439" s="59" t="s">
        <v>4145</v>
      </c>
      <c r="D1439" s="53" t="s">
        <v>172</v>
      </c>
      <c r="E1439" s="32">
        <v>19889.1857318574</v>
      </c>
      <c r="F1439" s="53" t="s">
        <v>4073</v>
      </c>
      <c r="H1439" s="47" t="str">
        <f t="shared" si="66"/>
        <v>AMAZONIA</v>
      </c>
      <c r="I1439" s="6">
        <f t="shared" si="67"/>
        <v>19889.1857318574</v>
      </c>
      <c r="J1439" s="47">
        <f t="shared" si="68"/>
        <v>19889.1857318574</v>
      </c>
      <c r="K1439" s="25"/>
    </row>
    <row r="1440" spans="1:11">
      <c r="A1440" s="29" t="s">
        <v>3831</v>
      </c>
      <c r="B1440" s="27" t="s">
        <v>176</v>
      </c>
      <c r="C1440" s="59" t="s">
        <v>4112</v>
      </c>
      <c r="D1440" s="53" t="s">
        <v>226</v>
      </c>
      <c r="E1440" s="32">
        <v>28373.31649831641</v>
      </c>
      <c r="F1440" s="53" t="s">
        <v>4073</v>
      </c>
      <c r="H1440" s="47" t="str">
        <f t="shared" si="66"/>
        <v>ANDINA</v>
      </c>
      <c r="I1440" s="6">
        <f t="shared" si="67"/>
        <v>29243.811184680089</v>
      </c>
      <c r="J1440" s="47">
        <f t="shared" si="68"/>
        <v>29243.811184680089</v>
      </c>
      <c r="K1440" s="25"/>
    </row>
    <row r="1441" spans="1:11">
      <c r="A1441" s="29" t="s">
        <v>4075</v>
      </c>
      <c r="B1441" s="27" t="s">
        <v>176</v>
      </c>
      <c r="C1441" s="59" t="s">
        <v>4112</v>
      </c>
      <c r="D1441" s="53" t="s">
        <v>226</v>
      </c>
      <c r="E1441" s="32">
        <v>32692.424242418187</v>
      </c>
      <c r="F1441" s="53" t="s">
        <v>4074</v>
      </c>
      <c r="H1441" s="47" t="str">
        <f t="shared" si="66"/>
        <v>ANDINA</v>
      </c>
      <c r="I1441" s="6">
        <f t="shared" si="67"/>
        <v>32692.424242418187</v>
      </c>
      <c r="J1441" s="47">
        <f t="shared" si="68"/>
        <v>32692.424242418187</v>
      </c>
      <c r="K1441" s="25"/>
    </row>
    <row r="1442" spans="1:11">
      <c r="A1442" s="29" t="s">
        <v>3835</v>
      </c>
      <c r="B1442" s="27" t="s">
        <v>176</v>
      </c>
      <c r="C1442" s="59" t="s">
        <v>4112</v>
      </c>
      <c r="D1442" s="53" t="s">
        <v>226</v>
      </c>
      <c r="E1442" s="32">
        <v>28373.31649831641</v>
      </c>
      <c r="F1442" s="53" t="s">
        <v>4073</v>
      </c>
      <c r="H1442" s="47" t="str">
        <f t="shared" si="66"/>
        <v>ANDINA</v>
      </c>
      <c r="I1442" s="6">
        <f t="shared" si="67"/>
        <v>29243.811184680089</v>
      </c>
      <c r="J1442" s="47">
        <f t="shared" si="68"/>
        <v>29243.811184680089</v>
      </c>
      <c r="K1442" s="25"/>
    </row>
    <row r="1443" spans="1:11">
      <c r="A1443" s="29" t="s">
        <v>3836</v>
      </c>
      <c r="B1443" s="27" t="s">
        <v>176</v>
      </c>
      <c r="C1443" s="59" t="s">
        <v>4112</v>
      </c>
      <c r="D1443" s="53" t="s">
        <v>226</v>
      </c>
      <c r="E1443" s="32">
        <v>28373.31649831641</v>
      </c>
      <c r="F1443" s="53" t="s">
        <v>4073</v>
      </c>
      <c r="H1443" s="47" t="str">
        <f t="shared" si="66"/>
        <v>ANDINA</v>
      </c>
      <c r="I1443" s="6">
        <f t="shared" si="67"/>
        <v>29243.811184680089</v>
      </c>
      <c r="J1443" s="47">
        <f t="shared" si="68"/>
        <v>29243.811184680089</v>
      </c>
      <c r="K1443" s="25"/>
    </row>
    <row r="1444" spans="1:11">
      <c r="A1444" s="29" t="s">
        <v>3837</v>
      </c>
      <c r="B1444" s="27" t="s">
        <v>176</v>
      </c>
      <c r="C1444" s="59" t="s">
        <v>4112</v>
      </c>
      <c r="D1444" s="53" t="s">
        <v>226</v>
      </c>
      <c r="E1444" s="32">
        <v>28373.31649831641</v>
      </c>
      <c r="F1444" s="53" t="s">
        <v>4073</v>
      </c>
      <c r="H1444" s="47" t="str">
        <f t="shared" si="66"/>
        <v>AMAZONIA</v>
      </c>
      <c r="I1444" s="6">
        <f t="shared" si="67"/>
        <v>28373.316498316406</v>
      </c>
      <c r="J1444" s="47">
        <f t="shared" si="68"/>
        <v>28373.316498316406</v>
      </c>
      <c r="K1444" s="25"/>
    </row>
    <row r="1445" spans="1:11">
      <c r="A1445" s="29" t="s">
        <v>3838</v>
      </c>
      <c r="B1445" s="27" t="s">
        <v>176</v>
      </c>
      <c r="C1445" s="59" t="s">
        <v>4112</v>
      </c>
      <c r="D1445" s="53" t="s">
        <v>226</v>
      </c>
      <c r="E1445" s="32">
        <v>28849.616858236779</v>
      </c>
      <c r="F1445" s="53" t="s">
        <v>4074</v>
      </c>
      <c r="H1445" s="47" t="str">
        <f t="shared" si="66"/>
        <v>ORINOQUIA</v>
      </c>
      <c r="I1445" s="6">
        <f t="shared" si="67"/>
        <v>28849.616858236779</v>
      </c>
      <c r="J1445" s="47">
        <f t="shared" si="68"/>
        <v>28849.616858236779</v>
      </c>
      <c r="K1445" s="25"/>
    </row>
    <row r="1446" spans="1:11">
      <c r="A1446" s="29" t="s">
        <v>3839</v>
      </c>
      <c r="B1446" s="27" t="s">
        <v>176</v>
      </c>
      <c r="C1446" s="59" t="s">
        <v>4112</v>
      </c>
      <c r="D1446" s="53" t="s">
        <v>226</v>
      </c>
      <c r="E1446" s="32">
        <v>28373.31649831641</v>
      </c>
      <c r="F1446" s="53" t="s">
        <v>4073</v>
      </c>
      <c r="H1446" s="47" t="str">
        <f t="shared" si="66"/>
        <v>PACIFICO</v>
      </c>
      <c r="I1446" s="6">
        <f t="shared" si="67"/>
        <v>28373.316498316406</v>
      </c>
      <c r="J1446" s="47">
        <f t="shared" si="68"/>
        <v>28373.316498316406</v>
      </c>
    </row>
    <row r="1447" spans="1:11">
      <c r="A1447" s="29" t="s">
        <v>3840</v>
      </c>
      <c r="B1447" s="27" t="s">
        <v>176</v>
      </c>
      <c r="C1447" s="59" t="s">
        <v>4112</v>
      </c>
      <c r="D1447" s="53" t="s">
        <v>226</v>
      </c>
      <c r="E1447" s="32">
        <v>28373.31649831641</v>
      </c>
      <c r="F1447" s="53" t="s">
        <v>4073</v>
      </c>
      <c r="H1447" s="47" t="str">
        <f t="shared" si="66"/>
        <v>CARIBE</v>
      </c>
      <c r="I1447" s="6">
        <f t="shared" si="67"/>
        <v>28373.316498316406</v>
      </c>
      <c r="J1447" s="47">
        <f t="shared" si="68"/>
        <v>28373.316498316406</v>
      </c>
    </row>
    <row r="1448" spans="1:11">
      <c r="A1448" s="29" t="s">
        <v>3841</v>
      </c>
      <c r="B1448" s="27" t="s">
        <v>176</v>
      </c>
      <c r="C1448" s="59" t="s">
        <v>4112</v>
      </c>
      <c r="D1448" s="53" t="s">
        <v>226</v>
      </c>
      <c r="E1448" s="32">
        <v>28373.31649831641</v>
      </c>
      <c r="F1448" s="53" t="s">
        <v>4073</v>
      </c>
      <c r="H1448" s="47" t="str">
        <f t="shared" si="66"/>
        <v>CARIBE</v>
      </c>
      <c r="I1448" s="6">
        <f t="shared" si="67"/>
        <v>28373.316498316406</v>
      </c>
      <c r="J1448" s="47">
        <f t="shared" si="68"/>
        <v>28373.316498316406</v>
      </c>
    </row>
    <row r="1449" spans="1:11">
      <c r="A1449" s="29" t="s">
        <v>3842</v>
      </c>
      <c r="B1449" s="27" t="s">
        <v>176</v>
      </c>
      <c r="C1449" s="59" t="s">
        <v>4112</v>
      </c>
      <c r="D1449" s="53" t="s">
        <v>226</v>
      </c>
      <c r="E1449" s="32">
        <v>34000</v>
      </c>
      <c r="F1449" s="53" t="s">
        <v>4074</v>
      </c>
      <c r="H1449" s="47" t="str">
        <f t="shared" si="66"/>
        <v>ANDINA</v>
      </c>
      <c r="I1449" s="6">
        <f t="shared" si="67"/>
        <v>34000</v>
      </c>
      <c r="J1449" s="47">
        <f t="shared" si="68"/>
        <v>34000</v>
      </c>
    </row>
    <row r="1450" spans="1:11">
      <c r="A1450" s="29" t="s">
        <v>3843</v>
      </c>
      <c r="B1450" s="27" t="s">
        <v>176</v>
      </c>
      <c r="C1450" s="59" t="s">
        <v>4112</v>
      </c>
      <c r="D1450" s="53" t="s">
        <v>226</v>
      </c>
      <c r="E1450" s="32">
        <v>29088.011695905261</v>
      </c>
      <c r="F1450" s="53" t="s">
        <v>4074</v>
      </c>
      <c r="H1450" s="47" t="str">
        <f t="shared" si="66"/>
        <v>ANDINA</v>
      </c>
      <c r="I1450" s="6">
        <f t="shared" si="67"/>
        <v>29088.011695905261</v>
      </c>
      <c r="J1450" s="47">
        <f t="shared" si="68"/>
        <v>29088.011695905261</v>
      </c>
    </row>
    <row r="1451" spans="1:11">
      <c r="A1451" s="29" t="s">
        <v>3845</v>
      </c>
      <c r="B1451" s="27" t="s">
        <v>176</v>
      </c>
      <c r="C1451" s="59" t="s">
        <v>4112</v>
      </c>
      <c r="D1451" s="53" t="s">
        <v>226</v>
      </c>
      <c r="E1451" s="32">
        <v>24533.333333326318</v>
      </c>
      <c r="F1451" s="53" t="s">
        <v>4074</v>
      </c>
      <c r="H1451" s="47" t="str">
        <f t="shared" si="66"/>
        <v>ORINOQUIA</v>
      </c>
      <c r="I1451" s="6">
        <f t="shared" si="67"/>
        <v>24533.333333326318</v>
      </c>
      <c r="J1451" s="47">
        <f t="shared" si="68"/>
        <v>24533.333333326318</v>
      </c>
    </row>
    <row r="1452" spans="1:11">
      <c r="A1452" s="29" t="s">
        <v>3846</v>
      </c>
      <c r="B1452" s="27" t="s">
        <v>176</v>
      </c>
      <c r="C1452" s="59" t="s">
        <v>4112</v>
      </c>
      <c r="D1452" s="53" t="s">
        <v>226</v>
      </c>
      <c r="E1452" s="32">
        <v>28373.31649831641</v>
      </c>
      <c r="F1452" s="53" t="s">
        <v>4073</v>
      </c>
      <c r="H1452" s="47" t="str">
        <f t="shared" si="66"/>
        <v>PACIFICO</v>
      </c>
      <c r="I1452" s="6">
        <f t="shared" si="67"/>
        <v>28373.316498316406</v>
      </c>
      <c r="J1452" s="47">
        <f t="shared" si="68"/>
        <v>28373.316498316406</v>
      </c>
    </row>
    <row r="1453" spans="1:11">
      <c r="A1453" s="29" t="s">
        <v>3847</v>
      </c>
      <c r="B1453" s="27" t="s">
        <v>176</v>
      </c>
      <c r="C1453" s="59" t="s">
        <v>4112</v>
      </c>
      <c r="D1453" s="53" t="s">
        <v>226</v>
      </c>
      <c r="E1453" s="32">
        <v>28373.31649831641</v>
      </c>
      <c r="F1453" s="53" t="s">
        <v>4073</v>
      </c>
      <c r="H1453" s="47" t="str">
        <f t="shared" si="66"/>
        <v>ANDINA</v>
      </c>
      <c r="I1453" s="6">
        <f t="shared" si="67"/>
        <v>29243.811184680089</v>
      </c>
      <c r="J1453" s="47">
        <f t="shared" si="68"/>
        <v>29243.811184680089</v>
      </c>
    </row>
    <row r="1454" spans="1:11">
      <c r="A1454" s="29" t="s">
        <v>3848</v>
      </c>
      <c r="B1454" s="27" t="s">
        <v>176</v>
      </c>
      <c r="C1454" s="59" t="s">
        <v>4112</v>
      </c>
      <c r="D1454" s="53" t="s">
        <v>226</v>
      </c>
      <c r="E1454" s="32">
        <v>28373.31649831641</v>
      </c>
      <c r="F1454" s="53" t="s">
        <v>4073</v>
      </c>
      <c r="H1454" s="47" t="str">
        <f t="shared" si="66"/>
        <v>AMAZONIA</v>
      </c>
      <c r="I1454" s="6">
        <f t="shared" si="67"/>
        <v>28373.316498316406</v>
      </c>
      <c r="J1454" s="47">
        <f t="shared" si="68"/>
        <v>28373.316498316406</v>
      </c>
    </row>
    <row r="1455" spans="1:11">
      <c r="A1455" s="29" t="s">
        <v>3849</v>
      </c>
      <c r="B1455" s="27" t="s">
        <v>176</v>
      </c>
      <c r="C1455" s="59" t="s">
        <v>4112</v>
      </c>
      <c r="D1455" s="53" t="s">
        <v>226</v>
      </c>
      <c r="E1455" s="32">
        <v>28373.31649831641</v>
      </c>
      <c r="F1455" s="53" t="s">
        <v>4073</v>
      </c>
      <c r="H1455" s="47" t="str">
        <f t="shared" si="66"/>
        <v>ANDINA</v>
      </c>
      <c r="I1455" s="6">
        <f t="shared" si="67"/>
        <v>29243.811184680089</v>
      </c>
      <c r="J1455" s="47">
        <f t="shared" si="68"/>
        <v>29243.811184680089</v>
      </c>
    </row>
    <row r="1456" spans="1:11">
      <c r="A1456" s="29" t="s">
        <v>3850</v>
      </c>
      <c r="B1456" s="27" t="s">
        <v>176</v>
      </c>
      <c r="C1456" s="59" t="s">
        <v>4112</v>
      </c>
      <c r="D1456" s="53" t="s">
        <v>226</v>
      </c>
      <c r="E1456" s="32">
        <v>28373.31649831641</v>
      </c>
      <c r="F1456" s="53" t="s">
        <v>4073</v>
      </c>
      <c r="H1456" s="47" t="str">
        <f t="shared" si="66"/>
        <v>ANDINA</v>
      </c>
      <c r="I1456" s="6">
        <f t="shared" si="67"/>
        <v>29243.811184680089</v>
      </c>
      <c r="J1456" s="47">
        <f t="shared" si="68"/>
        <v>29243.811184680089</v>
      </c>
    </row>
    <row r="1457" spans="1:10">
      <c r="A1457" s="29" t="s">
        <v>3851</v>
      </c>
      <c r="B1457" s="27" t="s">
        <v>176</v>
      </c>
      <c r="C1457" s="59" t="s">
        <v>4112</v>
      </c>
      <c r="D1457" s="53" t="s">
        <v>226</v>
      </c>
      <c r="E1457" s="32">
        <v>27288.271604942598</v>
      </c>
      <c r="F1457" s="53" t="s">
        <v>4074</v>
      </c>
      <c r="H1457" s="47" t="str">
        <f t="shared" si="66"/>
        <v>ANDINA</v>
      </c>
      <c r="I1457" s="6">
        <f t="shared" si="67"/>
        <v>27288.271604942598</v>
      </c>
      <c r="J1457" s="47">
        <f t="shared" si="68"/>
        <v>27288.271604942598</v>
      </c>
    </row>
    <row r="1458" spans="1:10">
      <c r="A1458" s="29" t="s">
        <v>3853</v>
      </c>
      <c r="B1458" s="27" t="s">
        <v>176</v>
      </c>
      <c r="C1458" s="59" t="s">
        <v>4112</v>
      </c>
      <c r="D1458" s="53" t="s">
        <v>226</v>
      </c>
      <c r="E1458" s="32">
        <v>28373.31649831641</v>
      </c>
      <c r="F1458" s="53" t="s">
        <v>4073</v>
      </c>
      <c r="H1458" s="47" t="str">
        <f t="shared" si="66"/>
        <v>ANDINA</v>
      </c>
      <c r="I1458" s="6">
        <f t="shared" si="67"/>
        <v>29243.811184680089</v>
      </c>
      <c r="J1458" s="47">
        <f t="shared" si="68"/>
        <v>29243.811184680089</v>
      </c>
    </row>
    <row r="1459" spans="1:10">
      <c r="A1459" s="29" t="s">
        <v>3854</v>
      </c>
      <c r="B1459" s="27" t="s">
        <v>176</v>
      </c>
      <c r="C1459" s="59" t="s">
        <v>4112</v>
      </c>
      <c r="D1459" s="53" t="s">
        <v>226</v>
      </c>
      <c r="E1459" s="32">
        <v>28373.31649831641</v>
      </c>
      <c r="F1459" s="53" t="s">
        <v>4073</v>
      </c>
      <c r="H1459" s="47" t="str">
        <f t="shared" si="66"/>
        <v>PACIFICO</v>
      </c>
      <c r="I1459" s="6">
        <f t="shared" si="67"/>
        <v>28373.316498316406</v>
      </c>
      <c r="J1459" s="47">
        <f t="shared" si="68"/>
        <v>28373.316498316406</v>
      </c>
    </row>
    <row r="1460" spans="1:10">
      <c r="A1460" s="29" t="s">
        <v>4076</v>
      </c>
      <c r="B1460" s="27" t="s">
        <v>176</v>
      </c>
      <c r="C1460" s="59" t="s">
        <v>4112</v>
      </c>
      <c r="D1460" s="53" t="s">
        <v>226</v>
      </c>
      <c r="E1460" s="32">
        <v>28373.31649831641</v>
      </c>
      <c r="F1460" s="53" t="s">
        <v>4073</v>
      </c>
      <c r="H1460" s="47" t="str">
        <f t="shared" si="66"/>
        <v>AMAZONIA</v>
      </c>
      <c r="I1460" s="6">
        <f t="shared" si="67"/>
        <v>28373.316498316406</v>
      </c>
      <c r="J1460" s="47">
        <f t="shared" si="68"/>
        <v>28373.316498316406</v>
      </c>
    </row>
    <row r="1461" spans="1:10">
      <c r="A1461" s="29" t="s">
        <v>4448</v>
      </c>
      <c r="B1461" s="53" t="s">
        <v>4072</v>
      </c>
      <c r="C1461" s="53" t="s">
        <v>316</v>
      </c>
      <c r="D1461" s="53" t="s">
        <v>172</v>
      </c>
      <c r="E1461" s="32">
        <v>46387.828400000006</v>
      </c>
      <c r="F1461" s="53" t="s">
        <v>4073</v>
      </c>
    </row>
    <row r="1462" spans="1:10">
      <c r="A1462" s="29" t="s">
        <v>4448</v>
      </c>
      <c r="B1462" s="53" t="s">
        <v>137</v>
      </c>
      <c r="C1462" s="53" t="s">
        <v>291</v>
      </c>
      <c r="D1462" s="53" t="s">
        <v>172</v>
      </c>
      <c r="E1462" s="32">
        <v>22409.406399999993</v>
      </c>
      <c r="F1462" s="53" t="s">
        <v>4073</v>
      </c>
    </row>
    <row r="1463" spans="1:10">
      <c r="A1463" s="29" t="s">
        <v>4448</v>
      </c>
      <c r="B1463" s="53" t="s">
        <v>137</v>
      </c>
      <c r="C1463" s="53" t="s">
        <v>243</v>
      </c>
      <c r="D1463" s="53" t="s">
        <v>172</v>
      </c>
      <c r="E1463" s="32">
        <v>22007.386799999993</v>
      </c>
      <c r="F1463" s="53" t="s">
        <v>4073</v>
      </c>
    </row>
    <row r="1464" spans="1:10">
      <c r="A1464" s="29" t="s">
        <v>4448</v>
      </c>
      <c r="B1464" s="53" t="s">
        <v>137</v>
      </c>
      <c r="C1464" s="53" t="s">
        <v>237</v>
      </c>
      <c r="D1464" s="53" t="s">
        <v>172</v>
      </c>
      <c r="E1464" s="32">
        <v>29374.792000000005</v>
      </c>
      <c r="F1464" s="53" t="s">
        <v>4073</v>
      </c>
    </row>
    <row r="1465" spans="1:10">
      <c r="A1465" s="29" t="s">
        <v>4448</v>
      </c>
      <c r="B1465" s="53" t="s">
        <v>137</v>
      </c>
      <c r="C1465" s="53" t="s">
        <v>246</v>
      </c>
      <c r="D1465" s="53" t="s">
        <v>172</v>
      </c>
      <c r="E1465" s="32">
        <v>64582.942800000012</v>
      </c>
      <c r="F1465" s="53" t="s">
        <v>4073</v>
      </c>
    </row>
    <row r="1466" spans="1:10">
      <c r="A1466" s="29" t="s">
        <v>4448</v>
      </c>
      <c r="B1466" s="53" t="s">
        <v>170</v>
      </c>
      <c r="C1466" s="53" t="s">
        <v>259</v>
      </c>
      <c r="D1466" s="53" t="s">
        <v>172</v>
      </c>
      <c r="E1466" s="32">
        <v>285555.81759999995</v>
      </c>
      <c r="F1466" s="53" t="s">
        <v>4073</v>
      </c>
    </row>
    <row r="1467" spans="1:10">
      <c r="A1467" s="29" t="s">
        <v>4448</v>
      </c>
      <c r="B1467" s="53" t="s">
        <v>170</v>
      </c>
      <c r="C1467" s="53" t="s">
        <v>276</v>
      </c>
      <c r="D1467" s="53" t="s">
        <v>172</v>
      </c>
      <c r="E1467" s="32">
        <v>83725.821599999981</v>
      </c>
      <c r="F1467" s="53" t="s">
        <v>4073</v>
      </c>
    </row>
    <row r="1468" spans="1:10">
      <c r="A1468" s="29" t="s">
        <v>4448</v>
      </c>
      <c r="B1468" s="53" t="s">
        <v>170</v>
      </c>
      <c r="C1468" s="53" t="s">
        <v>240</v>
      </c>
      <c r="D1468" s="53" t="s">
        <v>172</v>
      </c>
      <c r="E1468" s="32">
        <v>23874.191600000002</v>
      </c>
      <c r="F1468" s="53" t="s">
        <v>4073</v>
      </c>
    </row>
    <row r="1469" spans="1:10">
      <c r="A1469" s="29" t="s">
        <v>4448</v>
      </c>
      <c r="B1469" s="53" t="s">
        <v>170</v>
      </c>
      <c r="C1469" s="53" t="s">
        <v>251</v>
      </c>
      <c r="D1469" s="53" t="s">
        <v>226</v>
      </c>
      <c r="E1469" s="32">
        <v>61429.978000000025</v>
      </c>
      <c r="F1469" s="53" t="s">
        <v>4073</v>
      </c>
    </row>
    <row r="1470" spans="1:10">
      <c r="A1470" s="29" t="s">
        <v>4448</v>
      </c>
      <c r="B1470" s="53" t="s">
        <v>170</v>
      </c>
      <c r="C1470" s="53" t="s">
        <v>256</v>
      </c>
      <c r="D1470" s="53" t="s">
        <v>172</v>
      </c>
      <c r="E1470" s="32">
        <v>29745.087199999998</v>
      </c>
      <c r="F1470" s="53" t="s">
        <v>4073</v>
      </c>
    </row>
    <row r="1471" spans="1:10">
      <c r="A1471" s="29" t="s">
        <v>4448</v>
      </c>
      <c r="B1471" s="53" t="s">
        <v>170</v>
      </c>
      <c r="C1471" s="53" t="s">
        <v>311</v>
      </c>
      <c r="D1471" s="53" t="s">
        <v>172</v>
      </c>
      <c r="E1471" s="32">
        <v>41426.639600000002</v>
      </c>
      <c r="F1471" s="53" t="s">
        <v>4073</v>
      </c>
    </row>
    <row r="1472" spans="1:10">
      <c r="A1472" s="29" t="s">
        <v>4448</v>
      </c>
      <c r="B1472" s="53" t="s">
        <v>170</v>
      </c>
      <c r="C1472" s="53" t="s">
        <v>171</v>
      </c>
      <c r="D1472" s="53" t="s">
        <v>172</v>
      </c>
      <c r="E1472" s="32">
        <v>116939.79520000004</v>
      </c>
      <c r="F1472" s="53" t="s">
        <v>4073</v>
      </c>
    </row>
    <row r="1473" spans="1:6">
      <c r="A1473" s="29" t="s">
        <v>4448</v>
      </c>
      <c r="B1473" s="53" t="s">
        <v>170</v>
      </c>
      <c r="C1473" s="53" t="s">
        <v>252</v>
      </c>
      <c r="D1473" s="53" t="s">
        <v>226</v>
      </c>
      <c r="E1473" s="32">
        <v>22361.542799999999</v>
      </c>
      <c r="F1473" s="53" t="s">
        <v>4073</v>
      </c>
    </row>
    <row r="1474" spans="1:6">
      <c r="A1474" s="29" t="s">
        <v>4448</v>
      </c>
      <c r="B1474" s="53" t="s">
        <v>170</v>
      </c>
      <c r="C1474" s="53" t="s">
        <v>296</v>
      </c>
      <c r="D1474" s="53" t="s">
        <v>226</v>
      </c>
      <c r="E1474" s="32">
        <v>23396.366799999996</v>
      </c>
      <c r="F1474" s="53" t="s">
        <v>4073</v>
      </c>
    </row>
    <row r="1475" spans="1:6">
      <c r="A1475" s="29" t="s">
        <v>4448</v>
      </c>
      <c r="B1475" s="53" t="s">
        <v>170</v>
      </c>
      <c r="C1475" s="53" t="s">
        <v>173</v>
      </c>
      <c r="D1475" s="53" t="s">
        <v>172</v>
      </c>
      <c r="E1475" s="32">
        <v>154594.29680000001</v>
      </c>
      <c r="F1475" s="53" t="s">
        <v>4073</v>
      </c>
    </row>
    <row r="1476" spans="1:6">
      <c r="A1476" s="29" t="s">
        <v>4448</v>
      </c>
      <c r="B1476" s="53" t="s">
        <v>170</v>
      </c>
      <c r="C1476" s="53" t="s">
        <v>225</v>
      </c>
      <c r="D1476" s="53" t="s">
        <v>226</v>
      </c>
      <c r="E1476" s="32">
        <v>38341.271999999997</v>
      </c>
      <c r="F1476" s="53" t="s">
        <v>4073</v>
      </c>
    </row>
    <row r="1477" spans="1:6">
      <c r="A1477" s="29" t="s">
        <v>4448</v>
      </c>
      <c r="B1477" s="53" t="s">
        <v>176</v>
      </c>
      <c r="C1477" s="53" t="s">
        <v>262</v>
      </c>
      <c r="D1477" s="53" t="s">
        <v>172</v>
      </c>
      <c r="E1477" s="32">
        <v>18780.797600000002</v>
      </c>
      <c r="F1477" s="53" t="s">
        <v>4073</v>
      </c>
    </row>
    <row r="1478" spans="1:6">
      <c r="A1478" s="29" t="s">
        <v>4448</v>
      </c>
      <c r="B1478" s="53" t="s">
        <v>176</v>
      </c>
      <c r="C1478" s="53" t="s">
        <v>253</v>
      </c>
      <c r="D1478" s="53" t="s">
        <v>172</v>
      </c>
      <c r="E1478" s="32">
        <v>24883.984799999998</v>
      </c>
      <c r="F1478" s="53" t="s">
        <v>4073</v>
      </c>
    </row>
    <row r="1479" spans="1:6">
      <c r="A1479" s="29" t="s">
        <v>4448</v>
      </c>
      <c r="B1479" s="53" t="s">
        <v>176</v>
      </c>
      <c r="C1479" s="53" t="s">
        <v>177</v>
      </c>
      <c r="D1479" s="53" t="s">
        <v>172</v>
      </c>
      <c r="E1479" s="32">
        <v>20616.596400000002</v>
      </c>
      <c r="F1479" s="53" t="s">
        <v>4073</v>
      </c>
    </row>
    <row r="1480" spans="1:6">
      <c r="A1480" s="29" t="s">
        <v>4448</v>
      </c>
      <c r="B1480" s="53" t="s">
        <v>176</v>
      </c>
      <c r="C1480" s="53" t="s">
        <v>231</v>
      </c>
      <c r="D1480" s="53" t="s">
        <v>172</v>
      </c>
      <c r="E1480" s="32">
        <v>23006.322</v>
      </c>
      <c r="F1480" s="53" t="s">
        <v>4073</v>
      </c>
    </row>
    <row r="1481" spans="1:6">
      <c r="A1481" s="29" t="s">
        <v>4448</v>
      </c>
      <c r="B1481" s="53" t="s">
        <v>180</v>
      </c>
      <c r="C1481" s="53" t="s">
        <v>181</v>
      </c>
      <c r="D1481" s="53" t="s">
        <v>172</v>
      </c>
      <c r="E1481" s="32">
        <v>33952.416799999999</v>
      </c>
      <c r="F1481" s="53" t="s">
        <v>4073</v>
      </c>
    </row>
    <row r="1482" spans="1:6">
      <c r="A1482" s="29" t="s">
        <v>4448</v>
      </c>
      <c r="B1482" s="53" t="s">
        <v>180</v>
      </c>
      <c r="C1482" s="53" t="s">
        <v>263</v>
      </c>
      <c r="D1482" s="53" t="s">
        <v>172</v>
      </c>
      <c r="E1482" s="32">
        <v>202969.3468</v>
      </c>
      <c r="F1482" s="53" t="s">
        <v>4073</v>
      </c>
    </row>
    <row r="1483" spans="1:6">
      <c r="A1483" s="29" t="s">
        <v>4448</v>
      </c>
      <c r="B1483" s="53" t="s">
        <v>180</v>
      </c>
      <c r="C1483" s="53" t="s">
        <v>277</v>
      </c>
      <c r="D1483" s="53" t="s">
        <v>172</v>
      </c>
      <c r="E1483" s="32">
        <v>89754.48400000004</v>
      </c>
      <c r="F1483" s="53" t="s">
        <v>4073</v>
      </c>
    </row>
    <row r="1484" spans="1:6">
      <c r="A1484" s="29" t="s">
        <v>4448</v>
      </c>
      <c r="B1484" s="53" t="s">
        <v>180</v>
      </c>
      <c r="C1484" s="53" t="s">
        <v>300</v>
      </c>
      <c r="D1484" s="53" t="s">
        <v>172</v>
      </c>
      <c r="E1484" s="32">
        <v>66716.690000000031</v>
      </c>
      <c r="F1484" s="53" t="s">
        <v>4073</v>
      </c>
    </row>
    <row r="1485" spans="1:6">
      <c r="A1485" s="29" t="s">
        <v>4448</v>
      </c>
      <c r="B1485" s="53" t="s">
        <v>180</v>
      </c>
      <c r="C1485" s="53" t="s">
        <v>242</v>
      </c>
      <c r="D1485" s="53" t="s">
        <v>172</v>
      </c>
      <c r="E1485" s="32">
        <v>30307.581600000012</v>
      </c>
      <c r="F1485" s="53" t="s">
        <v>4073</v>
      </c>
    </row>
    <row r="1486" spans="1:6">
      <c r="A1486" s="29" t="s">
        <v>4448</v>
      </c>
      <c r="B1486" s="53" t="s">
        <v>180</v>
      </c>
      <c r="C1486" s="53" t="s">
        <v>254</v>
      </c>
      <c r="D1486" s="53" t="s">
        <v>172</v>
      </c>
      <c r="E1486" s="32">
        <v>147237.70040000003</v>
      </c>
      <c r="F1486" s="53" t="s">
        <v>4073</v>
      </c>
    </row>
    <row r="1487" spans="1:6">
      <c r="A1487" s="29" t="s">
        <v>4448</v>
      </c>
      <c r="B1487" s="53" t="s">
        <v>180</v>
      </c>
      <c r="C1487" s="53" t="s">
        <v>305</v>
      </c>
      <c r="D1487" s="53" t="s">
        <v>172</v>
      </c>
      <c r="E1487" s="32">
        <v>72706.093999999983</v>
      </c>
      <c r="F1487" s="53" t="s">
        <v>4073</v>
      </c>
    </row>
    <row r="1488" spans="1:6">
      <c r="A1488" s="29" t="s">
        <v>4448</v>
      </c>
      <c r="B1488" s="53" t="s">
        <v>180</v>
      </c>
      <c r="C1488" s="53" t="s">
        <v>297</v>
      </c>
      <c r="D1488" s="53" t="s">
        <v>172</v>
      </c>
      <c r="E1488" s="32">
        <v>149784.73479999992</v>
      </c>
      <c r="F1488" s="53" t="s">
        <v>4073</v>
      </c>
    </row>
    <row r="1489" spans="1:6">
      <c r="A1489" s="29" t="s">
        <v>4448</v>
      </c>
      <c r="B1489" s="53" t="s">
        <v>180</v>
      </c>
      <c r="C1489" s="53" t="s">
        <v>314</v>
      </c>
      <c r="D1489" s="53" t="s">
        <v>172</v>
      </c>
      <c r="E1489" s="32">
        <v>28347.801600000006</v>
      </c>
      <c r="F1489" s="53" t="s">
        <v>4073</v>
      </c>
    </row>
    <row r="1490" spans="1:6">
      <c r="A1490" s="29" t="s">
        <v>4448</v>
      </c>
      <c r="B1490" s="53" t="s">
        <v>180</v>
      </c>
      <c r="C1490" s="53" t="s">
        <v>182</v>
      </c>
      <c r="D1490" s="53" t="s">
        <v>172</v>
      </c>
      <c r="E1490" s="32">
        <v>151398.94919999997</v>
      </c>
      <c r="F1490" s="53" t="s">
        <v>4073</v>
      </c>
    </row>
    <row r="1491" spans="1:6">
      <c r="A1491" s="29" t="s">
        <v>4448</v>
      </c>
      <c r="B1491" s="53" t="s">
        <v>149</v>
      </c>
      <c r="C1491" s="53" t="s">
        <v>4110</v>
      </c>
      <c r="D1491" s="53" t="s">
        <v>151</v>
      </c>
      <c r="E1491" s="32">
        <v>127882.97797722</v>
      </c>
      <c r="F1491" s="53" t="s">
        <v>4073</v>
      </c>
    </row>
    <row r="1492" spans="1:6">
      <c r="A1492" s="29" t="s">
        <v>4448</v>
      </c>
      <c r="B1492" s="53" t="s">
        <v>149</v>
      </c>
      <c r="C1492" s="53" t="s">
        <v>166</v>
      </c>
      <c r="D1492" s="53" t="s">
        <v>151</v>
      </c>
      <c r="E1492" s="32">
        <v>111349.300888065</v>
      </c>
      <c r="F1492" s="53" t="s">
        <v>4073</v>
      </c>
    </row>
    <row r="1493" spans="1:6">
      <c r="A1493" s="29" t="s">
        <v>4448</v>
      </c>
      <c r="B1493" s="53" t="s">
        <v>149</v>
      </c>
      <c r="C1493" s="53" t="s">
        <v>163</v>
      </c>
      <c r="D1493" s="53" t="s">
        <v>164</v>
      </c>
      <c r="E1493" s="32">
        <v>129509.69041951001</v>
      </c>
      <c r="F1493" s="53" t="s">
        <v>4073</v>
      </c>
    </row>
    <row r="1494" spans="1:6">
      <c r="A1494" s="29" t="s">
        <v>4448</v>
      </c>
      <c r="B1494" s="53" t="s">
        <v>149</v>
      </c>
      <c r="C1494" s="53" t="s">
        <v>150</v>
      </c>
      <c r="D1494" s="53" t="s">
        <v>151</v>
      </c>
      <c r="E1494" s="32">
        <v>194085.80968825499</v>
      </c>
      <c r="F1494" s="53" t="s">
        <v>4073</v>
      </c>
    </row>
    <row r="1495" spans="1:6">
      <c r="A1495" s="29" t="s">
        <v>4448</v>
      </c>
      <c r="B1495" s="53" t="s">
        <v>149</v>
      </c>
      <c r="C1495" s="53" t="s">
        <v>156</v>
      </c>
      <c r="D1495" s="53" t="s">
        <v>151</v>
      </c>
      <c r="E1495" s="32">
        <v>16744.497139344199</v>
      </c>
      <c r="F1495" s="53" t="s">
        <v>4073</v>
      </c>
    </row>
    <row r="1496" spans="1:6">
      <c r="A1496" s="29" t="s">
        <v>4448</v>
      </c>
      <c r="B1496" s="53" t="s">
        <v>170</v>
      </c>
      <c r="C1496" s="53" t="s">
        <v>230</v>
      </c>
      <c r="D1496" s="53" t="s">
        <v>172</v>
      </c>
      <c r="E1496" s="32">
        <v>264979.26829268498</v>
      </c>
      <c r="F1496" s="53" t="s">
        <v>4073</v>
      </c>
    </row>
    <row r="1497" spans="1:6">
      <c r="A1497" s="29" t="s">
        <v>4448</v>
      </c>
      <c r="B1497" s="53" t="s">
        <v>170</v>
      </c>
      <c r="C1497" s="53" t="s">
        <v>260</v>
      </c>
      <c r="D1497" s="53" t="s">
        <v>261</v>
      </c>
      <c r="E1497" s="32">
        <v>24430.157645961699</v>
      </c>
      <c r="F1497" s="53" t="s">
        <v>4073</v>
      </c>
    </row>
    <row r="1498" spans="1:6">
      <c r="A1498" s="29" t="s">
        <v>4448</v>
      </c>
      <c r="B1498" s="53" t="s">
        <v>170</v>
      </c>
      <c r="C1498" s="53" t="s">
        <v>4077</v>
      </c>
      <c r="D1498" s="53" t="s">
        <v>226</v>
      </c>
      <c r="E1498" s="32">
        <v>36066.6666666643</v>
      </c>
      <c r="F1498" s="53" t="s">
        <v>4073</v>
      </c>
    </row>
    <row r="1499" spans="1:6">
      <c r="A1499" s="29" t="s">
        <v>4448</v>
      </c>
      <c r="B1499" s="53" t="s">
        <v>170</v>
      </c>
      <c r="C1499" s="53" t="s">
        <v>238</v>
      </c>
      <c r="D1499" s="53" t="s">
        <v>239</v>
      </c>
      <c r="E1499" s="32">
        <v>29062.313127203699</v>
      </c>
      <c r="F1499" s="53" t="s">
        <v>4073</v>
      </c>
    </row>
    <row r="1500" spans="1:6">
      <c r="A1500" s="29" t="s">
        <v>4448</v>
      </c>
      <c r="B1500" s="53" t="s">
        <v>170</v>
      </c>
      <c r="C1500" s="53" t="s">
        <v>309</v>
      </c>
      <c r="D1500" s="53" t="s">
        <v>4078</v>
      </c>
      <c r="E1500" s="32">
        <v>78080.853020496797</v>
      </c>
      <c r="F1500" s="53" t="s">
        <v>4073</v>
      </c>
    </row>
    <row r="1501" spans="1:6">
      <c r="A1501" s="29" t="s">
        <v>4448</v>
      </c>
      <c r="B1501" s="53" t="s">
        <v>170</v>
      </c>
      <c r="C1501" s="53" t="s">
        <v>295</v>
      </c>
      <c r="D1501" s="53" t="s">
        <v>261</v>
      </c>
      <c r="E1501" s="32">
        <v>28069.2528790006</v>
      </c>
      <c r="F1501" s="53" t="s">
        <v>4073</v>
      </c>
    </row>
    <row r="1502" spans="1:6">
      <c r="A1502" s="29" t="s">
        <v>4448</v>
      </c>
      <c r="B1502" s="53" t="s">
        <v>249</v>
      </c>
      <c r="C1502" s="53" t="s">
        <v>4113</v>
      </c>
      <c r="D1502" s="53" t="s">
        <v>172</v>
      </c>
      <c r="E1502" s="32">
        <v>65237.675085954303</v>
      </c>
      <c r="F1502" s="53" t="s">
        <v>4073</v>
      </c>
    </row>
    <row r="1503" spans="1:6">
      <c r="A1503" s="29" t="s">
        <v>4448</v>
      </c>
      <c r="B1503" s="53" t="s">
        <v>249</v>
      </c>
      <c r="C1503" s="53" t="s">
        <v>4128</v>
      </c>
      <c r="D1503" s="53" t="s">
        <v>226</v>
      </c>
      <c r="E1503" s="32">
        <v>75352.251700679597</v>
      </c>
      <c r="F1503" s="53" t="s">
        <v>4073</v>
      </c>
    </row>
    <row r="1504" spans="1:6">
      <c r="A1504" s="29" t="s">
        <v>4448</v>
      </c>
      <c r="B1504" s="53" t="s">
        <v>249</v>
      </c>
      <c r="C1504" s="53" t="s">
        <v>4129</v>
      </c>
      <c r="D1504" s="53" t="s">
        <v>172</v>
      </c>
      <c r="E1504" s="32">
        <v>231699.04787282189</v>
      </c>
      <c r="F1504" s="53" t="s">
        <v>4073</v>
      </c>
    </row>
    <row r="1505" spans="1:6">
      <c r="A1505" s="29" t="s">
        <v>4448</v>
      </c>
      <c r="B1505" s="53" t="s">
        <v>249</v>
      </c>
      <c r="C1505" s="53" t="s">
        <v>4130</v>
      </c>
      <c r="D1505" s="53" t="s">
        <v>172</v>
      </c>
      <c r="E1505" s="32">
        <v>30409.090909090901</v>
      </c>
      <c r="F1505" s="53" t="s">
        <v>4073</v>
      </c>
    </row>
    <row r="1506" spans="1:6">
      <c r="A1506" s="29" t="s">
        <v>4448</v>
      </c>
      <c r="B1506" s="53" t="s">
        <v>249</v>
      </c>
      <c r="C1506" s="53" t="s">
        <v>4131</v>
      </c>
      <c r="D1506" s="53" t="s">
        <v>172</v>
      </c>
      <c r="E1506" s="32">
        <v>126785.714285714</v>
      </c>
      <c r="F1506" s="53" t="s">
        <v>4073</v>
      </c>
    </row>
    <row r="1507" spans="1:6">
      <c r="A1507" s="29" t="s">
        <v>4448</v>
      </c>
      <c r="B1507" s="53" t="s">
        <v>249</v>
      </c>
      <c r="C1507" s="53" t="s">
        <v>316</v>
      </c>
      <c r="D1507" s="53" t="s">
        <v>172</v>
      </c>
      <c r="E1507" s="32">
        <v>46378.174603168998</v>
      </c>
      <c r="F1507" s="53" t="s">
        <v>4073</v>
      </c>
    </row>
    <row r="1508" spans="1:6">
      <c r="A1508" s="29" t="s">
        <v>4448</v>
      </c>
      <c r="B1508" s="53" t="s">
        <v>249</v>
      </c>
      <c r="C1508" s="53" t="s">
        <v>4132</v>
      </c>
      <c r="D1508" s="53" t="s">
        <v>172</v>
      </c>
      <c r="E1508" s="32">
        <v>46031.944444449997</v>
      </c>
      <c r="F1508" s="53" t="s">
        <v>4073</v>
      </c>
    </row>
    <row r="1509" spans="1:6">
      <c r="A1509" s="29" t="s">
        <v>4448</v>
      </c>
      <c r="B1509" s="53" t="s">
        <v>249</v>
      </c>
      <c r="C1509" s="53" t="s">
        <v>4133</v>
      </c>
      <c r="D1509" s="53" t="s">
        <v>172</v>
      </c>
      <c r="E1509" s="32">
        <v>57912.060126068201</v>
      </c>
      <c r="F1509" s="53" t="s">
        <v>4073</v>
      </c>
    </row>
    <row r="1510" spans="1:6">
      <c r="A1510" s="29" t="s">
        <v>4448</v>
      </c>
      <c r="B1510" s="53" t="s">
        <v>249</v>
      </c>
      <c r="C1510" s="53" t="s">
        <v>4116</v>
      </c>
      <c r="D1510" s="53" t="s">
        <v>172</v>
      </c>
      <c r="E1510" s="32">
        <v>149732.64864864899</v>
      </c>
      <c r="F1510" s="53" t="s">
        <v>4073</v>
      </c>
    </row>
    <row r="1511" spans="1:6">
      <c r="A1511" s="29" t="s">
        <v>4448</v>
      </c>
      <c r="B1511" s="53" t="s">
        <v>249</v>
      </c>
      <c r="C1511" s="53" t="s">
        <v>4134</v>
      </c>
      <c r="D1511" s="53" t="s">
        <v>172</v>
      </c>
      <c r="E1511" s="32">
        <v>147711.87105263601</v>
      </c>
      <c r="F1511" s="53" t="s">
        <v>4073</v>
      </c>
    </row>
    <row r="1512" spans="1:6">
      <c r="A1512" s="29" t="s">
        <v>4448</v>
      </c>
      <c r="B1512" s="53" t="s">
        <v>249</v>
      </c>
      <c r="C1512" s="53" t="s">
        <v>4135</v>
      </c>
      <c r="D1512" s="53" t="s">
        <v>226</v>
      </c>
      <c r="E1512" s="32">
        <v>76550</v>
      </c>
      <c r="F1512" s="53" t="s">
        <v>4073</v>
      </c>
    </row>
    <row r="1513" spans="1:6">
      <c r="A1513" s="29" t="s">
        <v>4448</v>
      </c>
      <c r="B1513" s="53" t="s">
        <v>249</v>
      </c>
      <c r="C1513" s="53" t="s">
        <v>4136</v>
      </c>
      <c r="D1513" s="53" t="s">
        <v>226</v>
      </c>
      <c r="E1513" s="32">
        <v>104990</v>
      </c>
      <c r="F1513" s="53" t="s">
        <v>4073</v>
      </c>
    </row>
    <row r="1514" spans="1:6">
      <c r="A1514" s="29" t="s">
        <v>4448</v>
      </c>
      <c r="B1514" s="53" t="s">
        <v>249</v>
      </c>
      <c r="C1514" s="53" t="s">
        <v>4137</v>
      </c>
      <c r="D1514" s="53" t="s">
        <v>4142</v>
      </c>
      <c r="E1514" s="32">
        <v>53773.611111108301</v>
      </c>
      <c r="F1514" s="53" t="s">
        <v>4073</v>
      </c>
    </row>
    <row r="1515" spans="1:6">
      <c r="A1515" s="29" t="s">
        <v>4448</v>
      </c>
      <c r="B1515" s="53" t="s">
        <v>249</v>
      </c>
      <c r="C1515" s="53" t="s">
        <v>4138</v>
      </c>
      <c r="D1515" s="53" t="s">
        <v>4142</v>
      </c>
      <c r="E1515" s="32">
        <v>89555.040650399998</v>
      </c>
      <c r="F1515" s="53" t="s">
        <v>4073</v>
      </c>
    </row>
    <row r="1516" spans="1:6">
      <c r="A1516" s="29" t="s">
        <v>4448</v>
      </c>
      <c r="B1516" s="53" t="s">
        <v>249</v>
      </c>
      <c r="C1516" s="53" t="s">
        <v>4139</v>
      </c>
      <c r="D1516" s="53" t="s">
        <v>4142</v>
      </c>
      <c r="E1516" s="32">
        <v>44212.121212127298</v>
      </c>
      <c r="F1516" s="53" t="s">
        <v>4073</v>
      </c>
    </row>
    <row r="1517" spans="1:6">
      <c r="A1517" s="29" t="s">
        <v>4448</v>
      </c>
      <c r="B1517" s="53" t="s">
        <v>249</v>
      </c>
      <c r="C1517" s="53" t="s">
        <v>4140</v>
      </c>
      <c r="D1517" s="53" t="s">
        <v>4142</v>
      </c>
      <c r="E1517" s="32">
        <v>49487.800768815599</v>
      </c>
      <c r="F1517" s="53" t="s">
        <v>4073</v>
      </c>
    </row>
    <row r="1518" spans="1:6">
      <c r="A1518" s="29" t="s">
        <v>4448</v>
      </c>
      <c r="B1518" s="53" t="s">
        <v>249</v>
      </c>
      <c r="C1518" s="53" t="s">
        <v>4141</v>
      </c>
      <c r="D1518" s="53" t="s">
        <v>4142</v>
      </c>
      <c r="E1518" s="32">
        <v>45014.916003855302</v>
      </c>
      <c r="F1518" s="53" t="s">
        <v>4073</v>
      </c>
    </row>
    <row r="1519" spans="1:6">
      <c r="A1519" s="29" t="s">
        <v>4448</v>
      </c>
      <c r="B1519" s="53" t="s">
        <v>180</v>
      </c>
      <c r="C1519" s="53" t="s">
        <v>241</v>
      </c>
      <c r="D1519" s="53" t="s">
        <v>4224</v>
      </c>
      <c r="E1519" s="32">
        <v>27783.1738609079</v>
      </c>
      <c r="F1519" s="53" t="s">
        <v>4073</v>
      </c>
    </row>
    <row r="1520" spans="1:6">
      <c r="A1520" s="29" t="s">
        <v>4448</v>
      </c>
      <c r="B1520" s="53" t="s">
        <v>180</v>
      </c>
      <c r="C1520" s="53" t="s">
        <v>4114</v>
      </c>
      <c r="D1520" s="53" t="s">
        <v>172</v>
      </c>
      <c r="E1520" s="32">
        <v>26303.824059353399</v>
      </c>
      <c r="F1520" s="53" t="s">
        <v>4073</v>
      </c>
    </row>
    <row r="1521" spans="1:6">
      <c r="A1521" s="29" t="s">
        <v>4448</v>
      </c>
      <c r="B1521" s="53" t="s">
        <v>249</v>
      </c>
      <c r="C1521" s="53" t="s">
        <v>4226</v>
      </c>
      <c r="D1521" s="53" t="s">
        <v>4225</v>
      </c>
      <c r="E1521" s="32">
        <v>60000</v>
      </c>
      <c r="F1521" s="53" t="s">
        <v>4073</v>
      </c>
    </row>
    <row r="1522" spans="1:6">
      <c r="A1522" s="29" t="s">
        <v>4448</v>
      </c>
      <c r="B1522" s="53" t="s">
        <v>149</v>
      </c>
      <c r="C1522" s="53" t="s">
        <v>159</v>
      </c>
      <c r="D1522" s="53" t="s">
        <v>4228</v>
      </c>
      <c r="E1522" s="32">
        <v>11457.9436403694</v>
      </c>
      <c r="F1522" s="53" t="s">
        <v>4073</v>
      </c>
    </row>
    <row r="1523" spans="1:6">
      <c r="A1523" s="29" t="s">
        <v>4448</v>
      </c>
      <c r="B1523" s="53" t="s">
        <v>176</v>
      </c>
      <c r="C1523" s="53" t="s">
        <v>4145</v>
      </c>
      <c r="D1523" s="53" t="s">
        <v>172</v>
      </c>
      <c r="E1523" s="32">
        <v>19889.1857318574</v>
      </c>
      <c r="F1523" s="53" t="s">
        <v>4073</v>
      </c>
    </row>
    <row r="1524" spans="1:6">
      <c r="A1524" s="29" t="s">
        <v>4448</v>
      </c>
      <c r="B1524" s="53" t="s">
        <v>176</v>
      </c>
      <c r="C1524" s="53" t="s">
        <v>4112</v>
      </c>
      <c r="D1524" s="53" t="s">
        <v>226</v>
      </c>
      <c r="E1524" s="32">
        <v>28373.316498316399</v>
      </c>
      <c r="F1524" s="53" t="s">
        <v>4073</v>
      </c>
    </row>
    <row r="1525" spans="1:6">
      <c r="A1525" s="29" t="s">
        <v>4449</v>
      </c>
      <c r="B1525" s="53" t="s">
        <v>4072</v>
      </c>
      <c r="C1525" s="53" t="s">
        <v>316</v>
      </c>
      <c r="D1525" s="53" t="s">
        <v>172</v>
      </c>
      <c r="E1525" s="32">
        <v>46387.828400000006</v>
      </c>
      <c r="F1525" s="53" t="s">
        <v>4073</v>
      </c>
    </row>
    <row r="1526" spans="1:6">
      <c r="A1526" s="29" t="s">
        <v>4449</v>
      </c>
      <c r="B1526" s="53" t="s">
        <v>137</v>
      </c>
      <c r="C1526" s="53" t="s">
        <v>291</v>
      </c>
      <c r="D1526" s="53" t="s">
        <v>172</v>
      </c>
      <c r="E1526" s="32">
        <v>22409.406399999993</v>
      </c>
      <c r="F1526" s="53" t="s">
        <v>4073</v>
      </c>
    </row>
    <row r="1527" spans="1:6">
      <c r="A1527" s="29" t="s">
        <v>4449</v>
      </c>
      <c r="B1527" s="53" t="s">
        <v>137</v>
      </c>
      <c r="C1527" s="53" t="s">
        <v>243</v>
      </c>
      <c r="D1527" s="53" t="s">
        <v>172</v>
      </c>
      <c r="E1527" s="32">
        <v>22007.386799999993</v>
      </c>
      <c r="F1527" s="53" t="s">
        <v>4073</v>
      </c>
    </row>
    <row r="1528" spans="1:6">
      <c r="A1528" s="29" t="s">
        <v>4449</v>
      </c>
      <c r="B1528" s="53" t="s">
        <v>137</v>
      </c>
      <c r="C1528" s="53" t="s">
        <v>237</v>
      </c>
      <c r="D1528" s="53" t="s">
        <v>172</v>
      </c>
      <c r="E1528" s="32">
        <v>29374.792000000005</v>
      </c>
      <c r="F1528" s="53" t="s">
        <v>4073</v>
      </c>
    </row>
    <row r="1529" spans="1:6">
      <c r="A1529" s="29" t="s">
        <v>4449</v>
      </c>
      <c r="B1529" s="53" t="s">
        <v>137</v>
      </c>
      <c r="C1529" s="53" t="s">
        <v>246</v>
      </c>
      <c r="D1529" s="53" t="s">
        <v>172</v>
      </c>
      <c r="E1529" s="32">
        <v>64582.942800000012</v>
      </c>
      <c r="F1529" s="53" t="s">
        <v>4073</v>
      </c>
    </row>
    <row r="1530" spans="1:6">
      <c r="A1530" s="29" t="s">
        <v>4449</v>
      </c>
      <c r="B1530" s="53" t="s">
        <v>170</v>
      </c>
      <c r="C1530" s="53" t="s">
        <v>259</v>
      </c>
      <c r="D1530" s="53" t="s">
        <v>172</v>
      </c>
      <c r="E1530" s="32">
        <v>285555.81759999995</v>
      </c>
      <c r="F1530" s="53" t="s">
        <v>4073</v>
      </c>
    </row>
    <row r="1531" spans="1:6">
      <c r="A1531" s="29" t="s">
        <v>4449</v>
      </c>
      <c r="B1531" s="53" t="s">
        <v>170</v>
      </c>
      <c r="C1531" s="53" t="s">
        <v>276</v>
      </c>
      <c r="D1531" s="53" t="s">
        <v>172</v>
      </c>
      <c r="E1531" s="32">
        <v>83725.821599999981</v>
      </c>
      <c r="F1531" s="53" t="s">
        <v>4073</v>
      </c>
    </row>
    <row r="1532" spans="1:6">
      <c r="A1532" s="29" t="s">
        <v>4449</v>
      </c>
      <c r="B1532" s="53" t="s">
        <v>170</v>
      </c>
      <c r="C1532" s="53" t="s">
        <v>240</v>
      </c>
      <c r="D1532" s="53" t="s">
        <v>172</v>
      </c>
      <c r="E1532" s="32">
        <v>23874.191600000002</v>
      </c>
      <c r="F1532" s="53" t="s">
        <v>4073</v>
      </c>
    </row>
    <row r="1533" spans="1:6">
      <c r="A1533" s="29" t="s">
        <v>4449</v>
      </c>
      <c r="B1533" s="53" t="s">
        <v>170</v>
      </c>
      <c r="C1533" s="53" t="s">
        <v>251</v>
      </c>
      <c r="D1533" s="53" t="s">
        <v>226</v>
      </c>
      <c r="E1533" s="32">
        <v>61429.978000000025</v>
      </c>
      <c r="F1533" s="53" t="s">
        <v>4073</v>
      </c>
    </row>
    <row r="1534" spans="1:6">
      <c r="A1534" s="29" t="s">
        <v>4449</v>
      </c>
      <c r="B1534" s="53" t="s">
        <v>170</v>
      </c>
      <c r="C1534" s="53" t="s">
        <v>256</v>
      </c>
      <c r="D1534" s="53" t="s">
        <v>172</v>
      </c>
      <c r="E1534" s="32">
        <v>29745.087199999998</v>
      </c>
      <c r="F1534" s="53" t="s">
        <v>4073</v>
      </c>
    </row>
    <row r="1535" spans="1:6">
      <c r="A1535" s="29" t="s">
        <v>4449</v>
      </c>
      <c r="B1535" s="53" t="s">
        <v>170</v>
      </c>
      <c r="C1535" s="53" t="s">
        <v>311</v>
      </c>
      <c r="D1535" s="53" t="s">
        <v>172</v>
      </c>
      <c r="E1535" s="32">
        <v>41426.639600000002</v>
      </c>
      <c r="F1535" s="53" t="s">
        <v>4073</v>
      </c>
    </row>
    <row r="1536" spans="1:6">
      <c r="A1536" s="29" t="s">
        <v>4449</v>
      </c>
      <c r="B1536" s="53" t="s">
        <v>170</v>
      </c>
      <c r="C1536" s="53" t="s">
        <v>171</v>
      </c>
      <c r="D1536" s="53" t="s">
        <v>172</v>
      </c>
      <c r="E1536" s="32">
        <v>116939.79520000004</v>
      </c>
      <c r="F1536" s="53" t="s">
        <v>4073</v>
      </c>
    </row>
    <row r="1537" spans="1:6">
      <c r="A1537" s="29" t="s">
        <v>4449</v>
      </c>
      <c r="B1537" s="53" t="s">
        <v>170</v>
      </c>
      <c r="C1537" s="53" t="s">
        <v>252</v>
      </c>
      <c r="D1537" s="53" t="s">
        <v>226</v>
      </c>
      <c r="E1537" s="32">
        <v>22361.542799999999</v>
      </c>
      <c r="F1537" s="53" t="s">
        <v>4073</v>
      </c>
    </row>
    <row r="1538" spans="1:6">
      <c r="A1538" s="29" t="s">
        <v>4449</v>
      </c>
      <c r="B1538" s="53" t="s">
        <v>170</v>
      </c>
      <c r="C1538" s="53" t="s">
        <v>296</v>
      </c>
      <c r="D1538" s="53" t="s">
        <v>226</v>
      </c>
      <c r="E1538" s="32">
        <v>23396.366799999996</v>
      </c>
      <c r="F1538" s="53" t="s">
        <v>4073</v>
      </c>
    </row>
    <row r="1539" spans="1:6">
      <c r="A1539" s="29" t="s">
        <v>4449</v>
      </c>
      <c r="B1539" s="53" t="s">
        <v>170</v>
      </c>
      <c r="C1539" s="53" t="s">
        <v>173</v>
      </c>
      <c r="D1539" s="53" t="s">
        <v>172</v>
      </c>
      <c r="E1539" s="32">
        <v>154594.29680000001</v>
      </c>
      <c r="F1539" s="53" t="s">
        <v>4073</v>
      </c>
    </row>
    <row r="1540" spans="1:6">
      <c r="A1540" s="29" t="s">
        <v>4449</v>
      </c>
      <c r="B1540" s="53" t="s">
        <v>170</v>
      </c>
      <c r="C1540" s="53" t="s">
        <v>225</v>
      </c>
      <c r="D1540" s="53" t="s">
        <v>226</v>
      </c>
      <c r="E1540" s="32">
        <v>38341.271999999997</v>
      </c>
      <c r="F1540" s="53" t="s">
        <v>4073</v>
      </c>
    </row>
    <row r="1541" spans="1:6">
      <c r="A1541" s="29" t="s">
        <v>4449</v>
      </c>
      <c r="B1541" s="53" t="s">
        <v>176</v>
      </c>
      <c r="C1541" s="53" t="s">
        <v>262</v>
      </c>
      <c r="D1541" s="53" t="s">
        <v>172</v>
      </c>
      <c r="E1541" s="32">
        <v>18780.797600000002</v>
      </c>
      <c r="F1541" s="53" t="s">
        <v>4073</v>
      </c>
    </row>
    <row r="1542" spans="1:6">
      <c r="A1542" s="29" t="s">
        <v>4449</v>
      </c>
      <c r="B1542" s="53" t="s">
        <v>176</v>
      </c>
      <c r="C1542" s="53" t="s">
        <v>253</v>
      </c>
      <c r="D1542" s="53" t="s">
        <v>172</v>
      </c>
      <c r="E1542" s="32">
        <v>24883.984799999998</v>
      </c>
      <c r="F1542" s="53" t="s">
        <v>4073</v>
      </c>
    </row>
    <row r="1543" spans="1:6">
      <c r="A1543" s="29" t="s">
        <v>4449</v>
      </c>
      <c r="B1543" s="53" t="s">
        <v>176</v>
      </c>
      <c r="C1543" s="53" t="s">
        <v>177</v>
      </c>
      <c r="D1543" s="53" t="s">
        <v>172</v>
      </c>
      <c r="E1543" s="32">
        <v>20616.596400000002</v>
      </c>
      <c r="F1543" s="53" t="s">
        <v>4073</v>
      </c>
    </row>
    <row r="1544" spans="1:6">
      <c r="A1544" s="29" t="s">
        <v>4449</v>
      </c>
      <c r="B1544" s="53" t="s">
        <v>176</v>
      </c>
      <c r="C1544" s="53" t="s">
        <v>231</v>
      </c>
      <c r="D1544" s="53" t="s">
        <v>172</v>
      </c>
      <c r="E1544" s="32">
        <v>23006.322</v>
      </c>
      <c r="F1544" s="53" t="s">
        <v>4073</v>
      </c>
    </row>
    <row r="1545" spans="1:6">
      <c r="A1545" s="29" t="s">
        <v>4449</v>
      </c>
      <c r="B1545" s="53" t="s">
        <v>180</v>
      </c>
      <c r="C1545" s="53" t="s">
        <v>181</v>
      </c>
      <c r="D1545" s="53" t="s">
        <v>172</v>
      </c>
      <c r="E1545" s="32">
        <v>33952.416799999999</v>
      </c>
      <c r="F1545" s="53" t="s">
        <v>4073</v>
      </c>
    </row>
    <row r="1546" spans="1:6">
      <c r="A1546" s="29" t="s">
        <v>4449</v>
      </c>
      <c r="B1546" s="53" t="s">
        <v>180</v>
      </c>
      <c r="C1546" s="53" t="s">
        <v>263</v>
      </c>
      <c r="D1546" s="53" t="s">
        <v>172</v>
      </c>
      <c r="E1546" s="32">
        <v>202969.3468</v>
      </c>
      <c r="F1546" s="53" t="s">
        <v>4073</v>
      </c>
    </row>
    <row r="1547" spans="1:6">
      <c r="A1547" s="29" t="s">
        <v>4449</v>
      </c>
      <c r="B1547" s="53" t="s">
        <v>180</v>
      </c>
      <c r="C1547" s="53" t="s">
        <v>277</v>
      </c>
      <c r="D1547" s="53" t="s">
        <v>172</v>
      </c>
      <c r="E1547" s="32">
        <v>89754.48400000004</v>
      </c>
      <c r="F1547" s="53" t="s">
        <v>4073</v>
      </c>
    </row>
    <row r="1548" spans="1:6">
      <c r="A1548" s="29" t="s">
        <v>4449</v>
      </c>
      <c r="B1548" s="53" t="s">
        <v>180</v>
      </c>
      <c r="C1548" s="53" t="s">
        <v>300</v>
      </c>
      <c r="D1548" s="53" t="s">
        <v>172</v>
      </c>
      <c r="E1548" s="32">
        <v>66716.690000000031</v>
      </c>
      <c r="F1548" s="53" t="s">
        <v>4073</v>
      </c>
    </row>
    <row r="1549" spans="1:6">
      <c r="A1549" s="29" t="s">
        <v>4449</v>
      </c>
      <c r="B1549" s="53" t="s">
        <v>180</v>
      </c>
      <c r="C1549" s="53" t="s">
        <v>242</v>
      </c>
      <c r="D1549" s="53" t="s">
        <v>172</v>
      </c>
      <c r="E1549" s="32">
        <v>30307.581600000012</v>
      </c>
      <c r="F1549" s="53" t="s">
        <v>4073</v>
      </c>
    </row>
    <row r="1550" spans="1:6">
      <c r="A1550" s="29" t="s">
        <v>4449</v>
      </c>
      <c r="B1550" s="53" t="s">
        <v>180</v>
      </c>
      <c r="C1550" s="53" t="s">
        <v>254</v>
      </c>
      <c r="D1550" s="53" t="s">
        <v>172</v>
      </c>
      <c r="E1550" s="32">
        <v>147237.70040000003</v>
      </c>
      <c r="F1550" s="53" t="s">
        <v>4073</v>
      </c>
    </row>
    <row r="1551" spans="1:6">
      <c r="A1551" s="29" t="s">
        <v>4449</v>
      </c>
      <c r="B1551" s="53" t="s">
        <v>180</v>
      </c>
      <c r="C1551" s="53" t="s">
        <v>305</v>
      </c>
      <c r="D1551" s="53" t="s">
        <v>172</v>
      </c>
      <c r="E1551" s="32">
        <v>72706.093999999983</v>
      </c>
      <c r="F1551" s="53" t="s">
        <v>4073</v>
      </c>
    </row>
    <row r="1552" spans="1:6">
      <c r="A1552" s="29" t="s">
        <v>4449</v>
      </c>
      <c r="B1552" s="53" t="s">
        <v>180</v>
      </c>
      <c r="C1552" s="53" t="s">
        <v>297</v>
      </c>
      <c r="D1552" s="53" t="s">
        <v>172</v>
      </c>
      <c r="E1552" s="32">
        <v>149784.73479999992</v>
      </c>
      <c r="F1552" s="53" t="s">
        <v>4073</v>
      </c>
    </row>
    <row r="1553" spans="1:6">
      <c r="A1553" s="29" t="s">
        <v>4449</v>
      </c>
      <c r="B1553" s="53" t="s">
        <v>180</v>
      </c>
      <c r="C1553" s="53" t="s">
        <v>314</v>
      </c>
      <c r="D1553" s="53" t="s">
        <v>172</v>
      </c>
      <c r="E1553" s="32">
        <v>28347.801600000006</v>
      </c>
      <c r="F1553" s="53" t="s">
        <v>4073</v>
      </c>
    </row>
    <row r="1554" spans="1:6">
      <c r="A1554" s="29" t="s">
        <v>4449</v>
      </c>
      <c r="B1554" s="53" t="s">
        <v>180</v>
      </c>
      <c r="C1554" s="53" t="s">
        <v>182</v>
      </c>
      <c r="D1554" s="53" t="s">
        <v>172</v>
      </c>
      <c r="E1554" s="32">
        <v>151398.94919999997</v>
      </c>
      <c r="F1554" s="53" t="s">
        <v>4073</v>
      </c>
    </row>
    <row r="1555" spans="1:6">
      <c r="A1555" s="29" t="s">
        <v>4449</v>
      </c>
      <c r="B1555" s="53" t="s">
        <v>149</v>
      </c>
      <c r="C1555" s="53" t="s">
        <v>4110</v>
      </c>
      <c r="D1555" s="53" t="s">
        <v>151</v>
      </c>
      <c r="E1555" s="32">
        <v>127882.97797722</v>
      </c>
      <c r="F1555" s="53" t="s">
        <v>4073</v>
      </c>
    </row>
    <row r="1556" spans="1:6">
      <c r="A1556" s="29" t="s">
        <v>4449</v>
      </c>
      <c r="B1556" s="53" t="s">
        <v>149</v>
      </c>
      <c r="C1556" s="53" t="s">
        <v>166</v>
      </c>
      <c r="D1556" s="53" t="s">
        <v>151</v>
      </c>
      <c r="E1556" s="32">
        <v>111349.300888065</v>
      </c>
      <c r="F1556" s="53" t="s">
        <v>4073</v>
      </c>
    </row>
    <row r="1557" spans="1:6">
      <c r="A1557" s="29" t="s">
        <v>4449</v>
      </c>
      <c r="B1557" s="53" t="s">
        <v>149</v>
      </c>
      <c r="C1557" s="53" t="s">
        <v>163</v>
      </c>
      <c r="D1557" s="53" t="s">
        <v>164</v>
      </c>
      <c r="E1557" s="32">
        <v>129509.69041951001</v>
      </c>
      <c r="F1557" s="53" t="s">
        <v>4073</v>
      </c>
    </row>
    <row r="1558" spans="1:6">
      <c r="A1558" s="29" t="s">
        <v>4449</v>
      </c>
      <c r="B1558" s="53" t="s">
        <v>149</v>
      </c>
      <c r="C1558" s="53" t="s">
        <v>150</v>
      </c>
      <c r="D1558" s="53" t="s">
        <v>151</v>
      </c>
      <c r="E1558" s="32">
        <v>194085.80968825499</v>
      </c>
      <c r="F1558" s="53" t="s">
        <v>4073</v>
      </c>
    </row>
    <row r="1559" spans="1:6">
      <c r="A1559" s="29" t="s">
        <v>4449</v>
      </c>
      <c r="B1559" s="53" t="s">
        <v>149</v>
      </c>
      <c r="C1559" s="53" t="s">
        <v>156</v>
      </c>
      <c r="D1559" s="53" t="s">
        <v>151</v>
      </c>
      <c r="E1559" s="32">
        <v>16744.497139344199</v>
      </c>
      <c r="F1559" s="53" t="s">
        <v>4073</v>
      </c>
    </row>
    <row r="1560" spans="1:6">
      <c r="A1560" s="29" t="s">
        <v>4449</v>
      </c>
      <c r="B1560" s="53" t="s">
        <v>170</v>
      </c>
      <c r="C1560" s="53" t="s">
        <v>230</v>
      </c>
      <c r="D1560" s="53" t="s">
        <v>172</v>
      </c>
      <c r="E1560" s="32">
        <v>264979.26829268498</v>
      </c>
      <c r="F1560" s="53" t="s">
        <v>4073</v>
      </c>
    </row>
    <row r="1561" spans="1:6">
      <c r="A1561" s="29" t="s">
        <v>4449</v>
      </c>
      <c r="B1561" s="53" t="s">
        <v>170</v>
      </c>
      <c r="C1561" s="53" t="s">
        <v>260</v>
      </c>
      <c r="D1561" s="53" t="s">
        <v>261</v>
      </c>
      <c r="E1561" s="32">
        <v>24430.157645961699</v>
      </c>
      <c r="F1561" s="53" t="s">
        <v>4073</v>
      </c>
    </row>
    <row r="1562" spans="1:6">
      <c r="A1562" s="29" t="s">
        <v>4449</v>
      </c>
      <c r="B1562" s="53" t="s">
        <v>170</v>
      </c>
      <c r="C1562" s="53" t="s">
        <v>4077</v>
      </c>
      <c r="D1562" s="53" t="s">
        <v>226</v>
      </c>
      <c r="E1562" s="32">
        <v>36066.6666666643</v>
      </c>
      <c r="F1562" s="53" t="s">
        <v>4073</v>
      </c>
    </row>
    <row r="1563" spans="1:6">
      <c r="A1563" s="29" t="s">
        <v>4449</v>
      </c>
      <c r="B1563" s="53" t="s">
        <v>170</v>
      </c>
      <c r="C1563" s="53" t="s">
        <v>238</v>
      </c>
      <c r="D1563" s="53" t="s">
        <v>239</v>
      </c>
      <c r="E1563" s="32">
        <v>29062.313127203699</v>
      </c>
      <c r="F1563" s="53" t="s">
        <v>4073</v>
      </c>
    </row>
    <row r="1564" spans="1:6">
      <c r="A1564" s="29" t="s">
        <v>4449</v>
      </c>
      <c r="B1564" s="53" t="s">
        <v>170</v>
      </c>
      <c r="C1564" s="53" t="s">
        <v>309</v>
      </c>
      <c r="D1564" s="53" t="s">
        <v>4078</v>
      </c>
      <c r="E1564" s="32">
        <v>78080.853020496797</v>
      </c>
      <c r="F1564" s="53" t="s">
        <v>4073</v>
      </c>
    </row>
    <row r="1565" spans="1:6">
      <c r="A1565" s="29" t="s">
        <v>4449</v>
      </c>
      <c r="B1565" s="53" t="s">
        <v>170</v>
      </c>
      <c r="C1565" s="53" t="s">
        <v>295</v>
      </c>
      <c r="D1565" s="53" t="s">
        <v>261</v>
      </c>
      <c r="E1565" s="32">
        <v>28069.2528790006</v>
      </c>
      <c r="F1565" s="53" t="s">
        <v>4073</v>
      </c>
    </row>
    <row r="1566" spans="1:6">
      <c r="A1566" s="29" t="s">
        <v>4449</v>
      </c>
      <c r="B1566" s="53" t="s">
        <v>249</v>
      </c>
      <c r="C1566" s="53" t="s">
        <v>4113</v>
      </c>
      <c r="D1566" s="53" t="s">
        <v>172</v>
      </c>
      <c r="E1566" s="32">
        <v>65237.675085954303</v>
      </c>
      <c r="F1566" s="53" t="s">
        <v>4073</v>
      </c>
    </row>
    <row r="1567" spans="1:6">
      <c r="A1567" s="29" t="s">
        <v>4449</v>
      </c>
      <c r="B1567" s="53" t="s">
        <v>249</v>
      </c>
      <c r="C1567" s="53" t="s">
        <v>4128</v>
      </c>
      <c r="D1567" s="53" t="s">
        <v>226</v>
      </c>
      <c r="E1567" s="32">
        <v>75352.251700679597</v>
      </c>
      <c r="F1567" s="53" t="s">
        <v>4073</v>
      </c>
    </row>
    <row r="1568" spans="1:6">
      <c r="A1568" s="29" t="s">
        <v>4449</v>
      </c>
      <c r="B1568" s="53" t="s">
        <v>249</v>
      </c>
      <c r="C1568" s="53" t="s">
        <v>4129</v>
      </c>
      <c r="D1568" s="53" t="s">
        <v>172</v>
      </c>
      <c r="E1568" s="32">
        <v>231699.04787282189</v>
      </c>
      <c r="F1568" s="53" t="s">
        <v>4073</v>
      </c>
    </row>
    <row r="1569" spans="1:6">
      <c r="A1569" s="29" t="s">
        <v>4449</v>
      </c>
      <c r="B1569" s="53" t="s">
        <v>249</v>
      </c>
      <c r="C1569" s="53" t="s">
        <v>4130</v>
      </c>
      <c r="D1569" s="53" t="s">
        <v>172</v>
      </c>
      <c r="E1569" s="32">
        <v>30409.090909090901</v>
      </c>
      <c r="F1569" s="53" t="s">
        <v>4073</v>
      </c>
    </row>
    <row r="1570" spans="1:6">
      <c r="A1570" s="29" t="s">
        <v>4449</v>
      </c>
      <c r="B1570" s="53" t="s">
        <v>249</v>
      </c>
      <c r="C1570" s="53" t="s">
        <v>4131</v>
      </c>
      <c r="D1570" s="53" t="s">
        <v>172</v>
      </c>
      <c r="E1570" s="32">
        <v>126785.714285714</v>
      </c>
      <c r="F1570" s="53" t="s">
        <v>4073</v>
      </c>
    </row>
    <row r="1571" spans="1:6">
      <c r="A1571" s="29" t="s">
        <v>4449</v>
      </c>
      <c r="B1571" s="53" t="s">
        <v>249</v>
      </c>
      <c r="C1571" s="53" t="s">
        <v>316</v>
      </c>
      <c r="D1571" s="53" t="s">
        <v>172</v>
      </c>
      <c r="E1571" s="32">
        <v>46378.174603168998</v>
      </c>
      <c r="F1571" s="53" t="s">
        <v>4073</v>
      </c>
    </row>
    <row r="1572" spans="1:6">
      <c r="A1572" s="29" t="s">
        <v>4449</v>
      </c>
      <c r="B1572" s="53" t="s">
        <v>249</v>
      </c>
      <c r="C1572" s="53" t="s">
        <v>4132</v>
      </c>
      <c r="D1572" s="53" t="s">
        <v>172</v>
      </c>
      <c r="E1572" s="32">
        <v>46031.944444449997</v>
      </c>
      <c r="F1572" s="53" t="s">
        <v>4073</v>
      </c>
    </row>
    <row r="1573" spans="1:6">
      <c r="A1573" s="29" t="s">
        <v>4449</v>
      </c>
      <c r="B1573" s="53" t="s">
        <v>249</v>
      </c>
      <c r="C1573" s="53" t="s">
        <v>4133</v>
      </c>
      <c r="D1573" s="53" t="s">
        <v>172</v>
      </c>
      <c r="E1573" s="32">
        <v>57912.060126068201</v>
      </c>
      <c r="F1573" s="53" t="s">
        <v>4073</v>
      </c>
    </row>
    <row r="1574" spans="1:6">
      <c r="A1574" s="29" t="s">
        <v>4449</v>
      </c>
      <c r="B1574" s="53" t="s">
        <v>249</v>
      </c>
      <c r="C1574" s="53" t="s">
        <v>4116</v>
      </c>
      <c r="D1574" s="53" t="s">
        <v>172</v>
      </c>
      <c r="E1574" s="32">
        <v>149732.64864864899</v>
      </c>
      <c r="F1574" s="53" t="s">
        <v>4073</v>
      </c>
    </row>
    <row r="1575" spans="1:6">
      <c r="A1575" s="29" t="s">
        <v>4449</v>
      </c>
      <c r="B1575" s="53" t="s">
        <v>249</v>
      </c>
      <c r="C1575" s="53" t="s">
        <v>4134</v>
      </c>
      <c r="D1575" s="53" t="s">
        <v>172</v>
      </c>
      <c r="E1575" s="32">
        <v>147711.87105263601</v>
      </c>
      <c r="F1575" s="53" t="s">
        <v>4073</v>
      </c>
    </row>
    <row r="1576" spans="1:6">
      <c r="A1576" s="29" t="s">
        <v>4449</v>
      </c>
      <c r="B1576" s="53" t="s">
        <v>249</v>
      </c>
      <c r="C1576" s="53" t="s">
        <v>4135</v>
      </c>
      <c r="D1576" s="53" t="s">
        <v>226</v>
      </c>
      <c r="E1576" s="32">
        <v>76550</v>
      </c>
      <c r="F1576" s="53" t="s">
        <v>4073</v>
      </c>
    </row>
    <row r="1577" spans="1:6">
      <c r="A1577" s="29" t="s">
        <v>4449</v>
      </c>
      <c r="B1577" s="53" t="s">
        <v>249</v>
      </c>
      <c r="C1577" s="53" t="s">
        <v>4136</v>
      </c>
      <c r="D1577" s="53" t="s">
        <v>226</v>
      </c>
      <c r="E1577" s="32">
        <v>104990</v>
      </c>
      <c r="F1577" s="53" t="s">
        <v>4073</v>
      </c>
    </row>
    <row r="1578" spans="1:6">
      <c r="A1578" s="29" t="s">
        <v>4449</v>
      </c>
      <c r="B1578" s="53" t="s">
        <v>249</v>
      </c>
      <c r="C1578" s="53" t="s">
        <v>4137</v>
      </c>
      <c r="D1578" s="53" t="s">
        <v>4142</v>
      </c>
      <c r="E1578" s="32">
        <v>53773.611111108301</v>
      </c>
      <c r="F1578" s="53" t="s">
        <v>4073</v>
      </c>
    </row>
    <row r="1579" spans="1:6">
      <c r="A1579" s="29" t="s">
        <v>4449</v>
      </c>
      <c r="B1579" s="53" t="s">
        <v>249</v>
      </c>
      <c r="C1579" s="53" t="s">
        <v>4138</v>
      </c>
      <c r="D1579" s="53" t="s">
        <v>4142</v>
      </c>
      <c r="E1579" s="32">
        <v>89555.040650399998</v>
      </c>
      <c r="F1579" s="53" t="s">
        <v>4073</v>
      </c>
    </row>
    <row r="1580" spans="1:6">
      <c r="A1580" s="29" t="s">
        <v>4449</v>
      </c>
      <c r="B1580" s="53" t="s">
        <v>249</v>
      </c>
      <c r="C1580" s="53" t="s">
        <v>4139</v>
      </c>
      <c r="D1580" s="53" t="s">
        <v>4142</v>
      </c>
      <c r="E1580" s="32">
        <v>44212.121212127298</v>
      </c>
      <c r="F1580" s="53" t="s">
        <v>4073</v>
      </c>
    </row>
    <row r="1581" spans="1:6">
      <c r="A1581" s="29" t="s">
        <v>4449</v>
      </c>
      <c r="B1581" s="53" t="s">
        <v>249</v>
      </c>
      <c r="C1581" s="53" t="s">
        <v>4140</v>
      </c>
      <c r="D1581" s="53" t="s">
        <v>4142</v>
      </c>
      <c r="E1581" s="32">
        <v>49487.800768815599</v>
      </c>
      <c r="F1581" s="53" t="s">
        <v>4073</v>
      </c>
    </row>
    <row r="1582" spans="1:6">
      <c r="A1582" s="29" t="s">
        <v>4449</v>
      </c>
      <c r="B1582" s="53" t="s">
        <v>249</v>
      </c>
      <c r="C1582" s="53" t="s">
        <v>4141</v>
      </c>
      <c r="D1582" s="53" t="s">
        <v>4142</v>
      </c>
      <c r="E1582" s="32">
        <v>45014.916003855302</v>
      </c>
      <c r="F1582" s="53" t="s">
        <v>4073</v>
      </c>
    </row>
    <row r="1583" spans="1:6">
      <c r="A1583" s="29" t="s">
        <v>4449</v>
      </c>
      <c r="B1583" s="53" t="s">
        <v>180</v>
      </c>
      <c r="C1583" s="53" t="s">
        <v>241</v>
      </c>
      <c r="D1583" s="53" t="s">
        <v>4224</v>
      </c>
      <c r="E1583" s="32">
        <v>27783.1738609079</v>
      </c>
      <c r="F1583" s="53" t="s">
        <v>4073</v>
      </c>
    </row>
    <row r="1584" spans="1:6">
      <c r="A1584" s="29" t="s">
        <v>4449</v>
      </c>
      <c r="B1584" s="53" t="s">
        <v>180</v>
      </c>
      <c r="C1584" s="53" t="s">
        <v>4114</v>
      </c>
      <c r="D1584" s="53" t="s">
        <v>172</v>
      </c>
      <c r="E1584" s="32">
        <v>26303.824059353399</v>
      </c>
      <c r="F1584" s="53" t="s">
        <v>4073</v>
      </c>
    </row>
    <row r="1585" spans="1:6">
      <c r="A1585" s="29" t="s">
        <v>4449</v>
      </c>
      <c r="B1585" s="53" t="s">
        <v>249</v>
      </c>
      <c r="C1585" s="53" t="s">
        <v>4226</v>
      </c>
      <c r="D1585" s="53" t="s">
        <v>4225</v>
      </c>
      <c r="E1585" s="32">
        <v>60000</v>
      </c>
      <c r="F1585" s="53" t="s">
        <v>4073</v>
      </c>
    </row>
    <row r="1586" spans="1:6">
      <c r="A1586" s="29" t="s">
        <v>4449</v>
      </c>
      <c r="B1586" s="53" t="s">
        <v>149</v>
      </c>
      <c r="C1586" s="53" t="s">
        <v>159</v>
      </c>
      <c r="D1586" s="53" t="s">
        <v>4228</v>
      </c>
      <c r="E1586" s="32">
        <v>11457.9436403694</v>
      </c>
      <c r="F1586" s="53" t="s">
        <v>4073</v>
      </c>
    </row>
    <row r="1587" spans="1:6">
      <c r="A1587" s="29" t="s">
        <v>4449</v>
      </c>
      <c r="B1587" s="53" t="s">
        <v>176</v>
      </c>
      <c r="C1587" s="53" t="s">
        <v>4145</v>
      </c>
      <c r="D1587" s="53" t="s">
        <v>172</v>
      </c>
      <c r="E1587" s="32">
        <v>19889.1857318574</v>
      </c>
      <c r="F1587" s="53" t="s">
        <v>4073</v>
      </c>
    </row>
    <row r="1588" spans="1:6">
      <c r="A1588" s="29" t="s">
        <v>4449</v>
      </c>
      <c r="B1588" s="53" t="s">
        <v>176</v>
      </c>
      <c r="C1588" s="53" t="s">
        <v>4112</v>
      </c>
      <c r="D1588" s="53" t="s">
        <v>226</v>
      </c>
      <c r="E1588" s="32">
        <v>28373.316498316399</v>
      </c>
      <c r="F1588" s="53" t="s">
        <v>4073</v>
      </c>
    </row>
    <row r="1589" spans="1:6">
      <c r="A1589" s="29" t="s">
        <v>4450</v>
      </c>
      <c r="B1589" s="53" t="s">
        <v>4072</v>
      </c>
      <c r="C1589" s="53" t="s">
        <v>316</v>
      </c>
      <c r="D1589" s="53" t="s">
        <v>172</v>
      </c>
      <c r="E1589" s="32">
        <v>46387.828400000006</v>
      </c>
      <c r="F1589" s="53" t="s">
        <v>4073</v>
      </c>
    </row>
    <row r="1590" spans="1:6">
      <c r="A1590" s="29" t="s">
        <v>4450</v>
      </c>
      <c r="B1590" s="53" t="s">
        <v>137</v>
      </c>
      <c r="C1590" s="53" t="s">
        <v>291</v>
      </c>
      <c r="D1590" s="53" t="s">
        <v>172</v>
      </c>
      <c r="E1590" s="32">
        <v>22409.406399999993</v>
      </c>
      <c r="F1590" s="53" t="s">
        <v>4073</v>
      </c>
    </row>
    <row r="1591" spans="1:6">
      <c r="A1591" s="29" t="s">
        <v>4450</v>
      </c>
      <c r="B1591" s="53" t="s">
        <v>137</v>
      </c>
      <c r="C1591" s="53" t="s">
        <v>243</v>
      </c>
      <c r="D1591" s="53" t="s">
        <v>172</v>
      </c>
      <c r="E1591" s="32">
        <v>22007.386799999993</v>
      </c>
      <c r="F1591" s="53" t="s">
        <v>4073</v>
      </c>
    </row>
    <row r="1592" spans="1:6">
      <c r="A1592" s="29" t="s">
        <v>4450</v>
      </c>
      <c r="B1592" s="53" t="s">
        <v>137</v>
      </c>
      <c r="C1592" s="53" t="s">
        <v>237</v>
      </c>
      <c r="D1592" s="53" t="s">
        <v>172</v>
      </c>
      <c r="E1592" s="32">
        <v>29374.792000000005</v>
      </c>
      <c r="F1592" s="53" t="s">
        <v>4073</v>
      </c>
    </row>
    <row r="1593" spans="1:6">
      <c r="A1593" s="29" t="s">
        <v>4450</v>
      </c>
      <c r="B1593" s="53" t="s">
        <v>137</v>
      </c>
      <c r="C1593" s="53" t="s">
        <v>246</v>
      </c>
      <c r="D1593" s="53" t="s">
        <v>172</v>
      </c>
      <c r="E1593" s="32">
        <v>64582.942800000012</v>
      </c>
      <c r="F1593" s="53" t="s">
        <v>4073</v>
      </c>
    </row>
    <row r="1594" spans="1:6">
      <c r="A1594" s="29" t="s">
        <v>4450</v>
      </c>
      <c r="B1594" s="53" t="s">
        <v>170</v>
      </c>
      <c r="C1594" s="53" t="s">
        <v>259</v>
      </c>
      <c r="D1594" s="53" t="s">
        <v>172</v>
      </c>
      <c r="E1594" s="32">
        <v>285555.81759999995</v>
      </c>
      <c r="F1594" s="53" t="s">
        <v>4073</v>
      </c>
    </row>
    <row r="1595" spans="1:6">
      <c r="A1595" s="29" t="s">
        <v>4450</v>
      </c>
      <c r="B1595" s="53" t="s">
        <v>170</v>
      </c>
      <c r="C1595" s="53" t="s">
        <v>276</v>
      </c>
      <c r="D1595" s="53" t="s">
        <v>172</v>
      </c>
      <c r="E1595" s="32">
        <v>83725.821599999981</v>
      </c>
      <c r="F1595" s="53" t="s">
        <v>4073</v>
      </c>
    </row>
    <row r="1596" spans="1:6">
      <c r="A1596" s="29" t="s">
        <v>4450</v>
      </c>
      <c r="B1596" s="53" t="s">
        <v>170</v>
      </c>
      <c r="C1596" s="53" t="s">
        <v>240</v>
      </c>
      <c r="D1596" s="53" t="s">
        <v>172</v>
      </c>
      <c r="E1596" s="32">
        <v>23874.191600000002</v>
      </c>
      <c r="F1596" s="53" t="s">
        <v>4073</v>
      </c>
    </row>
    <row r="1597" spans="1:6">
      <c r="A1597" s="29" t="s">
        <v>4450</v>
      </c>
      <c r="B1597" s="53" t="s">
        <v>170</v>
      </c>
      <c r="C1597" s="53" t="s">
        <v>251</v>
      </c>
      <c r="D1597" s="53" t="s">
        <v>226</v>
      </c>
      <c r="E1597" s="32">
        <v>61429.978000000025</v>
      </c>
      <c r="F1597" s="53" t="s">
        <v>4073</v>
      </c>
    </row>
    <row r="1598" spans="1:6">
      <c r="A1598" s="29" t="s">
        <v>4450</v>
      </c>
      <c r="B1598" s="53" t="s">
        <v>170</v>
      </c>
      <c r="C1598" s="53" t="s">
        <v>256</v>
      </c>
      <c r="D1598" s="53" t="s">
        <v>172</v>
      </c>
      <c r="E1598" s="32">
        <v>29745.087199999998</v>
      </c>
      <c r="F1598" s="53" t="s">
        <v>4073</v>
      </c>
    </row>
    <row r="1599" spans="1:6">
      <c r="A1599" s="29" t="s">
        <v>4450</v>
      </c>
      <c r="B1599" s="53" t="s">
        <v>170</v>
      </c>
      <c r="C1599" s="53" t="s">
        <v>311</v>
      </c>
      <c r="D1599" s="53" t="s">
        <v>172</v>
      </c>
      <c r="E1599" s="32">
        <v>41426.639600000002</v>
      </c>
      <c r="F1599" s="53" t="s">
        <v>4073</v>
      </c>
    </row>
    <row r="1600" spans="1:6">
      <c r="A1600" s="29" t="s">
        <v>4450</v>
      </c>
      <c r="B1600" s="53" t="s">
        <v>170</v>
      </c>
      <c r="C1600" s="53" t="s">
        <v>171</v>
      </c>
      <c r="D1600" s="53" t="s">
        <v>172</v>
      </c>
      <c r="E1600" s="32">
        <v>116939.79520000004</v>
      </c>
      <c r="F1600" s="53" t="s">
        <v>4073</v>
      </c>
    </row>
    <row r="1601" spans="1:6">
      <c r="A1601" s="29" t="s">
        <v>4450</v>
      </c>
      <c r="B1601" s="53" t="s">
        <v>170</v>
      </c>
      <c r="C1601" s="53" t="s">
        <v>252</v>
      </c>
      <c r="D1601" s="53" t="s">
        <v>226</v>
      </c>
      <c r="E1601" s="32">
        <v>22361.542799999999</v>
      </c>
      <c r="F1601" s="53" t="s">
        <v>4073</v>
      </c>
    </row>
    <row r="1602" spans="1:6">
      <c r="A1602" s="29" t="s">
        <v>4450</v>
      </c>
      <c r="B1602" s="53" t="s">
        <v>170</v>
      </c>
      <c r="C1602" s="53" t="s">
        <v>296</v>
      </c>
      <c r="D1602" s="53" t="s">
        <v>226</v>
      </c>
      <c r="E1602" s="32">
        <v>23396.366799999996</v>
      </c>
      <c r="F1602" s="53" t="s">
        <v>4073</v>
      </c>
    </row>
    <row r="1603" spans="1:6">
      <c r="A1603" s="29" t="s">
        <v>4450</v>
      </c>
      <c r="B1603" s="53" t="s">
        <v>170</v>
      </c>
      <c r="C1603" s="53" t="s">
        <v>173</v>
      </c>
      <c r="D1603" s="53" t="s">
        <v>172</v>
      </c>
      <c r="E1603" s="32">
        <v>154594.29680000001</v>
      </c>
      <c r="F1603" s="53" t="s">
        <v>4073</v>
      </c>
    </row>
    <row r="1604" spans="1:6">
      <c r="A1604" s="29" t="s">
        <v>4450</v>
      </c>
      <c r="B1604" s="53" t="s">
        <v>170</v>
      </c>
      <c r="C1604" s="53" t="s">
        <v>225</v>
      </c>
      <c r="D1604" s="53" t="s">
        <v>226</v>
      </c>
      <c r="E1604" s="32">
        <v>38341.271999999997</v>
      </c>
      <c r="F1604" s="53" t="s">
        <v>4073</v>
      </c>
    </row>
    <row r="1605" spans="1:6">
      <c r="A1605" s="29" t="s">
        <v>4450</v>
      </c>
      <c r="B1605" s="53" t="s">
        <v>176</v>
      </c>
      <c r="C1605" s="53" t="s">
        <v>262</v>
      </c>
      <c r="D1605" s="53" t="s">
        <v>172</v>
      </c>
      <c r="E1605" s="32">
        <v>18780.797600000002</v>
      </c>
      <c r="F1605" s="53" t="s">
        <v>4073</v>
      </c>
    </row>
    <row r="1606" spans="1:6">
      <c r="A1606" s="29" t="s">
        <v>4450</v>
      </c>
      <c r="B1606" s="53" t="s">
        <v>176</v>
      </c>
      <c r="C1606" s="53" t="s">
        <v>253</v>
      </c>
      <c r="D1606" s="53" t="s">
        <v>172</v>
      </c>
      <c r="E1606" s="32">
        <v>24883.984799999998</v>
      </c>
      <c r="F1606" s="53" t="s">
        <v>4073</v>
      </c>
    </row>
    <row r="1607" spans="1:6">
      <c r="A1607" s="29" t="s">
        <v>4450</v>
      </c>
      <c r="B1607" s="53" t="s">
        <v>176</v>
      </c>
      <c r="C1607" s="53" t="s">
        <v>177</v>
      </c>
      <c r="D1607" s="53" t="s">
        <v>172</v>
      </c>
      <c r="E1607" s="32">
        <v>20616.596400000002</v>
      </c>
      <c r="F1607" s="53" t="s">
        <v>4073</v>
      </c>
    </row>
    <row r="1608" spans="1:6">
      <c r="A1608" s="29" t="s">
        <v>4450</v>
      </c>
      <c r="B1608" s="53" t="s">
        <v>176</v>
      </c>
      <c r="C1608" s="53" t="s">
        <v>231</v>
      </c>
      <c r="D1608" s="53" t="s">
        <v>172</v>
      </c>
      <c r="E1608" s="32">
        <v>23006.322</v>
      </c>
      <c r="F1608" s="53" t="s">
        <v>4073</v>
      </c>
    </row>
    <row r="1609" spans="1:6">
      <c r="A1609" s="29" t="s">
        <v>4450</v>
      </c>
      <c r="B1609" s="53" t="s">
        <v>180</v>
      </c>
      <c r="C1609" s="53" t="s">
        <v>181</v>
      </c>
      <c r="D1609" s="53" t="s">
        <v>172</v>
      </c>
      <c r="E1609" s="32">
        <v>33952.416799999999</v>
      </c>
      <c r="F1609" s="53" t="s">
        <v>4073</v>
      </c>
    </row>
    <row r="1610" spans="1:6">
      <c r="A1610" s="29" t="s">
        <v>4450</v>
      </c>
      <c r="B1610" s="53" t="s">
        <v>180</v>
      </c>
      <c r="C1610" s="53" t="s">
        <v>263</v>
      </c>
      <c r="D1610" s="53" t="s">
        <v>172</v>
      </c>
      <c r="E1610" s="32">
        <v>202969.3468</v>
      </c>
      <c r="F1610" s="53" t="s">
        <v>4073</v>
      </c>
    </row>
    <row r="1611" spans="1:6">
      <c r="A1611" s="29" t="s">
        <v>4450</v>
      </c>
      <c r="B1611" s="53" t="s">
        <v>180</v>
      </c>
      <c r="C1611" s="53" t="s">
        <v>277</v>
      </c>
      <c r="D1611" s="53" t="s">
        <v>172</v>
      </c>
      <c r="E1611" s="32">
        <v>89754.48400000004</v>
      </c>
      <c r="F1611" s="53" t="s">
        <v>4073</v>
      </c>
    </row>
    <row r="1612" spans="1:6">
      <c r="A1612" s="29" t="s">
        <v>4450</v>
      </c>
      <c r="B1612" s="53" t="s">
        <v>180</v>
      </c>
      <c r="C1612" s="53" t="s">
        <v>300</v>
      </c>
      <c r="D1612" s="53" t="s">
        <v>172</v>
      </c>
      <c r="E1612" s="32">
        <v>66716.690000000031</v>
      </c>
      <c r="F1612" s="53" t="s">
        <v>4073</v>
      </c>
    </row>
    <row r="1613" spans="1:6">
      <c r="A1613" s="29" t="s">
        <v>4450</v>
      </c>
      <c r="B1613" s="53" t="s">
        <v>180</v>
      </c>
      <c r="C1613" s="53" t="s">
        <v>242</v>
      </c>
      <c r="D1613" s="53" t="s">
        <v>172</v>
      </c>
      <c r="E1613" s="32">
        <v>30307.581600000012</v>
      </c>
      <c r="F1613" s="53" t="s">
        <v>4073</v>
      </c>
    </row>
    <row r="1614" spans="1:6">
      <c r="A1614" s="29" t="s">
        <v>4450</v>
      </c>
      <c r="B1614" s="53" t="s">
        <v>180</v>
      </c>
      <c r="C1614" s="53" t="s">
        <v>254</v>
      </c>
      <c r="D1614" s="53" t="s">
        <v>172</v>
      </c>
      <c r="E1614" s="32">
        <v>147237.70040000003</v>
      </c>
      <c r="F1614" s="53" t="s">
        <v>4073</v>
      </c>
    </row>
    <row r="1615" spans="1:6">
      <c r="A1615" s="29" t="s">
        <v>4450</v>
      </c>
      <c r="B1615" s="53" t="s">
        <v>180</v>
      </c>
      <c r="C1615" s="53" t="s">
        <v>305</v>
      </c>
      <c r="D1615" s="53" t="s">
        <v>172</v>
      </c>
      <c r="E1615" s="32">
        <v>72706.093999999983</v>
      </c>
      <c r="F1615" s="53" t="s">
        <v>4073</v>
      </c>
    </row>
    <row r="1616" spans="1:6">
      <c r="A1616" s="29" t="s">
        <v>4450</v>
      </c>
      <c r="B1616" s="53" t="s">
        <v>180</v>
      </c>
      <c r="C1616" s="53" t="s">
        <v>297</v>
      </c>
      <c r="D1616" s="53" t="s">
        <v>172</v>
      </c>
      <c r="E1616" s="32">
        <v>149784.73479999992</v>
      </c>
      <c r="F1616" s="53" t="s">
        <v>4073</v>
      </c>
    </row>
    <row r="1617" spans="1:6">
      <c r="A1617" s="29" t="s">
        <v>4450</v>
      </c>
      <c r="B1617" s="53" t="s">
        <v>180</v>
      </c>
      <c r="C1617" s="53" t="s">
        <v>314</v>
      </c>
      <c r="D1617" s="53" t="s">
        <v>172</v>
      </c>
      <c r="E1617" s="32">
        <v>28347.801600000006</v>
      </c>
      <c r="F1617" s="53" t="s">
        <v>4073</v>
      </c>
    </row>
    <row r="1618" spans="1:6">
      <c r="A1618" s="29" t="s">
        <v>4450</v>
      </c>
      <c r="B1618" s="53" t="s">
        <v>180</v>
      </c>
      <c r="C1618" s="53" t="s">
        <v>182</v>
      </c>
      <c r="D1618" s="53" t="s">
        <v>172</v>
      </c>
      <c r="E1618" s="32">
        <v>151398.94919999997</v>
      </c>
      <c r="F1618" s="53" t="s">
        <v>4073</v>
      </c>
    </row>
    <row r="1619" spans="1:6">
      <c r="A1619" s="29" t="s">
        <v>4450</v>
      </c>
      <c r="B1619" s="53" t="s">
        <v>149</v>
      </c>
      <c r="C1619" s="53" t="s">
        <v>4110</v>
      </c>
      <c r="D1619" s="53" t="s">
        <v>151</v>
      </c>
      <c r="E1619" s="32">
        <v>127882.97797722</v>
      </c>
      <c r="F1619" s="53" t="s">
        <v>4073</v>
      </c>
    </row>
    <row r="1620" spans="1:6">
      <c r="A1620" s="29" t="s">
        <v>4450</v>
      </c>
      <c r="B1620" s="53" t="s">
        <v>149</v>
      </c>
      <c r="C1620" s="53" t="s">
        <v>166</v>
      </c>
      <c r="D1620" s="53" t="s">
        <v>151</v>
      </c>
      <c r="E1620" s="32">
        <v>111349.300888065</v>
      </c>
      <c r="F1620" s="53" t="s">
        <v>4073</v>
      </c>
    </row>
    <row r="1621" spans="1:6">
      <c r="A1621" s="29" t="s">
        <v>4450</v>
      </c>
      <c r="B1621" s="53" t="s">
        <v>149</v>
      </c>
      <c r="C1621" s="53" t="s">
        <v>163</v>
      </c>
      <c r="D1621" s="53" t="s">
        <v>164</v>
      </c>
      <c r="E1621" s="32">
        <v>129509.69041951001</v>
      </c>
      <c r="F1621" s="53" t="s">
        <v>4073</v>
      </c>
    </row>
    <row r="1622" spans="1:6">
      <c r="A1622" s="29" t="s">
        <v>4450</v>
      </c>
      <c r="B1622" s="53" t="s">
        <v>149</v>
      </c>
      <c r="C1622" s="53" t="s">
        <v>150</v>
      </c>
      <c r="D1622" s="53" t="s">
        <v>151</v>
      </c>
      <c r="E1622" s="32">
        <v>194085.80968825499</v>
      </c>
      <c r="F1622" s="53" t="s">
        <v>4073</v>
      </c>
    </row>
    <row r="1623" spans="1:6">
      <c r="A1623" s="29" t="s">
        <v>4450</v>
      </c>
      <c r="B1623" s="53" t="s">
        <v>149</v>
      </c>
      <c r="C1623" s="53" t="s">
        <v>156</v>
      </c>
      <c r="D1623" s="53" t="s">
        <v>151</v>
      </c>
      <c r="E1623" s="32">
        <v>16744.497139344199</v>
      </c>
      <c r="F1623" s="53" t="s">
        <v>4073</v>
      </c>
    </row>
    <row r="1624" spans="1:6">
      <c r="A1624" s="29" t="s">
        <v>4450</v>
      </c>
      <c r="B1624" s="53" t="s">
        <v>170</v>
      </c>
      <c r="C1624" s="53" t="s">
        <v>230</v>
      </c>
      <c r="D1624" s="53" t="s">
        <v>172</v>
      </c>
      <c r="E1624" s="32">
        <v>264979.26829268498</v>
      </c>
      <c r="F1624" s="53" t="s">
        <v>4073</v>
      </c>
    </row>
    <row r="1625" spans="1:6">
      <c r="A1625" s="29" t="s">
        <v>4450</v>
      </c>
      <c r="B1625" s="53" t="s">
        <v>170</v>
      </c>
      <c r="C1625" s="53" t="s">
        <v>260</v>
      </c>
      <c r="D1625" s="53" t="s">
        <v>261</v>
      </c>
      <c r="E1625" s="32">
        <v>24430.157645961699</v>
      </c>
      <c r="F1625" s="53" t="s">
        <v>4073</v>
      </c>
    </row>
    <row r="1626" spans="1:6">
      <c r="A1626" s="29" t="s">
        <v>4450</v>
      </c>
      <c r="B1626" s="53" t="s">
        <v>170</v>
      </c>
      <c r="C1626" s="53" t="s">
        <v>4077</v>
      </c>
      <c r="D1626" s="53" t="s">
        <v>226</v>
      </c>
      <c r="E1626" s="32">
        <v>36066.6666666643</v>
      </c>
      <c r="F1626" s="53" t="s">
        <v>4073</v>
      </c>
    </row>
    <row r="1627" spans="1:6">
      <c r="A1627" s="29" t="s">
        <v>4450</v>
      </c>
      <c r="B1627" s="53" t="s">
        <v>170</v>
      </c>
      <c r="C1627" s="53" t="s">
        <v>238</v>
      </c>
      <c r="D1627" s="53" t="s">
        <v>239</v>
      </c>
      <c r="E1627" s="32">
        <v>29062.313127203699</v>
      </c>
      <c r="F1627" s="53" t="s">
        <v>4073</v>
      </c>
    </row>
    <row r="1628" spans="1:6">
      <c r="A1628" s="29" t="s">
        <v>4450</v>
      </c>
      <c r="B1628" s="53" t="s">
        <v>170</v>
      </c>
      <c r="C1628" s="53" t="s">
        <v>309</v>
      </c>
      <c r="D1628" s="53" t="s">
        <v>4078</v>
      </c>
      <c r="E1628" s="32">
        <v>78080.853020496797</v>
      </c>
      <c r="F1628" s="53" t="s">
        <v>4073</v>
      </c>
    </row>
    <row r="1629" spans="1:6">
      <c r="A1629" s="29" t="s">
        <v>4450</v>
      </c>
      <c r="B1629" s="53" t="s">
        <v>170</v>
      </c>
      <c r="C1629" s="53" t="s">
        <v>295</v>
      </c>
      <c r="D1629" s="53" t="s">
        <v>261</v>
      </c>
      <c r="E1629" s="32">
        <v>28069.2528790006</v>
      </c>
      <c r="F1629" s="53" t="s">
        <v>4073</v>
      </c>
    </row>
    <row r="1630" spans="1:6">
      <c r="A1630" s="29" t="s">
        <v>4450</v>
      </c>
      <c r="B1630" s="53" t="s">
        <v>249</v>
      </c>
      <c r="C1630" s="53" t="s">
        <v>4113</v>
      </c>
      <c r="D1630" s="53" t="s">
        <v>172</v>
      </c>
      <c r="E1630" s="32">
        <v>65237.675085954303</v>
      </c>
      <c r="F1630" s="53" t="s">
        <v>4073</v>
      </c>
    </row>
    <row r="1631" spans="1:6">
      <c r="A1631" s="29" t="s">
        <v>4450</v>
      </c>
      <c r="B1631" s="53" t="s">
        <v>249</v>
      </c>
      <c r="C1631" s="53" t="s">
        <v>4128</v>
      </c>
      <c r="D1631" s="53" t="s">
        <v>226</v>
      </c>
      <c r="E1631" s="32">
        <v>75352.251700679597</v>
      </c>
      <c r="F1631" s="53" t="s">
        <v>4073</v>
      </c>
    </row>
    <row r="1632" spans="1:6">
      <c r="A1632" s="29" t="s">
        <v>4450</v>
      </c>
      <c r="B1632" s="53" t="s">
        <v>249</v>
      </c>
      <c r="C1632" s="53" t="s">
        <v>4129</v>
      </c>
      <c r="D1632" s="53" t="s">
        <v>172</v>
      </c>
      <c r="E1632" s="32">
        <v>231699.04787282189</v>
      </c>
      <c r="F1632" s="53" t="s">
        <v>4073</v>
      </c>
    </row>
    <row r="1633" spans="1:6">
      <c r="A1633" s="29" t="s">
        <v>4450</v>
      </c>
      <c r="B1633" s="53" t="s">
        <v>249</v>
      </c>
      <c r="C1633" s="53" t="s">
        <v>4130</v>
      </c>
      <c r="D1633" s="53" t="s">
        <v>172</v>
      </c>
      <c r="E1633" s="32">
        <v>30409.090909090901</v>
      </c>
      <c r="F1633" s="53" t="s">
        <v>4073</v>
      </c>
    </row>
    <row r="1634" spans="1:6">
      <c r="A1634" s="29" t="s">
        <v>4450</v>
      </c>
      <c r="B1634" s="53" t="s">
        <v>249</v>
      </c>
      <c r="C1634" s="53" t="s">
        <v>4131</v>
      </c>
      <c r="D1634" s="53" t="s">
        <v>172</v>
      </c>
      <c r="E1634" s="32">
        <v>126785.714285714</v>
      </c>
      <c r="F1634" s="53" t="s">
        <v>4073</v>
      </c>
    </row>
    <row r="1635" spans="1:6">
      <c r="A1635" s="29" t="s">
        <v>4450</v>
      </c>
      <c r="B1635" s="53" t="s">
        <v>249</v>
      </c>
      <c r="C1635" s="53" t="s">
        <v>316</v>
      </c>
      <c r="D1635" s="53" t="s">
        <v>172</v>
      </c>
      <c r="E1635" s="32">
        <v>46378.174603168998</v>
      </c>
      <c r="F1635" s="53" t="s">
        <v>4073</v>
      </c>
    </row>
    <row r="1636" spans="1:6">
      <c r="A1636" s="29" t="s">
        <v>4450</v>
      </c>
      <c r="B1636" s="53" t="s">
        <v>249</v>
      </c>
      <c r="C1636" s="53" t="s">
        <v>4132</v>
      </c>
      <c r="D1636" s="53" t="s">
        <v>172</v>
      </c>
      <c r="E1636" s="32">
        <v>46031.944444449997</v>
      </c>
      <c r="F1636" s="53" t="s">
        <v>4073</v>
      </c>
    </row>
    <row r="1637" spans="1:6">
      <c r="A1637" s="29" t="s">
        <v>4450</v>
      </c>
      <c r="B1637" s="53" t="s">
        <v>249</v>
      </c>
      <c r="C1637" s="53" t="s">
        <v>4133</v>
      </c>
      <c r="D1637" s="53" t="s">
        <v>172</v>
      </c>
      <c r="E1637" s="32">
        <v>57912.060126068201</v>
      </c>
      <c r="F1637" s="53" t="s">
        <v>4073</v>
      </c>
    </row>
    <row r="1638" spans="1:6">
      <c r="A1638" s="29" t="s">
        <v>4450</v>
      </c>
      <c r="B1638" s="53" t="s">
        <v>249</v>
      </c>
      <c r="C1638" s="53" t="s">
        <v>4116</v>
      </c>
      <c r="D1638" s="53" t="s">
        <v>172</v>
      </c>
      <c r="E1638" s="32">
        <v>149732.64864864899</v>
      </c>
      <c r="F1638" s="53" t="s">
        <v>4073</v>
      </c>
    </row>
    <row r="1639" spans="1:6">
      <c r="A1639" s="29" t="s">
        <v>4450</v>
      </c>
      <c r="B1639" s="53" t="s">
        <v>249</v>
      </c>
      <c r="C1639" s="53" t="s">
        <v>4134</v>
      </c>
      <c r="D1639" s="53" t="s">
        <v>172</v>
      </c>
      <c r="E1639" s="32">
        <v>147711.87105263601</v>
      </c>
      <c r="F1639" s="53" t="s">
        <v>4073</v>
      </c>
    </row>
    <row r="1640" spans="1:6">
      <c r="A1640" s="29" t="s">
        <v>4450</v>
      </c>
      <c r="B1640" s="53" t="s">
        <v>249</v>
      </c>
      <c r="C1640" s="53" t="s">
        <v>4135</v>
      </c>
      <c r="D1640" s="53" t="s">
        <v>226</v>
      </c>
      <c r="E1640" s="32">
        <v>76550</v>
      </c>
      <c r="F1640" s="53" t="s">
        <v>4073</v>
      </c>
    </row>
    <row r="1641" spans="1:6">
      <c r="A1641" s="29" t="s">
        <v>4450</v>
      </c>
      <c r="B1641" s="53" t="s">
        <v>249</v>
      </c>
      <c r="C1641" s="53" t="s">
        <v>4136</v>
      </c>
      <c r="D1641" s="53" t="s">
        <v>226</v>
      </c>
      <c r="E1641" s="32">
        <v>104990</v>
      </c>
      <c r="F1641" s="53" t="s">
        <v>4073</v>
      </c>
    </row>
    <row r="1642" spans="1:6">
      <c r="A1642" s="29" t="s">
        <v>4450</v>
      </c>
      <c r="B1642" s="53" t="s">
        <v>249</v>
      </c>
      <c r="C1642" s="53" t="s">
        <v>4137</v>
      </c>
      <c r="D1642" s="53" t="s">
        <v>4142</v>
      </c>
      <c r="E1642" s="32">
        <v>53773.611111108301</v>
      </c>
      <c r="F1642" s="53" t="s">
        <v>4073</v>
      </c>
    </row>
    <row r="1643" spans="1:6">
      <c r="A1643" s="29" t="s">
        <v>4450</v>
      </c>
      <c r="B1643" s="53" t="s">
        <v>249</v>
      </c>
      <c r="C1643" s="53" t="s">
        <v>4138</v>
      </c>
      <c r="D1643" s="53" t="s">
        <v>4142</v>
      </c>
      <c r="E1643" s="32">
        <v>89555.040650399998</v>
      </c>
      <c r="F1643" s="53" t="s">
        <v>4073</v>
      </c>
    </row>
    <row r="1644" spans="1:6">
      <c r="A1644" s="29" t="s">
        <v>4450</v>
      </c>
      <c r="B1644" s="53" t="s">
        <v>249</v>
      </c>
      <c r="C1644" s="53" t="s">
        <v>4139</v>
      </c>
      <c r="D1644" s="53" t="s">
        <v>4142</v>
      </c>
      <c r="E1644" s="32">
        <v>44212.121212127298</v>
      </c>
      <c r="F1644" s="53" t="s">
        <v>4073</v>
      </c>
    </row>
    <row r="1645" spans="1:6">
      <c r="A1645" s="29" t="s">
        <v>4450</v>
      </c>
      <c r="B1645" s="53" t="s">
        <v>249</v>
      </c>
      <c r="C1645" s="53" t="s">
        <v>4140</v>
      </c>
      <c r="D1645" s="53" t="s">
        <v>4142</v>
      </c>
      <c r="E1645" s="32">
        <v>49487.800768815599</v>
      </c>
      <c r="F1645" s="53" t="s">
        <v>4073</v>
      </c>
    </row>
    <row r="1646" spans="1:6">
      <c r="A1646" s="29" t="s">
        <v>4450</v>
      </c>
      <c r="B1646" s="53" t="s">
        <v>249</v>
      </c>
      <c r="C1646" s="53" t="s">
        <v>4141</v>
      </c>
      <c r="D1646" s="53" t="s">
        <v>4142</v>
      </c>
      <c r="E1646" s="32">
        <v>45014.916003855302</v>
      </c>
      <c r="F1646" s="53" t="s">
        <v>4073</v>
      </c>
    </row>
    <row r="1647" spans="1:6">
      <c r="A1647" s="29" t="s">
        <v>4450</v>
      </c>
      <c r="B1647" s="53" t="s">
        <v>180</v>
      </c>
      <c r="C1647" s="53" t="s">
        <v>241</v>
      </c>
      <c r="D1647" s="53" t="s">
        <v>4224</v>
      </c>
      <c r="E1647" s="32">
        <v>27783.1738609079</v>
      </c>
      <c r="F1647" s="53" t="s">
        <v>4073</v>
      </c>
    </row>
    <row r="1648" spans="1:6">
      <c r="A1648" s="29" t="s">
        <v>4450</v>
      </c>
      <c r="B1648" s="53" t="s">
        <v>180</v>
      </c>
      <c r="C1648" s="53" t="s">
        <v>4114</v>
      </c>
      <c r="D1648" s="53" t="s">
        <v>172</v>
      </c>
      <c r="E1648" s="32">
        <v>26303.824059353399</v>
      </c>
      <c r="F1648" s="53" t="s">
        <v>4073</v>
      </c>
    </row>
    <row r="1649" spans="1:6">
      <c r="A1649" s="29" t="s">
        <v>4450</v>
      </c>
      <c r="B1649" s="53" t="s">
        <v>249</v>
      </c>
      <c r="C1649" s="53" t="s">
        <v>4226</v>
      </c>
      <c r="D1649" s="53" t="s">
        <v>4225</v>
      </c>
      <c r="E1649" s="32">
        <v>60000</v>
      </c>
      <c r="F1649" s="53" t="s">
        <v>4073</v>
      </c>
    </row>
    <row r="1650" spans="1:6">
      <c r="A1650" s="29" t="s">
        <v>4450</v>
      </c>
      <c r="B1650" s="53" t="s">
        <v>149</v>
      </c>
      <c r="C1650" s="53" t="s">
        <v>159</v>
      </c>
      <c r="D1650" s="53" t="s">
        <v>4228</v>
      </c>
      <c r="E1650" s="32">
        <v>11457.9436403694</v>
      </c>
      <c r="F1650" s="53" t="s">
        <v>4073</v>
      </c>
    </row>
    <row r="1651" spans="1:6">
      <c r="A1651" s="29" t="s">
        <v>4450</v>
      </c>
      <c r="B1651" s="53" t="s">
        <v>176</v>
      </c>
      <c r="C1651" s="53" t="s">
        <v>4145</v>
      </c>
      <c r="D1651" s="53" t="s">
        <v>172</v>
      </c>
      <c r="E1651" s="32">
        <v>19889.1857318574</v>
      </c>
      <c r="F1651" s="53" t="s">
        <v>4073</v>
      </c>
    </row>
    <row r="1652" spans="1:6">
      <c r="A1652" s="29" t="s">
        <v>4450</v>
      </c>
      <c r="B1652" s="53" t="s">
        <v>176</v>
      </c>
      <c r="C1652" s="53" t="s">
        <v>4112</v>
      </c>
      <c r="D1652" s="53" t="s">
        <v>226</v>
      </c>
      <c r="E1652" s="32">
        <v>28373.316498316399</v>
      </c>
      <c r="F1652" s="53" t="s">
        <v>4073</v>
      </c>
    </row>
    <row r="1653" spans="1:6">
      <c r="A1653" s="29" t="s">
        <v>4451</v>
      </c>
      <c r="B1653" s="53" t="s">
        <v>4072</v>
      </c>
      <c r="C1653" s="53" t="s">
        <v>316</v>
      </c>
      <c r="D1653" s="53" t="s">
        <v>172</v>
      </c>
      <c r="E1653" s="32">
        <v>46387.828400000006</v>
      </c>
      <c r="F1653" s="53" t="s">
        <v>4073</v>
      </c>
    </row>
    <row r="1654" spans="1:6">
      <c r="A1654" s="29" t="s">
        <v>4451</v>
      </c>
      <c r="B1654" s="53" t="s">
        <v>137</v>
      </c>
      <c r="C1654" s="53" t="s">
        <v>291</v>
      </c>
      <c r="D1654" s="53" t="s">
        <v>172</v>
      </c>
      <c r="E1654" s="32">
        <v>22409.406399999993</v>
      </c>
      <c r="F1654" s="53" t="s">
        <v>4073</v>
      </c>
    </row>
    <row r="1655" spans="1:6">
      <c r="A1655" s="29" t="s">
        <v>4451</v>
      </c>
      <c r="B1655" s="53" t="s">
        <v>137</v>
      </c>
      <c r="C1655" s="53" t="s">
        <v>243</v>
      </c>
      <c r="D1655" s="53" t="s">
        <v>172</v>
      </c>
      <c r="E1655" s="32">
        <v>22007.386799999993</v>
      </c>
      <c r="F1655" s="53" t="s">
        <v>4073</v>
      </c>
    </row>
    <row r="1656" spans="1:6">
      <c r="A1656" s="29" t="s">
        <v>4451</v>
      </c>
      <c r="B1656" s="53" t="s">
        <v>137</v>
      </c>
      <c r="C1656" s="53" t="s">
        <v>237</v>
      </c>
      <c r="D1656" s="53" t="s">
        <v>172</v>
      </c>
      <c r="E1656" s="32">
        <v>29374.792000000005</v>
      </c>
      <c r="F1656" s="53" t="s">
        <v>4073</v>
      </c>
    </row>
    <row r="1657" spans="1:6">
      <c r="A1657" s="29" t="s">
        <v>4451</v>
      </c>
      <c r="B1657" s="53" t="s">
        <v>137</v>
      </c>
      <c r="C1657" s="53" t="s">
        <v>246</v>
      </c>
      <c r="D1657" s="53" t="s">
        <v>172</v>
      </c>
      <c r="E1657" s="32">
        <v>64582.942800000012</v>
      </c>
      <c r="F1657" s="53" t="s">
        <v>4073</v>
      </c>
    </row>
    <row r="1658" spans="1:6">
      <c r="A1658" s="29" t="s">
        <v>4451</v>
      </c>
      <c r="B1658" s="53" t="s">
        <v>170</v>
      </c>
      <c r="C1658" s="53" t="s">
        <v>259</v>
      </c>
      <c r="D1658" s="53" t="s">
        <v>172</v>
      </c>
      <c r="E1658" s="32">
        <v>285555.81759999995</v>
      </c>
      <c r="F1658" s="53" t="s">
        <v>4073</v>
      </c>
    </row>
    <row r="1659" spans="1:6">
      <c r="A1659" s="29" t="s">
        <v>4451</v>
      </c>
      <c r="B1659" s="53" t="s">
        <v>170</v>
      </c>
      <c r="C1659" s="53" t="s">
        <v>276</v>
      </c>
      <c r="D1659" s="53" t="s">
        <v>172</v>
      </c>
      <c r="E1659" s="32">
        <v>83725.821599999981</v>
      </c>
      <c r="F1659" s="53" t="s">
        <v>4073</v>
      </c>
    </row>
    <row r="1660" spans="1:6">
      <c r="A1660" s="29" t="s">
        <v>4451</v>
      </c>
      <c r="B1660" s="53" t="s">
        <v>170</v>
      </c>
      <c r="C1660" s="53" t="s">
        <v>240</v>
      </c>
      <c r="D1660" s="53" t="s">
        <v>172</v>
      </c>
      <c r="E1660" s="32">
        <v>23874.191600000002</v>
      </c>
      <c r="F1660" s="53" t="s">
        <v>4073</v>
      </c>
    </row>
    <row r="1661" spans="1:6">
      <c r="A1661" s="29" t="s">
        <v>4451</v>
      </c>
      <c r="B1661" s="53" t="s">
        <v>170</v>
      </c>
      <c r="C1661" s="53" t="s">
        <v>251</v>
      </c>
      <c r="D1661" s="53" t="s">
        <v>226</v>
      </c>
      <c r="E1661" s="32">
        <v>61429.978000000025</v>
      </c>
      <c r="F1661" s="53" t="s">
        <v>4073</v>
      </c>
    </row>
    <row r="1662" spans="1:6">
      <c r="A1662" s="29" t="s">
        <v>4451</v>
      </c>
      <c r="B1662" s="53" t="s">
        <v>170</v>
      </c>
      <c r="C1662" s="53" t="s">
        <v>256</v>
      </c>
      <c r="D1662" s="53" t="s">
        <v>172</v>
      </c>
      <c r="E1662" s="32">
        <v>29745.087199999998</v>
      </c>
      <c r="F1662" s="53" t="s">
        <v>4073</v>
      </c>
    </row>
    <row r="1663" spans="1:6">
      <c r="A1663" s="29" t="s">
        <v>4451</v>
      </c>
      <c r="B1663" s="53" t="s">
        <v>170</v>
      </c>
      <c r="C1663" s="53" t="s">
        <v>311</v>
      </c>
      <c r="D1663" s="53" t="s">
        <v>172</v>
      </c>
      <c r="E1663" s="32">
        <v>41426.639600000002</v>
      </c>
      <c r="F1663" s="53" t="s">
        <v>4073</v>
      </c>
    </row>
    <row r="1664" spans="1:6">
      <c r="A1664" s="29" t="s">
        <v>4451</v>
      </c>
      <c r="B1664" s="53" t="s">
        <v>170</v>
      </c>
      <c r="C1664" s="53" t="s">
        <v>171</v>
      </c>
      <c r="D1664" s="53" t="s">
        <v>172</v>
      </c>
      <c r="E1664" s="32">
        <v>116939.79520000004</v>
      </c>
      <c r="F1664" s="53" t="s">
        <v>4073</v>
      </c>
    </row>
    <row r="1665" spans="1:6">
      <c r="A1665" s="29" t="s">
        <v>4451</v>
      </c>
      <c r="B1665" s="53" t="s">
        <v>170</v>
      </c>
      <c r="C1665" s="53" t="s">
        <v>252</v>
      </c>
      <c r="D1665" s="53" t="s">
        <v>226</v>
      </c>
      <c r="E1665" s="32">
        <v>22361.542799999999</v>
      </c>
      <c r="F1665" s="53" t="s">
        <v>4073</v>
      </c>
    </row>
    <row r="1666" spans="1:6">
      <c r="A1666" s="29" t="s">
        <v>4451</v>
      </c>
      <c r="B1666" s="53" t="s">
        <v>170</v>
      </c>
      <c r="C1666" s="53" t="s">
        <v>296</v>
      </c>
      <c r="D1666" s="53" t="s">
        <v>226</v>
      </c>
      <c r="E1666" s="32">
        <v>23396.366799999996</v>
      </c>
      <c r="F1666" s="53" t="s">
        <v>4073</v>
      </c>
    </row>
    <row r="1667" spans="1:6">
      <c r="A1667" s="29" t="s">
        <v>4451</v>
      </c>
      <c r="B1667" s="53" t="s">
        <v>170</v>
      </c>
      <c r="C1667" s="53" t="s">
        <v>173</v>
      </c>
      <c r="D1667" s="53" t="s">
        <v>172</v>
      </c>
      <c r="E1667" s="32">
        <v>154594.29680000001</v>
      </c>
      <c r="F1667" s="53" t="s">
        <v>4073</v>
      </c>
    </row>
    <row r="1668" spans="1:6">
      <c r="A1668" s="29" t="s">
        <v>4451</v>
      </c>
      <c r="B1668" s="53" t="s">
        <v>170</v>
      </c>
      <c r="C1668" s="53" t="s">
        <v>225</v>
      </c>
      <c r="D1668" s="53" t="s">
        <v>226</v>
      </c>
      <c r="E1668" s="32">
        <v>38341.271999999997</v>
      </c>
      <c r="F1668" s="53" t="s">
        <v>4073</v>
      </c>
    </row>
    <row r="1669" spans="1:6">
      <c r="A1669" s="29" t="s">
        <v>4451</v>
      </c>
      <c r="B1669" s="53" t="s">
        <v>176</v>
      </c>
      <c r="C1669" s="53" t="s">
        <v>262</v>
      </c>
      <c r="D1669" s="53" t="s">
        <v>172</v>
      </c>
      <c r="E1669" s="32">
        <v>18780.797600000002</v>
      </c>
      <c r="F1669" s="53" t="s">
        <v>4073</v>
      </c>
    </row>
    <row r="1670" spans="1:6">
      <c r="A1670" s="29" t="s">
        <v>4451</v>
      </c>
      <c r="B1670" s="53" t="s">
        <v>176</v>
      </c>
      <c r="C1670" s="53" t="s">
        <v>253</v>
      </c>
      <c r="D1670" s="53" t="s">
        <v>172</v>
      </c>
      <c r="E1670" s="32">
        <v>24883.984799999998</v>
      </c>
      <c r="F1670" s="53" t="s">
        <v>4073</v>
      </c>
    </row>
    <row r="1671" spans="1:6">
      <c r="A1671" s="29" t="s">
        <v>4451</v>
      </c>
      <c r="B1671" s="53" t="s">
        <v>176</v>
      </c>
      <c r="C1671" s="53" t="s">
        <v>177</v>
      </c>
      <c r="D1671" s="53" t="s">
        <v>172</v>
      </c>
      <c r="E1671" s="32">
        <v>20616.596400000002</v>
      </c>
      <c r="F1671" s="53" t="s">
        <v>4073</v>
      </c>
    </row>
    <row r="1672" spans="1:6">
      <c r="A1672" s="29" t="s">
        <v>4451</v>
      </c>
      <c r="B1672" s="53" t="s">
        <v>176</v>
      </c>
      <c r="C1672" s="53" t="s">
        <v>231</v>
      </c>
      <c r="D1672" s="53" t="s">
        <v>172</v>
      </c>
      <c r="E1672" s="32">
        <v>23006.322</v>
      </c>
      <c r="F1672" s="53" t="s">
        <v>4073</v>
      </c>
    </row>
    <row r="1673" spans="1:6">
      <c r="A1673" s="29" t="s">
        <v>4451</v>
      </c>
      <c r="B1673" s="53" t="s">
        <v>180</v>
      </c>
      <c r="C1673" s="53" t="s">
        <v>181</v>
      </c>
      <c r="D1673" s="53" t="s">
        <v>172</v>
      </c>
      <c r="E1673" s="32">
        <v>33952.416799999999</v>
      </c>
      <c r="F1673" s="53" t="s">
        <v>4073</v>
      </c>
    </row>
    <row r="1674" spans="1:6">
      <c r="A1674" s="29" t="s">
        <v>4451</v>
      </c>
      <c r="B1674" s="53" t="s">
        <v>180</v>
      </c>
      <c r="C1674" s="53" t="s">
        <v>263</v>
      </c>
      <c r="D1674" s="53" t="s">
        <v>172</v>
      </c>
      <c r="E1674" s="32">
        <v>202969.3468</v>
      </c>
      <c r="F1674" s="53" t="s">
        <v>4073</v>
      </c>
    </row>
    <row r="1675" spans="1:6">
      <c r="A1675" s="29" t="s">
        <v>4451</v>
      </c>
      <c r="B1675" s="53" t="s">
        <v>180</v>
      </c>
      <c r="C1675" s="53" t="s">
        <v>277</v>
      </c>
      <c r="D1675" s="53" t="s">
        <v>172</v>
      </c>
      <c r="E1675" s="32">
        <v>89754.48400000004</v>
      </c>
      <c r="F1675" s="53" t="s">
        <v>4073</v>
      </c>
    </row>
    <row r="1676" spans="1:6">
      <c r="A1676" s="29" t="s">
        <v>4451</v>
      </c>
      <c r="B1676" s="53" t="s">
        <v>180</v>
      </c>
      <c r="C1676" s="53" t="s">
        <v>300</v>
      </c>
      <c r="D1676" s="53" t="s">
        <v>172</v>
      </c>
      <c r="E1676" s="32">
        <v>66716.690000000031</v>
      </c>
      <c r="F1676" s="53" t="s">
        <v>4073</v>
      </c>
    </row>
    <row r="1677" spans="1:6">
      <c r="A1677" s="29" t="s">
        <v>4451</v>
      </c>
      <c r="B1677" s="53" t="s">
        <v>180</v>
      </c>
      <c r="C1677" s="53" t="s">
        <v>242</v>
      </c>
      <c r="D1677" s="53" t="s">
        <v>172</v>
      </c>
      <c r="E1677" s="32">
        <v>30307.581600000012</v>
      </c>
      <c r="F1677" s="53" t="s">
        <v>4073</v>
      </c>
    </row>
    <row r="1678" spans="1:6">
      <c r="A1678" s="29" t="s">
        <v>4451</v>
      </c>
      <c r="B1678" s="53" t="s">
        <v>180</v>
      </c>
      <c r="C1678" s="53" t="s">
        <v>254</v>
      </c>
      <c r="D1678" s="53" t="s">
        <v>172</v>
      </c>
      <c r="E1678" s="32">
        <v>147237.70040000003</v>
      </c>
      <c r="F1678" s="53" t="s">
        <v>4073</v>
      </c>
    </row>
    <row r="1679" spans="1:6">
      <c r="A1679" s="29" t="s">
        <v>4451</v>
      </c>
      <c r="B1679" s="53" t="s">
        <v>180</v>
      </c>
      <c r="C1679" s="53" t="s">
        <v>305</v>
      </c>
      <c r="D1679" s="53" t="s">
        <v>172</v>
      </c>
      <c r="E1679" s="32">
        <v>72706.093999999983</v>
      </c>
      <c r="F1679" s="53" t="s">
        <v>4073</v>
      </c>
    </row>
    <row r="1680" spans="1:6">
      <c r="A1680" s="29" t="s">
        <v>4451</v>
      </c>
      <c r="B1680" s="53" t="s">
        <v>180</v>
      </c>
      <c r="C1680" s="53" t="s">
        <v>297</v>
      </c>
      <c r="D1680" s="53" t="s">
        <v>172</v>
      </c>
      <c r="E1680" s="32">
        <v>149784.73479999992</v>
      </c>
      <c r="F1680" s="53" t="s">
        <v>4073</v>
      </c>
    </row>
    <row r="1681" spans="1:6">
      <c r="A1681" s="29" t="s">
        <v>4451</v>
      </c>
      <c r="B1681" s="53" t="s">
        <v>180</v>
      </c>
      <c r="C1681" s="53" t="s">
        <v>314</v>
      </c>
      <c r="D1681" s="53" t="s">
        <v>172</v>
      </c>
      <c r="E1681" s="32">
        <v>28347.801600000006</v>
      </c>
      <c r="F1681" s="53" t="s">
        <v>4073</v>
      </c>
    </row>
    <row r="1682" spans="1:6">
      <c r="A1682" s="29" t="s">
        <v>4451</v>
      </c>
      <c r="B1682" s="53" t="s">
        <v>180</v>
      </c>
      <c r="C1682" s="53" t="s">
        <v>182</v>
      </c>
      <c r="D1682" s="53" t="s">
        <v>172</v>
      </c>
      <c r="E1682" s="32">
        <v>151398.94919999997</v>
      </c>
      <c r="F1682" s="53" t="s">
        <v>4073</v>
      </c>
    </row>
    <row r="1683" spans="1:6">
      <c r="A1683" s="29" t="s">
        <v>4451</v>
      </c>
      <c r="B1683" s="53" t="s">
        <v>149</v>
      </c>
      <c r="C1683" s="53" t="s">
        <v>4110</v>
      </c>
      <c r="D1683" s="53" t="s">
        <v>151</v>
      </c>
      <c r="E1683" s="32">
        <v>127882.97797722</v>
      </c>
      <c r="F1683" s="53" t="s">
        <v>4073</v>
      </c>
    </row>
    <row r="1684" spans="1:6">
      <c r="A1684" s="29" t="s">
        <v>4451</v>
      </c>
      <c r="B1684" s="53" t="s">
        <v>149</v>
      </c>
      <c r="C1684" s="53" t="s">
        <v>166</v>
      </c>
      <c r="D1684" s="53" t="s">
        <v>151</v>
      </c>
      <c r="E1684" s="32">
        <v>111349.300888065</v>
      </c>
      <c r="F1684" s="53" t="s">
        <v>4073</v>
      </c>
    </row>
    <row r="1685" spans="1:6">
      <c r="A1685" s="29" t="s">
        <v>4451</v>
      </c>
      <c r="B1685" s="53" t="s">
        <v>149</v>
      </c>
      <c r="C1685" s="53" t="s">
        <v>163</v>
      </c>
      <c r="D1685" s="53" t="s">
        <v>164</v>
      </c>
      <c r="E1685" s="32">
        <v>129509.69041951001</v>
      </c>
      <c r="F1685" s="53" t="s">
        <v>4073</v>
      </c>
    </row>
    <row r="1686" spans="1:6">
      <c r="A1686" s="29" t="s">
        <v>4451</v>
      </c>
      <c r="B1686" s="53" t="s">
        <v>149</v>
      </c>
      <c r="C1686" s="53" t="s">
        <v>150</v>
      </c>
      <c r="D1686" s="53" t="s">
        <v>151</v>
      </c>
      <c r="E1686" s="32">
        <v>194085.80968825499</v>
      </c>
      <c r="F1686" s="53" t="s">
        <v>4073</v>
      </c>
    </row>
    <row r="1687" spans="1:6">
      <c r="A1687" s="29" t="s">
        <v>4451</v>
      </c>
      <c r="B1687" s="53" t="s">
        <v>149</v>
      </c>
      <c r="C1687" s="53" t="s">
        <v>156</v>
      </c>
      <c r="D1687" s="53" t="s">
        <v>151</v>
      </c>
      <c r="E1687" s="32">
        <v>16744.497139344199</v>
      </c>
      <c r="F1687" s="53" t="s">
        <v>4073</v>
      </c>
    </row>
    <row r="1688" spans="1:6">
      <c r="A1688" s="29" t="s">
        <v>4451</v>
      </c>
      <c r="B1688" s="53" t="s">
        <v>170</v>
      </c>
      <c r="C1688" s="53" t="s">
        <v>230</v>
      </c>
      <c r="D1688" s="53" t="s">
        <v>172</v>
      </c>
      <c r="E1688" s="32">
        <v>264979.26829268498</v>
      </c>
      <c r="F1688" s="53" t="s">
        <v>4073</v>
      </c>
    </row>
    <row r="1689" spans="1:6">
      <c r="A1689" s="29" t="s">
        <v>4451</v>
      </c>
      <c r="B1689" s="53" t="s">
        <v>170</v>
      </c>
      <c r="C1689" s="53" t="s">
        <v>260</v>
      </c>
      <c r="D1689" s="53" t="s">
        <v>261</v>
      </c>
      <c r="E1689" s="32">
        <v>24430.157645961699</v>
      </c>
      <c r="F1689" s="53" t="s">
        <v>4073</v>
      </c>
    </row>
    <row r="1690" spans="1:6">
      <c r="A1690" s="29" t="s">
        <v>4451</v>
      </c>
      <c r="B1690" s="53" t="s">
        <v>170</v>
      </c>
      <c r="C1690" s="53" t="s">
        <v>4077</v>
      </c>
      <c r="D1690" s="53" t="s">
        <v>226</v>
      </c>
      <c r="E1690" s="32">
        <v>36066.6666666643</v>
      </c>
      <c r="F1690" s="53" t="s">
        <v>4073</v>
      </c>
    </row>
    <row r="1691" spans="1:6">
      <c r="A1691" s="29" t="s">
        <v>4451</v>
      </c>
      <c r="B1691" s="53" t="s">
        <v>170</v>
      </c>
      <c r="C1691" s="53" t="s">
        <v>238</v>
      </c>
      <c r="D1691" s="53" t="s">
        <v>239</v>
      </c>
      <c r="E1691" s="32">
        <v>29062.313127203699</v>
      </c>
      <c r="F1691" s="53" t="s">
        <v>4073</v>
      </c>
    </row>
    <row r="1692" spans="1:6">
      <c r="A1692" s="29" t="s">
        <v>4451</v>
      </c>
      <c r="B1692" s="53" t="s">
        <v>170</v>
      </c>
      <c r="C1692" s="53" t="s">
        <v>309</v>
      </c>
      <c r="D1692" s="53" t="s">
        <v>4078</v>
      </c>
      <c r="E1692" s="32">
        <v>78080.853020496797</v>
      </c>
      <c r="F1692" s="53" t="s">
        <v>4073</v>
      </c>
    </row>
    <row r="1693" spans="1:6">
      <c r="A1693" s="29" t="s">
        <v>4451</v>
      </c>
      <c r="B1693" s="53" t="s">
        <v>170</v>
      </c>
      <c r="C1693" s="53" t="s">
        <v>295</v>
      </c>
      <c r="D1693" s="53" t="s">
        <v>261</v>
      </c>
      <c r="E1693" s="32">
        <v>28069.2528790006</v>
      </c>
      <c r="F1693" s="53" t="s">
        <v>4073</v>
      </c>
    </row>
    <row r="1694" spans="1:6">
      <c r="A1694" s="29" t="s">
        <v>4451</v>
      </c>
      <c r="B1694" s="53" t="s">
        <v>249</v>
      </c>
      <c r="C1694" s="53" t="s">
        <v>4113</v>
      </c>
      <c r="D1694" s="53" t="s">
        <v>172</v>
      </c>
      <c r="E1694" s="32">
        <v>65237.675085954303</v>
      </c>
      <c r="F1694" s="53" t="s">
        <v>4073</v>
      </c>
    </row>
    <row r="1695" spans="1:6">
      <c r="A1695" s="29" t="s">
        <v>4451</v>
      </c>
      <c r="B1695" s="53" t="s">
        <v>249</v>
      </c>
      <c r="C1695" s="53" t="s">
        <v>4128</v>
      </c>
      <c r="D1695" s="53" t="s">
        <v>226</v>
      </c>
      <c r="E1695" s="32">
        <v>75352.251700679597</v>
      </c>
      <c r="F1695" s="53" t="s">
        <v>4073</v>
      </c>
    </row>
    <row r="1696" spans="1:6">
      <c r="A1696" s="29" t="s">
        <v>4451</v>
      </c>
      <c r="B1696" s="53" t="s">
        <v>249</v>
      </c>
      <c r="C1696" s="53" t="s">
        <v>4129</v>
      </c>
      <c r="D1696" s="53" t="s">
        <v>172</v>
      </c>
      <c r="E1696" s="32">
        <v>231699.04787282189</v>
      </c>
      <c r="F1696" s="53" t="s">
        <v>4073</v>
      </c>
    </row>
    <row r="1697" spans="1:6">
      <c r="A1697" s="29" t="s">
        <v>4451</v>
      </c>
      <c r="B1697" s="53" t="s">
        <v>249</v>
      </c>
      <c r="C1697" s="53" t="s">
        <v>4130</v>
      </c>
      <c r="D1697" s="53" t="s">
        <v>172</v>
      </c>
      <c r="E1697" s="32">
        <v>30409.090909090901</v>
      </c>
      <c r="F1697" s="53" t="s">
        <v>4073</v>
      </c>
    </row>
    <row r="1698" spans="1:6">
      <c r="A1698" s="29" t="s">
        <v>4451</v>
      </c>
      <c r="B1698" s="53" t="s">
        <v>249</v>
      </c>
      <c r="C1698" s="53" t="s">
        <v>4131</v>
      </c>
      <c r="D1698" s="53" t="s">
        <v>172</v>
      </c>
      <c r="E1698" s="32">
        <v>126785.714285714</v>
      </c>
      <c r="F1698" s="53" t="s">
        <v>4073</v>
      </c>
    </row>
    <row r="1699" spans="1:6">
      <c r="A1699" s="29" t="s">
        <v>4451</v>
      </c>
      <c r="B1699" s="53" t="s">
        <v>249</v>
      </c>
      <c r="C1699" s="53" t="s">
        <v>316</v>
      </c>
      <c r="D1699" s="53" t="s">
        <v>172</v>
      </c>
      <c r="E1699" s="32">
        <v>46378.174603168998</v>
      </c>
      <c r="F1699" s="53" t="s">
        <v>4073</v>
      </c>
    </row>
    <row r="1700" spans="1:6">
      <c r="A1700" s="29" t="s">
        <v>4451</v>
      </c>
      <c r="B1700" s="53" t="s">
        <v>249</v>
      </c>
      <c r="C1700" s="53" t="s">
        <v>4132</v>
      </c>
      <c r="D1700" s="53" t="s">
        <v>172</v>
      </c>
      <c r="E1700" s="32">
        <v>46031.944444449997</v>
      </c>
      <c r="F1700" s="53" t="s">
        <v>4073</v>
      </c>
    </row>
    <row r="1701" spans="1:6">
      <c r="A1701" s="29" t="s">
        <v>4451</v>
      </c>
      <c r="B1701" s="53" t="s">
        <v>249</v>
      </c>
      <c r="C1701" s="53" t="s">
        <v>4133</v>
      </c>
      <c r="D1701" s="53" t="s">
        <v>172</v>
      </c>
      <c r="E1701" s="32">
        <v>57912.060126068201</v>
      </c>
      <c r="F1701" s="53" t="s">
        <v>4073</v>
      </c>
    </row>
    <row r="1702" spans="1:6">
      <c r="A1702" s="29" t="s">
        <v>4451</v>
      </c>
      <c r="B1702" s="53" t="s">
        <v>249</v>
      </c>
      <c r="C1702" s="53" t="s">
        <v>4116</v>
      </c>
      <c r="D1702" s="53" t="s">
        <v>172</v>
      </c>
      <c r="E1702" s="32">
        <v>149732.64864864899</v>
      </c>
      <c r="F1702" s="53" t="s">
        <v>4073</v>
      </c>
    </row>
    <row r="1703" spans="1:6">
      <c r="A1703" s="29" t="s">
        <v>4451</v>
      </c>
      <c r="B1703" s="53" t="s">
        <v>249</v>
      </c>
      <c r="C1703" s="53" t="s">
        <v>4134</v>
      </c>
      <c r="D1703" s="53" t="s">
        <v>172</v>
      </c>
      <c r="E1703" s="32">
        <v>147711.87105263601</v>
      </c>
      <c r="F1703" s="53" t="s">
        <v>4073</v>
      </c>
    </row>
    <row r="1704" spans="1:6">
      <c r="A1704" s="29" t="s">
        <v>4451</v>
      </c>
      <c r="B1704" s="53" t="s">
        <v>249</v>
      </c>
      <c r="C1704" s="53" t="s">
        <v>4135</v>
      </c>
      <c r="D1704" s="53" t="s">
        <v>226</v>
      </c>
      <c r="E1704" s="32">
        <v>76550</v>
      </c>
      <c r="F1704" s="53" t="s">
        <v>4073</v>
      </c>
    </row>
    <row r="1705" spans="1:6">
      <c r="A1705" s="29" t="s">
        <v>4451</v>
      </c>
      <c r="B1705" s="53" t="s">
        <v>249</v>
      </c>
      <c r="C1705" s="53" t="s">
        <v>4136</v>
      </c>
      <c r="D1705" s="53" t="s">
        <v>226</v>
      </c>
      <c r="E1705" s="32">
        <v>104990</v>
      </c>
      <c r="F1705" s="53" t="s">
        <v>4073</v>
      </c>
    </row>
    <row r="1706" spans="1:6">
      <c r="A1706" s="29" t="s">
        <v>4451</v>
      </c>
      <c r="B1706" s="53" t="s">
        <v>249</v>
      </c>
      <c r="C1706" s="53" t="s">
        <v>4137</v>
      </c>
      <c r="D1706" s="53" t="s">
        <v>4142</v>
      </c>
      <c r="E1706" s="32">
        <v>53773.611111108301</v>
      </c>
      <c r="F1706" s="53" t="s">
        <v>4073</v>
      </c>
    </row>
    <row r="1707" spans="1:6">
      <c r="A1707" s="29" t="s">
        <v>4451</v>
      </c>
      <c r="B1707" s="53" t="s">
        <v>249</v>
      </c>
      <c r="C1707" s="53" t="s">
        <v>4138</v>
      </c>
      <c r="D1707" s="53" t="s">
        <v>4142</v>
      </c>
      <c r="E1707" s="32">
        <v>89555.040650399998</v>
      </c>
      <c r="F1707" s="53" t="s">
        <v>4073</v>
      </c>
    </row>
    <row r="1708" spans="1:6">
      <c r="A1708" s="29" t="s">
        <v>4451</v>
      </c>
      <c r="B1708" s="53" t="s">
        <v>249</v>
      </c>
      <c r="C1708" s="53" t="s">
        <v>4139</v>
      </c>
      <c r="D1708" s="53" t="s">
        <v>4142</v>
      </c>
      <c r="E1708" s="32">
        <v>44212.121212127298</v>
      </c>
      <c r="F1708" s="53" t="s">
        <v>4073</v>
      </c>
    </row>
    <row r="1709" spans="1:6">
      <c r="A1709" s="29" t="s">
        <v>4451</v>
      </c>
      <c r="B1709" s="53" t="s">
        <v>249</v>
      </c>
      <c r="C1709" s="53" t="s">
        <v>4140</v>
      </c>
      <c r="D1709" s="53" t="s">
        <v>4142</v>
      </c>
      <c r="E1709" s="32">
        <v>49487.800768815599</v>
      </c>
      <c r="F1709" s="53" t="s">
        <v>4073</v>
      </c>
    </row>
    <row r="1710" spans="1:6">
      <c r="A1710" s="29" t="s">
        <v>4451</v>
      </c>
      <c r="B1710" s="53" t="s">
        <v>249</v>
      </c>
      <c r="C1710" s="53" t="s">
        <v>4141</v>
      </c>
      <c r="D1710" s="53" t="s">
        <v>4142</v>
      </c>
      <c r="E1710" s="32">
        <v>45014.916003855302</v>
      </c>
      <c r="F1710" s="53" t="s">
        <v>4073</v>
      </c>
    </row>
    <row r="1711" spans="1:6">
      <c r="A1711" s="29" t="s">
        <v>4451</v>
      </c>
      <c r="B1711" s="53" t="s">
        <v>180</v>
      </c>
      <c r="C1711" s="53" t="s">
        <v>241</v>
      </c>
      <c r="D1711" s="53" t="s">
        <v>4224</v>
      </c>
      <c r="E1711" s="32">
        <v>27783.1738609079</v>
      </c>
      <c r="F1711" s="53" t="s">
        <v>4073</v>
      </c>
    </row>
    <row r="1712" spans="1:6">
      <c r="A1712" s="29" t="s">
        <v>4451</v>
      </c>
      <c r="B1712" s="53" t="s">
        <v>180</v>
      </c>
      <c r="C1712" s="53" t="s">
        <v>4114</v>
      </c>
      <c r="D1712" s="53" t="s">
        <v>172</v>
      </c>
      <c r="E1712" s="32">
        <v>26303.824059353399</v>
      </c>
      <c r="F1712" s="53" t="s">
        <v>4073</v>
      </c>
    </row>
    <row r="1713" spans="1:6">
      <c r="A1713" s="29" t="s">
        <v>4451</v>
      </c>
      <c r="B1713" s="53" t="s">
        <v>249</v>
      </c>
      <c r="C1713" s="53" t="s">
        <v>4226</v>
      </c>
      <c r="D1713" s="53" t="s">
        <v>4225</v>
      </c>
      <c r="E1713" s="32">
        <v>60000</v>
      </c>
      <c r="F1713" s="53" t="s">
        <v>4073</v>
      </c>
    </row>
    <row r="1714" spans="1:6">
      <c r="A1714" s="29" t="s">
        <v>4451</v>
      </c>
      <c r="B1714" s="53" t="s">
        <v>149</v>
      </c>
      <c r="C1714" s="53" t="s">
        <v>159</v>
      </c>
      <c r="D1714" s="53" t="s">
        <v>4228</v>
      </c>
      <c r="E1714" s="32">
        <v>11457.9436403694</v>
      </c>
      <c r="F1714" s="53" t="s">
        <v>4073</v>
      </c>
    </row>
    <row r="1715" spans="1:6">
      <c r="A1715" s="29" t="s">
        <v>4451</v>
      </c>
      <c r="B1715" s="53" t="s">
        <v>176</v>
      </c>
      <c r="C1715" s="53" t="s">
        <v>4145</v>
      </c>
      <c r="D1715" s="53" t="s">
        <v>172</v>
      </c>
      <c r="E1715" s="32">
        <v>19889.1857318574</v>
      </c>
      <c r="F1715" s="53" t="s">
        <v>4073</v>
      </c>
    </row>
    <row r="1716" spans="1:6">
      <c r="A1716" s="29" t="s">
        <v>4451</v>
      </c>
      <c r="B1716" s="53" t="s">
        <v>176</v>
      </c>
      <c r="C1716" s="53" t="s">
        <v>4112</v>
      </c>
      <c r="D1716" s="53" t="s">
        <v>226</v>
      </c>
      <c r="E1716" s="32">
        <v>28373.316498316399</v>
      </c>
      <c r="F1716" s="53" t="s">
        <v>4073</v>
      </c>
    </row>
    <row r="1717" spans="1:6">
      <c r="A1717" s="29" t="s">
        <v>4452</v>
      </c>
      <c r="B1717" s="53" t="s">
        <v>4072</v>
      </c>
      <c r="C1717" s="53" t="s">
        <v>316</v>
      </c>
      <c r="D1717" s="53" t="s">
        <v>172</v>
      </c>
      <c r="E1717" s="32">
        <v>46387.828400000006</v>
      </c>
      <c r="F1717" s="53" t="s">
        <v>4073</v>
      </c>
    </row>
    <row r="1718" spans="1:6">
      <c r="A1718" s="29" t="s">
        <v>4452</v>
      </c>
      <c r="B1718" s="53" t="s">
        <v>137</v>
      </c>
      <c r="C1718" s="53" t="s">
        <v>291</v>
      </c>
      <c r="D1718" s="53" t="s">
        <v>172</v>
      </c>
      <c r="E1718" s="32">
        <v>22409.406399999993</v>
      </c>
      <c r="F1718" s="53" t="s">
        <v>4073</v>
      </c>
    </row>
    <row r="1719" spans="1:6">
      <c r="A1719" s="29" t="s">
        <v>4452</v>
      </c>
      <c r="B1719" s="53" t="s">
        <v>137</v>
      </c>
      <c r="C1719" s="53" t="s">
        <v>243</v>
      </c>
      <c r="D1719" s="53" t="s">
        <v>172</v>
      </c>
      <c r="E1719" s="32">
        <v>22007.386799999993</v>
      </c>
      <c r="F1719" s="53" t="s">
        <v>4073</v>
      </c>
    </row>
    <row r="1720" spans="1:6">
      <c r="A1720" s="29" t="s">
        <v>4452</v>
      </c>
      <c r="B1720" s="53" t="s">
        <v>137</v>
      </c>
      <c r="C1720" s="53" t="s">
        <v>237</v>
      </c>
      <c r="D1720" s="53" t="s">
        <v>172</v>
      </c>
      <c r="E1720" s="32">
        <v>29374.792000000005</v>
      </c>
      <c r="F1720" s="53" t="s">
        <v>4073</v>
      </c>
    </row>
    <row r="1721" spans="1:6">
      <c r="A1721" s="29" t="s">
        <v>4452</v>
      </c>
      <c r="B1721" s="53" t="s">
        <v>137</v>
      </c>
      <c r="C1721" s="53" t="s">
        <v>246</v>
      </c>
      <c r="D1721" s="53" t="s">
        <v>172</v>
      </c>
      <c r="E1721" s="32">
        <v>64582.942800000012</v>
      </c>
      <c r="F1721" s="53" t="s">
        <v>4073</v>
      </c>
    </row>
    <row r="1722" spans="1:6">
      <c r="A1722" s="29" t="s">
        <v>4452</v>
      </c>
      <c r="B1722" s="53" t="s">
        <v>170</v>
      </c>
      <c r="C1722" s="53" t="s">
        <v>259</v>
      </c>
      <c r="D1722" s="53" t="s">
        <v>172</v>
      </c>
      <c r="E1722" s="32">
        <v>285555.81759999995</v>
      </c>
      <c r="F1722" s="53" t="s">
        <v>4073</v>
      </c>
    </row>
    <row r="1723" spans="1:6">
      <c r="A1723" s="29" t="s">
        <v>4452</v>
      </c>
      <c r="B1723" s="53" t="s">
        <v>170</v>
      </c>
      <c r="C1723" s="53" t="s">
        <v>276</v>
      </c>
      <c r="D1723" s="53" t="s">
        <v>172</v>
      </c>
      <c r="E1723" s="32">
        <v>83725.821599999981</v>
      </c>
      <c r="F1723" s="53" t="s">
        <v>4073</v>
      </c>
    </row>
    <row r="1724" spans="1:6">
      <c r="A1724" s="29" t="s">
        <v>4452</v>
      </c>
      <c r="B1724" s="53" t="s">
        <v>170</v>
      </c>
      <c r="C1724" s="53" t="s">
        <v>240</v>
      </c>
      <c r="D1724" s="53" t="s">
        <v>172</v>
      </c>
      <c r="E1724" s="32">
        <v>23874.191600000002</v>
      </c>
      <c r="F1724" s="53" t="s">
        <v>4073</v>
      </c>
    </row>
    <row r="1725" spans="1:6">
      <c r="A1725" s="29" t="s">
        <v>4452</v>
      </c>
      <c r="B1725" s="53" t="s">
        <v>170</v>
      </c>
      <c r="C1725" s="53" t="s">
        <v>251</v>
      </c>
      <c r="D1725" s="53" t="s">
        <v>226</v>
      </c>
      <c r="E1725" s="32">
        <v>61429.978000000025</v>
      </c>
      <c r="F1725" s="53" t="s">
        <v>4073</v>
      </c>
    </row>
    <row r="1726" spans="1:6">
      <c r="A1726" s="29" t="s">
        <v>4452</v>
      </c>
      <c r="B1726" s="53" t="s">
        <v>170</v>
      </c>
      <c r="C1726" s="53" t="s">
        <v>256</v>
      </c>
      <c r="D1726" s="53" t="s">
        <v>172</v>
      </c>
      <c r="E1726" s="32">
        <v>29745.087199999998</v>
      </c>
      <c r="F1726" s="53" t="s">
        <v>4073</v>
      </c>
    </row>
    <row r="1727" spans="1:6">
      <c r="A1727" s="29" t="s">
        <v>4452</v>
      </c>
      <c r="B1727" s="53" t="s">
        <v>170</v>
      </c>
      <c r="C1727" s="53" t="s">
        <v>311</v>
      </c>
      <c r="D1727" s="53" t="s">
        <v>172</v>
      </c>
      <c r="E1727" s="32">
        <v>41426.639600000002</v>
      </c>
      <c r="F1727" s="53" t="s">
        <v>4073</v>
      </c>
    </row>
    <row r="1728" spans="1:6">
      <c r="A1728" s="29" t="s">
        <v>4452</v>
      </c>
      <c r="B1728" s="53" t="s">
        <v>170</v>
      </c>
      <c r="C1728" s="53" t="s">
        <v>171</v>
      </c>
      <c r="D1728" s="53" t="s">
        <v>172</v>
      </c>
      <c r="E1728" s="32">
        <v>116939.79520000004</v>
      </c>
      <c r="F1728" s="53" t="s">
        <v>4073</v>
      </c>
    </row>
    <row r="1729" spans="1:6">
      <c r="A1729" s="29" t="s">
        <v>4452</v>
      </c>
      <c r="B1729" s="53" t="s">
        <v>170</v>
      </c>
      <c r="C1729" s="53" t="s">
        <v>252</v>
      </c>
      <c r="D1729" s="53" t="s">
        <v>226</v>
      </c>
      <c r="E1729" s="32">
        <v>22361.542799999999</v>
      </c>
      <c r="F1729" s="53" t="s">
        <v>4073</v>
      </c>
    </row>
    <row r="1730" spans="1:6">
      <c r="A1730" s="29" t="s">
        <v>4452</v>
      </c>
      <c r="B1730" s="53" t="s">
        <v>170</v>
      </c>
      <c r="C1730" s="53" t="s">
        <v>296</v>
      </c>
      <c r="D1730" s="53" t="s">
        <v>226</v>
      </c>
      <c r="E1730" s="32">
        <v>23396.366799999996</v>
      </c>
      <c r="F1730" s="53" t="s">
        <v>4073</v>
      </c>
    </row>
    <row r="1731" spans="1:6">
      <c r="A1731" s="29" t="s">
        <v>4452</v>
      </c>
      <c r="B1731" s="53" t="s">
        <v>170</v>
      </c>
      <c r="C1731" s="53" t="s">
        <v>173</v>
      </c>
      <c r="D1731" s="53" t="s">
        <v>172</v>
      </c>
      <c r="E1731" s="32">
        <v>154594.29680000001</v>
      </c>
      <c r="F1731" s="53" t="s">
        <v>4073</v>
      </c>
    </row>
    <row r="1732" spans="1:6">
      <c r="A1732" s="29" t="s">
        <v>4452</v>
      </c>
      <c r="B1732" s="53" t="s">
        <v>170</v>
      </c>
      <c r="C1732" s="53" t="s">
        <v>225</v>
      </c>
      <c r="D1732" s="53" t="s">
        <v>226</v>
      </c>
      <c r="E1732" s="32">
        <v>38341.271999999997</v>
      </c>
      <c r="F1732" s="53" t="s">
        <v>4073</v>
      </c>
    </row>
    <row r="1733" spans="1:6">
      <c r="A1733" s="29" t="s">
        <v>4452</v>
      </c>
      <c r="B1733" s="53" t="s">
        <v>176</v>
      </c>
      <c r="C1733" s="53" t="s">
        <v>262</v>
      </c>
      <c r="D1733" s="53" t="s">
        <v>172</v>
      </c>
      <c r="E1733" s="32">
        <v>18780.797600000002</v>
      </c>
      <c r="F1733" s="53" t="s">
        <v>4073</v>
      </c>
    </row>
    <row r="1734" spans="1:6">
      <c r="A1734" s="29" t="s">
        <v>4452</v>
      </c>
      <c r="B1734" s="53" t="s">
        <v>176</v>
      </c>
      <c r="C1734" s="53" t="s">
        <v>253</v>
      </c>
      <c r="D1734" s="53" t="s">
        <v>172</v>
      </c>
      <c r="E1734" s="32">
        <v>24883.984799999998</v>
      </c>
      <c r="F1734" s="53" t="s">
        <v>4073</v>
      </c>
    </row>
    <row r="1735" spans="1:6">
      <c r="A1735" s="29" t="s">
        <v>4452</v>
      </c>
      <c r="B1735" s="53" t="s">
        <v>176</v>
      </c>
      <c r="C1735" s="53" t="s">
        <v>177</v>
      </c>
      <c r="D1735" s="53" t="s">
        <v>172</v>
      </c>
      <c r="E1735" s="32">
        <v>20616.596400000002</v>
      </c>
      <c r="F1735" s="53" t="s">
        <v>4073</v>
      </c>
    </row>
    <row r="1736" spans="1:6">
      <c r="A1736" s="29" t="s">
        <v>4452</v>
      </c>
      <c r="B1736" s="53" t="s">
        <v>176</v>
      </c>
      <c r="C1736" s="53" t="s">
        <v>231</v>
      </c>
      <c r="D1736" s="53" t="s">
        <v>172</v>
      </c>
      <c r="E1736" s="32">
        <v>23006.322</v>
      </c>
      <c r="F1736" s="53" t="s">
        <v>4073</v>
      </c>
    </row>
    <row r="1737" spans="1:6">
      <c r="A1737" s="29" t="s">
        <v>4452</v>
      </c>
      <c r="B1737" s="53" t="s">
        <v>180</v>
      </c>
      <c r="C1737" s="53" t="s">
        <v>181</v>
      </c>
      <c r="D1737" s="53" t="s">
        <v>172</v>
      </c>
      <c r="E1737" s="32">
        <v>33952.416799999999</v>
      </c>
      <c r="F1737" s="53" t="s">
        <v>4073</v>
      </c>
    </row>
    <row r="1738" spans="1:6">
      <c r="A1738" s="29" t="s">
        <v>4452</v>
      </c>
      <c r="B1738" s="53" t="s">
        <v>180</v>
      </c>
      <c r="C1738" s="53" t="s">
        <v>263</v>
      </c>
      <c r="D1738" s="53" t="s">
        <v>172</v>
      </c>
      <c r="E1738" s="32">
        <v>202969.3468</v>
      </c>
      <c r="F1738" s="53" t="s">
        <v>4073</v>
      </c>
    </row>
    <row r="1739" spans="1:6">
      <c r="A1739" s="29" t="s">
        <v>4452</v>
      </c>
      <c r="B1739" s="53" t="s">
        <v>180</v>
      </c>
      <c r="C1739" s="53" t="s">
        <v>277</v>
      </c>
      <c r="D1739" s="53" t="s">
        <v>172</v>
      </c>
      <c r="E1739" s="32">
        <v>89754.48400000004</v>
      </c>
      <c r="F1739" s="53" t="s">
        <v>4073</v>
      </c>
    </row>
    <row r="1740" spans="1:6">
      <c r="A1740" s="29" t="s">
        <v>4452</v>
      </c>
      <c r="B1740" s="53" t="s">
        <v>180</v>
      </c>
      <c r="C1740" s="53" t="s">
        <v>300</v>
      </c>
      <c r="D1740" s="53" t="s">
        <v>172</v>
      </c>
      <c r="E1740" s="32">
        <v>66716.690000000031</v>
      </c>
      <c r="F1740" s="53" t="s">
        <v>4073</v>
      </c>
    </row>
    <row r="1741" spans="1:6">
      <c r="A1741" s="29" t="s">
        <v>4452</v>
      </c>
      <c r="B1741" s="53" t="s">
        <v>180</v>
      </c>
      <c r="C1741" s="53" t="s">
        <v>242</v>
      </c>
      <c r="D1741" s="53" t="s">
        <v>172</v>
      </c>
      <c r="E1741" s="32">
        <v>30307.581600000012</v>
      </c>
      <c r="F1741" s="53" t="s">
        <v>4073</v>
      </c>
    </row>
    <row r="1742" spans="1:6">
      <c r="A1742" s="29" t="s">
        <v>4452</v>
      </c>
      <c r="B1742" s="53" t="s">
        <v>180</v>
      </c>
      <c r="C1742" s="53" t="s">
        <v>254</v>
      </c>
      <c r="D1742" s="53" t="s">
        <v>172</v>
      </c>
      <c r="E1742" s="32">
        <v>147237.70040000003</v>
      </c>
      <c r="F1742" s="53" t="s">
        <v>4073</v>
      </c>
    </row>
    <row r="1743" spans="1:6">
      <c r="A1743" s="29" t="s">
        <v>4452</v>
      </c>
      <c r="B1743" s="53" t="s">
        <v>180</v>
      </c>
      <c r="C1743" s="53" t="s">
        <v>305</v>
      </c>
      <c r="D1743" s="53" t="s">
        <v>172</v>
      </c>
      <c r="E1743" s="32">
        <v>72706.093999999983</v>
      </c>
      <c r="F1743" s="53" t="s">
        <v>4073</v>
      </c>
    </row>
    <row r="1744" spans="1:6">
      <c r="A1744" s="29" t="s">
        <v>4452</v>
      </c>
      <c r="B1744" s="53" t="s">
        <v>180</v>
      </c>
      <c r="C1744" s="53" t="s">
        <v>297</v>
      </c>
      <c r="D1744" s="53" t="s">
        <v>172</v>
      </c>
      <c r="E1744" s="32">
        <v>149784.73479999992</v>
      </c>
      <c r="F1744" s="53" t="s">
        <v>4073</v>
      </c>
    </row>
    <row r="1745" spans="1:6">
      <c r="A1745" s="29" t="s">
        <v>4452</v>
      </c>
      <c r="B1745" s="53" t="s">
        <v>180</v>
      </c>
      <c r="C1745" s="53" t="s">
        <v>314</v>
      </c>
      <c r="D1745" s="53" t="s">
        <v>172</v>
      </c>
      <c r="E1745" s="32">
        <v>28347.801600000006</v>
      </c>
      <c r="F1745" s="53" t="s">
        <v>4073</v>
      </c>
    </row>
    <row r="1746" spans="1:6">
      <c r="A1746" s="29" t="s">
        <v>4452</v>
      </c>
      <c r="B1746" s="53" t="s">
        <v>180</v>
      </c>
      <c r="C1746" s="53" t="s">
        <v>182</v>
      </c>
      <c r="D1746" s="53" t="s">
        <v>172</v>
      </c>
      <c r="E1746" s="32">
        <v>151398.94919999997</v>
      </c>
      <c r="F1746" s="53" t="s">
        <v>4073</v>
      </c>
    </row>
    <row r="1747" spans="1:6">
      <c r="A1747" s="29" t="s">
        <v>4452</v>
      </c>
      <c r="B1747" s="53" t="s">
        <v>149</v>
      </c>
      <c r="C1747" s="53" t="s">
        <v>4110</v>
      </c>
      <c r="D1747" s="53" t="s">
        <v>151</v>
      </c>
      <c r="E1747" s="32">
        <v>127882.97797722</v>
      </c>
      <c r="F1747" s="53" t="s">
        <v>4073</v>
      </c>
    </row>
    <row r="1748" spans="1:6">
      <c r="A1748" s="29" t="s">
        <v>4452</v>
      </c>
      <c r="B1748" s="53" t="s">
        <v>149</v>
      </c>
      <c r="C1748" s="53" t="s">
        <v>166</v>
      </c>
      <c r="D1748" s="53" t="s">
        <v>151</v>
      </c>
      <c r="E1748" s="32">
        <v>111349.300888065</v>
      </c>
      <c r="F1748" s="53" t="s">
        <v>4073</v>
      </c>
    </row>
    <row r="1749" spans="1:6">
      <c r="A1749" s="29" t="s">
        <v>4452</v>
      </c>
      <c r="B1749" s="53" t="s">
        <v>149</v>
      </c>
      <c r="C1749" s="53" t="s">
        <v>163</v>
      </c>
      <c r="D1749" s="53" t="s">
        <v>164</v>
      </c>
      <c r="E1749" s="32">
        <v>129509.69041951001</v>
      </c>
      <c r="F1749" s="53" t="s">
        <v>4073</v>
      </c>
    </row>
    <row r="1750" spans="1:6">
      <c r="A1750" s="29" t="s">
        <v>4452</v>
      </c>
      <c r="B1750" s="53" t="s">
        <v>149</v>
      </c>
      <c r="C1750" s="53" t="s">
        <v>150</v>
      </c>
      <c r="D1750" s="53" t="s">
        <v>151</v>
      </c>
      <c r="E1750" s="32">
        <v>194085.80968825499</v>
      </c>
      <c r="F1750" s="53" t="s">
        <v>4073</v>
      </c>
    </row>
    <row r="1751" spans="1:6">
      <c r="A1751" s="29" t="s">
        <v>4452</v>
      </c>
      <c r="B1751" s="53" t="s">
        <v>149</v>
      </c>
      <c r="C1751" s="53" t="s">
        <v>156</v>
      </c>
      <c r="D1751" s="53" t="s">
        <v>151</v>
      </c>
      <c r="E1751" s="32">
        <v>16744.497139344199</v>
      </c>
      <c r="F1751" s="53" t="s">
        <v>4073</v>
      </c>
    </row>
    <row r="1752" spans="1:6">
      <c r="A1752" s="29" t="s">
        <v>4452</v>
      </c>
      <c r="B1752" s="53" t="s">
        <v>170</v>
      </c>
      <c r="C1752" s="53" t="s">
        <v>230</v>
      </c>
      <c r="D1752" s="53" t="s">
        <v>172</v>
      </c>
      <c r="E1752" s="32">
        <v>264979.26829268498</v>
      </c>
      <c r="F1752" s="53" t="s">
        <v>4073</v>
      </c>
    </row>
    <row r="1753" spans="1:6">
      <c r="A1753" s="29" t="s">
        <v>4452</v>
      </c>
      <c r="B1753" s="53" t="s">
        <v>170</v>
      </c>
      <c r="C1753" s="53" t="s">
        <v>260</v>
      </c>
      <c r="D1753" s="53" t="s">
        <v>261</v>
      </c>
      <c r="E1753" s="32">
        <v>24430.157645961699</v>
      </c>
      <c r="F1753" s="53" t="s">
        <v>4073</v>
      </c>
    </row>
    <row r="1754" spans="1:6">
      <c r="A1754" s="29" t="s">
        <v>4452</v>
      </c>
      <c r="B1754" s="53" t="s">
        <v>170</v>
      </c>
      <c r="C1754" s="53" t="s">
        <v>4077</v>
      </c>
      <c r="D1754" s="53" t="s">
        <v>226</v>
      </c>
      <c r="E1754" s="32">
        <v>36066.6666666643</v>
      </c>
      <c r="F1754" s="53" t="s">
        <v>4073</v>
      </c>
    </row>
    <row r="1755" spans="1:6">
      <c r="A1755" s="29" t="s">
        <v>4452</v>
      </c>
      <c r="B1755" s="53" t="s">
        <v>170</v>
      </c>
      <c r="C1755" s="53" t="s">
        <v>238</v>
      </c>
      <c r="D1755" s="53" t="s">
        <v>239</v>
      </c>
      <c r="E1755" s="32">
        <v>29062.313127203699</v>
      </c>
      <c r="F1755" s="53" t="s">
        <v>4073</v>
      </c>
    </row>
    <row r="1756" spans="1:6">
      <c r="A1756" s="29" t="s">
        <v>4452</v>
      </c>
      <c r="B1756" s="53" t="s">
        <v>170</v>
      </c>
      <c r="C1756" s="53" t="s">
        <v>309</v>
      </c>
      <c r="D1756" s="53" t="s">
        <v>4078</v>
      </c>
      <c r="E1756" s="32">
        <v>78080.853020496797</v>
      </c>
      <c r="F1756" s="53" t="s">
        <v>4073</v>
      </c>
    </row>
    <row r="1757" spans="1:6">
      <c r="A1757" s="29" t="s">
        <v>4452</v>
      </c>
      <c r="B1757" s="53" t="s">
        <v>170</v>
      </c>
      <c r="C1757" s="53" t="s">
        <v>295</v>
      </c>
      <c r="D1757" s="53" t="s">
        <v>261</v>
      </c>
      <c r="E1757" s="32">
        <v>28069.2528790006</v>
      </c>
      <c r="F1757" s="53" t="s">
        <v>4073</v>
      </c>
    </row>
    <row r="1758" spans="1:6">
      <c r="A1758" s="29" t="s">
        <v>4452</v>
      </c>
      <c r="B1758" s="53" t="s">
        <v>249</v>
      </c>
      <c r="C1758" s="53" t="s">
        <v>4113</v>
      </c>
      <c r="D1758" s="53" t="s">
        <v>172</v>
      </c>
      <c r="E1758" s="32">
        <v>65237.675085954303</v>
      </c>
      <c r="F1758" s="53" t="s">
        <v>4073</v>
      </c>
    </row>
    <row r="1759" spans="1:6">
      <c r="A1759" s="29" t="s">
        <v>4452</v>
      </c>
      <c r="B1759" s="53" t="s">
        <v>249</v>
      </c>
      <c r="C1759" s="53" t="s">
        <v>4128</v>
      </c>
      <c r="D1759" s="53" t="s">
        <v>226</v>
      </c>
      <c r="E1759" s="32">
        <v>75352.251700679597</v>
      </c>
      <c r="F1759" s="53" t="s">
        <v>4073</v>
      </c>
    </row>
    <row r="1760" spans="1:6">
      <c r="A1760" s="29" t="s">
        <v>4452</v>
      </c>
      <c r="B1760" s="53" t="s">
        <v>249</v>
      </c>
      <c r="C1760" s="53" t="s">
        <v>4129</v>
      </c>
      <c r="D1760" s="53" t="s">
        <v>172</v>
      </c>
      <c r="E1760" s="32">
        <v>231699.04787282189</v>
      </c>
      <c r="F1760" s="53" t="s">
        <v>4073</v>
      </c>
    </row>
    <row r="1761" spans="1:6">
      <c r="A1761" s="29" t="s">
        <v>4452</v>
      </c>
      <c r="B1761" s="53" t="s">
        <v>249</v>
      </c>
      <c r="C1761" s="53" t="s">
        <v>4130</v>
      </c>
      <c r="D1761" s="53" t="s">
        <v>172</v>
      </c>
      <c r="E1761" s="32">
        <v>30409.090909090901</v>
      </c>
      <c r="F1761" s="53" t="s">
        <v>4073</v>
      </c>
    </row>
    <row r="1762" spans="1:6">
      <c r="A1762" s="29" t="s">
        <v>4452</v>
      </c>
      <c r="B1762" s="53" t="s">
        <v>249</v>
      </c>
      <c r="C1762" s="53" t="s">
        <v>4131</v>
      </c>
      <c r="D1762" s="53" t="s">
        <v>172</v>
      </c>
      <c r="E1762" s="32">
        <v>126785.714285714</v>
      </c>
      <c r="F1762" s="53" t="s">
        <v>4073</v>
      </c>
    </row>
    <row r="1763" spans="1:6">
      <c r="A1763" s="29" t="s">
        <v>4452</v>
      </c>
      <c r="B1763" s="53" t="s">
        <v>249</v>
      </c>
      <c r="C1763" s="53" t="s">
        <v>316</v>
      </c>
      <c r="D1763" s="53" t="s">
        <v>172</v>
      </c>
      <c r="E1763" s="32">
        <v>46378.174603168998</v>
      </c>
      <c r="F1763" s="53" t="s">
        <v>4073</v>
      </c>
    </row>
    <row r="1764" spans="1:6">
      <c r="A1764" s="29" t="s">
        <v>4452</v>
      </c>
      <c r="B1764" s="53" t="s">
        <v>249</v>
      </c>
      <c r="C1764" s="53" t="s">
        <v>4132</v>
      </c>
      <c r="D1764" s="53" t="s">
        <v>172</v>
      </c>
      <c r="E1764" s="32">
        <v>46031.944444449997</v>
      </c>
      <c r="F1764" s="53" t="s">
        <v>4073</v>
      </c>
    </row>
    <row r="1765" spans="1:6">
      <c r="A1765" s="29" t="s">
        <v>4452</v>
      </c>
      <c r="B1765" s="53" t="s">
        <v>249</v>
      </c>
      <c r="C1765" s="53" t="s">
        <v>4133</v>
      </c>
      <c r="D1765" s="53" t="s">
        <v>172</v>
      </c>
      <c r="E1765" s="32">
        <v>57912.060126068201</v>
      </c>
      <c r="F1765" s="53" t="s">
        <v>4073</v>
      </c>
    </row>
    <row r="1766" spans="1:6">
      <c r="A1766" s="29" t="s">
        <v>4452</v>
      </c>
      <c r="B1766" s="53" t="s">
        <v>249</v>
      </c>
      <c r="C1766" s="53" t="s">
        <v>4116</v>
      </c>
      <c r="D1766" s="53" t="s">
        <v>172</v>
      </c>
      <c r="E1766" s="32">
        <v>149732.64864864899</v>
      </c>
      <c r="F1766" s="53" t="s">
        <v>4073</v>
      </c>
    </row>
    <row r="1767" spans="1:6">
      <c r="A1767" s="29" t="s">
        <v>4452</v>
      </c>
      <c r="B1767" s="53" t="s">
        <v>249</v>
      </c>
      <c r="C1767" s="53" t="s">
        <v>4134</v>
      </c>
      <c r="D1767" s="53" t="s">
        <v>172</v>
      </c>
      <c r="E1767" s="32">
        <v>147711.87105263601</v>
      </c>
      <c r="F1767" s="53" t="s">
        <v>4073</v>
      </c>
    </row>
    <row r="1768" spans="1:6">
      <c r="A1768" s="29" t="s">
        <v>4452</v>
      </c>
      <c r="B1768" s="53" t="s">
        <v>249</v>
      </c>
      <c r="C1768" s="53" t="s">
        <v>4135</v>
      </c>
      <c r="D1768" s="53" t="s">
        <v>226</v>
      </c>
      <c r="E1768" s="32">
        <v>76550</v>
      </c>
      <c r="F1768" s="53" t="s">
        <v>4073</v>
      </c>
    </row>
    <row r="1769" spans="1:6">
      <c r="A1769" s="29" t="s">
        <v>4452</v>
      </c>
      <c r="B1769" s="53" t="s">
        <v>249</v>
      </c>
      <c r="C1769" s="53" t="s">
        <v>4136</v>
      </c>
      <c r="D1769" s="53" t="s">
        <v>226</v>
      </c>
      <c r="E1769" s="32">
        <v>104990</v>
      </c>
      <c r="F1769" s="53" t="s">
        <v>4073</v>
      </c>
    </row>
    <row r="1770" spans="1:6">
      <c r="A1770" s="29" t="s">
        <v>4452</v>
      </c>
      <c r="B1770" s="53" t="s">
        <v>249</v>
      </c>
      <c r="C1770" s="53" t="s">
        <v>4137</v>
      </c>
      <c r="D1770" s="53" t="s">
        <v>4142</v>
      </c>
      <c r="E1770" s="32">
        <v>53773.611111108301</v>
      </c>
      <c r="F1770" s="53" t="s">
        <v>4073</v>
      </c>
    </row>
    <row r="1771" spans="1:6">
      <c r="A1771" s="29" t="s">
        <v>4452</v>
      </c>
      <c r="B1771" s="53" t="s">
        <v>249</v>
      </c>
      <c r="C1771" s="53" t="s">
        <v>4138</v>
      </c>
      <c r="D1771" s="53" t="s">
        <v>4142</v>
      </c>
      <c r="E1771" s="32">
        <v>89555.040650399998</v>
      </c>
      <c r="F1771" s="53" t="s">
        <v>4073</v>
      </c>
    </row>
    <row r="1772" spans="1:6">
      <c r="A1772" s="29" t="s">
        <v>4452</v>
      </c>
      <c r="B1772" s="53" t="s">
        <v>249</v>
      </c>
      <c r="C1772" s="53" t="s">
        <v>4139</v>
      </c>
      <c r="D1772" s="53" t="s">
        <v>4142</v>
      </c>
      <c r="E1772" s="32">
        <v>44212.121212127298</v>
      </c>
      <c r="F1772" s="53" t="s">
        <v>4073</v>
      </c>
    </row>
    <row r="1773" spans="1:6">
      <c r="A1773" s="29" t="s">
        <v>4452</v>
      </c>
      <c r="B1773" s="53" t="s">
        <v>249</v>
      </c>
      <c r="C1773" s="53" t="s">
        <v>4140</v>
      </c>
      <c r="D1773" s="53" t="s">
        <v>4142</v>
      </c>
      <c r="E1773" s="32">
        <v>49487.800768815599</v>
      </c>
      <c r="F1773" s="53" t="s">
        <v>4073</v>
      </c>
    </row>
    <row r="1774" spans="1:6">
      <c r="A1774" s="29" t="s">
        <v>4452</v>
      </c>
      <c r="B1774" s="53" t="s">
        <v>249</v>
      </c>
      <c r="C1774" s="53" t="s">
        <v>4141</v>
      </c>
      <c r="D1774" s="53" t="s">
        <v>4142</v>
      </c>
      <c r="E1774" s="32">
        <v>45014.916003855302</v>
      </c>
      <c r="F1774" s="53" t="s">
        <v>4073</v>
      </c>
    </row>
    <row r="1775" spans="1:6">
      <c r="A1775" s="29" t="s">
        <v>4452</v>
      </c>
      <c r="B1775" s="53" t="s">
        <v>180</v>
      </c>
      <c r="C1775" s="53" t="s">
        <v>241</v>
      </c>
      <c r="D1775" s="53" t="s">
        <v>4224</v>
      </c>
      <c r="E1775" s="32">
        <v>27783.1738609079</v>
      </c>
      <c r="F1775" s="53" t="s">
        <v>4073</v>
      </c>
    </row>
    <row r="1776" spans="1:6">
      <c r="A1776" s="29" t="s">
        <v>4452</v>
      </c>
      <c r="B1776" s="53" t="s">
        <v>180</v>
      </c>
      <c r="C1776" s="53" t="s">
        <v>4114</v>
      </c>
      <c r="D1776" s="53" t="s">
        <v>172</v>
      </c>
      <c r="E1776" s="32">
        <v>26303.824059353399</v>
      </c>
      <c r="F1776" s="53" t="s">
        <v>4073</v>
      </c>
    </row>
    <row r="1777" spans="1:6">
      <c r="A1777" s="29" t="s">
        <v>4452</v>
      </c>
      <c r="B1777" s="53" t="s">
        <v>249</v>
      </c>
      <c r="C1777" s="53" t="s">
        <v>4226</v>
      </c>
      <c r="D1777" s="53" t="s">
        <v>4225</v>
      </c>
      <c r="E1777" s="32">
        <v>60000</v>
      </c>
      <c r="F1777" s="53" t="s">
        <v>4073</v>
      </c>
    </row>
    <row r="1778" spans="1:6">
      <c r="A1778" s="29" t="s">
        <v>4452</v>
      </c>
      <c r="B1778" s="53" t="s">
        <v>149</v>
      </c>
      <c r="C1778" s="53" t="s">
        <v>159</v>
      </c>
      <c r="D1778" s="53" t="s">
        <v>4228</v>
      </c>
      <c r="E1778" s="32">
        <v>11457.9436403694</v>
      </c>
      <c r="F1778" s="53" t="s">
        <v>4073</v>
      </c>
    </row>
    <row r="1779" spans="1:6">
      <c r="A1779" s="29" t="s">
        <v>4452</v>
      </c>
      <c r="B1779" s="53" t="s">
        <v>176</v>
      </c>
      <c r="C1779" s="53" t="s">
        <v>4145</v>
      </c>
      <c r="D1779" s="53" t="s">
        <v>172</v>
      </c>
      <c r="E1779" s="32">
        <v>19889.1857318574</v>
      </c>
      <c r="F1779" s="53" t="s">
        <v>4073</v>
      </c>
    </row>
    <row r="1780" spans="1:6">
      <c r="A1780" s="29" t="s">
        <v>4452</v>
      </c>
      <c r="B1780" s="53" t="s">
        <v>176</v>
      </c>
      <c r="C1780" s="53" t="s">
        <v>4112</v>
      </c>
      <c r="D1780" s="53" t="s">
        <v>226</v>
      </c>
      <c r="E1780" s="32">
        <v>28373.316498316399</v>
      </c>
      <c r="F1780" s="53" t="s">
        <v>4073</v>
      </c>
    </row>
    <row r="1781" spans="1:6">
      <c r="A1781" s="29" t="s">
        <v>4453</v>
      </c>
      <c r="B1781" s="53" t="s">
        <v>4072</v>
      </c>
      <c r="C1781" s="53" t="s">
        <v>316</v>
      </c>
      <c r="D1781" s="53" t="s">
        <v>172</v>
      </c>
      <c r="E1781" s="32">
        <v>46387.828400000006</v>
      </c>
      <c r="F1781" s="53" t="s">
        <v>4073</v>
      </c>
    </row>
    <row r="1782" spans="1:6">
      <c r="A1782" s="29" t="s">
        <v>4453</v>
      </c>
      <c r="B1782" s="53" t="s">
        <v>137</v>
      </c>
      <c r="C1782" s="53" t="s">
        <v>291</v>
      </c>
      <c r="D1782" s="53" t="s">
        <v>172</v>
      </c>
      <c r="E1782" s="32">
        <v>22409.406399999993</v>
      </c>
      <c r="F1782" s="53" t="s">
        <v>4073</v>
      </c>
    </row>
    <row r="1783" spans="1:6">
      <c r="A1783" s="29" t="s">
        <v>4453</v>
      </c>
      <c r="B1783" s="53" t="s">
        <v>137</v>
      </c>
      <c r="C1783" s="53" t="s">
        <v>243</v>
      </c>
      <c r="D1783" s="53" t="s">
        <v>172</v>
      </c>
      <c r="E1783" s="32">
        <v>22007.386799999993</v>
      </c>
      <c r="F1783" s="53" t="s">
        <v>4073</v>
      </c>
    </row>
    <row r="1784" spans="1:6">
      <c r="A1784" s="29" t="s">
        <v>4453</v>
      </c>
      <c r="B1784" s="53" t="s">
        <v>137</v>
      </c>
      <c r="C1784" s="53" t="s">
        <v>237</v>
      </c>
      <c r="D1784" s="53" t="s">
        <v>172</v>
      </c>
      <c r="E1784" s="32">
        <v>29374.792000000005</v>
      </c>
      <c r="F1784" s="53" t="s">
        <v>4073</v>
      </c>
    </row>
    <row r="1785" spans="1:6">
      <c r="A1785" s="29" t="s">
        <v>4453</v>
      </c>
      <c r="B1785" s="53" t="s">
        <v>137</v>
      </c>
      <c r="C1785" s="53" t="s">
        <v>246</v>
      </c>
      <c r="D1785" s="53" t="s">
        <v>172</v>
      </c>
      <c r="E1785" s="32">
        <v>64582.942800000012</v>
      </c>
      <c r="F1785" s="53" t="s">
        <v>4073</v>
      </c>
    </row>
    <row r="1786" spans="1:6">
      <c r="A1786" s="29" t="s">
        <v>4453</v>
      </c>
      <c r="B1786" s="53" t="s">
        <v>170</v>
      </c>
      <c r="C1786" s="53" t="s">
        <v>259</v>
      </c>
      <c r="D1786" s="53" t="s">
        <v>172</v>
      </c>
      <c r="E1786" s="32">
        <v>285555.81759999995</v>
      </c>
      <c r="F1786" s="53" t="s">
        <v>4073</v>
      </c>
    </row>
    <row r="1787" spans="1:6">
      <c r="A1787" s="29" t="s">
        <v>4453</v>
      </c>
      <c r="B1787" s="53" t="s">
        <v>170</v>
      </c>
      <c r="C1787" s="53" t="s">
        <v>276</v>
      </c>
      <c r="D1787" s="53" t="s">
        <v>172</v>
      </c>
      <c r="E1787" s="32">
        <v>83725.821599999981</v>
      </c>
      <c r="F1787" s="53" t="s">
        <v>4073</v>
      </c>
    </row>
    <row r="1788" spans="1:6">
      <c r="A1788" s="29" t="s">
        <v>4453</v>
      </c>
      <c r="B1788" s="53" t="s">
        <v>170</v>
      </c>
      <c r="C1788" s="53" t="s">
        <v>240</v>
      </c>
      <c r="D1788" s="53" t="s">
        <v>172</v>
      </c>
      <c r="E1788" s="32">
        <v>23874.191600000002</v>
      </c>
      <c r="F1788" s="53" t="s">
        <v>4073</v>
      </c>
    </row>
    <row r="1789" spans="1:6">
      <c r="A1789" s="29" t="s">
        <v>4453</v>
      </c>
      <c r="B1789" s="53" t="s">
        <v>170</v>
      </c>
      <c r="C1789" s="53" t="s">
        <v>251</v>
      </c>
      <c r="D1789" s="53" t="s">
        <v>226</v>
      </c>
      <c r="E1789" s="32">
        <v>61429.978000000025</v>
      </c>
      <c r="F1789" s="53" t="s">
        <v>4073</v>
      </c>
    </row>
    <row r="1790" spans="1:6">
      <c r="A1790" s="29" t="s">
        <v>4453</v>
      </c>
      <c r="B1790" s="53" t="s">
        <v>170</v>
      </c>
      <c r="C1790" s="53" t="s">
        <v>256</v>
      </c>
      <c r="D1790" s="53" t="s">
        <v>172</v>
      </c>
      <c r="E1790" s="32">
        <v>29745.087199999998</v>
      </c>
      <c r="F1790" s="53" t="s">
        <v>4073</v>
      </c>
    </row>
    <row r="1791" spans="1:6">
      <c r="A1791" s="29" t="s">
        <v>4453</v>
      </c>
      <c r="B1791" s="53" t="s">
        <v>170</v>
      </c>
      <c r="C1791" s="53" t="s">
        <v>311</v>
      </c>
      <c r="D1791" s="53" t="s">
        <v>172</v>
      </c>
      <c r="E1791" s="32">
        <v>41426.639600000002</v>
      </c>
      <c r="F1791" s="53" t="s">
        <v>4073</v>
      </c>
    </row>
    <row r="1792" spans="1:6">
      <c r="A1792" s="29" t="s">
        <v>4453</v>
      </c>
      <c r="B1792" s="53" t="s">
        <v>170</v>
      </c>
      <c r="C1792" s="53" t="s">
        <v>171</v>
      </c>
      <c r="D1792" s="53" t="s">
        <v>172</v>
      </c>
      <c r="E1792" s="32">
        <v>116939.79520000004</v>
      </c>
      <c r="F1792" s="53" t="s">
        <v>4073</v>
      </c>
    </row>
    <row r="1793" spans="1:6">
      <c r="A1793" s="29" t="s">
        <v>4453</v>
      </c>
      <c r="B1793" s="53" t="s">
        <v>170</v>
      </c>
      <c r="C1793" s="53" t="s">
        <v>252</v>
      </c>
      <c r="D1793" s="53" t="s">
        <v>226</v>
      </c>
      <c r="E1793" s="32">
        <v>22361.542799999999</v>
      </c>
      <c r="F1793" s="53" t="s">
        <v>4073</v>
      </c>
    </row>
    <row r="1794" spans="1:6">
      <c r="A1794" s="29" t="s">
        <v>4453</v>
      </c>
      <c r="B1794" s="53" t="s">
        <v>170</v>
      </c>
      <c r="C1794" s="53" t="s">
        <v>296</v>
      </c>
      <c r="D1794" s="53" t="s">
        <v>226</v>
      </c>
      <c r="E1794" s="32">
        <v>23396.366799999996</v>
      </c>
      <c r="F1794" s="53" t="s">
        <v>4073</v>
      </c>
    </row>
    <row r="1795" spans="1:6">
      <c r="A1795" s="29" t="s">
        <v>4453</v>
      </c>
      <c r="B1795" s="53" t="s">
        <v>170</v>
      </c>
      <c r="C1795" s="53" t="s">
        <v>173</v>
      </c>
      <c r="D1795" s="53" t="s">
        <v>172</v>
      </c>
      <c r="E1795" s="32">
        <v>154594.29680000001</v>
      </c>
      <c r="F1795" s="53" t="s">
        <v>4073</v>
      </c>
    </row>
    <row r="1796" spans="1:6">
      <c r="A1796" s="29" t="s">
        <v>4453</v>
      </c>
      <c r="B1796" s="53" t="s">
        <v>170</v>
      </c>
      <c r="C1796" s="53" t="s">
        <v>225</v>
      </c>
      <c r="D1796" s="53" t="s">
        <v>226</v>
      </c>
      <c r="E1796" s="32">
        <v>38341.271999999997</v>
      </c>
      <c r="F1796" s="53" t="s">
        <v>4073</v>
      </c>
    </row>
    <row r="1797" spans="1:6">
      <c r="A1797" s="29" t="s">
        <v>4453</v>
      </c>
      <c r="B1797" s="53" t="s">
        <v>176</v>
      </c>
      <c r="C1797" s="53" t="s">
        <v>262</v>
      </c>
      <c r="D1797" s="53" t="s">
        <v>172</v>
      </c>
      <c r="E1797" s="32">
        <v>18780.797600000002</v>
      </c>
      <c r="F1797" s="53" t="s">
        <v>4073</v>
      </c>
    </row>
    <row r="1798" spans="1:6">
      <c r="A1798" s="29" t="s">
        <v>4453</v>
      </c>
      <c r="B1798" s="53" t="s">
        <v>176</v>
      </c>
      <c r="C1798" s="53" t="s">
        <v>253</v>
      </c>
      <c r="D1798" s="53" t="s">
        <v>172</v>
      </c>
      <c r="E1798" s="32">
        <v>24883.984799999998</v>
      </c>
      <c r="F1798" s="53" t="s">
        <v>4073</v>
      </c>
    </row>
    <row r="1799" spans="1:6">
      <c r="A1799" s="29" t="s">
        <v>4453</v>
      </c>
      <c r="B1799" s="53" t="s">
        <v>176</v>
      </c>
      <c r="C1799" s="53" t="s">
        <v>177</v>
      </c>
      <c r="D1799" s="53" t="s">
        <v>172</v>
      </c>
      <c r="E1799" s="32">
        <v>20616.596400000002</v>
      </c>
      <c r="F1799" s="53" t="s">
        <v>4073</v>
      </c>
    </row>
    <row r="1800" spans="1:6">
      <c r="A1800" s="29" t="s">
        <v>4453</v>
      </c>
      <c r="B1800" s="53" t="s">
        <v>176</v>
      </c>
      <c r="C1800" s="53" t="s">
        <v>231</v>
      </c>
      <c r="D1800" s="53" t="s">
        <v>172</v>
      </c>
      <c r="E1800" s="32">
        <v>23006.322</v>
      </c>
      <c r="F1800" s="53" t="s">
        <v>4073</v>
      </c>
    </row>
    <row r="1801" spans="1:6">
      <c r="A1801" s="29" t="s">
        <v>4453</v>
      </c>
      <c r="B1801" s="53" t="s">
        <v>180</v>
      </c>
      <c r="C1801" s="53" t="s">
        <v>181</v>
      </c>
      <c r="D1801" s="53" t="s">
        <v>172</v>
      </c>
      <c r="E1801" s="32">
        <v>33952.416799999999</v>
      </c>
      <c r="F1801" s="53" t="s">
        <v>4073</v>
      </c>
    </row>
    <row r="1802" spans="1:6">
      <c r="A1802" s="29" t="s">
        <v>4453</v>
      </c>
      <c r="B1802" s="53" t="s">
        <v>180</v>
      </c>
      <c r="C1802" s="53" t="s">
        <v>263</v>
      </c>
      <c r="D1802" s="53" t="s">
        <v>172</v>
      </c>
      <c r="E1802" s="32">
        <v>202969.3468</v>
      </c>
      <c r="F1802" s="53" t="s">
        <v>4073</v>
      </c>
    </row>
    <row r="1803" spans="1:6">
      <c r="A1803" s="29" t="s">
        <v>4453</v>
      </c>
      <c r="B1803" s="53" t="s">
        <v>180</v>
      </c>
      <c r="C1803" s="53" t="s">
        <v>277</v>
      </c>
      <c r="D1803" s="53" t="s">
        <v>172</v>
      </c>
      <c r="E1803" s="32">
        <v>89754.48400000004</v>
      </c>
      <c r="F1803" s="53" t="s">
        <v>4073</v>
      </c>
    </row>
    <row r="1804" spans="1:6">
      <c r="A1804" s="29" t="s">
        <v>4453</v>
      </c>
      <c r="B1804" s="53" t="s">
        <v>180</v>
      </c>
      <c r="C1804" s="53" t="s">
        <v>300</v>
      </c>
      <c r="D1804" s="53" t="s">
        <v>172</v>
      </c>
      <c r="E1804" s="32">
        <v>66716.690000000031</v>
      </c>
      <c r="F1804" s="53" t="s">
        <v>4073</v>
      </c>
    </row>
    <row r="1805" spans="1:6">
      <c r="A1805" s="29" t="s">
        <v>4453</v>
      </c>
      <c r="B1805" s="53" t="s">
        <v>180</v>
      </c>
      <c r="C1805" s="53" t="s">
        <v>242</v>
      </c>
      <c r="D1805" s="53" t="s">
        <v>172</v>
      </c>
      <c r="E1805" s="32">
        <v>30307.581600000012</v>
      </c>
      <c r="F1805" s="53" t="s">
        <v>4073</v>
      </c>
    </row>
    <row r="1806" spans="1:6">
      <c r="A1806" s="29" t="s">
        <v>4453</v>
      </c>
      <c r="B1806" s="53" t="s">
        <v>180</v>
      </c>
      <c r="C1806" s="53" t="s">
        <v>254</v>
      </c>
      <c r="D1806" s="53" t="s">
        <v>172</v>
      </c>
      <c r="E1806" s="32">
        <v>147237.70040000003</v>
      </c>
      <c r="F1806" s="53" t="s">
        <v>4073</v>
      </c>
    </row>
    <row r="1807" spans="1:6">
      <c r="A1807" s="29" t="s">
        <v>4453</v>
      </c>
      <c r="B1807" s="53" t="s">
        <v>180</v>
      </c>
      <c r="C1807" s="53" t="s">
        <v>305</v>
      </c>
      <c r="D1807" s="53" t="s">
        <v>172</v>
      </c>
      <c r="E1807" s="32">
        <v>72706.093999999983</v>
      </c>
      <c r="F1807" s="53" t="s">
        <v>4073</v>
      </c>
    </row>
    <row r="1808" spans="1:6">
      <c r="A1808" s="29" t="s">
        <v>4453</v>
      </c>
      <c r="B1808" s="53" t="s">
        <v>180</v>
      </c>
      <c r="C1808" s="53" t="s">
        <v>297</v>
      </c>
      <c r="D1808" s="53" t="s">
        <v>172</v>
      </c>
      <c r="E1808" s="32">
        <v>149784.73479999992</v>
      </c>
      <c r="F1808" s="53" t="s">
        <v>4073</v>
      </c>
    </row>
    <row r="1809" spans="1:6">
      <c r="A1809" s="29" t="s">
        <v>4453</v>
      </c>
      <c r="B1809" s="53" t="s">
        <v>180</v>
      </c>
      <c r="C1809" s="53" t="s">
        <v>314</v>
      </c>
      <c r="D1809" s="53" t="s">
        <v>172</v>
      </c>
      <c r="E1809" s="32">
        <v>28347.801600000006</v>
      </c>
      <c r="F1809" s="53" t="s">
        <v>4073</v>
      </c>
    </row>
    <row r="1810" spans="1:6">
      <c r="A1810" s="29" t="s">
        <v>4453</v>
      </c>
      <c r="B1810" s="53" t="s">
        <v>180</v>
      </c>
      <c r="C1810" s="53" t="s">
        <v>182</v>
      </c>
      <c r="D1810" s="53" t="s">
        <v>172</v>
      </c>
      <c r="E1810" s="32">
        <v>151398.94919999997</v>
      </c>
      <c r="F1810" s="53" t="s">
        <v>4073</v>
      </c>
    </row>
    <row r="1811" spans="1:6">
      <c r="A1811" s="29" t="s">
        <v>4453</v>
      </c>
      <c r="B1811" s="53" t="s">
        <v>149</v>
      </c>
      <c r="C1811" s="53" t="s">
        <v>4110</v>
      </c>
      <c r="D1811" s="53" t="s">
        <v>151</v>
      </c>
      <c r="E1811" s="32">
        <v>127882.97797722</v>
      </c>
      <c r="F1811" s="53" t="s">
        <v>4073</v>
      </c>
    </row>
    <row r="1812" spans="1:6">
      <c r="A1812" s="29" t="s">
        <v>4453</v>
      </c>
      <c r="B1812" s="53" t="s">
        <v>149</v>
      </c>
      <c r="C1812" s="53" t="s">
        <v>166</v>
      </c>
      <c r="D1812" s="53" t="s">
        <v>151</v>
      </c>
      <c r="E1812" s="32">
        <v>111349.300888065</v>
      </c>
      <c r="F1812" s="53" t="s">
        <v>4073</v>
      </c>
    </row>
    <row r="1813" spans="1:6">
      <c r="A1813" s="29" t="s">
        <v>4453</v>
      </c>
      <c r="B1813" s="53" t="s">
        <v>149</v>
      </c>
      <c r="C1813" s="53" t="s">
        <v>163</v>
      </c>
      <c r="D1813" s="53" t="s">
        <v>164</v>
      </c>
      <c r="E1813" s="32">
        <v>129509.69041951001</v>
      </c>
      <c r="F1813" s="53" t="s">
        <v>4073</v>
      </c>
    </row>
    <row r="1814" spans="1:6">
      <c r="A1814" s="29" t="s">
        <v>4453</v>
      </c>
      <c r="B1814" s="53" t="s">
        <v>149</v>
      </c>
      <c r="C1814" s="53" t="s">
        <v>150</v>
      </c>
      <c r="D1814" s="53" t="s">
        <v>151</v>
      </c>
      <c r="E1814" s="32">
        <v>194085.80968825499</v>
      </c>
      <c r="F1814" s="53" t="s">
        <v>4073</v>
      </c>
    </row>
    <row r="1815" spans="1:6">
      <c r="A1815" s="29" t="s">
        <v>4453</v>
      </c>
      <c r="B1815" s="53" t="s">
        <v>149</v>
      </c>
      <c r="C1815" s="53" t="s">
        <v>156</v>
      </c>
      <c r="D1815" s="53" t="s">
        <v>151</v>
      </c>
      <c r="E1815" s="32">
        <v>16744.497139344199</v>
      </c>
      <c r="F1815" s="53" t="s">
        <v>4073</v>
      </c>
    </row>
    <row r="1816" spans="1:6">
      <c r="A1816" s="29" t="s">
        <v>4453</v>
      </c>
      <c r="B1816" s="53" t="s">
        <v>170</v>
      </c>
      <c r="C1816" s="53" t="s">
        <v>230</v>
      </c>
      <c r="D1816" s="53" t="s">
        <v>172</v>
      </c>
      <c r="E1816" s="32">
        <v>264979.26829268498</v>
      </c>
      <c r="F1816" s="53" t="s">
        <v>4073</v>
      </c>
    </row>
    <row r="1817" spans="1:6">
      <c r="A1817" s="29" t="s">
        <v>4453</v>
      </c>
      <c r="B1817" s="53" t="s">
        <v>170</v>
      </c>
      <c r="C1817" s="53" t="s">
        <v>260</v>
      </c>
      <c r="D1817" s="53" t="s">
        <v>261</v>
      </c>
      <c r="E1817" s="32">
        <v>24430.157645961699</v>
      </c>
      <c r="F1817" s="53" t="s">
        <v>4073</v>
      </c>
    </row>
    <row r="1818" spans="1:6">
      <c r="A1818" s="29" t="s">
        <v>4453</v>
      </c>
      <c r="B1818" s="53" t="s">
        <v>170</v>
      </c>
      <c r="C1818" s="53" t="s">
        <v>4077</v>
      </c>
      <c r="D1818" s="53" t="s">
        <v>226</v>
      </c>
      <c r="E1818" s="32">
        <v>36066.6666666643</v>
      </c>
      <c r="F1818" s="53" t="s">
        <v>4073</v>
      </c>
    </row>
    <row r="1819" spans="1:6">
      <c r="A1819" s="29" t="s">
        <v>4453</v>
      </c>
      <c r="B1819" s="53" t="s">
        <v>170</v>
      </c>
      <c r="C1819" s="53" t="s">
        <v>238</v>
      </c>
      <c r="D1819" s="53" t="s">
        <v>239</v>
      </c>
      <c r="E1819" s="32">
        <v>29062.313127203699</v>
      </c>
      <c r="F1819" s="53" t="s">
        <v>4073</v>
      </c>
    </row>
    <row r="1820" spans="1:6">
      <c r="A1820" s="29" t="s">
        <v>4453</v>
      </c>
      <c r="B1820" s="53" t="s">
        <v>170</v>
      </c>
      <c r="C1820" s="53" t="s">
        <v>309</v>
      </c>
      <c r="D1820" s="53" t="s">
        <v>4078</v>
      </c>
      <c r="E1820" s="32">
        <v>78080.853020496797</v>
      </c>
      <c r="F1820" s="53" t="s">
        <v>4073</v>
      </c>
    </row>
    <row r="1821" spans="1:6">
      <c r="A1821" s="29" t="s">
        <v>4453</v>
      </c>
      <c r="B1821" s="53" t="s">
        <v>170</v>
      </c>
      <c r="C1821" s="53" t="s">
        <v>295</v>
      </c>
      <c r="D1821" s="53" t="s">
        <v>261</v>
      </c>
      <c r="E1821" s="32">
        <v>28069.2528790006</v>
      </c>
      <c r="F1821" s="53" t="s">
        <v>4073</v>
      </c>
    </row>
    <row r="1822" spans="1:6">
      <c r="A1822" s="29" t="s">
        <v>4453</v>
      </c>
      <c r="B1822" s="53" t="s">
        <v>249</v>
      </c>
      <c r="C1822" s="53" t="s">
        <v>4113</v>
      </c>
      <c r="D1822" s="53" t="s">
        <v>172</v>
      </c>
      <c r="E1822" s="32">
        <v>65237.675085954303</v>
      </c>
      <c r="F1822" s="53" t="s">
        <v>4073</v>
      </c>
    </row>
    <row r="1823" spans="1:6">
      <c r="A1823" s="29" t="s">
        <v>4453</v>
      </c>
      <c r="B1823" s="53" t="s">
        <v>249</v>
      </c>
      <c r="C1823" s="53" t="s">
        <v>4128</v>
      </c>
      <c r="D1823" s="53" t="s">
        <v>226</v>
      </c>
      <c r="E1823" s="32">
        <v>75352.251700679597</v>
      </c>
      <c r="F1823" s="53" t="s">
        <v>4073</v>
      </c>
    </row>
    <row r="1824" spans="1:6">
      <c r="A1824" s="29" t="s">
        <v>4453</v>
      </c>
      <c r="B1824" s="53" t="s">
        <v>249</v>
      </c>
      <c r="C1824" s="53" t="s">
        <v>4129</v>
      </c>
      <c r="D1824" s="53" t="s">
        <v>172</v>
      </c>
      <c r="E1824" s="32">
        <v>231699.04787282189</v>
      </c>
      <c r="F1824" s="53" t="s">
        <v>4073</v>
      </c>
    </row>
    <row r="1825" spans="1:6">
      <c r="A1825" s="29" t="s">
        <v>4453</v>
      </c>
      <c r="B1825" s="53" t="s">
        <v>249</v>
      </c>
      <c r="C1825" s="53" t="s">
        <v>4130</v>
      </c>
      <c r="D1825" s="53" t="s">
        <v>172</v>
      </c>
      <c r="E1825" s="32">
        <v>30409.090909090901</v>
      </c>
      <c r="F1825" s="53" t="s">
        <v>4073</v>
      </c>
    </row>
    <row r="1826" spans="1:6">
      <c r="A1826" s="29" t="s">
        <v>4453</v>
      </c>
      <c r="B1826" s="53" t="s">
        <v>249</v>
      </c>
      <c r="C1826" s="53" t="s">
        <v>4131</v>
      </c>
      <c r="D1826" s="53" t="s">
        <v>172</v>
      </c>
      <c r="E1826" s="32">
        <v>126785.714285714</v>
      </c>
      <c r="F1826" s="53" t="s">
        <v>4073</v>
      </c>
    </row>
    <row r="1827" spans="1:6">
      <c r="A1827" s="29" t="s">
        <v>4453</v>
      </c>
      <c r="B1827" s="53" t="s">
        <v>249</v>
      </c>
      <c r="C1827" s="53" t="s">
        <v>316</v>
      </c>
      <c r="D1827" s="53" t="s">
        <v>172</v>
      </c>
      <c r="E1827" s="32">
        <v>46378.174603168998</v>
      </c>
      <c r="F1827" s="53" t="s">
        <v>4073</v>
      </c>
    </row>
    <row r="1828" spans="1:6">
      <c r="A1828" s="29" t="s">
        <v>4453</v>
      </c>
      <c r="B1828" s="53" t="s">
        <v>249</v>
      </c>
      <c r="C1828" s="53" t="s">
        <v>4132</v>
      </c>
      <c r="D1828" s="53" t="s">
        <v>172</v>
      </c>
      <c r="E1828" s="32">
        <v>46031.944444449997</v>
      </c>
      <c r="F1828" s="53" t="s">
        <v>4073</v>
      </c>
    </row>
    <row r="1829" spans="1:6">
      <c r="A1829" s="29" t="s">
        <v>4453</v>
      </c>
      <c r="B1829" s="53" t="s">
        <v>249</v>
      </c>
      <c r="C1829" s="53" t="s">
        <v>4133</v>
      </c>
      <c r="D1829" s="53" t="s">
        <v>172</v>
      </c>
      <c r="E1829" s="32">
        <v>57912.060126068201</v>
      </c>
      <c r="F1829" s="53" t="s">
        <v>4073</v>
      </c>
    </row>
    <row r="1830" spans="1:6">
      <c r="A1830" s="29" t="s">
        <v>4453</v>
      </c>
      <c r="B1830" s="53" t="s">
        <v>249</v>
      </c>
      <c r="C1830" s="53" t="s">
        <v>4116</v>
      </c>
      <c r="D1830" s="53" t="s">
        <v>172</v>
      </c>
      <c r="E1830" s="32">
        <v>149732.64864864899</v>
      </c>
      <c r="F1830" s="53" t="s">
        <v>4073</v>
      </c>
    </row>
    <row r="1831" spans="1:6">
      <c r="A1831" s="29" t="s">
        <v>4453</v>
      </c>
      <c r="B1831" s="53" t="s">
        <v>249</v>
      </c>
      <c r="C1831" s="53" t="s">
        <v>4134</v>
      </c>
      <c r="D1831" s="53" t="s">
        <v>172</v>
      </c>
      <c r="E1831" s="32">
        <v>147711.87105263601</v>
      </c>
      <c r="F1831" s="53" t="s">
        <v>4073</v>
      </c>
    </row>
    <row r="1832" spans="1:6">
      <c r="A1832" s="29" t="s">
        <v>4453</v>
      </c>
      <c r="B1832" s="53" t="s">
        <v>249</v>
      </c>
      <c r="C1832" s="53" t="s">
        <v>4135</v>
      </c>
      <c r="D1832" s="53" t="s">
        <v>226</v>
      </c>
      <c r="E1832" s="32">
        <v>76550</v>
      </c>
      <c r="F1832" s="53" t="s">
        <v>4073</v>
      </c>
    </row>
    <row r="1833" spans="1:6">
      <c r="A1833" s="29" t="s">
        <v>4453</v>
      </c>
      <c r="B1833" s="53" t="s">
        <v>249</v>
      </c>
      <c r="C1833" s="53" t="s">
        <v>4136</v>
      </c>
      <c r="D1833" s="53" t="s">
        <v>226</v>
      </c>
      <c r="E1833" s="32">
        <v>104990</v>
      </c>
      <c r="F1833" s="53" t="s">
        <v>4073</v>
      </c>
    </row>
    <row r="1834" spans="1:6">
      <c r="A1834" s="29" t="s">
        <v>4453</v>
      </c>
      <c r="B1834" s="53" t="s">
        <v>249</v>
      </c>
      <c r="C1834" s="53" t="s">
        <v>4137</v>
      </c>
      <c r="D1834" s="53" t="s">
        <v>4142</v>
      </c>
      <c r="E1834" s="32">
        <v>53773.611111108301</v>
      </c>
      <c r="F1834" s="53" t="s">
        <v>4073</v>
      </c>
    </row>
    <row r="1835" spans="1:6">
      <c r="A1835" s="29" t="s">
        <v>4453</v>
      </c>
      <c r="B1835" s="53" t="s">
        <v>249</v>
      </c>
      <c r="C1835" s="53" t="s">
        <v>4138</v>
      </c>
      <c r="D1835" s="53" t="s">
        <v>4142</v>
      </c>
      <c r="E1835" s="32">
        <v>89555.040650399998</v>
      </c>
      <c r="F1835" s="53" t="s">
        <v>4073</v>
      </c>
    </row>
    <row r="1836" spans="1:6">
      <c r="A1836" s="29" t="s">
        <v>4453</v>
      </c>
      <c r="B1836" s="53" t="s">
        <v>249</v>
      </c>
      <c r="C1836" s="53" t="s">
        <v>4139</v>
      </c>
      <c r="D1836" s="53" t="s">
        <v>4142</v>
      </c>
      <c r="E1836" s="32">
        <v>44212.121212127298</v>
      </c>
      <c r="F1836" s="53" t="s">
        <v>4073</v>
      </c>
    </row>
    <row r="1837" spans="1:6">
      <c r="A1837" s="29" t="s">
        <v>4453</v>
      </c>
      <c r="B1837" s="53" t="s">
        <v>249</v>
      </c>
      <c r="C1837" s="53" t="s">
        <v>4140</v>
      </c>
      <c r="D1837" s="53" t="s">
        <v>4142</v>
      </c>
      <c r="E1837" s="32">
        <v>49487.800768815599</v>
      </c>
      <c r="F1837" s="53" t="s">
        <v>4073</v>
      </c>
    </row>
    <row r="1838" spans="1:6">
      <c r="A1838" s="29" t="s">
        <v>4453</v>
      </c>
      <c r="B1838" s="53" t="s">
        <v>249</v>
      </c>
      <c r="C1838" s="53" t="s">
        <v>4141</v>
      </c>
      <c r="D1838" s="53" t="s">
        <v>4142</v>
      </c>
      <c r="E1838" s="32">
        <v>45014.916003855302</v>
      </c>
      <c r="F1838" s="53" t="s">
        <v>4073</v>
      </c>
    </row>
    <row r="1839" spans="1:6">
      <c r="A1839" s="29" t="s">
        <v>4453</v>
      </c>
      <c r="B1839" s="53" t="s">
        <v>180</v>
      </c>
      <c r="C1839" s="53" t="s">
        <v>241</v>
      </c>
      <c r="D1839" s="53" t="s">
        <v>4224</v>
      </c>
      <c r="E1839" s="32">
        <v>27783.1738609079</v>
      </c>
      <c r="F1839" s="53" t="s">
        <v>4073</v>
      </c>
    </row>
    <row r="1840" spans="1:6">
      <c r="A1840" s="29" t="s">
        <v>4453</v>
      </c>
      <c r="B1840" s="53" t="s">
        <v>180</v>
      </c>
      <c r="C1840" s="53" t="s">
        <v>4114</v>
      </c>
      <c r="D1840" s="53" t="s">
        <v>172</v>
      </c>
      <c r="E1840" s="32">
        <v>26303.824059353399</v>
      </c>
      <c r="F1840" s="53" t="s">
        <v>4073</v>
      </c>
    </row>
    <row r="1841" spans="1:6">
      <c r="A1841" s="29" t="s">
        <v>4453</v>
      </c>
      <c r="B1841" s="53" t="s">
        <v>249</v>
      </c>
      <c r="C1841" s="53" t="s">
        <v>4226</v>
      </c>
      <c r="D1841" s="53" t="s">
        <v>4225</v>
      </c>
      <c r="E1841" s="32">
        <v>60000</v>
      </c>
      <c r="F1841" s="53" t="s">
        <v>4073</v>
      </c>
    </row>
    <row r="1842" spans="1:6">
      <c r="A1842" s="29" t="s">
        <v>4453</v>
      </c>
      <c r="B1842" s="53" t="s">
        <v>149</v>
      </c>
      <c r="C1842" s="53" t="s">
        <v>159</v>
      </c>
      <c r="D1842" s="53" t="s">
        <v>4228</v>
      </c>
      <c r="E1842" s="32">
        <v>11457.9436403694</v>
      </c>
      <c r="F1842" s="53" t="s">
        <v>4073</v>
      </c>
    </row>
    <row r="1843" spans="1:6">
      <c r="A1843" s="29" t="s">
        <v>4453</v>
      </c>
      <c r="B1843" s="53" t="s">
        <v>176</v>
      </c>
      <c r="C1843" s="53" t="s">
        <v>4145</v>
      </c>
      <c r="D1843" s="53" t="s">
        <v>172</v>
      </c>
      <c r="E1843" s="32">
        <v>19889.1857318574</v>
      </c>
      <c r="F1843" s="53" t="s">
        <v>4073</v>
      </c>
    </row>
    <row r="1844" spans="1:6">
      <c r="A1844" s="29" t="s">
        <v>4453</v>
      </c>
      <c r="B1844" s="53" t="s">
        <v>176</v>
      </c>
      <c r="C1844" s="53" t="s">
        <v>4112</v>
      </c>
      <c r="D1844" s="53" t="s">
        <v>226</v>
      </c>
      <c r="E1844" s="32">
        <v>28373.316498316399</v>
      </c>
      <c r="F1844" s="53" t="s">
        <v>4073</v>
      </c>
    </row>
    <row r="1845" spans="1:6">
      <c r="A1845" s="29" t="s">
        <v>4454</v>
      </c>
      <c r="B1845" s="53" t="s">
        <v>4072</v>
      </c>
      <c r="C1845" s="53" t="s">
        <v>316</v>
      </c>
      <c r="D1845" s="53" t="s">
        <v>172</v>
      </c>
      <c r="E1845" s="32">
        <v>46387.828400000006</v>
      </c>
      <c r="F1845" s="53" t="s">
        <v>4073</v>
      </c>
    </row>
    <row r="1846" spans="1:6">
      <c r="A1846" s="29" t="s">
        <v>4454</v>
      </c>
      <c r="B1846" s="53" t="s">
        <v>137</v>
      </c>
      <c r="C1846" s="53" t="s">
        <v>291</v>
      </c>
      <c r="D1846" s="53" t="s">
        <v>172</v>
      </c>
      <c r="E1846" s="32">
        <v>22409.406399999993</v>
      </c>
      <c r="F1846" s="53" t="s">
        <v>4073</v>
      </c>
    </row>
    <row r="1847" spans="1:6">
      <c r="A1847" s="29" t="s">
        <v>4454</v>
      </c>
      <c r="B1847" s="53" t="s">
        <v>137</v>
      </c>
      <c r="C1847" s="53" t="s">
        <v>243</v>
      </c>
      <c r="D1847" s="53" t="s">
        <v>172</v>
      </c>
      <c r="E1847" s="32">
        <v>22007.386799999993</v>
      </c>
      <c r="F1847" s="53" t="s">
        <v>4073</v>
      </c>
    </row>
    <row r="1848" spans="1:6">
      <c r="A1848" s="29" t="s">
        <v>4454</v>
      </c>
      <c r="B1848" s="53" t="s">
        <v>137</v>
      </c>
      <c r="C1848" s="53" t="s">
        <v>237</v>
      </c>
      <c r="D1848" s="53" t="s">
        <v>172</v>
      </c>
      <c r="E1848" s="32">
        <v>29374.792000000005</v>
      </c>
      <c r="F1848" s="53" t="s">
        <v>4073</v>
      </c>
    </row>
    <row r="1849" spans="1:6">
      <c r="A1849" s="29" t="s">
        <v>4454</v>
      </c>
      <c r="B1849" s="53" t="s">
        <v>137</v>
      </c>
      <c r="C1849" s="53" t="s">
        <v>246</v>
      </c>
      <c r="D1849" s="53" t="s">
        <v>172</v>
      </c>
      <c r="E1849" s="32">
        <v>64582.942800000012</v>
      </c>
      <c r="F1849" s="53" t="s">
        <v>4073</v>
      </c>
    </row>
    <row r="1850" spans="1:6">
      <c r="A1850" s="29" t="s">
        <v>4454</v>
      </c>
      <c r="B1850" s="53" t="s">
        <v>170</v>
      </c>
      <c r="C1850" s="53" t="s">
        <v>259</v>
      </c>
      <c r="D1850" s="53" t="s">
        <v>172</v>
      </c>
      <c r="E1850" s="32">
        <v>285555.81759999995</v>
      </c>
      <c r="F1850" s="53" t="s">
        <v>4073</v>
      </c>
    </row>
    <row r="1851" spans="1:6">
      <c r="A1851" s="29" t="s">
        <v>4454</v>
      </c>
      <c r="B1851" s="53" t="s">
        <v>170</v>
      </c>
      <c r="C1851" s="53" t="s">
        <v>276</v>
      </c>
      <c r="D1851" s="53" t="s">
        <v>172</v>
      </c>
      <c r="E1851" s="32">
        <v>83725.821599999981</v>
      </c>
      <c r="F1851" s="53" t="s">
        <v>4073</v>
      </c>
    </row>
    <row r="1852" spans="1:6">
      <c r="A1852" s="29" t="s">
        <v>4454</v>
      </c>
      <c r="B1852" s="53" t="s">
        <v>170</v>
      </c>
      <c r="C1852" s="53" t="s">
        <v>240</v>
      </c>
      <c r="D1852" s="53" t="s">
        <v>172</v>
      </c>
      <c r="E1852" s="32">
        <v>23874.191600000002</v>
      </c>
      <c r="F1852" s="53" t="s">
        <v>4073</v>
      </c>
    </row>
    <row r="1853" spans="1:6">
      <c r="A1853" s="29" t="s">
        <v>4454</v>
      </c>
      <c r="B1853" s="53" t="s">
        <v>170</v>
      </c>
      <c r="C1853" s="53" t="s">
        <v>251</v>
      </c>
      <c r="D1853" s="53" t="s">
        <v>226</v>
      </c>
      <c r="E1853" s="32">
        <v>61429.978000000025</v>
      </c>
      <c r="F1853" s="53" t="s">
        <v>4073</v>
      </c>
    </row>
    <row r="1854" spans="1:6">
      <c r="A1854" s="29" t="s">
        <v>4454</v>
      </c>
      <c r="B1854" s="53" t="s">
        <v>170</v>
      </c>
      <c r="C1854" s="53" t="s">
        <v>256</v>
      </c>
      <c r="D1854" s="53" t="s">
        <v>172</v>
      </c>
      <c r="E1854" s="32">
        <v>29745.087199999998</v>
      </c>
      <c r="F1854" s="53" t="s">
        <v>4073</v>
      </c>
    </row>
    <row r="1855" spans="1:6">
      <c r="A1855" s="29" t="s">
        <v>4454</v>
      </c>
      <c r="B1855" s="53" t="s">
        <v>170</v>
      </c>
      <c r="C1855" s="53" t="s">
        <v>311</v>
      </c>
      <c r="D1855" s="53" t="s">
        <v>172</v>
      </c>
      <c r="E1855" s="32">
        <v>41426.639600000002</v>
      </c>
      <c r="F1855" s="53" t="s">
        <v>4073</v>
      </c>
    </row>
    <row r="1856" spans="1:6">
      <c r="A1856" s="29" t="s">
        <v>4454</v>
      </c>
      <c r="B1856" s="53" t="s">
        <v>170</v>
      </c>
      <c r="C1856" s="53" t="s">
        <v>171</v>
      </c>
      <c r="D1856" s="53" t="s">
        <v>172</v>
      </c>
      <c r="E1856" s="32">
        <v>116939.79520000004</v>
      </c>
      <c r="F1856" s="53" t="s">
        <v>4073</v>
      </c>
    </row>
    <row r="1857" spans="1:6">
      <c r="A1857" s="29" t="s">
        <v>4454</v>
      </c>
      <c r="B1857" s="53" t="s">
        <v>170</v>
      </c>
      <c r="C1857" s="53" t="s">
        <v>252</v>
      </c>
      <c r="D1857" s="53" t="s">
        <v>226</v>
      </c>
      <c r="E1857" s="32">
        <v>22361.542799999999</v>
      </c>
      <c r="F1857" s="53" t="s">
        <v>4073</v>
      </c>
    </row>
    <row r="1858" spans="1:6">
      <c r="A1858" s="29" t="s">
        <v>4454</v>
      </c>
      <c r="B1858" s="53" t="s">
        <v>170</v>
      </c>
      <c r="C1858" s="53" t="s">
        <v>296</v>
      </c>
      <c r="D1858" s="53" t="s">
        <v>226</v>
      </c>
      <c r="E1858" s="32">
        <v>23396.366799999996</v>
      </c>
      <c r="F1858" s="53" t="s">
        <v>4073</v>
      </c>
    </row>
    <row r="1859" spans="1:6">
      <c r="A1859" s="29" t="s">
        <v>4454</v>
      </c>
      <c r="B1859" s="53" t="s">
        <v>170</v>
      </c>
      <c r="C1859" s="53" t="s">
        <v>173</v>
      </c>
      <c r="D1859" s="53" t="s">
        <v>172</v>
      </c>
      <c r="E1859" s="32">
        <v>154594.29680000001</v>
      </c>
      <c r="F1859" s="53" t="s">
        <v>4073</v>
      </c>
    </row>
    <row r="1860" spans="1:6">
      <c r="A1860" s="29" t="s">
        <v>4454</v>
      </c>
      <c r="B1860" s="53" t="s">
        <v>170</v>
      </c>
      <c r="C1860" s="53" t="s">
        <v>225</v>
      </c>
      <c r="D1860" s="53" t="s">
        <v>226</v>
      </c>
      <c r="E1860" s="32">
        <v>38341.271999999997</v>
      </c>
      <c r="F1860" s="53" t="s">
        <v>4073</v>
      </c>
    </row>
    <row r="1861" spans="1:6">
      <c r="A1861" s="29" t="s">
        <v>4454</v>
      </c>
      <c r="B1861" s="53" t="s">
        <v>176</v>
      </c>
      <c r="C1861" s="53" t="s">
        <v>262</v>
      </c>
      <c r="D1861" s="53" t="s">
        <v>172</v>
      </c>
      <c r="E1861" s="32">
        <v>18780.797600000002</v>
      </c>
      <c r="F1861" s="53" t="s">
        <v>4073</v>
      </c>
    </row>
    <row r="1862" spans="1:6">
      <c r="A1862" s="29" t="s">
        <v>4454</v>
      </c>
      <c r="B1862" s="53" t="s">
        <v>176</v>
      </c>
      <c r="C1862" s="53" t="s">
        <v>253</v>
      </c>
      <c r="D1862" s="53" t="s">
        <v>172</v>
      </c>
      <c r="E1862" s="32">
        <v>24883.984799999998</v>
      </c>
      <c r="F1862" s="53" t="s">
        <v>4073</v>
      </c>
    </row>
    <row r="1863" spans="1:6">
      <c r="A1863" s="29" t="s">
        <v>4454</v>
      </c>
      <c r="B1863" s="53" t="s">
        <v>176</v>
      </c>
      <c r="C1863" s="53" t="s">
        <v>177</v>
      </c>
      <c r="D1863" s="53" t="s">
        <v>172</v>
      </c>
      <c r="E1863" s="32">
        <v>20616.596400000002</v>
      </c>
      <c r="F1863" s="53" t="s">
        <v>4073</v>
      </c>
    </row>
    <row r="1864" spans="1:6">
      <c r="A1864" s="29" t="s">
        <v>4454</v>
      </c>
      <c r="B1864" s="53" t="s">
        <v>176</v>
      </c>
      <c r="C1864" s="53" t="s">
        <v>231</v>
      </c>
      <c r="D1864" s="53" t="s">
        <v>172</v>
      </c>
      <c r="E1864" s="32">
        <v>23006.322</v>
      </c>
      <c r="F1864" s="53" t="s">
        <v>4073</v>
      </c>
    </row>
    <row r="1865" spans="1:6">
      <c r="A1865" s="29" t="s">
        <v>4454</v>
      </c>
      <c r="B1865" s="53" t="s">
        <v>180</v>
      </c>
      <c r="C1865" s="53" t="s">
        <v>181</v>
      </c>
      <c r="D1865" s="53" t="s">
        <v>172</v>
      </c>
      <c r="E1865" s="32">
        <v>33952.416799999999</v>
      </c>
      <c r="F1865" s="53" t="s">
        <v>4073</v>
      </c>
    </row>
    <row r="1866" spans="1:6">
      <c r="A1866" s="29" t="s">
        <v>4454</v>
      </c>
      <c r="B1866" s="53" t="s">
        <v>180</v>
      </c>
      <c r="C1866" s="53" t="s">
        <v>263</v>
      </c>
      <c r="D1866" s="53" t="s">
        <v>172</v>
      </c>
      <c r="E1866" s="32">
        <v>202969.3468</v>
      </c>
      <c r="F1866" s="53" t="s">
        <v>4073</v>
      </c>
    </row>
    <row r="1867" spans="1:6">
      <c r="A1867" s="29" t="s">
        <v>4454</v>
      </c>
      <c r="B1867" s="53" t="s">
        <v>180</v>
      </c>
      <c r="C1867" s="53" t="s">
        <v>277</v>
      </c>
      <c r="D1867" s="53" t="s">
        <v>172</v>
      </c>
      <c r="E1867" s="32">
        <v>89754.48400000004</v>
      </c>
      <c r="F1867" s="53" t="s">
        <v>4073</v>
      </c>
    </row>
    <row r="1868" spans="1:6">
      <c r="A1868" s="29" t="s">
        <v>4454</v>
      </c>
      <c r="B1868" s="53" t="s">
        <v>180</v>
      </c>
      <c r="C1868" s="53" t="s">
        <v>300</v>
      </c>
      <c r="D1868" s="53" t="s">
        <v>172</v>
      </c>
      <c r="E1868" s="32">
        <v>66716.690000000031</v>
      </c>
      <c r="F1868" s="53" t="s">
        <v>4073</v>
      </c>
    </row>
    <row r="1869" spans="1:6">
      <c r="A1869" s="29" t="s">
        <v>4454</v>
      </c>
      <c r="B1869" s="53" t="s">
        <v>180</v>
      </c>
      <c r="C1869" s="53" t="s">
        <v>242</v>
      </c>
      <c r="D1869" s="53" t="s">
        <v>172</v>
      </c>
      <c r="E1869" s="32">
        <v>30307.581600000012</v>
      </c>
      <c r="F1869" s="53" t="s">
        <v>4073</v>
      </c>
    </row>
    <row r="1870" spans="1:6">
      <c r="A1870" s="29" t="s">
        <v>4454</v>
      </c>
      <c r="B1870" s="53" t="s">
        <v>180</v>
      </c>
      <c r="C1870" s="53" t="s">
        <v>254</v>
      </c>
      <c r="D1870" s="53" t="s">
        <v>172</v>
      </c>
      <c r="E1870" s="32">
        <v>147237.70040000003</v>
      </c>
      <c r="F1870" s="53" t="s">
        <v>4073</v>
      </c>
    </row>
    <row r="1871" spans="1:6">
      <c r="A1871" s="29" t="s">
        <v>4454</v>
      </c>
      <c r="B1871" s="53" t="s">
        <v>180</v>
      </c>
      <c r="C1871" s="53" t="s">
        <v>305</v>
      </c>
      <c r="D1871" s="53" t="s">
        <v>172</v>
      </c>
      <c r="E1871" s="32">
        <v>72706.093999999983</v>
      </c>
      <c r="F1871" s="53" t="s">
        <v>4073</v>
      </c>
    </row>
    <row r="1872" spans="1:6">
      <c r="A1872" s="29" t="s">
        <v>4454</v>
      </c>
      <c r="B1872" s="53" t="s">
        <v>180</v>
      </c>
      <c r="C1872" s="53" t="s">
        <v>297</v>
      </c>
      <c r="D1872" s="53" t="s">
        <v>172</v>
      </c>
      <c r="E1872" s="32">
        <v>149784.73479999992</v>
      </c>
      <c r="F1872" s="53" t="s">
        <v>4073</v>
      </c>
    </row>
    <row r="1873" spans="1:6">
      <c r="A1873" s="29" t="s">
        <v>4454</v>
      </c>
      <c r="B1873" s="53" t="s">
        <v>180</v>
      </c>
      <c r="C1873" s="53" t="s">
        <v>314</v>
      </c>
      <c r="D1873" s="53" t="s">
        <v>172</v>
      </c>
      <c r="E1873" s="32">
        <v>28347.801600000006</v>
      </c>
      <c r="F1873" s="53" t="s">
        <v>4073</v>
      </c>
    </row>
    <row r="1874" spans="1:6">
      <c r="A1874" s="29" t="s">
        <v>4454</v>
      </c>
      <c r="B1874" s="53" t="s">
        <v>180</v>
      </c>
      <c r="C1874" s="53" t="s">
        <v>182</v>
      </c>
      <c r="D1874" s="53" t="s">
        <v>172</v>
      </c>
      <c r="E1874" s="32">
        <v>151398.94919999997</v>
      </c>
      <c r="F1874" s="53" t="s">
        <v>4073</v>
      </c>
    </row>
    <row r="1875" spans="1:6">
      <c r="A1875" s="29" t="s">
        <v>4454</v>
      </c>
      <c r="B1875" s="53" t="s">
        <v>149</v>
      </c>
      <c r="C1875" s="53" t="s">
        <v>4110</v>
      </c>
      <c r="D1875" s="53" t="s">
        <v>151</v>
      </c>
      <c r="E1875" s="32">
        <v>127882.97797722</v>
      </c>
      <c r="F1875" s="53" t="s">
        <v>4073</v>
      </c>
    </row>
    <row r="1876" spans="1:6">
      <c r="A1876" s="29" t="s">
        <v>4454</v>
      </c>
      <c r="B1876" s="53" t="s">
        <v>149</v>
      </c>
      <c r="C1876" s="53" t="s">
        <v>166</v>
      </c>
      <c r="D1876" s="53" t="s">
        <v>151</v>
      </c>
      <c r="E1876" s="32">
        <v>111349.300888065</v>
      </c>
      <c r="F1876" s="53" t="s">
        <v>4073</v>
      </c>
    </row>
    <row r="1877" spans="1:6">
      <c r="A1877" s="29" t="s">
        <v>4454</v>
      </c>
      <c r="B1877" s="53" t="s">
        <v>149</v>
      </c>
      <c r="C1877" s="53" t="s">
        <v>163</v>
      </c>
      <c r="D1877" s="53" t="s">
        <v>164</v>
      </c>
      <c r="E1877" s="32">
        <v>129509.69041951001</v>
      </c>
      <c r="F1877" s="53" t="s">
        <v>4073</v>
      </c>
    </row>
    <row r="1878" spans="1:6">
      <c r="A1878" s="29" t="s">
        <v>4454</v>
      </c>
      <c r="B1878" s="53" t="s">
        <v>149</v>
      </c>
      <c r="C1878" s="53" t="s">
        <v>150</v>
      </c>
      <c r="D1878" s="53" t="s">
        <v>151</v>
      </c>
      <c r="E1878" s="32">
        <v>194085.80968825499</v>
      </c>
      <c r="F1878" s="53" t="s">
        <v>4073</v>
      </c>
    </row>
    <row r="1879" spans="1:6">
      <c r="A1879" s="29" t="s">
        <v>4454</v>
      </c>
      <c r="B1879" s="53" t="s">
        <v>149</v>
      </c>
      <c r="C1879" s="53" t="s">
        <v>156</v>
      </c>
      <c r="D1879" s="53" t="s">
        <v>151</v>
      </c>
      <c r="E1879" s="32">
        <v>16744.497139344199</v>
      </c>
      <c r="F1879" s="53" t="s">
        <v>4073</v>
      </c>
    </row>
    <row r="1880" spans="1:6">
      <c r="A1880" s="29" t="s">
        <v>4454</v>
      </c>
      <c r="B1880" s="53" t="s">
        <v>170</v>
      </c>
      <c r="C1880" s="53" t="s">
        <v>230</v>
      </c>
      <c r="D1880" s="53" t="s">
        <v>172</v>
      </c>
      <c r="E1880" s="32">
        <v>264979.26829268498</v>
      </c>
      <c r="F1880" s="53" t="s">
        <v>4073</v>
      </c>
    </row>
    <row r="1881" spans="1:6">
      <c r="A1881" s="29" t="s">
        <v>4454</v>
      </c>
      <c r="B1881" s="53" t="s">
        <v>170</v>
      </c>
      <c r="C1881" s="53" t="s">
        <v>260</v>
      </c>
      <c r="D1881" s="53" t="s">
        <v>261</v>
      </c>
      <c r="E1881" s="32">
        <v>24430.157645961699</v>
      </c>
      <c r="F1881" s="53" t="s">
        <v>4073</v>
      </c>
    </row>
    <row r="1882" spans="1:6">
      <c r="A1882" s="29" t="s">
        <v>4454</v>
      </c>
      <c r="B1882" s="53" t="s">
        <v>170</v>
      </c>
      <c r="C1882" s="53" t="s">
        <v>4077</v>
      </c>
      <c r="D1882" s="53" t="s">
        <v>226</v>
      </c>
      <c r="E1882" s="32">
        <v>36066.6666666643</v>
      </c>
      <c r="F1882" s="53" t="s">
        <v>4073</v>
      </c>
    </row>
    <row r="1883" spans="1:6">
      <c r="A1883" s="29" t="s">
        <v>4454</v>
      </c>
      <c r="B1883" s="53" t="s">
        <v>170</v>
      </c>
      <c r="C1883" s="53" t="s">
        <v>238</v>
      </c>
      <c r="D1883" s="53" t="s">
        <v>239</v>
      </c>
      <c r="E1883" s="32">
        <v>29062.313127203699</v>
      </c>
      <c r="F1883" s="53" t="s">
        <v>4073</v>
      </c>
    </row>
    <row r="1884" spans="1:6">
      <c r="A1884" s="29" t="s">
        <v>4454</v>
      </c>
      <c r="B1884" s="53" t="s">
        <v>170</v>
      </c>
      <c r="C1884" s="53" t="s">
        <v>309</v>
      </c>
      <c r="D1884" s="53" t="s">
        <v>4078</v>
      </c>
      <c r="E1884" s="32">
        <v>78080.853020496797</v>
      </c>
      <c r="F1884" s="53" t="s">
        <v>4073</v>
      </c>
    </row>
    <row r="1885" spans="1:6">
      <c r="A1885" s="29" t="s">
        <v>4454</v>
      </c>
      <c r="B1885" s="53" t="s">
        <v>170</v>
      </c>
      <c r="C1885" s="53" t="s">
        <v>295</v>
      </c>
      <c r="D1885" s="53" t="s">
        <v>261</v>
      </c>
      <c r="E1885" s="32">
        <v>28069.2528790006</v>
      </c>
      <c r="F1885" s="53" t="s">
        <v>4073</v>
      </c>
    </row>
    <row r="1886" spans="1:6">
      <c r="A1886" s="29" t="s">
        <v>4454</v>
      </c>
      <c r="B1886" s="53" t="s">
        <v>249</v>
      </c>
      <c r="C1886" s="53" t="s">
        <v>4113</v>
      </c>
      <c r="D1886" s="53" t="s">
        <v>172</v>
      </c>
      <c r="E1886" s="32">
        <v>65237.675085954303</v>
      </c>
      <c r="F1886" s="53" t="s">
        <v>4073</v>
      </c>
    </row>
    <row r="1887" spans="1:6">
      <c r="A1887" s="29" t="s">
        <v>4454</v>
      </c>
      <c r="B1887" s="53" t="s">
        <v>249</v>
      </c>
      <c r="C1887" s="53" t="s">
        <v>4128</v>
      </c>
      <c r="D1887" s="53" t="s">
        <v>226</v>
      </c>
      <c r="E1887" s="32">
        <v>75352.251700679597</v>
      </c>
      <c r="F1887" s="53" t="s">
        <v>4073</v>
      </c>
    </row>
    <row r="1888" spans="1:6">
      <c r="A1888" s="29" t="s">
        <v>4454</v>
      </c>
      <c r="B1888" s="53" t="s">
        <v>249</v>
      </c>
      <c r="C1888" s="53" t="s">
        <v>4129</v>
      </c>
      <c r="D1888" s="53" t="s">
        <v>172</v>
      </c>
      <c r="E1888" s="32">
        <v>231699.04787282189</v>
      </c>
      <c r="F1888" s="53" t="s">
        <v>4073</v>
      </c>
    </row>
    <row r="1889" spans="1:6">
      <c r="A1889" s="29" t="s">
        <v>4454</v>
      </c>
      <c r="B1889" s="53" t="s">
        <v>249</v>
      </c>
      <c r="C1889" s="53" t="s">
        <v>4130</v>
      </c>
      <c r="D1889" s="53" t="s">
        <v>172</v>
      </c>
      <c r="E1889" s="32">
        <v>30409.090909090901</v>
      </c>
      <c r="F1889" s="53" t="s">
        <v>4073</v>
      </c>
    </row>
    <row r="1890" spans="1:6">
      <c r="A1890" s="29" t="s">
        <v>4454</v>
      </c>
      <c r="B1890" s="53" t="s">
        <v>249</v>
      </c>
      <c r="C1890" s="53" t="s">
        <v>4131</v>
      </c>
      <c r="D1890" s="53" t="s">
        <v>172</v>
      </c>
      <c r="E1890" s="32">
        <v>126785.714285714</v>
      </c>
      <c r="F1890" s="53" t="s">
        <v>4073</v>
      </c>
    </row>
    <row r="1891" spans="1:6">
      <c r="A1891" s="29" t="s">
        <v>4454</v>
      </c>
      <c r="B1891" s="53" t="s">
        <v>249</v>
      </c>
      <c r="C1891" s="53" t="s">
        <v>316</v>
      </c>
      <c r="D1891" s="53" t="s">
        <v>172</v>
      </c>
      <c r="E1891" s="32">
        <v>46378.174603168998</v>
      </c>
      <c r="F1891" s="53" t="s">
        <v>4073</v>
      </c>
    </row>
    <row r="1892" spans="1:6">
      <c r="A1892" s="29" t="s">
        <v>4454</v>
      </c>
      <c r="B1892" s="53" t="s">
        <v>249</v>
      </c>
      <c r="C1892" s="53" t="s">
        <v>4132</v>
      </c>
      <c r="D1892" s="53" t="s">
        <v>172</v>
      </c>
      <c r="E1892" s="32">
        <v>46031.944444449997</v>
      </c>
      <c r="F1892" s="53" t="s">
        <v>4073</v>
      </c>
    </row>
    <row r="1893" spans="1:6">
      <c r="A1893" s="29" t="s">
        <v>4454</v>
      </c>
      <c r="B1893" s="53" t="s">
        <v>249</v>
      </c>
      <c r="C1893" s="53" t="s">
        <v>4133</v>
      </c>
      <c r="D1893" s="53" t="s">
        <v>172</v>
      </c>
      <c r="E1893" s="32">
        <v>57912.060126068201</v>
      </c>
      <c r="F1893" s="53" t="s">
        <v>4073</v>
      </c>
    </row>
    <row r="1894" spans="1:6">
      <c r="A1894" s="29" t="s">
        <v>4454</v>
      </c>
      <c r="B1894" s="53" t="s">
        <v>249</v>
      </c>
      <c r="C1894" s="53" t="s">
        <v>4116</v>
      </c>
      <c r="D1894" s="53" t="s">
        <v>172</v>
      </c>
      <c r="E1894" s="32">
        <v>149732.64864864899</v>
      </c>
      <c r="F1894" s="53" t="s">
        <v>4073</v>
      </c>
    </row>
    <row r="1895" spans="1:6">
      <c r="A1895" s="29" t="s">
        <v>4454</v>
      </c>
      <c r="B1895" s="53" t="s">
        <v>249</v>
      </c>
      <c r="C1895" s="53" t="s">
        <v>4134</v>
      </c>
      <c r="D1895" s="53" t="s">
        <v>172</v>
      </c>
      <c r="E1895" s="32">
        <v>147711.87105263601</v>
      </c>
      <c r="F1895" s="53" t="s">
        <v>4073</v>
      </c>
    </row>
    <row r="1896" spans="1:6">
      <c r="A1896" s="29" t="s">
        <v>4454</v>
      </c>
      <c r="B1896" s="53" t="s">
        <v>249</v>
      </c>
      <c r="C1896" s="53" t="s">
        <v>4135</v>
      </c>
      <c r="D1896" s="53" t="s">
        <v>226</v>
      </c>
      <c r="E1896" s="32">
        <v>76550</v>
      </c>
      <c r="F1896" s="53" t="s">
        <v>4073</v>
      </c>
    </row>
    <row r="1897" spans="1:6">
      <c r="A1897" s="29" t="s">
        <v>4454</v>
      </c>
      <c r="B1897" s="53" t="s">
        <v>249</v>
      </c>
      <c r="C1897" s="53" t="s">
        <v>4136</v>
      </c>
      <c r="D1897" s="53" t="s">
        <v>226</v>
      </c>
      <c r="E1897" s="32">
        <v>104990</v>
      </c>
      <c r="F1897" s="53" t="s">
        <v>4073</v>
      </c>
    </row>
    <row r="1898" spans="1:6">
      <c r="A1898" s="29" t="s">
        <v>4454</v>
      </c>
      <c r="B1898" s="53" t="s">
        <v>249</v>
      </c>
      <c r="C1898" s="53" t="s">
        <v>4137</v>
      </c>
      <c r="D1898" s="53" t="s">
        <v>4142</v>
      </c>
      <c r="E1898" s="32">
        <v>53773.611111108301</v>
      </c>
      <c r="F1898" s="53" t="s">
        <v>4073</v>
      </c>
    </row>
    <row r="1899" spans="1:6">
      <c r="A1899" s="29" t="s">
        <v>4454</v>
      </c>
      <c r="B1899" s="53" t="s">
        <v>249</v>
      </c>
      <c r="C1899" s="53" t="s">
        <v>4138</v>
      </c>
      <c r="D1899" s="53" t="s">
        <v>4142</v>
      </c>
      <c r="E1899" s="32">
        <v>89555.040650399998</v>
      </c>
      <c r="F1899" s="53" t="s">
        <v>4073</v>
      </c>
    </row>
    <row r="1900" spans="1:6">
      <c r="A1900" s="29" t="s">
        <v>4454</v>
      </c>
      <c r="B1900" s="53" t="s">
        <v>249</v>
      </c>
      <c r="C1900" s="53" t="s">
        <v>4139</v>
      </c>
      <c r="D1900" s="53" t="s">
        <v>4142</v>
      </c>
      <c r="E1900" s="32">
        <v>44212.121212127298</v>
      </c>
      <c r="F1900" s="53" t="s">
        <v>4073</v>
      </c>
    </row>
    <row r="1901" spans="1:6">
      <c r="A1901" s="29" t="s">
        <v>4454</v>
      </c>
      <c r="B1901" s="53" t="s">
        <v>249</v>
      </c>
      <c r="C1901" s="53" t="s">
        <v>4140</v>
      </c>
      <c r="D1901" s="53" t="s">
        <v>4142</v>
      </c>
      <c r="E1901" s="32">
        <v>49487.800768815599</v>
      </c>
      <c r="F1901" s="53" t="s">
        <v>4073</v>
      </c>
    </row>
    <row r="1902" spans="1:6">
      <c r="A1902" s="29" t="s">
        <v>4454</v>
      </c>
      <c r="B1902" s="53" t="s">
        <v>249</v>
      </c>
      <c r="C1902" s="53" t="s">
        <v>4141</v>
      </c>
      <c r="D1902" s="53" t="s">
        <v>4142</v>
      </c>
      <c r="E1902" s="32">
        <v>45014.916003855302</v>
      </c>
      <c r="F1902" s="53" t="s">
        <v>4073</v>
      </c>
    </row>
    <row r="1903" spans="1:6">
      <c r="A1903" s="29" t="s">
        <v>4454</v>
      </c>
      <c r="B1903" s="53" t="s">
        <v>180</v>
      </c>
      <c r="C1903" s="53" t="s">
        <v>241</v>
      </c>
      <c r="D1903" s="53" t="s">
        <v>4224</v>
      </c>
      <c r="E1903" s="32">
        <v>27783.1738609079</v>
      </c>
      <c r="F1903" s="53" t="s">
        <v>4073</v>
      </c>
    </row>
    <row r="1904" spans="1:6">
      <c r="A1904" s="29" t="s">
        <v>4454</v>
      </c>
      <c r="B1904" s="53" t="s">
        <v>180</v>
      </c>
      <c r="C1904" s="53" t="s">
        <v>4114</v>
      </c>
      <c r="D1904" s="53" t="s">
        <v>172</v>
      </c>
      <c r="E1904" s="32">
        <v>26303.824059353399</v>
      </c>
      <c r="F1904" s="53" t="s">
        <v>4073</v>
      </c>
    </row>
    <row r="1905" spans="1:6">
      <c r="A1905" s="29" t="s">
        <v>4454</v>
      </c>
      <c r="B1905" s="53" t="s">
        <v>249</v>
      </c>
      <c r="C1905" s="53" t="s">
        <v>4226</v>
      </c>
      <c r="D1905" s="53" t="s">
        <v>4225</v>
      </c>
      <c r="E1905" s="32">
        <v>60000</v>
      </c>
      <c r="F1905" s="53" t="s">
        <v>4073</v>
      </c>
    </row>
    <row r="1906" spans="1:6">
      <c r="A1906" s="29" t="s">
        <v>4454</v>
      </c>
      <c r="B1906" s="53" t="s">
        <v>149</v>
      </c>
      <c r="C1906" s="53" t="s">
        <v>159</v>
      </c>
      <c r="D1906" s="53" t="s">
        <v>4228</v>
      </c>
      <c r="E1906" s="32">
        <v>11457.9436403694</v>
      </c>
      <c r="F1906" s="53" t="s">
        <v>4073</v>
      </c>
    </row>
    <row r="1907" spans="1:6">
      <c r="A1907" s="29" t="s">
        <v>4454</v>
      </c>
      <c r="B1907" s="53" t="s">
        <v>176</v>
      </c>
      <c r="C1907" s="53" t="s">
        <v>4145</v>
      </c>
      <c r="D1907" s="53" t="s">
        <v>172</v>
      </c>
      <c r="E1907" s="32">
        <v>19889.1857318574</v>
      </c>
      <c r="F1907" s="53" t="s">
        <v>4073</v>
      </c>
    </row>
    <row r="1908" spans="1:6">
      <c r="A1908" s="29" t="s">
        <v>4454</v>
      </c>
      <c r="B1908" s="53" t="s">
        <v>176</v>
      </c>
      <c r="C1908" s="53" t="s">
        <v>4112</v>
      </c>
      <c r="D1908" s="53" t="s">
        <v>226</v>
      </c>
      <c r="E1908" s="32">
        <v>28373.316498316399</v>
      </c>
      <c r="F1908" s="53" t="s">
        <v>4073</v>
      </c>
    </row>
    <row r="1909" spans="1:6">
      <c r="A1909" s="53" t="s">
        <v>3831</v>
      </c>
      <c r="B1909" s="53" t="s">
        <v>223</v>
      </c>
      <c r="C1909" s="53" t="s">
        <v>224</v>
      </c>
      <c r="D1909" s="53" t="s">
        <v>197</v>
      </c>
      <c r="E1909" s="32">
        <v>16000</v>
      </c>
      <c r="F1909" s="53" t="s">
        <v>4073</v>
      </c>
    </row>
    <row r="1910" spans="1:6">
      <c r="A1910" s="53" t="s">
        <v>3831</v>
      </c>
      <c r="B1910" s="53" t="s">
        <v>223</v>
      </c>
      <c r="C1910" s="53" t="s">
        <v>236</v>
      </c>
      <c r="D1910" s="53" t="s">
        <v>197</v>
      </c>
      <c r="E1910" s="32">
        <v>3000</v>
      </c>
      <c r="F1910" s="53" t="s">
        <v>4073</v>
      </c>
    </row>
    <row r="1911" spans="1:6">
      <c r="A1911" s="53" t="s">
        <v>3831</v>
      </c>
      <c r="B1911" s="53" t="s">
        <v>223</v>
      </c>
      <c r="C1911" s="53" t="s">
        <v>255</v>
      </c>
      <c r="D1911" s="53" t="s">
        <v>197</v>
      </c>
      <c r="E1911" s="32">
        <v>600</v>
      </c>
      <c r="F1911" s="53" t="s">
        <v>4073</v>
      </c>
    </row>
    <row r="1912" spans="1:6">
      <c r="A1912" s="53" t="s">
        <v>3831</v>
      </c>
      <c r="B1912" s="53" t="s">
        <v>223</v>
      </c>
      <c r="C1912" s="53" t="s">
        <v>264</v>
      </c>
      <c r="D1912" s="53" t="s">
        <v>197</v>
      </c>
      <c r="E1912" s="32">
        <v>12000</v>
      </c>
      <c r="F1912" s="53" t="s">
        <v>4073</v>
      </c>
    </row>
    <row r="1913" spans="1:6">
      <c r="A1913" s="53" t="s">
        <v>3831</v>
      </c>
      <c r="B1913" s="53" t="s">
        <v>223</v>
      </c>
      <c r="C1913" s="53" t="s">
        <v>267</v>
      </c>
      <c r="D1913" s="53" t="s">
        <v>197</v>
      </c>
      <c r="E1913" s="32">
        <v>13500</v>
      </c>
      <c r="F1913" s="53" t="s">
        <v>4073</v>
      </c>
    </row>
    <row r="1914" spans="1:6">
      <c r="A1914" s="53" t="s">
        <v>3831</v>
      </c>
      <c r="B1914" s="53" t="s">
        <v>223</v>
      </c>
      <c r="C1914" s="53" t="s">
        <v>269</v>
      </c>
      <c r="D1914" s="53" t="s">
        <v>197</v>
      </c>
      <c r="E1914" s="32">
        <v>12000</v>
      </c>
      <c r="F1914" s="53" t="s">
        <v>4073</v>
      </c>
    </row>
    <row r="1915" spans="1:6">
      <c r="A1915" s="53" t="s">
        <v>3831</v>
      </c>
      <c r="B1915" s="53" t="s">
        <v>223</v>
      </c>
      <c r="C1915" s="53" t="s">
        <v>271</v>
      </c>
      <c r="D1915" s="53" t="s">
        <v>197</v>
      </c>
      <c r="E1915" s="32">
        <v>12000</v>
      </c>
      <c r="F1915" s="53" t="s">
        <v>4073</v>
      </c>
    </row>
    <row r="1916" spans="1:6">
      <c r="A1916" s="53" t="s">
        <v>3831</v>
      </c>
      <c r="B1916" s="53" t="s">
        <v>223</v>
      </c>
      <c r="C1916" s="53" t="s">
        <v>285</v>
      </c>
      <c r="D1916" s="53" t="s">
        <v>197</v>
      </c>
      <c r="E1916" s="32">
        <v>9000</v>
      </c>
      <c r="F1916" s="53" t="s">
        <v>4073</v>
      </c>
    </row>
    <row r="1917" spans="1:6">
      <c r="A1917" s="53" t="s">
        <v>3831</v>
      </c>
      <c r="B1917" s="53" t="s">
        <v>223</v>
      </c>
      <c r="C1917" s="53" t="s">
        <v>298</v>
      </c>
      <c r="D1917" s="53" t="s">
        <v>197</v>
      </c>
      <c r="E1917" s="32">
        <v>22000</v>
      </c>
      <c r="F1917" s="53" t="s">
        <v>4073</v>
      </c>
    </row>
    <row r="1918" spans="1:6">
      <c r="A1918" s="53" t="s">
        <v>3831</v>
      </c>
      <c r="B1918" s="53" t="s">
        <v>223</v>
      </c>
      <c r="C1918" s="53" t="s">
        <v>302</v>
      </c>
      <c r="D1918" s="53" t="s">
        <v>197</v>
      </c>
      <c r="E1918" s="32">
        <v>30000</v>
      </c>
      <c r="F1918" s="53" t="s">
        <v>4073</v>
      </c>
    </row>
    <row r="1919" spans="1:6">
      <c r="A1919" s="53" t="s">
        <v>3831</v>
      </c>
      <c r="B1919" s="53" t="s">
        <v>223</v>
      </c>
      <c r="C1919" s="53" t="s">
        <v>308</v>
      </c>
      <c r="D1919" s="53" t="s">
        <v>197</v>
      </c>
      <c r="E1919" s="32">
        <v>3000</v>
      </c>
      <c r="F1919" s="53" t="s">
        <v>4073</v>
      </c>
    </row>
    <row r="1920" spans="1:6">
      <c r="A1920" s="53" t="s">
        <v>3831</v>
      </c>
      <c r="B1920" s="53" t="s">
        <v>223</v>
      </c>
      <c r="C1920" s="53" t="s">
        <v>4125</v>
      </c>
      <c r="D1920" s="53" t="s">
        <v>197</v>
      </c>
      <c r="E1920" s="32">
        <v>1420</v>
      </c>
      <c r="F1920" s="53" t="s">
        <v>4073</v>
      </c>
    </row>
    <row r="1921" spans="1:6">
      <c r="A1921" s="53" t="s">
        <v>3831</v>
      </c>
      <c r="B1921" s="53" t="s">
        <v>223</v>
      </c>
      <c r="C1921" s="53" t="s">
        <v>4121</v>
      </c>
      <c r="D1921" s="53" t="s">
        <v>197</v>
      </c>
      <c r="E1921" s="32">
        <v>1420</v>
      </c>
      <c r="F1921" s="53" t="s">
        <v>4073</v>
      </c>
    </row>
    <row r="1922" spans="1:6">
      <c r="A1922" s="53" t="s">
        <v>3831</v>
      </c>
      <c r="B1922" s="53" t="s">
        <v>223</v>
      </c>
      <c r="C1922" s="53" t="s">
        <v>4124</v>
      </c>
      <c r="D1922" s="53" t="s">
        <v>197</v>
      </c>
      <c r="E1922" s="32">
        <v>1420</v>
      </c>
      <c r="F1922" s="53" t="s">
        <v>4073</v>
      </c>
    </row>
    <row r="1923" spans="1:6">
      <c r="A1923" s="53" t="s">
        <v>3831</v>
      </c>
      <c r="B1923" s="53" t="s">
        <v>223</v>
      </c>
      <c r="C1923" s="53" t="s">
        <v>4117</v>
      </c>
      <c r="D1923" s="53" t="s">
        <v>197</v>
      </c>
      <c r="E1923" s="32">
        <v>11000</v>
      </c>
      <c r="F1923" s="53" t="s">
        <v>4073</v>
      </c>
    </row>
    <row r="1924" spans="1:6">
      <c r="A1924" s="53" t="s">
        <v>3831</v>
      </c>
      <c r="B1924" s="53" t="s">
        <v>223</v>
      </c>
      <c r="C1924" s="53" t="s">
        <v>4121</v>
      </c>
      <c r="D1924" s="53" t="s">
        <v>197</v>
      </c>
      <c r="E1924" s="32">
        <v>1420</v>
      </c>
      <c r="F1924" s="53" t="s">
        <v>4073</v>
      </c>
    </row>
    <row r="1925" spans="1:6">
      <c r="A1925" s="53" t="s">
        <v>3831</v>
      </c>
      <c r="B1925" s="53" t="s">
        <v>223</v>
      </c>
      <c r="C1925" s="53" t="s">
        <v>4121</v>
      </c>
      <c r="D1925" s="53" t="s">
        <v>197</v>
      </c>
      <c r="E1925" s="32">
        <v>1420</v>
      </c>
      <c r="F1925" s="53" t="s">
        <v>4073</v>
      </c>
    </row>
    <row r="1926" spans="1:6">
      <c r="A1926" s="53" t="s">
        <v>3831</v>
      </c>
      <c r="B1926" s="53" t="s">
        <v>223</v>
      </c>
      <c r="C1926" s="53" t="s">
        <v>4120</v>
      </c>
      <c r="D1926" s="53" t="s">
        <v>197</v>
      </c>
      <c r="E1926" s="32">
        <v>13500</v>
      </c>
      <c r="F1926" s="53" t="s">
        <v>4073</v>
      </c>
    </row>
    <row r="1927" spans="1:6">
      <c r="A1927" s="53" t="s">
        <v>3832</v>
      </c>
      <c r="B1927" s="53" t="s">
        <v>223</v>
      </c>
      <c r="C1927" s="53" t="s">
        <v>224</v>
      </c>
      <c r="D1927" s="53" t="s">
        <v>197</v>
      </c>
      <c r="E1927" s="32">
        <v>16000</v>
      </c>
      <c r="F1927" s="53" t="s">
        <v>4073</v>
      </c>
    </row>
    <row r="1928" spans="1:6">
      <c r="A1928" s="53" t="s">
        <v>3832</v>
      </c>
      <c r="B1928" s="53" t="s">
        <v>223</v>
      </c>
      <c r="C1928" s="53" t="s">
        <v>236</v>
      </c>
      <c r="D1928" s="53" t="s">
        <v>197</v>
      </c>
      <c r="E1928" s="32">
        <v>3000</v>
      </c>
      <c r="F1928" s="53" t="s">
        <v>4073</v>
      </c>
    </row>
    <row r="1929" spans="1:6">
      <c r="A1929" s="53" t="s">
        <v>3832</v>
      </c>
      <c r="B1929" s="53" t="s">
        <v>223</v>
      </c>
      <c r="C1929" s="53" t="s">
        <v>255</v>
      </c>
      <c r="D1929" s="53" t="s">
        <v>197</v>
      </c>
      <c r="E1929" s="32">
        <v>600</v>
      </c>
      <c r="F1929" s="53" t="s">
        <v>4073</v>
      </c>
    </row>
    <row r="1930" spans="1:6">
      <c r="A1930" s="53" t="s">
        <v>3832</v>
      </c>
      <c r="B1930" s="53" t="s">
        <v>223</v>
      </c>
      <c r="C1930" s="53" t="s">
        <v>264</v>
      </c>
      <c r="D1930" s="53" t="s">
        <v>197</v>
      </c>
      <c r="E1930" s="32">
        <v>12000</v>
      </c>
      <c r="F1930" s="53" t="s">
        <v>4073</v>
      </c>
    </row>
    <row r="1931" spans="1:6">
      <c r="A1931" s="53" t="s">
        <v>3832</v>
      </c>
      <c r="B1931" s="53" t="s">
        <v>223</v>
      </c>
      <c r="C1931" s="53" t="s">
        <v>267</v>
      </c>
      <c r="D1931" s="53" t="s">
        <v>197</v>
      </c>
      <c r="E1931" s="32">
        <v>13500</v>
      </c>
      <c r="F1931" s="53" t="s">
        <v>4073</v>
      </c>
    </row>
    <row r="1932" spans="1:6">
      <c r="A1932" s="53" t="s">
        <v>3832</v>
      </c>
      <c r="B1932" s="53" t="s">
        <v>223</v>
      </c>
      <c r="C1932" s="53" t="s">
        <v>269</v>
      </c>
      <c r="D1932" s="53" t="s">
        <v>197</v>
      </c>
      <c r="E1932" s="32">
        <v>12000</v>
      </c>
      <c r="F1932" s="53" t="s">
        <v>4073</v>
      </c>
    </row>
    <row r="1933" spans="1:6">
      <c r="A1933" s="53" t="s">
        <v>3832</v>
      </c>
      <c r="B1933" s="53" t="s">
        <v>223</v>
      </c>
      <c r="C1933" s="53" t="s">
        <v>271</v>
      </c>
      <c r="D1933" s="53" t="s">
        <v>197</v>
      </c>
      <c r="E1933" s="32">
        <v>12000</v>
      </c>
      <c r="F1933" s="53" t="s">
        <v>4073</v>
      </c>
    </row>
    <row r="1934" spans="1:6">
      <c r="A1934" s="53" t="s">
        <v>3832</v>
      </c>
      <c r="B1934" s="53" t="s">
        <v>223</v>
      </c>
      <c r="C1934" s="53" t="s">
        <v>285</v>
      </c>
      <c r="D1934" s="53" t="s">
        <v>197</v>
      </c>
      <c r="E1934" s="32">
        <v>9000</v>
      </c>
      <c r="F1934" s="53" t="s">
        <v>4073</v>
      </c>
    </row>
    <row r="1935" spans="1:6">
      <c r="A1935" s="53" t="s">
        <v>3832</v>
      </c>
      <c r="B1935" s="53" t="s">
        <v>223</v>
      </c>
      <c r="C1935" s="53" t="s">
        <v>298</v>
      </c>
      <c r="D1935" s="53" t="s">
        <v>197</v>
      </c>
      <c r="E1935" s="32">
        <v>22000</v>
      </c>
      <c r="F1935" s="53" t="s">
        <v>4073</v>
      </c>
    </row>
    <row r="1936" spans="1:6">
      <c r="A1936" s="53" t="s">
        <v>3832</v>
      </c>
      <c r="B1936" s="53" t="s">
        <v>223</v>
      </c>
      <c r="C1936" s="53" t="s">
        <v>302</v>
      </c>
      <c r="D1936" s="53" t="s">
        <v>197</v>
      </c>
      <c r="E1936" s="32">
        <v>30000</v>
      </c>
      <c r="F1936" s="53" t="s">
        <v>4073</v>
      </c>
    </row>
    <row r="1937" spans="1:6">
      <c r="A1937" s="53" t="s">
        <v>3832</v>
      </c>
      <c r="B1937" s="53" t="s">
        <v>223</v>
      </c>
      <c r="C1937" s="53" t="s">
        <v>308</v>
      </c>
      <c r="D1937" s="53" t="s">
        <v>197</v>
      </c>
      <c r="E1937" s="32">
        <v>3000</v>
      </c>
      <c r="F1937" s="53" t="s">
        <v>4073</v>
      </c>
    </row>
    <row r="1938" spans="1:6">
      <c r="A1938" s="53" t="s">
        <v>3832</v>
      </c>
      <c r="B1938" s="53" t="s">
        <v>223</v>
      </c>
      <c r="C1938" s="53" t="s">
        <v>4125</v>
      </c>
      <c r="D1938" s="53" t="s">
        <v>197</v>
      </c>
      <c r="E1938" s="32">
        <v>1420</v>
      </c>
      <c r="F1938" s="53" t="s">
        <v>4073</v>
      </c>
    </row>
    <row r="1939" spans="1:6">
      <c r="A1939" s="53" t="s">
        <v>3832</v>
      </c>
      <c r="B1939" s="53" t="s">
        <v>223</v>
      </c>
      <c r="C1939" s="53" t="s">
        <v>4121</v>
      </c>
      <c r="D1939" s="53" t="s">
        <v>197</v>
      </c>
      <c r="E1939" s="32">
        <v>1420</v>
      </c>
      <c r="F1939" s="53" t="s">
        <v>4073</v>
      </c>
    </row>
    <row r="1940" spans="1:6">
      <c r="A1940" s="53" t="s">
        <v>3832</v>
      </c>
      <c r="B1940" s="53" t="s">
        <v>223</v>
      </c>
      <c r="C1940" s="53" t="s">
        <v>4124</v>
      </c>
      <c r="D1940" s="53" t="s">
        <v>197</v>
      </c>
      <c r="E1940" s="32">
        <v>1420</v>
      </c>
      <c r="F1940" s="53" t="s">
        <v>4073</v>
      </c>
    </row>
    <row r="1941" spans="1:6">
      <c r="A1941" s="53" t="s">
        <v>3832</v>
      </c>
      <c r="B1941" s="53" t="s">
        <v>223</v>
      </c>
      <c r="C1941" s="53" t="s">
        <v>4117</v>
      </c>
      <c r="D1941" s="53" t="s">
        <v>197</v>
      </c>
      <c r="E1941" s="32">
        <v>11000</v>
      </c>
      <c r="F1941" s="53" t="s">
        <v>4073</v>
      </c>
    </row>
    <row r="1942" spans="1:6">
      <c r="A1942" s="53" t="s">
        <v>3832</v>
      </c>
      <c r="B1942" s="53" t="s">
        <v>223</v>
      </c>
      <c r="C1942" s="53" t="s">
        <v>4121</v>
      </c>
      <c r="D1942" s="53" t="s">
        <v>197</v>
      </c>
      <c r="E1942" s="32">
        <v>1420</v>
      </c>
      <c r="F1942" s="53" t="s">
        <v>4073</v>
      </c>
    </row>
    <row r="1943" spans="1:6">
      <c r="A1943" s="53" t="s">
        <v>3832</v>
      </c>
      <c r="B1943" s="53" t="s">
        <v>223</v>
      </c>
      <c r="C1943" s="53" t="s">
        <v>4121</v>
      </c>
      <c r="D1943" s="53" t="s">
        <v>197</v>
      </c>
      <c r="E1943" s="32">
        <v>1420</v>
      </c>
      <c r="F1943" s="53" t="s">
        <v>4073</v>
      </c>
    </row>
    <row r="1944" spans="1:6">
      <c r="A1944" s="53" t="s">
        <v>3832</v>
      </c>
      <c r="B1944" s="53" t="s">
        <v>223</v>
      </c>
      <c r="C1944" s="53" t="s">
        <v>4120</v>
      </c>
      <c r="D1944" s="53" t="s">
        <v>197</v>
      </c>
      <c r="E1944" s="32">
        <v>13500</v>
      </c>
      <c r="F1944" s="53" t="s">
        <v>4073</v>
      </c>
    </row>
    <row r="1945" spans="1:6">
      <c r="A1945" s="53" t="s">
        <v>3833</v>
      </c>
      <c r="B1945" s="53" t="s">
        <v>223</v>
      </c>
      <c r="C1945" s="53" t="s">
        <v>224</v>
      </c>
      <c r="D1945" s="53" t="s">
        <v>197</v>
      </c>
      <c r="E1945" s="32">
        <v>16000</v>
      </c>
      <c r="F1945" s="53" t="s">
        <v>4073</v>
      </c>
    </row>
    <row r="1946" spans="1:6">
      <c r="A1946" s="53" t="s">
        <v>3833</v>
      </c>
      <c r="B1946" s="53" t="s">
        <v>223</v>
      </c>
      <c r="C1946" s="53" t="s">
        <v>236</v>
      </c>
      <c r="D1946" s="53" t="s">
        <v>197</v>
      </c>
      <c r="E1946" s="32">
        <v>3000</v>
      </c>
      <c r="F1946" s="53" t="s">
        <v>4073</v>
      </c>
    </row>
    <row r="1947" spans="1:6">
      <c r="A1947" s="53" t="s">
        <v>3833</v>
      </c>
      <c r="B1947" s="53" t="s">
        <v>223</v>
      </c>
      <c r="C1947" s="53" t="s">
        <v>255</v>
      </c>
      <c r="D1947" s="53" t="s">
        <v>197</v>
      </c>
      <c r="E1947" s="32">
        <v>600</v>
      </c>
      <c r="F1947" s="53" t="s">
        <v>4073</v>
      </c>
    </row>
    <row r="1948" spans="1:6">
      <c r="A1948" s="53" t="s">
        <v>3833</v>
      </c>
      <c r="B1948" s="53" t="s">
        <v>223</v>
      </c>
      <c r="C1948" s="53" t="s">
        <v>264</v>
      </c>
      <c r="D1948" s="53" t="s">
        <v>197</v>
      </c>
      <c r="E1948" s="32">
        <v>12000</v>
      </c>
      <c r="F1948" s="53" t="s">
        <v>4073</v>
      </c>
    </row>
    <row r="1949" spans="1:6">
      <c r="A1949" s="53" t="s">
        <v>3833</v>
      </c>
      <c r="B1949" s="53" t="s">
        <v>223</v>
      </c>
      <c r="C1949" s="53" t="s">
        <v>267</v>
      </c>
      <c r="D1949" s="53" t="s">
        <v>197</v>
      </c>
      <c r="E1949" s="32">
        <v>13500</v>
      </c>
      <c r="F1949" s="53" t="s">
        <v>4073</v>
      </c>
    </row>
    <row r="1950" spans="1:6">
      <c r="A1950" s="53" t="s">
        <v>3833</v>
      </c>
      <c r="B1950" s="53" t="s">
        <v>223</v>
      </c>
      <c r="C1950" s="53" t="s">
        <v>269</v>
      </c>
      <c r="D1950" s="53" t="s">
        <v>197</v>
      </c>
      <c r="E1950" s="32">
        <v>12000</v>
      </c>
      <c r="F1950" s="53" t="s">
        <v>4073</v>
      </c>
    </row>
    <row r="1951" spans="1:6">
      <c r="A1951" s="53" t="s">
        <v>3833</v>
      </c>
      <c r="B1951" s="53" t="s">
        <v>223</v>
      </c>
      <c r="C1951" s="53" t="s">
        <v>271</v>
      </c>
      <c r="D1951" s="53" t="s">
        <v>197</v>
      </c>
      <c r="E1951" s="32">
        <v>12000</v>
      </c>
      <c r="F1951" s="53" t="s">
        <v>4073</v>
      </c>
    </row>
    <row r="1952" spans="1:6">
      <c r="A1952" s="53" t="s">
        <v>3833</v>
      </c>
      <c r="B1952" s="53" t="s">
        <v>223</v>
      </c>
      <c r="C1952" s="53" t="s">
        <v>285</v>
      </c>
      <c r="D1952" s="53" t="s">
        <v>197</v>
      </c>
      <c r="E1952" s="32">
        <v>9000</v>
      </c>
      <c r="F1952" s="53" t="s">
        <v>4073</v>
      </c>
    </row>
    <row r="1953" spans="1:6">
      <c r="A1953" s="53" t="s">
        <v>3833</v>
      </c>
      <c r="B1953" s="53" t="s">
        <v>223</v>
      </c>
      <c r="C1953" s="53" t="s">
        <v>298</v>
      </c>
      <c r="D1953" s="53" t="s">
        <v>197</v>
      </c>
      <c r="E1953" s="32">
        <v>22000</v>
      </c>
      <c r="F1953" s="53" t="s">
        <v>4073</v>
      </c>
    </row>
    <row r="1954" spans="1:6">
      <c r="A1954" s="53" t="s">
        <v>3833</v>
      </c>
      <c r="B1954" s="53" t="s">
        <v>223</v>
      </c>
      <c r="C1954" s="53" t="s">
        <v>302</v>
      </c>
      <c r="D1954" s="53" t="s">
        <v>197</v>
      </c>
      <c r="E1954" s="32">
        <v>30000</v>
      </c>
      <c r="F1954" s="53" t="s">
        <v>4073</v>
      </c>
    </row>
    <row r="1955" spans="1:6">
      <c r="A1955" s="53" t="s">
        <v>3833</v>
      </c>
      <c r="B1955" s="53" t="s">
        <v>223</v>
      </c>
      <c r="C1955" s="53" t="s">
        <v>308</v>
      </c>
      <c r="D1955" s="53" t="s">
        <v>197</v>
      </c>
      <c r="E1955" s="32">
        <v>3000</v>
      </c>
      <c r="F1955" s="53" t="s">
        <v>4073</v>
      </c>
    </row>
    <row r="1956" spans="1:6">
      <c r="A1956" s="53" t="s">
        <v>3833</v>
      </c>
      <c r="B1956" s="53" t="s">
        <v>223</v>
      </c>
      <c r="C1956" s="53" t="s">
        <v>4125</v>
      </c>
      <c r="D1956" s="53" t="s">
        <v>197</v>
      </c>
      <c r="E1956" s="32">
        <v>1420</v>
      </c>
      <c r="F1956" s="53" t="s">
        <v>4073</v>
      </c>
    </row>
    <row r="1957" spans="1:6">
      <c r="A1957" s="53" t="s">
        <v>3833</v>
      </c>
      <c r="B1957" s="53" t="s">
        <v>223</v>
      </c>
      <c r="C1957" s="53" t="s">
        <v>4121</v>
      </c>
      <c r="D1957" s="53" t="s">
        <v>197</v>
      </c>
      <c r="E1957" s="32">
        <v>1420</v>
      </c>
      <c r="F1957" s="53" t="s">
        <v>4073</v>
      </c>
    </row>
    <row r="1958" spans="1:6">
      <c r="A1958" s="53" t="s">
        <v>3833</v>
      </c>
      <c r="B1958" s="53" t="s">
        <v>223</v>
      </c>
      <c r="C1958" s="53" t="s">
        <v>4124</v>
      </c>
      <c r="D1958" s="53" t="s">
        <v>197</v>
      </c>
      <c r="E1958" s="32">
        <v>1420</v>
      </c>
      <c r="F1958" s="53" t="s">
        <v>4073</v>
      </c>
    </row>
    <row r="1959" spans="1:6">
      <c r="A1959" s="53" t="s">
        <v>3833</v>
      </c>
      <c r="B1959" s="53" t="s">
        <v>223</v>
      </c>
      <c r="C1959" s="53" t="s">
        <v>4117</v>
      </c>
      <c r="D1959" s="53" t="s">
        <v>197</v>
      </c>
      <c r="E1959" s="32">
        <v>11000</v>
      </c>
      <c r="F1959" s="53" t="s">
        <v>4073</v>
      </c>
    </row>
    <row r="1960" spans="1:6">
      <c r="A1960" s="53" t="s">
        <v>3833</v>
      </c>
      <c r="B1960" s="53" t="s">
        <v>223</v>
      </c>
      <c r="C1960" s="53" t="s">
        <v>4121</v>
      </c>
      <c r="D1960" s="53" t="s">
        <v>197</v>
      </c>
      <c r="E1960" s="32">
        <v>1420</v>
      </c>
      <c r="F1960" s="53" t="s">
        <v>4073</v>
      </c>
    </row>
    <row r="1961" spans="1:6">
      <c r="A1961" s="53" t="s">
        <v>3833</v>
      </c>
      <c r="B1961" s="53" t="s">
        <v>223</v>
      </c>
      <c r="C1961" s="53" t="s">
        <v>4121</v>
      </c>
      <c r="D1961" s="53" t="s">
        <v>197</v>
      </c>
      <c r="E1961" s="32">
        <v>1420</v>
      </c>
      <c r="F1961" s="53" t="s">
        <v>4073</v>
      </c>
    </row>
    <row r="1962" spans="1:6">
      <c r="A1962" s="53" t="s">
        <v>3833</v>
      </c>
      <c r="B1962" s="53" t="s">
        <v>223</v>
      </c>
      <c r="C1962" s="53" t="s">
        <v>4120</v>
      </c>
      <c r="D1962" s="53" t="s">
        <v>197</v>
      </c>
      <c r="E1962" s="32">
        <v>13500</v>
      </c>
      <c r="F1962" s="53" t="s">
        <v>4073</v>
      </c>
    </row>
    <row r="1963" spans="1:6">
      <c r="A1963" s="53" t="s">
        <v>4075</v>
      </c>
      <c r="B1963" s="53" t="s">
        <v>223</v>
      </c>
      <c r="C1963" s="53" t="s">
        <v>224</v>
      </c>
      <c r="D1963" s="53" t="s">
        <v>197</v>
      </c>
      <c r="E1963" s="32">
        <v>16000</v>
      </c>
      <c r="F1963" s="53" t="s">
        <v>4073</v>
      </c>
    </row>
    <row r="1964" spans="1:6">
      <c r="A1964" s="53" t="s">
        <v>4075</v>
      </c>
      <c r="B1964" s="53" t="s">
        <v>223</v>
      </c>
      <c r="C1964" s="53" t="s">
        <v>236</v>
      </c>
      <c r="D1964" s="53" t="s">
        <v>197</v>
      </c>
      <c r="E1964" s="32">
        <v>3000</v>
      </c>
      <c r="F1964" s="53" t="s">
        <v>4073</v>
      </c>
    </row>
    <row r="1965" spans="1:6">
      <c r="A1965" s="53" t="s">
        <v>4075</v>
      </c>
      <c r="B1965" s="53" t="s">
        <v>223</v>
      </c>
      <c r="C1965" s="53" t="s">
        <v>255</v>
      </c>
      <c r="D1965" s="53" t="s">
        <v>197</v>
      </c>
      <c r="E1965" s="32">
        <v>600</v>
      </c>
      <c r="F1965" s="53" t="s">
        <v>4073</v>
      </c>
    </row>
    <row r="1966" spans="1:6">
      <c r="A1966" s="53" t="s">
        <v>4075</v>
      </c>
      <c r="B1966" s="53" t="s">
        <v>223</v>
      </c>
      <c r="C1966" s="53" t="s">
        <v>264</v>
      </c>
      <c r="D1966" s="53" t="s">
        <v>197</v>
      </c>
      <c r="E1966" s="32">
        <v>12000</v>
      </c>
      <c r="F1966" s="53" t="s">
        <v>4073</v>
      </c>
    </row>
    <row r="1967" spans="1:6">
      <c r="A1967" s="53" t="s">
        <v>4075</v>
      </c>
      <c r="B1967" s="53" t="s">
        <v>223</v>
      </c>
      <c r="C1967" s="53" t="s">
        <v>267</v>
      </c>
      <c r="D1967" s="53" t="s">
        <v>197</v>
      </c>
      <c r="E1967" s="32">
        <v>13500</v>
      </c>
      <c r="F1967" s="53" t="s">
        <v>4073</v>
      </c>
    </row>
    <row r="1968" spans="1:6">
      <c r="A1968" s="53" t="s">
        <v>4075</v>
      </c>
      <c r="B1968" s="53" t="s">
        <v>223</v>
      </c>
      <c r="C1968" s="53" t="s">
        <v>269</v>
      </c>
      <c r="D1968" s="53" t="s">
        <v>197</v>
      </c>
      <c r="E1968" s="32">
        <v>12000</v>
      </c>
      <c r="F1968" s="53" t="s">
        <v>4073</v>
      </c>
    </row>
    <row r="1969" spans="1:6">
      <c r="A1969" s="53" t="s">
        <v>4075</v>
      </c>
      <c r="B1969" s="53" t="s">
        <v>223</v>
      </c>
      <c r="C1969" s="53" t="s">
        <v>271</v>
      </c>
      <c r="D1969" s="53" t="s">
        <v>197</v>
      </c>
      <c r="E1969" s="32">
        <v>12000</v>
      </c>
      <c r="F1969" s="53" t="s">
        <v>4073</v>
      </c>
    </row>
    <row r="1970" spans="1:6">
      <c r="A1970" s="53" t="s">
        <v>4075</v>
      </c>
      <c r="B1970" s="53" t="s">
        <v>223</v>
      </c>
      <c r="C1970" s="53" t="s">
        <v>285</v>
      </c>
      <c r="D1970" s="53" t="s">
        <v>197</v>
      </c>
      <c r="E1970" s="32">
        <v>9000</v>
      </c>
      <c r="F1970" s="53" t="s">
        <v>4073</v>
      </c>
    </row>
    <row r="1971" spans="1:6">
      <c r="A1971" s="53" t="s">
        <v>4075</v>
      </c>
      <c r="B1971" s="53" t="s">
        <v>223</v>
      </c>
      <c r="C1971" s="53" t="s">
        <v>298</v>
      </c>
      <c r="D1971" s="53" t="s">
        <v>197</v>
      </c>
      <c r="E1971" s="32">
        <v>22000</v>
      </c>
      <c r="F1971" s="53" t="s">
        <v>4073</v>
      </c>
    </row>
    <row r="1972" spans="1:6">
      <c r="A1972" s="53" t="s">
        <v>4075</v>
      </c>
      <c r="B1972" s="53" t="s">
        <v>223</v>
      </c>
      <c r="C1972" s="53" t="s">
        <v>302</v>
      </c>
      <c r="D1972" s="53" t="s">
        <v>197</v>
      </c>
      <c r="E1972" s="32">
        <v>30000</v>
      </c>
      <c r="F1972" s="53" t="s">
        <v>4073</v>
      </c>
    </row>
    <row r="1973" spans="1:6">
      <c r="A1973" s="53" t="s">
        <v>4075</v>
      </c>
      <c r="B1973" s="53" t="s">
        <v>223</v>
      </c>
      <c r="C1973" s="53" t="s">
        <v>308</v>
      </c>
      <c r="D1973" s="53" t="s">
        <v>197</v>
      </c>
      <c r="E1973" s="32">
        <v>3000</v>
      </c>
      <c r="F1973" s="53" t="s">
        <v>4073</v>
      </c>
    </row>
    <row r="1974" spans="1:6">
      <c r="A1974" s="53" t="s">
        <v>4075</v>
      </c>
      <c r="B1974" s="53" t="s">
        <v>223</v>
      </c>
      <c r="C1974" s="53" t="s">
        <v>4125</v>
      </c>
      <c r="D1974" s="53" t="s">
        <v>197</v>
      </c>
      <c r="E1974" s="32">
        <v>1420</v>
      </c>
      <c r="F1974" s="53" t="s">
        <v>4073</v>
      </c>
    </row>
    <row r="1975" spans="1:6">
      <c r="A1975" s="53" t="s">
        <v>4075</v>
      </c>
      <c r="B1975" s="53" t="s">
        <v>223</v>
      </c>
      <c r="C1975" s="53" t="s">
        <v>4121</v>
      </c>
      <c r="D1975" s="53" t="s">
        <v>197</v>
      </c>
      <c r="E1975" s="32">
        <v>1420</v>
      </c>
      <c r="F1975" s="53" t="s">
        <v>4073</v>
      </c>
    </row>
    <row r="1976" spans="1:6">
      <c r="A1976" s="53" t="s">
        <v>4075</v>
      </c>
      <c r="B1976" s="53" t="s">
        <v>223</v>
      </c>
      <c r="C1976" s="53" t="s">
        <v>4124</v>
      </c>
      <c r="D1976" s="53" t="s">
        <v>197</v>
      </c>
      <c r="E1976" s="32">
        <v>1420</v>
      </c>
      <c r="F1976" s="53" t="s">
        <v>4073</v>
      </c>
    </row>
    <row r="1977" spans="1:6">
      <c r="A1977" s="53" t="s">
        <v>4075</v>
      </c>
      <c r="B1977" s="53" t="s">
        <v>223</v>
      </c>
      <c r="C1977" s="53" t="s">
        <v>4117</v>
      </c>
      <c r="D1977" s="53" t="s">
        <v>197</v>
      </c>
      <c r="E1977" s="32">
        <v>11000</v>
      </c>
      <c r="F1977" s="53" t="s">
        <v>4073</v>
      </c>
    </row>
    <row r="1978" spans="1:6">
      <c r="A1978" s="53" t="s">
        <v>4075</v>
      </c>
      <c r="B1978" s="53" t="s">
        <v>223</v>
      </c>
      <c r="C1978" s="53" t="s">
        <v>4121</v>
      </c>
      <c r="D1978" s="53" t="s">
        <v>197</v>
      </c>
      <c r="E1978" s="32">
        <v>1420</v>
      </c>
      <c r="F1978" s="53" t="s">
        <v>4073</v>
      </c>
    </row>
    <row r="1979" spans="1:6">
      <c r="A1979" s="53" t="s">
        <v>4075</v>
      </c>
      <c r="B1979" s="53" t="s">
        <v>223</v>
      </c>
      <c r="C1979" s="53" t="s">
        <v>4121</v>
      </c>
      <c r="D1979" s="53" t="s">
        <v>197</v>
      </c>
      <c r="E1979" s="32">
        <v>1420</v>
      </c>
      <c r="F1979" s="53" t="s">
        <v>4073</v>
      </c>
    </row>
    <row r="1980" spans="1:6">
      <c r="A1980" s="53" t="s">
        <v>4075</v>
      </c>
      <c r="B1980" s="53" t="s">
        <v>223</v>
      </c>
      <c r="C1980" s="53" t="s">
        <v>4120</v>
      </c>
      <c r="D1980" s="53" t="s">
        <v>197</v>
      </c>
      <c r="E1980" s="32">
        <v>13500</v>
      </c>
      <c r="F1980" s="53" t="s">
        <v>4073</v>
      </c>
    </row>
    <row r="1981" spans="1:6">
      <c r="A1981" s="53" t="s">
        <v>3834</v>
      </c>
      <c r="B1981" s="53" t="s">
        <v>223</v>
      </c>
      <c r="C1981" s="53" t="s">
        <v>224</v>
      </c>
      <c r="D1981" s="53" t="s">
        <v>197</v>
      </c>
      <c r="E1981" s="32">
        <v>16000</v>
      </c>
      <c r="F1981" s="53" t="s">
        <v>4073</v>
      </c>
    </row>
    <row r="1982" spans="1:6">
      <c r="A1982" s="53" t="s">
        <v>3834</v>
      </c>
      <c r="B1982" s="53" t="s">
        <v>223</v>
      </c>
      <c r="C1982" s="53" t="s">
        <v>236</v>
      </c>
      <c r="D1982" s="53" t="s">
        <v>197</v>
      </c>
      <c r="E1982" s="32">
        <v>3000</v>
      </c>
      <c r="F1982" s="53" t="s">
        <v>4073</v>
      </c>
    </row>
    <row r="1983" spans="1:6">
      <c r="A1983" s="53" t="s">
        <v>3834</v>
      </c>
      <c r="B1983" s="53" t="s">
        <v>223</v>
      </c>
      <c r="C1983" s="53" t="s">
        <v>255</v>
      </c>
      <c r="D1983" s="53" t="s">
        <v>197</v>
      </c>
      <c r="E1983" s="32">
        <v>600</v>
      </c>
      <c r="F1983" s="53" t="s">
        <v>4073</v>
      </c>
    </row>
    <row r="1984" spans="1:6">
      <c r="A1984" s="53" t="s">
        <v>3834</v>
      </c>
      <c r="B1984" s="53" t="s">
        <v>223</v>
      </c>
      <c r="C1984" s="53" t="s">
        <v>264</v>
      </c>
      <c r="D1984" s="53" t="s">
        <v>197</v>
      </c>
      <c r="E1984" s="32">
        <v>12000</v>
      </c>
      <c r="F1984" s="53" t="s">
        <v>4073</v>
      </c>
    </row>
    <row r="1985" spans="1:6">
      <c r="A1985" s="53" t="s">
        <v>3834</v>
      </c>
      <c r="B1985" s="53" t="s">
        <v>223</v>
      </c>
      <c r="C1985" s="53" t="s">
        <v>267</v>
      </c>
      <c r="D1985" s="53" t="s">
        <v>197</v>
      </c>
      <c r="E1985" s="32">
        <v>13500</v>
      </c>
      <c r="F1985" s="53" t="s">
        <v>4073</v>
      </c>
    </row>
    <row r="1986" spans="1:6">
      <c r="A1986" s="53" t="s">
        <v>3834</v>
      </c>
      <c r="B1986" s="53" t="s">
        <v>223</v>
      </c>
      <c r="C1986" s="53" t="s">
        <v>269</v>
      </c>
      <c r="D1986" s="53" t="s">
        <v>197</v>
      </c>
      <c r="E1986" s="32">
        <v>12000</v>
      </c>
      <c r="F1986" s="53" t="s">
        <v>4073</v>
      </c>
    </row>
    <row r="1987" spans="1:6">
      <c r="A1987" s="53" t="s">
        <v>3834</v>
      </c>
      <c r="B1987" s="53" t="s">
        <v>223</v>
      </c>
      <c r="C1987" s="53" t="s">
        <v>271</v>
      </c>
      <c r="D1987" s="53" t="s">
        <v>197</v>
      </c>
      <c r="E1987" s="32">
        <v>12000</v>
      </c>
      <c r="F1987" s="53" t="s">
        <v>4073</v>
      </c>
    </row>
    <row r="1988" spans="1:6">
      <c r="A1988" s="53" t="s">
        <v>3834</v>
      </c>
      <c r="B1988" s="53" t="s">
        <v>223</v>
      </c>
      <c r="C1988" s="53" t="s">
        <v>285</v>
      </c>
      <c r="D1988" s="53" t="s">
        <v>197</v>
      </c>
      <c r="E1988" s="32">
        <v>9000</v>
      </c>
      <c r="F1988" s="53" t="s">
        <v>4073</v>
      </c>
    </row>
    <row r="1989" spans="1:6">
      <c r="A1989" s="53" t="s">
        <v>3834</v>
      </c>
      <c r="B1989" s="53" t="s">
        <v>223</v>
      </c>
      <c r="C1989" s="53" t="s">
        <v>298</v>
      </c>
      <c r="D1989" s="53" t="s">
        <v>197</v>
      </c>
      <c r="E1989" s="32">
        <v>22000</v>
      </c>
      <c r="F1989" s="53" t="s">
        <v>4073</v>
      </c>
    </row>
    <row r="1990" spans="1:6">
      <c r="A1990" s="53" t="s">
        <v>3834</v>
      </c>
      <c r="B1990" s="53" t="s">
        <v>223</v>
      </c>
      <c r="C1990" s="53" t="s">
        <v>302</v>
      </c>
      <c r="D1990" s="53" t="s">
        <v>197</v>
      </c>
      <c r="E1990" s="32">
        <v>30000</v>
      </c>
      <c r="F1990" s="53" t="s">
        <v>4073</v>
      </c>
    </row>
    <row r="1991" spans="1:6">
      <c r="A1991" s="53" t="s">
        <v>3834</v>
      </c>
      <c r="B1991" s="53" t="s">
        <v>223</v>
      </c>
      <c r="C1991" s="53" t="s">
        <v>308</v>
      </c>
      <c r="D1991" s="53" t="s">
        <v>197</v>
      </c>
      <c r="E1991" s="32">
        <v>3000</v>
      </c>
      <c r="F1991" s="53" t="s">
        <v>4073</v>
      </c>
    </row>
    <row r="1992" spans="1:6">
      <c r="A1992" s="53" t="s">
        <v>3834</v>
      </c>
      <c r="B1992" s="53" t="s">
        <v>223</v>
      </c>
      <c r="C1992" s="53" t="s">
        <v>4125</v>
      </c>
      <c r="D1992" s="53" t="s">
        <v>197</v>
      </c>
      <c r="E1992" s="32">
        <v>1420</v>
      </c>
      <c r="F1992" s="53" t="s">
        <v>4073</v>
      </c>
    </row>
    <row r="1993" spans="1:6">
      <c r="A1993" s="53" t="s">
        <v>3834</v>
      </c>
      <c r="B1993" s="53" t="s">
        <v>223</v>
      </c>
      <c r="C1993" s="53" t="s">
        <v>4121</v>
      </c>
      <c r="D1993" s="53" t="s">
        <v>197</v>
      </c>
      <c r="E1993" s="32">
        <v>1420</v>
      </c>
      <c r="F1993" s="53" t="s">
        <v>4073</v>
      </c>
    </row>
    <row r="1994" spans="1:6">
      <c r="A1994" s="53" t="s">
        <v>3834</v>
      </c>
      <c r="B1994" s="53" t="s">
        <v>223</v>
      </c>
      <c r="C1994" s="53" t="s">
        <v>4124</v>
      </c>
      <c r="D1994" s="53" t="s">
        <v>197</v>
      </c>
      <c r="E1994" s="32">
        <v>1420</v>
      </c>
      <c r="F1994" s="53" t="s">
        <v>4073</v>
      </c>
    </row>
    <row r="1995" spans="1:6">
      <c r="A1995" s="53" t="s">
        <v>3834</v>
      </c>
      <c r="B1995" s="53" t="s">
        <v>223</v>
      </c>
      <c r="C1995" s="53" t="s">
        <v>4117</v>
      </c>
      <c r="D1995" s="53" t="s">
        <v>197</v>
      </c>
      <c r="E1995" s="32">
        <v>11000</v>
      </c>
      <c r="F1995" s="53" t="s">
        <v>4073</v>
      </c>
    </row>
    <row r="1996" spans="1:6">
      <c r="A1996" s="53" t="s">
        <v>3834</v>
      </c>
      <c r="B1996" s="53" t="s">
        <v>223</v>
      </c>
      <c r="C1996" s="53" t="s">
        <v>4121</v>
      </c>
      <c r="D1996" s="53" t="s">
        <v>197</v>
      </c>
      <c r="E1996" s="32">
        <v>1420</v>
      </c>
      <c r="F1996" s="53" t="s">
        <v>4073</v>
      </c>
    </row>
    <row r="1997" spans="1:6">
      <c r="A1997" s="53" t="s">
        <v>3834</v>
      </c>
      <c r="B1997" s="53" t="s">
        <v>223</v>
      </c>
      <c r="C1997" s="53" t="s">
        <v>4121</v>
      </c>
      <c r="D1997" s="53" t="s">
        <v>197</v>
      </c>
      <c r="E1997" s="32">
        <v>1420</v>
      </c>
      <c r="F1997" s="53" t="s">
        <v>4073</v>
      </c>
    </row>
    <row r="1998" spans="1:6">
      <c r="A1998" s="53" t="s">
        <v>3834</v>
      </c>
      <c r="B1998" s="53" t="s">
        <v>223</v>
      </c>
      <c r="C1998" s="53" t="s">
        <v>4120</v>
      </c>
      <c r="D1998" s="53" t="s">
        <v>197</v>
      </c>
      <c r="E1998" s="32">
        <v>13500</v>
      </c>
      <c r="F1998" s="53" t="s">
        <v>4073</v>
      </c>
    </row>
    <row r="1999" spans="1:6">
      <c r="A1999" s="53" t="s">
        <v>3835</v>
      </c>
      <c r="B1999" s="53" t="s">
        <v>223</v>
      </c>
      <c r="C1999" s="53" t="s">
        <v>224</v>
      </c>
      <c r="D1999" s="53" t="s">
        <v>197</v>
      </c>
      <c r="E1999" s="32">
        <v>16000</v>
      </c>
      <c r="F1999" s="53" t="s">
        <v>4073</v>
      </c>
    </row>
    <row r="2000" spans="1:6">
      <c r="A2000" s="53" t="s">
        <v>3835</v>
      </c>
      <c r="B2000" s="53" t="s">
        <v>223</v>
      </c>
      <c r="C2000" s="53" t="s">
        <v>236</v>
      </c>
      <c r="D2000" s="53" t="s">
        <v>197</v>
      </c>
      <c r="E2000" s="32">
        <v>3000</v>
      </c>
      <c r="F2000" s="53" t="s">
        <v>4073</v>
      </c>
    </row>
    <row r="2001" spans="1:6">
      <c r="A2001" s="53" t="s">
        <v>3835</v>
      </c>
      <c r="B2001" s="53" t="s">
        <v>223</v>
      </c>
      <c r="C2001" s="53" t="s">
        <v>255</v>
      </c>
      <c r="D2001" s="53" t="s">
        <v>197</v>
      </c>
      <c r="E2001" s="32">
        <v>600</v>
      </c>
      <c r="F2001" s="53" t="s">
        <v>4073</v>
      </c>
    </row>
    <row r="2002" spans="1:6">
      <c r="A2002" s="53" t="s">
        <v>3835</v>
      </c>
      <c r="B2002" s="53" t="s">
        <v>223</v>
      </c>
      <c r="C2002" s="53" t="s">
        <v>264</v>
      </c>
      <c r="D2002" s="53" t="s">
        <v>197</v>
      </c>
      <c r="E2002" s="32">
        <v>12000</v>
      </c>
      <c r="F2002" s="53" t="s">
        <v>4073</v>
      </c>
    </row>
    <row r="2003" spans="1:6">
      <c r="A2003" s="53" t="s">
        <v>3835</v>
      </c>
      <c r="B2003" s="53" t="s">
        <v>223</v>
      </c>
      <c r="C2003" s="53" t="s">
        <v>267</v>
      </c>
      <c r="D2003" s="53" t="s">
        <v>197</v>
      </c>
      <c r="E2003" s="32">
        <v>13500</v>
      </c>
      <c r="F2003" s="53" t="s">
        <v>4073</v>
      </c>
    </row>
    <row r="2004" spans="1:6">
      <c r="A2004" s="53" t="s">
        <v>3835</v>
      </c>
      <c r="B2004" s="53" t="s">
        <v>223</v>
      </c>
      <c r="C2004" s="53" t="s">
        <v>269</v>
      </c>
      <c r="D2004" s="53" t="s">
        <v>197</v>
      </c>
      <c r="E2004" s="32">
        <v>12000</v>
      </c>
      <c r="F2004" s="53" t="s">
        <v>4073</v>
      </c>
    </row>
    <row r="2005" spans="1:6">
      <c r="A2005" s="53" t="s">
        <v>3835</v>
      </c>
      <c r="B2005" s="53" t="s">
        <v>223</v>
      </c>
      <c r="C2005" s="53" t="s">
        <v>271</v>
      </c>
      <c r="D2005" s="53" t="s">
        <v>197</v>
      </c>
      <c r="E2005" s="32">
        <v>12000</v>
      </c>
      <c r="F2005" s="53" t="s">
        <v>4073</v>
      </c>
    </row>
    <row r="2006" spans="1:6">
      <c r="A2006" s="53" t="s">
        <v>3835</v>
      </c>
      <c r="B2006" s="53" t="s">
        <v>223</v>
      </c>
      <c r="C2006" s="53" t="s">
        <v>285</v>
      </c>
      <c r="D2006" s="53" t="s">
        <v>197</v>
      </c>
      <c r="E2006" s="32">
        <v>9000</v>
      </c>
      <c r="F2006" s="53" t="s">
        <v>4073</v>
      </c>
    </row>
    <row r="2007" spans="1:6">
      <c r="A2007" s="53" t="s">
        <v>3835</v>
      </c>
      <c r="B2007" s="53" t="s">
        <v>223</v>
      </c>
      <c r="C2007" s="53" t="s">
        <v>298</v>
      </c>
      <c r="D2007" s="53" t="s">
        <v>197</v>
      </c>
      <c r="E2007" s="32">
        <v>22000</v>
      </c>
      <c r="F2007" s="53" t="s">
        <v>4073</v>
      </c>
    </row>
    <row r="2008" spans="1:6">
      <c r="A2008" s="53" t="s">
        <v>3835</v>
      </c>
      <c r="B2008" s="53" t="s">
        <v>223</v>
      </c>
      <c r="C2008" s="53" t="s">
        <v>302</v>
      </c>
      <c r="D2008" s="53" t="s">
        <v>197</v>
      </c>
      <c r="E2008" s="32">
        <v>30000</v>
      </c>
      <c r="F2008" s="53" t="s">
        <v>4073</v>
      </c>
    </row>
    <row r="2009" spans="1:6">
      <c r="A2009" s="53" t="s">
        <v>3835</v>
      </c>
      <c r="B2009" s="53" t="s">
        <v>223</v>
      </c>
      <c r="C2009" s="53" t="s">
        <v>308</v>
      </c>
      <c r="D2009" s="53" t="s">
        <v>197</v>
      </c>
      <c r="E2009" s="32">
        <v>3000</v>
      </c>
      <c r="F2009" s="53" t="s">
        <v>4073</v>
      </c>
    </row>
    <row r="2010" spans="1:6">
      <c r="A2010" s="53" t="s">
        <v>3835</v>
      </c>
      <c r="B2010" s="53" t="s">
        <v>223</v>
      </c>
      <c r="C2010" s="53" t="s">
        <v>4125</v>
      </c>
      <c r="D2010" s="53" t="s">
        <v>197</v>
      </c>
      <c r="E2010" s="32">
        <v>1420</v>
      </c>
      <c r="F2010" s="53" t="s">
        <v>4073</v>
      </c>
    </row>
    <row r="2011" spans="1:6">
      <c r="A2011" s="53" t="s">
        <v>3835</v>
      </c>
      <c r="B2011" s="53" t="s">
        <v>223</v>
      </c>
      <c r="C2011" s="53" t="s">
        <v>4121</v>
      </c>
      <c r="D2011" s="53" t="s">
        <v>197</v>
      </c>
      <c r="E2011" s="32">
        <v>1420</v>
      </c>
      <c r="F2011" s="53" t="s">
        <v>4073</v>
      </c>
    </row>
    <row r="2012" spans="1:6">
      <c r="A2012" s="53" t="s">
        <v>3835</v>
      </c>
      <c r="B2012" s="53" t="s">
        <v>223</v>
      </c>
      <c r="C2012" s="53" t="s">
        <v>4124</v>
      </c>
      <c r="D2012" s="53" t="s">
        <v>197</v>
      </c>
      <c r="E2012" s="32">
        <v>1420</v>
      </c>
      <c r="F2012" s="53" t="s">
        <v>4073</v>
      </c>
    </row>
    <row r="2013" spans="1:6">
      <c r="A2013" s="53" t="s">
        <v>3835</v>
      </c>
      <c r="B2013" s="53" t="s">
        <v>223</v>
      </c>
      <c r="C2013" s="53" t="s">
        <v>4117</v>
      </c>
      <c r="D2013" s="53" t="s">
        <v>197</v>
      </c>
      <c r="E2013" s="32">
        <v>11000</v>
      </c>
      <c r="F2013" s="53" t="s">
        <v>4073</v>
      </c>
    </row>
    <row r="2014" spans="1:6">
      <c r="A2014" s="53" t="s">
        <v>3835</v>
      </c>
      <c r="B2014" s="53" t="s">
        <v>223</v>
      </c>
      <c r="C2014" s="53" t="s">
        <v>4121</v>
      </c>
      <c r="D2014" s="53" t="s">
        <v>197</v>
      </c>
      <c r="E2014" s="32">
        <v>1420</v>
      </c>
      <c r="F2014" s="53" t="s">
        <v>4073</v>
      </c>
    </row>
    <row r="2015" spans="1:6">
      <c r="A2015" s="53" t="s">
        <v>3835</v>
      </c>
      <c r="B2015" s="53" t="s">
        <v>223</v>
      </c>
      <c r="C2015" s="53" t="s">
        <v>4121</v>
      </c>
      <c r="D2015" s="53" t="s">
        <v>197</v>
      </c>
      <c r="E2015" s="32">
        <v>1420</v>
      </c>
      <c r="F2015" s="53" t="s">
        <v>4073</v>
      </c>
    </row>
    <row r="2016" spans="1:6">
      <c r="A2016" s="53" t="s">
        <v>3835</v>
      </c>
      <c r="B2016" s="53" t="s">
        <v>223</v>
      </c>
      <c r="C2016" s="53" t="s">
        <v>4120</v>
      </c>
      <c r="D2016" s="53" t="s">
        <v>197</v>
      </c>
      <c r="E2016" s="32">
        <v>13500</v>
      </c>
      <c r="F2016" s="53" t="s">
        <v>4073</v>
      </c>
    </row>
    <row r="2017" spans="1:6">
      <c r="A2017" s="53" t="s">
        <v>3836</v>
      </c>
      <c r="B2017" s="53" t="s">
        <v>223</v>
      </c>
      <c r="C2017" s="53" t="s">
        <v>224</v>
      </c>
      <c r="D2017" s="53" t="s">
        <v>197</v>
      </c>
      <c r="E2017" s="32">
        <v>16000</v>
      </c>
      <c r="F2017" s="53" t="s">
        <v>4073</v>
      </c>
    </row>
    <row r="2018" spans="1:6">
      <c r="A2018" s="53" t="s">
        <v>3836</v>
      </c>
      <c r="B2018" s="53" t="s">
        <v>223</v>
      </c>
      <c r="C2018" s="53" t="s">
        <v>236</v>
      </c>
      <c r="D2018" s="53" t="s">
        <v>197</v>
      </c>
      <c r="E2018" s="32">
        <v>3000</v>
      </c>
      <c r="F2018" s="53" t="s">
        <v>4073</v>
      </c>
    </row>
    <row r="2019" spans="1:6">
      <c r="A2019" s="53" t="s">
        <v>3836</v>
      </c>
      <c r="B2019" s="53" t="s">
        <v>223</v>
      </c>
      <c r="C2019" s="53" t="s">
        <v>255</v>
      </c>
      <c r="D2019" s="53" t="s">
        <v>197</v>
      </c>
      <c r="E2019" s="32">
        <v>600</v>
      </c>
      <c r="F2019" s="53" t="s">
        <v>4073</v>
      </c>
    </row>
    <row r="2020" spans="1:6">
      <c r="A2020" s="53" t="s">
        <v>3836</v>
      </c>
      <c r="B2020" s="53" t="s">
        <v>223</v>
      </c>
      <c r="C2020" s="53" t="s">
        <v>264</v>
      </c>
      <c r="D2020" s="53" t="s">
        <v>197</v>
      </c>
      <c r="E2020" s="32">
        <v>12000</v>
      </c>
      <c r="F2020" s="53" t="s">
        <v>4073</v>
      </c>
    </row>
    <row r="2021" spans="1:6">
      <c r="A2021" s="53" t="s">
        <v>3836</v>
      </c>
      <c r="B2021" s="53" t="s">
        <v>223</v>
      </c>
      <c r="C2021" s="53" t="s">
        <v>267</v>
      </c>
      <c r="D2021" s="53" t="s">
        <v>197</v>
      </c>
      <c r="E2021" s="32">
        <v>13500</v>
      </c>
      <c r="F2021" s="53" t="s">
        <v>4073</v>
      </c>
    </row>
    <row r="2022" spans="1:6">
      <c r="A2022" s="53" t="s">
        <v>3836</v>
      </c>
      <c r="B2022" s="53" t="s">
        <v>223</v>
      </c>
      <c r="C2022" s="53" t="s">
        <v>269</v>
      </c>
      <c r="D2022" s="53" t="s">
        <v>197</v>
      </c>
      <c r="E2022" s="32">
        <v>12000</v>
      </c>
      <c r="F2022" s="53" t="s">
        <v>4073</v>
      </c>
    </row>
    <row r="2023" spans="1:6">
      <c r="A2023" s="53" t="s">
        <v>3836</v>
      </c>
      <c r="B2023" s="53" t="s">
        <v>223</v>
      </c>
      <c r="C2023" s="53" t="s">
        <v>271</v>
      </c>
      <c r="D2023" s="53" t="s">
        <v>197</v>
      </c>
      <c r="E2023" s="32">
        <v>12000</v>
      </c>
      <c r="F2023" s="53" t="s">
        <v>4073</v>
      </c>
    </row>
    <row r="2024" spans="1:6">
      <c r="A2024" s="53" t="s">
        <v>3836</v>
      </c>
      <c r="B2024" s="53" t="s">
        <v>223</v>
      </c>
      <c r="C2024" s="53" t="s">
        <v>285</v>
      </c>
      <c r="D2024" s="53" t="s">
        <v>197</v>
      </c>
      <c r="E2024" s="32">
        <v>9000</v>
      </c>
      <c r="F2024" s="53" t="s">
        <v>4073</v>
      </c>
    </row>
    <row r="2025" spans="1:6">
      <c r="A2025" s="53" t="s">
        <v>3836</v>
      </c>
      <c r="B2025" s="53" t="s">
        <v>223</v>
      </c>
      <c r="C2025" s="53" t="s">
        <v>298</v>
      </c>
      <c r="D2025" s="53" t="s">
        <v>197</v>
      </c>
      <c r="E2025" s="32">
        <v>22000</v>
      </c>
      <c r="F2025" s="53" t="s">
        <v>4073</v>
      </c>
    </row>
    <row r="2026" spans="1:6">
      <c r="A2026" s="53" t="s">
        <v>3836</v>
      </c>
      <c r="B2026" s="53" t="s">
        <v>223</v>
      </c>
      <c r="C2026" s="53" t="s">
        <v>302</v>
      </c>
      <c r="D2026" s="53" t="s">
        <v>197</v>
      </c>
      <c r="E2026" s="32">
        <v>30000</v>
      </c>
      <c r="F2026" s="53" t="s">
        <v>4073</v>
      </c>
    </row>
    <row r="2027" spans="1:6">
      <c r="A2027" s="53" t="s">
        <v>3836</v>
      </c>
      <c r="B2027" s="53" t="s">
        <v>223</v>
      </c>
      <c r="C2027" s="53" t="s">
        <v>308</v>
      </c>
      <c r="D2027" s="53" t="s">
        <v>197</v>
      </c>
      <c r="E2027" s="32">
        <v>3000</v>
      </c>
      <c r="F2027" s="53" t="s">
        <v>4073</v>
      </c>
    </row>
    <row r="2028" spans="1:6">
      <c r="A2028" s="53" t="s">
        <v>3836</v>
      </c>
      <c r="B2028" s="53" t="s">
        <v>223</v>
      </c>
      <c r="C2028" s="53" t="s">
        <v>4125</v>
      </c>
      <c r="D2028" s="53" t="s">
        <v>197</v>
      </c>
      <c r="E2028" s="32">
        <v>1420</v>
      </c>
      <c r="F2028" s="53" t="s">
        <v>4073</v>
      </c>
    </row>
    <row r="2029" spans="1:6">
      <c r="A2029" s="53" t="s">
        <v>3836</v>
      </c>
      <c r="B2029" s="53" t="s">
        <v>223</v>
      </c>
      <c r="C2029" s="53" t="s">
        <v>4121</v>
      </c>
      <c r="D2029" s="53" t="s">
        <v>197</v>
      </c>
      <c r="E2029" s="32">
        <v>1420</v>
      </c>
      <c r="F2029" s="53" t="s">
        <v>4073</v>
      </c>
    </row>
    <row r="2030" spans="1:6">
      <c r="A2030" s="53" t="s">
        <v>3836</v>
      </c>
      <c r="B2030" s="53" t="s">
        <v>223</v>
      </c>
      <c r="C2030" s="53" t="s">
        <v>4124</v>
      </c>
      <c r="D2030" s="53" t="s">
        <v>197</v>
      </c>
      <c r="E2030" s="32">
        <v>1420</v>
      </c>
      <c r="F2030" s="53" t="s">
        <v>4073</v>
      </c>
    </row>
    <row r="2031" spans="1:6">
      <c r="A2031" s="53" t="s">
        <v>3836</v>
      </c>
      <c r="B2031" s="53" t="s">
        <v>223</v>
      </c>
      <c r="C2031" s="53" t="s">
        <v>4117</v>
      </c>
      <c r="D2031" s="53" t="s">
        <v>197</v>
      </c>
      <c r="E2031" s="32">
        <v>11000</v>
      </c>
      <c r="F2031" s="53" t="s">
        <v>4073</v>
      </c>
    </row>
    <row r="2032" spans="1:6">
      <c r="A2032" s="53" t="s">
        <v>3836</v>
      </c>
      <c r="B2032" s="53" t="s">
        <v>223</v>
      </c>
      <c r="C2032" s="53" t="s">
        <v>4121</v>
      </c>
      <c r="D2032" s="53" t="s">
        <v>197</v>
      </c>
      <c r="E2032" s="32">
        <v>1420</v>
      </c>
      <c r="F2032" s="53" t="s">
        <v>4073</v>
      </c>
    </row>
    <row r="2033" spans="1:6">
      <c r="A2033" s="53" t="s">
        <v>3836</v>
      </c>
      <c r="B2033" s="53" t="s">
        <v>223</v>
      </c>
      <c r="C2033" s="53" t="s">
        <v>4121</v>
      </c>
      <c r="D2033" s="53" t="s">
        <v>197</v>
      </c>
      <c r="E2033" s="32">
        <v>1420</v>
      </c>
      <c r="F2033" s="53" t="s">
        <v>4073</v>
      </c>
    </row>
    <row r="2034" spans="1:6">
      <c r="A2034" s="53" t="s">
        <v>3836</v>
      </c>
      <c r="B2034" s="53" t="s">
        <v>223</v>
      </c>
      <c r="C2034" s="53" t="s">
        <v>4120</v>
      </c>
      <c r="D2034" s="53" t="s">
        <v>197</v>
      </c>
      <c r="E2034" s="32">
        <v>13500</v>
      </c>
      <c r="F2034" s="53" t="s">
        <v>4073</v>
      </c>
    </row>
    <row r="2035" spans="1:6">
      <c r="A2035" s="53" t="s">
        <v>3837</v>
      </c>
      <c r="B2035" s="53" t="s">
        <v>223</v>
      </c>
      <c r="C2035" s="53" t="s">
        <v>224</v>
      </c>
      <c r="D2035" s="53" t="s">
        <v>197</v>
      </c>
      <c r="E2035" s="32">
        <v>16000</v>
      </c>
      <c r="F2035" s="53" t="s">
        <v>4073</v>
      </c>
    </row>
    <row r="2036" spans="1:6">
      <c r="A2036" s="53" t="s">
        <v>3837</v>
      </c>
      <c r="B2036" s="53" t="s">
        <v>223</v>
      </c>
      <c r="C2036" s="53" t="s">
        <v>236</v>
      </c>
      <c r="D2036" s="53" t="s">
        <v>197</v>
      </c>
      <c r="E2036" s="32">
        <v>3000</v>
      </c>
      <c r="F2036" s="53" t="s">
        <v>4073</v>
      </c>
    </row>
    <row r="2037" spans="1:6">
      <c r="A2037" s="53" t="s">
        <v>3837</v>
      </c>
      <c r="B2037" s="53" t="s">
        <v>223</v>
      </c>
      <c r="C2037" s="53" t="s">
        <v>255</v>
      </c>
      <c r="D2037" s="53" t="s">
        <v>197</v>
      </c>
      <c r="E2037" s="32">
        <v>600</v>
      </c>
      <c r="F2037" s="53" t="s">
        <v>4073</v>
      </c>
    </row>
    <row r="2038" spans="1:6">
      <c r="A2038" s="53" t="s">
        <v>3837</v>
      </c>
      <c r="B2038" s="53" t="s">
        <v>223</v>
      </c>
      <c r="C2038" s="53" t="s">
        <v>264</v>
      </c>
      <c r="D2038" s="53" t="s">
        <v>197</v>
      </c>
      <c r="E2038" s="32">
        <v>12000</v>
      </c>
      <c r="F2038" s="53" t="s">
        <v>4073</v>
      </c>
    </row>
    <row r="2039" spans="1:6">
      <c r="A2039" s="53" t="s">
        <v>3837</v>
      </c>
      <c r="B2039" s="53" t="s">
        <v>223</v>
      </c>
      <c r="C2039" s="53" t="s">
        <v>267</v>
      </c>
      <c r="D2039" s="53" t="s">
        <v>197</v>
      </c>
      <c r="E2039" s="32">
        <v>13500</v>
      </c>
      <c r="F2039" s="53" t="s">
        <v>4073</v>
      </c>
    </row>
    <row r="2040" spans="1:6">
      <c r="A2040" s="53" t="s">
        <v>3837</v>
      </c>
      <c r="B2040" s="53" t="s">
        <v>223</v>
      </c>
      <c r="C2040" s="53" t="s">
        <v>269</v>
      </c>
      <c r="D2040" s="53" t="s">
        <v>197</v>
      </c>
      <c r="E2040" s="32">
        <v>12000</v>
      </c>
      <c r="F2040" s="53" t="s">
        <v>4073</v>
      </c>
    </row>
    <row r="2041" spans="1:6">
      <c r="A2041" s="53" t="s">
        <v>3837</v>
      </c>
      <c r="B2041" s="53" t="s">
        <v>223</v>
      </c>
      <c r="C2041" s="53" t="s">
        <v>271</v>
      </c>
      <c r="D2041" s="53" t="s">
        <v>197</v>
      </c>
      <c r="E2041" s="32">
        <v>12000</v>
      </c>
      <c r="F2041" s="53" t="s">
        <v>4073</v>
      </c>
    </row>
    <row r="2042" spans="1:6">
      <c r="A2042" s="53" t="s">
        <v>3837</v>
      </c>
      <c r="B2042" s="53" t="s">
        <v>223</v>
      </c>
      <c r="C2042" s="53" t="s">
        <v>285</v>
      </c>
      <c r="D2042" s="53" t="s">
        <v>197</v>
      </c>
      <c r="E2042" s="32">
        <v>9000</v>
      </c>
      <c r="F2042" s="53" t="s">
        <v>4073</v>
      </c>
    </row>
    <row r="2043" spans="1:6">
      <c r="A2043" s="53" t="s">
        <v>3837</v>
      </c>
      <c r="B2043" s="53" t="s">
        <v>223</v>
      </c>
      <c r="C2043" s="53" t="s">
        <v>298</v>
      </c>
      <c r="D2043" s="53" t="s">
        <v>197</v>
      </c>
      <c r="E2043" s="32">
        <v>22000</v>
      </c>
      <c r="F2043" s="53" t="s">
        <v>4073</v>
      </c>
    </row>
    <row r="2044" spans="1:6">
      <c r="A2044" s="53" t="s">
        <v>3837</v>
      </c>
      <c r="B2044" s="53" t="s">
        <v>223</v>
      </c>
      <c r="C2044" s="53" t="s">
        <v>302</v>
      </c>
      <c r="D2044" s="53" t="s">
        <v>197</v>
      </c>
      <c r="E2044" s="32">
        <v>30000</v>
      </c>
      <c r="F2044" s="53" t="s">
        <v>4073</v>
      </c>
    </row>
    <row r="2045" spans="1:6">
      <c r="A2045" s="53" t="s">
        <v>3837</v>
      </c>
      <c r="B2045" s="53" t="s">
        <v>223</v>
      </c>
      <c r="C2045" s="53" t="s">
        <v>308</v>
      </c>
      <c r="D2045" s="53" t="s">
        <v>197</v>
      </c>
      <c r="E2045" s="32">
        <v>3000</v>
      </c>
      <c r="F2045" s="53" t="s">
        <v>4073</v>
      </c>
    </row>
    <row r="2046" spans="1:6">
      <c r="A2046" s="53" t="s">
        <v>3837</v>
      </c>
      <c r="B2046" s="53" t="s">
        <v>223</v>
      </c>
      <c r="C2046" s="53" t="s">
        <v>4125</v>
      </c>
      <c r="D2046" s="53" t="s">
        <v>197</v>
      </c>
      <c r="E2046" s="32">
        <v>1420</v>
      </c>
      <c r="F2046" s="53" t="s">
        <v>4073</v>
      </c>
    </row>
    <row r="2047" spans="1:6">
      <c r="A2047" s="53" t="s">
        <v>3837</v>
      </c>
      <c r="B2047" s="53" t="s">
        <v>223</v>
      </c>
      <c r="C2047" s="53" t="s">
        <v>4121</v>
      </c>
      <c r="D2047" s="53" t="s">
        <v>197</v>
      </c>
      <c r="E2047" s="32">
        <v>1420</v>
      </c>
      <c r="F2047" s="53" t="s">
        <v>4073</v>
      </c>
    </row>
    <row r="2048" spans="1:6">
      <c r="A2048" s="53" t="s">
        <v>3837</v>
      </c>
      <c r="B2048" s="53" t="s">
        <v>223</v>
      </c>
      <c r="C2048" s="53" t="s">
        <v>4124</v>
      </c>
      <c r="D2048" s="53" t="s">
        <v>197</v>
      </c>
      <c r="E2048" s="32">
        <v>1420</v>
      </c>
      <c r="F2048" s="53" t="s">
        <v>4073</v>
      </c>
    </row>
    <row r="2049" spans="1:6">
      <c r="A2049" s="53" t="s">
        <v>3837</v>
      </c>
      <c r="B2049" s="53" t="s">
        <v>223</v>
      </c>
      <c r="C2049" s="53" t="s">
        <v>4117</v>
      </c>
      <c r="D2049" s="53" t="s">
        <v>197</v>
      </c>
      <c r="E2049" s="32">
        <v>11000</v>
      </c>
      <c r="F2049" s="53" t="s">
        <v>4073</v>
      </c>
    </row>
    <row r="2050" spans="1:6">
      <c r="A2050" s="53" t="s">
        <v>3837</v>
      </c>
      <c r="B2050" s="53" t="s">
        <v>223</v>
      </c>
      <c r="C2050" s="53" t="s">
        <v>4121</v>
      </c>
      <c r="D2050" s="53" t="s">
        <v>197</v>
      </c>
      <c r="E2050" s="32">
        <v>1420</v>
      </c>
      <c r="F2050" s="53" t="s">
        <v>4073</v>
      </c>
    </row>
    <row r="2051" spans="1:6">
      <c r="A2051" s="53" t="s">
        <v>3837</v>
      </c>
      <c r="B2051" s="53" t="s">
        <v>223</v>
      </c>
      <c r="C2051" s="53" t="s">
        <v>4121</v>
      </c>
      <c r="D2051" s="53" t="s">
        <v>197</v>
      </c>
      <c r="E2051" s="32">
        <v>1420</v>
      </c>
      <c r="F2051" s="53" t="s">
        <v>4073</v>
      </c>
    </row>
    <row r="2052" spans="1:6">
      <c r="A2052" s="53" t="s">
        <v>3837</v>
      </c>
      <c r="B2052" s="53" t="s">
        <v>223</v>
      </c>
      <c r="C2052" s="53" t="s">
        <v>4120</v>
      </c>
      <c r="D2052" s="53" t="s">
        <v>197</v>
      </c>
      <c r="E2052" s="32">
        <v>13500</v>
      </c>
      <c r="F2052" s="53" t="s">
        <v>4073</v>
      </c>
    </row>
    <row r="2053" spans="1:6">
      <c r="A2053" s="53" t="s">
        <v>3838</v>
      </c>
      <c r="B2053" s="53" t="s">
        <v>223</v>
      </c>
      <c r="C2053" s="53" t="s">
        <v>224</v>
      </c>
      <c r="D2053" s="53" t="s">
        <v>197</v>
      </c>
      <c r="E2053" s="32">
        <v>16000</v>
      </c>
      <c r="F2053" s="53" t="s">
        <v>4073</v>
      </c>
    </row>
    <row r="2054" spans="1:6">
      <c r="A2054" s="53" t="s">
        <v>3838</v>
      </c>
      <c r="B2054" s="53" t="s">
        <v>223</v>
      </c>
      <c r="C2054" s="53" t="s">
        <v>236</v>
      </c>
      <c r="D2054" s="53" t="s">
        <v>197</v>
      </c>
      <c r="E2054" s="32">
        <v>3000</v>
      </c>
      <c r="F2054" s="53" t="s">
        <v>4073</v>
      </c>
    </row>
    <row r="2055" spans="1:6">
      <c r="A2055" s="53" t="s">
        <v>3838</v>
      </c>
      <c r="B2055" s="53" t="s">
        <v>223</v>
      </c>
      <c r="C2055" s="53" t="s">
        <v>255</v>
      </c>
      <c r="D2055" s="53" t="s">
        <v>197</v>
      </c>
      <c r="E2055" s="32">
        <v>600</v>
      </c>
      <c r="F2055" s="53" t="s">
        <v>4073</v>
      </c>
    </row>
    <row r="2056" spans="1:6">
      <c r="A2056" s="53" t="s">
        <v>3838</v>
      </c>
      <c r="B2056" s="53" t="s">
        <v>223</v>
      </c>
      <c r="C2056" s="53" t="s">
        <v>264</v>
      </c>
      <c r="D2056" s="53" t="s">
        <v>197</v>
      </c>
      <c r="E2056" s="32">
        <v>12000</v>
      </c>
      <c r="F2056" s="53" t="s">
        <v>4073</v>
      </c>
    </row>
    <row r="2057" spans="1:6">
      <c r="A2057" s="53" t="s">
        <v>3838</v>
      </c>
      <c r="B2057" s="53" t="s">
        <v>223</v>
      </c>
      <c r="C2057" s="53" t="s">
        <v>267</v>
      </c>
      <c r="D2057" s="53" t="s">
        <v>197</v>
      </c>
      <c r="E2057" s="32">
        <v>13500</v>
      </c>
      <c r="F2057" s="53" t="s">
        <v>4073</v>
      </c>
    </row>
    <row r="2058" spans="1:6">
      <c r="A2058" s="53" t="s">
        <v>3838</v>
      </c>
      <c r="B2058" s="53" t="s">
        <v>223</v>
      </c>
      <c r="C2058" s="53" t="s">
        <v>269</v>
      </c>
      <c r="D2058" s="53" t="s">
        <v>197</v>
      </c>
      <c r="E2058" s="32">
        <v>12000</v>
      </c>
      <c r="F2058" s="53" t="s">
        <v>4073</v>
      </c>
    </row>
    <row r="2059" spans="1:6">
      <c r="A2059" s="53" t="s">
        <v>3838</v>
      </c>
      <c r="B2059" s="53" t="s">
        <v>223</v>
      </c>
      <c r="C2059" s="53" t="s">
        <v>271</v>
      </c>
      <c r="D2059" s="53" t="s">
        <v>197</v>
      </c>
      <c r="E2059" s="32">
        <v>12000</v>
      </c>
      <c r="F2059" s="53" t="s">
        <v>4073</v>
      </c>
    </row>
    <row r="2060" spans="1:6">
      <c r="A2060" s="53" t="s">
        <v>3838</v>
      </c>
      <c r="B2060" s="53" t="s">
        <v>223</v>
      </c>
      <c r="C2060" s="53" t="s">
        <v>285</v>
      </c>
      <c r="D2060" s="53" t="s">
        <v>197</v>
      </c>
      <c r="E2060" s="32">
        <v>9000</v>
      </c>
      <c r="F2060" s="53" t="s">
        <v>4073</v>
      </c>
    </row>
    <row r="2061" spans="1:6">
      <c r="A2061" s="53" t="s">
        <v>3838</v>
      </c>
      <c r="B2061" s="53" t="s">
        <v>223</v>
      </c>
      <c r="C2061" s="53" t="s">
        <v>298</v>
      </c>
      <c r="D2061" s="53" t="s">
        <v>197</v>
      </c>
      <c r="E2061" s="32">
        <v>22000</v>
      </c>
      <c r="F2061" s="53" t="s">
        <v>4073</v>
      </c>
    </row>
    <row r="2062" spans="1:6">
      <c r="A2062" s="53" t="s">
        <v>3838</v>
      </c>
      <c r="B2062" s="53" t="s">
        <v>223</v>
      </c>
      <c r="C2062" s="53" t="s">
        <v>302</v>
      </c>
      <c r="D2062" s="53" t="s">
        <v>197</v>
      </c>
      <c r="E2062" s="32">
        <v>30000</v>
      </c>
      <c r="F2062" s="53" t="s">
        <v>4073</v>
      </c>
    </row>
    <row r="2063" spans="1:6">
      <c r="A2063" s="53" t="s">
        <v>3838</v>
      </c>
      <c r="B2063" s="53" t="s">
        <v>223</v>
      </c>
      <c r="C2063" s="53" t="s">
        <v>308</v>
      </c>
      <c r="D2063" s="53" t="s">
        <v>197</v>
      </c>
      <c r="E2063" s="32">
        <v>3000</v>
      </c>
      <c r="F2063" s="53" t="s">
        <v>4073</v>
      </c>
    </row>
    <row r="2064" spans="1:6">
      <c r="A2064" s="53" t="s">
        <v>3838</v>
      </c>
      <c r="B2064" s="53" t="s">
        <v>223</v>
      </c>
      <c r="C2064" s="53" t="s">
        <v>4125</v>
      </c>
      <c r="D2064" s="53" t="s">
        <v>197</v>
      </c>
      <c r="E2064" s="32">
        <v>1420</v>
      </c>
      <c r="F2064" s="53" t="s">
        <v>4073</v>
      </c>
    </row>
    <row r="2065" spans="1:6">
      <c r="A2065" s="53" t="s">
        <v>3838</v>
      </c>
      <c r="B2065" s="53" t="s">
        <v>223</v>
      </c>
      <c r="C2065" s="53" t="s">
        <v>4121</v>
      </c>
      <c r="D2065" s="53" t="s">
        <v>197</v>
      </c>
      <c r="E2065" s="32">
        <v>1420</v>
      </c>
      <c r="F2065" s="53" t="s">
        <v>4073</v>
      </c>
    </row>
    <row r="2066" spans="1:6">
      <c r="A2066" s="53" t="s">
        <v>3838</v>
      </c>
      <c r="B2066" s="53" t="s">
        <v>223</v>
      </c>
      <c r="C2066" s="53" t="s">
        <v>4124</v>
      </c>
      <c r="D2066" s="53" t="s">
        <v>197</v>
      </c>
      <c r="E2066" s="32">
        <v>1420</v>
      </c>
      <c r="F2066" s="53" t="s">
        <v>4073</v>
      </c>
    </row>
    <row r="2067" spans="1:6">
      <c r="A2067" s="53" t="s">
        <v>3838</v>
      </c>
      <c r="B2067" s="53" t="s">
        <v>223</v>
      </c>
      <c r="C2067" s="53" t="s">
        <v>4117</v>
      </c>
      <c r="D2067" s="53" t="s">
        <v>197</v>
      </c>
      <c r="E2067" s="32">
        <v>11000</v>
      </c>
      <c r="F2067" s="53" t="s">
        <v>4073</v>
      </c>
    </row>
    <row r="2068" spans="1:6">
      <c r="A2068" s="53" t="s">
        <v>3838</v>
      </c>
      <c r="B2068" s="53" t="s">
        <v>223</v>
      </c>
      <c r="C2068" s="53" t="s">
        <v>4121</v>
      </c>
      <c r="D2068" s="53" t="s">
        <v>197</v>
      </c>
      <c r="E2068" s="32">
        <v>1420</v>
      </c>
      <c r="F2068" s="53" t="s">
        <v>4073</v>
      </c>
    </row>
    <row r="2069" spans="1:6">
      <c r="A2069" s="53" t="s">
        <v>3838</v>
      </c>
      <c r="B2069" s="53" t="s">
        <v>223</v>
      </c>
      <c r="C2069" s="53" t="s">
        <v>4121</v>
      </c>
      <c r="D2069" s="53" t="s">
        <v>197</v>
      </c>
      <c r="E2069" s="32">
        <v>1420</v>
      </c>
      <c r="F2069" s="53" t="s">
        <v>4073</v>
      </c>
    </row>
    <row r="2070" spans="1:6">
      <c r="A2070" s="53" t="s">
        <v>3838</v>
      </c>
      <c r="B2070" s="53" t="s">
        <v>223</v>
      </c>
      <c r="C2070" s="53" t="s">
        <v>4120</v>
      </c>
      <c r="D2070" s="53" t="s">
        <v>197</v>
      </c>
      <c r="E2070" s="32">
        <v>13500</v>
      </c>
      <c r="F2070" s="53" t="s">
        <v>4073</v>
      </c>
    </row>
    <row r="2071" spans="1:6">
      <c r="A2071" s="53" t="s">
        <v>3839</v>
      </c>
      <c r="B2071" s="53" t="s">
        <v>223</v>
      </c>
      <c r="C2071" s="53" t="s">
        <v>224</v>
      </c>
      <c r="D2071" s="53" t="s">
        <v>197</v>
      </c>
      <c r="E2071" s="32">
        <v>16000</v>
      </c>
      <c r="F2071" s="53" t="s">
        <v>4073</v>
      </c>
    </row>
    <row r="2072" spans="1:6">
      <c r="A2072" s="53" t="s">
        <v>3839</v>
      </c>
      <c r="B2072" s="53" t="s">
        <v>223</v>
      </c>
      <c r="C2072" s="53" t="s">
        <v>236</v>
      </c>
      <c r="D2072" s="53" t="s">
        <v>197</v>
      </c>
      <c r="E2072" s="32">
        <v>3000</v>
      </c>
      <c r="F2072" s="53" t="s">
        <v>4073</v>
      </c>
    </row>
    <row r="2073" spans="1:6">
      <c r="A2073" s="53" t="s">
        <v>3839</v>
      </c>
      <c r="B2073" s="53" t="s">
        <v>223</v>
      </c>
      <c r="C2073" s="53" t="s">
        <v>255</v>
      </c>
      <c r="D2073" s="53" t="s">
        <v>197</v>
      </c>
      <c r="E2073" s="32">
        <v>600</v>
      </c>
      <c r="F2073" s="53" t="s">
        <v>4073</v>
      </c>
    </row>
    <row r="2074" spans="1:6">
      <c r="A2074" s="53" t="s">
        <v>3839</v>
      </c>
      <c r="B2074" s="53" t="s">
        <v>223</v>
      </c>
      <c r="C2074" s="53" t="s">
        <v>264</v>
      </c>
      <c r="D2074" s="53" t="s">
        <v>197</v>
      </c>
      <c r="E2074" s="32">
        <v>12000</v>
      </c>
      <c r="F2074" s="53" t="s">
        <v>4073</v>
      </c>
    </row>
    <row r="2075" spans="1:6">
      <c r="A2075" s="53" t="s">
        <v>3839</v>
      </c>
      <c r="B2075" s="53" t="s">
        <v>223</v>
      </c>
      <c r="C2075" s="53" t="s">
        <v>267</v>
      </c>
      <c r="D2075" s="53" t="s">
        <v>197</v>
      </c>
      <c r="E2075" s="32">
        <v>13500</v>
      </c>
      <c r="F2075" s="53" t="s">
        <v>4073</v>
      </c>
    </row>
    <row r="2076" spans="1:6">
      <c r="A2076" s="53" t="s">
        <v>3839</v>
      </c>
      <c r="B2076" s="53" t="s">
        <v>223</v>
      </c>
      <c r="C2076" s="53" t="s">
        <v>269</v>
      </c>
      <c r="D2076" s="53" t="s">
        <v>197</v>
      </c>
      <c r="E2076" s="32">
        <v>12000</v>
      </c>
      <c r="F2076" s="53" t="s">
        <v>4073</v>
      </c>
    </row>
    <row r="2077" spans="1:6">
      <c r="A2077" s="53" t="s">
        <v>3839</v>
      </c>
      <c r="B2077" s="53" t="s">
        <v>223</v>
      </c>
      <c r="C2077" s="53" t="s">
        <v>271</v>
      </c>
      <c r="D2077" s="53" t="s">
        <v>197</v>
      </c>
      <c r="E2077" s="32">
        <v>12000</v>
      </c>
      <c r="F2077" s="53" t="s">
        <v>4073</v>
      </c>
    </row>
    <row r="2078" spans="1:6">
      <c r="A2078" s="53" t="s">
        <v>3839</v>
      </c>
      <c r="B2078" s="53" t="s">
        <v>223</v>
      </c>
      <c r="C2078" s="53" t="s">
        <v>285</v>
      </c>
      <c r="D2078" s="53" t="s">
        <v>197</v>
      </c>
      <c r="E2078" s="32">
        <v>9000</v>
      </c>
      <c r="F2078" s="53" t="s">
        <v>4073</v>
      </c>
    </row>
    <row r="2079" spans="1:6">
      <c r="A2079" s="53" t="s">
        <v>3839</v>
      </c>
      <c r="B2079" s="53" t="s">
        <v>223</v>
      </c>
      <c r="C2079" s="53" t="s">
        <v>298</v>
      </c>
      <c r="D2079" s="53" t="s">
        <v>197</v>
      </c>
      <c r="E2079" s="32">
        <v>22000</v>
      </c>
      <c r="F2079" s="53" t="s">
        <v>4073</v>
      </c>
    </row>
    <row r="2080" spans="1:6">
      <c r="A2080" s="53" t="s">
        <v>3839</v>
      </c>
      <c r="B2080" s="53" t="s">
        <v>223</v>
      </c>
      <c r="C2080" s="53" t="s">
        <v>302</v>
      </c>
      <c r="D2080" s="53" t="s">
        <v>197</v>
      </c>
      <c r="E2080" s="32">
        <v>30000</v>
      </c>
      <c r="F2080" s="53" t="s">
        <v>4073</v>
      </c>
    </row>
    <row r="2081" spans="1:6">
      <c r="A2081" s="53" t="s">
        <v>3839</v>
      </c>
      <c r="B2081" s="53" t="s">
        <v>223</v>
      </c>
      <c r="C2081" s="53" t="s">
        <v>308</v>
      </c>
      <c r="D2081" s="53" t="s">
        <v>197</v>
      </c>
      <c r="E2081" s="32">
        <v>3000</v>
      </c>
      <c r="F2081" s="53" t="s">
        <v>4073</v>
      </c>
    </row>
    <row r="2082" spans="1:6">
      <c r="A2082" s="53" t="s">
        <v>3839</v>
      </c>
      <c r="B2082" s="53" t="s">
        <v>223</v>
      </c>
      <c r="C2082" s="53" t="s">
        <v>4125</v>
      </c>
      <c r="D2082" s="53" t="s">
        <v>197</v>
      </c>
      <c r="E2082" s="32">
        <v>1420</v>
      </c>
      <c r="F2082" s="53" t="s">
        <v>4073</v>
      </c>
    </row>
    <row r="2083" spans="1:6">
      <c r="A2083" s="53" t="s">
        <v>3839</v>
      </c>
      <c r="B2083" s="53" t="s">
        <v>223</v>
      </c>
      <c r="C2083" s="53" t="s">
        <v>4121</v>
      </c>
      <c r="D2083" s="53" t="s">
        <v>197</v>
      </c>
      <c r="E2083" s="32">
        <v>1420</v>
      </c>
      <c r="F2083" s="53" t="s">
        <v>4073</v>
      </c>
    </row>
    <row r="2084" spans="1:6">
      <c r="A2084" s="53" t="s">
        <v>3839</v>
      </c>
      <c r="B2084" s="53" t="s">
        <v>223</v>
      </c>
      <c r="C2084" s="53" t="s">
        <v>4124</v>
      </c>
      <c r="D2084" s="53" t="s">
        <v>197</v>
      </c>
      <c r="E2084" s="32">
        <v>1420</v>
      </c>
      <c r="F2084" s="53" t="s">
        <v>4073</v>
      </c>
    </row>
    <row r="2085" spans="1:6">
      <c r="A2085" s="53" t="s">
        <v>3839</v>
      </c>
      <c r="B2085" s="53" t="s">
        <v>223</v>
      </c>
      <c r="C2085" s="53" t="s">
        <v>4117</v>
      </c>
      <c r="D2085" s="53" t="s">
        <v>197</v>
      </c>
      <c r="E2085" s="32">
        <v>11000</v>
      </c>
      <c r="F2085" s="53" t="s">
        <v>4073</v>
      </c>
    </row>
    <row r="2086" spans="1:6">
      <c r="A2086" s="53" t="s">
        <v>3839</v>
      </c>
      <c r="B2086" s="53" t="s">
        <v>223</v>
      </c>
      <c r="C2086" s="53" t="s">
        <v>4121</v>
      </c>
      <c r="D2086" s="53" t="s">
        <v>197</v>
      </c>
      <c r="E2086" s="32">
        <v>1420</v>
      </c>
      <c r="F2086" s="53" t="s">
        <v>4073</v>
      </c>
    </row>
    <row r="2087" spans="1:6">
      <c r="A2087" s="53" t="s">
        <v>3839</v>
      </c>
      <c r="B2087" s="53" t="s">
        <v>223</v>
      </c>
      <c r="C2087" s="53" t="s">
        <v>4121</v>
      </c>
      <c r="D2087" s="53" t="s">
        <v>197</v>
      </c>
      <c r="E2087" s="32">
        <v>1420</v>
      </c>
      <c r="F2087" s="53" t="s">
        <v>4073</v>
      </c>
    </row>
    <row r="2088" spans="1:6">
      <c r="A2088" s="53" t="s">
        <v>3839</v>
      </c>
      <c r="B2088" s="53" t="s">
        <v>223</v>
      </c>
      <c r="C2088" s="53" t="s">
        <v>4120</v>
      </c>
      <c r="D2088" s="53" t="s">
        <v>197</v>
      </c>
      <c r="E2088" s="32">
        <v>13500</v>
      </c>
      <c r="F2088" s="53" t="s">
        <v>4073</v>
      </c>
    </row>
    <row r="2089" spans="1:6">
      <c r="A2089" s="53" t="s">
        <v>3840</v>
      </c>
      <c r="B2089" s="53" t="s">
        <v>223</v>
      </c>
      <c r="C2089" s="53" t="s">
        <v>224</v>
      </c>
      <c r="D2089" s="53" t="s">
        <v>197</v>
      </c>
      <c r="E2089" s="32">
        <v>16000</v>
      </c>
      <c r="F2089" s="53" t="s">
        <v>4073</v>
      </c>
    </row>
    <row r="2090" spans="1:6">
      <c r="A2090" s="53" t="s">
        <v>3840</v>
      </c>
      <c r="B2090" s="53" t="s">
        <v>223</v>
      </c>
      <c r="C2090" s="53" t="s">
        <v>236</v>
      </c>
      <c r="D2090" s="53" t="s">
        <v>197</v>
      </c>
      <c r="E2090" s="32">
        <v>3000</v>
      </c>
      <c r="F2090" s="53" t="s">
        <v>4073</v>
      </c>
    </row>
    <row r="2091" spans="1:6">
      <c r="A2091" s="53" t="s">
        <v>3840</v>
      </c>
      <c r="B2091" s="53" t="s">
        <v>223</v>
      </c>
      <c r="C2091" s="53" t="s">
        <v>255</v>
      </c>
      <c r="D2091" s="53" t="s">
        <v>197</v>
      </c>
      <c r="E2091" s="32">
        <v>600</v>
      </c>
      <c r="F2091" s="53" t="s">
        <v>4073</v>
      </c>
    </row>
    <row r="2092" spans="1:6">
      <c r="A2092" s="53" t="s">
        <v>3840</v>
      </c>
      <c r="B2092" s="53" t="s">
        <v>223</v>
      </c>
      <c r="C2092" s="53" t="s">
        <v>264</v>
      </c>
      <c r="D2092" s="53" t="s">
        <v>197</v>
      </c>
      <c r="E2092" s="32">
        <v>12000</v>
      </c>
      <c r="F2092" s="53" t="s">
        <v>4073</v>
      </c>
    </row>
    <row r="2093" spans="1:6">
      <c r="A2093" s="53" t="s">
        <v>3840</v>
      </c>
      <c r="B2093" s="53" t="s">
        <v>223</v>
      </c>
      <c r="C2093" s="53" t="s">
        <v>267</v>
      </c>
      <c r="D2093" s="53" t="s">
        <v>197</v>
      </c>
      <c r="E2093" s="32">
        <v>13500</v>
      </c>
      <c r="F2093" s="53" t="s">
        <v>4073</v>
      </c>
    </row>
    <row r="2094" spans="1:6">
      <c r="A2094" s="53" t="s">
        <v>3840</v>
      </c>
      <c r="B2094" s="53" t="s">
        <v>223</v>
      </c>
      <c r="C2094" s="53" t="s">
        <v>269</v>
      </c>
      <c r="D2094" s="53" t="s">
        <v>197</v>
      </c>
      <c r="E2094" s="32">
        <v>12000</v>
      </c>
      <c r="F2094" s="53" t="s">
        <v>4073</v>
      </c>
    </row>
    <row r="2095" spans="1:6">
      <c r="A2095" s="53" t="s">
        <v>3840</v>
      </c>
      <c r="B2095" s="53" t="s">
        <v>223</v>
      </c>
      <c r="C2095" s="53" t="s">
        <v>271</v>
      </c>
      <c r="D2095" s="53" t="s">
        <v>197</v>
      </c>
      <c r="E2095" s="32">
        <v>12000</v>
      </c>
      <c r="F2095" s="53" t="s">
        <v>4073</v>
      </c>
    </row>
    <row r="2096" spans="1:6">
      <c r="A2096" s="53" t="s">
        <v>3840</v>
      </c>
      <c r="B2096" s="53" t="s">
        <v>223</v>
      </c>
      <c r="C2096" s="53" t="s">
        <v>285</v>
      </c>
      <c r="D2096" s="53" t="s">
        <v>197</v>
      </c>
      <c r="E2096" s="32">
        <v>9000</v>
      </c>
      <c r="F2096" s="53" t="s">
        <v>4073</v>
      </c>
    </row>
    <row r="2097" spans="1:6">
      <c r="A2097" s="53" t="s">
        <v>3840</v>
      </c>
      <c r="B2097" s="53" t="s">
        <v>223</v>
      </c>
      <c r="C2097" s="53" t="s">
        <v>298</v>
      </c>
      <c r="D2097" s="53" t="s">
        <v>197</v>
      </c>
      <c r="E2097" s="32">
        <v>22000</v>
      </c>
      <c r="F2097" s="53" t="s">
        <v>4073</v>
      </c>
    </row>
    <row r="2098" spans="1:6">
      <c r="A2098" s="53" t="s">
        <v>3840</v>
      </c>
      <c r="B2098" s="53" t="s">
        <v>223</v>
      </c>
      <c r="C2098" s="53" t="s">
        <v>302</v>
      </c>
      <c r="D2098" s="53" t="s">
        <v>197</v>
      </c>
      <c r="E2098" s="32">
        <v>30000</v>
      </c>
      <c r="F2098" s="53" t="s">
        <v>4073</v>
      </c>
    </row>
    <row r="2099" spans="1:6">
      <c r="A2099" s="53" t="s">
        <v>3840</v>
      </c>
      <c r="B2099" s="53" t="s">
        <v>223</v>
      </c>
      <c r="C2099" s="53" t="s">
        <v>308</v>
      </c>
      <c r="D2099" s="53" t="s">
        <v>197</v>
      </c>
      <c r="E2099" s="32">
        <v>3000</v>
      </c>
      <c r="F2099" s="53" t="s">
        <v>4073</v>
      </c>
    </row>
    <row r="2100" spans="1:6">
      <c r="A2100" s="53" t="s">
        <v>3840</v>
      </c>
      <c r="B2100" s="53" t="s">
        <v>223</v>
      </c>
      <c r="C2100" s="53" t="s">
        <v>4125</v>
      </c>
      <c r="D2100" s="53" t="s">
        <v>197</v>
      </c>
      <c r="E2100" s="32">
        <v>1420</v>
      </c>
      <c r="F2100" s="53" t="s">
        <v>4073</v>
      </c>
    </row>
    <row r="2101" spans="1:6">
      <c r="A2101" s="53" t="s">
        <v>3840</v>
      </c>
      <c r="B2101" s="53" t="s">
        <v>223</v>
      </c>
      <c r="C2101" s="53" t="s">
        <v>4121</v>
      </c>
      <c r="D2101" s="53" t="s">
        <v>197</v>
      </c>
      <c r="E2101" s="32">
        <v>1420</v>
      </c>
      <c r="F2101" s="53" t="s">
        <v>4073</v>
      </c>
    </row>
    <row r="2102" spans="1:6">
      <c r="A2102" s="53" t="s">
        <v>3840</v>
      </c>
      <c r="B2102" s="53" t="s">
        <v>223</v>
      </c>
      <c r="C2102" s="53" t="s">
        <v>4124</v>
      </c>
      <c r="D2102" s="53" t="s">
        <v>197</v>
      </c>
      <c r="E2102" s="32">
        <v>1420</v>
      </c>
      <c r="F2102" s="53" t="s">
        <v>4073</v>
      </c>
    </row>
    <row r="2103" spans="1:6">
      <c r="A2103" s="53" t="s">
        <v>3840</v>
      </c>
      <c r="B2103" s="53" t="s">
        <v>223</v>
      </c>
      <c r="C2103" s="53" t="s">
        <v>4117</v>
      </c>
      <c r="D2103" s="53" t="s">
        <v>197</v>
      </c>
      <c r="E2103" s="32">
        <v>11000</v>
      </c>
      <c r="F2103" s="53" t="s">
        <v>4073</v>
      </c>
    </row>
    <row r="2104" spans="1:6">
      <c r="A2104" s="53" t="s">
        <v>3840</v>
      </c>
      <c r="B2104" s="53" t="s">
        <v>223</v>
      </c>
      <c r="C2104" s="53" t="s">
        <v>4121</v>
      </c>
      <c r="D2104" s="53" t="s">
        <v>197</v>
      </c>
      <c r="E2104" s="32">
        <v>1420</v>
      </c>
      <c r="F2104" s="53" t="s">
        <v>4073</v>
      </c>
    </row>
    <row r="2105" spans="1:6">
      <c r="A2105" s="53" t="s">
        <v>3840</v>
      </c>
      <c r="B2105" s="53" t="s">
        <v>223</v>
      </c>
      <c r="C2105" s="53" t="s">
        <v>4121</v>
      </c>
      <c r="D2105" s="53" t="s">
        <v>197</v>
      </c>
      <c r="E2105" s="32">
        <v>1420</v>
      </c>
      <c r="F2105" s="53" t="s">
        <v>4073</v>
      </c>
    </row>
    <row r="2106" spans="1:6">
      <c r="A2106" s="53" t="s">
        <v>3840</v>
      </c>
      <c r="B2106" s="53" t="s">
        <v>223</v>
      </c>
      <c r="C2106" s="53" t="s">
        <v>4120</v>
      </c>
      <c r="D2106" s="53" t="s">
        <v>197</v>
      </c>
      <c r="E2106" s="32">
        <v>13500</v>
      </c>
      <c r="F2106" s="53" t="s">
        <v>4073</v>
      </c>
    </row>
    <row r="2107" spans="1:6">
      <c r="A2107" s="53" t="s">
        <v>3842</v>
      </c>
      <c r="B2107" s="53" t="s">
        <v>223</v>
      </c>
      <c r="C2107" s="53" t="s">
        <v>224</v>
      </c>
      <c r="D2107" s="53" t="s">
        <v>197</v>
      </c>
      <c r="E2107" s="32">
        <v>16000</v>
      </c>
      <c r="F2107" s="53" t="s">
        <v>4073</v>
      </c>
    </row>
    <row r="2108" spans="1:6">
      <c r="A2108" s="53" t="s">
        <v>3842</v>
      </c>
      <c r="B2108" s="53" t="s">
        <v>223</v>
      </c>
      <c r="C2108" s="53" t="s">
        <v>236</v>
      </c>
      <c r="D2108" s="53" t="s">
        <v>197</v>
      </c>
      <c r="E2108" s="32">
        <v>3000</v>
      </c>
      <c r="F2108" s="53" t="s">
        <v>4073</v>
      </c>
    </row>
    <row r="2109" spans="1:6">
      <c r="A2109" s="53" t="s">
        <v>3842</v>
      </c>
      <c r="B2109" s="53" t="s">
        <v>223</v>
      </c>
      <c r="C2109" s="53" t="s">
        <v>255</v>
      </c>
      <c r="D2109" s="53" t="s">
        <v>197</v>
      </c>
      <c r="E2109" s="32">
        <v>600</v>
      </c>
      <c r="F2109" s="53" t="s">
        <v>4073</v>
      </c>
    </row>
    <row r="2110" spans="1:6">
      <c r="A2110" s="53" t="s">
        <v>3842</v>
      </c>
      <c r="B2110" s="53" t="s">
        <v>223</v>
      </c>
      <c r="C2110" s="53" t="s">
        <v>264</v>
      </c>
      <c r="D2110" s="53" t="s">
        <v>197</v>
      </c>
      <c r="E2110" s="32">
        <v>12000</v>
      </c>
      <c r="F2110" s="53" t="s">
        <v>4073</v>
      </c>
    </row>
    <row r="2111" spans="1:6">
      <c r="A2111" s="53" t="s">
        <v>3842</v>
      </c>
      <c r="B2111" s="53" t="s">
        <v>223</v>
      </c>
      <c r="C2111" s="53" t="s">
        <v>267</v>
      </c>
      <c r="D2111" s="53" t="s">
        <v>197</v>
      </c>
      <c r="E2111" s="32">
        <v>13500</v>
      </c>
      <c r="F2111" s="53" t="s">
        <v>4073</v>
      </c>
    </row>
    <row r="2112" spans="1:6">
      <c r="A2112" s="53" t="s">
        <v>3842</v>
      </c>
      <c r="B2112" s="53" t="s">
        <v>223</v>
      </c>
      <c r="C2112" s="53" t="s">
        <v>269</v>
      </c>
      <c r="D2112" s="53" t="s">
        <v>197</v>
      </c>
      <c r="E2112" s="32">
        <v>12000</v>
      </c>
      <c r="F2112" s="53" t="s">
        <v>4073</v>
      </c>
    </row>
    <row r="2113" spans="1:6">
      <c r="A2113" s="53" t="s">
        <v>3842</v>
      </c>
      <c r="B2113" s="53" t="s">
        <v>223</v>
      </c>
      <c r="C2113" s="53" t="s">
        <v>271</v>
      </c>
      <c r="D2113" s="53" t="s">
        <v>197</v>
      </c>
      <c r="E2113" s="32">
        <v>12000</v>
      </c>
      <c r="F2113" s="53" t="s">
        <v>4073</v>
      </c>
    </row>
    <row r="2114" spans="1:6">
      <c r="A2114" s="53" t="s">
        <v>3842</v>
      </c>
      <c r="B2114" s="53" t="s">
        <v>223</v>
      </c>
      <c r="C2114" s="53" t="s">
        <v>285</v>
      </c>
      <c r="D2114" s="53" t="s">
        <v>197</v>
      </c>
      <c r="E2114" s="32">
        <v>9000</v>
      </c>
      <c r="F2114" s="53" t="s">
        <v>4073</v>
      </c>
    </row>
    <row r="2115" spans="1:6">
      <c r="A2115" s="53" t="s">
        <v>3842</v>
      </c>
      <c r="B2115" s="53" t="s">
        <v>223</v>
      </c>
      <c r="C2115" s="53" t="s">
        <v>298</v>
      </c>
      <c r="D2115" s="53" t="s">
        <v>197</v>
      </c>
      <c r="E2115" s="32">
        <v>22000</v>
      </c>
      <c r="F2115" s="53" t="s">
        <v>4073</v>
      </c>
    </row>
    <row r="2116" spans="1:6">
      <c r="A2116" s="53" t="s">
        <v>3842</v>
      </c>
      <c r="B2116" s="53" t="s">
        <v>223</v>
      </c>
      <c r="C2116" s="53" t="s">
        <v>302</v>
      </c>
      <c r="D2116" s="53" t="s">
        <v>197</v>
      </c>
      <c r="E2116" s="32">
        <v>30000</v>
      </c>
      <c r="F2116" s="53" t="s">
        <v>4073</v>
      </c>
    </row>
    <row r="2117" spans="1:6">
      <c r="A2117" s="53" t="s">
        <v>3842</v>
      </c>
      <c r="B2117" s="53" t="s">
        <v>223</v>
      </c>
      <c r="C2117" s="53" t="s">
        <v>308</v>
      </c>
      <c r="D2117" s="53" t="s">
        <v>197</v>
      </c>
      <c r="E2117" s="32">
        <v>3000</v>
      </c>
      <c r="F2117" s="53" t="s">
        <v>4073</v>
      </c>
    </row>
    <row r="2118" spans="1:6">
      <c r="A2118" s="53" t="s">
        <v>3842</v>
      </c>
      <c r="B2118" s="53" t="s">
        <v>223</v>
      </c>
      <c r="C2118" s="53" t="s">
        <v>4125</v>
      </c>
      <c r="D2118" s="53" t="s">
        <v>197</v>
      </c>
      <c r="E2118" s="32">
        <v>1420</v>
      </c>
      <c r="F2118" s="53" t="s">
        <v>4073</v>
      </c>
    </row>
    <row r="2119" spans="1:6">
      <c r="A2119" s="53" t="s">
        <v>3842</v>
      </c>
      <c r="B2119" s="53" t="s">
        <v>223</v>
      </c>
      <c r="C2119" s="53" t="s">
        <v>4121</v>
      </c>
      <c r="D2119" s="53" t="s">
        <v>197</v>
      </c>
      <c r="E2119" s="32">
        <v>1420</v>
      </c>
      <c r="F2119" s="53" t="s">
        <v>4073</v>
      </c>
    </row>
    <row r="2120" spans="1:6">
      <c r="A2120" s="53" t="s">
        <v>3842</v>
      </c>
      <c r="B2120" s="53" t="s">
        <v>223</v>
      </c>
      <c r="C2120" s="53" t="s">
        <v>4124</v>
      </c>
      <c r="D2120" s="53" t="s">
        <v>197</v>
      </c>
      <c r="E2120" s="32">
        <v>1420</v>
      </c>
      <c r="F2120" s="53" t="s">
        <v>4073</v>
      </c>
    </row>
    <row r="2121" spans="1:6">
      <c r="A2121" s="53" t="s">
        <v>3842</v>
      </c>
      <c r="B2121" s="53" t="s">
        <v>223</v>
      </c>
      <c r="C2121" s="53" t="s">
        <v>4117</v>
      </c>
      <c r="D2121" s="53" t="s">
        <v>197</v>
      </c>
      <c r="E2121" s="32">
        <v>11000</v>
      </c>
      <c r="F2121" s="53" t="s">
        <v>4073</v>
      </c>
    </row>
    <row r="2122" spans="1:6">
      <c r="A2122" s="53" t="s">
        <v>3842</v>
      </c>
      <c r="B2122" s="53" t="s">
        <v>223</v>
      </c>
      <c r="C2122" s="53" t="s">
        <v>4121</v>
      </c>
      <c r="D2122" s="53" t="s">
        <v>197</v>
      </c>
      <c r="E2122" s="32">
        <v>1420</v>
      </c>
      <c r="F2122" s="53" t="s">
        <v>4073</v>
      </c>
    </row>
    <row r="2123" spans="1:6">
      <c r="A2123" s="53" t="s">
        <v>3842</v>
      </c>
      <c r="B2123" s="53" t="s">
        <v>223</v>
      </c>
      <c r="C2123" s="53" t="s">
        <v>4121</v>
      </c>
      <c r="D2123" s="53" t="s">
        <v>197</v>
      </c>
      <c r="E2123" s="32">
        <v>1420</v>
      </c>
      <c r="F2123" s="53" t="s">
        <v>4073</v>
      </c>
    </row>
    <row r="2124" spans="1:6">
      <c r="A2124" s="53" t="s">
        <v>3842</v>
      </c>
      <c r="B2124" s="53" t="s">
        <v>223</v>
      </c>
      <c r="C2124" s="53" t="s">
        <v>4120</v>
      </c>
      <c r="D2124" s="53" t="s">
        <v>197</v>
      </c>
      <c r="E2124" s="32">
        <v>13500</v>
      </c>
      <c r="F2124" s="53" t="s">
        <v>4073</v>
      </c>
    </row>
    <row r="2125" spans="1:6">
      <c r="A2125" s="53" t="s">
        <v>3841</v>
      </c>
      <c r="B2125" s="53" t="s">
        <v>223</v>
      </c>
      <c r="C2125" s="53" t="s">
        <v>224</v>
      </c>
      <c r="D2125" s="53" t="s">
        <v>197</v>
      </c>
      <c r="E2125" s="32">
        <v>16000</v>
      </c>
      <c r="F2125" s="53" t="s">
        <v>4073</v>
      </c>
    </row>
    <row r="2126" spans="1:6">
      <c r="A2126" s="53" t="s">
        <v>3841</v>
      </c>
      <c r="B2126" s="53" t="s">
        <v>223</v>
      </c>
      <c r="C2126" s="53" t="s">
        <v>236</v>
      </c>
      <c r="D2126" s="53" t="s">
        <v>197</v>
      </c>
      <c r="E2126" s="32">
        <v>3000</v>
      </c>
      <c r="F2126" s="53" t="s">
        <v>4073</v>
      </c>
    </row>
    <row r="2127" spans="1:6">
      <c r="A2127" s="53" t="s">
        <v>3841</v>
      </c>
      <c r="B2127" s="53" t="s">
        <v>223</v>
      </c>
      <c r="C2127" s="53" t="s">
        <v>255</v>
      </c>
      <c r="D2127" s="53" t="s">
        <v>197</v>
      </c>
      <c r="E2127" s="32">
        <v>600</v>
      </c>
      <c r="F2127" s="53" t="s">
        <v>4073</v>
      </c>
    </row>
    <row r="2128" spans="1:6">
      <c r="A2128" s="53" t="s">
        <v>3841</v>
      </c>
      <c r="B2128" s="53" t="s">
        <v>223</v>
      </c>
      <c r="C2128" s="53" t="s">
        <v>264</v>
      </c>
      <c r="D2128" s="53" t="s">
        <v>197</v>
      </c>
      <c r="E2128" s="32">
        <v>12000</v>
      </c>
      <c r="F2128" s="53" t="s">
        <v>4073</v>
      </c>
    </row>
    <row r="2129" spans="1:6">
      <c r="A2129" s="53" t="s">
        <v>3841</v>
      </c>
      <c r="B2129" s="53" t="s">
        <v>223</v>
      </c>
      <c r="C2129" s="53" t="s">
        <v>267</v>
      </c>
      <c r="D2129" s="53" t="s">
        <v>197</v>
      </c>
      <c r="E2129" s="32">
        <v>13500</v>
      </c>
      <c r="F2129" s="53" t="s">
        <v>4073</v>
      </c>
    </row>
    <row r="2130" spans="1:6">
      <c r="A2130" s="53" t="s">
        <v>3841</v>
      </c>
      <c r="B2130" s="53" t="s">
        <v>223</v>
      </c>
      <c r="C2130" s="53" t="s">
        <v>269</v>
      </c>
      <c r="D2130" s="53" t="s">
        <v>197</v>
      </c>
      <c r="E2130" s="32">
        <v>12000</v>
      </c>
      <c r="F2130" s="53" t="s">
        <v>4073</v>
      </c>
    </row>
    <row r="2131" spans="1:6">
      <c r="A2131" s="53" t="s">
        <v>3841</v>
      </c>
      <c r="B2131" s="53" t="s">
        <v>223</v>
      </c>
      <c r="C2131" s="53" t="s">
        <v>271</v>
      </c>
      <c r="D2131" s="53" t="s">
        <v>197</v>
      </c>
      <c r="E2131" s="32">
        <v>12000</v>
      </c>
      <c r="F2131" s="53" t="s">
        <v>4073</v>
      </c>
    </row>
    <row r="2132" spans="1:6">
      <c r="A2132" s="53" t="s">
        <v>3841</v>
      </c>
      <c r="B2132" s="53" t="s">
        <v>223</v>
      </c>
      <c r="C2132" s="53" t="s">
        <v>285</v>
      </c>
      <c r="D2132" s="53" t="s">
        <v>197</v>
      </c>
      <c r="E2132" s="32">
        <v>9000</v>
      </c>
      <c r="F2132" s="53" t="s">
        <v>4073</v>
      </c>
    </row>
    <row r="2133" spans="1:6">
      <c r="A2133" s="53" t="s">
        <v>3841</v>
      </c>
      <c r="B2133" s="53" t="s">
        <v>223</v>
      </c>
      <c r="C2133" s="53" t="s">
        <v>298</v>
      </c>
      <c r="D2133" s="53" t="s">
        <v>197</v>
      </c>
      <c r="E2133" s="32">
        <v>22000</v>
      </c>
      <c r="F2133" s="53" t="s">
        <v>4073</v>
      </c>
    </row>
    <row r="2134" spans="1:6">
      <c r="A2134" s="53" t="s">
        <v>3841</v>
      </c>
      <c r="B2134" s="53" t="s">
        <v>223</v>
      </c>
      <c r="C2134" s="53" t="s">
        <v>302</v>
      </c>
      <c r="D2134" s="53" t="s">
        <v>197</v>
      </c>
      <c r="E2134" s="32">
        <v>30000</v>
      </c>
      <c r="F2134" s="53" t="s">
        <v>4073</v>
      </c>
    </row>
    <row r="2135" spans="1:6">
      <c r="A2135" s="53" t="s">
        <v>3841</v>
      </c>
      <c r="B2135" s="53" t="s">
        <v>223</v>
      </c>
      <c r="C2135" s="53" t="s">
        <v>308</v>
      </c>
      <c r="D2135" s="53" t="s">
        <v>197</v>
      </c>
      <c r="E2135" s="32">
        <v>3000</v>
      </c>
      <c r="F2135" s="53" t="s">
        <v>4073</v>
      </c>
    </row>
    <row r="2136" spans="1:6">
      <c r="A2136" s="53" t="s">
        <v>3841</v>
      </c>
      <c r="B2136" s="53" t="s">
        <v>223</v>
      </c>
      <c r="C2136" s="53" t="s">
        <v>4125</v>
      </c>
      <c r="D2136" s="53" t="s">
        <v>197</v>
      </c>
      <c r="E2136" s="32">
        <v>1420</v>
      </c>
      <c r="F2136" s="53" t="s">
        <v>4073</v>
      </c>
    </row>
    <row r="2137" spans="1:6">
      <c r="A2137" s="53" t="s">
        <v>3841</v>
      </c>
      <c r="B2137" s="53" t="s">
        <v>223</v>
      </c>
      <c r="C2137" s="53" t="s">
        <v>4121</v>
      </c>
      <c r="D2137" s="53" t="s">
        <v>197</v>
      </c>
      <c r="E2137" s="32">
        <v>1420</v>
      </c>
      <c r="F2137" s="53" t="s">
        <v>4073</v>
      </c>
    </row>
    <row r="2138" spans="1:6">
      <c r="A2138" s="53" t="s">
        <v>3841</v>
      </c>
      <c r="B2138" s="53" t="s">
        <v>223</v>
      </c>
      <c r="C2138" s="53" t="s">
        <v>4124</v>
      </c>
      <c r="D2138" s="53" t="s">
        <v>197</v>
      </c>
      <c r="E2138" s="32">
        <v>1420</v>
      </c>
      <c r="F2138" s="53" t="s">
        <v>4073</v>
      </c>
    </row>
    <row r="2139" spans="1:6">
      <c r="A2139" s="53" t="s">
        <v>3841</v>
      </c>
      <c r="B2139" s="53" t="s">
        <v>223</v>
      </c>
      <c r="C2139" s="53" t="s">
        <v>4117</v>
      </c>
      <c r="D2139" s="53" t="s">
        <v>197</v>
      </c>
      <c r="E2139" s="32">
        <v>11000</v>
      </c>
      <c r="F2139" s="53" t="s">
        <v>4073</v>
      </c>
    </row>
    <row r="2140" spans="1:6">
      <c r="A2140" s="53" t="s">
        <v>3841</v>
      </c>
      <c r="B2140" s="53" t="s">
        <v>223</v>
      </c>
      <c r="C2140" s="53" t="s">
        <v>4121</v>
      </c>
      <c r="D2140" s="53" t="s">
        <v>197</v>
      </c>
      <c r="E2140" s="32">
        <v>1420</v>
      </c>
      <c r="F2140" s="53" t="s">
        <v>4073</v>
      </c>
    </row>
    <row r="2141" spans="1:6">
      <c r="A2141" s="53" t="s">
        <v>3841</v>
      </c>
      <c r="B2141" s="53" t="s">
        <v>223</v>
      </c>
      <c r="C2141" s="53" t="s">
        <v>4121</v>
      </c>
      <c r="D2141" s="53" t="s">
        <v>197</v>
      </c>
      <c r="E2141" s="32">
        <v>1420</v>
      </c>
      <c r="F2141" s="53" t="s">
        <v>4073</v>
      </c>
    </row>
    <row r="2142" spans="1:6">
      <c r="A2142" s="53" t="s">
        <v>3841</v>
      </c>
      <c r="B2142" s="53" t="s">
        <v>223</v>
      </c>
      <c r="C2142" s="53" t="s">
        <v>4120</v>
      </c>
      <c r="D2142" s="53" t="s">
        <v>197</v>
      </c>
      <c r="E2142" s="32">
        <v>13500</v>
      </c>
      <c r="F2142" s="53" t="s">
        <v>4073</v>
      </c>
    </row>
    <row r="2143" spans="1:6">
      <c r="A2143" s="53" t="s">
        <v>3843</v>
      </c>
      <c r="B2143" s="53" t="s">
        <v>223</v>
      </c>
      <c r="C2143" s="53" t="s">
        <v>224</v>
      </c>
      <c r="D2143" s="53" t="s">
        <v>197</v>
      </c>
      <c r="E2143" s="32">
        <v>16000</v>
      </c>
      <c r="F2143" s="53" t="s">
        <v>4073</v>
      </c>
    </row>
    <row r="2144" spans="1:6">
      <c r="A2144" s="53" t="s">
        <v>3843</v>
      </c>
      <c r="B2144" s="53" t="s">
        <v>223</v>
      </c>
      <c r="C2144" s="53" t="s">
        <v>236</v>
      </c>
      <c r="D2144" s="53" t="s">
        <v>197</v>
      </c>
      <c r="E2144" s="32">
        <v>3000</v>
      </c>
      <c r="F2144" s="53" t="s">
        <v>4073</v>
      </c>
    </row>
    <row r="2145" spans="1:6">
      <c r="A2145" s="53" t="s">
        <v>3843</v>
      </c>
      <c r="B2145" s="53" t="s">
        <v>223</v>
      </c>
      <c r="C2145" s="53" t="s">
        <v>255</v>
      </c>
      <c r="D2145" s="53" t="s">
        <v>197</v>
      </c>
      <c r="E2145" s="32">
        <v>600</v>
      </c>
      <c r="F2145" s="53" t="s">
        <v>4073</v>
      </c>
    </row>
    <row r="2146" spans="1:6">
      <c r="A2146" s="53" t="s">
        <v>3843</v>
      </c>
      <c r="B2146" s="53" t="s">
        <v>223</v>
      </c>
      <c r="C2146" s="53" t="s">
        <v>264</v>
      </c>
      <c r="D2146" s="53" t="s">
        <v>197</v>
      </c>
      <c r="E2146" s="32">
        <v>12000</v>
      </c>
      <c r="F2146" s="53" t="s">
        <v>4073</v>
      </c>
    </row>
    <row r="2147" spans="1:6">
      <c r="A2147" s="53" t="s">
        <v>3843</v>
      </c>
      <c r="B2147" s="53" t="s">
        <v>223</v>
      </c>
      <c r="C2147" s="53" t="s">
        <v>267</v>
      </c>
      <c r="D2147" s="53" t="s">
        <v>197</v>
      </c>
      <c r="E2147" s="32">
        <v>13500</v>
      </c>
      <c r="F2147" s="53" t="s">
        <v>4073</v>
      </c>
    </row>
    <row r="2148" spans="1:6">
      <c r="A2148" s="53" t="s">
        <v>3843</v>
      </c>
      <c r="B2148" s="53" t="s">
        <v>223</v>
      </c>
      <c r="C2148" s="53" t="s">
        <v>269</v>
      </c>
      <c r="D2148" s="53" t="s">
        <v>197</v>
      </c>
      <c r="E2148" s="32">
        <v>12000</v>
      </c>
      <c r="F2148" s="53" t="s">
        <v>4073</v>
      </c>
    </row>
    <row r="2149" spans="1:6">
      <c r="A2149" s="53" t="s">
        <v>3843</v>
      </c>
      <c r="B2149" s="53" t="s">
        <v>223</v>
      </c>
      <c r="C2149" s="53" t="s">
        <v>271</v>
      </c>
      <c r="D2149" s="53" t="s">
        <v>197</v>
      </c>
      <c r="E2149" s="32">
        <v>12000</v>
      </c>
      <c r="F2149" s="53" t="s">
        <v>4073</v>
      </c>
    </row>
    <row r="2150" spans="1:6">
      <c r="A2150" s="53" t="s">
        <v>3843</v>
      </c>
      <c r="B2150" s="53" t="s">
        <v>223</v>
      </c>
      <c r="C2150" s="53" t="s">
        <v>285</v>
      </c>
      <c r="D2150" s="53" t="s">
        <v>197</v>
      </c>
      <c r="E2150" s="32">
        <v>9000</v>
      </c>
      <c r="F2150" s="53" t="s">
        <v>4073</v>
      </c>
    </row>
    <row r="2151" spans="1:6">
      <c r="A2151" s="53" t="s">
        <v>3843</v>
      </c>
      <c r="B2151" s="53" t="s">
        <v>223</v>
      </c>
      <c r="C2151" s="53" t="s">
        <v>298</v>
      </c>
      <c r="D2151" s="53" t="s">
        <v>197</v>
      </c>
      <c r="E2151" s="32">
        <v>22000</v>
      </c>
      <c r="F2151" s="53" t="s">
        <v>4073</v>
      </c>
    </row>
    <row r="2152" spans="1:6">
      <c r="A2152" s="53" t="s">
        <v>3843</v>
      </c>
      <c r="B2152" s="53" t="s">
        <v>223</v>
      </c>
      <c r="C2152" s="53" t="s">
        <v>302</v>
      </c>
      <c r="D2152" s="53" t="s">
        <v>197</v>
      </c>
      <c r="E2152" s="32">
        <v>30000</v>
      </c>
      <c r="F2152" s="53" t="s">
        <v>4073</v>
      </c>
    </row>
    <row r="2153" spans="1:6">
      <c r="A2153" s="53" t="s">
        <v>3843</v>
      </c>
      <c r="B2153" s="53" t="s">
        <v>223</v>
      </c>
      <c r="C2153" s="53" t="s">
        <v>308</v>
      </c>
      <c r="D2153" s="53" t="s">
        <v>197</v>
      </c>
      <c r="E2153" s="32">
        <v>3000</v>
      </c>
      <c r="F2153" s="53" t="s">
        <v>4073</v>
      </c>
    </row>
    <row r="2154" spans="1:6">
      <c r="A2154" s="53" t="s">
        <v>3843</v>
      </c>
      <c r="B2154" s="53" t="s">
        <v>223</v>
      </c>
      <c r="C2154" s="53" t="s">
        <v>4125</v>
      </c>
      <c r="D2154" s="53" t="s">
        <v>197</v>
      </c>
      <c r="E2154" s="32">
        <v>1420</v>
      </c>
      <c r="F2154" s="53" t="s">
        <v>4073</v>
      </c>
    </row>
    <row r="2155" spans="1:6">
      <c r="A2155" s="53" t="s">
        <v>3843</v>
      </c>
      <c r="B2155" s="53" t="s">
        <v>223</v>
      </c>
      <c r="C2155" s="53" t="s">
        <v>4121</v>
      </c>
      <c r="D2155" s="53" t="s">
        <v>197</v>
      </c>
      <c r="E2155" s="32">
        <v>1420</v>
      </c>
      <c r="F2155" s="53" t="s">
        <v>4073</v>
      </c>
    </row>
    <row r="2156" spans="1:6">
      <c r="A2156" s="53" t="s">
        <v>3843</v>
      </c>
      <c r="B2156" s="53" t="s">
        <v>223</v>
      </c>
      <c r="C2156" s="53" t="s">
        <v>4124</v>
      </c>
      <c r="D2156" s="53" t="s">
        <v>197</v>
      </c>
      <c r="E2156" s="32">
        <v>1420</v>
      </c>
      <c r="F2156" s="53" t="s">
        <v>4073</v>
      </c>
    </row>
    <row r="2157" spans="1:6">
      <c r="A2157" s="53" t="s">
        <v>3843</v>
      </c>
      <c r="B2157" s="53" t="s">
        <v>223</v>
      </c>
      <c r="C2157" s="53" t="s">
        <v>4117</v>
      </c>
      <c r="D2157" s="53" t="s">
        <v>197</v>
      </c>
      <c r="E2157" s="32">
        <v>11000</v>
      </c>
      <c r="F2157" s="53" t="s">
        <v>4073</v>
      </c>
    </row>
    <row r="2158" spans="1:6">
      <c r="A2158" s="53" t="s">
        <v>3843</v>
      </c>
      <c r="B2158" s="53" t="s">
        <v>223</v>
      </c>
      <c r="C2158" s="53" t="s">
        <v>4121</v>
      </c>
      <c r="D2158" s="53" t="s">
        <v>197</v>
      </c>
      <c r="E2158" s="32">
        <v>1420</v>
      </c>
      <c r="F2158" s="53" t="s">
        <v>4073</v>
      </c>
    </row>
    <row r="2159" spans="1:6">
      <c r="A2159" s="53" t="s">
        <v>3843</v>
      </c>
      <c r="B2159" s="53" t="s">
        <v>223</v>
      </c>
      <c r="C2159" s="53" t="s">
        <v>4121</v>
      </c>
      <c r="D2159" s="53" t="s">
        <v>197</v>
      </c>
      <c r="E2159" s="32">
        <v>1420</v>
      </c>
      <c r="F2159" s="53" t="s">
        <v>4073</v>
      </c>
    </row>
    <row r="2160" spans="1:6">
      <c r="A2160" s="53" t="s">
        <v>3843</v>
      </c>
      <c r="B2160" s="53" t="s">
        <v>223</v>
      </c>
      <c r="C2160" s="53" t="s">
        <v>4120</v>
      </c>
      <c r="D2160" s="53" t="s">
        <v>197</v>
      </c>
      <c r="E2160" s="32">
        <v>13500</v>
      </c>
      <c r="F2160" s="53" t="s">
        <v>4073</v>
      </c>
    </row>
    <row r="2161" spans="1:6">
      <c r="A2161" s="53" t="s">
        <v>3844</v>
      </c>
      <c r="B2161" s="53" t="s">
        <v>223</v>
      </c>
      <c r="C2161" s="53" t="s">
        <v>224</v>
      </c>
      <c r="D2161" s="53" t="s">
        <v>197</v>
      </c>
      <c r="E2161" s="32">
        <v>16000</v>
      </c>
      <c r="F2161" s="53" t="s">
        <v>4073</v>
      </c>
    </row>
    <row r="2162" spans="1:6">
      <c r="A2162" s="53" t="s">
        <v>3844</v>
      </c>
      <c r="B2162" s="53" t="s">
        <v>223</v>
      </c>
      <c r="C2162" s="53" t="s">
        <v>236</v>
      </c>
      <c r="D2162" s="53" t="s">
        <v>197</v>
      </c>
      <c r="E2162" s="32">
        <v>3000</v>
      </c>
      <c r="F2162" s="53" t="s">
        <v>4073</v>
      </c>
    </row>
    <row r="2163" spans="1:6">
      <c r="A2163" s="53" t="s">
        <v>3844</v>
      </c>
      <c r="B2163" s="53" t="s">
        <v>223</v>
      </c>
      <c r="C2163" s="53" t="s">
        <v>255</v>
      </c>
      <c r="D2163" s="53" t="s">
        <v>197</v>
      </c>
      <c r="E2163" s="32">
        <v>600</v>
      </c>
      <c r="F2163" s="53" t="s">
        <v>4073</v>
      </c>
    </row>
    <row r="2164" spans="1:6">
      <c r="A2164" s="53" t="s">
        <v>3844</v>
      </c>
      <c r="B2164" s="53" t="s">
        <v>223</v>
      </c>
      <c r="C2164" s="53" t="s">
        <v>264</v>
      </c>
      <c r="D2164" s="53" t="s">
        <v>197</v>
      </c>
      <c r="E2164" s="32">
        <v>12000</v>
      </c>
      <c r="F2164" s="53" t="s">
        <v>4073</v>
      </c>
    </row>
    <row r="2165" spans="1:6">
      <c r="A2165" s="53" t="s">
        <v>3844</v>
      </c>
      <c r="B2165" s="53" t="s">
        <v>223</v>
      </c>
      <c r="C2165" s="53" t="s">
        <v>267</v>
      </c>
      <c r="D2165" s="53" t="s">
        <v>197</v>
      </c>
      <c r="E2165" s="32">
        <v>13500</v>
      </c>
      <c r="F2165" s="53" t="s">
        <v>4073</v>
      </c>
    </row>
    <row r="2166" spans="1:6">
      <c r="A2166" s="53" t="s">
        <v>3844</v>
      </c>
      <c r="B2166" s="53" t="s">
        <v>223</v>
      </c>
      <c r="C2166" s="53" t="s">
        <v>269</v>
      </c>
      <c r="D2166" s="53" t="s">
        <v>197</v>
      </c>
      <c r="E2166" s="32">
        <v>12000</v>
      </c>
      <c r="F2166" s="53" t="s">
        <v>4073</v>
      </c>
    </row>
    <row r="2167" spans="1:6">
      <c r="A2167" s="53" t="s">
        <v>3844</v>
      </c>
      <c r="B2167" s="53" t="s">
        <v>223</v>
      </c>
      <c r="C2167" s="53" t="s">
        <v>271</v>
      </c>
      <c r="D2167" s="53" t="s">
        <v>197</v>
      </c>
      <c r="E2167" s="32">
        <v>12000</v>
      </c>
      <c r="F2167" s="53" t="s">
        <v>4073</v>
      </c>
    </row>
    <row r="2168" spans="1:6">
      <c r="A2168" s="53" t="s">
        <v>3844</v>
      </c>
      <c r="B2168" s="53" t="s">
        <v>223</v>
      </c>
      <c r="C2168" s="53" t="s">
        <v>285</v>
      </c>
      <c r="D2168" s="53" t="s">
        <v>197</v>
      </c>
      <c r="E2168" s="32">
        <v>9000</v>
      </c>
      <c r="F2168" s="53" t="s">
        <v>4073</v>
      </c>
    </row>
    <row r="2169" spans="1:6">
      <c r="A2169" s="53" t="s">
        <v>3844</v>
      </c>
      <c r="B2169" s="53" t="s">
        <v>223</v>
      </c>
      <c r="C2169" s="53" t="s">
        <v>298</v>
      </c>
      <c r="D2169" s="53" t="s">
        <v>197</v>
      </c>
      <c r="E2169" s="32">
        <v>22000</v>
      </c>
      <c r="F2169" s="53" t="s">
        <v>4073</v>
      </c>
    </row>
    <row r="2170" spans="1:6">
      <c r="A2170" s="53" t="s">
        <v>3844</v>
      </c>
      <c r="B2170" s="53" t="s">
        <v>223</v>
      </c>
      <c r="C2170" s="53" t="s">
        <v>302</v>
      </c>
      <c r="D2170" s="53" t="s">
        <v>197</v>
      </c>
      <c r="E2170" s="32">
        <v>30000</v>
      </c>
      <c r="F2170" s="53" t="s">
        <v>4073</v>
      </c>
    </row>
    <row r="2171" spans="1:6">
      <c r="A2171" s="53" t="s">
        <v>3844</v>
      </c>
      <c r="B2171" s="53" t="s">
        <v>223</v>
      </c>
      <c r="C2171" s="53" t="s">
        <v>308</v>
      </c>
      <c r="D2171" s="53" t="s">
        <v>197</v>
      </c>
      <c r="E2171" s="32">
        <v>3000</v>
      </c>
      <c r="F2171" s="53" t="s">
        <v>4073</v>
      </c>
    </row>
    <row r="2172" spans="1:6">
      <c r="A2172" s="53" t="s">
        <v>3844</v>
      </c>
      <c r="B2172" s="53" t="s">
        <v>223</v>
      </c>
      <c r="C2172" s="53" t="s">
        <v>4125</v>
      </c>
      <c r="D2172" s="53" t="s">
        <v>197</v>
      </c>
      <c r="E2172" s="32">
        <v>1420</v>
      </c>
      <c r="F2172" s="53" t="s">
        <v>4073</v>
      </c>
    </row>
    <row r="2173" spans="1:6">
      <c r="A2173" s="53" t="s">
        <v>3844</v>
      </c>
      <c r="B2173" s="53" t="s">
        <v>223</v>
      </c>
      <c r="C2173" s="53" t="s">
        <v>4121</v>
      </c>
      <c r="D2173" s="53" t="s">
        <v>197</v>
      </c>
      <c r="E2173" s="32">
        <v>1420</v>
      </c>
      <c r="F2173" s="53" t="s">
        <v>4073</v>
      </c>
    </row>
    <row r="2174" spans="1:6">
      <c r="A2174" s="53" t="s">
        <v>3844</v>
      </c>
      <c r="B2174" s="53" t="s">
        <v>223</v>
      </c>
      <c r="C2174" s="53" t="s">
        <v>4124</v>
      </c>
      <c r="D2174" s="53" t="s">
        <v>197</v>
      </c>
      <c r="E2174" s="32">
        <v>1420</v>
      </c>
      <c r="F2174" s="53" t="s">
        <v>4073</v>
      </c>
    </row>
    <row r="2175" spans="1:6">
      <c r="A2175" s="53" t="s">
        <v>3844</v>
      </c>
      <c r="B2175" s="53" t="s">
        <v>223</v>
      </c>
      <c r="C2175" s="53" t="s">
        <v>4117</v>
      </c>
      <c r="D2175" s="53" t="s">
        <v>197</v>
      </c>
      <c r="E2175" s="32">
        <v>11000</v>
      </c>
      <c r="F2175" s="53" t="s">
        <v>4073</v>
      </c>
    </row>
    <row r="2176" spans="1:6">
      <c r="A2176" s="53" t="s">
        <v>3844</v>
      </c>
      <c r="B2176" s="53" t="s">
        <v>223</v>
      </c>
      <c r="C2176" s="53" t="s">
        <v>4121</v>
      </c>
      <c r="D2176" s="53" t="s">
        <v>197</v>
      </c>
      <c r="E2176" s="32">
        <v>1420</v>
      </c>
      <c r="F2176" s="53" t="s">
        <v>4073</v>
      </c>
    </row>
    <row r="2177" spans="1:6">
      <c r="A2177" s="53" t="s">
        <v>3844</v>
      </c>
      <c r="B2177" s="53" t="s">
        <v>223</v>
      </c>
      <c r="C2177" s="53" t="s">
        <v>4121</v>
      </c>
      <c r="D2177" s="53" t="s">
        <v>197</v>
      </c>
      <c r="E2177" s="32">
        <v>1420</v>
      </c>
      <c r="F2177" s="53" t="s">
        <v>4073</v>
      </c>
    </row>
    <row r="2178" spans="1:6">
      <c r="A2178" s="53" t="s">
        <v>3844</v>
      </c>
      <c r="B2178" s="53" t="s">
        <v>223</v>
      </c>
      <c r="C2178" s="53" t="s">
        <v>4120</v>
      </c>
      <c r="D2178" s="53" t="s">
        <v>197</v>
      </c>
      <c r="E2178" s="32">
        <v>13500</v>
      </c>
      <c r="F2178" s="53" t="s">
        <v>4073</v>
      </c>
    </row>
    <row r="2179" spans="1:6">
      <c r="A2179" s="53" t="s">
        <v>3845</v>
      </c>
      <c r="B2179" s="53" t="s">
        <v>223</v>
      </c>
      <c r="C2179" s="53" t="s">
        <v>224</v>
      </c>
      <c r="D2179" s="53" t="s">
        <v>197</v>
      </c>
      <c r="E2179" s="32">
        <v>16000</v>
      </c>
      <c r="F2179" s="53" t="s">
        <v>4073</v>
      </c>
    </row>
    <row r="2180" spans="1:6">
      <c r="A2180" s="53" t="s">
        <v>3845</v>
      </c>
      <c r="B2180" s="53" t="s">
        <v>223</v>
      </c>
      <c r="C2180" s="53" t="s">
        <v>236</v>
      </c>
      <c r="D2180" s="53" t="s">
        <v>197</v>
      </c>
      <c r="E2180" s="32">
        <v>3000</v>
      </c>
      <c r="F2180" s="53" t="s">
        <v>4073</v>
      </c>
    </row>
    <row r="2181" spans="1:6">
      <c r="A2181" s="53" t="s">
        <v>3845</v>
      </c>
      <c r="B2181" s="53" t="s">
        <v>223</v>
      </c>
      <c r="C2181" s="53" t="s">
        <v>255</v>
      </c>
      <c r="D2181" s="53" t="s">
        <v>197</v>
      </c>
      <c r="E2181" s="32">
        <v>600</v>
      </c>
      <c r="F2181" s="53" t="s">
        <v>4073</v>
      </c>
    </row>
    <row r="2182" spans="1:6">
      <c r="A2182" s="53" t="s">
        <v>3845</v>
      </c>
      <c r="B2182" s="53" t="s">
        <v>223</v>
      </c>
      <c r="C2182" s="53" t="s">
        <v>264</v>
      </c>
      <c r="D2182" s="53" t="s">
        <v>197</v>
      </c>
      <c r="E2182" s="32">
        <v>12000</v>
      </c>
      <c r="F2182" s="53" t="s">
        <v>4073</v>
      </c>
    </row>
    <row r="2183" spans="1:6">
      <c r="A2183" s="53" t="s">
        <v>3845</v>
      </c>
      <c r="B2183" s="53" t="s">
        <v>223</v>
      </c>
      <c r="C2183" s="53" t="s">
        <v>267</v>
      </c>
      <c r="D2183" s="53" t="s">
        <v>197</v>
      </c>
      <c r="E2183" s="32">
        <v>13500</v>
      </c>
      <c r="F2183" s="53" t="s">
        <v>4073</v>
      </c>
    </row>
    <row r="2184" spans="1:6">
      <c r="A2184" s="53" t="s">
        <v>3845</v>
      </c>
      <c r="B2184" s="53" t="s">
        <v>223</v>
      </c>
      <c r="C2184" s="53" t="s">
        <v>269</v>
      </c>
      <c r="D2184" s="53" t="s">
        <v>197</v>
      </c>
      <c r="E2184" s="32">
        <v>12000</v>
      </c>
      <c r="F2184" s="53" t="s">
        <v>4073</v>
      </c>
    </row>
    <row r="2185" spans="1:6">
      <c r="A2185" s="53" t="s">
        <v>3845</v>
      </c>
      <c r="B2185" s="53" t="s">
        <v>223</v>
      </c>
      <c r="C2185" s="53" t="s">
        <v>271</v>
      </c>
      <c r="D2185" s="53" t="s">
        <v>197</v>
      </c>
      <c r="E2185" s="32">
        <v>12000</v>
      </c>
      <c r="F2185" s="53" t="s">
        <v>4073</v>
      </c>
    </row>
    <row r="2186" spans="1:6">
      <c r="A2186" s="53" t="s">
        <v>3845</v>
      </c>
      <c r="B2186" s="53" t="s">
        <v>223</v>
      </c>
      <c r="C2186" s="53" t="s">
        <v>285</v>
      </c>
      <c r="D2186" s="53" t="s">
        <v>197</v>
      </c>
      <c r="E2186" s="32">
        <v>9000</v>
      </c>
      <c r="F2186" s="53" t="s">
        <v>4073</v>
      </c>
    </row>
    <row r="2187" spans="1:6">
      <c r="A2187" s="53" t="s">
        <v>3845</v>
      </c>
      <c r="B2187" s="53" t="s">
        <v>223</v>
      </c>
      <c r="C2187" s="53" t="s">
        <v>298</v>
      </c>
      <c r="D2187" s="53" t="s">
        <v>197</v>
      </c>
      <c r="E2187" s="32">
        <v>22000</v>
      </c>
      <c r="F2187" s="53" t="s">
        <v>4073</v>
      </c>
    </row>
    <row r="2188" spans="1:6">
      <c r="A2188" s="53" t="s">
        <v>3845</v>
      </c>
      <c r="B2188" s="53" t="s">
        <v>223</v>
      </c>
      <c r="C2188" s="53" t="s">
        <v>302</v>
      </c>
      <c r="D2188" s="53" t="s">
        <v>197</v>
      </c>
      <c r="E2188" s="32">
        <v>30000</v>
      </c>
      <c r="F2188" s="53" t="s">
        <v>4073</v>
      </c>
    </row>
    <row r="2189" spans="1:6">
      <c r="A2189" s="53" t="s">
        <v>3845</v>
      </c>
      <c r="B2189" s="53" t="s">
        <v>223</v>
      </c>
      <c r="C2189" s="53" t="s">
        <v>308</v>
      </c>
      <c r="D2189" s="53" t="s">
        <v>197</v>
      </c>
      <c r="E2189" s="32">
        <v>3000</v>
      </c>
      <c r="F2189" s="53" t="s">
        <v>4073</v>
      </c>
    </row>
    <row r="2190" spans="1:6">
      <c r="A2190" s="53" t="s">
        <v>3845</v>
      </c>
      <c r="B2190" s="53" t="s">
        <v>223</v>
      </c>
      <c r="C2190" s="53" t="s">
        <v>4125</v>
      </c>
      <c r="D2190" s="53" t="s">
        <v>197</v>
      </c>
      <c r="E2190" s="32">
        <v>1420</v>
      </c>
      <c r="F2190" s="53" t="s">
        <v>4073</v>
      </c>
    </row>
    <row r="2191" spans="1:6">
      <c r="A2191" s="53" t="s">
        <v>3845</v>
      </c>
      <c r="B2191" s="53" t="s">
        <v>223</v>
      </c>
      <c r="C2191" s="53" t="s">
        <v>4121</v>
      </c>
      <c r="D2191" s="53" t="s">
        <v>197</v>
      </c>
      <c r="E2191" s="32">
        <v>1420</v>
      </c>
      <c r="F2191" s="53" t="s">
        <v>4073</v>
      </c>
    </row>
    <row r="2192" spans="1:6">
      <c r="A2192" s="53" t="s">
        <v>3845</v>
      </c>
      <c r="B2192" s="53" t="s">
        <v>223</v>
      </c>
      <c r="C2192" s="53" t="s">
        <v>4124</v>
      </c>
      <c r="D2192" s="53" t="s">
        <v>197</v>
      </c>
      <c r="E2192" s="32">
        <v>1420</v>
      </c>
      <c r="F2192" s="53" t="s">
        <v>4073</v>
      </c>
    </row>
    <row r="2193" spans="1:6">
      <c r="A2193" s="53" t="s">
        <v>3845</v>
      </c>
      <c r="B2193" s="53" t="s">
        <v>223</v>
      </c>
      <c r="C2193" s="53" t="s">
        <v>4117</v>
      </c>
      <c r="D2193" s="53" t="s">
        <v>197</v>
      </c>
      <c r="E2193" s="32">
        <v>11000</v>
      </c>
      <c r="F2193" s="53" t="s">
        <v>4073</v>
      </c>
    </row>
    <row r="2194" spans="1:6">
      <c r="A2194" s="53" t="s">
        <v>3845</v>
      </c>
      <c r="B2194" s="53" t="s">
        <v>223</v>
      </c>
      <c r="C2194" s="53" t="s">
        <v>4121</v>
      </c>
      <c r="D2194" s="53" t="s">
        <v>197</v>
      </c>
      <c r="E2194" s="32">
        <v>1420</v>
      </c>
      <c r="F2194" s="53" t="s">
        <v>4073</v>
      </c>
    </row>
    <row r="2195" spans="1:6">
      <c r="A2195" s="53" t="s">
        <v>3845</v>
      </c>
      <c r="B2195" s="53" t="s">
        <v>223</v>
      </c>
      <c r="C2195" s="53" t="s">
        <v>4121</v>
      </c>
      <c r="D2195" s="53" t="s">
        <v>197</v>
      </c>
      <c r="E2195" s="32">
        <v>1420</v>
      </c>
      <c r="F2195" s="53" t="s">
        <v>4073</v>
      </c>
    </row>
    <row r="2196" spans="1:6">
      <c r="A2196" s="53" t="s">
        <v>3845</v>
      </c>
      <c r="B2196" s="53" t="s">
        <v>223</v>
      </c>
      <c r="C2196" s="53" t="s">
        <v>4120</v>
      </c>
      <c r="D2196" s="53" t="s">
        <v>197</v>
      </c>
      <c r="E2196" s="32">
        <v>13500</v>
      </c>
      <c r="F2196" s="53" t="s">
        <v>4073</v>
      </c>
    </row>
    <row r="2197" spans="1:6">
      <c r="A2197" s="53" t="s">
        <v>3846</v>
      </c>
      <c r="B2197" s="53" t="s">
        <v>223</v>
      </c>
      <c r="C2197" s="53" t="s">
        <v>224</v>
      </c>
      <c r="D2197" s="53" t="s">
        <v>197</v>
      </c>
      <c r="E2197" s="32">
        <v>16000</v>
      </c>
      <c r="F2197" s="53" t="s">
        <v>4073</v>
      </c>
    </row>
    <row r="2198" spans="1:6">
      <c r="A2198" s="53" t="s">
        <v>3846</v>
      </c>
      <c r="B2198" s="53" t="s">
        <v>223</v>
      </c>
      <c r="C2198" s="53" t="s">
        <v>236</v>
      </c>
      <c r="D2198" s="53" t="s">
        <v>197</v>
      </c>
      <c r="E2198" s="32">
        <v>3000</v>
      </c>
      <c r="F2198" s="53" t="s">
        <v>4073</v>
      </c>
    </row>
    <row r="2199" spans="1:6">
      <c r="A2199" s="53" t="s">
        <v>3846</v>
      </c>
      <c r="B2199" s="53" t="s">
        <v>223</v>
      </c>
      <c r="C2199" s="53" t="s">
        <v>255</v>
      </c>
      <c r="D2199" s="53" t="s">
        <v>197</v>
      </c>
      <c r="E2199" s="32">
        <v>600</v>
      </c>
      <c r="F2199" s="53" t="s">
        <v>4073</v>
      </c>
    </row>
    <row r="2200" spans="1:6">
      <c r="A2200" s="53" t="s">
        <v>3846</v>
      </c>
      <c r="B2200" s="53" t="s">
        <v>223</v>
      </c>
      <c r="C2200" s="53" t="s">
        <v>264</v>
      </c>
      <c r="D2200" s="53" t="s">
        <v>197</v>
      </c>
      <c r="E2200" s="32">
        <v>12000</v>
      </c>
      <c r="F2200" s="53" t="s">
        <v>4073</v>
      </c>
    </row>
    <row r="2201" spans="1:6">
      <c r="A2201" s="53" t="s">
        <v>3846</v>
      </c>
      <c r="B2201" s="53" t="s">
        <v>223</v>
      </c>
      <c r="C2201" s="53" t="s">
        <v>267</v>
      </c>
      <c r="D2201" s="53" t="s">
        <v>197</v>
      </c>
      <c r="E2201" s="32">
        <v>13500</v>
      </c>
      <c r="F2201" s="53" t="s">
        <v>4073</v>
      </c>
    </row>
    <row r="2202" spans="1:6">
      <c r="A2202" s="53" t="s">
        <v>3846</v>
      </c>
      <c r="B2202" s="53" t="s">
        <v>223</v>
      </c>
      <c r="C2202" s="53" t="s">
        <v>269</v>
      </c>
      <c r="D2202" s="53" t="s">
        <v>197</v>
      </c>
      <c r="E2202" s="32">
        <v>12000</v>
      </c>
      <c r="F2202" s="53" t="s">
        <v>4073</v>
      </c>
    </row>
    <row r="2203" spans="1:6">
      <c r="A2203" s="53" t="s">
        <v>3846</v>
      </c>
      <c r="B2203" s="53" t="s">
        <v>223</v>
      </c>
      <c r="C2203" s="53" t="s">
        <v>271</v>
      </c>
      <c r="D2203" s="53" t="s">
        <v>197</v>
      </c>
      <c r="E2203" s="32">
        <v>12000</v>
      </c>
      <c r="F2203" s="53" t="s">
        <v>4073</v>
      </c>
    </row>
    <row r="2204" spans="1:6">
      <c r="A2204" s="53" t="s">
        <v>3846</v>
      </c>
      <c r="B2204" s="53" t="s">
        <v>223</v>
      </c>
      <c r="C2204" s="53" t="s">
        <v>285</v>
      </c>
      <c r="D2204" s="53" t="s">
        <v>197</v>
      </c>
      <c r="E2204" s="32">
        <v>9000</v>
      </c>
      <c r="F2204" s="53" t="s">
        <v>4073</v>
      </c>
    </row>
    <row r="2205" spans="1:6">
      <c r="A2205" s="53" t="s">
        <v>3846</v>
      </c>
      <c r="B2205" s="53" t="s">
        <v>223</v>
      </c>
      <c r="C2205" s="53" t="s">
        <v>298</v>
      </c>
      <c r="D2205" s="53" t="s">
        <v>197</v>
      </c>
      <c r="E2205" s="32">
        <v>22000</v>
      </c>
      <c r="F2205" s="53" t="s">
        <v>4073</v>
      </c>
    </row>
    <row r="2206" spans="1:6">
      <c r="A2206" s="53" t="s">
        <v>3846</v>
      </c>
      <c r="B2206" s="53" t="s">
        <v>223</v>
      </c>
      <c r="C2206" s="53" t="s">
        <v>302</v>
      </c>
      <c r="D2206" s="53" t="s">
        <v>197</v>
      </c>
      <c r="E2206" s="32">
        <v>30000</v>
      </c>
      <c r="F2206" s="53" t="s">
        <v>4073</v>
      </c>
    </row>
    <row r="2207" spans="1:6">
      <c r="A2207" s="53" t="s">
        <v>3846</v>
      </c>
      <c r="B2207" s="53" t="s">
        <v>223</v>
      </c>
      <c r="C2207" s="53" t="s">
        <v>308</v>
      </c>
      <c r="D2207" s="53" t="s">
        <v>197</v>
      </c>
      <c r="E2207" s="32">
        <v>3000</v>
      </c>
      <c r="F2207" s="53" t="s">
        <v>4073</v>
      </c>
    </row>
    <row r="2208" spans="1:6">
      <c r="A2208" s="53" t="s">
        <v>3846</v>
      </c>
      <c r="B2208" s="53" t="s">
        <v>223</v>
      </c>
      <c r="C2208" s="53" t="s">
        <v>4125</v>
      </c>
      <c r="D2208" s="53" t="s">
        <v>197</v>
      </c>
      <c r="E2208" s="32">
        <v>1420</v>
      </c>
      <c r="F2208" s="53" t="s">
        <v>4073</v>
      </c>
    </row>
    <row r="2209" spans="1:6">
      <c r="A2209" s="53" t="s">
        <v>3846</v>
      </c>
      <c r="B2209" s="53" t="s">
        <v>223</v>
      </c>
      <c r="C2209" s="53" t="s">
        <v>4121</v>
      </c>
      <c r="D2209" s="53" t="s">
        <v>197</v>
      </c>
      <c r="E2209" s="32">
        <v>1420</v>
      </c>
      <c r="F2209" s="53" t="s">
        <v>4073</v>
      </c>
    </row>
    <row r="2210" spans="1:6">
      <c r="A2210" s="53" t="s">
        <v>3846</v>
      </c>
      <c r="B2210" s="53" t="s">
        <v>223</v>
      </c>
      <c r="C2210" s="53" t="s">
        <v>4124</v>
      </c>
      <c r="D2210" s="53" t="s">
        <v>197</v>
      </c>
      <c r="E2210" s="32">
        <v>1420</v>
      </c>
      <c r="F2210" s="53" t="s">
        <v>4073</v>
      </c>
    </row>
    <row r="2211" spans="1:6">
      <c r="A2211" s="53" t="s">
        <v>3846</v>
      </c>
      <c r="B2211" s="53" t="s">
        <v>223</v>
      </c>
      <c r="C2211" s="53" t="s">
        <v>4117</v>
      </c>
      <c r="D2211" s="53" t="s">
        <v>197</v>
      </c>
      <c r="E2211" s="32">
        <v>11000</v>
      </c>
      <c r="F2211" s="53" t="s">
        <v>4073</v>
      </c>
    </row>
    <row r="2212" spans="1:6">
      <c r="A2212" s="53" t="s">
        <v>3846</v>
      </c>
      <c r="B2212" s="53" t="s">
        <v>223</v>
      </c>
      <c r="C2212" s="53" t="s">
        <v>4121</v>
      </c>
      <c r="D2212" s="53" t="s">
        <v>197</v>
      </c>
      <c r="E2212" s="32">
        <v>1420</v>
      </c>
      <c r="F2212" s="53" t="s">
        <v>4073</v>
      </c>
    </row>
    <row r="2213" spans="1:6">
      <c r="A2213" s="53" t="s">
        <v>3846</v>
      </c>
      <c r="B2213" s="53" t="s">
        <v>223</v>
      </c>
      <c r="C2213" s="53" t="s">
        <v>4121</v>
      </c>
      <c r="D2213" s="53" t="s">
        <v>197</v>
      </c>
      <c r="E2213" s="32">
        <v>1420</v>
      </c>
      <c r="F2213" s="53" t="s">
        <v>4073</v>
      </c>
    </row>
    <row r="2214" spans="1:6">
      <c r="A2214" s="53" t="s">
        <v>3846</v>
      </c>
      <c r="B2214" s="53" t="s">
        <v>223</v>
      </c>
      <c r="C2214" s="53" t="s">
        <v>4120</v>
      </c>
      <c r="D2214" s="53" t="s">
        <v>197</v>
      </c>
      <c r="E2214" s="32">
        <v>13500</v>
      </c>
      <c r="F2214" s="53" t="s">
        <v>4073</v>
      </c>
    </row>
    <row r="2215" spans="1:6">
      <c r="A2215" s="53" t="s">
        <v>3847</v>
      </c>
      <c r="B2215" s="53" t="s">
        <v>223</v>
      </c>
      <c r="C2215" s="53" t="s">
        <v>224</v>
      </c>
      <c r="D2215" s="53" t="s">
        <v>197</v>
      </c>
      <c r="E2215" s="32">
        <v>16000</v>
      </c>
      <c r="F2215" s="53" t="s">
        <v>4073</v>
      </c>
    </row>
    <row r="2216" spans="1:6">
      <c r="A2216" s="53" t="s">
        <v>3847</v>
      </c>
      <c r="B2216" s="53" t="s">
        <v>223</v>
      </c>
      <c r="C2216" s="53" t="s">
        <v>236</v>
      </c>
      <c r="D2216" s="53" t="s">
        <v>197</v>
      </c>
      <c r="E2216" s="32">
        <v>3000</v>
      </c>
      <c r="F2216" s="53" t="s">
        <v>4073</v>
      </c>
    </row>
    <row r="2217" spans="1:6">
      <c r="A2217" s="53" t="s">
        <v>3847</v>
      </c>
      <c r="B2217" s="53" t="s">
        <v>223</v>
      </c>
      <c r="C2217" s="53" t="s">
        <v>255</v>
      </c>
      <c r="D2217" s="53" t="s">
        <v>197</v>
      </c>
      <c r="E2217" s="32">
        <v>600</v>
      </c>
      <c r="F2217" s="53" t="s">
        <v>4073</v>
      </c>
    </row>
    <row r="2218" spans="1:6">
      <c r="A2218" s="53" t="s">
        <v>3847</v>
      </c>
      <c r="B2218" s="53" t="s">
        <v>223</v>
      </c>
      <c r="C2218" s="53" t="s">
        <v>264</v>
      </c>
      <c r="D2218" s="53" t="s">
        <v>197</v>
      </c>
      <c r="E2218" s="32">
        <v>12000</v>
      </c>
      <c r="F2218" s="53" t="s">
        <v>4073</v>
      </c>
    </row>
    <row r="2219" spans="1:6">
      <c r="A2219" s="53" t="s">
        <v>3847</v>
      </c>
      <c r="B2219" s="53" t="s">
        <v>223</v>
      </c>
      <c r="C2219" s="53" t="s">
        <v>267</v>
      </c>
      <c r="D2219" s="53" t="s">
        <v>197</v>
      </c>
      <c r="E2219" s="32">
        <v>13500</v>
      </c>
      <c r="F2219" s="53" t="s">
        <v>4073</v>
      </c>
    </row>
    <row r="2220" spans="1:6">
      <c r="A2220" s="53" t="s">
        <v>3847</v>
      </c>
      <c r="B2220" s="53" t="s">
        <v>223</v>
      </c>
      <c r="C2220" s="53" t="s">
        <v>269</v>
      </c>
      <c r="D2220" s="53" t="s">
        <v>197</v>
      </c>
      <c r="E2220" s="32">
        <v>12000</v>
      </c>
      <c r="F2220" s="53" t="s">
        <v>4073</v>
      </c>
    </row>
    <row r="2221" spans="1:6">
      <c r="A2221" s="53" t="s">
        <v>3847</v>
      </c>
      <c r="B2221" s="53" t="s">
        <v>223</v>
      </c>
      <c r="C2221" s="53" t="s">
        <v>271</v>
      </c>
      <c r="D2221" s="53" t="s">
        <v>197</v>
      </c>
      <c r="E2221" s="32">
        <v>12000</v>
      </c>
      <c r="F2221" s="53" t="s">
        <v>4073</v>
      </c>
    </row>
    <row r="2222" spans="1:6">
      <c r="A2222" s="53" t="s">
        <v>3847</v>
      </c>
      <c r="B2222" s="53" t="s">
        <v>223</v>
      </c>
      <c r="C2222" s="53" t="s">
        <v>285</v>
      </c>
      <c r="D2222" s="53" t="s">
        <v>197</v>
      </c>
      <c r="E2222" s="32">
        <v>9000</v>
      </c>
      <c r="F2222" s="53" t="s">
        <v>4073</v>
      </c>
    </row>
    <row r="2223" spans="1:6">
      <c r="A2223" s="53" t="s">
        <v>3847</v>
      </c>
      <c r="B2223" s="53" t="s">
        <v>223</v>
      </c>
      <c r="C2223" s="53" t="s">
        <v>298</v>
      </c>
      <c r="D2223" s="53" t="s">
        <v>197</v>
      </c>
      <c r="E2223" s="32">
        <v>22000</v>
      </c>
      <c r="F2223" s="53" t="s">
        <v>4073</v>
      </c>
    </row>
    <row r="2224" spans="1:6">
      <c r="A2224" s="53" t="s">
        <v>3847</v>
      </c>
      <c r="B2224" s="53" t="s">
        <v>223</v>
      </c>
      <c r="C2224" s="53" t="s">
        <v>302</v>
      </c>
      <c r="D2224" s="53" t="s">
        <v>197</v>
      </c>
      <c r="E2224" s="32">
        <v>30000</v>
      </c>
      <c r="F2224" s="53" t="s">
        <v>4073</v>
      </c>
    </row>
    <row r="2225" spans="1:6">
      <c r="A2225" s="53" t="s">
        <v>3847</v>
      </c>
      <c r="B2225" s="53" t="s">
        <v>223</v>
      </c>
      <c r="C2225" s="53" t="s">
        <v>308</v>
      </c>
      <c r="D2225" s="53" t="s">
        <v>197</v>
      </c>
      <c r="E2225" s="32">
        <v>3000</v>
      </c>
      <c r="F2225" s="53" t="s">
        <v>4073</v>
      </c>
    </row>
    <row r="2226" spans="1:6">
      <c r="A2226" s="53" t="s">
        <v>3847</v>
      </c>
      <c r="B2226" s="53" t="s">
        <v>223</v>
      </c>
      <c r="C2226" s="53" t="s">
        <v>4125</v>
      </c>
      <c r="D2226" s="53" t="s">
        <v>197</v>
      </c>
      <c r="E2226" s="32">
        <v>1420</v>
      </c>
      <c r="F2226" s="53" t="s">
        <v>4073</v>
      </c>
    </row>
    <row r="2227" spans="1:6">
      <c r="A2227" s="53" t="s">
        <v>3847</v>
      </c>
      <c r="B2227" s="53" t="s">
        <v>223</v>
      </c>
      <c r="C2227" s="53" t="s">
        <v>4121</v>
      </c>
      <c r="D2227" s="53" t="s">
        <v>197</v>
      </c>
      <c r="E2227" s="32">
        <v>1420</v>
      </c>
      <c r="F2227" s="53" t="s">
        <v>4073</v>
      </c>
    </row>
    <row r="2228" spans="1:6">
      <c r="A2228" s="53" t="s">
        <v>3847</v>
      </c>
      <c r="B2228" s="53" t="s">
        <v>223</v>
      </c>
      <c r="C2228" s="53" t="s">
        <v>4124</v>
      </c>
      <c r="D2228" s="53" t="s">
        <v>197</v>
      </c>
      <c r="E2228" s="32">
        <v>1420</v>
      </c>
      <c r="F2228" s="53" t="s">
        <v>4073</v>
      </c>
    </row>
    <row r="2229" spans="1:6">
      <c r="A2229" s="53" t="s">
        <v>3847</v>
      </c>
      <c r="B2229" s="53" t="s">
        <v>223</v>
      </c>
      <c r="C2229" s="53" t="s">
        <v>4117</v>
      </c>
      <c r="D2229" s="53" t="s">
        <v>197</v>
      </c>
      <c r="E2229" s="32">
        <v>11000</v>
      </c>
      <c r="F2229" s="53" t="s">
        <v>4073</v>
      </c>
    </row>
    <row r="2230" spans="1:6">
      <c r="A2230" s="53" t="s">
        <v>3847</v>
      </c>
      <c r="B2230" s="53" t="s">
        <v>223</v>
      </c>
      <c r="C2230" s="53" t="s">
        <v>4121</v>
      </c>
      <c r="D2230" s="53" t="s">
        <v>197</v>
      </c>
      <c r="E2230" s="32">
        <v>1420</v>
      </c>
      <c r="F2230" s="53" t="s">
        <v>4073</v>
      </c>
    </row>
    <row r="2231" spans="1:6">
      <c r="A2231" s="53" t="s">
        <v>3847</v>
      </c>
      <c r="B2231" s="53" t="s">
        <v>223</v>
      </c>
      <c r="C2231" s="53" t="s">
        <v>4121</v>
      </c>
      <c r="D2231" s="53" t="s">
        <v>197</v>
      </c>
      <c r="E2231" s="32">
        <v>1420</v>
      </c>
      <c r="F2231" s="53" t="s">
        <v>4073</v>
      </c>
    </row>
    <row r="2232" spans="1:6">
      <c r="A2232" s="53" t="s">
        <v>3847</v>
      </c>
      <c r="B2232" s="53" t="s">
        <v>223</v>
      </c>
      <c r="C2232" s="53" t="s">
        <v>4120</v>
      </c>
      <c r="D2232" s="53" t="s">
        <v>197</v>
      </c>
      <c r="E2232" s="32">
        <v>13500</v>
      </c>
      <c r="F2232" s="53" t="s">
        <v>4073</v>
      </c>
    </row>
    <row r="2233" spans="1:6">
      <c r="A2233" s="53" t="s">
        <v>3848</v>
      </c>
      <c r="B2233" s="53" t="s">
        <v>223</v>
      </c>
      <c r="C2233" s="53" t="s">
        <v>224</v>
      </c>
      <c r="D2233" s="53" t="s">
        <v>197</v>
      </c>
      <c r="E2233" s="32">
        <v>16000</v>
      </c>
      <c r="F2233" s="53" t="s">
        <v>4073</v>
      </c>
    </row>
    <row r="2234" spans="1:6">
      <c r="A2234" s="53" t="s">
        <v>3848</v>
      </c>
      <c r="B2234" s="53" t="s">
        <v>223</v>
      </c>
      <c r="C2234" s="53" t="s">
        <v>236</v>
      </c>
      <c r="D2234" s="53" t="s">
        <v>197</v>
      </c>
      <c r="E2234" s="32">
        <v>3000</v>
      </c>
      <c r="F2234" s="53" t="s">
        <v>4073</v>
      </c>
    </row>
    <row r="2235" spans="1:6">
      <c r="A2235" s="53" t="s">
        <v>3848</v>
      </c>
      <c r="B2235" s="53" t="s">
        <v>223</v>
      </c>
      <c r="C2235" s="53" t="s">
        <v>255</v>
      </c>
      <c r="D2235" s="53" t="s">
        <v>197</v>
      </c>
      <c r="E2235" s="32">
        <v>600</v>
      </c>
      <c r="F2235" s="53" t="s">
        <v>4073</v>
      </c>
    </row>
    <row r="2236" spans="1:6">
      <c r="A2236" s="53" t="s">
        <v>3848</v>
      </c>
      <c r="B2236" s="53" t="s">
        <v>223</v>
      </c>
      <c r="C2236" s="53" t="s">
        <v>264</v>
      </c>
      <c r="D2236" s="53" t="s">
        <v>197</v>
      </c>
      <c r="E2236" s="32">
        <v>12000</v>
      </c>
      <c r="F2236" s="53" t="s">
        <v>4073</v>
      </c>
    </row>
    <row r="2237" spans="1:6">
      <c r="A2237" s="53" t="s">
        <v>3848</v>
      </c>
      <c r="B2237" s="53" t="s">
        <v>223</v>
      </c>
      <c r="C2237" s="53" t="s">
        <v>267</v>
      </c>
      <c r="D2237" s="53" t="s">
        <v>197</v>
      </c>
      <c r="E2237" s="32">
        <v>13500</v>
      </c>
      <c r="F2237" s="53" t="s">
        <v>4073</v>
      </c>
    </row>
    <row r="2238" spans="1:6">
      <c r="A2238" s="53" t="s">
        <v>3848</v>
      </c>
      <c r="B2238" s="53" t="s">
        <v>223</v>
      </c>
      <c r="C2238" s="53" t="s">
        <v>269</v>
      </c>
      <c r="D2238" s="53" t="s">
        <v>197</v>
      </c>
      <c r="E2238" s="32">
        <v>12000</v>
      </c>
      <c r="F2238" s="53" t="s">
        <v>4073</v>
      </c>
    </row>
    <row r="2239" spans="1:6">
      <c r="A2239" s="53" t="s">
        <v>3848</v>
      </c>
      <c r="B2239" s="53" t="s">
        <v>223</v>
      </c>
      <c r="C2239" s="53" t="s">
        <v>271</v>
      </c>
      <c r="D2239" s="53" t="s">
        <v>197</v>
      </c>
      <c r="E2239" s="32">
        <v>12000</v>
      </c>
      <c r="F2239" s="53" t="s">
        <v>4073</v>
      </c>
    </row>
    <row r="2240" spans="1:6">
      <c r="A2240" s="53" t="s">
        <v>3848</v>
      </c>
      <c r="B2240" s="53" t="s">
        <v>223</v>
      </c>
      <c r="C2240" s="53" t="s">
        <v>285</v>
      </c>
      <c r="D2240" s="53" t="s">
        <v>197</v>
      </c>
      <c r="E2240" s="32">
        <v>9000</v>
      </c>
      <c r="F2240" s="53" t="s">
        <v>4073</v>
      </c>
    </row>
    <row r="2241" spans="1:6">
      <c r="A2241" s="53" t="s">
        <v>3848</v>
      </c>
      <c r="B2241" s="53" t="s">
        <v>223</v>
      </c>
      <c r="C2241" s="53" t="s">
        <v>298</v>
      </c>
      <c r="D2241" s="53" t="s">
        <v>197</v>
      </c>
      <c r="E2241" s="32">
        <v>22000</v>
      </c>
      <c r="F2241" s="53" t="s">
        <v>4073</v>
      </c>
    </row>
    <row r="2242" spans="1:6">
      <c r="A2242" s="53" t="s">
        <v>3848</v>
      </c>
      <c r="B2242" s="53" t="s">
        <v>223</v>
      </c>
      <c r="C2242" s="53" t="s">
        <v>302</v>
      </c>
      <c r="D2242" s="53" t="s">
        <v>197</v>
      </c>
      <c r="E2242" s="32">
        <v>30000</v>
      </c>
      <c r="F2242" s="53" t="s">
        <v>4073</v>
      </c>
    </row>
    <row r="2243" spans="1:6">
      <c r="A2243" s="53" t="s">
        <v>3848</v>
      </c>
      <c r="B2243" s="53" t="s">
        <v>223</v>
      </c>
      <c r="C2243" s="53" t="s">
        <v>308</v>
      </c>
      <c r="D2243" s="53" t="s">
        <v>197</v>
      </c>
      <c r="E2243" s="32">
        <v>3000</v>
      </c>
      <c r="F2243" s="53" t="s">
        <v>4073</v>
      </c>
    </row>
    <row r="2244" spans="1:6">
      <c r="A2244" s="53" t="s">
        <v>3848</v>
      </c>
      <c r="B2244" s="53" t="s">
        <v>223</v>
      </c>
      <c r="C2244" s="53" t="s">
        <v>4125</v>
      </c>
      <c r="D2244" s="53" t="s">
        <v>197</v>
      </c>
      <c r="E2244" s="32">
        <v>1420</v>
      </c>
      <c r="F2244" s="53" t="s">
        <v>4073</v>
      </c>
    </row>
    <row r="2245" spans="1:6">
      <c r="A2245" s="53" t="s">
        <v>3848</v>
      </c>
      <c r="B2245" s="53" t="s">
        <v>223</v>
      </c>
      <c r="C2245" s="53" t="s">
        <v>4121</v>
      </c>
      <c r="D2245" s="53" t="s">
        <v>197</v>
      </c>
      <c r="E2245" s="32">
        <v>1420</v>
      </c>
      <c r="F2245" s="53" t="s">
        <v>4073</v>
      </c>
    </row>
    <row r="2246" spans="1:6">
      <c r="A2246" s="53" t="s">
        <v>3848</v>
      </c>
      <c r="B2246" s="53" t="s">
        <v>223</v>
      </c>
      <c r="C2246" s="53" t="s">
        <v>4124</v>
      </c>
      <c r="D2246" s="53" t="s">
        <v>197</v>
      </c>
      <c r="E2246" s="32">
        <v>1420</v>
      </c>
      <c r="F2246" s="53" t="s">
        <v>4073</v>
      </c>
    </row>
    <row r="2247" spans="1:6">
      <c r="A2247" s="53" t="s">
        <v>3848</v>
      </c>
      <c r="B2247" s="53" t="s">
        <v>223</v>
      </c>
      <c r="C2247" s="53" t="s">
        <v>4117</v>
      </c>
      <c r="D2247" s="53" t="s">
        <v>197</v>
      </c>
      <c r="E2247" s="32">
        <v>11000</v>
      </c>
      <c r="F2247" s="53" t="s">
        <v>4073</v>
      </c>
    </row>
    <row r="2248" spans="1:6">
      <c r="A2248" s="53" t="s">
        <v>3848</v>
      </c>
      <c r="B2248" s="53" t="s">
        <v>223</v>
      </c>
      <c r="C2248" s="53" t="s">
        <v>4121</v>
      </c>
      <c r="D2248" s="53" t="s">
        <v>197</v>
      </c>
      <c r="E2248" s="32">
        <v>1420</v>
      </c>
      <c r="F2248" s="53" t="s">
        <v>4073</v>
      </c>
    </row>
    <row r="2249" spans="1:6">
      <c r="A2249" s="53" t="s">
        <v>3848</v>
      </c>
      <c r="B2249" s="53" t="s">
        <v>223</v>
      </c>
      <c r="C2249" s="53" t="s">
        <v>4121</v>
      </c>
      <c r="D2249" s="53" t="s">
        <v>197</v>
      </c>
      <c r="E2249" s="32">
        <v>1420</v>
      </c>
      <c r="F2249" s="53" t="s">
        <v>4073</v>
      </c>
    </row>
    <row r="2250" spans="1:6">
      <c r="A2250" s="53" t="s">
        <v>3848</v>
      </c>
      <c r="B2250" s="53" t="s">
        <v>223</v>
      </c>
      <c r="C2250" s="53" t="s">
        <v>4120</v>
      </c>
      <c r="D2250" s="53" t="s">
        <v>197</v>
      </c>
      <c r="E2250" s="32">
        <v>13500</v>
      </c>
      <c r="F2250" s="53" t="s">
        <v>4073</v>
      </c>
    </row>
    <row r="2251" spans="1:6">
      <c r="A2251" s="53" t="s">
        <v>3849</v>
      </c>
      <c r="B2251" s="53" t="s">
        <v>223</v>
      </c>
      <c r="C2251" s="53" t="s">
        <v>224</v>
      </c>
      <c r="D2251" s="53" t="s">
        <v>197</v>
      </c>
      <c r="E2251" s="32">
        <v>16000</v>
      </c>
      <c r="F2251" s="53" t="s">
        <v>4073</v>
      </c>
    </row>
    <row r="2252" spans="1:6">
      <c r="A2252" s="53" t="s">
        <v>3849</v>
      </c>
      <c r="B2252" s="53" t="s">
        <v>223</v>
      </c>
      <c r="C2252" s="53" t="s">
        <v>236</v>
      </c>
      <c r="D2252" s="53" t="s">
        <v>197</v>
      </c>
      <c r="E2252" s="32">
        <v>3000</v>
      </c>
      <c r="F2252" s="53" t="s">
        <v>4073</v>
      </c>
    </row>
    <row r="2253" spans="1:6">
      <c r="A2253" s="53" t="s">
        <v>3849</v>
      </c>
      <c r="B2253" s="53" t="s">
        <v>223</v>
      </c>
      <c r="C2253" s="53" t="s">
        <v>255</v>
      </c>
      <c r="D2253" s="53" t="s">
        <v>197</v>
      </c>
      <c r="E2253" s="32">
        <v>600</v>
      </c>
      <c r="F2253" s="53" t="s">
        <v>4073</v>
      </c>
    </row>
    <row r="2254" spans="1:6">
      <c r="A2254" s="53" t="s">
        <v>3849</v>
      </c>
      <c r="B2254" s="53" t="s">
        <v>223</v>
      </c>
      <c r="C2254" s="53" t="s">
        <v>264</v>
      </c>
      <c r="D2254" s="53" t="s">
        <v>197</v>
      </c>
      <c r="E2254" s="32">
        <v>12000</v>
      </c>
      <c r="F2254" s="53" t="s">
        <v>4073</v>
      </c>
    </row>
    <row r="2255" spans="1:6">
      <c r="A2255" s="53" t="s">
        <v>3849</v>
      </c>
      <c r="B2255" s="53" t="s">
        <v>223</v>
      </c>
      <c r="C2255" s="53" t="s">
        <v>267</v>
      </c>
      <c r="D2255" s="53" t="s">
        <v>197</v>
      </c>
      <c r="E2255" s="32">
        <v>13500</v>
      </c>
      <c r="F2255" s="53" t="s">
        <v>4073</v>
      </c>
    </row>
    <row r="2256" spans="1:6">
      <c r="A2256" s="53" t="s">
        <v>3849</v>
      </c>
      <c r="B2256" s="53" t="s">
        <v>223</v>
      </c>
      <c r="C2256" s="53" t="s">
        <v>269</v>
      </c>
      <c r="D2256" s="53" t="s">
        <v>197</v>
      </c>
      <c r="E2256" s="32">
        <v>12000</v>
      </c>
      <c r="F2256" s="53" t="s">
        <v>4073</v>
      </c>
    </row>
    <row r="2257" spans="1:6">
      <c r="A2257" s="53" t="s">
        <v>3849</v>
      </c>
      <c r="B2257" s="53" t="s">
        <v>223</v>
      </c>
      <c r="C2257" s="53" t="s">
        <v>271</v>
      </c>
      <c r="D2257" s="53" t="s">
        <v>197</v>
      </c>
      <c r="E2257" s="32">
        <v>12000</v>
      </c>
      <c r="F2257" s="53" t="s">
        <v>4073</v>
      </c>
    </row>
    <row r="2258" spans="1:6">
      <c r="A2258" s="53" t="s">
        <v>3849</v>
      </c>
      <c r="B2258" s="53" t="s">
        <v>223</v>
      </c>
      <c r="C2258" s="53" t="s">
        <v>285</v>
      </c>
      <c r="D2258" s="53" t="s">
        <v>197</v>
      </c>
      <c r="E2258" s="32">
        <v>9000</v>
      </c>
      <c r="F2258" s="53" t="s">
        <v>4073</v>
      </c>
    </row>
    <row r="2259" spans="1:6">
      <c r="A2259" s="53" t="s">
        <v>3849</v>
      </c>
      <c r="B2259" s="53" t="s">
        <v>223</v>
      </c>
      <c r="C2259" s="53" t="s">
        <v>298</v>
      </c>
      <c r="D2259" s="53" t="s">
        <v>197</v>
      </c>
      <c r="E2259" s="32">
        <v>22000</v>
      </c>
      <c r="F2259" s="53" t="s">
        <v>4073</v>
      </c>
    </row>
    <row r="2260" spans="1:6">
      <c r="A2260" s="53" t="s">
        <v>3849</v>
      </c>
      <c r="B2260" s="53" t="s">
        <v>223</v>
      </c>
      <c r="C2260" s="53" t="s">
        <v>302</v>
      </c>
      <c r="D2260" s="53" t="s">
        <v>197</v>
      </c>
      <c r="E2260" s="32">
        <v>30000</v>
      </c>
      <c r="F2260" s="53" t="s">
        <v>4073</v>
      </c>
    </row>
    <row r="2261" spans="1:6">
      <c r="A2261" s="53" t="s">
        <v>3849</v>
      </c>
      <c r="B2261" s="53" t="s">
        <v>223</v>
      </c>
      <c r="C2261" s="53" t="s">
        <v>308</v>
      </c>
      <c r="D2261" s="53" t="s">
        <v>197</v>
      </c>
      <c r="E2261" s="32">
        <v>3000</v>
      </c>
      <c r="F2261" s="53" t="s">
        <v>4073</v>
      </c>
    </row>
    <row r="2262" spans="1:6">
      <c r="A2262" s="53" t="s">
        <v>3849</v>
      </c>
      <c r="B2262" s="53" t="s">
        <v>223</v>
      </c>
      <c r="C2262" s="53" t="s">
        <v>4125</v>
      </c>
      <c r="D2262" s="53" t="s">
        <v>197</v>
      </c>
      <c r="E2262" s="32">
        <v>1420</v>
      </c>
      <c r="F2262" s="53" t="s">
        <v>4073</v>
      </c>
    </row>
    <row r="2263" spans="1:6">
      <c r="A2263" s="53" t="s">
        <v>3849</v>
      </c>
      <c r="B2263" s="53" t="s">
        <v>223</v>
      </c>
      <c r="C2263" s="53" t="s">
        <v>4121</v>
      </c>
      <c r="D2263" s="53" t="s">
        <v>197</v>
      </c>
      <c r="E2263" s="32">
        <v>1420</v>
      </c>
      <c r="F2263" s="53" t="s">
        <v>4073</v>
      </c>
    </row>
    <row r="2264" spans="1:6">
      <c r="A2264" s="53" t="s">
        <v>3849</v>
      </c>
      <c r="B2264" s="53" t="s">
        <v>223</v>
      </c>
      <c r="C2264" s="53" t="s">
        <v>4124</v>
      </c>
      <c r="D2264" s="53" t="s">
        <v>197</v>
      </c>
      <c r="E2264" s="32">
        <v>1420</v>
      </c>
      <c r="F2264" s="53" t="s">
        <v>4073</v>
      </c>
    </row>
    <row r="2265" spans="1:6">
      <c r="A2265" s="53" t="s">
        <v>3849</v>
      </c>
      <c r="B2265" s="53" t="s">
        <v>223</v>
      </c>
      <c r="C2265" s="53" t="s">
        <v>4117</v>
      </c>
      <c r="D2265" s="53" t="s">
        <v>197</v>
      </c>
      <c r="E2265" s="32">
        <v>11000</v>
      </c>
      <c r="F2265" s="53" t="s">
        <v>4073</v>
      </c>
    </row>
    <row r="2266" spans="1:6">
      <c r="A2266" s="53" t="s">
        <v>3849</v>
      </c>
      <c r="B2266" s="53" t="s">
        <v>223</v>
      </c>
      <c r="C2266" s="53" t="s">
        <v>4121</v>
      </c>
      <c r="D2266" s="53" t="s">
        <v>197</v>
      </c>
      <c r="E2266" s="32">
        <v>1420</v>
      </c>
      <c r="F2266" s="53" t="s">
        <v>4073</v>
      </c>
    </row>
    <row r="2267" spans="1:6">
      <c r="A2267" s="53" t="s">
        <v>3849</v>
      </c>
      <c r="B2267" s="53" t="s">
        <v>223</v>
      </c>
      <c r="C2267" s="53" t="s">
        <v>4121</v>
      </c>
      <c r="D2267" s="53" t="s">
        <v>197</v>
      </c>
      <c r="E2267" s="32">
        <v>1420</v>
      </c>
      <c r="F2267" s="53" t="s">
        <v>4073</v>
      </c>
    </row>
    <row r="2268" spans="1:6">
      <c r="A2268" s="53" t="s">
        <v>3849</v>
      </c>
      <c r="B2268" s="53" t="s">
        <v>223</v>
      </c>
      <c r="C2268" s="53" t="s">
        <v>4120</v>
      </c>
      <c r="D2268" s="53" t="s">
        <v>197</v>
      </c>
      <c r="E2268" s="32">
        <v>13500</v>
      </c>
      <c r="F2268" s="53" t="s">
        <v>4073</v>
      </c>
    </row>
    <row r="2269" spans="1:6">
      <c r="A2269" s="53" t="s">
        <v>3850</v>
      </c>
      <c r="B2269" s="53" t="s">
        <v>223</v>
      </c>
      <c r="C2269" s="53" t="s">
        <v>224</v>
      </c>
      <c r="D2269" s="53" t="s">
        <v>197</v>
      </c>
      <c r="E2269" s="32">
        <v>16000</v>
      </c>
      <c r="F2269" s="53" t="s">
        <v>4073</v>
      </c>
    </row>
    <row r="2270" spans="1:6">
      <c r="A2270" s="53" t="s">
        <v>3850</v>
      </c>
      <c r="B2270" s="53" t="s">
        <v>223</v>
      </c>
      <c r="C2270" s="53" t="s">
        <v>236</v>
      </c>
      <c r="D2270" s="53" t="s">
        <v>197</v>
      </c>
      <c r="E2270" s="32">
        <v>3000</v>
      </c>
      <c r="F2270" s="53" t="s">
        <v>4073</v>
      </c>
    </row>
    <row r="2271" spans="1:6">
      <c r="A2271" s="53" t="s">
        <v>3850</v>
      </c>
      <c r="B2271" s="53" t="s">
        <v>223</v>
      </c>
      <c r="C2271" s="53" t="s">
        <v>255</v>
      </c>
      <c r="D2271" s="53" t="s">
        <v>197</v>
      </c>
      <c r="E2271" s="32">
        <v>600</v>
      </c>
      <c r="F2271" s="53" t="s">
        <v>4073</v>
      </c>
    </row>
    <row r="2272" spans="1:6">
      <c r="A2272" s="53" t="s">
        <v>3850</v>
      </c>
      <c r="B2272" s="53" t="s">
        <v>223</v>
      </c>
      <c r="C2272" s="53" t="s">
        <v>264</v>
      </c>
      <c r="D2272" s="53" t="s">
        <v>197</v>
      </c>
      <c r="E2272" s="32">
        <v>12000</v>
      </c>
      <c r="F2272" s="53" t="s">
        <v>4073</v>
      </c>
    </row>
    <row r="2273" spans="1:6">
      <c r="A2273" s="53" t="s">
        <v>3850</v>
      </c>
      <c r="B2273" s="53" t="s">
        <v>223</v>
      </c>
      <c r="C2273" s="53" t="s">
        <v>267</v>
      </c>
      <c r="D2273" s="53" t="s">
        <v>197</v>
      </c>
      <c r="E2273" s="32">
        <v>13500</v>
      </c>
      <c r="F2273" s="53" t="s">
        <v>4073</v>
      </c>
    </row>
    <row r="2274" spans="1:6">
      <c r="A2274" s="53" t="s">
        <v>3850</v>
      </c>
      <c r="B2274" s="53" t="s">
        <v>223</v>
      </c>
      <c r="C2274" s="53" t="s">
        <v>269</v>
      </c>
      <c r="D2274" s="53" t="s">
        <v>197</v>
      </c>
      <c r="E2274" s="32">
        <v>12000</v>
      </c>
      <c r="F2274" s="53" t="s">
        <v>4073</v>
      </c>
    </row>
    <row r="2275" spans="1:6">
      <c r="A2275" s="53" t="s">
        <v>3850</v>
      </c>
      <c r="B2275" s="53" t="s">
        <v>223</v>
      </c>
      <c r="C2275" s="53" t="s">
        <v>271</v>
      </c>
      <c r="D2275" s="53" t="s">
        <v>197</v>
      </c>
      <c r="E2275" s="32">
        <v>12000</v>
      </c>
      <c r="F2275" s="53" t="s">
        <v>4073</v>
      </c>
    </row>
    <row r="2276" spans="1:6">
      <c r="A2276" s="53" t="s">
        <v>3850</v>
      </c>
      <c r="B2276" s="53" t="s">
        <v>223</v>
      </c>
      <c r="C2276" s="53" t="s">
        <v>285</v>
      </c>
      <c r="D2276" s="53" t="s">
        <v>197</v>
      </c>
      <c r="E2276" s="32">
        <v>9000</v>
      </c>
      <c r="F2276" s="53" t="s">
        <v>4073</v>
      </c>
    </row>
    <row r="2277" spans="1:6">
      <c r="A2277" s="53" t="s">
        <v>3850</v>
      </c>
      <c r="B2277" s="53" t="s">
        <v>223</v>
      </c>
      <c r="C2277" s="53" t="s">
        <v>298</v>
      </c>
      <c r="D2277" s="53" t="s">
        <v>197</v>
      </c>
      <c r="E2277" s="32">
        <v>22000</v>
      </c>
      <c r="F2277" s="53" t="s">
        <v>4073</v>
      </c>
    </row>
    <row r="2278" spans="1:6">
      <c r="A2278" s="53" t="s">
        <v>3850</v>
      </c>
      <c r="B2278" s="53" t="s">
        <v>223</v>
      </c>
      <c r="C2278" s="53" t="s">
        <v>302</v>
      </c>
      <c r="D2278" s="53" t="s">
        <v>197</v>
      </c>
      <c r="E2278" s="32">
        <v>30000</v>
      </c>
      <c r="F2278" s="53" t="s">
        <v>4073</v>
      </c>
    </row>
    <row r="2279" spans="1:6">
      <c r="A2279" s="53" t="s">
        <v>3850</v>
      </c>
      <c r="B2279" s="53" t="s">
        <v>223</v>
      </c>
      <c r="C2279" s="53" t="s">
        <v>308</v>
      </c>
      <c r="D2279" s="53" t="s">
        <v>197</v>
      </c>
      <c r="E2279" s="32">
        <v>3000</v>
      </c>
      <c r="F2279" s="53" t="s">
        <v>4073</v>
      </c>
    </row>
    <row r="2280" spans="1:6">
      <c r="A2280" s="53" t="s">
        <v>3850</v>
      </c>
      <c r="B2280" s="53" t="s">
        <v>223</v>
      </c>
      <c r="C2280" s="53" t="s">
        <v>4125</v>
      </c>
      <c r="D2280" s="53" t="s">
        <v>197</v>
      </c>
      <c r="E2280" s="32">
        <v>1420</v>
      </c>
      <c r="F2280" s="53" t="s">
        <v>4073</v>
      </c>
    </row>
    <row r="2281" spans="1:6">
      <c r="A2281" s="53" t="s">
        <v>3850</v>
      </c>
      <c r="B2281" s="53" t="s">
        <v>223</v>
      </c>
      <c r="C2281" s="53" t="s">
        <v>4121</v>
      </c>
      <c r="D2281" s="53" t="s">
        <v>197</v>
      </c>
      <c r="E2281" s="32">
        <v>1420</v>
      </c>
      <c r="F2281" s="53" t="s">
        <v>4073</v>
      </c>
    </row>
    <row r="2282" spans="1:6">
      <c r="A2282" s="53" t="s">
        <v>3850</v>
      </c>
      <c r="B2282" s="53" t="s">
        <v>223</v>
      </c>
      <c r="C2282" s="53" t="s">
        <v>4124</v>
      </c>
      <c r="D2282" s="53" t="s">
        <v>197</v>
      </c>
      <c r="E2282" s="32">
        <v>1420</v>
      </c>
      <c r="F2282" s="53" t="s">
        <v>4073</v>
      </c>
    </row>
    <row r="2283" spans="1:6">
      <c r="A2283" s="53" t="s">
        <v>3850</v>
      </c>
      <c r="B2283" s="53" t="s">
        <v>223</v>
      </c>
      <c r="C2283" s="53" t="s">
        <v>4117</v>
      </c>
      <c r="D2283" s="53" t="s">
        <v>197</v>
      </c>
      <c r="E2283" s="32">
        <v>11000</v>
      </c>
      <c r="F2283" s="53" t="s">
        <v>4073</v>
      </c>
    </row>
    <row r="2284" spans="1:6">
      <c r="A2284" s="53" t="s">
        <v>3850</v>
      </c>
      <c r="B2284" s="53" t="s">
        <v>223</v>
      </c>
      <c r="C2284" s="53" t="s">
        <v>4121</v>
      </c>
      <c r="D2284" s="53" t="s">
        <v>197</v>
      </c>
      <c r="E2284" s="32">
        <v>1420</v>
      </c>
      <c r="F2284" s="53" t="s">
        <v>4073</v>
      </c>
    </row>
    <row r="2285" spans="1:6">
      <c r="A2285" s="53" t="s">
        <v>3850</v>
      </c>
      <c r="B2285" s="53" t="s">
        <v>223</v>
      </c>
      <c r="C2285" s="53" t="s">
        <v>4121</v>
      </c>
      <c r="D2285" s="53" t="s">
        <v>197</v>
      </c>
      <c r="E2285" s="32">
        <v>1420</v>
      </c>
      <c r="F2285" s="53" t="s">
        <v>4073</v>
      </c>
    </row>
    <row r="2286" spans="1:6">
      <c r="A2286" s="53" t="s">
        <v>3850</v>
      </c>
      <c r="B2286" s="53" t="s">
        <v>223</v>
      </c>
      <c r="C2286" s="53" t="s">
        <v>4120</v>
      </c>
      <c r="D2286" s="53" t="s">
        <v>197</v>
      </c>
      <c r="E2286" s="32">
        <v>13500</v>
      </c>
      <c r="F2286" s="53" t="s">
        <v>4073</v>
      </c>
    </row>
    <row r="2287" spans="1:6">
      <c r="A2287" s="53" t="s">
        <v>3851</v>
      </c>
      <c r="B2287" s="53" t="s">
        <v>223</v>
      </c>
      <c r="C2287" s="53" t="s">
        <v>224</v>
      </c>
      <c r="D2287" s="53" t="s">
        <v>197</v>
      </c>
      <c r="E2287" s="32">
        <v>16000</v>
      </c>
      <c r="F2287" s="53" t="s">
        <v>4073</v>
      </c>
    </row>
    <row r="2288" spans="1:6">
      <c r="A2288" s="53" t="s">
        <v>3851</v>
      </c>
      <c r="B2288" s="53" t="s">
        <v>223</v>
      </c>
      <c r="C2288" s="53" t="s">
        <v>236</v>
      </c>
      <c r="D2288" s="53" t="s">
        <v>197</v>
      </c>
      <c r="E2288" s="32">
        <v>3000</v>
      </c>
      <c r="F2288" s="53" t="s">
        <v>4073</v>
      </c>
    </row>
    <row r="2289" spans="1:6">
      <c r="A2289" s="53" t="s">
        <v>3851</v>
      </c>
      <c r="B2289" s="53" t="s">
        <v>223</v>
      </c>
      <c r="C2289" s="53" t="s">
        <v>255</v>
      </c>
      <c r="D2289" s="53" t="s">
        <v>197</v>
      </c>
      <c r="E2289" s="32">
        <v>600</v>
      </c>
      <c r="F2289" s="53" t="s">
        <v>4073</v>
      </c>
    </row>
    <row r="2290" spans="1:6">
      <c r="A2290" s="53" t="s">
        <v>3851</v>
      </c>
      <c r="B2290" s="53" t="s">
        <v>223</v>
      </c>
      <c r="C2290" s="53" t="s">
        <v>264</v>
      </c>
      <c r="D2290" s="53" t="s">
        <v>197</v>
      </c>
      <c r="E2290" s="32">
        <v>12000</v>
      </c>
      <c r="F2290" s="53" t="s">
        <v>4073</v>
      </c>
    </row>
    <row r="2291" spans="1:6">
      <c r="A2291" s="53" t="s">
        <v>3851</v>
      </c>
      <c r="B2291" s="53" t="s">
        <v>223</v>
      </c>
      <c r="C2291" s="53" t="s">
        <v>267</v>
      </c>
      <c r="D2291" s="53" t="s">
        <v>197</v>
      </c>
      <c r="E2291" s="32">
        <v>13500</v>
      </c>
      <c r="F2291" s="53" t="s">
        <v>4073</v>
      </c>
    </row>
    <row r="2292" spans="1:6">
      <c r="A2292" s="53" t="s">
        <v>3851</v>
      </c>
      <c r="B2292" s="53" t="s">
        <v>223</v>
      </c>
      <c r="C2292" s="53" t="s">
        <v>269</v>
      </c>
      <c r="D2292" s="53" t="s">
        <v>197</v>
      </c>
      <c r="E2292" s="32">
        <v>12000</v>
      </c>
      <c r="F2292" s="53" t="s">
        <v>4073</v>
      </c>
    </row>
    <row r="2293" spans="1:6">
      <c r="A2293" s="53" t="s">
        <v>3851</v>
      </c>
      <c r="B2293" s="53" t="s">
        <v>223</v>
      </c>
      <c r="C2293" s="53" t="s">
        <v>271</v>
      </c>
      <c r="D2293" s="53" t="s">
        <v>197</v>
      </c>
      <c r="E2293" s="32">
        <v>12000</v>
      </c>
      <c r="F2293" s="53" t="s">
        <v>4073</v>
      </c>
    </row>
    <row r="2294" spans="1:6">
      <c r="A2294" s="53" t="s">
        <v>3851</v>
      </c>
      <c r="B2294" s="53" t="s">
        <v>223</v>
      </c>
      <c r="C2294" s="53" t="s">
        <v>285</v>
      </c>
      <c r="D2294" s="53" t="s">
        <v>197</v>
      </c>
      <c r="E2294" s="32">
        <v>9000</v>
      </c>
      <c r="F2294" s="53" t="s">
        <v>4073</v>
      </c>
    </row>
    <row r="2295" spans="1:6">
      <c r="A2295" s="53" t="s">
        <v>3851</v>
      </c>
      <c r="B2295" s="53" t="s">
        <v>223</v>
      </c>
      <c r="C2295" s="53" t="s">
        <v>298</v>
      </c>
      <c r="D2295" s="53" t="s">
        <v>197</v>
      </c>
      <c r="E2295" s="32">
        <v>22000</v>
      </c>
      <c r="F2295" s="53" t="s">
        <v>4073</v>
      </c>
    </row>
    <row r="2296" spans="1:6">
      <c r="A2296" s="53" t="s">
        <v>3851</v>
      </c>
      <c r="B2296" s="53" t="s">
        <v>223</v>
      </c>
      <c r="C2296" s="53" t="s">
        <v>302</v>
      </c>
      <c r="D2296" s="53" t="s">
        <v>197</v>
      </c>
      <c r="E2296" s="32">
        <v>30000</v>
      </c>
      <c r="F2296" s="53" t="s">
        <v>4073</v>
      </c>
    </row>
    <row r="2297" spans="1:6">
      <c r="A2297" s="53" t="s">
        <v>3851</v>
      </c>
      <c r="B2297" s="53" t="s">
        <v>223</v>
      </c>
      <c r="C2297" s="53" t="s">
        <v>308</v>
      </c>
      <c r="D2297" s="53" t="s">
        <v>197</v>
      </c>
      <c r="E2297" s="32">
        <v>3000</v>
      </c>
      <c r="F2297" s="53" t="s">
        <v>4073</v>
      </c>
    </row>
    <row r="2298" spans="1:6">
      <c r="A2298" s="53" t="s">
        <v>3851</v>
      </c>
      <c r="B2298" s="53" t="s">
        <v>223</v>
      </c>
      <c r="C2298" s="53" t="s">
        <v>4125</v>
      </c>
      <c r="D2298" s="53" t="s">
        <v>197</v>
      </c>
      <c r="E2298" s="32">
        <v>1420</v>
      </c>
      <c r="F2298" s="53" t="s">
        <v>4073</v>
      </c>
    </row>
    <row r="2299" spans="1:6">
      <c r="A2299" s="53" t="s">
        <v>3851</v>
      </c>
      <c r="B2299" s="53" t="s">
        <v>223</v>
      </c>
      <c r="C2299" s="53" t="s">
        <v>4121</v>
      </c>
      <c r="D2299" s="53" t="s">
        <v>197</v>
      </c>
      <c r="E2299" s="32">
        <v>1420</v>
      </c>
      <c r="F2299" s="53" t="s">
        <v>4073</v>
      </c>
    </row>
    <row r="2300" spans="1:6">
      <c r="A2300" s="53" t="s">
        <v>3851</v>
      </c>
      <c r="B2300" s="53" t="s">
        <v>223</v>
      </c>
      <c r="C2300" s="53" t="s">
        <v>4124</v>
      </c>
      <c r="D2300" s="53" t="s">
        <v>197</v>
      </c>
      <c r="E2300" s="32">
        <v>1420</v>
      </c>
      <c r="F2300" s="53" t="s">
        <v>4073</v>
      </c>
    </row>
    <row r="2301" spans="1:6">
      <c r="A2301" s="53" t="s">
        <v>3851</v>
      </c>
      <c r="B2301" s="53" t="s">
        <v>223</v>
      </c>
      <c r="C2301" s="53" t="s">
        <v>4117</v>
      </c>
      <c r="D2301" s="53" t="s">
        <v>197</v>
      </c>
      <c r="E2301" s="32">
        <v>11000</v>
      </c>
      <c r="F2301" s="53" t="s">
        <v>4073</v>
      </c>
    </row>
    <row r="2302" spans="1:6">
      <c r="A2302" s="53" t="s">
        <v>3851</v>
      </c>
      <c r="B2302" s="53" t="s">
        <v>223</v>
      </c>
      <c r="C2302" s="53" t="s">
        <v>4121</v>
      </c>
      <c r="D2302" s="53" t="s">
        <v>197</v>
      </c>
      <c r="E2302" s="32">
        <v>1420</v>
      </c>
      <c r="F2302" s="53" t="s">
        <v>4073</v>
      </c>
    </row>
    <row r="2303" spans="1:6">
      <c r="A2303" s="53" t="s">
        <v>3851</v>
      </c>
      <c r="B2303" s="53" t="s">
        <v>223</v>
      </c>
      <c r="C2303" s="53" t="s">
        <v>4121</v>
      </c>
      <c r="D2303" s="53" t="s">
        <v>197</v>
      </c>
      <c r="E2303" s="32">
        <v>1420</v>
      </c>
      <c r="F2303" s="53" t="s">
        <v>4073</v>
      </c>
    </row>
    <row r="2304" spans="1:6">
      <c r="A2304" s="53" t="s">
        <v>3851</v>
      </c>
      <c r="B2304" s="53" t="s">
        <v>223</v>
      </c>
      <c r="C2304" s="53" t="s">
        <v>4120</v>
      </c>
      <c r="D2304" s="53" t="s">
        <v>197</v>
      </c>
      <c r="E2304" s="32">
        <v>13500</v>
      </c>
      <c r="F2304" s="53" t="s">
        <v>4073</v>
      </c>
    </row>
    <row r="2305" spans="1:6">
      <c r="A2305" s="53" t="s">
        <v>3852</v>
      </c>
      <c r="B2305" s="53" t="s">
        <v>223</v>
      </c>
      <c r="C2305" s="53" t="s">
        <v>224</v>
      </c>
      <c r="D2305" s="53" t="s">
        <v>197</v>
      </c>
      <c r="E2305" s="32">
        <v>16000</v>
      </c>
      <c r="F2305" s="53" t="s">
        <v>4073</v>
      </c>
    </row>
    <row r="2306" spans="1:6">
      <c r="A2306" s="53" t="s">
        <v>3852</v>
      </c>
      <c r="B2306" s="53" t="s">
        <v>223</v>
      </c>
      <c r="C2306" s="53" t="s">
        <v>236</v>
      </c>
      <c r="D2306" s="53" t="s">
        <v>197</v>
      </c>
      <c r="E2306" s="32">
        <v>3000</v>
      </c>
      <c r="F2306" s="53" t="s">
        <v>4073</v>
      </c>
    </row>
    <row r="2307" spans="1:6">
      <c r="A2307" s="53" t="s">
        <v>3852</v>
      </c>
      <c r="B2307" s="53" t="s">
        <v>223</v>
      </c>
      <c r="C2307" s="53" t="s">
        <v>255</v>
      </c>
      <c r="D2307" s="53" t="s">
        <v>197</v>
      </c>
      <c r="E2307" s="32">
        <v>600</v>
      </c>
      <c r="F2307" s="53" t="s">
        <v>4073</v>
      </c>
    </row>
    <row r="2308" spans="1:6">
      <c r="A2308" s="53" t="s">
        <v>3852</v>
      </c>
      <c r="B2308" s="53" t="s">
        <v>223</v>
      </c>
      <c r="C2308" s="53" t="s">
        <v>264</v>
      </c>
      <c r="D2308" s="53" t="s">
        <v>197</v>
      </c>
      <c r="E2308" s="32">
        <v>12000</v>
      </c>
      <c r="F2308" s="53" t="s">
        <v>4073</v>
      </c>
    </row>
    <row r="2309" spans="1:6">
      <c r="A2309" s="53" t="s">
        <v>3852</v>
      </c>
      <c r="B2309" s="53" t="s">
        <v>223</v>
      </c>
      <c r="C2309" s="53" t="s">
        <v>267</v>
      </c>
      <c r="D2309" s="53" t="s">
        <v>197</v>
      </c>
      <c r="E2309" s="32">
        <v>13500</v>
      </c>
      <c r="F2309" s="53" t="s">
        <v>4073</v>
      </c>
    </row>
    <row r="2310" spans="1:6">
      <c r="A2310" s="53" t="s">
        <v>3852</v>
      </c>
      <c r="B2310" s="53" t="s">
        <v>223</v>
      </c>
      <c r="C2310" s="53" t="s">
        <v>269</v>
      </c>
      <c r="D2310" s="53" t="s">
        <v>197</v>
      </c>
      <c r="E2310" s="32">
        <v>12000</v>
      </c>
      <c r="F2310" s="53" t="s">
        <v>4073</v>
      </c>
    </row>
    <row r="2311" spans="1:6">
      <c r="A2311" s="53" t="s">
        <v>3852</v>
      </c>
      <c r="B2311" s="53" t="s">
        <v>223</v>
      </c>
      <c r="C2311" s="53" t="s">
        <v>271</v>
      </c>
      <c r="D2311" s="53" t="s">
        <v>197</v>
      </c>
      <c r="E2311" s="32">
        <v>12000</v>
      </c>
      <c r="F2311" s="53" t="s">
        <v>4073</v>
      </c>
    </row>
    <row r="2312" spans="1:6">
      <c r="A2312" s="53" t="s">
        <v>3852</v>
      </c>
      <c r="B2312" s="53" t="s">
        <v>223</v>
      </c>
      <c r="C2312" s="53" t="s">
        <v>285</v>
      </c>
      <c r="D2312" s="53" t="s">
        <v>197</v>
      </c>
      <c r="E2312" s="32">
        <v>9000</v>
      </c>
      <c r="F2312" s="53" t="s">
        <v>4073</v>
      </c>
    </row>
    <row r="2313" spans="1:6">
      <c r="A2313" s="53" t="s">
        <v>3852</v>
      </c>
      <c r="B2313" s="53" t="s">
        <v>223</v>
      </c>
      <c r="C2313" s="53" t="s">
        <v>298</v>
      </c>
      <c r="D2313" s="53" t="s">
        <v>197</v>
      </c>
      <c r="E2313" s="32">
        <v>22000</v>
      </c>
      <c r="F2313" s="53" t="s">
        <v>4073</v>
      </c>
    </row>
    <row r="2314" spans="1:6">
      <c r="A2314" s="53" t="s">
        <v>3852</v>
      </c>
      <c r="B2314" s="53" t="s">
        <v>223</v>
      </c>
      <c r="C2314" s="53" t="s">
        <v>302</v>
      </c>
      <c r="D2314" s="53" t="s">
        <v>197</v>
      </c>
      <c r="E2314" s="32">
        <v>30000</v>
      </c>
      <c r="F2314" s="53" t="s">
        <v>4073</v>
      </c>
    </row>
    <row r="2315" spans="1:6">
      <c r="A2315" s="53" t="s">
        <v>3852</v>
      </c>
      <c r="B2315" s="53" t="s">
        <v>223</v>
      </c>
      <c r="C2315" s="53" t="s">
        <v>308</v>
      </c>
      <c r="D2315" s="53" t="s">
        <v>197</v>
      </c>
      <c r="E2315" s="32">
        <v>3000</v>
      </c>
      <c r="F2315" s="53" t="s">
        <v>4073</v>
      </c>
    </row>
    <row r="2316" spans="1:6">
      <c r="A2316" s="53" t="s">
        <v>3852</v>
      </c>
      <c r="B2316" s="53" t="s">
        <v>223</v>
      </c>
      <c r="C2316" s="53" t="s">
        <v>4125</v>
      </c>
      <c r="D2316" s="53" t="s">
        <v>197</v>
      </c>
      <c r="E2316" s="32">
        <v>1420</v>
      </c>
      <c r="F2316" s="53" t="s">
        <v>4073</v>
      </c>
    </row>
    <row r="2317" spans="1:6">
      <c r="A2317" s="53" t="s">
        <v>3852</v>
      </c>
      <c r="B2317" s="53" t="s">
        <v>223</v>
      </c>
      <c r="C2317" s="53" t="s">
        <v>4121</v>
      </c>
      <c r="D2317" s="53" t="s">
        <v>197</v>
      </c>
      <c r="E2317" s="32">
        <v>1420</v>
      </c>
      <c r="F2317" s="53" t="s">
        <v>4073</v>
      </c>
    </row>
    <row r="2318" spans="1:6">
      <c r="A2318" s="53" t="s">
        <v>3852</v>
      </c>
      <c r="B2318" s="53" t="s">
        <v>223</v>
      </c>
      <c r="C2318" s="53" t="s">
        <v>4124</v>
      </c>
      <c r="D2318" s="53" t="s">
        <v>197</v>
      </c>
      <c r="E2318" s="32">
        <v>1420</v>
      </c>
      <c r="F2318" s="53" t="s">
        <v>4073</v>
      </c>
    </row>
    <row r="2319" spans="1:6">
      <c r="A2319" s="53" t="s">
        <v>3852</v>
      </c>
      <c r="B2319" s="53" t="s">
        <v>223</v>
      </c>
      <c r="C2319" s="53" t="s">
        <v>4117</v>
      </c>
      <c r="D2319" s="53" t="s">
        <v>197</v>
      </c>
      <c r="E2319" s="32">
        <v>11000</v>
      </c>
      <c r="F2319" s="53" t="s">
        <v>4073</v>
      </c>
    </row>
    <row r="2320" spans="1:6">
      <c r="A2320" s="53" t="s">
        <v>3852</v>
      </c>
      <c r="B2320" s="53" t="s">
        <v>223</v>
      </c>
      <c r="C2320" s="53" t="s">
        <v>4121</v>
      </c>
      <c r="D2320" s="53" t="s">
        <v>197</v>
      </c>
      <c r="E2320" s="32">
        <v>1420</v>
      </c>
      <c r="F2320" s="53" t="s">
        <v>4073</v>
      </c>
    </row>
    <row r="2321" spans="1:6">
      <c r="A2321" s="53" t="s">
        <v>3852</v>
      </c>
      <c r="B2321" s="53" t="s">
        <v>223</v>
      </c>
      <c r="C2321" s="53" t="s">
        <v>4121</v>
      </c>
      <c r="D2321" s="53" t="s">
        <v>197</v>
      </c>
      <c r="E2321" s="32">
        <v>1420</v>
      </c>
      <c r="F2321" s="53" t="s">
        <v>4073</v>
      </c>
    </row>
    <row r="2322" spans="1:6">
      <c r="A2322" s="53" t="s">
        <v>3852</v>
      </c>
      <c r="B2322" s="53" t="s">
        <v>223</v>
      </c>
      <c r="C2322" s="53" t="s">
        <v>4120</v>
      </c>
      <c r="D2322" s="53" t="s">
        <v>197</v>
      </c>
      <c r="E2322" s="32">
        <v>13500</v>
      </c>
      <c r="F2322" s="53" t="s">
        <v>4073</v>
      </c>
    </row>
    <row r="2323" spans="1:6">
      <c r="A2323" s="53" t="s">
        <v>3853</v>
      </c>
      <c r="B2323" s="53" t="s">
        <v>223</v>
      </c>
      <c r="C2323" s="53" t="s">
        <v>224</v>
      </c>
      <c r="D2323" s="53" t="s">
        <v>197</v>
      </c>
      <c r="E2323" s="32">
        <v>16000</v>
      </c>
      <c r="F2323" s="53" t="s">
        <v>4073</v>
      </c>
    </row>
    <row r="2324" spans="1:6">
      <c r="A2324" s="53" t="s">
        <v>3853</v>
      </c>
      <c r="B2324" s="53" t="s">
        <v>223</v>
      </c>
      <c r="C2324" s="53" t="s">
        <v>236</v>
      </c>
      <c r="D2324" s="53" t="s">
        <v>197</v>
      </c>
      <c r="E2324" s="32">
        <v>3000</v>
      </c>
      <c r="F2324" s="53" t="s">
        <v>4073</v>
      </c>
    </row>
    <row r="2325" spans="1:6">
      <c r="A2325" s="53" t="s">
        <v>3853</v>
      </c>
      <c r="B2325" s="53" t="s">
        <v>223</v>
      </c>
      <c r="C2325" s="53" t="s">
        <v>255</v>
      </c>
      <c r="D2325" s="53" t="s">
        <v>197</v>
      </c>
      <c r="E2325" s="32">
        <v>600</v>
      </c>
      <c r="F2325" s="53" t="s">
        <v>4073</v>
      </c>
    </row>
    <row r="2326" spans="1:6">
      <c r="A2326" s="53" t="s">
        <v>3853</v>
      </c>
      <c r="B2326" s="53" t="s">
        <v>223</v>
      </c>
      <c r="C2326" s="53" t="s">
        <v>264</v>
      </c>
      <c r="D2326" s="53" t="s">
        <v>197</v>
      </c>
      <c r="E2326" s="32">
        <v>12000</v>
      </c>
      <c r="F2326" s="53" t="s">
        <v>4073</v>
      </c>
    </row>
    <row r="2327" spans="1:6">
      <c r="A2327" s="53" t="s">
        <v>3853</v>
      </c>
      <c r="B2327" s="53" t="s">
        <v>223</v>
      </c>
      <c r="C2327" s="53" t="s">
        <v>267</v>
      </c>
      <c r="D2327" s="53" t="s">
        <v>197</v>
      </c>
      <c r="E2327" s="32">
        <v>13500</v>
      </c>
      <c r="F2327" s="53" t="s">
        <v>4073</v>
      </c>
    </row>
    <row r="2328" spans="1:6">
      <c r="A2328" s="53" t="s">
        <v>3853</v>
      </c>
      <c r="B2328" s="53" t="s">
        <v>223</v>
      </c>
      <c r="C2328" s="53" t="s">
        <v>269</v>
      </c>
      <c r="D2328" s="53" t="s">
        <v>197</v>
      </c>
      <c r="E2328" s="32">
        <v>12000</v>
      </c>
      <c r="F2328" s="53" t="s">
        <v>4073</v>
      </c>
    </row>
    <row r="2329" spans="1:6">
      <c r="A2329" s="53" t="s">
        <v>3853</v>
      </c>
      <c r="B2329" s="53" t="s">
        <v>223</v>
      </c>
      <c r="C2329" s="53" t="s">
        <v>271</v>
      </c>
      <c r="D2329" s="53" t="s">
        <v>197</v>
      </c>
      <c r="E2329" s="32">
        <v>12000</v>
      </c>
      <c r="F2329" s="53" t="s">
        <v>4073</v>
      </c>
    </row>
    <row r="2330" spans="1:6">
      <c r="A2330" s="53" t="s">
        <v>3853</v>
      </c>
      <c r="B2330" s="53" t="s">
        <v>223</v>
      </c>
      <c r="C2330" s="53" t="s">
        <v>285</v>
      </c>
      <c r="D2330" s="53" t="s">
        <v>197</v>
      </c>
      <c r="E2330" s="32">
        <v>9000</v>
      </c>
      <c r="F2330" s="53" t="s">
        <v>4073</v>
      </c>
    </row>
    <row r="2331" spans="1:6">
      <c r="A2331" s="53" t="s">
        <v>3853</v>
      </c>
      <c r="B2331" s="53" t="s">
        <v>223</v>
      </c>
      <c r="C2331" s="53" t="s">
        <v>298</v>
      </c>
      <c r="D2331" s="53" t="s">
        <v>197</v>
      </c>
      <c r="E2331" s="32">
        <v>22000</v>
      </c>
      <c r="F2331" s="53" t="s">
        <v>4073</v>
      </c>
    </row>
    <row r="2332" spans="1:6">
      <c r="A2332" s="53" t="s">
        <v>3853</v>
      </c>
      <c r="B2332" s="53" t="s">
        <v>223</v>
      </c>
      <c r="C2332" s="53" t="s">
        <v>302</v>
      </c>
      <c r="D2332" s="53" t="s">
        <v>197</v>
      </c>
      <c r="E2332" s="32">
        <v>30000</v>
      </c>
      <c r="F2332" s="53" t="s">
        <v>4073</v>
      </c>
    </row>
    <row r="2333" spans="1:6">
      <c r="A2333" s="53" t="s">
        <v>3853</v>
      </c>
      <c r="B2333" s="53" t="s">
        <v>223</v>
      </c>
      <c r="C2333" s="53" t="s">
        <v>308</v>
      </c>
      <c r="D2333" s="53" t="s">
        <v>197</v>
      </c>
      <c r="E2333" s="32">
        <v>3000</v>
      </c>
      <c r="F2333" s="53" t="s">
        <v>4073</v>
      </c>
    </row>
    <row r="2334" spans="1:6">
      <c r="A2334" s="53" t="s">
        <v>3853</v>
      </c>
      <c r="B2334" s="53" t="s">
        <v>223</v>
      </c>
      <c r="C2334" s="53" t="s">
        <v>4125</v>
      </c>
      <c r="D2334" s="53" t="s">
        <v>197</v>
      </c>
      <c r="E2334" s="32">
        <v>1420</v>
      </c>
      <c r="F2334" s="53" t="s">
        <v>4073</v>
      </c>
    </row>
    <row r="2335" spans="1:6">
      <c r="A2335" s="53" t="s">
        <v>3853</v>
      </c>
      <c r="B2335" s="53" t="s">
        <v>223</v>
      </c>
      <c r="C2335" s="53" t="s">
        <v>4121</v>
      </c>
      <c r="D2335" s="53" t="s">
        <v>197</v>
      </c>
      <c r="E2335" s="32">
        <v>1420</v>
      </c>
      <c r="F2335" s="53" t="s">
        <v>4073</v>
      </c>
    </row>
    <row r="2336" spans="1:6">
      <c r="A2336" s="53" t="s">
        <v>3853</v>
      </c>
      <c r="B2336" s="53" t="s">
        <v>223</v>
      </c>
      <c r="C2336" s="53" t="s">
        <v>4124</v>
      </c>
      <c r="D2336" s="53" t="s">
        <v>197</v>
      </c>
      <c r="E2336" s="32">
        <v>1420</v>
      </c>
      <c r="F2336" s="53" t="s">
        <v>4073</v>
      </c>
    </row>
    <row r="2337" spans="1:6">
      <c r="A2337" s="53" t="s">
        <v>3853</v>
      </c>
      <c r="B2337" s="53" t="s">
        <v>223</v>
      </c>
      <c r="C2337" s="53" t="s">
        <v>4117</v>
      </c>
      <c r="D2337" s="53" t="s">
        <v>197</v>
      </c>
      <c r="E2337" s="32">
        <v>11000</v>
      </c>
      <c r="F2337" s="53" t="s">
        <v>4073</v>
      </c>
    </row>
    <row r="2338" spans="1:6">
      <c r="A2338" s="53" t="s">
        <v>3853</v>
      </c>
      <c r="B2338" s="53" t="s">
        <v>223</v>
      </c>
      <c r="C2338" s="53" t="s">
        <v>4121</v>
      </c>
      <c r="D2338" s="53" t="s">
        <v>197</v>
      </c>
      <c r="E2338" s="32">
        <v>1420</v>
      </c>
      <c r="F2338" s="53" t="s">
        <v>4073</v>
      </c>
    </row>
    <row r="2339" spans="1:6">
      <c r="A2339" s="53" t="s">
        <v>3853</v>
      </c>
      <c r="B2339" s="53" t="s">
        <v>223</v>
      </c>
      <c r="C2339" s="53" t="s">
        <v>4121</v>
      </c>
      <c r="D2339" s="53" t="s">
        <v>197</v>
      </c>
      <c r="E2339" s="32">
        <v>1420</v>
      </c>
      <c r="F2339" s="53" t="s">
        <v>4073</v>
      </c>
    </row>
    <row r="2340" spans="1:6">
      <c r="A2340" s="53" t="s">
        <v>3853</v>
      </c>
      <c r="B2340" s="53" t="s">
        <v>223</v>
      </c>
      <c r="C2340" s="53" t="s">
        <v>4120</v>
      </c>
      <c r="D2340" s="53" t="s">
        <v>197</v>
      </c>
      <c r="E2340" s="32">
        <v>13500</v>
      </c>
      <c r="F2340" s="53" t="s">
        <v>4073</v>
      </c>
    </row>
    <row r="2341" spans="1:6">
      <c r="A2341" s="53" t="s">
        <v>3854</v>
      </c>
      <c r="B2341" s="53" t="s">
        <v>223</v>
      </c>
      <c r="C2341" s="53" t="s">
        <v>224</v>
      </c>
      <c r="D2341" s="53" t="s">
        <v>197</v>
      </c>
      <c r="E2341" s="32">
        <v>16000</v>
      </c>
      <c r="F2341" s="53" t="s">
        <v>4073</v>
      </c>
    </row>
    <row r="2342" spans="1:6">
      <c r="A2342" s="53" t="s">
        <v>3854</v>
      </c>
      <c r="B2342" s="53" t="s">
        <v>223</v>
      </c>
      <c r="C2342" s="53" t="s">
        <v>236</v>
      </c>
      <c r="D2342" s="53" t="s">
        <v>197</v>
      </c>
      <c r="E2342" s="32">
        <v>3000</v>
      </c>
      <c r="F2342" s="53" t="s">
        <v>4073</v>
      </c>
    </row>
    <row r="2343" spans="1:6">
      <c r="A2343" s="53" t="s">
        <v>3854</v>
      </c>
      <c r="B2343" s="53" t="s">
        <v>223</v>
      </c>
      <c r="C2343" s="53" t="s">
        <v>255</v>
      </c>
      <c r="D2343" s="53" t="s">
        <v>197</v>
      </c>
      <c r="E2343" s="32">
        <v>600</v>
      </c>
      <c r="F2343" s="53" t="s">
        <v>4073</v>
      </c>
    </row>
    <row r="2344" spans="1:6">
      <c r="A2344" s="53" t="s">
        <v>3854</v>
      </c>
      <c r="B2344" s="53" t="s">
        <v>223</v>
      </c>
      <c r="C2344" s="53" t="s">
        <v>264</v>
      </c>
      <c r="D2344" s="53" t="s">
        <v>197</v>
      </c>
      <c r="E2344" s="32">
        <v>12000</v>
      </c>
      <c r="F2344" s="53" t="s">
        <v>4073</v>
      </c>
    </row>
    <row r="2345" spans="1:6">
      <c r="A2345" s="53" t="s">
        <v>3854</v>
      </c>
      <c r="B2345" s="53" t="s">
        <v>223</v>
      </c>
      <c r="C2345" s="53" t="s">
        <v>267</v>
      </c>
      <c r="D2345" s="53" t="s">
        <v>197</v>
      </c>
      <c r="E2345" s="32">
        <v>13500</v>
      </c>
      <c r="F2345" s="53" t="s">
        <v>4073</v>
      </c>
    </row>
    <row r="2346" spans="1:6">
      <c r="A2346" s="53" t="s">
        <v>3854</v>
      </c>
      <c r="B2346" s="53" t="s">
        <v>223</v>
      </c>
      <c r="C2346" s="53" t="s">
        <v>269</v>
      </c>
      <c r="D2346" s="53" t="s">
        <v>197</v>
      </c>
      <c r="E2346" s="32">
        <v>12000</v>
      </c>
      <c r="F2346" s="53" t="s">
        <v>4073</v>
      </c>
    </row>
    <row r="2347" spans="1:6">
      <c r="A2347" s="53" t="s">
        <v>3854</v>
      </c>
      <c r="B2347" s="53" t="s">
        <v>223</v>
      </c>
      <c r="C2347" s="53" t="s">
        <v>271</v>
      </c>
      <c r="D2347" s="53" t="s">
        <v>197</v>
      </c>
      <c r="E2347" s="32">
        <v>12000</v>
      </c>
      <c r="F2347" s="53" t="s">
        <v>4073</v>
      </c>
    </row>
    <row r="2348" spans="1:6">
      <c r="A2348" s="53" t="s">
        <v>3854</v>
      </c>
      <c r="B2348" s="53" t="s">
        <v>223</v>
      </c>
      <c r="C2348" s="53" t="s">
        <v>285</v>
      </c>
      <c r="D2348" s="53" t="s">
        <v>197</v>
      </c>
      <c r="E2348" s="32">
        <v>9000</v>
      </c>
      <c r="F2348" s="53" t="s">
        <v>4073</v>
      </c>
    </row>
    <row r="2349" spans="1:6">
      <c r="A2349" s="53" t="s">
        <v>3854</v>
      </c>
      <c r="B2349" s="53" t="s">
        <v>223</v>
      </c>
      <c r="C2349" s="53" t="s">
        <v>298</v>
      </c>
      <c r="D2349" s="53" t="s">
        <v>197</v>
      </c>
      <c r="E2349" s="32">
        <v>22000</v>
      </c>
      <c r="F2349" s="53" t="s">
        <v>4073</v>
      </c>
    </row>
    <row r="2350" spans="1:6">
      <c r="A2350" s="53" t="s">
        <v>3854</v>
      </c>
      <c r="B2350" s="53" t="s">
        <v>223</v>
      </c>
      <c r="C2350" s="53" t="s">
        <v>302</v>
      </c>
      <c r="D2350" s="53" t="s">
        <v>197</v>
      </c>
      <c r="E2350" s="32">
        <v>30000</v>
      </c>
      <c r="F2350" s="53" t="s">
        <v>4073</v>
      </c>
    </row>
    <row r="2351" spans="1:6">
      <c r="A2351" s="53" t="s">
        <v>3854</v>
      </c>
      <c r="B2351" s="53" t="s">
        <v>223</v>
      </c>
      <c r="C2351" s="53" t="s">
        <v>308</v>
      </c>
      <c r="D2351" s="53" t="s">
        <v>197</v>
      </c>
      <c r="E2351" s="32">
        <v>3000</v>
      </c>
      <c r="F2351" s="53" t="s">
        <v>4073</v>
      </c>
    </row>
    <row r="2352" spans="1:6">
      <c r="A2352" s="53" t="s">
        <v>3854</v>
      </c>
      <c r="B2352" s="53" t="s">
        <v>223</v>
      </c>
      <c r="C2352" s="53" t="s">
        <v>4125</v>
      </c>
      <c r="D2352" s="53" t="s">
        <v>197</v>
      </c>
      <c r="E2352" s="32">
        <v>1420</v>
      </c>
      <c r="F2352" s="53" t="s">
        <v>4073</v>
      </c>
    </row>
    <row r="2353" spans="1:6">
      <c r="A2353" s="53" t="s">
        <v>3854</v>
      </c>
      <c r="B2353" s="53" t="s">
        <v>223</v>
      </c>
      <c r="C2353" s="53" t="s">
        <v>4121</v>
      </c>
      <c r="D2353" s="53" t="s">
        <v>197</v>
      </c>
      <c r="E2353" s="32">
        <v>1420</v>
      </c>
      <c r="F2353" s="53" t="s">
        <v>4073</v>
      </c>
    </row>
    <row r="2354" spans="1:6">
      <c r="A2354" s="53" t="s">
        <v>3854</v>
      </c>
      <c r="B2354" s="53" t="s">
        <v>223</v>
      </c>
      <c r="C2354" s="53" t="s">
        <v>4124</v>
      </c>
      <c r="D2354" s="53" t="s">
        <v>197</v>
      </c>
      <c r="E2354" s="32">
        <v>1420</v>
      </c>
      <c r="F2354" s="53" t="s">
        <v>4073</v>
      </c>
    </row>
    <row r="2355" spans="1:6">
      <c r="A2355" s="53" t="s">
        <v>3854</v>
      </c>
      <c r="B2355" s="53" t="s">
        <v>223</v>
      </c>
      <c r="C2355" s="53" t="s">
        <v>4117</v>
      </c>
      <c r="D2355" s="53" t="s">
        <v>197</v>
      </c>
      <c r="E2355" s="32">
        <v>11000</v>
      </c>
      <c r="F2355" s="53" t="s">
        <v>4073</v>
      </c>
    </row>
    <row r="2356" spans="1:6">
      <c r="A2356" s="53" t="s">
        <v>3854</v>
      </c>
      <c r="B2356" s="53" t="s">
        <v>223</v>
      </c>
      <c r="C2356" s="53" t="s">
        <v>4121</v>
      </c>
      <c r="D2356" s="53" t="s">
        <v>197</v>
      </c>
      <c r="E2356" s="32">
        <v>1420</v>
      </c>
      <c r="F2356" s="53" t="s">
        <v>4073</v>
      </c>
    </row>
    <row r="2357" spans="1:6">
      <c r="A2357" s="53" t="s">
        <v>3854</v>
      </c>
      <c r="B2357" s="53" t="s">
        <v>223</v>
      </c>
      <c r="C2357" s="53" t="s">
        <v>4121</v>
      </c>
      <c r="D2357" s="53" t="s">
        <v>197</v>
      </c>
      <c r="E2357" s="32">
        <v>1420</v>
      </c>
      <c r="F2357" s="53" t="s">
        <v>4073</v>
      </c>
    </row>
    <row r="2358" spans="1:6">
      <c r="A2358" s="53" t="s">
        <v>3854</v>
      </c>
      <c r="B2358" s="53" t="s">
        <v>223</v>
      </c>
      <c r="C2358" s="53" t="s">
        <v>4120</v>
      </c>
      <c r="D2358" s="53" t="s">
        <v>197</v>
      </c>
      <c r="E2358" s="32">
        <v>13500</v>
      </c>
      <c r="F2358" s="53" t="s">
        <v>4073</v>
      </c>
    </row>
    <row r="2359" spans="1:6">
      <c r="A2359" s="53" t="s">
        <v>4448</v>
      </c>
      <c r="B2359" s="53" t="s">
        <v>223</v>
      </c>
      <c r="C2359" s="53" t="s">
        <v>224</v>
      </c>
      <c r="D2359" s="53" t="s">
        <v>197</v>
      </c>
      <c r="E2359" s="32">
        <v>16000</v>
      </c>
      <c r="F2359" s="53" t="s">
        <v>4073</v>
      </c>
    </row>
    <row r="2360" spans="1:6">
      <c r="A2360" s="53" t="s">
        <v>4448</v>
      </c>
      <c r="B2360" s="53" t="s">
        <v>223</v>
      </c>
      <c r="C2360" s="53" t="s">
        <v>236</v>
      </c>
      <c r="D2360" s="53" t="s">
        <v>197</v>
      </c>
      <c r="E2360" s="32">
        <v>3000</v>
      </c>
      <c r="F2360" s="53" t="s">
        <v>4073</v>
      </c>
    </row>
    <row r="2361" spans="1:6">
      <c r="A2361" s="53" t="s">
        <v>4448</v>
      </c>
      <c r="B2361" s="53" t="s">
        <v>223</v>
      </c>
      <c r="C2361" s="53" t="s">
        <v>255</v>
      </c>
      <c r="D2361" s="53" t="s">
        <v>197</v>
      </c>
      <c r="E2361" s="32">
        <v>600</v>
      </c>
      <c r="F2361" s="53" t="s">
        <v>4073</v>
      </c>
    </row>
    <row r="2362" spans="1:6">
      <c r="A2362" s="53" t="s">
        <v>4448</v>
      </c>
      <c r="B2362" s="53" t="s">
        <v>223</v>
      </c>
      <c r="C2362" s="53" t="s">
        <v>264</v>
      </c>
      <c r="D2362" s="53" t="s">
        <v>197</v>
      </c>
      <c r="E2362" s="32">
        <v>12000</v>
      </c>
      <c r="F2362" s="53" t="s">
        <v>4073</v>
      </c>
    </row>
    <row r="2363" spans="1:6">
      <c r="A2363" s="53" t="s">
        <v>4448</v>
      </c>
      <c r="B2363" s="53" t="s">
        <v>223</v>
      </c>
      <c r="C2363" s="53" t="s">
        <v>267</v>
      </c>
      <c r="D2363" s="53" t="s">
        <v>197</v>
      </c>
      <c r="E2363" s="32">
        <v>13500</v>
      </c>
      <c r="F2363" s="53" t="s">
        <v>4073</v>
      </c>
    </row>
    <row r="2364" spans="1:6">
      <c r="A2364" s="53" t="s">
        <v>4448</v>
      </c>
      <c r="B2364" s="53" t="s">
        <v>223</v>
      </c>
      <c r="C2364" s="53" t="s">
        <v>269</v>
      </c>
      <c r="D2364" s="53" t="s">
        <v>197</v>
      </c>
      <c r="E2364" s="32">
        <v>12000</v>
      </c>
      <c r="F2364" s="53" t="s">
        <v>4073</v>
      </c>
    </row>
    <row r="2365" spans="1:6">
      <c r="A2365" s="53" t="s">
        <v>4448</v>
      </c>
      <c r="B2365" s="53" t="s">
        <v>223</v>
      </c>
      <c r="C2365" s="53" t="s">
        <v>271</v>
      </c>
      <c r="D2365" s="53" t="s">
        <v>197</v>
      </c>
      <c r="E2365" s="32">
        <v>12000</v>
      </c>
      <c r="F2365" s="53" t="s">
        <v>4073</v>
      </c>
    </row>
    <row r="2366" spans="1:6">
      <c r="A2366" s="53" t="s">
        <v>4448</v>
      </c>
      <c r="B2366" s="53" t="s">
        <v>223</v>
      </c>
      <c r="C2366" s="53" t="s">
        <v>285</v>
      </c>
      <c r="D2366" s="53" t="s">
        <v>197</v>
      </c>
      <c r="E2366" s="32">
        <v>9000</v>
      </c>
      <c r="F2366" s="53" t="s">
        <v>4073</v>
      </c>
    </row>
    <row r="2367" spans="1:6">
      <c r="A2367" s="53" t="s">
        <v>4448</v>
      </c>
      <c r="B2367" s="53" t="s">
        <v>223</v>
      </c>
      <c r="C2367" s="53" t="s">
        <v>298</v>
      </c>
      <c r="D2367" s="53" t="s">
        <v>197</v>
      </c>
      <c r="E2367" s="32">
        <v>22000</v>
      </c>
      <c r="F2367" s="53" t="s">
        <v>4073</v>
      </c>
    </row>
    <row r="2368" spans="1:6">
      <c r="A2368" s="53" t="s">
        <v>4448</v>
      </c>
      <c r="B2368" s="53" t="s">
        <v>223</v>
      </c>
      <c r="C2368" s="53" t="s">
        <v>302</v>
      </c>
      <c r="D2368" s="53" t="s">
        <v>197</v>
      </c>
      <c r="E2368" s="32">
        <v>30000</v>
      </c>
      <c r="F2368" s="53" t="s">
        <v>4073</v>
      </c>
    </row>
    <row r="2369" spans="1:6">
      <c r="A2369" s="53" t="s">
        <v>4448</v>
      </c>
      <c r="B2369" s="53" t="s">
        <v>223</v>
      </c>
      <c r="C2369" s="53" t="s">
        <v>308</v>
      </c>
      <c r="D2369" s="53" t="s">
        <v>197</v>
      </c>
      <c r="E2369" s="32">
        <v>3000</v>
      </c>
      <c r="F2369" s="53" t="s">
        <v>4073</v>
      </c>
    </row>
    <row r="2370" spans="1:6">
      <c r="A2370" s="53" t="s">
        <v>4448</v>
      </c>
      <c r="B2370" s="53" t="s">
        <v>223</v>
      </c>
      <c r="C2370" s="53" t="s">
        <v>4125</v>
      </c>
      <c r="D2370" s="53" t="s">
        <v>197</v>
      </c>
      <c r="E2370" s="32">
        <v>1420</v>
      </c>
      <c r="F2370" s="53" t="s">
        <v>4073</v>
      </c>
    </row>
    <row r="2371" spans="1:6">
      <c r="A2371" s="53" t="s">
        <v>4448</v>
      </c>
      <c r="B2371" s="53" t="s">
        <v>223</v>
      </c>
      <c r="C2371" s="53" t="s">
        <v>4121</v>
      </c>
      <c r="D2371" s="53" t="s">
        <v>197</v>
      </c>
      <c r="E2371" s="32">
        <v>1420</v>
      </c>
      <c r="F2371" s="53" t="s">
        <v>4073</v>
      </c>
    </row>
    <row r="2372" spans="1:6">
      <c r="A2372" s="53" t="s">
        <v>4448</v>
      </c>
      <c r="B2372" s="53" t="s">
        <v>223</v>
      </c>
      <c r="C2372" s="53" t="s">
        <v>4124</v>
      </c>
      <c r="D2372" s="53" t="s">
        <v>197</v>
      </c>
      <c r="E2372" s="32">
        <v>1420</v>
      </c>
      <c r="F2372" s="53" t="s">
        <v>4073</v>
      </c>
    </row>
    <row r="2373" spans="1:6">
      <c r="A2373" s="53" t="s">
        <v>4448</v>
      </c>
      <c r="B2373" s="53" t="s">
        <v>223</v>
      </c>
      <c r="C2373" s="53" t="s">
        <v>4117</v>
      </c>
      <c r="D2373" s="53" t="s">
        <v>197</v>
      </c>
      <c r="E2373" s="32">
        <v>11000</v>
      </c>
      <c r="F2373" s="53" t="s">
        <v>4073</v>
      </c>
    </row>
    <row r="2374" spans="1:6">
      <c r="A2374" s="53" t="s">
        <v>4448</v>
      </c>
      <c r="B2374" s="53" t="s">
        <v>223</v>
      </c>
      <c r="C2374" s="53" t="s">
        <v>4121</v>
      </c>
      <c r="D2374" s="53" t="s">
        <v>197</v>
      </c>
      <c r="E2374" s="32">
        <v>1420</v>
      </c>
      <c r="F2374" s="53" t="s">
        <v>4073</v>
      </c>
    </row>
    <row r="2375" spans="1:6">
      <c r="A2375" s="53" t="s">
        <v>4448</v>
      </c>
      <c r="B2375" s="53" t="s">
        <v>223</v>
      </c>
      <c r="C2375" s="53" t="s">
        <v>4121</v>
      </c>
      <c r="D2375" s="53" t="s">
        <v>197</v>
      </c>
      <c r="E2375" s="32">
        <v>1420</v>
      </c>
      <c r="F2375" s="53" t="s">
        <v>4073</v>
      </c>
    </row>
    <row r="2376" spans="1:6">
      <c r="A2376" s="53" t="s">
        <v>4448</v>
      </c>
      <c r="B2376" s="53" t="s">
        <v>223</v>
      </c>
      <c r="C2376" s="53" t="s">
        <v>4120</v>
      </c>
      <c r="D2376" s="53" t="s">
        <v>197</v>
      </c>
      <c r="E2376" s="32">
        <v>13500</v>
      </c>
      <c r="F2376" s="53" t="s">
        <v>4073</v>
      </c>
    </row>
    <row r="2377" spans="1:6">
      <c r="A2377" s="53" t="s">
        <v>4449</v>
      </c>
      <c r="B2377" s="53" t="s">
        <v>223</v>
      </c>
      <c r="C2377" s="53" t="s">
        <v>224</v>
      </c>
      <c r="D2377" s="53" t="s">
        <v>197</v>
      </c>
      <c r="E2377" s="32">
        <v>16000</v>
      </c>
      <c r="F2377" s="53" t="s">
        <v>4073</v>
      </c>
    </row>
    <row r="2378" spans="1:6">
      <c r="A2378" s="53" t="s">
        <v>4449</v>
      </c>
      <c r="B2378" s="53" t="s">
        <v>223</v>
      </c>
      <c r="C2378" s="53" t="s">
        <v>236</v>
      </c>
      <c r="D2378" s="53" t="s">
        <v>197</v>
      </c>
      <c r="E2378" s="32">
        <v>3000</v>
      </c>
      <c r="F2378" s="53" t="s">
        <v>4073</v>
      </c>
    </row>
    <row r="2379" spans="1:6">
      <c r="A2379" s="53" t="s">
        <v>4449</v>
      </c>
      <c r="B2379" s="53" t="s">
        <v>223</v>
      </c>
      <c r="C2379" s="53" t="s">
        <v>255</v>
      </c>
      <c r="D2379" s="53" t="s">
        <v>197</v>
      </c>
      <c r="E2379" s="32">
        <v>600</v>
      </c>
      <c r="F2379" s="53" t="s">
        <v>4073</v>
      </c>
    </row>
    <row r="2380" spans="1:6">
      <c r="A2380" s="53" t="s">
        <v>4449</v>
      </c>
      <c r="B2380" s="53" t="s">
        <v>223</v>
      </c>
      <c r="C2380" s="53" t="s">
        <v>264</v>
      </c>
      <c r="D2380" s="53" t="s">
        <v>197</v>
      </c>
      <c r="E2380" s="32">
        <v>12000</v>
      </c>
      <c r="F2380" s="53" t="s">
        <v>4073</v>
      </c>
    </row>
    <row r="2381" spans="1:6">
      <c r="A2381" s="53" t="s">
        <v>4449</v>
      </c>
      <c r="B2381" s="53" t="s">
        <v>223</v>
      </c>
      <c r="C2381" s="53" t="s">
        <v>267</v>
      </c>
      <c r="D2381" s="53" t="s">
        <v>197</v>
      </c>
      <c r="E2381" s="32">
        <v>13500</v>
      </c>
      <c r="F2381" s="53" t="s">
        <v>4073</v>
      </c>
    </row>
    <row r="2382" spans="1:6">
      <c r="A2382" s="53" t="s">
        <v>4449</v>
      </c>
      <c r="B2382" s="53" t="s">
        <v>223</v>
      </c>
      <c r="C2382" s="53" t="s">
        <v>269</v>
      </c>
      <c r="D2382" s="53" t="s">
        <v>197</v>
      </c>
      <c r="E2382" s="32">
        <v>12000</v>
      </c>
      <c r="F2382" s="53" t="s">
        <v>4073</v>
      </c>
    </row>
    <row r="2383" spans="1:6">
      <c r="A2383" s="53" t="s">
        <v>4449</v>
      </c>
      <c r="B2383" s="53" t="s">
        <v>223</v>
      </c>
      <c r="C2383" s="53" t="s">
        <v>271</v>
      </c>
      <c r="D2383" s="53" t="s">
        <v>197</v>
      </c>
      <c r="E2383" s="32">
        <v>12000</v>
      </c>
      <c r="F2383" s="53" t="s">
        <v>4073</v>
      </c>
    </row>
    <row r="2384" spans="1:6">
      <c r="A2384" s="53" t="s">
        <v>4449</v>
      </c>
      <c r="B2384" s="53" t="s">
        <v>223</v>
      </c>
      <c r="C2384" s="53" t="s">
        <v>285</v>
      </c>
      <c r="D2384" s="53" t="s">
        <v>197</v>
      </c>
      <c r="E2384" s="32">
        <v>9000</v>
      </c>
      <c r="F2384" s="53" t="s">
        <v>4073</v>
      </c>
    </row>
    <row r="2385" spans="1:6">
      <c r="A2385" s="53" t="s">
        <v>4449</v>
      </c>
      <c r="B2385" s="53" t="s">
        <v>223</v>
      </c>
      <c r="C2385" s="53" t="s">
        <v>298</v>
      </c>
      <c r="D2385" s="53" t="s">
        <v>197</v>
      </c>
      <c r="E2385" s="32">
        <v>22000</v>
      </c>
      <c r="F2385" s="53" t="s">
        <v>4073</v>
      </c>
    </row>
    <row r="2386" spans="1:6">
      <c r="A2386" s="53" t="s">
        <v>4449</v>
      </c>
      <c r="B2386" s="53" t="s">
        <v>223</v>
      </c>
      <c r="C2386" s="53" t="s">
        <v>302</v>
      </c>
      <c r="D2386" s="53" t="s">
        <v>197</v>
      </c>
      <c r="E2386" s="32">
        <v>30000</v>
      </c>
      <c r="F2386" s="53" t="s">
        <v>4073</v>
      </c>
    </row>
    <row r="2387" spans="1:6">
      <c r="A2387" s="53" t="s">
        <v>4449</v>
      </c>
      <c r="B2387" s="53" t="s">
        <v>223</v>
      </c>
      <c r="C2387" s="53" t="s">
        <v>308</v>
      </c>
      <c r="D2387" s="53" t="s">
        <v>197</v>
      </c>
      <c r="E2387" s="32">
        <v>3000</v>
      </c>
      <c r="F2387" s="53" t="s">
        <v>4073</v>
      </c>
    </row>
    <row r="2388" spans="1:6">
      <c r="A2388" s="53" t="s">
        <v>4449</v>
      </c>
      <c r="B2388" s="53" t="s">
        <v>223</v>
      </c>
      <c r="C2388" s="53" t="s">
        <v>4125</v>
      </c>
      <c r="D2388" s="53" t="s">
        <v>197</v>
      </c>
      <c r="E2388" s="32">
        <v>1420</v>
      </c>
      <c r="F2388" s="53" t="s">
        <v>4073</v>
      </c>
    </row>
    <row r="2389" spans="1:6">
      <c r="A2389" s="53" t="s">
        <v>4449</v>
      </c>
      <c r="B2389" s="53" t="s">
        <v>223</v>
      </c>
      <c r="C2389" s="53" t="s">
        <v>4121</v>
      </c>
      <c r="D2389" s="53" t="s">
        <v>197</v>
      </c>
      <c r="E2389" s="32">
        <v>1420</v>
      </c>
      <c r="F2389" s="53" t="s">
        <v>4073</v>
      </c>
    </row>
    <row r="2390" spans="1:6">
      <c r="A2390" s="53" t="s">
        <v>4449</v>
      </c>
      <c r="B2390" s="53" t="s">
        <v>223</v>
      </c>
      <c r="C2390" s="53" t="s">
        <v>4124</v>
      </c>
      <c r="D2390" s="53" t="s">
        <v>197</v>
      </c>
      <c r="E2390" s="32">
        <v>1420</v>
      </c>
      <c r="F2390" s="53" t="s">
        <v>4073</v>
      </c>
    </row>
    <row r="2391" spans="1:6">
      <c r="A2391" s="53" t="s">
        <v>4449</v>
      </c>
      <c r="B2391" s="53" t="s">
        <v>223</v>
      </c>
      <c r="C2391" s="53" t="s">
        <v>4117</v>
      </c>
      <c r="D2391" s="53" t="s">
        <v>197</v>
      </c>
      <c r="E2391" s="32">
        <v>11000</v>
      </c>
      <c r="F2391" s="53" t="s">
        <v>4073</v>
      </c>
    </row>
    <row r="2392" spans="1:6">
      <c r="A2392" s="53" t="s">
        <v>4449</v>
      </c>
      <c r="B2392" s="53" t="s">
        <v>223</v>
      </c>
      <c r="C2392" s="53" t="s">
        <v>4121</v>
      </c>
      <c r="D2392" s="53" t="s">
        <v>197</v>
      </c>
      <c r="E2392" s="32">
        <v>1420</v>
      </c>
      <c r="F2392" s="53" t="s">
        <v>4073</v>
      </c>
    </row>
    <row r="2393" spans="1:6">
      <c r="A2393" s="53" t="s">
        <v>4449</v>
      </c>
      <c r="B2393" s="53" t="s">
        <v>223</v>
      </c>
      <c r="C2393" s="53" t="s">
        <v>4121</v>
      </c>
      <c r="D2393" s="53" t="s">
        <v>197</v>
      </c>
      <c r="E2393" s="32">
        <v>1420</v>
      </c>
      <c r="F2393" s="53" t="s">
        <v>4073</v>
      </c>
    </row>
    <row r="2394" spans="1:6">
      <c r="A2394" s="53" t="s">
        <v>4449</v>
      </c>
      <c r="B2394" s="53" t="s">
        <v>223</v>
      </c>
      <c r="C2394" s="53" t="s">
        <v>4120</v>
      </c>
      <c r="D2394" s="53" t="s">
        <v>197</v>
      </c>
      <c r="E2394" s="32">
        <v>13500</v>
      </c>
      <c r="F2394" s="53" t="s">
        <v>4073</v>
      </c>
    </row>
    <row r="2395" spans="1:6">
      <c r="A2395" s="53" t="s">
        <v>4450</v>
      </c>
      <c r="B2395" s="53" t="s">
        <v>223</v>
      </c>
      <c r="C2395" s="53" t="s">
        <v>224</v>
      </c>
      <c r="D2395" s="53" t="s">
        <v>197</v>
      </c>
      <c r="E2395" s="32">
        <v>16000</v>
      </c>
      <c r="F2395" s="53" t="s">
        <v>4073</v>
      </c>
    </row>
    <row r="2396" spans="1:6">
      <c r="A2396" s="53" t="s">
        <v>4450</v>
      </c>
      <c r="B2396" s="53" t="s">
        <v>223</v>
      </c>
      <c r="C2396" s="53" t="s">
        <v>236</v>
      </c>
      <c r="D2396" s="53" t="s">
        <v>197</v>
      </c>
      <c r="E2396" s="32">
        <v>3000</v>
      </c>
      <c r="F2396" s="53" t="s">
        <v>4073</v>
      </c>
    </row>
    <row r="2397" spans="1:6">
      <c r="A2397" s="53" t="s">
        <v>4450</v>
      </c>
      <c r="B2397" s="53" t="s">
        <v>223</v>
      </c>
      <c r="C2397" s="53" t="s">
        <v>255</v>
      </c>
      <c r="D2397" s="53" t="s">
        <v>197</v>
      </c>
      <c r="E2397" s="32">
        <v>600</v>
      </c>
      <c r="F2397" s="53" t="s">
        <v>4073</v>
      </c>
    </row>
    <row r="2398" spans="1:6">
      <c r="A2398" s="53" t="s">
        <v>4450</v>
      </c>
      <c r="B2398" s="53" t="s">
        <v>223</v>
      </c>
      <c r="C2398" s="53" t="s">
        <v>264</v>
      </c>
      <c r="D2398" s="53" t="s">
        <v>197</v>
      </c>
      <c r="E2398" s="32">
        <v>12000</v>
      </c>
      <c r="F2398" s="53" t="s">
        <v>4073</v>
      </c>
    </row>
    <row r="2399" spans="1:6">
      <c r="A2399" s="53" t="s">
        <v>4450</v>
      </c>
      <c r="B2399" s="53" t="s">
        <v>223</v>
      </c>
      <c r="C2399" s="53" t="s">
        <v>267</v>
      </c>
      <c r="D2399" s="53" t="s">
        <v>197</v>
      </c>
      <c r="E2399" s="32">
        <v>13500</v>
      </c>
      <c r="F2399" s="53" t="s">
        <v>4073</v>
      </c>
    </row>
    <row r="2400" spans="1:6">
      <c r="A2400" s="53" t="s">
        <v>4450</v>
      </c>
      <c r="B2400" s="53" t="s">
        <v>223</v>
      </c>
      <c r="C2400" s="53" t="s">
        <v>269</v>
      </c>
      <c r="D2400" s="53" t="s">
        <v>197</v>
      </c>
      <c r="E2400" s="32">
        <v>12000</v>
      </c>
      <c r="F2400" s="53" t="s">
        <v>4073</v>
      </c>
    </row>
    <row r="2401" spans="1:6">
      <c r="A2401" s="53" t="s">
        <v>4450</v>
      </c>
      <c r="B2401" s="53" t="s">
        <v>223</v>
      </c>
      <c r="C2401" s="53" t="s">
        <v>271</v>
      </c>
      <c r="D2401" s="53" t="s">
        <v>197</v>
      </c>
      <c r="E2401" s="32">
        <v>12000</v>
      </c>
      <c r="F2401" s="53" t="s">
        <v>4073</v>
      </c>
    </row>
    <row r="2402" spans="1:6">
      <c r="A2402" s="53" t="s">
        <v>4450</v>
      </c>
      <c r="B2402" s="53" t="s">
        <v>223</v>
      </c>
      <c r="C2402" s="53" t="s">
        <v>285</v>
      </c>
      <c r="D2402" s="53" t="s">
        <v>197</v>
      </c>
      <c r="E2402" s="32">
        <v>9000</v>
      </c>
      <c r="F2402" s="53" t="s">
        <v>4073</v>
      </c>
    </row>
    <row r="2403" spans="1:6">
      <c r="A2403" s="53" t="s">
        <v>4450</v>
      </c>
      <c r="B2403" s="53" t="s">
        <v>223</v>
      </c>
      <c r="C2403" s="53" t="s">
        <v>298</v>
      </c>
      <c r="D2403" s="53" t="s">
        <v>197</v>
      </c>
      <c r="E2403" s="32">
        <v>22000</v>
      </c>
      <c r="F2403" s="53" t="s">
        <v>4073</v>
      </c>
    </row>
    <row r="2404" spans="1:6">
      <c r="A2404" s="53" t="s">
        <v>4450</v>
      </c>
      <c r="B2404" s="53" t="s">
        <v>223</v>
      </c>
      <c r="C2404" s="53" t="s">
        <v>302</v>
      </c>
      <c r="D2404" s="53" t="s">
        <v>197</v>
      </c>
      <c r="E2404" s="32">
        <v>30000</v>
      </c>
      <c r="F2404" s="53" t="s">
        <v>4073</v>
      </c>
    </row>
    <row r="2405" spans="1:6">
      <c r="A2405" s="53" t="s">
        <v>4450</v>
      </c>
      <c r="B2405" s="53" t="s">
        <v>223</v>
      </c>
      <c r="C2405" s="53" t="s">
        <v>308</v>
      </c>
      <c r="D2405" s="53" t="s">
        <v>197</v>
      </c>
      <c r="E2405" s="32">
        <v>3000</v>
      </c>
      <c r="F2405" s="53" t="s">
        <v>4073</v>
      </c>
    </row>
    <row r="2406" spans="1:6">
      <c r="A2406" s="53" t="s">
        <v>4450</v>
      </c>
      <c r="B2406" s="53" t="s">
        <v>223</v>
      </c>
      <c r="C2406" s="53" t="s">
        <v>4125</v>
      </c>
      <c r="D2406" s="53" t="s">
        <v>197</v>
      </c>
      <c r="E2406" s="32">
        <v>1420</v>
      </c>
      <c r="F2406" s="53" t="s">
        <v>4073</v>
      </c>
    </row>
    <row r="2407" spans="1:6">
      <c r="A2407" s="53" t="s">
        <v>4450</v>
      </c>
      <c r="B2407" s="53" t="s">
        <v>223</v>
      </c>
      <c r="C2407" s="53" t="s">
        <v>4121</v>
      </c>
      <c r="D2407" s="53" t="s">
        <v>197</v>
      </c>
      <c r="E2407" s="32">
        <v>1420</v>
      </c>
      <c r="F2407" s="53" t="s">
        <v>4073</v>
      </c>
    </row>
    <row r="2408" spans="1:6">
      <c r="A2408" s="53" t="s">
        <v>4450</v>
      </c>
      <c r="B2408" s="53" t="s">
        <v>223</v>
      </c>
      <c r="C2408" s="53" t="s">
        <v>4124</v>
      </c>
      <c r="D2408" s="53" t="s">
        <v>197</v>
      </c>
      <c r="E2408" s="32">
        <v>1420</v>
      </c>
      <c r="F2408" s="53" t="s">
        <v>4073</v>
      </c>
    </row>
    <row r="2409" spans="1:6">
      <c r="A2409" s="53" t="s">
        <v>4450</v>
      </c>
      <c r="B2409" s="53" t="s">
        <v>223</v>
      </c>
      <c r="C2409" s="53" t="s">
        <v>4117</v>
      </c>
      <c r="D2409" s="53" t="s">
        <v>197</v>
      </c>
      <c r="E2409" s="32">
        <v>11000</v>
      </c>
      <c r="F2409" s="53" t="s">
        <v>4073</v>
      </c>
    </row>
    <row r="2410" spans="1:6">
      <c r="A2410" s="53" t="s">
        <v>4450</v>
      </c>
      <c r="B2410" s="53" t="s">
        <v>223</v>
      </c>
      <c r="C2410" s="53" t="s">
        <v>4121</v>
      </c>
      <c r="D2410" s="53" t="s">
        <v>197</v>
      </c>
      <c r="E2410" s="32">
        <v>1420</v>
      </c>
      <c r="F2410" s="53" t="s">
        <v>4073</v>
      </c>
    </row>
    <row r="2411" spans="1:6">
      <c r="A2411" s="53" t="s">
        <v>4450</v>
      </c>
      <c r="B2411" s="53" t="s">
        <v>223</v>
      </c>
      <c r="C2411" s="53" t="s">
        <v>4121</v>
      </c>
      <c r="D2411" s="53" t="s">
        <v>197</v>
      </c>
      <c r="E2411" s="32">
        <v>1420</v>
      </c>
      <c r="F2411" s="53" t="s">
        <v>4073</v>
      </c>
    </row>
    <row r="2412" spans="1:6">
      <c r="A2412" s="53" t="s">
        <v>4450</v>
      </c>
      <c r="B2412" s="53" t="s">
        <v>223</v>
      </c>
      <c r="C2412" s="53" t="s">
        <v>4120</v>
      </c>
      <c r="D2412" s="53" t="s">
        <v>197</v>
      </c>
      <c r="E2412" s="32">
        <v>13500</v>
      </c>
      <c r="F2412" s="53" t="s">
        <v>4073</v>
      </c>
    </row>
    <row r="2413" spans="1:6">
      <c r="A2413" s="53" t="s">
        <v>4451</v>
      </c>
      <c r="B2413" s="53" t="s">
        <v>223</v>
      </c>
      <c r="C2413" s="53" t="s">
        <v>224</v>
      </c>
      <c r="D2413" s="53" t="s">
        <v>197</v>
      </c>
      <c r="E2413" s="32">
        <v>16000</v>
      </c>
      <c r="F2413" s="53" t="s">
        <v>4073</v>
      </c>
    </row>
    <row r="2414" spans="1:6">
      <c r="A2414" s="53" t="s">
        <v>4451</v>
      </c>
      <c r="B2414" s="53" t="s">
        <v>223</v>
      </c>
      <c r="C2414" s="53" t="s">
        <v>236</v>
      </c>
      <c r="D2414" s="53" t="s">
        <v>197</v>
      </c>
      <c r="E2414" s="32">
        <v>3000</v>
      </c>
      <c r="F2414" s="53" t="s">
        <v>4073</v>
      </c>
    </row>
    <row r="2415" spans="1:6">
      <c r="A2415" s="53" t="s">
        <v>4451</v>
      </c>
      <c r="B2415" s="53" t="s">
        <v>223</v>
      </c>
      <c r="C2415" s="53" t="s">
        <v>255</v>
      </c>
      <c r="D2415" s="53" t="s">
        <v>197</v>
      </c>
      <c r="E2415" s="32">
        <v>600</v>
      </c>
      <c r="F2415" s="53" t="s">
        <v>4073</v>
      </c>
    </row>
    <row r="2416" spans="1:6">
      <c r="A2416" s="53" t="s">
        <v>4451</v>
      </c>
      <c r="B2416" s="53" t="s">
        <v>223</v>
      </c>
      <c r="C2416" s="53" t="s">
        <v>264</v>
      </c>
      <c r="D2416" s="53" t="s">
        <v>197</v>
      </c>
      <c r="E2416" s="32">
        <v>12000</v>
      </c>
      <c r="F2416" s="53" t="s">
        <v>4073</v>
      </c>
    </row>
    <row r="2417" spans="1:6">
      <c r="A2417" s="53" t="s">
        <v>4451</v>
      </c>
      <c r="B2417" s="53" t="s">
        <v>223</v>
      </c>
      <c r="C2417" s="53" t="s">
        <v>267</v>
      </c>
      <c r="D2417" s="53" t="s">
        <v>197</v>
      </c>
      <c r="E2417" s="32">
        <v>13500</v>
      </c>
      <c r="F2417" s="53" t="s">
        <v>4073</v>
      </c>
    </row>
    <row r="2418" spans="1:6">
      <c r="A2418" s="53" t="s">
        <v>4451</v>
      </c>
      <c r="B2418" s="53" t="s">
        <v>223</v>
      </c>
      <c r="C2418" s="53" t="s">
        <v>269</v>
      </c>
      <c r="D2418" s="53" t="s">
        <v>197</v>
      </c>
      <c r="E2418" s="32">
        <v>12000</v>
      </c>
      <c r="F2418" s="53" t="s">
        <v>4073</v>
      </c>
    </row>
    <row r="2419" spans="1:6">
      <c r="A2419" s="53" t="s">
        <v>4451</v>
      </c>
      <c r="B2419" s="53" t="s">
        <v>223</v>
      </c>
      <c r="C2419" s="53" t="s">
        <v>271</v>
      </c>
      <c r="D2419" s="53" t="s">
        <v>197</v>
      </c>
      <c r="E2419" s="32">
        <v>12000</v>
      </c>
      <c r="F2419" s="53" t="s">
        <v>4073</v>
      </c>
    </row>
    <row r="2420" spans="1:6">
      <c r="A2420" s="53" t="s">
        <v>4451</v>
      </c>
      <c r="B2420" s="53" t="s">
        <v>223</v>
      </c>
      <c r="C2420" s="53" t="s">
        <v>285</v>
      </c>
      <c r="D2420" s="53" t="s">
        <v>197</v>
      </c>
      <c r="E2420" s="32">
        <v>9000</v>
      </c>
      <c r="F2420" s="53" t="s">
        <v>4073</v>
      </c>
    </row>
    <row r="2421" spans="1:6">
      <c r="A2421" s="53" t="s">
        <v>4451</v>
      </c>
      <c r="B2421" s="53" t="s">
        <v>223</v>
      </c>
      <c r="C2421" s="53" t="s">
        <v>298</v>
      </c>
      <c r="D2421" s="53" t="s">
        <v>197</v>
      </c>
      <c r="E2421" s="32">
        <v>22000</v>
      </c>
      <c r="F2421" s="53" t="s">
        <v>4073</v>
      </c>
    </row>
    <row r="2422" spans="1:6">
      <c r="A2422" s="53" t="s">
        <v>4451</v>
      </c>
      <c r="B2422" s="53" t="s">
        <v>223</v>
      </c>
      <c r="C2422" s="53" t="s">
        <v>302</v>
      </c>
      <c r="D2422" s="53" t="s">
        <v>197</v>
      </c>
      <c r="E2422" s="32">
        <v>30000</v>
      </c>
      <c r="F2422" s="53" t="s">
        <v>4073</v>
      </c>
    </row>
    <row r="2423" spans="1:6">
      <c r="A2423" s="53" t="s">
        <v>4451</v>
      </c>
      <c r="B2423" s="53" t="s">
        <v>223</v>
      </c>
      <c r="C2423" s="53" t="s">
        <v>308</v>
      </c>
      <c r="D2423" s="53" t="s">
        <v>197</v>
      </c>
      <c r="E2423" s="32">
        <v>3000</v>
      </c>
      <c r="F2423" s="53" t="s">
        <v>4073</v>
      </c>
    </row>
    <row r="2424" spans="1:6">
      <c r="A2424" s="53" t="s">
        <v>4451</v>
      </c>
      <c r="B2424" s="53" t="s">
        <v>223</v>
      </c>
      <c r="C2424" s="53" t="s">
        <v>4125</v>
      </c>
      <c r="D2424" s="53" t="s">
        <v>197</v>
      </c>
      <c r="E2424" s="32">
        <v>1420</v>
      </c>
      <c r="F2424" s="53" t="s">
        <v>4073</v>
      </c>
    </row>
    <row r="2425" spans="1:6">
      <c r="A2425" s="53" t="s">
        <v>4451</v>
      </c>
      <c r="B2425" s="53" t="s">
        <v>223</v>
      </c>
      <c r="C2425" s="53" t="s">
        <v>4121</v>
      </c>
      <c r="D2425" s="53" t="s">
        <v>197</v>
      </c>
      <c r="E2425" s="32">
        <v>1420</v>
      </c>
      <c r="F2425" s="53" t="s">
        <v>4073</v>
      </c>
    </row>
    <row r="2426" spans="1:6">
      <c r="A2426" s="53" t="s">
        <v>4451</v>
      </c>
      <c r="B2426" s="53" t="s">
        <v>223</v>
      </c>
      <c r="C2426" s="53" t="s">
        <v>4124</v>
      </c>
      <c r="D2426" s="53" t="s">
        <v>197</v>
      </c>
      <c r="E2426" s="32">
        <v>1420</v>
      </c>
      <c r="F2426" s="53" t="s">
        <v>4073</v>
      </c>
    </row>
    <row r="2427" spans="1:6">
      <c r="A2427" s="53" t="s">
        <v>4451</v>
      </c>
      <c r="B2427" s="53" t="s">
        <v>223</v>
      </c>
      <c r="C2427" s="53" t="s">
        <v>4117</v>
      </c>
      <c r="D2427" s="53" t="s">
        <v>197</v>
      </c>
      <c r="E2427" s="32">
        <v>11000</v>
      </c>
      <c r="F2427" s="53" t="s">
        <v>4073</v>
      </c>
    </row>
    <row r="2428" spans="1:6">
      <c r="A2428" s="53" t="s">
        <v>4451</v>
      </c>
      <c r="B2428" s="53" t="s">
        <v>223</v>
      </c>
      <c r="C2428" s="53" t="s">
        <v>4121</v>
      </c>
      <c r="D2428" s="53" t="s">
        <v>197</v>
      </c>
      <c r="E2428" s="32">
        <v>1420</v>
      </c>
      <c r="F2428" s="53" t="s">
        <v>4073</v>
      </c>
    </row>
    <row r="2429" spans="1:6">
      <c r="A2429" s="53" t="s">
        <v>4451</v>
      </c>
      <c r="B2429" s="53" t="s">
        <v>223</v>
      </c>
      <c r="C2429" s="53" t="s">
        <v>4121</v>
      </c>
      <c r="D2429" s="53" t="s">
        <v>197</v>
      </c>
      <c r="E2429" s="32">
        <v>1420</v>
      </c>
      <c r="F2429" s="53" t="s">
        <v>4073</v>
      </c>
    </row>
    <row r="2430" spans="1:6">
      <c r="A2430" s="53" t="s">
        <v>4451</v>
      </c>
      <c r="B2430" s="53" t="s">
        <v>223</v>
      </c>
      <c r="C2430" s="53" t="s">
        <v>4120</v>
      </c>
      <c r="D2430" s="53" t="s">
        <v>197</v>
      </c>
      <c r="E2430" s="32">
        <v>13500</v>
      </c>
      <c r="F2430" s="53" t="s">
        <v>4073</v>
      </c>
    </row>
    <row r="2431" spans="1:6">
      <c r="A2431" s="53" t="s">
        <v>4452</v>
      </c>
      <c r="B2431" s="53" t="s">
        <v>223</v>
      </c>
      <c r="C2431" s="53" t="s">
        <v>224</v>
      </c>
      <c r="D2431" s="53" t="s">
        <v>197</v>
      </c>
      <c r="E2431" s="32">
        <v>16000</v>
      </c>
      <c r="F2431" s="53" t="s">
        <v>4073</v>
      </c>
    </row>
    <row r="2432" spans="1:6">
      <c r="A2432" s="53" t="s">
        <v>4452</v>
      </c>
      <c r="B2432" s="53" t="s">
        <v>223</v>
      </c>
      <c r="C2432" s="53" t="s">
        <v>236</v>
      </c>
      <c r="D2432" s="53" t="s">
        <v>197</v>
      </c>
      <c r="E2432" s="32">
        <v>3000</v>
      </c>
      <c r="F2432" s="53" t="s">
        <v>4073</v>
      </c>
    </row>
    <row r="2433" spans="1:6">
      <c r="A2433" s="53" t="s">
        <v>4452</v>
      </c>
      <c r="B2433" s="53" t="s">
        <v>223</v>
      </c>
      <c r="C2433" s="53" t="s">
        <v>255</v>
      </c>
      <c r="D2433" s="53" t="s">
        <v>197</v>
      </c>
      <c r="E2433" s="32">
        <v>600</v>
      </c>
      <c r="F2433" s="53" t="s">
        <v>4073</v>
      </c>
    </row>
    <row r="2434" spans="1:6">
      <c r="A2434" s="53" t="s">
        <v>4452</v>
      </c>
      <c r="B2434" s="53" t="s">
        <v>223</v>
      </c>
      <c r="C2434" s="53" t="s">
        <v>264</v>
      </c>
      <c r="D2434" s="53" t="s">
        <v>197</v>
      </c>
      <c r="E2434" s="32">
        <v>12000</v>
      </c>
      <c r="F2434" s="53" t="s">
        <v>4073</v>
      </c>
    </row>
    <row r="2435" spans="1:6">
      <c r="A2435" s="53" t="s">
        <v>4452</v>
      </c>
      <c r="B2435" s="53" t="s">
        <v>223</v>
      </c>
      <c r="C2435" s="53" t="s">
        <v>267</v>
      </c>
      <c r="D2435" s="53" t="s">
        <v>197</v>
      </c>
      <c r="E2435" s="32">
        <v>13500</v>
      </c>
      <c r="F2435" s="53" t="s">
        <v>4073</v>
      </c>
    </row>
    <row r="2436" spans="1:6">
      <c r="A2436" s="53" t="s">
        <v>4452</v>
      </c>
      <c r="B2436" s="53" t="s">
        <v>223</v>
      </c>
      <c r="C2436" s="53" t="s">
        <v>269</v>
      </c>
      <c r="D2436" s="53" t="s">
        <v>197</v>
      </c>
      <c r="E2436" s="32">
        <v>12000</v>
      </c>
      <c r="F2436" s="53" t="s">
        <v>4073</v>
      </c>
    </row>
    <row r="2437" spans="1:6">
      <c r="A2437" s="53" t="s">
        <v>4452</v>
      </c>
      <c r="B2437" s="53" t="s">
        <v>223</v>
      </c>
      <c r="C2437" s="53" t="s">
        <v>271</v>
      </c>
      <c r="D2437" s="53" t="s">
        <v>197</v>
      </c>
      <c r="E2437" s="32">
        <v>12000</v>
      </c>
      <c r="F2437" s="53" t="s">
        <v>4073</v>
      </c>
    </row>
    <row r="2438" spans="1:6">
      <c r="A2438" s="53" t="s">
        <v>4452</v>
      </c>
      <c r="B2438" s="53" t="s">
        <v>223</v>
      </c>
      <c r="C2438" s="53" t="s">
        <v>285</v>
      </c>
      <c r="D2438" s="53" t="s">
        <v>197</v>
      </c>
      <c r="E2438" s="32">
        <v>9000</v>
      </c>
      <c r="F2438" s="53" t="s">
        <v>4073</v>
      </c>
    </row>
    <row r="2439" spans="1:6">
      <c r="A2439" s="53" t="s">
        <v>4452</v>
      </c>
      <c r="B2439" s="53" t="s">
        <v>223</v>
      </c>
      <c r="C2439" s="53" t="s">
        <v>298</v>
      </c>
      <c r="D2439" s="53" t="s">
        <v>197</v>
      </c>
      <c r="E2439" s="32">
        <v>22000</v>
      </c>
      <c r="F2439" s="53" t="s">
        <v>4073</v>
      </c>
    </row>
    <row r="2440" spans="1:6">
      <c r="A2440" s="53" t="s">
        <v>4452</v>
      </c>
      <c r="B2440" s="53" t="s">
        <v>223</v>
      </c>
      <c r="C2440" s="53" t="s">
        <v>302</v>
      </c>
      <c r="D2440" s="53" t="s">
        <v>197</v>
      </c>
      <c r="E2440" s="32">
        <v>30000</v>
      </c>
      <c r="F2440" s="53" t="s">
        <v>4073</v>
      </c>
    </row>
    <row r="2441" spans="1:6">
      <c r="A2441" s="53" t="s">
        <v>4452</v>
      </c>
      <c r="B2441" s="53" t="s">
        <v>223</v>
      </c>
      <c r="C2441" s="53" t="s">
        <v>308</v>
      </c>
      <c r="D2441" s="53" t="s">
        <v>197</v>
      </c>
      <c r="E2441" s="32">
        <v>3000</v>
      </c>
      <c r="F2441" s="53" t="s">
        <v>4073</v>
      </c>
    </row>
    <row r="2442" spans="1:6">
      <c r="A2442" s="53" t="s">
        <v>4452</v>
      </c>
      <c r="B2442" s="53" t="s">
        <v>223</v>
      </c>
      <c r="C2442" s="53" t="s">
        <v>4125</v>
      </c>
      <c r="D2442" s="53" t="s">
        <v>197</v>
      </c>
      <c r="E2442" s="32">
        <v>1420</v>
      </c>
      <c r="F2442" s="53" t="s">
        <v>4073</v>
      </c>
    </row>
    <row r="2443" spans="1:6">
      <c r="A2443" s="53" t="s">
        <v>4452</v>
      </c>
      <c r="B2443" s="53" t="s">
        <v>223</v>
      </c>
      <c r="C2443" s="53" t="s">
        <v>4121</v>
      </c>
      <c r="D2443" s="53" t="s">
        <v>197</v>
      </c>
      <c r="E2443" s="32">
        <v>1420</v>
      </c>
      <c r="F2443" s="53" t="s">
        <v>4073</v>
      </c>
    </row>
    <row r="2444" spans="1:6">
      <c r="A2444" s="53" t="s">
        <v>4452</v>
      </c>
      <c r="B2444" s="53" t="s">
        <v>223</v>
      </c>
      <c r="C2444" s="53" t="s">
        <v>4124</v>
      </c>
      <c r="D2444" s="53" t="s">
        <v>197</v>
      </c>
      <c r="E2444" s="32">
        <v>1420</v>
      </c>
      <c r="F2444" s="53" t="s">
        <v>4073</v>
      </c>
    </row>
    <row r="2445" spans="1:6">
      <c r="A2445" s="53" t="s">
        <v>4452</v>
      </c>
      <c r="B2445" s="53" t="s">
        <v>223</v>
      </c>
      <c r="C2445" s="53" t="s">
        <v>4117</v>
      </c>
      <c r="D2445" s="53" t="s">
        <v>197</v>
      </c>
      <c r="E2445" s="32">
        <v>11000</v>
      </c>
      <c r="F2445" s="53" t="s">
        <v>4073</v>
      </c>
    </row>
    <row r="2446" spans="1:6">
      <c r="A2446" s="53" t="s">
        <v>4452</v>
      </c>
      <c r="B2446" s="53" t="s">
        <v>223</v>
      </c>
      <c r="C2446" s="53" t="s">
        <v>4121</v>
      </c>
      <c r="D2446" s="53" t="s">
        <v>197</v>
      </c>
      <c r="E2446" s="32">
        <v>1420</v>
      </c>
      <c r="F2446" s="53" t="s">
        <v>4073</v>
      </c>
    </row>
    <row r="2447" spans="1:6">
      <c r="A2447" s="53" t="s">
        <v>4452</v>
      </c>
      <c r="B2447" s="53" t="s">
        <v>223</v>
      </c>
      <c r="C2447" s="53" t="s">
        <v>4121</v>
      </c>
      <c r="D2447" s="53" t="s">
        <v>197</v>
      </c>
      <c r="E2447" s="32">
        <v>1420</v>
      </c>
      <c r="F2447" s="53" t="s">
        <v>4073</v>
      </c>
    </row>
    <row r="2448" spans="1:6">
      <c r="A2448" s="53" t="s">
        <v>4452</v>
      </c>
      <c r="B2448" s="53" t="s">
        <v>223</v>
      </c>
      <c r="C2448" s="53" t="s">
        <v>4120</v>
      </c>
      <c r="D2448" s="53" t="s">
        <v>197</v>
      </c>
      <c r="E2448" s="32">
        <v>13500</v>
      </c>
      <c r="F2448" s="53" t="s">
        <v>4073</v>
      </c>
    </row>
    <row r="2449" spans="1:6">
      <c r="A2449" s="53" t="s">
        <v>4453</v>
      </c>
      <c r="B2449" s="53" t="s">
        <v>223</v>
      </c>
      <c r="C2449" s="53" t="s">
        <v>224</v>
      </c>
      <c r="D2449" s="53" t="s">
        <v>197</v>
      </c>
      <c r="E2449" s="32">
        <v>16000</v>
      </c>
      <c r="F2449" s="53" t="s">
        <v>4073</v>
      </c>
    </row>
    <row r="2450" spans="1:6">
      <c r="A2450" s="53" t="s">
        <v>4453</v>
      </c>
      <c r="B2450" s="53" t="s">
        <v>223</v>
      </c>
      <c r="C2450" s="53" t="s">
        <v>236</v>
      </c>
      <c r="D2450" s="53" t="s">
        <v>197</v>
      </c>
      <c r="E2450" s="32">
        <v>3000</v>
      </c>
      <c r="F2450" s="53" t="s">
        <v>4073</v>
      </c>
    </row>
    <row r="2451" spans="1:6">
      <c r="A2451" s="53" t="s">
        <v>4453</v>
      </c>
      <c r="B2451" s="53" t="s">
        <v>223</v>
      </c>
      <c r="C2451" s="53" t="s">
        <v>255</v>
      </c>
      <c r="D2451" s="53" t="s">
        <v>197</v>
      </c>
      <c r="E2451" s="32">
        <v>600</v>
      </c>
      <c r="F2451" s="53" t="s">
        <v>4073</v>
      </c>
    </row>
    <row r="2452" spans="1:6">
      <c r="A2452" s="53" t="s">
        <v>4453</v>
      </c>
      <c r="B2452" s="53" t="s">
        <v>223</v>
      </c>
      <c r="C2452" s="53" t="s">
        <v>264</v>
      </c>
      <c r="D2452" s="53" t="s">
        <v>197</v>
      </c>
      <c r="E2452" s="32">
        <v>12000</v>
      </c>
      <c r="F2452" s="53" t="s">
        <v>4073</v>
      </c>
    </row>
    <row r="2453" spans="1:6">
      <c r="A2453" s="53" t="s">
        <v>4453</v>
      </c>
      <c r="B2453" s="53" t="s">
        <v>223</v>
      </c>
      <c r="C2453" s="53" t="s">
        <v>267</v>
      </c>
      <c r="D2453" s="53" t="s">
        <v>197</v>
      </c>
      <c r="E2453" s="32">
        <v>13500</v>
      </c>
      <c r="F2453" s="53" t="s">
        <v>4073</v>
      </c>
    </row>
    <row r="2454" spans="1:6">
      <c r="A2454" s="53" t="s">
        <v>4453</v>
      </c>
      <c r="B2454" s="53" t="s">
        <v>223</v>
      </c>
      <c r="C2454" s="53" t="s">
        <v>269</v>
      </c>
      <c r="D2454" s="53" t="s">
        <v>197</v>
      </c>
      <c r="E2454" s="32">
        <v>12000</v>
      </c>
      <c r="F2454" s="53" t="s">
        <v>4073</v>
      </c>
    </row>
    <row r="2455" spans="1:6">
      <c r="A2455" s="53" t="s">
        <v>4453</v>
      </c>
      <c r="B2455" s="53" t="s">
        <v>223</v>
      </c>
      <c r="C2455" s="53" t="s">
        <v>271</v>
      </c>
      <c r="D2455" s="53" t="s">
        <v>197</v>
      </c>
      <c r="E2455" s="32">
        <v>12000</v>
      </c>
      <c r="F2455" s="53" t="s">
        <v>4073</v>
      </c>
    </row>
    <row r="2456" spans="1:6">
      <c r="A2456" s="53" t="s">
        <v>4453</v>
      </c>
      <c r="B2456" s="53" t="s">
        <v>223</v>
      </c>
      <c r="C2456" s="53" t="s">
        <v>285</v>
      </c>
      <c r="D2456" s="53" t="s">
        <v>197</v>
      </c>
      <c r="E2456" s="32">
        <v>9000</v>
      </c>
      <c r="F2456" s="53" t="s">
        <v>4073</v>
      </c>
    </row>
    <row r="2457" spans="1:6">
      <c r="A2457" s="53" t="s">
        <v>4453</v>
      </c>
      <c r="B2457" s="53" t="s">
        <v>223</v>
      </c>
      <c r="C2457" s="53" t="s">
        <v>298</v>
      </c>
      <c r="D2457" s="53" t="s">
        <v>197</v>
      </c>
      <c r="E2457" s="32">
        <v>22000</v>
      </c>
      <c r="F2457" s="53" t="s">
        <v>4073</v>
      </c>
    </row>
    <row r="2458" spans="1:6">
      <c r="A2458" s="53" t="s">
        <v>4453</v>
      </c>
      <c r="B2458" s="53" t="s">
        <v>223</v>
      </c>
      <c r="C2458" s="53" t="s">
        <v>302</v>
      </c>
      <c r="D2458" s="53" t="s">
        <v>197</v>
      </c>
      <c r="E2458" s="32">
        <v>30000</v>
      </c>
      <c r="F2458" s="53" t="s">
        <v>4073</v>
      </c>
    </row>
    <row r="2459" spans="1:6">
      <c r="A2459" s="53" t="s">
        <v>4453</v>
      </c>
      <c r="B2459" s="53" t="s">
        <v>223</v>
      </c>
      <c r="C2459" s="53" t="s">
        <v>308</v>
      </c>
      <c r="D2459" s="53" t="s">
        <v>197</v>
      </c>
      <c r="E2459" s="32">
        <v>3000</v>
      </c>
      <c r="F2459" s="53" t="s">
        <v>4073</v>
      </c>
    </row>
    <row r="2460" spans="1:6">
      <c r="A2460" s="53" t="s">
        <v>4453</v>
      </c>
      <c r="B2460" s="53" t="s">
        <v>223</v>
      </c>
      <c r="C2460" s="53" t="s">
        <v>4125</v>
      </c>
      <c r="D2460" s="53" t="s">
        <v>197</v>
      </c>
      <c r="E2460" s="32">
        <v>1420</v>
      </c>
      <c r="F2460" s="53" t="s">
        <v>4073</v>
      </c>
    </row>
    <row r="2461" spans="1:6">
      <c r="A2461" s="53" t="s">
        <v>4453</v>
      </c>
      <c r="B2461" s="53" t="s">
        <v>223</v>
      </c>
      <c r="C2461" s="53" t="s">
        <v>4121</v>
      </c>
      <c r="D2461" s="53" t="s">
        <v>197</v>
      </c>
      <c r="E2461" s="32">
        <v>1420</v>
      </c>
      <c r="F2461" s="53" t="s">
        <v>4073</v>
      </c>
    </row>
    <row r="2462" spans="1:6">
      <c r="A2462" s="53" t="s">
        <v>4453</v>
      </c>
      <c r="B2462" s="53" t="s">
        <v>223</v>
      </c>
      <c r="C2462" s="53" t="s">
        <v>4124</v>
      </c>
      <c r="D2462" s="53" t="s">
        <v>197</v>
      </c>
      <c r="E2462" s="32">
        <v>1420</v>
      </c>
      <c r="F2462" s="53" t="s">
        <v>4073</v>
      </c>
    </row>
    <row r="2463" spans="1:6">
      <c r="A2463" s="53" t="s">
        <v>4453</v>
      </c>
      <c r="B2463" s="53" t="s">
        <v>223</v>
      </c>
      <c r="C2463" s="53" t="s">
        <v>4117</v>
      </c>
      <c r="D2463" s="53" t="s">
        <v>197</v>
      </c>
      <c r="E2463" s="32">
        <v>11000</v>
      </c>
      <c r="F2463" s="53" t="s">
        <v>4073</v>
      </c>
    </row>
    <row r="2464" spans="1:6">
      <c r="A2464" s="53" t="s">
        <v>4453</v>
      </c>
      <c r="B2464" s="53" t="s">
        <v>223</v>
      </c>
      <c r="C2464" s="53" t="s">
        <v>4121</v>
      </c>
      <c r="D2464" s="53" t="s">
        <v>197</v>
      </c>
      <c r="E2464" s="32">
        <v>1420</v>
      </c>
      <c r="F2464" s="53" t="s">
        <v>4073</v>
      </c>
    </row>
    <row r="2465" spans="1:6">
      <c r="A2465" s="53" t="s">
        <v>4453</v>
      </c>
      <c r="B2465" s="53" t="s">
        <v>223</v>
      </c>
      <c r="C2465" s="53" t="s">
        <v>4121</v>
      </c>
      <c r="D2465" s="53" t="s">
        <v>197</v>
      </c>
      <c r="E2465" s="32">
        <v>1420</v>
      </c>
      <c r="F2465" s="53" t="s">
        <v>4073</v>
      </c>
    </row>
    <row r="2466" spans="1:6">
      <c r="A2466" s="53" t="s">
        <v>4453</v>
      </c>
      <c r="B2466" s="53" t="s">
        <v>223</v>
      </c>
      <c r="C2466" s="53" t="s">
        <v>4120</v>
      </c>
      <c r="D2466" s="53" t="s">
        <v>197</v>
      </c>
      <c r="E2466" s="32">
        <v>13500</v>
      </c>
      <c r="F2466" s="53" t="s">
        <v>4073</v>
      </c>
    </row>
    <row r="2467" spans="1:6">
      <c r="A2467" s="53" t="s">
        <v>4454</v>
      </c>
      <c r="B2467" s="53" t="s">
        <v>223</v>
      </c>
      <c r="C2467" s="53" t="s">
        <v>224</v>
      </c>
      <c r="D2467" s="53" t="s">
        <v>197</v>
      </c>
      <c r="E2467" s="32">
        <v>16000</v>
      </c>
      <c r="F2467" s="53" t="s">
        <v>4073</v>
      </c>
    </row>
    <row r="2468" spans="1:6">
      <c r="A2468" s="53" t="s">
        <v>4454</v>
      </c>
      <c r="B2468" s="53" t="s">
        <v>223</v>
      </c>
      <c r="C2468" s="53" t="s">
        <v>236</v>
      </c>
      <c r="D2468" s="53" t="s">
        <v>197</v>
      </c>
      <c r="E2468" s="32">
        <v>3000</v>
      </c>
      <c r="F2468" s="53" t="s">
        <v>4073</v>
      </c>
    </row>
    <row r="2469" spans="1:6">
      <c r="A2469" s="53" t="s">
        <v>4454</v>
      </c>
      <c r="B2469" s="53" t="s">
        <v>223</v>
      </c>
      <c r="C2469" s="53" t="s">
        <v>255</v>
      </c>
      <c r="D2469" s="53" t="s">
        <v>197</v>
      </c>
      <c r="E2469" s="32">
        <v>600</v>
      </c>
      <c r="F2469" s="53" t="s">
        <v>4073</v>
      </c>
    </row>
    <row r="2470" spans="1:6">
      <c r="A2470" s="53" t="s">
        <v>4454</v>
      </c>
      <c r="B2470" s="53" t="s">
        <v>223</v>
      </c>
      <c r="C2470" s="53" t="s">
        <v>264</v>
      </c>
      <c r="D2470" s="53" t="s">
        <v>197</v>
      </c>
      <c r="E2470" s="32">
        <v>12000</v>
      </c>
      <c r="F2470" s="53" t="s">
        <v>4073</v>
      </c>
    </row>
    <row r="2471" spans="1:6">
      <c r="A2471" s="53" t="s">
        <v>4454</v>
      </c>
      <c r="B2471" s="53" t="s">
        <v>223</v>
      </c>
      <c r="C2471" s="53" t="s">
        <v>267</v>
      </c>
      <c r="D2471" s="53" t="s">
        <v>197</v>
      </c>
      <c r="E2471" s="32">
        <v>13500</v>
      </c>
      <c r="F2471" s="53" t="s">
        <v>4073</v>
      </c>
    </row>
    <row r="2472" spans="1:6">
      <c r="A2472" s="53" t="s">
        <v>4454</v>
      </c>
      <c r="B2472" s="53" t="s">
        <v>223</v>
      </c>
      <c r="C2472" s="53" t="s">
        <v>269</v>
      </c>
      <c r="D2472" s="53" t="s">
        <v>197</v>
      </c>
      <c r="E2472" s="32">
        <v>12000</v>
      </c>
      <c r="F2472" s="53" t="s">
        <v>4073</v>
      </c>
    </row>
    <row r="2473" spans="1:6">
      <c r="A2473" s="53" t="s">
        <v>4454</v>
      </c>
      <c r="B2473" s="53" t="s">
        <v>223</v>
      </c>
      <c r="C2473" s="53" t="s">
        <v>271</v>
      </c>
      <c r="D2473" s="53" t="s">
        <v>197</v>
      </c>
      <c r="E2473" s="32">
        <v>12000</v>
      </c>
      <c r="F2473" s="53" t="s">
        <v>4073</v>
      </c>
    </row>
    <row r="2474" spans="1:6">
      <c r="A2474" s="53" t="s">
        <v>4454</v>
      </c>
      <c r="B2474" s="53" t="s">
        <v>223</v>
      </c>
      <c r="C2474" s="53" t="s">
        <v>285</v>
      </c>
      <c r="D2474" s="53" t="s">
        <v>197</v>
      </c>
      <c r="E2474" s="32">
        <v>9000</v>
      </c>
      <c r="F2474" s="53" t="s">
        <v>4073</v>
      </c>
    </row>
    <row r="2475" spans="1:6">
      <c r="A2475" s="53" t="s">
        <v>4454</v>
      </c>
      <c r="B2475" s="53" t="s">
        <v>223</v>
      </c>
      <c r="C2475" s="53" t="s">
        <v>298</v>
      </c>
      <c r="D2475" s="53" t="s">
        <v>197</v>
      </c>
      <c r="E2475" s="32">
        <v>22000</v>
      </c>
      <c r="F2475" s="53" t="s">
        <v>4073</v>
      </c>
    </row>
    <row r="2476" spans="1:6">
      <c r="A2476" s="53" t="s">
        <v>4454</v>
      </c>
      <c r="B2476" s="53" t="s">
        <v>223</v>
      </c>
      <c r="C2476" s="53" t="s">
        <v>302</v>
      </c>
      <c r="D2476" s="53" t="s">
        <v>197</v>
      </c>
      <c r="E2476" s="32">
        <v>30000</v>
      </c>
      <c r="F2476" s="53" t="s">
        <v>4073</v>
      </c>
    </row>
    <row r="2477" spans="1:6">
      <c r="A2477" s="53" t="s">
        <v>4454</v>
      </c>
      <c r="B2477" s="53" t="s">
        <v>223</v>
      </c>
      <c r="C2477" s="53" t="s">
        <v>308</v>
      </c>
      <c r="D2477" s="53" t="s">
        <v>197</v>
      </c>
      <c r="E2477" s="32">
        <v>3000</v>
      </c>
      <c r="F2477" s="53" t="s">
        <v>4073</v>
      </c>
    </row>
    <row r="2478" spans="1:6">
      <c r="A2478" s="53" t="s">
        <v>4454</v>
      </c>
      <c r="B2478" s="53" t="s">
        <v>223</v>
      </c>
      <c r="C2478" s="53" t="s">
        <v>4125</v>
      </c>
      <c r="D2478" s="53" t="s">
        <v>197</v>
      </c>
      <c r="E2478" s="32">
        <v>1420</v>
      </c>
      <c r="F2478" s="53" t="s">
        <v>4073</v>
      </c>
    </row>
    <row r="2479" spans="1:6">
      <c r="A2479" s="53" t="s">
        <v>4454</v>
      </c>
      <c r="B2479" s="53" t="s">
        <v>223</v>
      </c>
      <c r="C2479" s="53" t="s">
        <v>4121</v>
      </c>
      <c r="D2479" s="53" t="s">
        <v>197</v>
      </c>
      <c r="E2479" s="32">
        <v>1420</v>
      </c>
      <c r="F2479" s="53" t="s">
        <v>4073</v>
      </c>
    </row>
    <row r="2480" spans="1:6">
      <c r="A2480" s="53" t="s">
        <v>4454</v>
      </c>
      <c r="B2480" s="53" t="s">
        <v>223</v>
      </c>
      <c r="C2480" s="53" t="s">
        <v>4124</v>
      </c>
      <c r="D2480" s="53" t="s">
        <v>197</v>
      </c>
      <c r="E2480" s="32">
        <v>1420</v>
      </c>
      <c r="F2480" s="53" t="s">
        <v>4073</v>
      </c>
    </row>
    <row r="2481" spans="1:6">
      <c r="A2481" s="53" t="s">
        <v>4454</v>
      </c>
      <c r="B2481" s="53" t="s">
        <v>223</v>
      </c>
      <c r="C2481" s="53" t="s">
        <v>4117</v>
      </c>
      <c r="D2481" s="53" t="s">
        <v>197</v>
      </c>
      <c r="E2481" s="32">
        <v>11000</v>
      </c>
      <c r="F2481" s="53" t="s">
        <v>4073</v>
      </c>
    </row>
    <row r="2482" spans="1:6">
      <c r="A2482" s="53" t="s">
        <v>4454</v>
      </c>
      <c r="B2482" s="53" t="s">
        <v>223</v>
      </c>
      <c r="C2482" s="53" t="s">
        <v>4121</v>
      </c>
      <c r="D2482" s="53" t="s">
        <v>197</v>
      </c>
      <c r="E2482" s="32">
        <v>1420</v>
      </c>
      <c r="F2482" s="53" t="s">
        <v>4073</v>
      </c>
    </row>
    <row r="2483" spans="1:6">
      <c r="A2483" s="53" t="s">
        <v>4454</v>
      </c>
      <c r="B2483" s="53" t="s">
        <v>223</v>
      </c>
      <c r="C2483" s="53" t="s">
        <v>4121</v>
      </c>
      <c r="D2483" s="53" t="s">
        <v>197</v>
      </c>
      <c r="E2483" s="32">
        <v>1420</v>
      </c>
      <c r="F2483" s="53" t="s">
        <v>4073</v>
      </c>
    </row>
    <row r="2484" spans="1:6">
      <c r="A2484" s="53" t="s">
        <v>4454</v>
      </c>
      <c r="B2484" s="53" t="s">
        <v>223</v>
      </c>
      <c r="C2484" s="53" t="s">
        <v>4120</v>
      </c>
      <c r="D2484" s="53" t="s">
        <v>197</v>
      </c>
      <c r="E2484" s="32">
        <v>13500</v>
      </c>
      <c r="F2484" s="53" t="s">
        <v>4073</v>
      </c>
    </row>
    <row r="2485" spans="1:6">
      <c r="A2485" s="60" t="s">
        <v>3834</v>
      </c>
      <c r="B2485" s="53" t="s">
        <v>170</v>
      </c>
      <c r="C2485" s="53" t="s">
        <v>230</v>
      </c>
      <c r="D2485" s="53" t="s">
        <v>172</v>
      </c>
      <c r="E2485" s="32">
        <v>265150.32893445092</v>
      </c>
      <c r="F2485" s="53" t="s">
        <v>4073</v>
      </c>
    </row>
    <row r="2486" spans="1:6">
      <c r="A2486" s="60" t="s">
        <v>3834</v>
      </c>
      <c r="B2486" s="53" t="s">
        <v>170</v>
      </c>
      <c r="C2486" s="53" t="s">
        <v>260</v>
      </c>
      <c r="D2486" s="53" t="s">
        <v>261</v>
      </c>
      <c r="E2486" s="32">
        <v>24531.690416415466</v>
      </c>
      <c r="F2486" s="53" t="s">
        <v>4073</v>
      </c>
    </row>
    <row r="2487" spans="1:6">
      <c r="A2487" s="60" t="s">
        <v>3834</v>
      </c>
      <c r="B2487" s="53" t="s">
        <v>170</v>
      </c>
      <c r="C2487" s="53" t="s">
        <v>4077</v>
      </c>
      <c r="D2487" s="53" t="s">
        <v>226</v>
      </c>
      <c r="E2487" s="32">
        <v>36072.325102878363</v>
      </c>
      <c r="F2487" s="53" t="s">
        <v>4073</v>
      </c>
    </row>
    <row r="2488" spans="1:6">
      <c r="A2488" s="60" t="s">
        <v>3834</v>
      </c>
      <c r="B2488" s="53" t="s">
        <v>170</v>
      </c>
      <c r="C2488" s="53" t="s">
        <v>238</v>
      </c>
      <c r="D2488" s="53" t="s">
        <v>239</v>
      </c>
      <c r="E2488" s="32">
        <v>28665.498252766298</v>
      </c>
      <c r="F2488" s="53" t="s">
        <v>4073</v>
      </c>
    </row>
    <row r="2489" spans="1:6">
      <c r="A2489" s="60" t="s">
        <v>3834</v>
      </c>
      <c r="B2489" s="53" t="s">
        <v>170</v>
      </c>
      <c r="C2489" s="53" t="s">
        <v>309</v>
      </c>
      <c r="D2489" s="53" t="s">
        <v>4078</v>
      </c>
      <c r="E2489" s="32">
        <v>78257.255122749673</v>
      </c>
      <c r="F2489" s="53" t="s">
        <v>4073</v>
      </c>
    </row>
    <row r="2490" spans="1:6">
      <c r="A2490" s="60" t="s">
        <v>3834</v>
      </c>
      <c r="B2490" s="53" t="s">
        <v>170</v>
      </c>
      <c r="C2490" s="53" t="s">
        <v>295</v>
      </c>
      <c r="D2490" s="53" t="s">
        <v>261</v>
      </c>
      <c r="E2490" s="32">
        <v>28190.095453914179</v>
      </c>
      <c r="F2490" s="53" t="s">
        <v>4073</v>
      </c>
    </row>
    <row r="2491" spans="1:6">
      <c r="A2491" s="60" t="s">
        <v>3834</v>
      </c>
      <c r="B2491" s="53" t="s">
        <v>249</v>
      </c>
      <c r="C2491" s="53" t="s">
        <v>4113</v>
      </c>
      <c r="D2491" s="53" t="s">
        <v>172</v>
      </c>
      <c r="E2491" s="32">
        <v>66085.278341351383</v>
      </c>
      <c r="F2491" s="53" t="s">
        <v>4073</v>
      </c>
    </row>
    <row r="2492" spans="1:6">
      <c r="A2492" s="60" t="s">
        <v>3834</v>
      </c>
      <c r="B2492" s="53" t="s">
        <v>249</v>
      </c>
      <c r="C2492" s="53" t="s">
        <v>4128</v>
      </c>
      <c r="D2492" s="53" t="s">
        <v>226</v>
      </c>
      <c r="E2492" s="32">
        <v>75392.183256384946</v>
      </c>
      <c r="F2492" s="53" t="s">
        <v>4073</v>
      </c>
    </row>
    <row r="2493" spans="1:6">
      <c r="A2493" s="60" t="s">
        <v>3834</v>
      </c>
      <c r="B2493" s="53" t="s">
        <v>249</v>
      </c>
      <c r="C2493" s="53" t="s">
        <v>4129</v>
      </c>
      <c r="D2493" s="53" t="s">
        <v>172</v>
      </c>
      <c r="E2493" s="32">
        <v>231699.04787282183</v>
      </c>
      <c r="F2493" s="53" t="s">
        <v>4073</v>
      </c>
    </row>
    <row r="2494" spans="1:6">
      <c r="A2494" s="60" t="s">
        <v>3834</v>
      </c>
      <c r="B2494" s="53" t="s">
        <v>249</v>
      </c>
      <c r="C2494" s="53" t="s">
        <v>4130</v>
      </c>
      <c r="D2494" s="53" t="s">
        <v>172</v>
      </c>
      <c r="E2494" s="32">
        <v>30409.090909090912</v>
      </c>
      <c r="F2494" s="53" t="s">
        <v>4073</v>
      </c>
    </row>
    <row r="2495" spans="1:6">
      <c r="A2495" s="60" t="s">
        <v>3834</v>
      </c>
      <c r="B2495" s="53" t="s">
        <v>249</v>
      </c>
      <c r="C2495" s="53" t="s">
        <v>4131</v>
      </c>
      <c r="D2495" s="53" t="s">
        <v>172</v>
      </c>
      <c r="E2495" s="32">
        <v>126785.71428571406</v>
      </c>
      <c r="F2495" s="53" t="s">
        <v>4073</v>
      </c>
    </row>
    <row r="2496" spans="1:6">
      <c r="A2496" s="60" t="s">
        <v>3834</v>
      </c>
      <c r="B2496" s="53" t="s">
        <v>249</v>
      </c>
      <c r="C2496" s="53" t="s">
        <v>4132</v>
      </c>
      <c r="D2496" s="53" t="s">
        <v>172</v>
      </c>
      <c r="E2496" s="32">
        <v>46031.944444449997</v>
      </c>
      <c r="F2496" s="53" t="s">
        <v>4073</v>
      </c>
    </row>
    <row r="2497" spans="1:6">
      <c r="A2497" s="60" t="s">
        <v>3834</v>
      </c>
      <c r="B2497" s="53" t="s">
        <v>249</v>
      </c>
      <c r="C2497" s="53" t="s">
        <v>4133</v>
      </c>
      <c r="D2497" s="53" t="s">
        <v>172</v>
      </c>
      <c r="E2497" s="32">
        <v>58288.636867378846</v>
      </c>
      <c r="F2497" s="53" t="s">
        <v>4073</v>
      </c>
    </row>
    <row r="2498" spans="1:6">
      <c r="A2498" s="60" t="s">
        <v>3834</v>
      </c>
      <c r="B2498" s="53" t="s">
        <v>249</v>
      </c>
      <c r="C2498" s="53" t="s">
        <v>4116</v>
      </c>
      <c r="D2498" s="53" t="s">
        <v>172</v>
      </c>
      <c r="E2498" s="32">
        <v>150020.6743588511</v>
      </c>
      <c r="F2498" s="53" t="s">
        <v>4073</v>
      </c>
    </row>
    <row r="2499" spans="1:6">
      <c r="A2499" s="60" t="s">
        <v>3834</v>
      </c>
      <c r="B2499" s="53" t="s">
        <v>249</v>
      </c>
      <c r="C2499" s="53" t="s">
        <v>4134</v>
      </c>
      <c r="D2499" s="53" t="s">
        <v>172</v>
      </c>
      <c r="E2499" s="32">
        <v>147729.43248039746</v>
      </c>
      <c r="F2499" s="53" t="s">
        <v>4073</v>
      </c>
    </row>
    <row r="2500" spans="1:6">
      <c r="A2500" s="60" t="s">
        <v>3834</v>
      </c>
      <c r="B2500" s="53" t="s">
        <v>249</v>
      </c>
      <c r="C2500" s="53" t="s">
        <v>4135</v>
      </c>
      <c r="D2500" s="53" t="s">
        <v>226</v>
      </c>
      <c r="E2500" s="32">
        <v>76550</v>
      </c>
      <c r="F2500" s="53" t="s">
        <v>4073</v>
      </c>
    </row>
    <row r="2501" spans="1:6">
      <c r="A2501" s="60" t="s">
        <v>3834</v>
      </c>
      <c r="B2501" s="53" t="s">
        <v>249</v>
      </c>
      <c r="C2501" s="53" t="s">
        <v>4136</v>
      </c>
      <c r="D2501" s="53" t="s">
        <v>226</v>
      </c>
      <c r="E2501" s="32">
        <v>104751.38888888888</v>
      </c>
      <c r="F2501" s="53" t="s">
        <v>4073</v>
      </c>
    </row>
    <row r="2502" spans="1:6">
      <c r="A2502" s="60" t="s">
        <v>3834</v>
      </c>
      <c r="B2502" s="53" t="s">
        <v>249</v>
      </c>
      <c r="C2502" s="53" t="s">
        <v>4137</v>
      </c>
      <c r="D2502" s="53" t="s">
        <v>4142</v>
      </c>
      <c r="E2502" s="32">
        <v>53773.611111108294</v>
      </c>
      <c r="F2502" s="53" t="s">
        <v>4073</v>
      </c>
    </row>
    <row r="2503" spans="1:6">
      <c r="A2503" s="60" t="s">
        <v>3834</v>
      </c>
      <c r="B2503" s="53" t="s">
        <v>249</v>
      </c>
      <c r="C2503" s="53" t="s">
        <v>4138</v>
      </c>
      <c r="D2503" s="53" t="s">
        <v>4142</v>
      </c>
      <c r="E2503" s="32">
        <v>89562.138178495254</v>
      </c>
      <c r="F2503" s="53" t="s">
        <v>4073</v>
      </c>
    </row>
    <row r="2504" spans="1:6">
      <c r="A2504" s="60" t="s">
        <v>3834</v>
      </c>
      <c r="B2504" s="53" t="s">
        <v>249</v>
      </c>
      <c r="C2504" s="53" t="s">
        <v>4139</v>
      </c>
      <c r="D2504" s="53" t="s">
        <v>4142</v>
      </c>
      <c r="E2504" s="32">
        <v>44212.121212127291</v>
      </c>
      <c r="F2504" s="53" t="s">
        <v>4073</v>
      </c>
    </row>
    <row r="2505" spans="1:6">
      <c r="A2505" s="60" t="s">
        <v>3834</v>
      </c>
      <c r="B2505" s="53" t="s">
        <v>249</v>
      </c>
      <c r="C2505" s="53" t="s">
        <v>4140</v>
      </c>
      <c r="D2505" s="53" t="s">
        <v>4142</v>
      </c>
      <c r="E2505" s="32">
        <v>49487.800768815614</v>
      </c>
      <c r="F2505" s="53" t="s">
        <v>4073</v>
      </c>
    </row>
    <row r="2506" spans="1:6">
      <c r="A2506" s="60" t="s">
        <v>3834</v>
      </c>
      <c r="B2506" s="53" t="s">
        <v>249</v>
      </c>
      <c r="C2506" s="53" t="s">
        <v>4141</v>
      </c>
      <c r="D2506" s="53" t="s">
        <v>4142</v>
      </c>
      <c r="E2506" s="32">
        <v>45309.860731261411</v>
      </c>
      <c r="F2506" s="53" t="s">
        <v>4073</v>
      </c>
    </row>
    <row r="2507" spans="1:6">
      <c r="A2507" s="60" t="s">
        <v>3834</v>
      </c>
      <c r="B2507" s="53" t="s">
        <v>180</v>
      </c>
      <c r="C2507" s="53" t="s">
        <v>241</v>
      </c>
      <c r="D2507" s="53" t="s">
        <v>4224</v>
      </c>
      <c r="E2507" s="32">
        <v>27785.093537199638</v>
      </c>
      <c r="F2507" s="53" t="s">
        <v>4073</v>
      </c>
    </row>
    <row r="2508" spans="1:6">
      <c r="A2508" s="60" t="s">
        <v>3834</v>
      </c>
      <c r="B2508" s="53" t="s">
        <v>180</v>
      </c>
      <c r="C2508" s="53" t="s">
        <v>4114</v>
      </c>
      <c r="D2508" s="53" t="s">
        <v>172</v>
      </c>
      <c r="E2508" s="32">
        <v>26431.772648838265</v>
      </c>
      <c r="F2508" s="53" t="s">
        <v>4073</v>
      </c>
    </row>
    <row r="2509" spans="1:6">
      <c r="A2509" s="60" t="s">
        <v>3834</v>
      </c>
      <c r="B2509" s="53" t="s">
        <v>249</v>
      </c>
      <c r="C2509" s="53" t="s">
        <v>4226</v>
      </c>
      <c r="D2509" s="53" t="s">
        <v>4225</v>
      </c>
      <c r="E2509" s="32">
        <v>60000</v>
      </c>
      <c r="F2509" s="53" t="s">
        <v>4073</v>
      </c>
    </row>
    <row r="2510" spans="1:6">
      <c r="A2510" s="60" t="s">
        <v>3834</v>
      </c>
      <c r="B2510" s="53" t="s">
        <v>149</v>
      </c>
      <c r="C2510" s="53" t="s">
        <v>159</v>
      </c>
      <c r="D2510" s="53" t="s">
        <v>4228</v>
      </c>
      <c r="E2510" s="32">
        <v>11576.280842547832</v>
      </c>
      <c r="F2510" s="53" t="s">
        <v>4073</v>
      </c>
    </row>
    <row r="2511" spans="1:6">
      <c r="A2511" s="60" t="s">
        <v>3834</v>
      </c>
      <c r="B2511" s="53" t="s">
        <v>176</v>
      </c>
      <c r="C2511" s="53" t="s">
        <v>4145</v>
      </c>
      <c r="D2511" s="53" t="s">
        <v>172</v>
      </c>
      <c r="E2511" s="32">
        <v>19925.658367207416</v>
      </c>
      <c r="F2511" s="53" t="s">
        <v>4073</v>
      </c>
    </row>
    <row r="2512" spans="1:6">
      <c r="A2512" s="60" t="s">
        <v>3834</v>
      </c>
      <c r="B2512" s="53" t="s">
        <v>176</v>
      </c>
      <c r="C2512" s="53" t="s">
        <v>4112</v>
      </c>
      <c r="D2512" s="53" t="s">
        <v>226</v>
      </c>
      <c r="E2512" s="32">
        <v>28603.38163701753</v>
      </c>
      <c r="F2512" s="53" t="s">
        <v>4073</v>
      </c>
    </row>
    <row r="2513" spans="1:19">
      <c r="A2513" s="55" t="s">
        <v>4448</v>
      </c>
      <c r="B2513" s="56" t="s">
        <v>105</v>
      </c>
      <c r="C2513" s="56" t="s">
        <v>196</v>
      </c>
      <c r="D2513" s="53"/>
      <c r="E2513" s="32"/>
      <c r="F2513" s="53"/>
    </row>
    <row r="2514" spans="1:19">
      <c r="A2514" s="55" t="s">
        <v>4448</v>
      </c>
      <c r="B2514" s="56" t="s">
        <v>105</v>
      </c>
      <c r="C2514" s="56" t="s">
        <v>202</v>
      </c>
      <c r="D2514" s="53" t="s">
        <v>203</v>
      </c>
      <c r="E2514" s="32">
        <v>120000</v>
      </c>
      <c r="F2514" s="53" t="s">
        <v>4456</v>
      </c>
    </row>
    <row r="2515" spans="1:19" ht="15">
      <c r="A2515" s="233" t="s">
        <v>4448</v>
      </c>
      <c r="B2515" s="234" t="s">
        <v>105</v>
      </c>
      <c r="C2515" s="234" t="s">
        <v>187</v>
      </c>
      <c r="D2515" s="235" t="s">
        <v>188</v>
      </c>
      <c r="E2515" s="236">
        <v>175000</v>
      </c>
      <c r="F2515" s="235" t="s">
        <v>4457</v>
      </c>
      <c r="G2515" s="197"/>
      <c r="H2515" s="237"/>
      <c r="I2515" s="237"/>
      <c r="J2515" s="238"/>
      <c r="K2515" s="197"/>
      <c r="L2515" s="197"/>
      <c r="M2515" s="197"/>
      <c r="N2515" s="197"/>
      <c r="O2515" s="197"/>
      <c r="P2515" s="197"/>
      <c r="Q2515" s="197"/>
      <c r="R2515" s="197"/>
      <c r="S2515" s="197"/>
    </row>
    <row r="2516" spans="1:19">
      <c r="A2516" s="55" t="s">
        <v>3831</v>
      </c>
      <c r="B2516" s="56" t="s">
        <v>105</v>
      </c>
      <c r="C2516" s="56" t="s">
        <v>196</v>
      </c>
      <c r="D2516" s="53" t="s">
        <v>197</v>
      </c>
      <c r="E2516" s="32"/>
      <c r="F2516" s="53"/>
    </row>
    <row r="2517" spans="1:19">
      <c r="A2517" s="55" t="s">
        <v>3831</v>
      </c>
      <c r="B2517" s="56" t="s">
        <v>105</v>
      </c>
      <c r="C2517" s="56" t="s">
        <v>202</v>
      </c>
      <c r="D2517" s="53" t="s">
        <v>203</v>
      </c>
      <c r="E2517" s="32">
        <v>120000</v>
      </c>
      <c r="F2517" s="53" t="s">
        <v>4456</v>
      </c>
    </row>
    <row r="2518" spans="1:19" ht="15">
      <c r="A2518" s="233" t="s">
        <v>3831</v>
      </c>
      <c r="B2518" s="234" t="s">
        <v>105</v>
      </c>
      <c r="C2518" s="234" t="s">
        <v>187</v>
      </c>
      <c r="D2518" s="235" t="s">
        <v>188</v>
      </c>
      <c r="E2518" s="236">
        <v>175000</v>
      </c>
      <c r="F2518" s="235" t="s">
        <v>4457</v>
      </c>
      <c r="G2518" s="197"/>
      <c r="H2518" s="237"/>
      <c r="I2518" s="237"/>
      <c r="J2518" s="238"/>
      <c r="K2518" s="197"/>
      <c r="L2518" s="197"/>
      <c r="M2518" s="197"/>
      <c r="N2518" s="197"/>
      <c r="O2518" s="197"/>
      <c r="P2518" s="197"/>
      <c r="Q2518" s="197"/>
      <c r="R2518" s="197"/>
      <c r="S2518" s="197"/>
    </row>
    <row r="2519" spans="1:19">
      <c r="A2519" s="55" t="s">
        <v>3832</v>
      </c>
      <c r="B2519" s="56" t="s">
        <v>105</v>
      </c>
      <c r="C2519" s="56" t="s">
        <v>196</v>
      </c>
      <c r="D2519" s="53" t="s">
        <v>197</v>
      </c>
      <c r="E2519" s="32"/>
      <c r="F2519" s="53"/>
    </row>
    <row r="2520" spans="1:19">
      <c r="A2520" s="55" t="s">
        <v>3832</v>
      </c>
      <c r="B2520" s="56" t="s">
        <v>105</v>
      </c>
      <c r="C2520" s="56" t="s">
        <v>202</v>
      </c>
      <c r="D2520" s="53" t="s">
        <v>203</v>
      </c>
      <c r="E2520" s="32">
        <v>120000</v>
      </c>
      <c r="F2520" s="53" t="s">
        <v>4456</v>
      </c>
    </row>
    <row r="2521" spans="1:19" ht="15">
      <c r="A2521" s="233" t="s">
        <v>3832</v>
      </c>
      <c r="B2521" s="234" t="s">
        <v>105</v>
      </c>
      <c r="C2521" s="234" t="s">
        <v>187</v>
      </c>
      <c r="D2521" s="235" t="s">
        <v>188</v>
      </c>
      <c r="E2521" s="236">
        <v>175000</v>
      </c>
      <c r="F2521" s="235" t="s">
        <v>4457</v>
      </c>
      <c r="G2521" s="197"/>
      <c r="H2521" s="237"/>
      <c r="I2521" s="237"/>
      <c r="J2521" s="238"/>
      <c r="K2521" s="197"/>
      <c r="L2521" s="197"/>
      <c r="M2521" s="197"/>
      <c r="N2521" s="197"/>
      <c r="O2521" s="197"/>
      <c r="P2521" s="197"/>
      <c r="Q2521" s="197"/>
      <c r="R2521" s="197"/>
      <c r="S2521" s="197"/>
    </row>
    <row r="2522" spans="1:19">
      <c r="A2522" s="55" t="s">
        <v>3833</v>
      </c>
      <c r="B2522" s="56" t="s">
        <v>105</v>
      </c>
      <c r="C2522" s="56" t="s">
        <v>196</v>
      </c>
      <c r="D2522" s="53" t="s">
        <v>197</v>
      </c>
      <c r="E2522" s="32"/>
      <c r="F2522" s="53"/>
    </row>
    <row r="2523" spans="1:19">
      <c r="A2523" s="55" t="s">
        <v>3833</v>
      </c>
      <c r="B2523" s="56" t="s">
        <v>105</v>
      </c>
      <c r="C2523" s="56" t="s">
        <v>202</v>
      </c>
      <c r="D2523" s="53" t="s">
        <v>203</v>
      </c>
      <c r="E2523" s="32">
        <v>120000</v>
      </c>
      <c r="F2523" s="53" t="s">
        <v>4456</v>
      </c>
    </row>
    <row r="2524" spans="1:19" ht="15">
      <c r="A2524" s="233" t="s">
        <v>3833</v>
      </c>
      <c r="B2524" s="234" t="s">
        <v>105</v>
      </c>
      <c r="C2524" s="234" t="s">
        <v>187</v>
      </c>
      <c r="D2524" s="235" t="s">
        <v>188</v>
      </c>
      <c r="E2524" s="236">
        <v>175000</v>
      </c>
      <c r="F2524" s="235" t="s">
        <v>4457</v>
      </c>
      <c r="G2524" s="197"/>
      <c r="H2524" s="237"/>
      <c r="I2524" s="237"/>
      <c r="J2524" s="238"/>
      <c r="K2524" s="197"/>
      <c r="L2524" s="197"/>
      <c r="M2524" s="197"/>
      <c r="N2524" s="197"/>
      <c r="O2524" s="197"/>
      <c r="P2524" s="197"/>
      <c r="Q2524" s="197"/>
      <c r="R2524" s="197"/>
      <c r="S2524" s="197"/>
    </row>
    <row r="2525" spans="1:19">
      <c r="A2525" s="55" t="s">
        <v>4075</v>
      </c>
      <c r="B2525" s="56" t="s">
        <v>105</v>
      </c>
      <c r="C2525" s="56" t="s">
        <v>196</v>
      </c>
      <c r="D2525" s="53" t="s">
        <v>197</v>
      </c>
      <c r="E2525" s="32"/>
      <c r="F2525" s="53"/>
    </row>
    <row r="2526" spans="1:19">
      <c r="A2526" s="55" t="s">
        <v>4075</v>
      </c>
      <c r="B2526" s="56" t="s">
        <v>105</v>
      </c>
      <c r="C2526" s="56" t="s">
        <v>202</v>
      </c>
      <c r="D2526" s="53" t="s">
        <v>203</v>
      </c>
      <c r="E2526" s="32">
        <v>120000</v>
      </c>
      <c r="F2526" s="53" t="s">
        <v>4456</v>
      </c>
    </row>
    <row r="2527" spans="1:19" ht="15">
      <c r="A2527" s="233" t="s">
        <v>4075</v>
      </c>
      <c r="B2527" s="234" t="s">
        <v>105</v>
      </c>
      <c r="C2527" s="234" t="s">
        <v>187</v>
      </c>
      <c r="D2527" s="235" t="s">
        <v>188</v>
      </c>
      <c r="E2527" s="236">
        <v>175000</v>
      </c>
      <c r="F2527" s="235" t="s">
        <v>4457</v>
      </c>
      <c r="G2527" s="197"/>
      <c r="H2527" s="237"/>
      <c r="I2527" s="237"/>
      <c r="J2527" s="238"/>
      <c r="K2527" s="197"/>
      <c r="L2527" s="197"/>
      <c r="M2527" s="197"/>
      <c r="N2527" s="197"/>
      <c r="O2527" s="197"/>
      <c r="P2527" s="197"/>
      <c r="Q2527" s="197"/>
      <c r="R2527" s="197"/>
      <c r="S2527" s="197"/>
    </row>
    <row r="2528" spans="1:19">
      <c r="A2528" s="55" t="s">
        <v>3834</v>
      </c>
      <c r="B2528" s="56" t="s">
        <v>105</v>
      </c>
      <c r="C2528" s="56" t="s">
        <v>196</v>
      </c>
      <c r="D2528" s="53" t="s">
        <v>197</v>
      </c>
      <c r="E2528" s="32"/>
      <c r="F2528" s="53"/>
    </row>
    <row r="2529" spans="1:19">
      <c r="A2529" s="55" t="s">
        <v>3834</v>
      </c>
      <c r="B2529" s="56" t="s">
        <v>105</v>
      </c>
      <c r="C2529" s="56" t="s">
        <v>202</v>
      </c>
      <c r="D2529" s="53" t="s">
        <v>203</v>
      </c>
      <c r="E2529" s="32">
        <v>120000</v>
      </c>
      <c r="F2529" s="53" t="s">
        <v>4456</v>
      </c>
    </row>
    <row r="2530" spans="1:19" ht="15">
      <c r="A2530" s="233" t="s">
        <v>3834</v>
      </c>
      <c r="B2530" s="234" t="s">
        <v>105</v>
      </c>
      <c r="C2530" s="234" t="s">
        <v>187</v>
      </c>
      <c r="D2530" s="235" t="s">
        <v>188</v>
      </c>
      <c r="E2530" s="236">
        <v>175000</v>
      </c>
      <c r="F2530" s="235" t="s">
        <v>4457</v>
      </c>
      <c r="G2530" s="197"/>
      <c r="H2530" s="237"/>
      <c r="I2530" s="237"/>
      <c r="J2530" s="238"/>
      <c r="K2530" s="197"/>
      <c r="L2530" s="197"/>
      <c r="M2530" s="197"/>
      <c r="N2530" s="197"/>
      <c r="O2530" s="197"/>
      <c r="P2530" s="197"/>
      <c r="Q2530" s="197"/>
      <c r="R2530" s="197"/>
      <c r="S2530" s="197"/>
    </row>
    <row r="2531" spans="1:19">
      <c r="A2531" s="55" t="s">
        <v>3835</v>
      </c>
      <c r="B2531" s="56" t="s">
        <v>105</v>
      </c>
      <c r="C2531" s="56" t="s">
        <v>196</v>
      </c>
      <c r="D2531" s="53" t="s">
        <v>197</v>
      </c>
      <c r="E2531" s="32"/>
      <c r="F2531" s="53"/>
    </row>
    <row r="2532" spans="1:19">
      <c r="A2532" s="55" t="s">
        <v>3835</v>
      </c>
      <c r="B2532" s="56" t="s">
        <v>105</v>
      </c>
      <c r="C2532" s="56" t="s">
        <v>202</v>
      </c>
      <c r="D2532" s="53" t="s">
        <v>203</v>
      </c>
      <c r="E2532" s="32">
        <v>120000</v>
      </c>
      <c r="F2532" s="53" t="s">
        <v>4456</v>
      </c>
    </row>
    <row r="2533" spans="1:19" ht="15">
      <c r="A2533" s="233" t="s">
        <v>3835</v>
      </c>
      <c r="B2533" s="234" t="s">
        <v>105</v>
      </c>
      <c r="C2533" s="234" t="s">
        <v>187</v>
      </c>
      <c r="D2533" s="235" t="s">
        <v>188</v>
      </c>
      <c r="E2533" s="236">
        <v>175000</v>
      </c>
      <c r="F2533" s="235" t="s">
        <v>4457</v>
      </c>
      <c r="G2533" s="197"/>
      <c r="H2533" s="237"/>
      <c r="I2533" s="237"/>
      <c r="J2533" s="238"/>
      <c r="K2533" s="197"/>
      <c r="L2533" s="197"/>
      <c r="M2533" s="197"/>
      <c r="N2533" s="197"/>
      <c r="O2533" s="197"/>
      <c r="P2533" s="197"/>
      <c r="Q2533" s="197"/>
      <c r="R2533" s="197"/>
      <c r="S2533" s="197"/>
    </row>
    <row r="2534" spans="1:19">
      <c r="A2534" s="55" t="s">
        <v>3836</v>
      </c>
      <c r="B2534" s="56" t="s">
        <v>105</v>
      </c>
      <c r="C2534" s="56" t="s">
        <v>196</v>
      </c>
      <c r="D2534" s="53" t="s">
        <v>197</v>
      </c>
      <c r="E2534" s="32"/>
      <c r="F2534" s="53"/>
    </row>
    <row r="2535" spans="1:19">
      <c r="A2535" s="55" t="s">
        <v>3836</v>
      </c>
      <c r="B2535" s="56" t="s">
        <v>105</v>
      </c>
      <c r="C2535" s="56" t="s">
        <v>202</v>
      </c>
      <c r="D2535" s="53" t="s">
        <v>203</v>
      </c>
      <c r="E2535" s="32">
        <v>120000</v>
      </c>
      <c r="F2535" s="53" t="s">
        <v>4456</v>
      </c>
    </row>
    <row r="2536" spans="1:19" ht="15">
      <c r="A2536" s="233" t="s">
        <v>3836</v>
      </c>
      <c r="B2536" s="234" t="s">
        <v>105</v>
      </c>
      <c r="C2536" s="234" t="s">
        <v>187</v>
      </c>
      <c r="D2536" s="235" t="s">
        <v>188</v>
      </c>
      <c r="E2536" s="236">
        <v>175000</v>
      </c>
      <c r="F2536" s="235" t="s">
        <v>4457</v>
      </c>
      <c r="G2536" s="197"/>
      <c r="H2536" s="237"/>
      <c r="I2536" s="237"/>
      <c r="J2536" s="238"/>
      <c r="K2536" s="197"/>
      <c r="L2536" s="197"/>
      <c r="M2536" s="197"/>
      <c r="N2536" s="197"/>
      <c r="O2536" s="197"/>
      <c r="P2536" s="197"/>
      <c r="Q2536" s="197"/>
      <c r="R2536" s="197"/>
      <c r="S2536" s="197"/>
    </row>
    <row r="2537" spans="1:19">
      <c r="A2537" s="55" t="s">
        <v>3837</v>
      </c>
      <c r="B2537" s="56" t="s">
        <v>105</v>
      </c>
      <c r="C2537" s="56" t="s">
        <v>196</v>
      </c>
      <c r="D2537" s="53" t="s">
        <v>197</v>
      </c>
      <c r="E2537" s="32"/>
      <c r="F2537" s="53"/>
    </row>
    <row r="2538" spans="1:19">
      <c r="A2538" s="55" t="s">
        <v>3837</v>
      </c>
      <c r="B2538" s="56" t="s">
        <v>105</v>
      </c>
      <c r="C2538" s="56" t="s">
        <v>202</v>
      </c>
      <c r="D2538" s="53" t="s">
        <v>203</v>
      </c>
      <c r="E2538" s="32">
        <v>120000</v>
      </c>
      <c r="F2538" s="53" t="s">
        <v>4456</v>
      </c>
    </row>
    <row r="2539" spans="1:19" ht="15">
      <c r="A2539" s="233" t="s">
        <v>3837</v>
      </c>
      <c r="B2539" s="234" t="s">
        <v>105</v>
      </c>
      <c r="C2539" s="234" t="s">
        <v>187</v>
      </c>
      <c r="D2539" s="235" t="s">
        <v>188</v>
      </c>
      <c r="E2539" s="236">
        <v>175000</v>
      </c>
      <c r="F2539" s="235" t="s">
        <v>4457</v>
      </c>
      <c r="G2539" s="197"/>
      <c r="H2539" s="237"/>
      <c r="I2539" s="237"/>
      <c r="J2539" s="238"/>
      <c r="K2539" s="197"/>
      <c r="L2539" s="197"/>
      <c r="M2539" s="197"/>
      <c r="N2539" s="197"/>
      <c r="O2539" s="197"/>
      <c r="P2539" s="197"/>
      <c r="Q2539" s="197"/>
      <c r="R2539" s="197"/>
      <c r="S2539" s="197"/>
    </row>
    <row r="2540" spans="1:19">
      <c r="A2540" s="55" t="s">
        <v>3838</v>
      </c>
      <c r="B2540" s="56" t="s">
        <v>105</v>
      </c>
      <c r="C2540" s="56" t="s">
        <v>196</v>
      </c>
      <c r="D2540" s="53" t="s">
        <v>197</v>
      </c>
      <c r="E2540" s="32"/>
      <c r="F2540" s="53"/>
    </row>
    <row r="2541" spans="1:19">
      <c r="A2541" s="55" t="s">
        <v>3838</v>
      </c>
      <c r="B2541" s="56" t="s">
        <v>105</v>
      </c>
      <c r="C2541" s="56" t="s">
        <v>202</v>
      </c>
      <c r="D2541" s="53" t="s">
        <v>203</v>
      </c>
      <c r="E2541" s="32">
        <v>120000</v>
      </c>
      <c r="F2541" s="53" t="s">
        <v>4456</v>
      </c>
    </row>
    <row r="2542" spans="1:19" ht="15">
      <c r="A2542" s="233" t="s">
        <v>3838</v>
      </c>
      <c r="B2542" s="234" t="s">
        <v>105</v>
      </c>
      <c r="C2542" s="234" t="s">
        <v>187</v>
      </c>
      <c r="D2542" s="235" t="s">
        <v>188</v>
      </c>
      <c r="E2542" s="236">
        <v>175000</v>
      </c>
      <c r="F2542" s="235" t="s">
        <v>4457</v>
      </c>
      <c r="G2542" s="197"/>
      <c r="H2542" s="237"/>
      <c r="I2542" s="237"/>
      <c r="J2542" s="238"/>
      <c r="K2542" s="197"/>
      <c r="L2542" s="197"/>
      <c r="M2542" s="197"/>
      <c r="N2542" s="197"/>
      <c r="O2542" s="197"/>
      <c r="P2542" s="197"/>
      <c r="Q2542" s="197"/>
      <c r="R2542" s="197"/>
      <c r="S2542" s="197"/>
    </row>
    <row r="2543" spans="1:19">
      <c r="A2543" s="55" t="s">
        <v>3839</v>
      </c>
      <c r="B2543" s="56" t="s">
        <v>105</v>
      </c>
      <c r="C2543" s="56" t="s">
        <v>196</v>
      </c>
      <c r="D2543" s="53" t="s">
        <v>197</v>
      </c>
      <c r="E2543" s="32"/>
      <c r="F2543" s="53"/>
    </row>
    <row r="2544" spans="1:19">
      <c r="A2544" s="55" t="s">
        <v>3839</v>
      </c>
      <c r="B2544" s="56" t="s">
        <v>105</v>
      </c>
      <c r="C2544" s="56" t="s">
        <v>202</v>
      </c>
      <c r="D2544" s="53" t="s">
        <v>203</v>
      </c>
      <c r="E2544" s="32">
        <v>120000</v>
      </c>
      <c r="F2544" s="53" t="s">
        <v>4456</v>
      </c>
    </row>
    <row r="2545" spans="1:19" ht="15">
      <c r="A2545" s="233" t="s">
        <v>3839</v>
      </c>
      <c r="B2545" s="234" t="s">
        <v>105</v>
      </c>
      <c r="C2545" s="234" t="s">
        <v>187</v>
      </c>
      <c r="D2545" s="235" t="s">
        <v>188</v>
      </c>
      <c r="E2545" s="236">
        <v>175000</v>
      </c>
      <c r="F2545" s="235" t="s">
        <v>4457</v>
      </c>
      <c r="G2545" s="197"/>
      <c r="H2545" s="237"/>
      <c r="I2545" s="237"/>
      <c r="J2545" s="238"/>
      <c r="K2545" s="197"/>
      <c r="L2545" s="197"/>
      <c r="M2545" s="197"/>
      <c r="N2545" s="197"/>
      <c r="O2545" s="197"/>
      <c r="P2545" s="197"/>
      <c r="Q2545" s="197"/>
      <c r="R2545" s="197"/>
      <c r="S2545" s="197"/>
    </row>
    <row r="2546" spans="1:19">
      <c r="A2546" s="55" t="s">
        <v>3840</v>
      </c>
      <c r="B2546" s="56" t="s">
        <v>105</v>
      </c>
      <c r="C2546" s="56" t="s">
        <v>196</v>
      </c>
      <c r="D2546" s="53" t="s">
        <v>197</v>
      </c>
      <c r="E2546" s="32"/>
      <c r="F2546" s="53"/>
    </row>
    <row r="2547" spans="1:19">
      <c r="A2547" s="55" t="s">
        <v>3840</v>
      </c>
      <c r="B2547" s="56" t="s">
        <v>105</v>
      </c>
      <c r="C2547" s="56" t="s">
        <v>202</v>
      </c>
      <c r="D2547" s="53" t="s">
        <v>203</v>
      </c>
      <c r="E2547" s="32">
        <v>120000</v>
      </c>
      <c r="F2547" s="53" t="s">
        <v>4456</v>
      </c>
    </row>
    <row r="2548" spans="1:19" ht="15">
      <c r="A2548" s="233" t="s">
        <v>3840</v>
      </c>
      <c r="B2548" s="234" t="s">
        <v>105</v>
      </c>
      <c r="C2548" s="234" t="s">
        <v>187</v>
      </c>
      <c r="D2548" s="235" t="s">
        <v>188</v>
      </c>
      <c r="E2548" s="236">
        <v>175000</v>
      </c>
      <c r="F2548" s="235" t="s">
        <v>4457</v>
      </c>
      <c r="G2548" s="197"/>
      <c r="H2548" s="237"/>
      <c r="I2548" s="237"/>
      <c r="J2548" s="238"/>
      <c r="K2548" s="197"/>
      <c r="L2548" s="197"/>
      <c r="M2548" s="197"/>
      <c r="N2548" s="197"/>
      <c r="O2548" s="197"/>
      <c r="P2548" s="197"/>
      <c r="Q2548" s="197"/>
      <c r="R2548" s="197"/>
      <c r="S2548" s="197"/>
    </row>
    <row r="2549" spans="1:19">
      <c r="A2549" s="55" t="s">
        <v>4449</v>
      </c>
      <c r="B2549" s="56" t="s">
        <v>105</v>
      </c>
      <c r="C2549" s="56" t="s">
        <v>196</v>
      </c>
      <c r="D2549" s="53" t="s">
        <v>197</v>
      </c>
      <c r="E2549" s="32"/>
      <c r="F2549" s="53"/>
    </row>
    <row r="2550" spans="1:19">
      <c r="A2550" s="55" t="s">
        <v>4449</v>
      </c>
      <c r="B2550" s="56" t="s">
        <v>105</v>
      </c>
      <c r="C2550" s="56" t="s">
        <v>202</v>
      </c>
      <c r="D2550" s="53" t="s">
        <v>203</v>
      </c>
      <c r="E2550" s="32">
        <v>120000</v>
      </c>
      <c r="F2550" s="53" t="s">
        <v>4456</v>
      </c>
    </row>
    <row r="2551" spans="1:19" ht="15">
      <c r="A2551" s="233" t="s">
        <v>4449</v>
      </c>
      <c r="B2551" s="234" t="s">
        <v>105</v>
      </c>
      <c r="C2551" s="234" t="s">
        <v>187</v>
      </c>
      <c r="D2551" s="235" t="s">
        <v>188</v>
      </c>
      <c r="E2551" s="236">
        <v>175000</v>
      </c>
      <c r="F2551" s="235" t="s">
        <v>4457</v>
      </c>
      <c r="G2551" s="197"/>
      <c r="H2551" s="237"/>
      <c r="I2551" s="237"/>
      <c r="J2551" s="238"/>
      <c r="K2551" s="197"/>
      <c r="L2551" s="197"/>
      <c r="M2551" s="197"/>
      <c r="N2551" s="197"/>
      <c r="O2551" s="197"/>
      <c r="P2551" s="197"/>
      <c r="Q2551" s="197"/>
      <c r="R2551" s="197"/>
      <c r="S2551" s="197"/>
    </row>
    <row r="2552" spans="1:19">
      <c r="A2552" s="55" t="s">
        <v>3842</v>
      </c>
      <c r="B2552" s="56" t="s">
        <v>105</v>
      </c>
      <c r="C2552" s="56" t="s">
        <v>196</v>
      </c>
      <c r="D2552" s="53" t="s">
        <v>197</v>
      </c>
      <c r="E2552" s="32"/>
      <c r="F2552" s="53"/>
    </row>
    <row r="2553" spans="1:19">
      <c r="A2553" s="55" t="s">
        <v>3842</v>
      </c>
      <c r="B2553" s="56" t="s">
        <v>105</v>
      </c>
      <c r="C2553" s="56" t="s">
        <v>202</v>
      </c>
      <c r="D2553" s="53" t="s">
        <v>203</v>
      </c>
      <c r="E2553" s="32">
        <v>120000</v>
      </c>
      <c r="F2553" s="53" t="s">
        <v>4456</v>
      </c>
    </row>
    <row r="2554" spans="1:19" ht="15">
      <c r="A2554" s="233" t="s">
        <v>3842</v>
      </c>
      <c r="B2554" s="234" t="s">
        <v>105</v>
      </c>
      <c r="C2554" s="234" t="s">
        <v>187</v>
      </c>
      <c r="D2554" s="235" t="s">
        <v>188</v>
      </c>
      <c r="E2554" s="236">
        <v>175000</v>
      </c>
      <c r="F2554" s="235" t="s">
        <v>4457</v>
      </c>
      <c r="G2554" s="197"/>
      <c r="H2554" s="237"/>
      <c r="I2554" s="237"/>
      <c r="J2554" s="238"/>
      <c r="K2554" s="197"/>
      <c r="L2554" s="197"/>
      <c r="M2554" s="197"/>
      <c r="N2554" s="197"/>
      <c r="O2554" s="197"/>
      <c r="P2554" s="197"/>
      <c r="Q2554" s="197"/>
      <c r="R2554" s="197"/>
      <c r="S2554" s="197"/>
    </row>
    <row r="2555" spans="1:19">
      <c r="A2555" s="55" t="s">
        <v>3841</v>
      </c>
      <c r="B2555" s="56" t="s">
        <v>105</v>
      </c>
      <c r="C2555" s="56" t="s">
        <v>196</v>
      </c>
      <c r="D2555" s="53" t="s">
        <v>197</v>
      </c>
      <c r="E2555" s="32"/>
      <c r="F2555" s="53"/>
    </row>
    <row r="2556" spans="1:19">
      <c r="A2556" s="55" t="s">
        <v>3841</v>
      </c>
      <c r="B2556" s="56" t="s">
        <v>105</v>
      </c>
      <c r="C2556" s="56" t="s">
        <v>202</v>
      </c>
      <c r="D2556" s="53" t="s">
        <v>203</v>
      </c>
      <c r="E2556" s="32">
        <v>120000</v>
      </c>
      <c r="F2556" s="53" t="s">
        <v>4456</v>
      </c>
    </row>
    <row r="2557" spans="1:19" ht="15">
      <c r="A2557" s="233" t="s">
        <v>3841</v>
      </c>
      <c r="B2557" s="234" t="s">
        <v>105</v>
      </c>
      <c r="C2557" s="234" t="s">
        <v>187</v>
      </c>
      <c r="D2557" s="235" t="s">
        <v>188</v>
      </c>
      <c r="E2557" s="236">
        <v>175000</v>
      </c>
      <c r="F2557" s="235" t="s">
        <v>4457</v>
      </c>
      <c r="G2557" s="197"/>
      <c r="H2557" s="237"/>
      <c r="I2557" s="237"/>
      <c r="J2557" s="238"/>
      <c r="K2557" s="197"/>
      <c r="L2557" s="197"/>
      <c r="M2557" s="197"/>
      <c r="N2557" s="197"/>
      <c r="O2557" s="197"/>
      <c r="P2557" s="197"/>
      <c r="Q2557" s="197"/>
      <c r="R2557" s="197"/>
      <c r="S2557" s="197"/>
    </row>
    <row r="2558" spans="1:19">
      <c r="A2558" s="55" t="s">
        <v>4450</v>
      </c>
      <c r="B2558" s="56" t="s">
        <v>105</v>
      </c>
      <c r="C2558" s="56" t="s">
        <v>196</v>
      </c>
      <c r="D2558" s="53" t="s">
        <v>197</v>
      </c>
      <c r="E2558" s="32"/>
      <c r="F2558" s="53"/>
    </row>
    <row r="2559" spans="1:19">
      <c r="A2559" s="55" t="s">
        <v>4450</v>
      </c>
      <c r="B2559" s="56" t="s">
        <v>105</v>
      </c>
      <c r="C2559" s="56" t="s">
        <v>202</v>
      </c>
      <c r="D2559" s="53" t="s">
        <v>203</v>
      </c>
      <c r="E2559" s="32">
        <v>120000</v>
      </c>
      <c r="F2559" s="53" t="s">
        <v>4456</v>
      </c>
    </row>
    <row r="2560" spans="1:19" ht="15">
      <c r="A2560" s="233" t="s">
        <v>4450</v>
      </c>
      <c r="B2560" s="234" t="s">
        <v>105</v>
      </c>
      <c r="C2560" s="234" t="s">
        <v>187</v>
      </c>
      <c r="D2560" s="235" t="s">
        <v>188</v>
      </c>
      <c r="E2560" s="236">
        <v>175000</v>
      </c>
      <c r="F2560" s="235" t="s">
        <v>4457</v>
      </c>
      <c r="G2560" s="197"/>
      <c r="H2560" s="237"/>
      <c r="I2560" s="237"/>
      <c r="J2560" s="238"/>
      <c r="K2560" s="197"/>
      <c r="L2560" s="197"/>
      <c r="M2560" s="197"/>
      <c r="N2560" s="197"/>
      <c r="O2560" s="197"/>
      <c r="P2560" s="197"/>
      <c r="Q2560" s="197"/>
      <c r="R2560" s="197"/>
      <c r="S2560" s="197"/>
    </row>
    <row r="2561" spans="1:19">
      <c r="A2561" s="55" t="s">
        <v>4451</v>
      </c>
      <c r="B2561" s="56" t="s">
        <v>105</v>
      </c>
      <c r="C2561" s="56" t="s">
        <v>196</v>
      </c>
      <c r="D2561" s="53" t="s">
        <v>197</v>
      </c>
      <c r="E2561" s="32"/>
      <c r="F2561" s="53"/>
    </row>
    <row r="2562" spans="1:19">
      <c r="A2562" s="55" t="s">
        <v>4451</v>
      </c>
      <c r="B2562" s="56" t="s">
        <v>105</v>
      </c>
      <c r="C2562" s="56" t="s">
        <v>202</v>
      </c>
      <c r="D2562" s="53" t="s">
        <v>203</v>
      </c>
      <c r="E2562" s="32">
        <v>120000</v>
      </c>
      <c r="F2562" s="53" t="s">
        <v>4456</v>
      </c>
    </row>
    <row r="2563" spans="1:19" ht="15">
      <c r="A2563" s="233" t="s">
        <v>4451</v>
      </c>
      <c r="B2563" s="234" t="s">
        <v>105</v>
      </c>
      <c r="C2563" s="234" t="s">
        <v>187</v>
      </c>
      <c r="D2563" s="235" t="s">
        <v>188</v>
      </c>
      <c r="E2563" s="236">
        <v>175000</v>
      </c>
      <c r="F2563" s="235" t="s">
        <v>4457</v>
      </c>
      <c r="G2563" s="197"/>
      <c r="H2563" s="237"/>
      <c r="I2563" s="237"/>
      <c r="J2563" s="238"/>
      <c r="K2563" s="197"/>
      <c r="L2563" s="197"/>
      <c r="M2563" s="197"/>
      <c r="N2563" s="197"/>
      <c r="O2563" s="197"/>
      <c r="P2563" s="197"/>
      <c r="Q2563" s="197"/>
      <c r="R2563" s="197"/>
      <c r="S2563" s="197"/>
    </row>
    <row r="2564" spans="1:19">
      <c r="A2564" s="55" t="s">
        <v>3843</v>
      </c>
      <c r="B2564" s="56" t="s">
        <v>105</v>
      </c>
      <c r="C2564" s="56" t="s">
        <v>196</v>
      </c>
      <c r="D2564" s="53" t="s">
        <v>197</v>
      </c>
      <c r="E2564" s="32"/>
      <c r="F2564" s="53"/>
    </row>
    <row r="2565" spans="1:19">
      <c r="A2565" s="55" t="s">
        <v>3843</v>
      </c>
      <c r="B2565" s="56" t="s">
        <v>105</v>
      </c>
      <c r="C2565" s="56" t="s">
        <v>202</v>
      </c>
      <c r="D2565" s="53" t="s">
        <v>203</v>
      </c>
      <c r="E2565" s="32">
        <v>120000</v>
      </c>
      <c r="F2565" s="53" t="s">
        <v>4456</v>
      </c>
    </row>
    <row r="2566" spans="1:19" ht="15">
      <c r="A2566" s="233" t="s">
        <v>3843</v>
      </c>
      <c r="B2566" s="234" t="s">
        <v>105</v>
      </c>
      <c r="C2566" s="234" t="s">
        <v>187</v>
      </c>
      <c r="D2566" s="235" t="s">
        <v>188</v>
      </c>
      <c r="E2566" s="236">
        <v>175000</v>
      </c>
      <c r="F2566" s="235" t="s">
        <v>4457</v>
      </c>
      <c r="G2566" s="197"/>
      <c r="H2566" s="237"/>
      <c r="I2566" s="237"/>
      <c r="J2566" s="238"/>
      <c r="K2566" s="197"/>
      <c r="L2566" s="197"/>
      <c r="M2566" s="197"/>
      <c r="N2566" s="197"/>
      <c r="O2566" s="197"/>
      <c r="P2566" s="197"/>
      <c r="Q2566" s="197"/>
      <c r="R2566" s="197"/>
      <c r="S2566" s="197"/>
    </row>
    <row r="2567" spans="1:19">
      <c r="A2567" s="55" t="s">
        <v>4452</v>
      </c>
      <c r="B2567" s="56" t="s">
        <v>105</v>
      </c>
      <c r="C2567" s="56" t="s">
        <v>196</v>
      </c>
      <c r="D2567" s="53" t="s">
        <v>197</v>
      </c>
      <c r="E2567" s="32"/>
      <c r="F2567" s="53"/>
    </row>
    <row r="2568" spans="1:19">
      <c r="A2568" s="55" t="s">
        <v>4452</v>
      </c>
      <c r="B2568" s="56" t="s">
        <v>105</v>
      </c>
      <c r="C2568" s="56" t="s">
        <v>202</v>
      </c>
      <c r="D2568" s="53" t="s">
        <v>203</v>
      </c>
      <c r="E2568" s="32">
        <v>120000</v>
      </c>
      <c r="F2568" s="53" t="s">
        <v>4456</v>
      </c>
    </row>
    <row r="2569" spans="1:19" ht="15">
      <c r="A2569" s="233" t="s">
        <v>4452</v>
      </c>
      <c r="B2569" s="234" t="s">
        <v>105</v>
      </c>
      <c r="C2569" s="234" t="s">
        <v>187</v>
      </c>
      <c r="D2569" s="235" t="s">
        <v>188</v>
      </c>
      <c r="E2569" s="236">
        <v>175000</v>
      </c>
      <c r="F2569" s="235" t="s">
        <v>4457</v>
      </c>
      <c r="G2569" s="197"/>
      <c r="H2569" s="237"/>
      <c r="I2569" s="237"/>
      <c r="J2569" s="238"/>
      <c r="K2569" s="197"/>
      <c r="L2569" s="197"/>
      <c r="M2569" s="197"/>
      <c r="N2569" s="197"/>
      <c r="O2569" s="197"/>
      <c r="P2569" s="197"/>
      <c r="Q2569" s="197"/>
      <c r="R2569" s="197"/>
      <c r="S2569" s="197"/>
    </row>
    <row r="2570" spans="1:19">
      <c r="A2570" s="55" t="s">
        <v>3844</v>
      </c>
      <c r="B2570" s="56" t="s">
        <v>105</v>
      </c>
      <c r="C2570" s="56" t="s">
        <v>196</v>
      </c>
      <c r="D2570" s="53" t="s">
        <v>197</v>
      </c>
      <c r="E2570" s="32"/>
      <c r="F2570" s="53"/>
    </row>
    <row r="2571" spans="1:19">
      <c r="A2571" s="55" t="s">
        <v>3844</v>
      </c>
      <c r="B2571" s="56" t="s">
        <v>105</v>
      </c>
      <c r="C2571" s="56" t="s">
        <v>202</v>
      </c>
      <c r="D2571" s="53" t="s">
        <v>203</v>
      </c>
      <c r="E2571" s="32">
        <v>120000</v>
      </c>
      <c r="F2571" s="53" t="s">
        <v>4456</v>
      </c>
    </row>
    <row r="2572" spans="1:19" ht="15">
      <c r="A2572" s="233" t="s">
        <v>3844</v>
      </c>
      <c r="B2572" s="234" t="s">
        <v>105</v>
      </c>
      <c r="C2572" s="234" t="s">
        <v>187</v>
      </c>
      <c r="D2572" s="235" t="s">
        <v>188</v>
      </c>
      <c r="E2572" s="236">
        <v>175000</v>
      </c>
      <c r="F2572" s="235" t="s">
        <v>4457</v>
      </c>
      <c r="G2572" s="197"/>
      <c r="H2572" s="237"/>
      <c r="I2572" s="237"/>
      <c r="J2572" s="238"/>
      <c r="K2572" s="197"/>
      <c r="L2572" s="197"/>
      <c r="M2572" s="197"/>
      <c r="N2572" s="197"/>
      <c r="O2572" s="197"/>
      <c r="P2572" s="197"/>
      <c r="Q2572" s="197"/>
      <c r="R2572" s="197"/>
      <c r="S2572" s="197"/>
    </row>
    <row r="2573" spans="1:19">
      <c r="A2573" s="55" t="s">
        <v>3845</v>
      </c>
      <c r="B2573" s="56" t="s">
        <v>105</v>
      </c>
      <c r="C2573" s="56" t="s">
        <v>196</v>
      </c>
      <c r="D2573" s="53" t="s">
        <v>197</v>
      </c>
      <c r="E2573" s="32"/>
      <c r="F2573" s="53"/>
    </row>
    <row r="2574" spans="1:19">
      <c r="A2574" s="55" t="s">
        <v>3845</v>
      </c>
      <c r="B2574" s="56" t="s">
        <v>105</v>
      </c>
      <c r="C2574" s="56" t="s">
        <v>202</v>
      </c>
      <c r="D2574" s="53" t="s">
        <v>203</v>
      </c>
      <c r="E2574" s="32">
        <v>120000</v>
      </c>
      <c r="F2574" s="53" t="s">
        <v>4456</v>
      </c>
    </row>
    <row r="2575" spans="1:19" ht="15">
      <c r="A2575" s="233" t="s">
        <v>3845</v>
      </c>
      <c r="B2575" s="234" t="s">
        <v>105</v>
      </c>
      <c r="C2575" s="234" t="s">
        <v>187</v>
      </c>
      <c r="D2575" s="235" t="s">
        <v>188</v>
      </c>
      <c r="E2575" s="236">
        <v>175000</v>
      </c>
      <c r="F2575" s="235" t="s">
        <v>4457</v>
      </c>
      <c r="G2575" s="197"/>
      <c r="H2575" s="237"/>
      <c r="I2575" s="237"/>
      <c r="J2575" s="238"/>
      <c r="K2575" s="197"/>
      <c r="L2575" s="197"/>
      <c r="M2575" s="197"/>
      <c r="N2575" s="197"/>
      <c r="O2575" s="197"/>
      <c r="P2575" s="197"/>
      <c r="Q2575" s="197"/>
      <c r="R2575" s="197"/>
      <c r="S2575" s="197"/>
    </row>
    <row r="2576" spans="1:19">
      <c r="A2576" s="55" t="s">
        <v>3846</v>
      </c>
      <c r="B2576" s="56" t="s">
        <v>105</v>
      </c>
      <c r="C2576" s="56" t="s">
        <v>196</v>
      </c>
      <c r="D2576" s="53" t="s">
        <v>197</v>
      </c>
      <c r="E2576" s="32"/>
      <c r="F2576" s="53"/>
    </row>
    <row r="2577" spans="1:19">
      <c r="A2577" s="55" t="s">
        <v>3846</v>
      </c>
      <c r="B2577" s="56" t="s">
        <v>105</v>
      </c>
      <c r="C2577" s="56" t="s">
        <v>202</v>
      </c>
      <c r="D2577" s="53" t="s">
        <v>203</v>
      </c>
      <c r="E2577" s="32">
        <v>120000</v>
      </c>
      <c r="F2577" s="53" t="s">
        <v>4456</v>
      </c>
    </row>
    <row r="2578" spans="1:19" ht="15">
      <c r="A2578" s="233" t="s">
        <v>3846</v>
      </c>
      <c r="B2578" s="234" t="s">
        <v>105</v>
      </c>
      <c r="C2578" s="234" t="s">
        <v>187</v>
      </c>
      <c r="D2578" s="235" t="s">
        <v>188</v>
      </c>
      <c r="E2578" s="236">
        <v>175000</v>
      </c>
      <c r="F2578" s="235" t="s">
        <v>4457</v>
      </c>
      <c r="G2578" s="197"/>
      <c r="H2578" s="237"/>
      <c r="I2578" s="237"/>
      <c r="J2578" s="238"/>
      <c r="K2578" s="197"/>
      <c r="L2578" s="197"/>
      <c r="M2578" s="197"/>
      <c r="N2578" s="197"/>
      <c r="O2578" s="197"/>
      <c r="P2578" s="197"/>
      <c r="Q2578" s="197"/>
      <c r="R2578" s="197"/>
      <c r="S2578" s="197"/>
    </row>
    <row r="2579" spans="1:19">
      <c r="A2579" s="55" t="s">
        <v>3847</v>
      </c>
      <c r="B2579" s="56" t="s">
        <v>105</v>
      </c>
      <c r="C2579" s="56" t="s">
        <v>196</v>
      </c>
      <c r="D2579" s="53" t="s">
        <v>197</v>
      </c>
      <c r="E2579" s="32"/>
      <c r="F2579" s="53"/>
    </row>
    <row r="2580" spans="1:19">
      <c r="A2580" s="55" t="s">
        <v>3847</v>
      </c>
      <c r="B2580" s="56" t="s">
        <v>105</v>
      </c>
      <c r="C2580" s="56" t="s">
        <v>202</v>
      </c>
      <c r="D2580" s="53" t="s">
        <v>203</v>
      </c>
      <c r="E2580" s="32">
        <v>120000</v>
      </c>
      <c r="F2580" s="53" t="s">
        <v>4456</v>
      </c>
    </row>
    <row r="2581" spans="1:19" ht="15">
      <c r="A2581" s="233" t="s">
        <v>3847</v>
      </c>
      <c r="B2581" s="234" t="s">
        <v>105</v>
      </c>
      <c r="C2581" s="234" t="s">
        <v>187</v>
      </c>
      <c r="D2581" s="235" t="s">
        <v>188</v>
      </c>
      <c r="E2581" s="236">
        <v>175000</v>
      </c>
      <c r="F2581" s="235" t="s">
        <v>4457</v>
      </c>
      <c r="G2581" s="197"/>
      <c r="H2581" s="237"/>
      <c r="I2581" s="237"/>
      <c r="J2581" s="238"/>
      <c r="K2581" s="197"/>
      <c r="L2581" s="197"/>
      <c r="M2581" s="197"/>
      <c r="N2581" s="197"/>
      <c r="O2581" s="197"/>
      <c r="P2581" s="197"/>
      <c r="Q2581" s="197"/>
      <c r="R2581" s="197"/>
      <c r="S2581" s="197"/>
    </row>
    <row r="2582" spans="1:19">
      <c r="A2582" s="55" t="s">
        <v>3848</v>
      </c>
      <c r="B2582" s="56" t="s">
        <v>105</v>
      </c>
      <c r="C2582" s="56" t="s">
        <v>196</v>
      </c>
      <c r="D2582" s="53" t="s">
        <v>197</v>
      </c>
      <c r="E2582" s="32"/>
      <c r="F2582" s="53"/>
    </row>
    <row r="2583" spans="1:19">
      <c r="A2583" s="55" t="s">
        <v>3848</v>
      </c>
      <c r="B2583" s="56" t="s">
        <v>105</v>
      </c>
      <c r="C2583" s="56" t="s">
        <v>202</v>
      </c>
      <c r="D2583" s="53" t="s">
        <v>203</v>
      </c>
      <c r="E2583" s="32">
        <v>120000</v>
      </c>
      <c r="F2583" s="53" t="s">
        <v>4456</v>
      </c>
    </row>
    <row r="2584" spans="1:19" ht="15">
      <c r="A2584" s="233" t="s">
        <v>3848</v>
      </c>
      <c r="B2584" s="234" t="s">
        <v>105</v>
      </c>
      <c r="C2584" s="234" t="s">
        <v>187</v>
      </c>
      <c r="D2584" s="235" t="s">
        <v>188</v>
      </c>
      <c r="E2584" s="236">
        <v>175000</v>
      </c>
      <c r="F2584" s="235" t="s">
        <v>4457</v>
      </c>
      <c r="G2584" s="197"/>
      <c r="H2584" s="237"/>
      <c r="I2584" s="237"/>
      <c r="J2584" s="238"/>
      <c r="K2584" s="197"/>
      <c r="L2584" s="197"/>
      <c r="M2584" s="197"/>
      <c r="N2584" s="197"/>
      <c r="O2584" s="197"/>
      <c r="P2584" s="197"/>
      <c r="Q2584" s="197"/>
      <c r="R2584" s="197"/>
      <c r="S2584" s="197"/>
    </row>
    <row r="2585" spans="1:19">
      <c r="A2585" s="55" t="s">
        <v>3849</v>
      </c>
      <c r="B2585" s="56" t="s">
        <v>105</v>
      </c>
      <c r="C2585" s="56" t="s">
        <v>196</v>
      </c>
      <c r="D2585" s="53" t="s">
        <v>197</v>
      </c>
      <c r="E2585" s="32"/>
      <c r="F2585" s="53"/>
    </row>
    <row r="2586" spans="1:19">
      <c r="A2586" s="55" t="s">
        <v>3849</v>
      </c>
      <c r="B2586" s="56" t="s">
        <v>105</v>
      </c>
      <c r="C2586" s="56" t="s">
        <v>202</v>
      </c>
      <c r="D2586" s="53" t="s">
        <v>203</v>
      </c>
      <c r="E2586" s="32">
        <v>120000</v>
      </c>
      <c r="F2586" s="53" t="s">
        <v>4456</v>
      </c>
    </row>
    <row r="2587" spans="1:19" ht="15">
      <c r="A2587" s="233" t="s">
        <v>3849</v>
      </c>
      <c r="B2587" s="234" t="s">
        <v>105</v>
      </c>
      <c r="C2587" s="234" t="s">
        <v>187</v>
      </c>
      <c r="D2587" s="235" t="s">
        <v>188</v>
      </c>
      <c r="E2587" s="236">
        <v>175000</v>
      </c>
      <c r="F2587" s="235" t="s">
        <v>4457</v>
      </c>
      <c r="G2587" s="197"/>
      <c r="H2587" s="237"/>
      <c r="I2587" s="237"/>
      <c r="J2587" s="238"/>
      <c r="K2587" s="197"/>
      <c r="L2587" s="197"/>
      <c r="M2587" s="197"/>
      <c r="N2587" s="197"/>
      <c r="O2587" s="197"/>
      <c r="P2587" s="197"/>
      <c r="Q2587" s="197"/>
      <c r="R2587" s="197"/>
      <c r="S2587" s="197"/>
    </row>
    <row r="2588" spans="1:19">
      <c r="A2588" s="55" t="s">
        <v>3850</v>
      </c>
      <c r="B2588" s="56" t="s">
        <v>105</v>
      </c>
      <c r="C2588" s="56" t="s">
        <v>196</v>
      </c>
      <c r="D2588" s="53" t="s">
        <v>197</v>
      </c>
      <c r="E2588" s="32"/>
      <c r="F2588" s="53"/>
    </row>
    <row r="2589" spans="1:19">
      <c r="A2589" s="55" t="s">
        <v>3850</v>
      </c>
      <c r="B2589" s="56" t="s">
        <v>105</v>
      </c>
      <c r="C2589" s="56" t="s">
        <v>202</v>
      </c>
      <c r="D2589" s="53" t="s">
        <v>203</v>
      </c>
      <c r="E2589" s="32">
        <v>120000</v>
      </c>
      <c r="F2589" s="53" t="s">
        <v>4456</v>
      </c>
    </row>
    <row r="2590" spans="1:19" ht="15">
      <c r="A2590" s="233" t="s">
        <v>3850</v>
      </c>
      <c r="B2590" s="234" t="s">
        <v>105</v>
      </c>
      <c r="C2590" s="234" t="s">
        <v>187</v>
      </c>
      <c r="D2590" s="235" t="s">
        <v>188</v>
      </c>
      <c r="E2590" s="236">
        <v>175000</v>
      </c>
      <c r="F2590" s="235" t="s">
        <v>4457</v>
      </c>
      <c r="G2590" s="197"/>
      <c r="H2590" s="237"/>
      <c r="I2590" s="237"/>
      <c r="J2590" s="238"/>
      <c r="K2590" s="197"/>
      <c r="L2590" s="197"/>
      <c r="M2590" s="197"/>
      <c r="N2590" s="197"/>
      <c r="O2590" s="197"/>
      <c r="P2590" s="197"/>
      <c r="Q2590" s="197"/>
      <c r="R2590" s="197"/>
      <c r="S2590" s="197"/>
    </row>
    <row r="2591" spans="1:19">
      <c r="A2591" s="55" t="s">
        <v>3851</v>
      </c>
      <c r="B2591" s="56" t="s">
        <v>105</v>
      </c>
      <c r="C2591" s="56" t="s">
        <v>196</v>
      </c>
      <c r="D2591" s="53" t="s">
        <v>197</v>
      </c>
      <c r="E2591" s="32"/>
      <c r="F2591" s="53"/>
    </row>
    <row r="2592" spans="1:19">
      <c r="A2592" s="55" t="s">
        <v>3851</v>
      </c>
      <c r="B2592" s="56" t="s">
        <v>105</v>
      </c>
      <c r="C2592" s="56" t="s">
        <v>202</v>
      </c>
      <c r="D2592" s="53" t="s">
        <v>203</v>
      </c>
      <c r="E2592" s="32">
        <v>120000</v>
      </c>
      <c r="F2592" s="53" t="s">
        <v>4456</v>
      </c>
    </row>
    <row r="2593" spans="1:19" ht="15">
      <c r="A2593" s="233" t="s">
        <v>3851</v>
      </c>
      <c r="B2593" s="234" t="s">
        <v>105</v>
      </c>
      <c r="C2593" s="234" t="s">
        <v>187</v>
      </c>
      <c r="D2593" s="235" t="s">
        <v>188</v>
      </c>
      <c r="E2593" s="236">
        <v>175000</v>
      </c>
      <c r="F2593" s="235" t="s">
        <v>4457</v>
      </c>
      <c r="G2593" s="197"/>
      <c r="H2593" s="237"/>
      <c r="I2593" s="237"/>
      <c r="J2593" s="238"/>
      <c r="K2593" s="197"/>
      <c r="L2593" s="197"/>
      <c r="M2593" s="197"/>
      <c r="N2593" s="197"/>
      <c r="O2593" s="197"/>
      <c r="P2593" s="197"/>
      <c r="Q2593" s="197"/>
      <c r="R2593" s="197"/>
      <c r="S2593" s="197"/>
    </row>
    <row r="2594" spans="1:19">
      <c r="A2594" s="55" t="s">
        <v>3852</v>
      </c>
      <c r="B2594" s="56" t="s">
        <v>105</v>
      </c>
      <c r="C2594" s="56" t="s">
        <v>196</v>
      </c>
      <c r="D2594" s="53" t="s">
        <v>197</v>
      </c>
      <c r="E2594" s="32"/>
      <c r="F2594" s="53"/>
    </row>
    <row r="2595" spans="1:19">
      <c r="A2595" s="55" t="s">
        <v>3852</v>
      </c>
      <c r="B2595" s="56" t="s">
        <v>105</v>
      </c>
      <c r="C2595" s="56" t="s">
        <v>202</v>
      </c>
      <c r="D2595" s="53" t="s">
        <v>203</v>
      </c>
      <c r="E2595" s="32">
        <v>120000</v>
      </c>
      <c r="F2595" s="53" t="s">
        <v>4456</v>
      </c>
    </row>
    <row r="2596" spans="1:19" ht="15">
      <c r="A2596" s="233" t="s">
        <v>3852</v>
      </c>
      <c r="B2596" s="234" t="s">
        <v>105</v>
      </c>
      <c r="C2596" s="234" t="s">
        <v>187</v>
      </c>
      <c r="D2596" s="235" t="s">
        <v>188</v>
      </c>
      <c r="E2596" s="236">
        <v>175000</v>
      </c>
      <c r="F2596" s="235" t="s">
        <v>4457</v>
      </c>
      <c r="G2596" s="197"/>
      <c r="H2596" s="237"/>
      <c r="I2596" s="237"/>
      <c r="J2596" s="238"/>
      <c r="K2596" s="197"/>
      <c r="L2596" s="197"/>
      <c r="M2596" s="197"/>
      <c r="N2596" s="197"/>
      <c r="O2596" s="197"/>
      <c r="P2596" s="197"/>
      <c r="Q2596" s="197"/>
      <c r="R2596" s="197"/>
      <c r="S2596" s="197"/>
    </row>
    <row r="2597" spans="1:19">
      <c r="A2597" s="55" t="s">
        <v>3853</v>
      </c>
      <c r="B2597" s="56" t="s">
        <v>105</v>
      </c>
      <c r="C2597" s="56" t="s">
        <v>196</v>
      </c>
      <c r="D2597" s="53" t="s">
        <v>197</v>
      </c>
      <c r="E2597" s="32"/>
      <c r="F2597" s="53"/>
    </row>
    <row r="2598" spans="1:19">
      <c r="A2598" s="55" t="s">
        <v>3853</v>
      </c>
      <c r="B2598" s="56" t="s">
        <v>105</v>
      </c>
      <c r="C2598" s="56" t="s">
        <v>202</v>
      </c>
      <c r="D2598" s="53" t="s">
        <v>203</v>
      </c>
      <c r="E2598" s="32">
        <v>120000</v>
      </c>
      <c r="F2598" s="53" t="s">
        <v>4456</v>
      </c>
    </row>
    <row r="2599" spans="1:19" ht="15">
      <c r="A2599" s="233" t="s">
        <v>3853</v>
      </c>
      <c r="B2599" s="234" t="s">
        <v>105</v>
      </c>
      <c r="C2599" s="234" t="s">
        <v>187</v>
      </c>
      <c r="D2599" s="235" t="s">
        <v>188</v>
      </c>
      <c r="E2599" s="236">
        <v>175000</v>
      </c>
      <c r="F2599" s="235" t="s">
        <v>4457</v>
      </c>
      <c r="G2599" s="197"/>
      <c r="H2599" s="237"/>
      <c r="I2599" s="237"/>
      <c r="J2599" s="238"/>
      <c r="K2599" s="197"/>
      <c r="L2599" s="197"/>
      <c r="M2599" s="197"/>
      <c r="N2599" s="197"/>
      <c r="O2599" s="197"/>
      <c r="P2599" s="197"/>
      <c r="Q2599" s="197"/>
      <c r="R2599" s="197"/>
      <c r="S2599" s="197"/>
    </row>
    <row r="2600" spans="1:19">
      <c r="A2600" s="55" t="s">
        <v>3854</v>
      </c>
      <c r="B2600" s="56" t="s">
        <v>105</v>
      </c>
      <c r="C2600" s="56" t="s">
        <v>196</v>
      </c>
      <c r="D2600" s="53" t="s">
        <v>197</v>
      </c>
      <c r="E2600" s="32"/>
      <c r="F2600" s="53"/>
    </row>
    <row r="2601" spans="1:19">
      <c r="A2601" s="55" t="s">
        <v>3854</v>
      </c>
      <c r="B2601" s="56" t="s">
        <v>105</v>
      </c>
      <c r="C2601" s="56" t="s">
        <v>202</v>
      </c>
      <c r="D2601" s="53" t="s">
        <v>203</v>
      </c>
      <c r="E2601" s="32">
        <v>120000</v>
      </c>
      <c r="F2601" s="53" t="s">
        <v>4456</v>
      </c>
    </row>
    <row r="2602" spans="1:19" ht="15">
      <c r="A2602" s="233" t="s">
        <v>3854</v>
      </c>
      <c r="B2602" s="234" t="s">
        <v>105</v>
      </c>
      <c r="C2602" s="234" t="s">
        <v>187</v>
      </c>
      <c r="D2602" s="235" t="s">
        <v>188</v>
      </c>
      <c r="E2602" s="236">
        <v>175000</v>
      </c>
      <c r="F2602" s="235" t="s">
        <v>4457</v>
      </c>
      <c r="G2602" s="197"/>
      <c r="H2602" s="237"/>
      <c r="I2602" s="237"/>
      <c r="J2602" s="238"/>
      <c r="K2602" s="197"/>
      <c r="L2602" s="197"/>
      <c r="M2602" s="197"/>
      <c r="N2602" s="197"/>
      <c r="O2602" s="197"/>
      <c r="P2602" s="197"/>
      <c r="Q2602" s="197"/>
      <c r="R2602" s="197"/>
      <c r="S2602" s="197"/>
    </row>
    <row r="2603" spans="1:19">
      <c r="A2603" s="55" t="s">
        <v>4453</v>
      </c>
      <c r="B2603" s="56" t="s">
        <v>105</v>
      </c>
      <c r="C2603" s="56" t="s">
        <v>196</v>
      </c>
      <c r="D2603" s="53" t="s">
        <v>197</v>
      </c>
      <c r="E2603" s="32"/>
      <c r="F2603" s="53"/>
    </row>
    <row r="2604" spans="1:19">
      <c r="A2604" s="55" t="s">
        <v>4453</v>
      </c>
      <c r="B2604" s="56" t="s">
        <v>105</v>
      </c>
      <c r="C2604" s="56" t="s">
        <v>202</v>
      </c>
      <c r="D2604" s="53" t="s">
        <v>203</v>
      </c>
      <c r="E2604" s="32">
        <v>120000</v>
      </c>
      <c r="F2604" s="53" t="s">
        <v>4456</v>
      </c>
    </row>
    <row r="2605" spans="1:19" ht="15">
      <c r="A2605" s="233" t="s">
        <v>4453</v>
      </c>
      <c r="B2605" s="234" t="s">
        <v>105</v>
      </c>
      <c r="C2605" s="234" t="s">
        <v>187</v>
      </c>
      <c r="D2605" s="235" t="s">
        <v>188</v>
      </c>
      <c r="E2605" s="236">
        <v>175000</v>
      </c>
      <c r="F2605" s="235" t="s">
        <v>4457</v>
      </c>
      <c r="G2605" s="197"/>
      <c r="H2605" s="237"/>
      <c r="I2605" s="237"/>
      <c r="J2605" s="238"/>
      <c r="K2605" s="197"/>
      <c r="L2605" s="197"/>
      <c r="M2605" s="197"/>
      <c r="N2605" s="197"/>
      <c r="O2605" s="197"/>
      <c r="P2605" s="197"/>
      <c r="Q2605" s="197"/>
      <c r="R2605" s="197"/>
      <c r="S2605" s="197"/>
    </row>
    <row r="2606" spans="1:19">
      <c r="A2606" s="55" t="s">
        <v>4454</v>
      </c>
      <c r="B2606" s="56" t="s">
        <v>105</v>
      </c>
      <c r="C2606" s="56" t="s">
        <v>196</v>
      </c>
      <c r="D2606" s="53" t="s">
        <v>197</v>
      </c>
      <c r="E2606" s="32"/>
      <c r="F2606" s="53"/>
    </row>
    <row r="2607" spans="1:19">
      <c r="A2607" s="55" t="s">
        <v>4454</v>
      </c>
      <c r="B2607" s="56" t="s">
        <v>105</v>
      </c>
      <c r="C2607" s="56" t="s">
        <v>202</v>
      </c>
      <c r="D2607" s="53" t="s">
        <v>203</v>
      </c>
      <c r="E2607" s="32">
        <v>120000</v>
      </c>
      <c r="F2607" s="53" t="s">
        <v>4456</v>
      </c>
    </row>
    <row r="2608" spans="1:19" ht="15">
      <c r="A2608" s="233" t="s">
        <v>4454</v>
      </c>
      <c r="B2608" s="234" t="s">
        <v>105</v>
      </c>
      <c r="C2608" s="234" t="s">
        <v>187</v>
      </c>
      <c r="D2608" s="235" t="s">
        <v>188</v>
      </c>
      <c r="E2608" s="236">
        <v>175000</v>
      </c>
      <c r="F2608" s="235" t="s">
        <v>4457</v>
      </c>
      <c r="G2608" s="197"/>
      <c r="H2608" s="237"/>
      <c r="I2608" s="237"/>
      <c r="J2608" s="238"/>
      <c r="K2608" s="197"/>
      <c r="L2608" s="197"/>
      <c r="M2608" s="197"/>
      <c r="N2608" s="197"/>
      <c r="O2608" s="197"/>
      <c r="P2608" s="197"/>
      <c r="Q2608" s="197"/>
      <c r="R2608" s="197"/>
      <c r="S2608" s="197"/>
    </row>
    <row r="2609" spans="1:6">
      <c r="A2609" t="s">
        <v>3831</v>
      </c>
      <c r="B2609" t="s">
        <v>280</v>
      </c>
      <c r="C2609" t="s">
        <v>279</v>
      </c>
      <c r="D2609" t="s">
        <v>281</v>
      </c>
      <c r="E2609" s="6">
        <v>89167</v>
      </c>
      <c r="F2609" t="s">
        <v>4074</v>
      </c>
    </row>
    <row r="2610" spans="1:6">
      <c r="A2610" t="s">
        <v>3831</v>
      </c>
      <c r="B2610" t="s">
        <v>280</v>
      </c>
      <c r="C2610" t="s">
        <v>4118</v>
      </c>
      <c r="D2610" t="s">
        <v>281</v>
      </c>
      <c r="E2610" s="6">
        <v>80000</v>
      </c>
      <c r="F2610" t="s">
        <v>4599</v>
      </c>
    </row>
    <row r="2611" spans="1:6">
      <c r="A2611" t="s">
        <v>3831</v>
      </c>
      <c r="B2611" t="s">
        <v>280</v>
      </c>
      <c r="C2611" t="s">
        <v>284</v>
      </c>
      <c r="D2611" t="s">
        <v>281</v>
      </c>
      <c r="E2611" s="6">
        <v>85833</v>
      </c>
      <c r="F2611" t="s">
        <v>4074</v>
      </c>
    </row>
    <row r="2612" spans="1:6">
      <c r="A2612" t="s">
        <v>3831</v>
      </c>
      <c r="B2612" t="s">
        <v>280</v>
      </c>
      <c r="C2612" t="s">
        <v>4119</v>
      </c>
      <c r="D2612" t="s">
        <v>281</v>
      </c>
      <c r="E2612" s="6">
        <v>80000</v>
      </c>
      <c r="F2612" t="s">
        <v>4599</v>
      </c>
    </row>
    <row r="2613" spans="1:6">
      <c r="A2613" t="s">
        <v>3831</v>
      </c>
      <c r="B2613" t="s">
        <v>280</v>
      </c>
      <c r="C2613" t="s">
        <v>279</v>
      </c>
      <c r="D2613" t="s">
        <v>4600</v>
      </c>
      <c r="E2613" s="6">
        <v>278645</v>
      </c>
      <c r="F2613" t="s">
        <v>4599</v>
      </c>
    </row>
    <row r="2614" spans="1:6">
      <c r="A2614" t="s">
        <v>3831</v>
      </c>
      <c r="B2614" t="s">
        <v>280</v>
      </c>
      <c r="C2614" t="s">
        <v>4118</v>
      </c>
      <c r="D2614" t="s">
        <v>4600</v>
      </c>
      <c r="E2614" s="6">
        <v>278645</v>
      </c>
      <c r="F2614" t="s">
        <v>4599</v>
      </c>
    </row>
    <row r="2615" spans="1:6">
      <c r="A2615" t="s">
        <v>3831</v>
      </c>
      <c r="B2615" t="s">
        <v>280</v>
      </c>
      <c r="C2615" t="s">
        <v>279</v>
      </c>
      <c r="D2615" t="s">
        <v>4600</v>
      </c>
      <c r="E2615" s="6">
        <v>160000</v>
      </c>
      <c r="F2615" t="s">
        <v>4599</v>
      </c>
    </row>
    <row r="2616" spans="1:6">
      <c r="A2616" t="s">
        <v>3831</v>
      </c>
      <c r="B2616" t="s">
        <v>280</v>
      </c>
      <c r="C2616" t="s">
        <v>4118</v>
      </c>
      <c r="D2616" t="s">
        <v>4600</v>
      </c>
      <c r="E2616" s="6">
        <v>160000</v>
      </c>
      <c r="F2616" t="s">
        <v>4599</v>
      </c>
    </row>
    <row r="2617" spans="1:6">
      <c r="A2617" t="s">
        <v>3831</v>
      </c>
      <c r="B2617" t="s">
        <v>280</v>
      </c>
      <c r="C2617" t="s">
        <v>284</v>
      </c>
      <c r="D2617" t="s">
        <v>4600</v>
      </c>
      <c r="E2617" s="6">
        <v>160000</v>
      </c>
      <c r="F2617" t="s">
        <v>4599</v>
      </c>
    </row>
    <row r="2618" spans="1:6">
      <c r="A2618" t="s">
        <v>3831</v>
      </c>
      <c r="B2618" t="s">
        <v>280</v>
      </c>
      <c r="C2618" t="s">
        <v>4119</v>
      </c>
      <c r="D2618" t="s">
        <v>4600</v>
      </c>
      <c r="E2618" s="6">
        <v>160000</v>
      </c>
      <c r="F2618" t="s">
        <v>4599</v>
      </c>
    </row>
    <row r="2619" spans="1:6">
      <c r="A2619" t="s">
        <v>3832</v>
      </c>
      <c r="B2619" t="s">
        <v>280</v>
      </c>
      <c r="C2619" t="s">
        <v>279</v>
      </c>
      <c r="D2619" t="s">
        <v>281</v>
      </c>
      <c r="E2619" s="6">
        <v>80000</v>
      </c>
      <c r="F2619" t="s">
        <v>4599</v>
      </c>
    </row>
    <row r="2620" spans="1:6">
      <c r="A2620" t="s">
        <v>3832</v>
      </c>
      <c r="B2620" t="s">
        <v>280</v>
      </c>
      <c r="C2620" t="s">
        <v>4118</v>
      </c>
      <c r="D2620" t="s">
        <v>281</v>
      </c>
      <c r="E2620" s="6">
        <v>80000</v>
      </c>
      <c r="F2620" t="s">
        <v>4599</v>
      </c>
    </row>
    <row r="2621" spans="1:6">
      <c r="A2621" t="s">
        <v>3832</v>
      </c>
      <c r="B2621" t="s">
        <v>280</v>
      </c>
      <c r="C2621" t="s">
        <v>284</v>
      </c>
      <c r="D2621" t="s">
        <v>281</v>
      </c>
      <c r="E2621" s="6">
        <v>80000</v>
      </c>
      <c r="F2621" t="s">
        <v>4599</v>
      </c>
    </row>
    <row r="2622" spans="1:6">
      <c r="A2622" t="s">
        <v>3832</v>
      </c>
      <c r="B2622" t="s">
        <v>280</v>
      </c>
      <c r="C2622" t="s">
        <v>4119</v>
      </c>
      <c r="D2622" t="s">
        <v>281</v>
      </c>
      <c r="E2622" s="6">
        <v>80000</v>
      </c>
      <c r="F2622" t="s">
        <v>4599</v>
      </c>
    </row>
    <row r="2623" spans="1:6">
      <c r="A2623" t="s">
        <v>3832</v>
      </c>
      <c r="B2623" t="s">
        <v>280</v>
      </c>
      <c r="C2623" t="s">
        <v>279</v>
      </c>
      <c r="D2623" t="s">
        <v>4600</v>
      </c>
      <c r="E2623" s="6">
        <v>278645</v>
      </c>
      <c r="F2623" t="s">
        <v>4599</v>
      </c>
    </row>
    <row r="2624" spans="1:6">
      <c r="A2624" t="s">
        <v>3832</v>
      </c>
      <c r="B2624" t="s">
        <v>280</v>
      </c>
      <c r="C2624" t="s">
        <v>4118</v>
      </c>
      <c r="D2624" t="s">
        <v>4600</v>
      </c>
      <c r="E2624" s="6">
        <v>278645</v>
      </c>
      <c r="F2624" t="s">
        <v>4599</v>
      </c>
    </row>
    <row r="2625" spans="1:6">
      <c r="A2625" t="s">
        <v>3832</v>
      </c>
      <c r="B2625" t="s">
        <v>280</v>
      </c>
      <c r="C2625" t="s">
        <v>279</v>
      </c>
      <c r="D2625" t="s">
        <v>4600</v>
      </c>
      <c r="E2625" s="6">
        <v>160000</v>
      </c>
      <c r="F2625" t="s">
        <v>4599</v>
      </c>
    </row>
    <row r="2626" spans="1:6">
      <c r="A2626" t="s">
        <v>3832</v>
      </c>
      <c r="B2626" t="s">
        <v>280</v>
      </c>
      <c r="C2626" t="s">
        <v>4118</v>
      </c>
      <c r="D2626" t="s">
        <v>4600</v>
      </c>
      <c r="E2626" s="6">
        <v>160000</v>
      </c>
      <c r="F2626" t="s">
        <v>4599</v>
      </c>
    </row>
    <row r="2627" spans="1:6">
      <c r="A2627" t="s">
        <v>3832</v>
      </c>
      <c r="B2627" t="s">
        <v>280</v>
      </c>
      <c r="C2627" t="s">
        <v>284</v>
      </c>
      <c r="D2627" t="s">
        <v>4600</v>
      </c>
      <c r="E2627" s="6">
        <v>160000</v>
      </c>
      <c r="F2627" t="s">
        <v>4599</v>
      </c>
    </row>
    <row r="2628" spans="1:6">
      <c r="A2628" t="s">
        <v>3832</v>
      </c>
      <c r="B2628" t="s">
        <v>280</v>
      </c>
      <c r="C2628" t="s">
        <v>4119</v>
      </c>
      <c r="D2628" t="s">
        <v>4600</v>
      </c>
      <c r="E2628" s="6">
        <v>160000</v>
      </c>
      <c r="F2628" t="s">
        <v>4599</v>
      </c>
    </row>
    <row r="2629" spans="1:6">
      <c r="A2629" t="s">
        <v>3833</v>
      </c>
      <c r="B2629" t="s">
        <v>280</v>
      </c>
      <c r="C2629" t="s">
        <v>279</v>
      </c>
      <c r="D2629" t="s">
        <v>281</v>
      </c>
      <c r="E2629" s="6">
        <v>80000</v>
      </c>
      <c r="F2629" t="s">
        <v>4599</v>
      </c>
    </row>
    <row r="2630" spans="1:6">
      <c r="A2630" t="s">
        <v>3833</v>
      </c>
      <c r="B2630" t="s">
        <v>280</v>
      </c>
      <c r="C2630" t="s">
        <v>4118</v>
      </c>
      <c r="D2630" t="s">
        <v>281</v>
      </c>
      <c r="E2630" s="6">
        <v>80000</v>
      </c>
      <c r="F2630" t="s">
        <v>4599</v>
      </c>
    </row>
    <row r="2631" spans="1:6">
      <c r="A2631" t="s">
        <v>3833</v>
      </c>
      <c r="B2631" t="s">
        <v>280</v>
      </c>
      <c r="C2631" t="s">
        <v>284</v>
      </c>
      <c r="D2631" t="s">
        <v>281</v>
      </c>
      <c r="E2631" s="6">
        <v>80000</v>
      </c>
      <c r="F2631" t="s">
        <v>4599</v>
      </c>
    </row>
    <row r="2632" spans="1:6">
      <c r="A2632" t="s">
        <v>3833</v>
      </c>
      <c r="B2632" t="s">
        <v>280</v>
      </c>
      <c r="C2632" t="s">
        <v>4119</v>
      </c>
      <c r="D2632" t="s">
        <v>281</v>
      </c>
      <c r="E2632" s="6">
        <v>80000</v>
      </c>
      <c r="F2632" t="s">
        <v>4599</v>
      </c>
    </row>
    <row r="2633" spans="1:6">
      <c r="A2633" t="s">
        <v>3833</v>
      </c>
      <c r="B2633" t="s">
        <v>280</v>
      </c>
      <c r="C2633" t="s">
        <v>279</v>
      </c>
      <c r="D2633" t="s">
        <v>4600</v>
      </c>
      <c r="E2633" s="6">
        <v>278645</v>
      </c>
      <c r="F2633" t="s">
        <v>4599</v>
      </c>
    </row>
    <row r="2634" spans="1:6">
      <c r="A2634" t="s">
        <v>3833</v>
      </c>
      <c r="B2634" t="s">
        <v>280</v>
      </c>
      <c r="C2634" t="s">
        <v>4118</v>
      </c>
      <c r="D2634" t="s">
        <v>4600</v>
      </c>
      <c r="E2634" s="6">
        <v>278645</v>
      </c>
      <c r="F2634" t="s">
        <v>4599</v>
      </c>
    </row>
    <row r="2635" spans="1:6">
      <c r="A2635" t="s">
        <v>3833</v>
      </c>
      <c r="B2635" t="s">
        <v>280</v>
      </c>
      <c r="C2635" t="s">
        <v>279</v>
      </c>
      <c r="D2635" t="s">
        <v>4600</v>
      </c>
      <c r="E2635" s="6">
        <v>324667</v>
      </c>
      <c r="F2635" t="s">
        <v>4074</v>
      </c>
    </row>
    <row r="2636" spans="1:6">
      <c r="A2636" t="s">
        <v>3833</v>
      </c>
      <c r="B2636" t="s">
        <v>280</v>
      </c>
      <c r="C2636" t="s">
        <v>4118</v>
      </c>
      <c r="D2636" t="s">
        <v>4600</v>
      </c>
      <c r="E2636" s="6">
        <v>160000</v>
      </c>
      <c r="F2636" t="s">
        <v>4599</v>
      </c>
    </row>
    <row r="2637" spans="1:6">
      <c r="A2637" t="s">
        <v>3833</v>
      </c>
      <c r="B2637" t="s">
        <v>280</v>
      </c>
      <c r="C2637" t="s">
        <v>284</v>
      </c>
      <c r="D2637" t="s">
        <v>4600</v>
      </c>
      <c r="E2637" s="6">
        <v>210000</v>
      </c>
      <c r="F2637" t="s">
        <v>4074</v>
      </c>
    </row>
    <row r="2638" spans="1:6">
      <c r="A2638" t="s">
        <v>3833</v>
      </c>
      <c r="B2638" t="s">
        <v>280</v>
      </c>
      <c r="C2638" t="s">
        <v>4119</v>
      </c>
      <c r="D2638" t="s">
        <v>4600</v>
      </c>
      <c r="E2638" s="6">
        <v>160000</v>
      </c>
      <c r="F2638" t="s">
        <v>4599</v>
      </c>
    </row>
    <row r="2639" spans="1:6">
      <c r="A2639" t="s">
        <v>4075</v>
      </c>
      <c r="B2639" t="s">
        <v>280</v>
      </c>
      <c r="C2639" t="s">
        <v>279</v>
      </c>
      <c r="D2639" t="s">
        <v>281</v>
      </c>
      <c r="E2639" s="6">
        <v>80000</v>
      </c>
      <c r="F2639" t="s">
        <v>4599</v>
      </c>
    </row>
    <row r="2640" spans="1:6">
      <c r="A2640" t="s">
        <v>4075</v>
      </c>
      <c r="B2640" t="s">
        <v>280</v>
      </c>
      <c r="C2640" t="s">
        <v>4118</v>
      </c>
      <c r="D2640" t="s">
        <v>281</v>
      </c>
      <c r="E2640" s="6">
        <v>80000</v>
      </c>
      <c r="F2640" t="s">
        <v>4599</v>
      </c>
    </row>
    <row r="2641" spans="1:6">
      <c r="A2641" t="s">
        <v>4075</v>
      </c>
      <c r="B2641" t="s">
        <v>280</v>
      </c>
      <c r="C2641" t="s">
        <v>284</v>
      </c>
      <c r="D2641" t="s">
        <v>281</v>
      </c>
      <c r="E2641" s="6">
        <v>80000</v>
      </c>
      <c r="F2641" t="s">
        <v>4599</v>
      </c>
    </row>
    <row r="2642" spans="1:6">
      <c r="A2642" t="s">
        <v>4075</v>
      </c>
      <c r="B2642" t="s">
        <v>280</v>
      </c>
      <c r="C2642" t="s">
        <v>4119</v>
      </c>
      <c r="D2642" t="s">
        <v>281</v>
      </c>
      <c r="E2642" s="6">
        <v>80000</v>
      </c>
      <c r="F2642" t="s">
        <v>4599</v>
      </c>
    </row>
    <row r="2643" spans="1:6">
      <c r="A2643" t="s">
        <v>4075</v>
      </c>
      <c r="B2643" t="s">
        <v>280</v>
      </c>
      <c r="C2643" t="s">
        <v>279</v>
      </c>
      <c r="D2643" t="s">
        <v>4600</v>
      </c>
      <c r="E2643" s="6">
        <v>278645</v>
      </c>
      <c r="F2643" t="s">
        <v>4599</v>
      </c>
    </row>
    <row r="2644" spans="1:6">
      <c r="A2644" t="s">
        <v>4075</v>
      </c>
      <c r="B2644" t="s">
        <v>280</v>
      </c>
      <c r="C2644" t="s">
        <v>4118</v>
      </c>
      <c r="D2644" t="s">
        <v>4600</v>
      </c>
      <c r="E2644" s="6">
        <v>278645</v>
      </c>
      <c r="F2644" t="s">
        <v>4599</v>
      </c>
    </row>
    <row r="2645" spans="1:6">
      <c r="A2645" t="s">
        <v>4075</v>
      </c>
      <c r="B2645" t="s">
        <v>280</v>
      </c>
      <c r="C2645" t="s">
        <v>279</v>
      </c>
      <c r="D2645" t="s">
        <v>4600</v>
      </c>
      <c r="E2645" s="6">
        <v>160000</v>
      </c>
      <c r="F2645" t="s">
        <v>4599</v>
      </c>
    </row>
    <row r="2646" spans="1:6">
      <c r="A2646" t="s">
        <v>4075</v>
      </c>
      <c r="B2646" t="s">
        <v>280</v>
      </c>
      <c r="C2646" t="s">
        <v>4118</v>
      </c>
      <c r="D2646" t="s">
        <v>4600</v>
      </c>
      <c r="E2646" s="6">
        <v>160000</v>
      </c>
      <c r="F2646" t="s">
        <v>4599</v>
      </c>
    </row>
    <row r="2647" spans="1:6">
      <c r="A2647" t="s">
        <v>4075</v>
      </c>
      <c r="B2647" t="s">
        <v>280</v>
      </c>
      <c r="C2647" t="s">
        <v>284</v>
      </c>
      <c r="D2647" t="s">
        <v>4600</v>
      </c>
      <c r="E2647" s="6">
        <v>160000</v>
      </c>
      <c r="F2647" t="s">
        <v>4599</v>
      </c>
    </row>
    <row r="2648" spans="1:6">
      <c r="A2648" t="s">
        <v>4075</v>
      </c>
      <c r="B2648" t="s">
        <v>280</v>
      </c>
      <c r="C2648" t="s">
        <v>4119</v>
      </c>
      <c r="D2648" t="s">
        <v>4600</v>
      </c>
      <c r="E2648" s="6">
        <v>160000</v>
      </c>
      <c r="F2648" t="s">
        <v>4599</v>
      </c>
    </row>
    <row r="2649" spans="1:6">
      <c r="A2649" t="s">
        <v>3834</v>
      </c>
      <c r="B2649" t="s">
        <v>280</v>
      </c>
      <c r="C2649" t="s">
        <v>279</v>
      </c>
      <c r="D2649" t="s">
        <v>281</v>
      </c>
      <c r="E2649" s="6">
        <v>80000</v>
      </c>
      <c r="F2649" t="s">
        <v>4599</v>
      </c>
    </row>
    <row r="2650" spans="1:6">
      <c r="A2650" t="s">
        <v>3834</v>
      </c>
      <c r="B2650" t="s">
        <v>280</v>
      </c>
      <c r="C2650" t="s">
        <v>4118</v>
      </c>
      <c r="D2650" t="s">
        <v>281</v>
      </c>
      <c r="E2650" s="6">
        <v>80000</v>
      </c>
      <c r="F2650" t="s">
        <v>4599</v>
      </c>
    </row>
    <row r="2651" spans="1:6">
      <c r="A2651" t="s">
        <v>3834</v>
      </c>
      <c r="B2651" t="s">
        <v>280</v>
      </c>
      <c r="C2651" t="s">
        <v>284</v>
      </c>
      <c r="D2651" t="s">
        <v>281</v>
      </c>
      <c r="E2651" s="6">
        <v>80000</v>
      </c>
      <c r="F2651" t="s">
        <v>4599</v>
      </c>
    </row>
    <row r="2652" spans="1:6">
      <c r="A2652" t="s">
        <v>3834</v>
      </c>
      <c r="B2652" t="s">
        <v>280</v>
      </c>
      <c r="C2652" t="s">
        <v>4119</v>
      </c>
      <c r="D2652" t="s">
        <v>281</v>
      </c>
      <c r="E2652" s="6">
        <v>80000</v>
      </c>
      <c r="F2652" t="s">
        <v>4599</v>
      </c>
    </row>
    <row r="2653" spans="1:6">
      <c r="A2653" t="s">
        <v>3834</v>
      </c>
      <c r="B2653" t="s">
        <v>280</v>
      </c>
      <c r="C2653" t="s">
        <v>279</v>
      </c>
      <c r="D2653" t="s">
        <v>4600</v>
      </c>
      <c r="E2653" s="6">
        <v>278645</v>
      </c>
      <c r="F2653" t="s">
        <v>4599</v>
      </c>
    </row>
    <row r="2654" spans="1:6">
      <c r="A2654" t="s">
        <v>3834</v>
      </c>
      <c r="B2654" t="s">
        <v>280</v>
      </c>
      <c r="C2654" t="s">
        <v>4118</v>
      </c>
      <c r="D2654" t="s">
        <v>4600</v>
      </c>
      <c r="E2654" s="6">
        <v>278645</v>
      </c>
      <c r="F2654" t="s">
        <v>4599</v>
      </c>
    </row>
    <row r="2655" spans="1:6">
      <c r="A2655" t="s">
        <v>3834</v>
      </c>
      <c r="B2655" t="s">
        <v>280</v>
      </c>
      <c r="C2655" t="s">
        <v>279</v>
      </c>
      <c r="D2655" t="s">
        <v>4600</v>
      </c>
      <c r="E2655" s="6">
        <v>317000</v>
      </c>
      <c r="F2655" t="s">
        <v>4074</v>
      </c>
    </row>
    <row r="2656" spans="1:6">
      <c r="A2656" t="s">
        <v>3834</v>
      </c>
      <c r="B2656" t="s">
        <v>280</v>
      </c>
      <c r="C2656" t="s">
        <v>4118</v>
      </c>
      <c r="D2656" t="s">
        <v>4600</v>
      </c>
      <c r="E2656" s="6">
        <v>195833</v>
      </c>
      <c r="F2656" t="s">
        <v>4074</v>
      </c>
    </row>
    <row r="2657" spans="1:6">
      <c r="A2657" t="s">
        <v>3834</v>
      </c>
      <c r="B2657" t="s">
        <v>280</v>
      </c>
      <c r="C2657" t="s">
        <v>284</v>
      </c>
      <c r="D2657" t="s">
        <v>4600</v>
      </c>
      <c r="E2657" s="6">
        <v>197000</v>
      </c>
      <c r="F2657" t="s">
        <v>4074</v>
      </c>
    </row>
    <row r="2658" spans="1:6">
      <c r="A2658" t="s">
        <v>3834</v>
      </c>
      <c r="B2658" t="s">
        <v>280</v>
      </c>
      <c r="C2658" t="s">
        <v>4119</v>
      </c>
      <c r="D2658" t="s">
        <v>4600</v>
      </c>
      <c r="E2658" s="6">
        <v>160000</v>
      </c>
      <c r="F2658" t="s">
        <v>4599</v>
      </c>
    </row>
    <row r="2659" spans="1:6">
      <c r="A2659" t="s">
        <v>3835</v>
      </c>
      <c r="B2659" t="s">
        <v>280</v>
      </c>
      <c r="C2659" t="s">
        <v>279</v>
      </c>
      <c r="D2659" t="s">
        <v>281</v>
      </c>
      <c r="E2659" s="6">
        <v>78333</v>
      </c>
      <c r="F2659" t="s">
        <v>4074</v>
      </c>
    </row>
    <row r="2660" spans="1:6">
      <c r="A2660" t="s">
        <v>3835</v>
      </c>
      <c r="B2660" t="s">
        <v>280</v>
      </c>
      <c r="C2660" t="s">
        <v>4118</v>
      </c>
      <c r="D2660" t="s">
        <v>281</v>
      </c>
      <c r="E2660" s="6">
        <v>80000</v>
      </c>
      <c r="F2660" t="s">
        <v>4074</v>
      </c>
    </row>
    <row r="2661" spans="1:6">
      <c r="A2661" t="s">
        <v>3835</v>
      </c>
      <c r="B2661" t="s">
        <v>280</v>
      </c>
      <c r="C2661" t="s">
        <v>284</v>
      </c>
      <c r="D2661" t="s">
        <v>281</v>
      </c>
      <c r="E2661" s="6">
        <v>77667</v>
      </c>
      <c r="F2661" t="s">
        <v>4074</v>
      </c>
    </row>
    <row r="2662" spans="1:6">
      <c r="A2662" t="s">
        <v>3835</v>
      </c>
      <c r="B2662" t="s">
        <v>280</v>
      </c>
      <c r="C2662" t="s">
        <v>4119</v>
      </c>
      <c r="D2662" t="s">
        <v>281</v>
      </c>
      <c r="E2662" s="6">
        <v>74000</v>
      </c>
      <c r="F2662" t="s">
        <v>4074</v>
      </c>
    </row>
    <row r="2663" spans="1:6">
      <c r="A2663" t="s">
        <v>3835</v>
      </c>
      <c r="B2663" t="s">
        <v>280</v>
      </c>
      <c r="C2663" t="s">
        <v>279</v>
      </c>
      <c r="D2663" t="s">
        <v>4600</v>
      </c>
      <c r="E2663" s="6">
        <v>278645</v>
      </c>
      <c r="F2663" t="s">
        <v>4599</v>
      </c>
    </row>
    <row r="2664" spans="1:6">
      <c r="A2664" t="s">
        <v>3835</v>
      </c>
      <c r="B2664" t="s">
        <v>280</v>
      </c>
      <c r="C2664" t="s">
        <v>4118</v>
      </c>
      <c r="D2664" t="s">
        <v>4600</v>
      </c>
      <c r="E2664" s="6">
        <v>278645</v>
      </c>
      <c r="F2664" t="s">
        <v>4599</v>
      </c>
    </row>
    <row r="2665" spans="1:6">
      <c r="A2665" t="s">
        <v>3835</v>
      </c>
      <c r="B2665" t="s">
        <v>280</v>
      </c>
      <c r="C2665" t="s">
        <v>279</v>
      </c>
      <c r="D2665" t="s">
        <v>4600</v>
      </c>
      <c r="E2665" s="6">
        <v>160000</v>
      </c>
      <c r="F2665" t="s">
        <v>4599</v>
      </c>
    </row>
    <row r="2666" spans="1:6">
      <c r="A2666" t="s">
        <v>3835</v>
      </c>
      <c r="B2666" t="s">
        <v>280</v>
      </c>
      <c r="C2666" t="s">
        <v>4118</v>
      </c>
      <c r="D2666" t="s">
        <v>4600</v>
      </c>
      <c r="E2666" s="6">
        <v>160000</v>
      </c>
      <c r="F2666" t="s">
        <v>4599</v>
      </c>
    </row>
    <row r="2667" spans="1:6">
      <c r="A2667" t="s">
        <v>3835</v>
      </c>
      <c r="B2667" t="s">
        <v>280</v>
      </c>
      <c r="C2667" t="s">
        <v>284</v>
      </c>
      <c r="D2667" t="s">
        <v>4600</v>
      </c>
      <c r="E2667" s="6">
        <v>160000</v>
      </c>
      <c r="F2667" t="s">
        <v>4599</v>
      </c>
    </row>
    <row r="2668" spans="1:6">
      <c r="A2668" t="s">
        <v>3835</v>
      </c>
      <c r="B2668" t="s">
        <v>280</v>
      </c>
      <c r="C2668" t="s">
        <v>4119</v>
      </c>
      <c r="D2668" t="s">
        <v>4600</v>
      </c>
      <c r="E2668" s="6">
        <v>160000</v>
      </c>
      <c r="F2668" t="s">
        <v>4599</v>
      </c>
    </row>
    <row r="2669" spans="1:6">
      <c r="A2669" t="s">
        <v>3836</v>
      </c>
      <c r="B2669" t="s">
        <v>280</v>
      </c>
      <c r="C2669" t="s">
        <v>279</v>
      </c>
      <c r="D2669" t="s">
        <v>281</v>
      </c>
      <c r="E2669" s="6">
        <v>80000</v>
      </c>
      <c r="F2669" t="s">
        <v>4599</v>
      </c>
    </row>
    <row r="2670" spans="1:6">
      <c r="A2670" t="s">
        <v>3836</v>
      </c>
      <c r="B2670" t="s">
        <v>280</v>
      </c>
      <c r="C2670" t="s">
        <v>4118</v>
      </c>
      <c r="D2670" t="s">
        <v>281</v>
      </c>
      <c r="E2670" s="6">
        <v>80000</v>
      </c>
      <c r="F2670" t="s">
        <v>4599</v>
      </c>
    </row>
    <row r="2671" spans="1:6">
      <c r="A2671" t="s">
        <v>3836</v>
      </c>
      <c r="B2671" t="s">
        <v>280</v>
      </c>
      <c r="C2671" t="s">
        <v>284</v>
      </c>
      <c r="D2671" t="s">
        <v>281</v>
      </c>
      <c r="E2671" s="6">
        <v>80000</v>
      </c>
      <c r="F2671" t="s">
        <v>4599</v>
      </c>
    </row>
    <row r="2672" spans="1:6">
      <c r="A2672" t="s">
        <v>3836</v>
      </c>
      <c r="B2672" t="s">
        <v>280</v>
      </c>
      <c r="C2672" t="s">
        <v>4119</v>
      </c>
      <c r="D2672" t="s">
        <v>281</v>
      </c>
      <c r="E2672" s="6">
        <v>80000</v>
      </c>
      <c r="F2672" t="s">
        <v>4599</v>
      </c>
    </row>
    <row r="2673" spans="1:6">
      <c r="A2673" t="s">
        <v>3836</v>
      </c>
      <c r="B2673" t="s">
        <v>280</v>
      </c>
      <c r="C2673" t="s">
        <v>279</v>
      </c>
      <c r="D2673" t="s">
        <v>4600</v>
      </c>
      <c r="E2673" s="6">
        <v>278645</v>
      </c>
      <c r="F2673" t="s">
        <v>4599</v>
      </c>
    </row>
    <row r="2674" spans="1:6">
      <c r="A2674" t="s">
        <v>3836</v>
      </c>
      <c r="B2674" t="s">
        <v>280</v>
      </c>
      <c r="C2674" t="s">
        <v>4118</v>
      </c>
      <c r="D2674" t="s">
        <v>4600</v>
      </c>
      <c r="E2674" s="6">
        <v>278645</v>
      </c>
      <c r="F2674" t="s">
        <v>4599</v>
      </c>
    </row>
    <row r="2675" spans="1:6">
      <c r="A2675" t="s">
        <v>3836</v>
      </c>
      <c r="B2675" t="s">
        <v>280</v>
      </c>
      <c r="C2675" t="s">
        <v>279</v>
      </c>
      <c r="D2675" t="s">
        <v>4600</v>
      </c>
      <c r="E2675" s="6">
        <v>160000</v>
      </c>
      <c r="F2675" t="s">
        <v>4599</v>
      </c>
    </row>
    <row r="2676" spans="1:6">
      <c r="A2676" t="s">
        <v>3836</v>
      </c>
      <c r="B2676" t="s">
        <v>280</v>
      </c>
      <c r="C2676" t="s">
        <v>4118</v>
      </c>
      <c r="D2676" t="s">
        <v>4600</v>
      </c>
      <c r="E2676" s="6">
        <v>160000</v>
      </c>
      <c r="F2676" t="s">
        <v>4599</v>
      </c>
    </row>
    <row r="2677" spans="1:6">
      <c r="A2677" t="s">
        <v>3836</v>
      </c>
      <c r="B2677" t="s">
        <v>280</v>
      </c>
      <c r="C2677" t="s">
        <v>284</v>
      </c>
      <c r="D2677" t="s">
        <v>4600</v>
      </c>
      <c r="E2677" s="6">
        <v>160000</v>
      </c>
      <c r="F2677" t="s">
        <v>4599</v>
      </c>
    </row>
    <row r="2678" spans="1:6">
      <c r="A2678" t="s">
        <v>3836</v>
      </c>
      <c r="B2678" t="s">
        <v>280</v>
      </c>
      <c r="C2678" t="s">
        <v>4119</v>
      </c>
      <c r="D2678" t="s">
        <v>4600</v>
      </c>
      <c r="E2678" s="6">
        <v>160000</v>
      </c>
      <c r="F2678" t="s">
        <v>4599</v>
      </c>
    </row>
    <row r="2679" spans="1:6">
      <c r="A2679" t="s">
        <v>3837</v>
      </c>
      <c r="B2679" t="s">
        <v>280</v>
      </c>
      <c r="C2679" t="s">
        <v>279</v>
      </c>
      <c r="D2679" t="s">
        <v>281</v>
      </c>
      <c r="E2679" s="6">
        <v>80000</v>
      </c>
      <c r="F2679" t="s">
        <v>4599</v>
      </c>
    </row>
    <row r="2680" spans="1:6">
      <c r="A2680" t="s">
        <v>3837</v>
      </c>
      <c r="B2680" t="s">
        <v>280</v>
      </c>
      <c r="C2680" t="s">
        <v>4118</v>
      </c>
      <c r="D2680" t="s">
        <v>281</v>
      </c>
      <c r="E2680" s="6">
        <v>80000</v>
      </c>
      <c r="F2680" t="s">
        <v>4599</v>
      </c>
    </row>
    <row r="2681" spans="1:6">
      <c r="A2681" t="s">
        <v>3837</v>
      </c>
      <c r="B2681" t="s">
        <v>280</v>
      </c>
      <c r="C2681" t="s">
        <v>284</v>
      </c>
      <c r="D2681" t="s">
        <v>281</v>
      </c>
      <c r="E2681" s="6">
        <v>80000</v>
      </c>
      <c r="F2681" t="s">
        <v>4599</v>
      </c>
    </row>
    <row r="2682" spans="1:6">
      <c r="A2682" t="s">
        <v>3837</v>
      </c>
      <c r="B2682" t="s">
        <v>280</v>
      </c>
      <c r="C2682" t="s">
        <v>4119</v>
      </c>
      <c r="D2682" t="s">
        <v>281</v>
      </c>
      <c r="E2682" s="6">
        <v>80000</v>
      </c>
      <c r="F2682" t="s">
        <v>4599</v>
      </c>
    </row>
    <row r="2683" spans="1:6">
      <c r="A2683" t="s">
        <v>3837</v>
      </c>
      <c r="B2683" t="s">
        <v>280</v>
      </c>
      <c r="C2683" t="s">
        <v>279</v>
      </c>
      <c r="D2683" t="s">
        <v>4600</v>
      </c>
      <c r="E2683" s="6">
        <v>278645</v>
      </c>
      <c r="F2683" t="s">
        <v>4599</v>
      </c>
    </row>
    <row r="2684" spans="1:6">
      <c r="A2684" t="s">
        <v>3837</v>
      </c>
      <c r="B2684" t="s">
        <v>280</v>
      </c>
      <c r="C2684" t="s">
        <v>4118</v>
      </c>
      <c r="D2684" t="s">
        <v>4600</v>
      </c>
      <c r="E2684" s="6">
        <v>278645</v>
      </c>
      <c r="F2684" t="s">
        <v>4599</v>
      </c>
    </row>
    <row r="2685" spans="1:6">
      <c r="A2685" t="s">
        <v>3837</v>
      </c>
      <c r="B2685" t="s">
        <v>280</v>
      </c>
      <c r="C2685" t="s">
        <v>279</v>
      </c>
      <c r="D2685" t="s">
        <v>4600</v>
      </c>
      <c r="E2685" s="6">
        <v>160000</v>
      </c>
      <c r="F2685" t="s">
        <v>4599</v>
      </c>
    </row>
    <row r="2686" spans="1:6">
      <c r="A2686" t="s">
        <v>3837</v>
      </c>
      <c r="B2686" t="s">
        <v>280</v>
      </c>
      <c r="C2686" t="s">
        <v>4118</v>
      </c>
      <c r="D2686" t="s">
        <v>4600</v>
      </c>
      <c r="E2686" s="6">
        <v>160000</v>
      </c>
      <c r="F2686" t="s">
        <v>4599</v>
      </c>
    </row>
    <row r="2687" spans="1:6">
      <c r="A2687" t="s">
        <v>3837</v>
      </c>
      <c r="B2687" t="s">
        <v>280</v>
      </c>
      <c r="C2687" t="s">
        <v>284</v>
      </c>
      <c r="D2687" t="s">
        <v>4600</v>
      </c>
      <c r="E2687" s="6">
        <v>160000</v>
      </c>
      <c r="F2687" t="s">
        <v>4599</v>
      </c>
    </row>
    <row r="2688" spans="1:6">
      <c r="A2688" t="s">
        <v>3837</v>
      </c>
      <c r="B2688" t="s">
        <v>280</v>
      </c>
      <c r="C2688" t="s">
        <v>4119</v>
      </c>
      <c r="D2688" t="s">
        <v>4600</v>
      </c>
      <c r="E2688" s="6">
        <v>160000</v>
      </c>
      <c r="F2688" t="s">
        <v>4599</v>
      </c>
    </row>
    <row r="2689" spans="1:6">
      <c r="A2689" t="s">
        <v>3838</v>
      </c>
      <c r="B2689" t="s">
        <v>280</v>
      </c>
      <c r="C2689" t="s">
        <v>279</v>
      </c>
      <c r="D2689" t="s">
        <v>281</v>
      </c>
      <c r="E2689" s="6">
        <v>80000</v>
      </c>
      <c r="F2689" t="s">
        <v>4599</v>
      </c>
    </row>
    <row r="2690" spans="1:6">
      <c r="A2690" t="s">
        <v>3838</v>
      </c>
      <c r="B2690" t="s">
        <v>280</v>
      </c>
      <c r="C2690" t="s">
        <v>4118</v>
      </c>
      <c r="D2690" t="s">
        <v>281</v>
      </c>
      <c r="E2690" s="6">
        <v>86250</v>
      </c>
      <c r="F2690" t="s">
        <v>4074</v>
      </c>
    </row>
    <row r="2691" spans="1:6">
      <c r="A2691" t="s">
        <v>3838</v>
      </c>
      <c r="B2691" t="s">
        <v>280</v>
      </c>
      <c r="C2691" t="s">
        <v>284</v>
      </c>
      <c r="D2691" t="s">
        <v>281</v>
      </c>
      <c r="E2691" s="6">
        <v>80000</v>
      </c>
      <c r="F2691" t="s">
        <v>4599</v>
      </c>
    </row>
    <row r="2692" spans="1:6">
      <c r="A2692" t="s">
        <v>3838</v>
      </c>
      <c r="B2692" t="s">
        <v>280</v>
      </c>
      <c r="C2692" t="s">
        <v>4119</v>
      </c>
      <c r="D2692" t="s">
        <v>281</v>
      </c>
      <c r="E2692" s="6">
        <v>80000</v>
      </c>
      <c r="F2692" t="s">
        <v>4599</v>
      </c>
    </row>
    <row r="2693" spans="1:6">
      <c r="A2693" t="s">
        <v>3838</v>
      </c>
      <c r="B2693" t="s">
        <v>280</v>
      </c>
      <c r="C2693" t="s">
        <v>279</v>
      </c>
      <c r="D2693" t="s">
        <v>4600</v>
      </c>
      <c r="E2693" s="6">
        <v>278645</v>
      </c>
      <c r="F2693" t="s">
        <v>4599</v>
      </c>
    </row>
    <row r="2694" spans="1:6">
      <c r="A2694" t="s">
        <v>3838</v>
      </c>
      <c r="B2694" t="s">
        <v>280</v>
      </c>
      <c r="C2694" t="s">
        <v>4118</v>
      </c>
      <c r="D2694" t="s">
        <v>4600</v>
      </c>
      <c r="E2694" s="6">
        <v>278645</v>
      </c>
      <c r="F2694" t="s">
        <v>4599</v>
      </c>
    </row>
    <row r="2695" spans="1:6">
      <c r="A2695" t="s">
        <v>3838</v>
      </c>
      <c r="B2695" t="s">
        <v>280</v>
      </c>
      <c r="C2695" t="s">
        <v>279</v>
      </c>
      <c r="D2695" t="s">
        <v>4600</v>
      </c>
      <c r="E2695" s="6">
        <v>160000</v>
      </c>
      <c r="F2695" t="s">
        <v>4599</v>
      </c>
    </row>
    <row r="2696" spans="1:6">
      <c r="A2696" t="s">
        <v>3838</v>
      </c>
      <c r="B2696" t="s">
        <v>280</v>
      </c>
      <c r="C2696" t="s">
        <v>4118</v>
      </c>
      <c r="D2696" t="s">
        <v>4600</v>
      </c>
      <c r="E2696" s="6">
        <v>88750</v>
      </c>
      <c r="F2696" t="s">
        <v>4074</v>
      </c>
    </row>
    <row r="2697" spans="1:6">
      <c r="A2697" t="s">
        <v>3838</v>
      </c>
      <c r="B2697" t="s">
        <v>280</v>
      </c>
      <c r="C2697" t="s">
        <v>284</v>
      </c>
      <c r="D2697" t="s">
        <v>4600</v>
      </c>
      <c r="E2697" s="6">
        <v>90000</v>
      </c>
      <c r="F2697" t="s">
        <v>4074</v>
      </c>
    </row>
    <row r="2698" spans="1:6">
      <c r="A2698" t="s">
        <v>3838</v>
      </c>
      <c r="B2698" t="s">
        <v>280</v>
      </c>
      <c r="C2698" t="s">
        <v>4119</v>
      </c>
      <c r="D2698" t="s">
        <v>4600</v>
      </c>
      <c r="E2698" s="6">
        <v>160000</v>
      </c>
      <c r="F2698" t="s">
        <v>4599</v>
      </c>
    </row>
    <row r="2699" spans="1:6">
      <c r="A2699" t="s">
        <v>3839</v>
      </c>
      <c r="B2699" t="s">
        <v>280</v>
      </c>
      <c r="C2699" t="s">
        <v>279</v>
      </c>
      <c r="D2699" t="s">
        <v>281</v>
      </c>
      <c r="E2699" s="6">
        <v>124833</v>
      </c>
      <c r="F2699" t="s">
        <v>4074</v>
      </c>
    </row>
    <row r="2700" spans="1:6">
      <c r="A2700" t="s">
        <v>3839</v>
      </c>
      <c r="B2700" t="s">
        <v>280</v>
      </c>
      <c r="C2700" t="s">
        <v>4118</v>
      </c>
      <c r="D2700" t="s">
        <v>281</v>
      </c>
      <c r="E2700" s="6">
        <v>80000</v>
      </c>
      <c r="F2700" t="s">
        <v>4599</v>
      </c>
    </row>
    <row r="2701" spans="1:6">
      <c r="A2701" t="s">
        <v>3839</v>
      </c>
      <c r="B2701" t="s">
        <v>280</v>
      </c>
      <c r="C2701" t="s">
        <v>284</v>
      </c>
      <c r="D2701" t="s">
        <v>281</v>
      </c>
      <c r="E2701" s="6">
        <v>80000</v>
      </c>
      <c r="F2701" t="s">
        <v>4599</v>
      </c>
    </row>
    <row r="2702" spans="1:6">
      <c r="A2702" t="s">
        <v>3839</v>
      </c>
      <c r="B2702" t="s">
        <v>280</v>
      </c>
      <c r="C2702" t="s">
        <v>4119</v>
      </c>
      <c r="D2702" t="s">
        <v>281</v>
      </c>
      <c r="E2702" s="6">
        <v>80000</v>
      </c>
      <c r="F2702" t="s">
        <v>4599</v>
      </c>
    </row>
    <row r="2703" spans="1:6">
      <c r="A2703" t="s">
        <v>3839</v>
      </c>
      <c r="B2703" t="s">
        <v>280</v>
      </c>
      <c r="C2703" t="s">
        <v>279</v>
      </c>
      <c r="D2703" t="s">
        <v>4600</v>
      </c>
      <c r="E2703" s="6">
        <v>278645</v>
      </c>
      <c r="F2703" t="s">
        <v>4599</v>
      </c>
    </row>
    <row r="2704" spans="1:6">
      <c r="A2704" t="s">
        <v>3839</v>
      </c>
      <c r="B2704" t="s">
        <v>280</v>
      </c>
      <c r="C2704" t="s">
        <v>4118</v>
      </c>
      <c r="D2704" t="s">
        <v>4600</v>
      </c>
      <c r="E2704" s="6">
        <v>278645</v>
      </c>
      <c r="F2704" t="s">
        <v>4599</v>
      </c>
    </row>
    <row r="2705" spans="1:6">
      <c r="A2705" t="s">
        <v>3839</v>
      </c>
      <c r="B2705" t="s">
        <v>280</v>
      </c>
      <c r="C2705" t="s">
        <v>279</v>
      </c>
      <c r="D2705" t="s">
        <v>4600</v>
      </c>
      <c r="E2705" s="6">
        <v>160000</v>
      </c>
      <c r="F2705" t="s">
        <v>4599</v>
      </c>
    </row>
    <row r="2706" spans="1:6">
      <c r="A2706" t="s">
        <v>3839</v>
      </c>
      <c r="B2706" t="s">
        <v>280</v>
      </c>
      <c r="C2706" t="s">
        <v>4118</v>
      </c>
      <c r="D2706" t="s">
        <v>4600</v>
      </c>
      <c r="E2706" s="6">
        <v>234167</v>
      </c>
      <c r="F2706" t="s">
        <v>4074</v>
      </c>
    </row>
    <row r="2707" spans="1:6">
      <c r="A2707" t="s">
        <v>3839</v>
      </c>
      <c r="B2707" t="s">
        <v>280</v>
      </c>
      <c r="C2707" t="s">
        <v>284</v>
      </c>
      <c r="D2707" t="s">
        <v>4600</v>
      </c>
      <c r="E2707" s="6">
        <v>160000</v>
      </c>
      <c r="F2707" t="s">
        <v>4599</v>
      </c>
    </row>
    <row r="2708" spans="1:6">
      <c r="A2708" t="s">
        <v>3839</v>
      </c>
      <c r="B2708" t="s">
        <v>280</v>
      </c>
      <c r="C2708" t="s">
        <v>4119</v>
      </c>
      <c r="D2708" t="s">
        <v>4600</v>
      </c>
      <c r="E2708" s="6">
        <v>160000</v>
      </c>
      <c r="F2708" t="s">
        <v>4599</v>
      </c>
    </row>
    <row r="2709" spans="1:6">
      <c r="A2709" t="s">
        <v>3840</v>
      </c>
      <c r="B2709" t="s">
        <v>280</v>
      </c>
      <c r="C2709" t="s">
        <v>279</v>
      </c>
      <c r="D2709" t="s">
        <v>281</v>
      </c>
      <c r="E2709" s="6">
        <v>80000</v>
      </c>
      <c r="F2709" t="s">
        <v>4599</v>
      </c>
    </row>
    <row r="2710" spans="1:6">
      <c r="A2710" t="s">
        <v>3840</v>
      </c>
      <c r="B2710" t="s">
        <v>280</v>
      </c>
      <c r="C2710" t="s">
        <v>4118</v>
      </c>
      <c r="D2710" t="s">
        <v>281</v>
      </c>
      <c r="E2710" s="6">
        <v>80000</v>
      </c>
      <c r="F2710" t="s">
        <v>4599</v>
      </c>
    </row>
    <row r="2711" spans="1:6">
      <c r="A2711" t="s">
        <v>3840</v>
      </c>
      <c r="B2711" t="s">
        <v>280</v>
      </c>
      <c r="C2711" t="s">
        <v>284</v>
      </c>
      <c r="D2711" t="s">
        <v>281</v>
      </c>
      <c r="E2711" s="6">
        <v>80000</v>
      </c>
      <c r="F2711" t="s">
        <v>4599</v>
      </c>
    </row>
    <row r="2712" spans="1:6">
      <c r="A2712" t="s">
        <v>3840</v>
      </c>
      <c r="B2712" t="s">
        <v>280</v>
      </c>
      <c r="C2712" t="s">
        <v>4119</v>
      </c>
      <c r="D2712" t="s">
        <v>281</v>
      </c>
      <c r="E2712" s="6">
        <v>80000</v>
      </c>
      <c r="F2712" t="s">
        <v>4599</v>
      </c>
    </row>
    <row r="2713" spans="1:6">
      <c r="A2713" t="s">
        <v>3840</v>
      </c>
      <c r="B2713" t="s">
        <v>280</v>
      </c>
      <c r="C2713" t="s">
        <v>279</v>
      </c>
      <c r="D2713" t="s">
        <v>4600</v>
      </c>
      <c r="E2713" s="6">
        <v>278645</v>
      </c>
      <c r="F2713" t="s">
        <v>4599</v>
      </c>
    </row>
    <row r="2714" spans="1:6">
      <c r="A2714" t="s">
        <v>3840</v>
      </c>
      <c r="B2714" t="s">
        <v>280</v>
      </c>
      <c r="C2714" t="s">
        <v>4118</v>
      </c>
      <c r="D2714" t="s">
        <v>4600</v>
      </c>
      <c r="E2714" s="6">
        <v>278645</v>
      </c>
      <c r="F2714" t="s">
        <v>4599</v>
      </c>
    </row>
    <row r="2715" spans="1:6">
      <c r="A2715" t="s">
        <v>3840</v>
      </c>
      <c r="B2715" t="s">
        <v>280</v>
      </c>
      <c r="C2715" t="s">
        <v>279</v>
      </c>
      <c r="D2715" t="s">
        <v>4600</v>
      </c>
      <c r="E2715" s="6">
        <v>196667</v>
      </c>
      <c r="F2715" t="s">
        <v>4074</v>
      </c>
    </row>
    <row r="2716" spans="1:6">
      <c r="A2716" t="s">
        <v>3840</v>
      </c>
      <c r="B2716" t="s">
        <v>280</v>
      </c>
      <c r="C2716" t="s">
        <v>4118</v>
      </c>
      <c r="D2716" t="s">
        <v>4600</v>
      </c>
      <c r="E2716" s="6">
        <v>150000</v>
      </c>
      <c r="F2716" t="s">
        <v>4074</v>
      </c>
    </row>
    <row r="2717" spans="1:6">
      <c r="A2717" t="s">
        <v>3840</v>
      </c>
      <c r="B2717" t="s">
        <v>280</v>
      </c>
      <c r="C2717" t="s">
        <v>284</v>
      </c>
      <c r="D2717" t="s">
        <v>4600</v>
      </c>
      <c r="E2717" s="6">
        <v>130000</v>
      </c>
      <c r="F2717" t="s">
        <v>4074</v>
      </c>
    </row>
    <row r="2718" spans="1:6">
      <c r="A2718" t="s">
        <v>3840</v>
      </c>
      <c r="B2718" t="s">
        <v>280</v>
      </c>
      <c r="C2718" t="s">
        <v>4119</v>
      </c>
      <c r="D2718" t="s">
        <v>4600</v>
      </c>
      <c r="E2718" s="6">
        <v>160000</v>
      </c>
      <c r="F2718" t="s">
        <v>4599</v>
      </c>
    </row>
    <row r="2719" spans="1:6">
      <c r="A2719" t="s">
        <v>3842</v>
      </c>
      <c r="B2719" t="s">
        <v>280</v>
      </c>
      <c r="C2719" t="s">
        <v>279</v>
      </c>
      <c r="D2719" t="s">
        <v>281</v>
      </c>
      <c r="E2719" s="6">
        <v>78333</v>
      </c>
      <c r="F2719" t="s">
        <v>4074</v>
      </c>
    </row>
    <row r="2720" spans="1:6">
      <c r="A2720" t="s">
        <v>3842</v>
      </c>
      <c r="B2720" t="s">
        <v>280</v>
      </c>
      <c r="C2720" t="s">
        <v>4118</v>
      </c>
      <c r="D2720" t="s">
        <v>281</v>
      </c>
      <c r="E2720" s="6">
        <v>70000</v>
      </c>
      <c r="F2720" t="s">
        <v>4074</v>
      </c>
    </row>
    <row r="2721" spans="1:6">
      <c r="A2721" t="s">
        <v>3842</v>
      </c>
      <c r="B2721" t="s">
        <v>280</v>
      </c>
      <c r="C2721" t="s">
        <v>284</v>
      </c>
      <c r="D2721" t="s">
        <v>281</v>
      </c>
      <c r="E2721" s="6">
        <v>75000</v>
      </c>
      <c r="F2721" t="s">
        <v>4074</v>
      </c>
    </row>
    <row r="2722" spans="1:6">
      <c r="A2722" t="s">
        <v>3842</v>
      </c>
      <c r="B2722" t="s">
        <v>280</v>
      </c>
      <c r="C2722" t="s">
        <v>4119</v>
      </c>
      <c r="D2722" t="s">
        <v>281</v>
      </c>
      <c r="E2722" s="6">
        <v>75000</v>
      </c>
      <c r="F2722" t="s">
        <v>4074</v>
      </c>
    </row>
    <row r="2723" spans="1:6">
      <c r="A2723" t="s">
        <v>3842</v>
      </c>
      <c r="B2723" t="s">
        <v>280</v>
      </c>
      <c r="C2723" t="s">
        <v>279</v>
      </c>
      <c r="D2723" t="s">
        <v>4600</v>
      </c>
      <c r="E2723" s="6">
        <v>278645</v>
      </c>
      <c r="F2723" t="s">
        <v>4599</v>
      </c>
    </row>
    <row r="2724" spans="1:6">
      <c r="A2724" t="s">
        <v>3842</v>
      </c>
      <c r="B2724" t="s">
        <v>280</v>
      </c>
      <c r="C2724" t="s">
        <v>4118</v>
      </c>
      <c r="D2724" t="s">
        <v>4600</v>
      </c>
      <c r="E2724" s="6">
        <v>278645</v>
      </c>
      <c r="F2724" t="s">
        <v>4599</v>
      </c>
    </row>
    <row r="2725" spans="1:6">
      <c r="A2725" t="s">
        <v>3842</v>
      </c>
      <c r="B2725" t="s">
        <v>280</v>
      </c>
      <c r="C2725" t="s">
        <v>279</v>
      </c>
      <c r="D2725" t="s">
        <v>4600</v>
      </c>
      <c r="E2725" s="6">
        <v>160000</v>
      </c>
      <c r="F2725" t="s">
        <v>4599</v>
      </c>
    </row>
    <row r="2726" spans="1:6">
      <c r="A2726" t="s">
        <v>3842</v>
      </c>
      <c r="B2726" t="s">
        <v>280</v>
      </c>
      <c r="C2726" t="s">
        <v>4118</v>
      </c>
      <c r="D2726" t="s">
        <v>4600</v>
      </c>
      <c r="E2726" s="6">
        <v>160000</v>
      </c>
      <c r="F2726" t="s">
        <v>4599</v>
      </c>
    </row>
    <row r="2727" spans="1:6">
      <c r="A2727" t="s">
        <v>3842</v>
      </c>
      <c r="B2727" t="s">
        <v>280</v>
      </c>
      <c r="C2727" t="s">
        <v>284</v>
      </c>
      <c r="D2727" t="s">
        <v>4600</v>
      </c>
      <c r="E2727" s="6">
        <v>160000</v>
      </c>
      <c r="F2727" t="s">
        <v>4599</v>
      </c>
    </row>
    <row r="2728" spans="1:6">
      <c r="A2728" t="s">
        <v>3842</v>
      </c>
      <c r="B2728" t="s">
        <v>280</v>
      </c>
      <c r="C2728" t="s">
        <v>4119</v>
      </c>
      <c r="D2728" t="s">
        <v>4600</v>
      </c>
      <c r="E2728" s="6">
        <v>160000</v>
      </c>
      <c r="F2728" t="s">
        <v>4599</v>
      </c>
    </row>
    <row r="2729" spans="1:6">
      <c r="A2729" t="s">
        <v>3841</v>
      </c>
      <c r="B2729" t="s">
        <v>280</v>
      </c>
      <c r="C2729" t="s">
        <v>279</v>
      </c>
      <c r="D2729" t="s">
        <v>281</v>
      </c>
      <c r="E2729" s="6">
        <v>80000</v>
      </c>
      <c r="F2729" t="s">
        <v>4599</v>
      </c>
    </row>
    <row r="2730" spans="1:6">
      <c r="A2730" t="s">
        <v>3841</v>
      </c>
      <c r="B2730" t="s">
        <v>280</v>
      </c>
      <c r="C2730" t="s">
        <v>4118</v>
      </c>
      <c r="D2730" t="s">
        <v>281</v>
      </c>
      <c r="E2730" s="6">
        <v>80000</v>
      </c>
      <c r="F2730" t="s">
        <v>4599</v>
      </c>
    </row>
    <row r="2731" spans="1:6">
      <c r="A2731" t="s">
        <v>3841</v>
      </c>
      <c r="B2731" t="s">
        <v>280</v>
      </c>
      <c r="C2731" t="s">
        <v>284</v>
      </c>
      <c r="D2731" t="s">
        <v>281</v>
      </c>
      <c r="E2731" s="6">
        <v>80000</v>
      </c>
      <c r="F2731" t="s">
        <v>4599</v>
      </c>
    </row>
    <row r="2732" spans="1:6">
      <c r="A2732" t="s">
        <v>3841</v>
      </c>
      <c r="B2732" t="s">
        <v>280</v>
      </c>
      <c r="C2732" t="s">
        <v>4119</v>
      </c>
      <c r="D2732" t="s">
        <v>281</v>
      </c>
      <c r="E2732" s="6">
        <v>80000</v>
      </c>
      <c r="F2732" t="s">
        <v>4599</v>
      </c>
    </row>
    <row r="2733" spans="1:6">
      <c r="A2733" t="s">
        <v>3841</v>
      </c>
      <c r="B2733" t="s">
        <v>280</v>
      </c>
      <c r="C2733" t="s">
        <v>279</v>
      </c>
      <c r="D2733" t="s">
        <v>4600</v>
      </c>
      <c r="E2733" s="6">
        <v>278645</v>
      </c>
      <c r="F2733" t="s">
        <v>4599</v>
      </c>
    </row>
    <row r="2734" spans="1:6">
      <c r="A2734" t="s">
        <v>3841</v>
      </c>
      <c r="B2734" t="s">
        <v>280</v>
      </c>
      <c r="C2734" t="s">
        <v>4118</v>
      </c>
      <c r="D2734" t="s">
        <v>4600</v>
      </c>
      <c r="E2734" s="6">
        <v>278645</v>
      </c>
      <c r="F2734" t="s">
        <v>4599</v>
      </c>
    </row>
    <row r="2735" spans="1:6">
      <c r="A2735" t="s">
        <v>3841</v>
      </c>
      <c r="B2735" t="s">
        <v>280</v>
      </c>
      <c r="C2735" t="s">
        <v>279</v>
      </c>
      <c r="D2735" t="s">
        <v>4600</v>
      </c>
      <c r="E2735" s="6">
        <v>306667</v>
      </c>
      <c r="F2735" t="s">
        <v>4074</v>
      </c>
    </row>
    <row r="2736" spans="1:6">
      <c r="A2736" t="s">
        <v>3841</v>
      </c>
      <c r="B2736" t="s">
        <v>280</v>
      </c>
      <c r="C2736" t="s">
        <v>4118</v>
      </c>
      <c r="D2736" t="s">
        <v>4600</v>
      </c>
      <c r="E2736" s="6">
        <v>156667</v>
      </c>
      <c r="F2736" t="s">
        <v>4074</v>
      </c>
    </row>
    <row r="2737" spans="1:6">
      <c r="A2737" t="s">
        <v>3841</v>
      </c>
      <c r="B2737" t="s">
        <v>280</v>
      </c>
      <c r="C2737" t="s">
        <v>284</v>
      </c>
      <c r="D2737" t="s">
        <v>4600</v>
      </c>
      <c r="E2737" s="6">
        <v>160833</v>
      </c>
      <c r="F2737" t="s">
        <v>4074</v>
      </c>
    </row>
    <row r="2738" spans="1:6">
      <c r="A2738" t="s">
        <v>3841</v>
      </c>
      <c r="B2738" t="s">
        <v>280</v>
      </c>
      <c r="C2738" t="s">
        <v>4119</v>
      </c>
      <c r="D2738" t="s">
        <v>4600</v>
      </c>
      <c r="E2738" s="6">
        <v>160000</v>
      </c>
      <c r="F2738" t="s">
        <v>4599</v>
      </c>
    </row>
    <row r="2739" spans="1:6">
      <c r="A2739" t="s">
        <v>3843</v>
      </c>
      <c r="B2739" t="s">
        <v>280</v>
      </c>
      <c r="C2739" t="s">
        <v>279</v>
      </c>
      <c r="D2739" t="s">
        <v>281</v>
      </c>
      <c r="E2739" s="6">
        <v>80000</v>
      </c>
      <c r="F2739" t="s">
        <v>4599</v>
      </c>
    </row>
    <row r="2740" spans="1:6">
      <c r="A2740" t="s">
        <v>3843</v>
      </c>
      <c r="B2740" t="s">
        <v>280</v>
      </c>
      <c r="C2740" t="s">
        <v>4118</v>
      </c>
      <c r="D2740" t="s">
        <v>281</v>
      </c>
      <c r="E2740" s="6">
        <v>80000</v>
      </c>
      <c r="F2740" t="s">
        <v>4599</v>
      </c>
    </row>
    <row r="2741" spans="1:6">
      <c r="A2741" t="s">
        <v>3843</v>
      </c>
      <c r="B2741" t="s">
        <v>280</v>
      </c>
      <c r="C2741" t="s">
        <v>284</v>
      </c>
      <c r="D2741" t="s">
        <v>281</v>
      </c>
      <c r="E2741" s="6">
        <v>80000</v>
      </c>
      <c r="F2741" t="s">
        <v>4599</v>
      </c>
    </row>
    <row r="2742" spans="1:6">
      <c r="A2742" t="s">
        <v>3843</v>
      </c>
      <c r="B2742" t="s">
        <v>280</v>
      </c>
      <c r="C2742" t="s">
        <v>4119</v>
      </c>
      <c r="D2742" t="s">
        <v>281</v>
      </c>
      <c r="E2742" s="6">
        <v>80000</v>
      </c>
      <c r="F2742" t="s">
        <v>4599</v>
      </c>
    </row>
    <row r="2743" spans="1:6">
      <c r="A2743" t="s">
        <v>3843</v>
      </c>
      <c r="B2743" t="s">
        <v>280</v>
      </c>
      <c r="C2743" t="s">
        <v>279</v>
      </c>
      <c r="D2743" t="s">
        <v>4600</v>
      </c>
      <c r="E2743" s="6">
        <v>278645</v>
      </c>
      <c r="F2743" t="s">
        <v>4599</v>
      </c>
    </row>
    <row r="2744" spans="1:6">
      <c r="A2744" t="s">
        <v>3843</v>
      </c>
      <c r="B2744" t="s">
        <v>280</v>
      </c>
      <c r="C2744" t="s">
        <v>4118</v>
      </c>
      <c r="D2744" t="s">
        <v>4600</v>
      </c>
      <c r="E2744" s="6">
        <v>278645</v>
      </c>
      <c r="F2744" t="s">
        <v>4599</v>
      </c>
    </row>
    <row r="2745" spans="1:6">
      <c r="A2745" t="s">
        <v>3843</v>
      </c>
      <c r="B2745" t="s">
        <v>280</v>
      </c>
      <c r="C2745" t="s">
        <v>279</v>
      </c>
      <c r="D2745" t="s">
        <v>4600</v>
      </c>
      <c r="E2745" s="6">
        <v>230000</v>
      </c>
      <c r="F2745" t="s">
        <v>4074</v>
      </c>
    </row>
    <row r="2746" spans="1:6">
      <c r="A2746" t="s">
        <v>3843</v>
      </c>
      <c r="B2746" t="s">
        <v>280</v>
      </c>
      <c r="C2746" t="s">
        <v>4118</v>
      </c>
      <c r="D2746" t="s">
        <v>4600</v>
      </c>
      <c r="E2746" s="6">
        <v>125833</v>
      </c>
      <c r="F2746" t="s">
        <v>4074</v>
      </c>
    </row>
    <row r="2747" spans="1:6">
      <c r="A2747" t="s">
        <v>3843</v>
      </c>
      <c r="B2747" t="s">
        <v>280</v>
      </c>
      <c r="C2747" t="s">
        <v>284</v>
      </c>
      <c r="D2747" t="s">
        <v>4600</v>
      </c>
      <c r="E2747" s="6">
        <v>78333</v>
      </c>
      <c r="F2747" t="s">
        <v>4074</v>
      </c>
    </row>
    <row r="2748" spans="1:6">
      <c r="A2748" t="s">
        <v>3843</v>
      </c>
      <c r="B2748" t="s">
        <v>280</v>
      </c>
      <c r="C2748" t="s">
        <v>4119</v>
      </c>
      <c r="D2748" t="s">
        <v>4600</v>
      </c>
      <c r="E2748" s="6">
        <v>123333</v>
      </c>
      <c r="F2748" t="s">
        <v>4074</v>
      </c>
    </row>
    <row r="2749" spans="1:6">
      <c r="A2749" t="s">
        <v>3844</v>
      </c>
      <c r="B2749" t="s">
        <v>280</v>
      </c>
      <c r="C2749" t="s">
        <v>279</v>
      </c>
      <c r="D2749" t="s">
        <v>281</v>
      </c>
      <c r="E2749" s="6">
        <v>80000</v>
      </c>
      <c r="F2749" t="s">
        <v>4599</v>
      </c>
    </row>
    <row r="2750" spans="1:6">
      <c r="A2750" t="s">
        <v>3844</v>
      </c>
      <c r="B2750" t="s">
        <v>280</v>
      </c>
      <c r="C2750" t="s">
        <v>4118</v>
      </c>
      <c r="D2750" t="s">
        <v>281</v>
      </c>
      <c r="E2750" s="6">
        <v>80000</v>
      </c>
      <c r="F2750" t="s">
        <v>4599</v>
      </c>
    </row>
    <row r="2751" spans="1:6">
      <c r="A2751" t="s">
        <v>3844</v>
      </c>
      <c r="B2751" t="s">
        <v>280</v>
      </c>
      <c r="C2751" t="s">
        <v>284</v>
      </c>
      <c r="D2751" t="s">
        <v>281</v>
      </c>
      <c r="E2751" s="6">
        <v>80000</v>
      </c>
      <c r="F2751" t="s">
        <v>4599</v>
      </c>
    </row>
    <row r="2752" spans="1:6">
      <c r="A2752" t="s">
        <v>3844</v>
      </c>
      <c r="B2752" t="s">
        <v>280</v>
      </c>
      <c r="C2752" t="s">
        <v>4119</v>
      </c>
      <c r="D2752" t="s">
        <v>281</v>
      </c>
      <c r="E2752" s="6">
        <v>170000</v>
      </c>
      <c r="F2752" t="s">
        <v>4074</v>
      </c>
    </row>
    <row r="2753" spans="1:6">
      <c r="A2753" t="s">
        <v>3844</v>
      </c>
      <c r="B2753" t="s">
        <v>280</v>
      </c>
      <c r="C2753" t="s">
        <v>279</v>
      </c>
      <c r="D2753" t="s">
        <v>4600</v>
      </c>
      <c r="E2753" s="6">
        <v>278645</v>
      </c>
      <c r="F2753" t="s">
        <v>4599</v>
      </c>
    </row>
    <row r="2754" spans="1:6">
      <c r="A2754" t="s">
        <v>3844</v>
      </c>
      <c r="B2754" t="s">
        <v>280</v>
      </c>
      <c r="C2754" t="s">
        <v>4118</v>
      </c>
      <c r="D2754" t="s">
        <v>4600</v>
      </c>
      <c r="E2754" s="6">
        <v>278645</v>
      </c>
      <c r="F2754" t="s">
        <v>4599</v>
      </c>
    </row>
    <row r="2755" spans="1:6">
      <c r="A2755" t="s">
        <v>3844</v>
      </c>
      <c r="B2755" t="s">
        <v>280</v>
      </c>
      <c r="C2755" t="s">
        <v>279</v>
      </c>
      <c r="D2755" t="s">
        <v>4600</v>
      </c>
      <c r="E2755" s="6">
        <v>300000</v>
      </c>
      <c r="F2755" t="s">
        <v>4074</v>
      </c>
    </row>
    <row r="2756" spans="1:6">
      <c r="A2756" t="s">
        <v>3844</v>
      </c>
      <c r="B2756" t="s">
        <v>280</v>
      </c>
      <c r="C2756" t="s">
        <v>4118</v>
      </c>
      <c r="D2756" t="s">
        <v>4600</v>
      </c>
      <c r="E2756" s="6">
        <v>160000</v>
      </c>
      <c r="F2756" t="s">
        <v>4599</v>
      </c>
    </row>
    <row r="2757" spans="1:6">
      <c r="A2757" t="s">
        <v>3844</v>
      </c>
      <c r="B2757" t="s">
        <v>280</v>
      </c>
      <c r="C2757" t="s">
        <v>284</v>
      </c>
      <c r="D2757" t="s">
        <v>4600</v>
      </c>
      <c r="E2757" s="6">
        <v>160000</v>
      </c>
      <c r="F2757" t="s">
        <v>4599</v>
      </c>
    </row>
    <row r="2758" spans="1:6">
      <c r="A2758" t="s">
        <v>3844</v>
      </c>
      <c r="B2758" t="s">
        <v>280</v>
      </c>
      <c r="C2758" t="s">
        <v>4119</v>
      </c>
      <c r="D2758" t="s">
        <v>4600</v>
      </c>
      <c r="E2758" s="6">
        <v>160000</v>
      </c>
      <c r="F2758" t="s">
        <v>4599</v>
      </c>
    </row>
    <row r="2759" spans="1:6">
      <c r="A2759" t="s">
        <v>3845</v>
      </c>
      <c r="B2759" t="s">
        <v>280</v>
      </c>
      <c r="C2759" t="s">
        <v>279</v>
      </c>
      <c r="D2759" t="s">
        <v>281</v>
      </c>
      <c r="E2759" s="6">
        <v>80000</v>
      </c>
      <c r="F2759" t="s">
        <v>4599</v>
      </c>
    </row>
    <row r="2760" spans="1:6">
      <c r="A2760" t="s">
        <v>3845</v>
      </c>
      <c r="B2760" t="s">
        <v>280</v>
      </c>
      <c r="C2760" t="s">
        <v>4118</v>
      </c>
      <c r="D2760" t="s">
        <v>281</v>
      </c>
      <c r="E2760" s="6">
        <v>80000</v>
      </c>
      <c r="F2760" t="s">
        <v>4599</v>
      </c>
    </row>
    <row r="2761" spans="1:6">
      <c r="A2761" t="s">
        <v>3845</v>
      </c>
      <c r="B2761" t="s">
        <v>280</v>
      </c>
      <c r="C2761" t="s">
        <v>284</v>
      </c>
      <c r="D2761" t="s">
        <v>281</v>
      </c>
      <c r="E2761" s="6">
        <v>80000</v>
      </c>
      <c r="F2761" t="s">
        <v>4599</v>
      </c>
    </row>
    <row r="2762" spans="1:6">
      <c r="A2762" t="s">
        <v>3845</v>
      </c>
      <c r="B2762" t="s">
        <v>280</v>
      </c>
      <c r="C2762" t="s">
        <v>4119</v>
      </c>
      <c r="D2762" t="s">
        <v>281</v>
      </c>
      <c r="E2762" s="6">
        <v>80000</v>
      </c>
      <c r="F2762" t="s">
        <v>4599</v>
      </c>
    </row>
    <row r="2763" spans="1:6">
      <c r="A2763" t="s">
        <v>3845</v>
      </c>
      <c r="B2763" t="s">
        <v>280</v>
      </c>
      <c r="C2763" t="s">
        <v>279</v>
      </c>
      <c r="D2763" t="s">
        <v>4600</v>
      </c>
      <c r="E2763" s="6">
        <v>278645</v>
      </c>
      <c r="F2763" t="s">
        <v>4599</v>
      </c>
    </row>
    <row r="2764" spans="1:6">
      <c r="A2764" t="s">
        <v>3845</v>
      </c>
      <c r="B2764" t="s">
        <v>280</v>
      </c>
      <c r="C2764" t="s">
        <v>4118</v>
      </c>
      <c r="D2764" t="s">
        <v>4600</v>
      </c>
      <c r="E2764" s="6">
        <v>278645</v>
      </c>
      <c r="F2764" t="s">
        <v>4599</v>
      </c>
    </row>
    <row r="2765" spans="1:6">
      <c r="A2765" t="s">
        <v>3845</v>
      </c>
      <c r="B2765" t="s">
        <v>280</v>
      </c>
      <c r="C2765" t="s">
        <v>279</v>
      </c>
      <c r="D2765" t="s">
        <v>4600</v>
      </c>
      <c r="E2765" s="6">
        <v>160000</v>
      </c>
      <c r="F2765" t="s">
        <v>4599</v>
      </c>
    </row>
    <row r="2766" spans="1:6">
      <c r="A2766" t="s">
        <v>3845</v>
      </c>
      <c r="B2766" t="s">
        <v>280</v>
      </c>
      <c r="C2766" t="s">
        <v>4118</v>
      </c>
      <c r="D2766" t="s">
        <v>4600</v>
      </c>
      <c r="E2766" s="6">
        <v>140000</v>
      </c>
      <c r="F2766" t="s">
        <v>4074</v>
      </c>
    </row>
    <row r="2767" spans="1:6">
      <c r="A2767" t="s">
        <v>3845</v>
      </c>
      <c r="B2767" t="s">
        <v>280</v>
      </c>
      <c r="C2767" t="s">
        <v>284</v>
      </c>
      <c r="D2767" t="s">
        <v>4600</v>
      </c>
      <c r="E2767" s="6">
        <v>110000</v>
      </c>
      <c r="F2767" t="s">
        <v>4074</v>
      </c>
    </row>
    <row r="2768" spans="1:6">
      <c r="A2768" t="s">
        <v>3845</v>
      </c>
      <c r="B2768" t="s">
        <v>280</v>
      </c>
      <c r="C2768" t="s">
        <v>4119</v>
      </c>
      <c r="D2768" t="s">
        <v>4600</v>
      </c>
      <c r="E2768" s="6">
        <v>160000</v>
      </c>
      <c r="F2768" t="s">
        <v>4599</v>
      </c>
    </row>
    <row r="2769" spans="1:6">
      <c r="A2769" t="s">
        <v>3846</v>
      </c>
      <c r="B2769" t="s">
        <v>280</v>
      </c>
      <c r="C2769" t="s">
        <v>279</v>
      </c>
      <c r="D2769" t="s">
        <v>281</v>
      </c>
      <c r="E2769" s="6">
        <v>72500</v>
      </c>
      <c r="F2769" t="s">
        <v>4074</v>
      </c>
    </row>
    <row r="2770" spans="1:6">
      <c r="A2770" t="s">
        <v>3846</v>
      </c>
      <c r="B2770" t="s">
        <v>280</v>
      </c>
      <c r="C2770" t="s">
        <v>4118</v>
      </c>
      <c r="D2770" t="s">
        <v>281</v>
      </c>
      <c r="E2770" s="6">
        <v>80000</v>
      </c>
      <c r="F2770" t="s">
        <v>4599</v>
      </c>
    </row>
    <row r="2771" spans="1:6">
      <c r="A2771" t="s">
        <v>3846</v>
      </c>
      <c r="B2771" t="s">
        <v>280</v>
      </c>
      <c r="C2771" t="s">
        <v>284</v>
      </c>
      <c r="D2771" t="s">
        <v>281</v>
      </c>
      <c r="E2771" s="6">
        <v>62500</v>
      </c>
      <c r="F2771" t="s">
        <v>4074</v>
      </c>
    </row>
    <row r="2772" spans="1:6">
      <c r="A2772" t="s">
        <v>3846</v>
      </c>
      <c r="B2772" t="s">
        <v>280</v>
      </c>
      <c r="C2772" t="s">
        <v>4119</v>
      </c>
      <c r="D2772" t="s">
        <v>281</v>
      </c>
      <c r="E2772" s="6">
        <v>80000</v>
      </c>
      <c r="F2772" t="s">
        <v>4599</v>
      </c>
    </row>
    <row r="2773" spans="1:6">
      <c r="A2773" t="s">
        <v>3846</v>
      </c>
      <c r="B2773" t="s">
        <v>280</v>
      </c>
      <c r="C2773" t="s">
        <v>279</v>
      </c>
      <c r="D2773" t="s">
        <v>4600</v>
      </c>
      <c r="E2773" s="6">
        <v>278645</v>
      </c>
      <c r="F2773" t="s">
        <v>4599</v>
      </c>
    </row>
    <row r="2774" spans="1:6">
      <c r="A2774" t="s">
        <v>3846</v>
      </c>
      <c r="B2774" t="s">
        <v>280</v>
      </c>
      <c r="C2774" t="s">
        <v>4118</v>
      </c>
      <c r="D2774" t="s">
        <v>4600</v>
      </c>
      <c r="E2774" s="6">
        <v>278645</v>
      </c>
      <c r="F2774" t="s">
        <v>4599</v>
      </c>
    </row>
    <row r="2775" spans="1:6">
      <c r="A2775" t="s">
        <v>3846</v>
      </c>
      <c r="B2775" t="s">
        <v>280</v>
      </c>
      <c r="C2775" t="s">
        <v>279</v>
      </c>
      <c r="D2775" t="s">
        <v>4600</v>
      </c>
      <c r="E2775" s="6">
        <v>160000</v>
      </c>
      <c r="F2775" t="s">
        <v>4599</v>
      </c>
    </row>
    <row r="2776" spans="1:6">
      <c r="A2776" t="s">
        <v>3846</v>
      </c>
      <c r="B2776" t="s">
        <v>280</v>
      </c>
      <c r="C2776" t="s">
        <v>4118</v>
      </c>
      <c r="D2776" t="s">
        <v>4600</v>
      </c>
      <c r="E2776" s="6">
        <v>160000</v>
      </c>
      <c r="F2776" t="s">
        <v>4599</v>
      </c>
    </row>
    <row r="2777" spans="1:6">
      <c r="A2777" t="s">
        <v>3846</v>
      </c>
      <c r="B2777" t="s">
        <v>280</v>
      </c>
      <c r="C2777" t="s">
        <v>284</v>
      </c>
      <c r="D2777" t="s">
        <v>4600</v>
      </c>
      <c r="E2777" s="6">
        <v>160000</v>
      </c>
      <c r="F2777" t="s">
        <v>4599</v>
      </c>
    </row>
    <row r="2778" spans="1:6">
      <c r="A2778" t="s">
        <v>3846</v>
      </c>
      <c r="B2778" t="s">
        <v>280</v>
      </c>
      <c r="C2778" t="s">
        <v>4119</v>
      </c>
      <c r="D2778" t="s">
        <v>4600</v>
      </c>
      <c r="E2778" s="6">
        <v>160000</v>
      </c>
      <c r="F2778" t="s">
        <v>4599</v>
      </c>
    </row>
    <row r="2779" spans="1:6">
      <c r="A2779" t="s">
        <v>3847</v>
      </c>
      <c r="B2779" t="s">
        <v>280</v>
      </c>
      <c r="C2779" t="s">
        <v>279</v>
      </c>
      <c r="D2779" t="s">
        <v>281</v>
      </c>
      <c r="E2779" s="6">
        <v>75000</v>
      </c>
      <c r="F2779" t="s">
        <v>4074</v>
      </c>
    </row>
    <row r="2780" spans="1:6">
      <c r="A2780" t="s">
        <v>3847</v>
      </c>
      <c r="B2780" t="s">
        <v>280</v>
      </c>
      <c r="C2780" t="s">
        <v>4118</v>
      </c>
      <c r="D2780" t="s">
        <v>281</v>
      </c>
      <c r="E2780" s="6">
        <v>85000</v>
      </c>
      <c r="F2780" t="s">
        <v>4074</v>
      </c>
    </row>
    <row r="2781" spans="1:6">
      <c r="A2781" t="s">
        <v>3847</v>
      </c>
      <c r="B2781" t="s">
        <v>280</v>
      </c>
      <c r="C2781" t="s">
        <v>284</v>
      </c>
      <c r="D2781" t="s">
        <v>281</v>
      </c>
      <c r="E2781" s="6">
        <v>80000</v>
      </c>
      <c r="F2781" t="s">
        <v>4599</v>
      </c>
    </row>
    <row r="2782" spans="1:6">
      <c r="A2782" t="s">
        <v>3847</v>
      </c>
      <c r="B2782" t="s">
        <v>280</v>
      </c>
      <c r="C2782" t="s">
        <v>4119</v>
      </c>
      <c r="D2782" t="s">
        <v>281</v>
      </c>
      <c r="E2782" s="6">
        <v>80000</v>
      </c>
      <c r="F2782" t="s">
        <v>4599</v>
      </c>
    </row>
    <row r="2783" spans="1:6">
      <c r="A2783" t="s">
        <v>3847</v>
      </c>
      <c r="B2783" t="s">
        <v>280</v>
      </c>
      <c r="C2783" t="s">
        <v>279</v>
      </c>
      <c r="D2783" t="s">
        <v>4600</v>
      </c>
      <c r="E2783" s="6">
        <v>278645</v>
      </c>
      <c r="F2783" t="s">
        <v>4599</v>
      </c>
    </row>
    <row r="2784" spans="1:6">
      <c r="A2784" t="s">
        <v>3847</v>
      </c>
      <c r="B2784" t="s">
        <v>280</v>
      </c>
      <c r="C2784" t="s">
        <v>4118</v>
      </c>
      <c r="D2784" t="s">
        <v>4600</v>
      </c>
      <c r="E2784" s="6">
        <v>278645</v>
      </c>
      <c r="F2784" t="s">
        <v>4599</v>
      </c>
    </row>
    <row r="2785" spans="1:6">
      <c r="A2785" t="s">
        <v>3847</v>
      </c>
      <c r="B2785" t="s">
        <v>280</v>
      </c>
      <c r="C2785" t="s">
        <v>279</v>
      </c>
      <c r="D2785" t="s">
        <v>4600</v>
      </c>
      <c r="E2785" s="6">
        <v>162500</v>
      </c>
      <c r="F2785" t="s">
        <v>4074</v>
      </c>
    </row>
    <row r="2786" spans="1:6">
      <c r="A2786" t="s">
        <v>3847</v>
      </c>
      <c r="B2786" t="s">
        <v>280</v>
      </c>
      <c r="C2786" t="s">
        <v>4118</v>
      </c>
      <c r="D2786" t="s">
        <v>4600</v>
      </c>
      <c r="E2786" s="6">
        <v>150000</v>
      </c>
      <c r="F2786" t="s">
        <v>4074</v>
      </c>
    </row>
    <row r="2787" spans="1:6">
      <c r="A2787" t="s">
        <v>3847</v>
      </c>
      <c r="B2787" t="s">
        <v>280</v>
      </c>
      <c r="C2787" t="s">
        <v>284</v>
      </c>
      <c r="D2787" t="s">
        <v>4600</v>
      </c>
      <c r="E2787" s="6">
        <v>150000</v>
      </c>
      <c r="F2787" t="s">
        <v>4074</v>
      </c>
    </row>
    <row r="2788" spans="1:6">
      <c r="A2788" t="s">
        <v>3847</v>
      </c>
      <c r="B2788" t="s">
        <v>280</v>
      </c>
      <c r="C2788" t="s">
        <v>4119</v>
      </c>
      <c r="D2788" t="s">
        <v>4600</v>
      </c>
      <c r="E2788" s="6">
        <v>160000</v>
      </c>
      <c r="F2788" t="s">
        <v>4599</v>
      </c>
    </row>
    <row r="2789" spans="1:6">
      <c r="A2789" t="s">
        <v>3848</v>
      </c>
      <c r="B2789" t="s">
        <v>280</v>
      </c>
      <c r="C2789" t="s">
        <v>279</v>
      </c>
      <c r="D2789" t="s">
        <v>281</v>
      </c>
      <c r="E2789" s="6">
        <v>80000</v>
      </c>
      <c r="F2789" t="s">
        <v>4599</v>
      </c>
    </row>
    <row r="2790" spans="1:6">
      <c r="A2790" t="s">
        <v>3848</v>
      </c>
      <c r="B2790" t="s">
        <v>280</v>
      </c>
      <c r="C2790" t="s">
        <v>4118</v>
      </c>
      <c r="D2790" t="s">
        <v>281</v>
      </c>
      <c r="E2790" s="6">
        <v>80000</v>
      </c>
      <c r="F2790" t="s">
        <v>4599</v>
      </c>
    </row>
    <row r="2791" spans="1:6">
      <c r="A2791" t="s">
        <v>3848</v>
      </c>
      <c r="B2791" t="s">
        <v>280</v>
      </c>
      <c r="C2791" t="s">
        <v>284</v>
      </c>
      <c r="D2791" t="s">
        <v>281</v>
      </c>
      <c r="E2791" s="6">
        <v>80000</v>
      </c>
      <c r="F2791" t="s">
        <v>4599</v>
      </c>
    </row>
    <row r="2792" spans="1:6">
      <c r="A2792" t="s">
        <v>3848</v>
      </c>
      <c r="B2792" t="s">
        <v>280</v>
      </c>
      <c r="C2792" t="s">
        <v>4119</v>
      </c>
      <c r="D2792" t="s">
        <v>281</v>
      </c>
      <c r="E2792" s="6">
        <v>80000</v>
      </c>
      <c r="F2792" t="s">
        <v>4599</v>
      </c>
    </row>
    <row r="2793" spans="1:6">
      <c r="A2793" t="s">
        <v>3848</v>
      </c>
      <c r="B2793" t="s">
        <v>280</v>
      </c>
      <c r="C2793" t="s">
        <v>279</v>
      </c>
      <c r="D2793" t="s">
        <v>4600</v>
      </c>
      <c r="E2793" s="6">
        <v>278645</v>
      </c>
      <c r="F2793" t="s">
        <v>4599</v>
      </c>
    </row>
    <row r="2794" spans="1:6">
      <c r="A2794" t="s">
        <v>3848</v>
      </c>
      <c r="B2794" t="s">
        <v>280</v>
      </c>
      <c r="C2794" t="s">
        <v>4118</v>
      </c>
      <c r="D2794" t="s">
        <v>4600</v>
      </c>
      <c r="E2794" s="6">
        <v>278645</v>
      </c>
      <c r="F2794" t="s">
        <v>4599</v>
      </c>
    </row>
    <row r="2795" spans="1:6">
      <c r="A2795" t="s">
        <v>3848</v>
      </c>
      <c r="B2795" t="s">
        <v>280</v>
      </c>
      <c r="C2795" t="s">
        <v>279</v>
      </c>
      <c r="D2795" t="s">
        <v>4600</v>
      </c>
      <c r="E2795" s="6">
        <v>160000</v>
      </c>
      <c r="F2795" t="s">
        <v>4599</v>
      </c>
    </row>
    <row r="2796" spans="1:6">
      <c r="A2796" t="s">
        <v>3848</v>
      </c>
      <c r="B2796" t="s">
        <v>280</v>
      </c>
      <c r="C2796" t="s">
        <v>4118</v>
      </c>
      <c r="D2796" t="s">
        <v>4600</v>
      </c>
      <c r="E2796" s="6">
        <v>160000</v>
      </c>
      <c r="F2796" t="s">
        <v>4599</v>
      </c>
    </row>
    <row r="2797" spans="1:6">
      <c r="A2797" t="s">
        <v>3848</v>
      </c>
      <c r="B2797" t="s">
        <v>280</v>
      </c>
      <c r="C2797" t="s">
        <v>284</v>
      </c>
      <c r="D2797" t="s">
        <v>4600</v>
      </c>
      <c r="E2797" s="6">
        <v>160000</v>
      </c>
      <c r="F2797" t="s">
        <v>4599</v>
      </c>
    </row>
    <row r="2798" spans="1:6">
      <c r="A2798" t="s">
        <v>3848</v>
      </c>
      <c r="B2798" t="s">
        <v>280</v>
      </c>
      <c r="C2798" t="s">
        <v>4119</v>
      </c>
      <c r="D2798" t="s">
        <v>4600</v>
      </c>
      <c r="E2798" s="6">
        <v>160000</v>
      </c>
      <c r="F2798" t="s">
        <v>4599</v>
      </c>
    </row>
    <row r="2799" spans="1:6">
      <c r="A2799" t="s">
        <v>3849</v>
      </c>
      <c r="B2799" t="s">
        <v>280</v>
      </c>
      <c r="C2799" t="s">
        <v>279</v>
      </c>
      <c r="D2799" t="s">
        <v>281</v>
      </c>
      <c r="E2799" s="6">
        <v>80000</v>
      </c>
      <c r="F2799" t="s">
        <v>4599</v>
      </c>
    </row>
    <row r="2800" spans="1:6">
      <c r="A2800" t="s">
        <v>3849</v>
      </c>
      <c r="B2800" t="s">
        <v>280</v>
      </c>
      <c r="C2800" t="s">
        <v>4118</v>
      </c>
      <c r="D2800" t="s">
        <v>281</v>
      </c>
      <c r="E2800" s="6">
        <v>80000</v>
      </c>
      <c r="F2800" t="s">
        <v>4599</v>
      </c>
    </row>
    <row r="2801" spans="1:6">
      <c r="A2801" t="s">
        <v>3849</v>
      </c>
      <c r="B2801" t="s">
        <v>280</v>
      </c>
      <c r="C2801" t="s">
        <v>284</v>
      </c>
      <c r="D2801" t="s">
        <v>281</v>
      </c>
      <c r="E2801" s="6">
        <v>80000</v>
      </c>
      <c r="F2801" t="s">
        <v>4599</v>
      </c>
    </row>
    <row r="2802" spans="1:6">
      <c r="A2802" t="s">
        <v>3849</v>
      </c>
      <c r="B2802" t="s">
        <v>280</v>
      </c>
      <c r="C2802" t="s">
        <v>4119</v>
      </c>
      <c r="D2802" t="s">
        <v>281</v>
      </c>
      <c r="E2802" s="6">
        <v>80000</v>
      </c>
      <c r="F2802" t="s">
        <v>4599</v>
      </c>
    </row>
    <row r="2803" spans="1:6">
      <c r="A2803" t="s">
        <v>3849</v>
      </c>
      <c r="B2803" t="s">
        <v>280</v>
      </c>
      <c r="C2803" t="s">
        <v>279</v>
      </c>
      <c r="D2803" t="s">
        <v>4600</v>
      </c>
      <c r="E2803" s="6">
        <v>278645</v>
      </c>
      <c r="F2803" t="s">
        <v>4599</v>
      </c>
    </row>
    <row r="2804" spans="1:6">
      <c r="A2804" t="s">
        <v>3849</v>
      </c>
      <c r="B2804" t="s">
        <v>280</v>
      </c>
      <c r="C2804" t="s">
        <v>4118</v>
      </c>
      <c r="D2804" t="s">
        <v>4600</v>
      </c>
      <c r="E2804" s="6">
        <v>278645</v>
      </c>
      <c r="F2804" t="s">
        <v>4599</v>
      </c>
    </row>
    <row r="2805" spans="1:6">
      <c r="A2805" t="s">
        <v>3849</v>
      </c>
      <c r="B2805" t="s">
        <v>280</v>
      </c>
      <c r="C2805" t="s">
        <v>279</v>
      </c>
      <c r="D2805" t="s">
        <v>4600</v>
      </c>
      <c r="E2805" s="6">
        <v>160000</v>
      </c>
      <c r="F2805" t="s">
        <v>4599</v>
      </c>
    </row>
    <row r="2806" spans="1:6">
      <c r="A2806" t="s">
        <v>3849</v>
      </c>
      <c r="B2806" t="s">
        <v>280</v>
      </c>
      <c r="C2806" t="s">
        <v>4118</v>
      </c>
      <c r="D2806" t="s">
        <v>4600</v>
      </c>
      <c r="E2806" s="6">
        <v>160000</v>
      </c>
      <c r="F2806" t="s">
        <v>4599</v>
      </c>
    </row>
    <row r="2807" spans="1:6">
      <c r="A2807" t="s">
        <v>3849</v>
      </c>
      <c r="B2807" t="s">
        <v>280</v>
      </c>
      <c r="C2807" t="s">
        <v>284</v>
      </c>
      <c r="D2807" t="s">
        <v>4600</v>
      </c>
      <c r="E2807" s="6">
        <v>160000</v>
      </c>
      <c r="F2807" t="s">
        <v>4599</v>
      </c>
    </row>
    <row r="2808" spans="1:6">
      <c r="A2808" t="s">
        <v>3849</v>
      </c>
      <c r="B2808" t="s">
        <v>280</v>
      </c>
      <c r="C2808" t="s">
        <v>4119</v>
      </c>
      <c r="D2808" t="s">
        <v>4600</v>
      </c>
      <c r="E2808" s="6">
        <v>160000</v>
      </c>
      <c r="F2808" t="s">
        <v>4599</v>
      </c>
    </row>
    <row r="2809" spans="1:6">
      <c r="A2809" t="s">
        <v>3850</v>
      </c>
      <c r="B2809" t="s">
        <v>280</v>
      </c>
      <c r="C2809" t="s">
        <v>279</v>
      </c>
      <c r="D2809" t="s">
        <v>281</v>
      </c>
      <c r="E2809" s="6">
        <v>80000</v>
      </c>
      <c r="F2809" t="s">
        <v>4599</v>
      </c>
    </row>
    <row r="2810" spans="1:6">
      <c r="A2810" t="s">
        <v>3850</v>
      </c>
      <c r="B2810" t="s">
        <v>280</v>
      </c>
      <c r="C2810" t="s">
        <v>4118</v>
      </c>
      <c r="D2810" t="s">
        <v>281</v>
      </c>
      <c r="E2810" s="6">
        <v>80000</v>
      </c>
      <c r="F2810" t="s">
        <v>4599</v>
      </c>
    </row>
    <row r="2811" spans="1:6">
      <c r="A2811" t="s">
        <v>3850</v>
      </c>
      <c r="B2811" t="s">
        <v>280</v>
      </c>
      <c r="C2811" t="s">
        <v>284</v>
      </c>
      <c r="D2811" t="s">
        <v>281</v>
      </c>
      <c r="E2811" s="6">
        <v>80000</v>
      </c>
      <c r="F2811" t="s">
        <v>4599</v>
      </c>
    </row>
    <row r="2812" spans="1:6">
      <c r="A2812" t="s">
        <v>3850</v>
      </c>
      <c r="B2812" t="s">
        <v>280</v>
      </c>
      <c r="C2812" t="s">
        <v>4119</v>
      </c>
      <c r="D2812" t="s">
        <v>281</v>
      </c>
      <c r="E2812" s="6">
        <v>80000</v>
      </c>
      <c r="F2812" t="s">
        <v>4599</v>
      </c>
    </row>
    <row r="2813" spans="1:6">
      <c r="A2813" t="s">
        <v>3850</v>
      </c>
      <c r="B2813" t="s">
        <v>280</v>
      </c>
      <c r="C2813" t="s">
        <v>279</v>
      </c>
      <c r="D2813" t="s">
        <v>4600</v>
      </c>
      <c r="E2813" s="6">
        <v>278645</v>
      </c>
      <c r="F2813" t="s">
        <v>4599</v>
      </c>
    </row>
    <row r="2814" spans="1:6">
      <c r="A2814" t="s">
        <v>3850</v>
      </c>
      <c r="B2814" t="s">
        <v>280</v>
      </c>
      <c r="C2814" t="s">
        <v>4118</v>
      </c>
      <c r="D2814" t="s">
        <v>4600</v>
      </c>
      <c r="E2814" s="6">
        <v>278645</v>
      </c>
      <c r="F2814" t="s">
        <v>4599</v>
      </c>
    </row>
    <row r="2815" spans="1:6">
      <c r="A2815" t="s">
        <v>3850</v>
      </c>
      <c r="B2815" t="s">
        <v>280</v>
      </c>
      <c r="C2815" t="s">
        <v>279</v>
      </c>
      <c r="D2815" t="s">
        <v>4600</v>
      </c>
      <c r="E2815" s="6">
        <v>160000</v>
      </c>
      <c r="F2815" t="s">
        <v>4599</v>
      </c>
    </row>
    <row r="2816" spans="1:6">
      <c r="A2816" t="s">
        <v>3850</v>
      </c>
      <c r="B2816" t="s">
        <v>280</v>
      </c>
      <c r="C2816" t="s">
        <v>4118</v>
      </c>
      <c r="D2816" t="s">
        <v>4600</v>
      </c>
      <c r="E2816" s="6">
        <v>160000</v>
      </c>
      <c r="F2816" t="s">
        <v>4599</v>
      </c>
    </row>
    <row r="2817" spans="1:6">
      <c r="A2817" t="s">
        <v>3850</v>
      </c>
      <c r="B2817" t="s">
        <v>280</v>
      </c>
      <c r="C2817" t="s">
        <v>284</v>
      </c>
      <c r="D2817" t="s">
        <v>4600</v>
      </c>
      <c r="E2817" s="6">
        <v>160000</v>
      </c>
      <c r="F2817" t="s">
        <v>4599</v>
      </c>
    </row>
    <row r="2818" spans="1:6">
      <c r="A2818" t="s">
        <v>3850</v>
      </c>
      <c r="B2818" t="s">
        <v>280</v>
      </c>
      <c r="C2818" t="s">
        <v>4119</v>
      </c>
      <c r="D2818" t="s">
        <v>4600</v>
      </c>
      <c r="E2818" s="6">
        <v>160000</v>
      </c>
      <c r="F2818" t="s">
        <v>4599</v>
      </c>
    </row>
    <row r="2819" spans="1:6">
      <c r="A2819" t="s">
        <v>3851</v>
      </c>
      <c r="B2819" t="s">
        <v>280</v>
      </c>
      <c r="C2819" t="s">
        <v>279</v>
      </c>
      <c r="D2819" t="s">
        <v>281</v>
      </c>
      <c r="E2819" s="6">
        <v>80000</v>
      </c>
      <c r="F2819" t="s">
        <v>4074</v>
      </c>
    </row>
    <row r="2820" spans="1:6">
      <c r="A2820" t="s">
        <v>3851</v>
      </c>
      <c r="B2820" t="s">
        <v>280</v>
      </c>
      <c r="C2820" t="s">
        <v>4118</v>
      </c>
      <c r="D2820" t="s">
        <v>281</v>
      </c>
      <c r="E2820" s="6">
        <v>78750</v>
      </c>
      <c r="F2820" t="s">
        <v>4074</v>
      </c>
    </row>
    <row r="2821" spans="1:6">
      <c r="A2821" t="s">
        <v>3851</v>
      </c>
      <c r="B2821" t="s">
        <v>280</v>
      </c>
      <c r="C2821" t="s">
        <v>284</v>
      </c>
      <c r="D2821" t="s">
        <v>281</v>
      </c>
      <c r="E2821" s="6">
        <v>70000</v>
      </c>
      <c r="F2821" t="s">
        <v>4074</v>
      </c>
    </row>
    <row r="2822" spans="1:6">
      <c r="A2822" t="s">
        <v>3851</v>
      </c>
      <c r="B2822" t="s">
        <v>280</v>
      </c>
      <c r="C2822" t="s">
        <v>4119</v>
      </c>
      <c r="D2822" t="s">
        <v>281</v>
      </c>
      <c r="E2822" s="6">
        <v>80000</v>
      </c>
      <c r="F2822" t="s">
        <v>4599</v>
      </c>
    </row>
    <row r="2823" spans="1:6">
      <c r="A2823" t="s">
        <v>3851</v>
      </c>
      <c r="B2823" t="s">
        <v>280</v>
      </c>
      <c r="C2823" t="s">
        <v>279</v>
      </c>
      <c r="D2823" t="s">
        <v>4600</v>
      </c>
      <c r="E2823" s="6">
        <v>278645</v>
      </c>
      <c r="F2823" t="s">
        <v>4599</v>
      </c>
    </row>
    <row r="2824" spans="1:6">
      <c r="A2824" t="s">
        <v>3851</v>
      </c>
      <c r="B2824" t="s">
        <v>280</v>
      </c>
      <c r="C2824" t="s">
        <v>4118</v>
      </c>
      <c r="D2824" t="s">
        <v>4600</v>
      </c>
      <c r="E2824" s="6">
        <v>278645</v>
      </c>
      <c r="F2824" t="s">
        <v>4599</v>
      </c>
    </row>
    <row r="2825" spans="1:6">
      <c r="A2825" t="s">
        <v>3851</v>
      </c>
      <c r="B2825" t="s">
        <v>280</v>
      </c>
      <c r="C2825" t="s">
        <v>279</v>
      </c>
      <c r="D2825" t="s">
        <v>4600</v>
      </c>
      <c r="E2825" s="6">
        <v>160000</v>
      </c>
      <c r="F2825" t="s">
        <v>4599</v>
      </c>
    </row>
    <row r="2826" spans="1:6">
      <c r="A2826" t="s">
        <v>3851</v>
      </c>
      <c r="B2826" t="s">
        <v>280</v>
      </c>
      <c r="C2826" t="s">
        <v>4118</v>
      </c>
      <c r="D2826" t="s">
        <v>4600</v>
      </c>
      <c r="E2826" s="6">
        <v>140833</v>
      </c>
      <c r="F2826" t="s">
        <v>4074</v>
      </c>
    </row>
    <row r="2827" spans="1:6">
      <c r="A2827" t="s">
        <v>3851</v>
      </c>
      <c r="B2827" t="s">
        <v>280</v>
      </c>
      <c r="C2827" t="s">
        <v>284</v>
      </c>
      <c r="D2827" t="s">
        <v>4600</v>
      </c>
      <c r="E2827" s="6">
        <v>120000</v>
      </c>
      <c r="F2827" t="s">
        <v>4074</v>
      </c>
    </row>
    <row r="2828" spans="1:6">
      <c r="A2828" t="s">
        <v>3851</v>
      </c>
      <c r="B2828" t="s">
        <v>280</v>
      </c>
      <c r="C2828" t="s">
        <v>4119</v>
      </c>
      <c r="D2828" t="s">
        <v>4600</v>
      </c>
      <c r="E2828" s="6">
        <v>160000</v>
      </c>
      <c r="F2828" t="s">
        <v>4599</v>
      </c>
    </row>
    <row r="2829" spans="1:6">
      <c r="A2829" t="s">
        <v>3852</v>
      </c>
      <c r="B2829" t="s">
        <v>280</v>
      </c>
      <c r="C2829" t="s">
        <v>279</v>
      </c>
      <c r="D2829" t="s">
        <v>281</v>
      </c>
      <c r="E2829" s="6">
        <v>80000</v>
      </c>
      <c r="F2829" t="s">
        <v>4599</v>
      </c>
    </row>
    <row r="2830" spans="1:6">
      <c r="A2830" t="s">
        <v>3852</v>
      </c>
      <c r="B2830" t="s">
        <v>280</v>
      </c>
      <c r="C2830" t="s">
        <v>4118</v>
      </c>
      <c r="D2830" t="s">
        <v>281</v>
      </c>
      <c r="E2830" s="6">
        <v>80000</v>
      </c>
      <c r="F2830" t="s">
        <v>4599</v>
      </c>
    </row>
    <row r="2831" spans="1:6">
      <c r="A2831" t="s">
        <v>3852</v>
      </c>
      <c r="B2831" t="s">
        <v>280</v>
      </c>
      <c r="C2831" t="s">
        <v>284</v>
      </c>
      <c r="D2831" t="s">
        <v>281</v>
      </c>
      <c r="E2831" s="6">
        <v>80000</v>
      </c>
      <c r="F2831" t="s">
        <v>4599</v>
      </c>
    </row>
    <row r="2832" spans="1:6">
      <c r="A2832" t="s">
        <v>3852</v>
      </c>
      <c r="B2832" t="s">
        <v>280</v>
      </c>
      <c r="C2832" t="s">
        <v>4119</v>
      </c>
      <c r="D2832" t="s">
        <v>281</v>
      </c>
      <c r="E2832" s="6">
        <v>80000</v>
      </c>
      <c r="F2832" t="s">
        <v>4599</v>
      </c>
    </row>
    <row r="2833" spans="1:6">
      <c r="A2833" t="s">
        <v>3852</v>
      </c>
      <c r="B2833" t="s">
        <v>280</v>
      </c>
      <c r="C2833" t="s">
        <v>279</v>
      </c>
      <c r="D2833" t="s">
        <v>4600</v>
      </c>
      <c r="E2833" s="6">
        <v>278645</v>
      </c>
      <c r="F2833" t="s">
        <v>4599</v>
      </c>
    </row>
    <row r="2834" spans="1:6">
      <c r="A2834" t="s">
        <v>3852</v>
      </c>
      <c r="B2834" t="s">
        <v>280</v>
      </c>
      <c r="C2834" t="s">
        <v>4118</v>
      </c>
      <c r="D2834" t="s">
        <v>4600</v>
      </c>
      <c r="E2834" s="6">
        <v>278645</v>
      </c>
      <c r="F2834" t="s">
        <v>4599</v>
      </c>
    </row>
    <row r="2835" spans="1:6">
      <c r="A2835" t="s">
        <v>3852</v>
      </c>
      <c r="B2835" t="s">
        <v>280</v>
      </c>
      <c r="C2835" t="s">
        <v>279</v>
      </c>
      <c r="D2835" t="s">
        <v>4600</v>
      </c>
      <c r="E2835" s="6">
        <v>393333</v>
      </c>
      <c r="F2835" t="s">
        <v>4074</v>
      </c>
    </row>
    <row r="2836" spans="1:6">
      <c r="A2836" t="s">
        <v>3852</v>
      </c>
      <c r="B2836" t="s">
        <v>280</v>
      </c>
      <c r="C2836" t="s">
        <v>4118</v>
      </c>
      <c r="D2836" t="s">
        <v>4600</v>
      </c>
      <c r="E2836" s="6">
        <v>160000</v>
      </c>
      <c r="F2836" t="s">
        <v>4599</v>
      </c>
    </row>
    <row r="2837" spans="1:6">
      <c r="A2837" t="s">
        <v>3852</v>
      </c>
      <c r="B2837" t="s">
        <v>280</v>
      </c>
      <c r="C2837" t="s">
        <v>284</v>
      </c>
      <c r="D2837" t="s">
        <v>4600</v>
      </c>
      <c r="E2837" s="6">
        <v>150000</v>
      </c>
      <c r="F2837" t="s">
        <v>4074</v>
      </c>
    </row>
    <row r="2838" spans="1:6">
      <c r="A2838" t="s">
        <v>3852</v>
      </c>
      <c r="B2838" t="s">
        <v>280</v>
      </c>
      <c r="C2838" t="s">
        <v>4119</v>
      </c>
      <c r="D2838" t="s">
        <v>4600</v>
      </c>
      <c r="E2838" s="6">
        <v>160000</v>
      </c>
      <c r="F2838" t="s">
        <v>4599</v>
      </c>
    </row>
    <row r="2839" spans="1:6">
      <c r="A2839" t="s">
        <v>3853</v>
      </c>
      <c r="B2839" t="s">
        <v>280</v>
      </c>
      <c r="C2839" t="s">
        <v>279</v>
      </c>
      <c r="D2839" t="s">
        <v>281</v>
      </c>
      <c r="E2839" s="6">
        <v>80000</v>
      </c>
      <c r="F2839" t="s">
        <v>4599</v>
      </c>
    </row>
    <row r="2840" spans="1:6">
      <c r="A2840" t="s">
        <v>3853</v>
      </c>
      <c r="B2840" t="s">
        <v>280</v>
      </c>
      <c r="C2840" t="s">
        <v>4118</v>
      </c>
      <c r="D2840" t="s">
        <v>281</v>
      </c>
      <c r="E2840" s="6">
        <v>80000</v>
      </c>
      <c r="F2840" t="s">
        <v>4599</v>
      </c>
    </row>
    <row r="2841" spans="1:6">
      <c r="A2841" t="s">
        <v>3853</v>
      </c>
      <c r="B2841" t="s">
        <v>280</v>
      </c>
      <c r="C2841" t="s">
        <v>284</v>
      </c>
      <c r="D2841" t="s">
        <v>281</v>
      </c>
      <c r="E2841" s="6">
        <v>80000</v>
      </c>
      <c r="F2841" t="s">
        <v>4599</v>
      </c>
    </row>
    <row r="2842" spans="1:6">
      <c r="A2842" t="s">
        <v>3853</v>
      </c>
      <c r="B2842" t="s">
        <v>280</v>
      </c>
      <c r="C2842" t="s">
        <v>4119</v>
      </c>
      <c r="D2842" t="s">
        <v>281</v>
      </c>
      <c r="E2842" s="6">
        <v>80000</v>
      </c>
      <c r="F2842" t="s">
        <v>4599</v>
      </c>
    </row>
    <row r="2843" spans="1:6">
      <c r="A2843" t="s">
        <v>3853</v>
      </c>
      <c r="B2843" t="s">
        <v>280</v>
      </c>
      <c r="C2843" t="s">
        <v>279</v>
      </c>
      <c r="D2843" t="s">
        <v>4600</v>
      </c>
      <c r="E2843" s="6">
        <v>278645</v>
      </c>
      <c r="F2843" t="s">
        <v>4599</v>
      </c>
    </row>
    <row r="2844" spans="1:6">
      <c r="A2844" t="s">
        <v>3853</v>
      </c>
      <c r="B2844" t="s">
        <v>280</v>
      </c>
      <c r="C2844" t="s">
        <v>4118</v>
      </c>
      <c r="D2844" t="s">
        <v>4600</v>
      </c>
      <c r="E2844" s="6">
        <v>278645</v>
      </c>
      <c r="F2844" t="s">
        <v>4599</v>
      </c>
    </row>
    <row r="2845" spans="1:6">
      <c r="A2845" t="s">
        <v>3853</v>
      </c>
      <c r="B2845" t="s">
        <v>280</v>
      </c>
      <c r="C2845" t="s">
        <v>279</v>
      </c>
      <c r="D2845" t="s">
        <v>4600</v>
      </c>
      <c r="E2845" s="6">
        <v>160000</v>
      </c>
      <c r="F2845" t="s">
        <v>4599</v>
      </c>
    </row>
    <row r="2846" spans="1:6">
      <c r="A2846" t="s">
        <v>3853</v>
      </c>
      <c r="B2846" t="s">
        <v>280</v>
      </c>
      <c r="C2846" t="s">
        <v>4118</v>
      </c>
      <c r="D2846" t="s">
        <v>4600</v>
      </c>
      <c r="E2846" s="6">
        <v>140000</v>
      </c>
      <c r="F2846" t="s">
        <v>4074</v>
      </c>
    </row>
    <row r="2847" spans="1:6">
      <c r="A2847" t="s">
        <v>3853</v>
      </c>
      <c r="B2847" t="s">
        <v>280</v>
      </c>
      <c r="C2847" t="s">
        <v>284</v>
      </c>
      <c r="D2847" t="s">
        <v>4600</v>
      </c>
      <c r="E2847" s="6">
        <v>140000</v>
      </c>
      <c r="F2847" t="s">
        <v>4074</v>
      </c>
    </row>
    <row r="2848" spans="1:6">
      <c r="A2848" t="s">
        <v>3853</v>
      </c>
      <c r="B2848" t="s">
        <v>280</v>
      </c>
      <c r="C2848" t="s">
        <v>4119</v>
      </c>
      <c r="D2848" t="s">
        <v>4600</v>
      </c>
      <c r="E2848" s="6">
        <v>160000</v>
      </c>
      <c r="F2848" t="s">
        <v>4599</v>
      </c>
    </row>
    <row r="2849" spans="1:6">
      <c r="A2849" t="s">
        <v>3854</v>
      </c>
      <c r="B2849" t="s">
        <v>280</v>
      </c>
      <c r="C2849" t="s">
        <v>279</v>
      </c>
      <c r="D2849" t="s">
        <v>281</v>
      </c>
      <c r="E2849" s="6">
        <v>80000</v>
      </c>
      <c r="F2849" t="s">
        <v>4599</v>
      </c>
    </row>
    <row r="2850" spans="1:6">
      <c r="A2850" t="s">
        <v>3854</v>
      </c>
      <c r="B2850" t="s">
        <v>280</v>
      </c>
      <c r="C2850" t="s">
        <v>4118</v>
      </c>
      <c r="D2850" t="s">
        <v>281</v>
      </c>
      <c r="E2850" s="6">
        <v>80000</v>
      </c>
      <c r="F2850" t="s">
        <v>4599</v>
      </c>
    </row>
    <row r="2851" spans="1:6">
      <c r="A2851" t="s">
        <v>3854</v>
      </c>
      <c r="B2851" t="s">
        <v>280</v>
      </c>
      <c r="C2851" t="s">
        <v>284</v>
      </c>
      <c r="D2851" t="s">
        <v>281</v>
      </c>
      <c r="E2851" s="6">
        <v>80000</v>
      </c>
      <c r="F2851" t="s">
        <v>4599</v>
      </c>
    </row>
    <row r="2852" spans="1:6">
      <c r="A2852" t="s">
        <v>3854</v>
      </c>
      <c r="B2852" t="s">
        <v>280</v>
      </c>
      <c r="C2852" t="s">
        <v>4119</v>
      </c>
      <c r="D2852" t="s">
        <v>281</v>
      </c>
      <c r="E2852" s="6">
        <v>80000</v>
      </c>
      <c r="F2852" t="s">
        <v>4599</v>
      </c>
    </row>
    <row r="2853" spans="1:6">
      <c r="A2853" t="s">
        <v>3854</v>
      </c>
      <c r="B2853" t="s">
        <v>280</v>
      </c>
      <c r="C2853" t="s">
        <v>279</v>
      </c>
      <c r="D2853" t="s">
        <v>4600</v>
      </c>
      <c r="E2853" s="6">
        <v>268230</v>
      </c>
      <c r="F2853" t="s">
        <v>4074</v>
      </c>
    </row>
    <row r="2854" spans="1:6">
      <c r="A2854" t="s">
        <v>3854</v>
      </c>
      <c r="B2854" t="s">
        <v>280</v>
      </c>
      <c r="C2854" t="s">
        <v>4118</v>
      </c>
      <c r="D2854" t="s">
        <v>4600</v>
      </c>
      <c r="E2854" s="6">
        <v>276823</v>
      </c>
      <c r="F2854" t="s">
        <v>4074</v>
      </c>
    </row>
    <row r="2855" spans="1:6">
      <c r="A2855" t="s">
        <v>3854</v>
      </c>
      <c r="B2855" t="s">
        <v>280</v>
      </c>
      <c r="C2855" t="s">
        <v>279</v>
      </c>
      <c r="D2855" t="s">
        <v>4600</v>
      </c>
      <c r="E2855" s="6">
        <v>188333</v>
      </c>
      <c r="F2855" t="s">
        <v>4074</v>
      </c>
    </row>
    <row r="2856" spans="1:6">
      <c r="A2856" t="s">
        <v>3854</v>
      </c>
      <c r="B2856" t="s">
        <v>280</v>
      </c>
      <c r="C2856" t="s">
        <v>4118</v>
      </c>
      <c r="D2856" t="s">
        <v>4600</v>
      </c>
      <c r="E2856" s="6">
        <v>189167</v>
      </c>
      <c r="F2856" t="s">
        <v>4074</v>
      </c>
    </row>
    <row r="2857" spans="1:6">
      <c r="A2857" t="s">
        <v>3854</v>
      </c>
      <c r="B2857" t="s">
        <v>280</v>
      </c>
      <c r="C2857" t="s">
        <v>284</v>
      </c>
      <c r="D2857" t="s">
        <v>4600</v>
      </c>
      <c r="E2857" s="6">
        <v>183333</v>
      </c>
      <c r="F2857" t="s">
        <v>4074</v>
      </c>
    </row>
    <row r="2858" spans="1:6">
      <c r="A2858" t="s">
        <v>3854</v>
      </c>
      <c r="B2858" t="s">
        <v>280</v>
      </c>
      <c r="C2858" t="s">
        <v>4119</v>
      </c>
      <c r="D2858" t="s">
        <v>4600</v>
      </c>
      <c r="E2858" s="6">
        <v>160000</v>
      </c>
      <c r="F2858" t="s">
        <v>4599</v>
      </c>
    </row>
    <row r="2859" spans="1:6">
      <c r="A2859" t="s">
        <v>4448</v>
      </c>
      <c r="B2859" t="s">
        <v>280</v>
      </c>
      <c r="C2859" t="s">
        <v>279</v>
      </c>
      <c r="D2859" t="s">
        <v>281</v>
      </c>
      <c r="E2859" s="6">
        <v>80000</v>
      </c>
      <c r="F2859" t="s">
        <v>4599</v>
      </c>
    </row>
    <row r="2860" spans="1:6">
      <c r="A2860" t="s">
        <v>4448</v>
      </c>
      <c r="B2860" t="s">
        <v>280</v>
      </c>
      <c r="C2860" t="s">
        <v>4118</v>
      </c>
      <c r="D2860" t="s">
        <v>281</v>
      </c>
      <c r="E2860" s="6">
        <v>80000</v>
      </c>
      <c r="F2860" t="s">
        <v>4599</v>
      </c>
    </row>
    <row r="2861" spans="1:6">
      <c r="A2861" t="s">
        <v>4448</v>
      </c>
      <c r="B2861" t="s">
        <v>280</v>
      </c>
      <c r="C2861" t="s">
        <v>284</v>
      </c>
      <c r="D2861" t="s">
        <v>281</v>
      </c>
      <c r="E2861" s="6">
        <v>80000</v>
      </c>
      <c r="F2861" t="s">
        <v>4599</v>
      </c>
    </row>
    <row r="2862" spans="1:6">
      <c r="A2862" t="s">
        <v>4448</v>
      </c>
      <c r="B2862" t="s">
        <v>280</v>
      </c>
      <c r="C2862" t="s">
        <v>4119</v>
      </c>
      <c r="D2862" t="s">
        <v>281</v>
      </c>
      <c r="E2862" s="6">
        <v>80000</v>
      </c>
      <c r="F2862" t="s">
        <v>4599</v>
      </c>
    </row>
    <row r="2863" spans="1:6">
      <c r="A2863" t="s">
        <v>4448</v>
      </c>
      <c r="B2863" t="s">
        <v>280</v>
      </c>
      <c r="C2863" t="s">
        <v>279</v>
      </c>
      <c r="D2863" t="s">
        <v>4600</v>
      </c>
      <c r="E2863" s="6">
        <v>278645</v>
      </c>
      <c r="F2863" t="s">
        <v>4599</v>
      </c>
    </row>
    <row r="2864" spans="1:6">
      <c r="A2864" t="s">
        <v>4448</v>
      </c>
      <c r="B2864" t="s">
        <v>280</v>
      </c>
      <c r="C2864" t="s">
        <v>4118</v>
      </c>
      <c r="D2864" t="s">
        <v>4600</v>
      </c>
      <c r="E2864" s="6">
        <v>278645</v>
      </c>
      <c r="F2864" t="s">
        <v>4599</v>
      </c>
    </row>
    <row r="2865" spans="1:6">
      <c r="A2865" t="s">
        <v>4448</v>
      </c>
      <c r="B2865" t="s">
        <v>280</v>
      </c>
      <c r="C2865" t="s">
        <v>279</v>
      </c>
      <c r="D2865" t="s">
        <v>4600</v>
      </c>
      <c r="E2865" s="6">
        <v>160000</v>
      </c>
      <c r="F2865" t="s">
        <v>4599</v>
      </c>
    </row>
    <row r="2866" spans="1:6">
      <c r="A2866" t="s">
        <v>4448</v>
      </c>
      <c r="B2866" t="s">
        <v>280</v>
      </c>
      <c r="C2866" t="s">
        <v>4118</v>
      </c>
      <c r="D2866" t="s">
        <v>4600</v>
      </c>
      <c r="E2866" s="6">
        <v>160000</v>
      </c>
      <c r="F2866" t="s">
        <v>4599</v>
      </c>
    </row>
    <row r="2867" spans="1:6">
      <c r="A2867" t="s">
        <v>4448</v>
      </c>
      <c r="B2867" t="s">
        <v>280</v>
      </c>
      <c r="C2867" t="s">
        <v>284</v>
      </c>
      <c r="D2867" t="s">
        <v>4600</v>
      </c>
      <c r="E2867" s="6">
        <v>160000</v>
      </c>
      <c r="F2867" t="s">
        <v>4599</v>
      </c>
    </row>
    <row r="2868" spans="1:6">
      <c r="A2868" t="s">
        <v>4448</v>
      </c>
      <c r="B2868" t="s">
        <v>280</v>
      </c>
      <c r="C2868" t="s">
        <v>4119</v>
      </c>
      <c r="D2868" t="s">
        <v>4600</v>
      </c>
      <c r="E2868" s="6">
        <v>160000</v>
      </c>
      <c r="F2868" t="s">
        <v>4599</v>
      </c>
    </row>
    <row r="2869" spans="1:6">
      <c r="A2869" t="s">
        <v>4449</v>
      </c>
      <c r="B2869" t="s">
        <v>280</v>
      </c>
      <c r="C2869" t="s">
        <v>279</v>
      </c>
      <c r="D2869" t="s">
        <v>281</v>
      </c>
      <c r="E2869" s="6">
        <v>80000</v>
      </c>
      <c r="F2869" t="s">
        <v>4599</v>
      </c>
    </row>
    <row r="2870" spans="1:6">
      <c r="A2870" t="s">
        <v>4449</v>
      </c>
      <c r="B2870" t="s">
        <v>280</v>
      </c>
      <c r="C2870" t="s">
        <v>4118</v>
      </c>
      <c r="D2870" t="s">
        <v>281</v>
      </c>
      <c r="E2870" s="6">
        <v>80000</v>
      </c>
      <c r="F2870" t="s">
        <v>4599</v>
      </c>
    </row>
    <row r="2871" spans="1:6">
      <c r="A2871" t="s">
        <v>4449</v>
      </c>
      <c r="B2871" t="s">
        <v>280</v>
      </c>
      <c r="C2871" t="s">
        <v>284</v>
      </c>
      <c r="D2871" t="s">
        <v>281</v>
      </c>
      <c r="E2871" s="6">
        <v>80000</v>
      </c>
      <c r="F2871" t="s">
        <v>4599</v>
      </c>
    </row>
    <row r="2872" spans="1:6">
      <c r="A2872" t="s">
        <v>4449</v>
      </c>
      <c r="B2872" t="s">
        <v>280</v>
      </c>
      <c r="C2872" t="s">
        <v>4119</v>
      </c>
      <c r="D2872" t="s">
        <v>281</v>
      </c>
      <c r="E2872" s="6">
        <v>80000</v>
      </c>
      <c r="F2872" t="s">
        <v>4599</v>
      </c>
    </row>
    <row r="2873" spans="1:6">
      <c r="A2873" t="s">
        <v>4449</v>
      </c>
      <c r="B2873" t="s">
        <v>280</v>
      </c>
      <c r="C2873" t="s">
        <v>279</v>
      </c>
      <c r="D2873" t="s">
        <v>4600</v>
      </c>
      <c r="E2873" s="6">
        <v>278645</v>
      </c>
      <c r="F2873" t="s">
        <v>4599</v>
      </c>
    </row>
    <row r="2874" spans="1:6">
      <c r="A2874" t="s">
        <v>4449</v>
      </c>
      <c r="B2874" t="s">
        <v>280</v>
      </c>
      <c r="C2874" t="s">
        <v>4118</v>
      </c>
      <c r="D2874" t="s">
        <v>4600</v>
      </c>
      <c r="E2874" s="6">
        <v>278645</v>
      </c>
      <c r="F2874" t="s">
        <v>4599</v>
      </c>
    </row>
    <row r="2875" spans="1:6">
      <c r="A2875" t="s">
        <v>4449</v>
      </c>
      <c r="B2875" t="s">
        <v>280</v>
      </c>
      <c r="C2875" t="s">
        <v>279</v>
      </c>
      <c r="D2875" t="s">
        <v>4600</v>
      </c>
      <c r="E2875" s="6">
        <v>160000</v>
      </c>
      <c r="F2875" t="s">
        <v>4599</v>
      </c>
    </row>
    <row r="2876" spans="1:6">
      <c r="A2876" t="s">
        <v>4449</v>
      </c>
      <c r="B2876" t="s">
        <v>280</v>
      </c>
      <c r="C2876" t="s">
        <v>4118</v>
      </c>
      <c r="D2876" t="s">
        <v>4600</v>
      </c>
      <c r="E2876" s="6">
        <v>160000</v>
      </c>
      <c r="F2876" t="s">
        <v>4599</v>
      </c>
    </row>
    <row r="2877" spans="1:6">
      <c r="A2877" t="s">
        <v>4449</v>
      </c>
      <c r="B2877" t="s">
        <v>280</v>
      </c>
      <c r="C2877" t="s">
        <v>284</v>
      </c>
      <c r="D2877" t="s">
        <v>4600</v>
      </c>
      <c r="E2877" s="6">
        <v>160000</v>
      </c>
      <c r="F2877" t="s">
        <v>4599</v>
      </c>
    </row>
    <row r="2878" spans="1:6">
      <c r="A2878" t="s">
        <v>4449</v>
      </c>
      <c r="B2878" t="s">
        <v>280</v>
      </c>
      <c r="C2878" t="s">
        <v>4119</v>
      </c>
      <c r="D2878" t="s">
        <v>4600</v>
      </c>
      <c r="E2878" s="6">
        <v>160000</v>
      </c>
      <c r="F2878" t="s">
        <v>4599</v>
      </c>
    </row>
    <row r="2879" spans="1:6">
      <c r="A2879" t="s">
        <v>4450</v>
      </c>
      <c r="B2879" t="s">
        <v>280</v>
      </c>
      <c r="C2879" t="s">
        <v>279</v>
      </c>
      <c r="D2879" t="s">
        <v>281</v>
      </c>
      <c r="E2879" s="6">
        <v>80000</v>
      </c>
      <c r="F2879" t="s">
        <v>4599</v>
      </c>
    </row>
    <row r="2880" spans="1:6">
      <c r="A2880" t="s">
        <v>4450</v>
      </c>
      <c r="B2880" t="s">
        <v>280</v>
      </c>
      <c r="C2880" t="s">
        <v>4118</v>
      </c>
      <c r="D2880" t="s">
        <v>281</v>
      </c>
      <c r="E2880" s="6">
        <v>80000</v>
      </c>
      <c r="F2880" t="s">
        <v>4599</v>
      </c>
    </row>
    <row r="2881" spans="1:6">
      <c r="A2881" t="s">
        <v>4450</v>
      </c>
      <c r="B2881" t="s">
        <v>280</v>
      </c>
      <c r="C2881" t="s">
        <v>284</v>
      </c>
      <c r="D2881" t="s">
        <v>281</v>
      </c>
      <c r="E2881" s="6">
        <v>80000</v>
      </c>
      <c r="F2881" t="s">
        <v>4599</v>
      </c>
    </row>
    <row r="2882" spans="1:6">
      <c r="A2882" t="s">
        <v>4450</v>
      </c>
      <c r="B2882" t="s">
        <v>280</v>
      </c>
      <c r="C2882" t="s">
        <v>4119</v>
      </c>
      <c r="D2882" t="s">
        <v>281</v>
      </c>
      <c r="E2882" s="6">
        <v>80000</v>
      </c>
      <c r="F2882" t="s">
        <v>4599</v>
      </c>
    </row>
    <row r="2883" spans="1:6">
      <c r="A2883" t="s">
        <v>4450</v>
      </c>
      <c r="B2883" t="s">
        <v>280</v>
      </c>
      <c r="C2883" t="s">
        <v>279</v>
      </c>
      <c r="D2883" t="s">
        <v>4600</v>
      </c>
      <c r="E2883" s="6">
        <v>278645</v>
      </c>
      <c r="F2883" t="s">
        <v>4599</v>
      </c>
    </row>
    <row r="2884" spans="1:6">
      <c r="A2884" t="s">
        <v>4450</v>
      </c>
      <c r="B2884" t="s">
        <v>280</v>
      </c>
      <c r="C2884" t="s">
        <v>4118</v>
      </c>
      <c r="D2884" t="s">
        <v>4600</v>
      </c>
      <c r="E2884" s="6">
        <v>278645</v>
      </c>
      <c r="F2884" t="s">
        <v>4599</v>
      </c>
    </row>
    <row r="2885" spans="1:6">
      <c r="A2885" t="s">
        <v>4450</v>
      </c>
      <c r="B2885" t="s">
        <v>280</v>
      </c>
      <c r="C2885" t="s">
        <v>279</v>
      </c>
      <c r="D2885" t="s">
        <v>4600</v>
      </c>
      <c r="E2885" s="6">
        <v>160000</v>
      </c>
      <c r="F2885" t="s">
        <v>4599</v>
      </c>
    </row>
    <row r="2886" spans="1:6">
      <c r="A2886" t="s">
        <v>4450</v>
      </c>
      <c r="B2886" t="s">
        <v>280</v>
      </c>
      <c r="C2886" t="s">
        <v>4118</v>
      </c>
      <c r="D2886" t="s">
        <v>4600</v>
      </c>
      <c r="E2886" s="6">
        <v>160000</v>
      </c>
      <c r="F2886" t="s">
        <v>4599</v>
      </c>
    </row>
    <row r="2887" spans="1:6">
      <c r="A2887" t="s">
        <v>4450</v>
      </c>
      <c r="B2887" t="s">
        <v>280</v>
      </c>
      <c r="C2887" t="s">
        <v>284</v>
      </c>
      <c r="D2887" t="s">
        <v>4600</v>
      </c>
      <c r="E2887" s="6">
        <v>160000</v>
      </c>
      <c r="F2887" t="s">
        <v>4599</v>
      </c>
    </row>
    <row r="2888" spans="1:6">
      <c r="A2888" t="s">
        <v>4450</v>
      </c>
      <c r="B2888" t="s">
        <v>280</v>
      </c>
      <c r="C2888" t="s">
        <v>4119</v>
      </c>
      <c r="D2888" t="s">
        <v>4600</v>
      </c>
      <c r="E2888" s="6">
        <v>160000</v>
      </c>
      <c r="F2888" t="s">
        <v>4599</v>
      </c>
    </row>
    <row r="2889" spans="1:6">
      <c r="A2889" t="s">
        <v>4451</v>
      </c>
      <c r="B2889" t="s">
        <v>280</v>
      </c>
      <c r="C2889" t="s">
        <v>279</v>
      </c>
      <c r="D2889" t="s">
        <v>281</v>
      </c>
      <c r="E2889" s="6">
        <v>80000</v>
      </c>
      <c r="F2889" t="s">
        <v>4599</v>
      </c>
    </row>
    <row r="2890" spans="1:6">
      <c r="A2890" t="s">
        <v>4451</v>
      </c>
      <c r="B2890" t="s">
        <v>280</v>
      </c>
      <c r="C2890" t="s">
        <v>4118</v>
      </c>
      <c r="D2890" t="s">
        <v>281</v>
      </c>
      <c r="E2890" s="6">
        <v>80000</v>
      </c>
      <c r="F2890" t="s">
        <v>4599</v>
      </c>
    </row>
    <row r="2891" spans="1:6">
      <c r="A2891" t="s">
        <v>4451</v>
      </c>
      <c r="B2891" t="s">
        <v>280</v>
      </c>
      <c r="C2891" t="s">
        <v>284</v>
      </c>
      <c r="D2891" t="s">
        <v>281</v>
      </c>
      <c r="E2891" s="6">
        <v>80000</v>
      </c>
      <c r="F2891" t="s">
        <v>4599</v>
      </c>
    </row>
    <row r="2892" spans="1:6">
      <c r="A2892" t="s">
        <v>4451</v>
      </c>
      <c r="B2892" t="s">
        <v>280</v>
      </c>
      <c r="C2892" t="s">
        <v>4119</v>
      </c>
      <c r="D2892" t="s">
        <v>281</v>
      </c>
      <c r="E2892" s="6">
        <v>80000</v>
      </c>
      <c r="F2892" t="s">
        <v>4599</v>
      </c>
    </row>
    <row r="2893" spans="1:6">
      <c r="A2893" t="s">
        <v>4451</v>
      </c>
      <c r="B2893" t="s">
        <v>280</v>
      </c>
      <c r="C2893" t="s">
        <v>279</v>
      </c>
      <c r="D2893" t="s">
        <v>4600</v>
      </c>
      <c r="E2893" s="6">
        <v>278645</v>
      </c>
      <c r="F2893" t="s">
        <v>4599</v>
      </c>
    </row>
    <row r="2894" spans="1:6">
      <c r="A2894" t="s">
        <v>4451</v>
      </c>
      <c r="B2894" t="s">
        <v>280</v>
      </c>
      <c r="C2894" t="s">
        <v>4118</v>
      </c>
      <c r="D2894" t="s">
        <v>4600</v>
      </c>
      <c r="E2894" s="6">
        <v>278645</v>
      </c>
      <c r="F2894" t="s">
        <v>4599</v>
      </c>
    </row>
    <row r="2895" spans="1:6">
      <c r="A2895" t="s">
        <v>4451</v>
      </c>
      <c r="B2895" t="s">
        <v>280</v>
      </c>
      <c r="C2895" t="s">
        <v>279</v>
      </c>
      <c r="D2895" t="s">
        <v>4600</v>
      </c>
      <c r="E2895" s="6">
        <v>160000</v>
      </c>
      <c r="F2895" t="s">
        <v>4599</v>
      </c>
    </row>
    <row r="2896" spans="1:6">
      <c r="A2896" t="s">
        <v>4451</v>
      </c>
      <c r="B2896" t="s">
        <v>280</v>
      </c>
      <c r="C2896" t="s">
        <v>4118</v>
      </c>
      <c r="D2896" t="s">
        <v>4600</v>
      </c>
      <c r="E2896" s="6">
        <v>160000</v>
      </c>
      <c r="F2896" t="s">
        <v>4599</v>
      </c>
    </row>
    <row r="2897" spans="1:6">
      <c r="A2897" t="s">
        <v>4451</v>
      </c>
      <c r="B2897" t="s">
        <v>280</v>
      </c>
      <c r="C2897" t="s">
        <v>284</v>
      </c>
      <c r="D2897" t="s">
        <v>4600</v>
      </c>
      <c r="E2897" s="6">
        <v>160000</v>
      </c>
      <c r="F2897" t="s">
        <v>4599</v>
      </c>
    </row>
    <row r="2898" spans="1:6">
      <c r="A2898" t="s">
        <v>4451</v>
      </c>
      <c r="B2898" t="s">
        <v>280</v>
      </c>
      <c r="C2898" t="s">
        <v>4119</v>
      </c>
      <c r="D2898" t="s">
        <v>4600</v>
      </c>
      <c r="E2898" s="6">
        <v>160000</v>
      </c>
      <c r="F2898" t="s">
        <v>4599</v>
      </c>
    </row>
    <row r="2899" spans="1:6">
      <c r="A2899" t="s">
        <v>4452</v>
      </c>
      <c r="B2899" t="s">
        <v>280</v>
      </c>
      <c r="C2899" t="s">
        <v>279</v>
      </c>
      <c r="D2899" t="s">
        <v>281</v>
      </c>
      <c r="E2899" s="6">
        <v>80000</v>
      </c>
      <c r="F2899" t="s">
        <v>4599</v>
      </c>
    </row>
    <row r="2900" spans="1:6">
      <c r="A2900" t="s">
        <v>4452</v>
      </c>
      <c r="B2900" t="s">
        <v>280</v>
      </c>
      <c r="C2900" t="s">
        <v>4118</v>
      </c>
      <c r="D2900" t="s">
        <v>281</v>
      </c>
      <c r="E2900" s="6">
        <v>80000</v>
      </c>
      <c r="F2900" t="s">
        <v>4599</v>
      </c>
    </row>
    <row r="2901" spans="1:6">
      <c r="A2901" t="s">
        <v>4452</v>
      </c>
      <c r="B2901" t="s">
        <v>280</v>
      </c>
      <c r="C2901" t="s">
        <v>284</v>
      </c>
      <c r="D2901" t="s">
        <v>281</v>
      </c>
      <c r="E2901" s="6">
        <v>80000</v>
      </c>
      <c r="F2901" t="s">
        <v>4599</v>
      </c>
    </row>
    <row r="2902" spans="1:6">
      <c r="A2902" t="s">
        <v>4452</v>
      </c>
      <c r="B2902" t="s">
        <v>280</v>
      </c>
      <c r="C2902" t="s">
        <v>4119</v>
      </c>
      <c r="D2902" t="s">
        <v>281</v>
      </c>
      <c r="E2902" s="6">
        <v>80000</v>
      </c>
      <c r="F2902" t="s">
        <v>4599</v>
      </c>
    </row>
    <row r="2903" spans="1:6">
      <c r="A2903" t="s">
        <v>4452</v>
      </c>
      <c r="B2903" t="s">
        <v>280</v>
      </c>
      <c r="C2903" t="s">
        <v>279</v>
      </c>
      <c r="D2903" t="s">
        <v>4600</v>
      </c>
      <c r="E2903" s="6">
        <v>278645</v>
      </c>
      <c r="F2903" t="s">
        <v>4599</v>
      </c>
    </row>
    <row r="2904" spans="1:6">
      <c r="A2904" t="s">
        <v>4452</v>
      </c>
      <c r="B2904" t="s">
        <v>280</v>
      </c>
      <c r="C2904" t="s">
        <v>4118</v>
      </c>
      <c r="D2904" t="s">
        <v>4600</v>
      </c>
      <c r="E2904" s="6">
        <v>278645</v>
      </c>
      <c r="F2904" t="s">
        <v>4599</v>
      </c>
    </row>
    <row r="2905" spans="1:6">
      <c r="A2905" t="s">
        <v>4452</v>
      </c>
      <c r="B2905" t="s">
        <v>280</v>
      </c>
      <c r="C2905" t="s">
        <v>279</v>
      </c>
      <c r="D2905" t="s">
        <v>4600</v>
      </c>
      <c r="E2905" s="6">
        <v>160000</v>
      </c>
      <c r="F2905" t="s">
        <v>4599</v>
      </c>
    </row>
    <row r="2906" spans="1:6">
      <c r="A2906" t="s">
        <v>4452</v>
      </c>
      <c r="B2906" t="s">
        <v>280</v>
      </c>
      <c r="C2906" t="s">
        <v>4118</v>
      </c>
      <c r="D2906" t="s">
        <v>4600</v>
      </c>
      <c r="E2906" s="6">
        <v>160000</v>
      </c>
      <c r="F2906" t="s">
        <v>4599</v>
      </c>
    </row>
    <row r="2907" spans="1:6">
      <c r="A2907" t="s">
        <v>4452</v>
      </c>
      <c r="B2907" t="s">
        <v>280</v>
      </c>
      <c r="C2907" t="s">
        <v>284</v>
      </c>
      <c r="D2907" t="s">
        <v>4600</v>
      </c>
      <c r="E2907" s="6">
        <v>160000</v>
      </c>
      <c r="F2907" t="s">
        <v>4599</v>
      </c>
    </row>
    <row r="2908" spans="1:6">
      <c r="A2908" t="s">
        <v>4452</v>
      </c>
      <c r="B2908" t="s">
        <v>280</v>
      </c>
      <c r="C2908" t="s">
        <v>4119</v>
      </c>
      <c r="D2908" t="s">
        <v>4600</v>
      </c>
      <c r="E2908" s="6">
        <v>160000</v>
      </c>
      <c r="F2908" t="s">
        <v>4599</v>
      </c>
    </row>
    <row r="2909" spans="1:6">
      <c r="A2909" t="s">
        <v>4453</v>
      </c>
      <c r="B2909" t="s">
        <v>280</v>
      </c>
      <c r="C2909" t="s">
        <v>279</v>
      </c>
      <c r="D2909" t="s">
        <v>281</v>
      </c>
      <c r="E2909" s="6">
        <v>80000</v>
      </c>
      <c r="F2909" t="s">
        <v>4599</v>
      </c>
    </row>
    <row r="2910" spans="1:6">
      <c r="A2910" t="s">
        <v>4453</v>
      </c>
      <c r="B2910" t="s">
        <v>280</v>
      </c>
      <c r="C2910" t="s">
        <v>4118</v>
      </c>
      <c r="D2910" t="s">
        <v>281</v>
      </c>
      <c r="E2910" s="6">
        <v>80000</v>
      </c>
      <c r="F2910" t="s">
        <v>4599</v>
      </c>
    </row>
    <row r="2911" spans="1:6">
      <c r="A2911" t="s">
        <v>4453</v>
      </c>
      <c r="B2911" t="s">
        <v>280</v>
      </c>
      <c r="C2911" t="s">
        <v>284</v>
      </c>
      <c r="D2911" t="s">
        <v>281</v>
      </c>
      <c r="E2911" s="6">
        <v>80000</v>
      </c>
      <c r="F2911" t="s">
        <v>4599</v>
      </c>
    </row>
    <row r="2912" spans="1:6">
      <c r="A2912" t="s">
        <v>4453</v>
      </c>
      <c r="B2912" t="s">
        <v>280</v>
      </c>
      <c r="C2912" t="s">
        <v>4119</v>
      </c>
      <c r="D2912" t="s">
        <v>281</v>
      </c>
      <c r="E2912" s="6">
        <v>80000</v>
      </c>
      <c r="F2912" t="s">
        <v>4599</v>
      </c>
    </row>
    <row r="2913" spans="1:6">
      <c r="A2913" t="s">
        <v>4453</v>
      </c>
      <c r="B2913" t="s">
        <v>280</v>
      </c>
      <c r="C2913" t="s">
        <v>279</v>
      </c>
      <c r="D2913" t="s">
        <v>4600</v>
      </c>
      <c r="E2913" s="6">
        <v>278645</v>
      </c>
      <c r="F2913" t="s">
        <v>4599</v>
      </c>
    </row>
    <row r="2914" spans="1:6">
      <c r="A2914" t="s">
        <v>4453</v>
      </c>
      <c r="B2914" t="s">
        <v>280</v>
      </c>
      <c r="C2914" t="s">
        <v>4118</v>
      </c>
      <c r="D2914" t="s">
        <v>4600</v>
      </c>
      <c r="E2914" s="6">
        <v>278645</v>
      </c>
      <c r="F2914" t="s">
        <v>4599</v>
      </c>
    </row>
    <row r="2915" spans="1:6">
      <c r="A2915" t="s">
        <v>4453</v>
      </c>
      <c r="B2915" t="s">
        <v>280</v>
      </c>
      <c r="C2915" t="s">
        <v>279</v>
      </c>
      <c r="D2915" t="s">
        <v>4600</v>
      </c>
      <c r="E2915" s="6">
        <v>160000</v>
      </c>
      <c r="F2915" t="s">
        <v>4599</v>
      </c>
    </row>
    <row r="2916" spans="1:6">
      <c r="A2916" t="s">
        <v>4453</v>
      </c>
      <c r="B2916" t="s">
        <v>280</v>
      </c>
      <c r="C2916" t="s">
        <v>4118</v>
      </c>
      <c r="D2916" t="s">
        <v>4600</v>
      </c>
      <c r="E2916" s="6">
        <v>160000</v>
      </c>
      <c r="F2916" t="s">
        <v>4599</v>
      </c>
    </row>
    <row r="2917" spans="1:6">
      <c r="A2917" t="s">
        <v>4453</v>
      </c>
      <c r="B2917" t="s">
        <v>280</v>
      </c>
      <c r="C2917" t="s">
        <v>284</v>
      </c>
      <c r="D2917" t="s">
        <v>4600</v>
      </c>
      <c r="E2917" s="6">
        <v>160000</v>
      </c>
      <c r="F2917" t="s">
        <v>4599</v>
      </c>
    </row>
    <row r="2918" spans="1:6">
      <c r="A2918" t="s">
        <v>4453</v>
      </c>
      <c r="B2918" t="s">
        <v>280</v>
      </c>
      <c r="C2918" t="s">
        <v>4119</v>
      </c>
      <c r="D2918" t="s">
        <v>4600</v>
      </c>
      <c r="E2918" s="6">
        <v>160000</v>
      </c>
      <c r="F2918" t="s">
        <v>4599</v>
      </c>
    </row>
    <row r="2919" spans="1:6">
      <c r="A2919" t="s">
        <v>4454</v>
      </c>
      <c r="B2919" t="s">
        <v>280</v>
      </c>
      <c r="C2919" t="s">
        <v>279</v>
      </c>
      <c r="D2919" t="s">
        <v>281</v>
      </c>
      <c r="E2919" s="6">
        <v>80000</v>
      </c>
      <c r="F2919" t="s">
        <v>4599</v>
      </c>
    </row>
    <row r="2920" spans="1:6">
      <c r="A2920" t="s">
        <v>4454</v>
      </c>
      <c r="B2920" t="s">
        <v>280</v>
      </c>
      <c r="C2920" t="s">
        <v>4118</v>
      </c>
      <c r="D2920" t="s">
        <v>281</v>
      </c>
      <c r="E2920" s="6">
        <v>80000</v>
      </c>
      <c r="F2920" t="s">
        <v>4599</v>
      </c>
    </row>
    <row r="2921" spans="1:6">
      <c r="A2921" t="s">
        <v>4454</v>
      </c>
      <c r="B2921" t="s">
        <v>280</v>
      </c>
      <c r="C2921" t="s">
        <v>284</v>
      </c>
      <c r="D2921" t="s">
        <v>281</v>
      </c>
      <c r="E2921" s="6">
        <v>80000</v>
      </c>
      <c r="F2921" t="s">
        <v>4599</v>
      </c>
    </row>
    <row r="2922" spans="1:6">
      <c r="A2922" t="s">
        <v>4454</v>
      </c>
      <c r="B2922" t="s">
        <v>280</v>
      </c>
      <c r="C2922" t="s">
        <v>4119</v>
      </c>
      <c r="D2922" t="s">
        <v>281</v>
      </c>
      <c r="E2922" s="6">
        <v>80000</v>
      </c>
      <c r="F2922" t="s">
        <v>4599</v>
      </c>
    </row>
    <row r="2923" spans="1:6">
      <c r="A2923" t="s">
        <v>4454</v>
      </c>
      <c r="B2923" t="s">
        <v>280</v>
      </c>
      <c r="C2923" t="s">
        <v>279</v>
      </c>
      <c r="D2923" t="s">
        <v>4600</v>
      </c>
      <c r="E2923" s="6">
        <v>278645</v>
      </c>
      <c r="F2923" t="s">
        <v>4599</v>
      </c>
    </row>
    <row r="2924" spans="1:6">
      <c r="A2924" t="s">
        <v>4454</v>
      </c>
      <c r="B2924" t="s">
        <v>280</v>
      </c>
      <c r="C2924" t="s">
        <v>4118</v>
      </c>
      <c r="D2924" t="s">
        <v>4600</v>
      </c>
      <c r="E2924" s="6">
        <v>278645</v>
      </c>
      <c r="F2924" t="s">
        <v>4599</v>
      </c>
    </row>
    <row r="2925" spans="1:6">
      <c r="A2925" t="s">
        <v>4454</v>
      </c>
      <c r="B2925" t="s">
        <v>280</v>
      </c>
      <c r="C2925" t="s">
        <v>279</v>
      </c>
      <c r="D2925" t="s">
        <v>4600</v>
      </c>
      <c r="E2925" s="6">
        <v>160000</v>
      </c>
      <c r="F2925" t="s">
        <v>4599</v>
      </c>
    </row>
    <row r="2926" spans="1:6">
      <c r="A2926" t="s">
        <v>4454</v>
      </c>
      <c r="B2926" t="s">
        <v>280</v>
      </c>
      <c r="C2926" t="s">
        <v>4118</v>
      </c>
      <c r="D2926" t="s">
        <v>4600</v>
      </c>
      <c r="E2926" s="6">
        <v>160000</v>
      </c>
      <c r="F2926" t="s">
        <v>4599</v>
      </c>
    </row>
    <row r="2927" spans="1:6">
      <c r="A2927" t="s">
        <v>4454</v>
      </c>
      <c r="B2927" t="s">
        <v>280</v>
      </c>
      <c r="C2927" t="s">
        <v>284</v>
      </c>
      <c r="D2927" t="s">
        <v>4600</v>
      </c>
      <c r="E2927" s="6">
        <v>160000</v>
      </c>
      <c r="F2927" t="s">
        <v>4599</v>
      </c>
    </row>
    <row r="2928" spans="1:6">
      <c r="A2928" t="s">
        <v>4454</v>
      </c>
      <c r="B2928" t="s">
        <v>280</v>
      </c>
      <c r="C2928" t="s">
        <v>4119</v>
      </c>
      <c r="D2928" t="s">
        <v>4600</v>
      </c>
      <c r="E2928" s="6">
        <v>160000</v>
      </c>
      <c r="F2928" t="s">
        <v>4599</v>
      </c>
    </row>
    <row r="2929" spans="1:8">
      <c r="A2929" t="s">
        <v>3832</v>
      </c>
      <c r="B2929" t="s">
        <v>149</v>
      </c>
      <c r="C2929" t="s">
        <v>4110</v>
      </c>
      <c r="D2929" t="s">
        <v>151</v>
      </c>
      <c r="E2929" s="639">
        <f>E771</f>
        <v>127882.97797722</v>
      </c>
      <c r="F2929" s="640" t="s">
        <v>4073</v>
      </c>
      <c r="H2929" s="6" t="s">
        <v>4648</v>
      </c>
    </row>
    <row r="2930" spans="1:8">
      <c r="A2930" t="s">
        <v>3832</v>
      </c>
      <c r="B2930" t="s">
        <v>149</v>
      </c>
      <c r="C2930" t="s">
        <v>166</v>
      </c>
      <c r="D2930" t="s">
        <v>151</v>
      </c>
      <c r="E2930" s="639">
        <f>E791</f>
        <v>111349.3008880651</v>
      </c>
      <c r="F2930" s="640" t="s">
        <v>4073</v>
      </c>
      <c r="H2930" s="6" t="s">
        <v>4648</v>
      </c>
    </row>
    <row r="2931" spans="1:8">
      <c r="A2931" t="s">
        <v>3832</v>
      </c>
      <c r="B2931" t="s">
        <v>149</v>
      </c>
      <c r="C2931" t="s">
        <v>163</v>
      </c>
      <c r="D2931" t="s">
        <v>164</v>
      </c>
      <c r="E2931" s="639">
        <f>E811</f>
        <v>129509.6904195097</v>
      </c>
      <c r="F2931" s="640" t="s">
        <v>4073</v>
      </c>
      <c r="H2931" s="6" t="s">
        <v>4648</v>
      </c>
    </row>
    <row r="2932" spans="1:8">
      <c r="A2932" t="s">
        <v>3832</v>
      </c>
      <c r="B2932" t="s">
        <v>149</v>
      </c>
      <c r="C2932" t="s">
        <v>150</v>
      </c>
      <c r="D2932" t="s">
        <v>151</v>
      </c>
      <c r="E2932" s="639">
        <f>E831</f>
        <v>194085.8096882547</v>
      </c>
      <c r="F2932" s="640" t="s">
        <v>4073</v>
      </c>
      <c r="H2932" s="6" t="s">
        <v>4648</v>
      </c>
    </row>
    <row r="2933" spans="1:8">
      <c r="A2933" t="s">
        <v>3832</v>
      </c>
      <c r="B2933" t="s">
        <v>149</v>
      </c>
      <c r="C2933" t="s">
        <v>156</v>
      </c>
      <c r="D2933" t="s">
        <v>151</v>
      </c>
      <c r="E2933" s="639">
        <f>E851</f>
        <v>16744.497139344232</v>
      </c>
      <c r="F2933" s="640" t="s">
        <v>4073</v>
      </c>
      <c r="H2933" s="6" t="s">
        <v>4648</v>
      </c>
    </row>
    <row r="2934" spans="1:8">
      <c r="A2934" t="s">
        <v>3832</v>
      </c>
      <c r="B2934" t="s">
        <v>149</v>
      </c>
      <c r="C2934" t="s">
        <v>159</v>
      </c>
      <c r="D2934" t="s">
        <v>4228</v>
      </c>
      <c r="E2934" s="639">
        <f>E1418</f>
        <v>11457.943640369376</v>
      </c>
      <c r="F2934" s="640" t="s">
        <v>4073</v>
      </c>
      <c r="H2934" s="6" t="s">
        <v>4648</v>
      </c>
    </row>
    <row r="2935" spans="1:8">
      <c r="A2935" t="s">
        <v>3833</v>
      </c>
      <c r="B2935" t="s">
        <v>149</v>
      </c>
      <c r="C2935" t="s">
        <v>4110</v>
      </c>
      <c r="D2935" t="s">
        <v>151</v>
      </c>
      <c r="E2935" s="639">
        <f>E771</f>
        <v>127882.97797722</v>
      </c>
      <c r="F2935" s="640" t="s">
        <v>4073</v>
      </c>
      <c r="H2935" s="6" t="s">
        <v>4649</v>
      </c>
    </row>
    <row r="2936" spans="1:8">
      <c r="A2936" t="s">
        <v>3833</v>
      </c>
      <c r="B2936" t="s">
        <v>149</v>
      </c>
      <c r="C2936" t="s">
        <v>166</v>
      </c>
      <c r="D2936" t="s">
        <v>151</v>
      </c>
      <c r="E2936" s="639">
        <f>E791</f>
        <v>111349.3008880651</v>
      </c>
      <c r="F2936" s="640" t="s">
        <v>4073</v>
      </c>
      <c r="H2936" s="6" t="s">
        <v>4649</v>
      </c>
    </row>
    <row r="2937" spans="1:8">
      <c r="A2937" t="s">
        <v>3833</v>
      </c>
      <c r="B2937" t="s">
        <v>149</v>
      </c>
      <c r="C2937" t="s">
        <v>163</v>
      </c>
      <c r="D2937" t="s">
        <v>164</v>
      </c>
      <c r="E2937" s="639">
        <f>E811</f>
        <v>129509.6904195097</v>
      </c>
      <c r="F2937" s="640" t="s">
        <v>4073</v>
      </c>
      <c r="H2937" s="6" t="s">
        <v>4649</v>
      </c>
    </row>
    <row r="2938" spans="1:8">
      <c r="A2938" t="s">
        <v>3833</v>
      </c>
      <c r="B2938" t="s">
        <v>149</v>
      </c>
      <c r="C2938" t="s">
        <v>150</v>
      </c>
      <c r="D2938" t="s">
        <v>151</v>
      </c>
      <c r="E2938" s="639">
        <f>E831</f>
        <v>194085.8096882547</v>
      </c>
      <c r="F2938" s="640" t="s">
        <v>4073</v>
      </c>
      <c r="H2938" s="6" t="s">
        <v>4649</v>
      </c>
    </row>
    <row r="2939" spans="1:8">
      <c r="A2939" t="s">
        <v>3833</v>
      </c>
      <c r="B2939" t="s">
        <v>149</v>
      </c>
      <c r="C2939" t="s">
        <v>156</v>
      </c>
      <c r="D2939" t="s">
        <v>151</v>
      </c>
      <c r="E2939" s="639">
        <f>E851</f>
        <v>16744.497139344232</v>
      </c>
      <c r="F2939" s="640" t="s">
        <v>4073</v>
      </c>
      <c r="H2939" s="6" t="s">
        <v>4649</v>
      </c>
    </row>
    <row r="2940" spans="1:8">
      <c r="A2940" t="s">
        <v>3833</v>
      </c>
      <c r="B2940" t="s">
        <v>149</v>
      </c>
      <c r="C2940" t="s">
        <v>159</v>
      </c>
      <c r="D2940" t="s">
        <v>4228</v>
      </c>
      <c r="E2940" s="639">
        <f>E1418</f>
        <v>11457.943640369376</v>
      </c>
      <c r="F2940" s="640" t="s">
        <v>4073</v>
      </c>
      <c r="H2940" s="6" t="s">
        <v>4649</v>
      </c>
    </row>
    <row r="2941" spans="1:8">
      <c r="A2941" t="s">
        <v>3844</v>
      </c>
      <c r="B2941" t="s">
        <v>149</v>
      </c>
      <c r="C2941" t="s">
        <v>4110</v>
      </c>
      <c r="D2941" t="s">
        <v>151</v>
      </c>
      <c r="E2941" s="639">
        <f>E771</f>
        <v>127882.97797722</v>
      </c>
      <c r="F2941" s="640" t="s">
        <v>4073</v>
      </c>
      <c r="H2941" s="6" t="s">
        <v>4649</v>
      </c>
    </row>
    <row r="2942" spans="1:8">
      <c r="A2942" t="s">
        <v>3844</v>
      </c>
      <c r="B2942" t="s">
        <v>149</v>
      </c>
      <c r="C2942" t="s">
        <v>166</v>
      </c>
      <c r="D2942" t="s">
        <v>151</v>
      </c>
      <c r="E2942" s="639">
        <f>E791</f>
        <v>111349.3008880651</v>
      </c>
      <c r="F2942" s="640" t="s">
        <v>4073</v>
      </c>
      <c r="H2942" s="6" t="s">
        <v>4649</v>
      </c>
    </row>
    <row r="2943" spans="1:8">
      <c r="A2943" t="s">
        <v>3844</v>
      </c>
      <c r="B2943" t="s">
        <v>149</v>
      </c>
      <c r="C2943" t="s">
        <v>163</v>
      </c>
      <c r="D2943" t="s">
        <v>164</v>
      </c>
      <c r="E2943" s="639">
        <f>E811</f>
        <v>129509.6904195097</v>
      </c>
      <c r="F2943" s="640" t="s">
        <v>4073</v>
      </c>
      <c r="H2943" s="6" t="s">
        <v>4649</v>
      </c>
    </row>
    <row r="2944" spans="1:8">
      <c r="A2944" t="s">
        <v>3844</v>
      </c>
      <c r="B2944" t="s">
        <v>149</v>
      </c>
      <c r="C2944" t="s">
        <v>150</v>
      </c>
      <c r="D2944" t="s">
        <v>151</v>
      </c>
      <c r="E2944" s="639">
        <f>E831</f>
        <v>194085.8096882547</v>
      </c>
      <c r="F2944" s="640" t="s">
        <v>4073</v>
      </c>
      <c r="H2944" s="6" t="s">
        <v>4649</v>
      </c>
    </row>
    <row r="2945" spans="1:10">
      <c r="A2945" t="s">
        <v>3844</v>
      </c>
      <c r="B2945" t="s">
        <v>149</v>
      </c>
      <c r="C2945" t="s">
        <v>156</v>
      </c>
      <c r="D2945" t="s">
        <v>151</v>
      </c>
      <c r="E2945" s="639">
        <f>E851</f>
        <v>16744.497139344232</v>
      </c>
      <c r="F2945" s="640" t="s">
        <v>4073</v>
      </c>
      <c r="H2945" s="6" t="s">
        <v>4649</v>
      </c>
    </row>
    <row r="2946" spans="1:10">
      <c r="A2946" t="s">
        <v>3844</v>
      </c>
      <c r="B2946" t="s">
        <v>149</v>
      </c>
      <c r="C2946" t="s">
        <v>159</v>
      </c>
      <c r="D2946" t="s">
        <v>4228</v>
      </c>
      <c r="E2946" s="639">
        <f>E1418</f>
        <v>11457.943640369376</v>
      </c>
      <c r="F2946" s="640" t="s">
        <v>4073</v>
      </c>
      <c r="H2946" s="6" t="s">
        <v>4649</v>
      </c>
    </row>
    <row r="2947" spans="1:10">
      <c r="A2947" t="s">
        <v>3832</v>
      </c>
      <c r="B2947" t="s">
        <v>249</v>
      </c>
      <c r="C2947" t="s">
        <v>4113</v>
      </c>
      <c r="D2947" t="s">
        <v>172</v>
      </c>
      <c r="E2947" s="639">
        <f>E998</f>
        <v>65237.675085954339</v>
      </c>
      <c r="F2947" s="640" t="s">
        <v>4073</v>
      </c>
      <c r="H2947" s="6" t="s">
        <v>4648</v>
      </c>
      <c r="I2947" s="641">
        <f t="shared" ref="I2947:I2978" si="69">IF(F2947="Departamental",E2947,AVERAGEIFS($E:$E,$H:$H,H2947,$B:$B,B2947,$C:$C,C2947))</f>
        <v>65237.675085954339</v>
      </c>
      <c r="J2947" s="642">
        <f t="shared" ref="J2947:J2978" si="70">IF(G2947&lt;&gt;"",G2947,I2947)</f>
        <v>65237.675085954339</v>
      </c>
    </row>
    <row r="2948" spans="1:10">
      <c r="A2948" t="s">
        <v>3832</v>
      </c>
      <c r="B2948" t="s">
        <v>249</v>
      </c>
      <c r="C2948" t="s">
        <v>4128</v>
      </c>
      <c r="D2948" t="s">
        <v>226</v>
      </c>
      <c r="E2948" s="639">
        <f>E1019</f>
        <v>75352.251700679597</v>
      </c>
      <c r="F2948" s="640" t="s">
        <v>4073</v>
      </c>
      <c r="H2948" s="6" t="s">
        <v>4648</v>
      </c>
      <c r="I2948" s="641">
        <f t="shared" si="69"/>
        <v>75352.251700679597</v>
      </c>
      <c r="J2948" s="642">
        <f t="shared" si="70"/>
        <v>75352.251700679597</v>
      </c>
    </row>
    <row r="2949" spans="1:10">
      <c r="A2949" t="s">
        <v>3832</v>
      </c>
      <c r="B2949" t="s">
        <v>249</v>
      </c>
      <c r="C2949" t="s">
        <v>4130</v>
      </c>
      <c r="D2949" t="s">
        <v>172</v>
      </c>
      <c r="E2949" s="639">
        <f>E1061</f>
        <v>30409.090909090908</v>
      </c>
      <c r="F2949" s="640" t="s">
        <v>4073</v>
      </c>
      <c r="H2949" s="6" t="s">
        <v>4648</v>
      </c>
      <c r="I2949" s="641">
        <f t="shared" si="69"/>
        <v>30409.090909090908</v>
      </c>
      <c r="J2949" s="642">
        <f t="shared" si="70"/>
        <v>30409.090909090908</v>
      </c>
    </row>
    <row r="2950" spans="1:10">
      <c r="A2950" t="s">
        <v>3832</v>
      </c>
      <c r="B2950" t="s">
        <v>249</v>
      </c>
      <c r="C2950" t="s">
        <v>4131</v>
      </c>
      <c r="D2950" t="s">
        <v>172</v>
      </c>
      <c r="E2950" s="639">
        <f>E1082</f>
        <v>126785.71428571429</v>
      </c>
      <c r="F2950" s="640" t="s">
        <v>4073</v>
      </c>
      <c r="H2950" s="6" t="s">
        <v>4648</v>
      </c>
      <c r="I2950" s="641">
        <f t="shared" si="69"/>
        <v>126785.71428571428</v>
      </c>
      <c r="J2950" s="642">
        <f t="shared" si="70"/>
        <v>126785.71428571428</v>
      </c>
    </row>
    <row r="2951" spans="1:10">
      <c r="A2951" t="s">
        <v>3832</v>
      </c>
      <c r="B2951" t="s">
        <v>249</v>
      </c>
      <c r="C2951" t="s">
        <v>316</v>
      </c>
      <c r="D2951" t="s">
        <v>172</v>
      </c>
      <c r="E2951" s="639">
        <f>E1103</f>
        <v>46378.174603169042</v>
      </c>
      <c r="F2951" s="640" t="s">
        <v>4073</v>
      </c>
      <c r="H2951" s="6" t="s">
        <v>4648</v>
      </c>
      <c r="I2951" s="641">
        <f t="shared" si="69"/>
        <v>46378.174603169049</v>
      </c>
      <c r="J2951" s="642">
        <f t="shared" si="70"/>
        <v>46378.174603169049</v>
      </c>
    </row>
    <row r="2952" spans="1:10">
      <c r="A2952" t="s">
        <v>3832</v>
      </c>
      <c r="B2952" t="s">
        <v>249</v>
      </c>
      <c r="C2952" t="s">
        <v>4132</v>
      </c>
      <c r="D2952" t="s">
        <v>172</v>
      </c>
      <c r="E2952" s="639">
        <f>E1124</f>
        <v>46031.944444450004</v>
      </c>
      <c r="F2952" s="640" t="s">
        <v>4073</v>
      </c>
      <c r="H2952" s="6" t="s">
        <v>4648</v>
      </c>
      <c r="I2952" s="641">
        <f t="shared" si="69"/>
        <v>46031.944444450004</v>
      </c>
      <c r="J2952" s="642">
        <f t="shared" si="70"/>
        <v>46031.944444450004</v>
      </c>
    </row>
    <row r="2953" spans="1:10">
      <c r="A2953" t="s">
        <v>3832</v>
      </c>
      <c r="B2953" t="s">
        <v>249</v>
      </c>
      <c r="C2953" t="s">
        <v>4133</v>
      </c>
      <c r="D2953" t="s">
        <v>172</v>
      </c>
      <c r="E2953" s="639">
        <f>E1145</f>
        <v>57912.060126068194</v>
      </c>
      <c r="F2953" s="640" t="s">
        <v>4073</v>
      </c>
      <c r="H2953" s="6" t="s">
        <v>4648</v>
      </c>
      <c r="I2953" s="641">
        <f t="shared" si="69"/>
        <v>57912.060126068194</v>
      </c>
      <c r="J2953" s="642">
        <f t="shared" si="70"/>
        <v>57912.060126068194</v>
      </c>
    </row>
    <row r="2954" spans="1:10">
      <c r="A2954" t="s">
        <v>3832</v>
      </c>
      <c r="B2954" t="s">
        <v>249</v>
      </c>
      <c r="C2954" t="s">
        <v>4116</v>
      </c>
      <c r="D2954" t="s">
        <v>172</v>
      </c>
      <c r="E2954" s="639">
        <f>E1166</f>
        <v>149732.64864864864</v>
      </c>
      <c r="F2954" s="640" t="s">
        <v>4073</v>
      </c>
      <c r="H2954" s="6" t="s">
        <v>4648</v>
      </c>
      <c r="I2954" s="641">
        <f t="shared" si="69"/>
        <v>149732.64864864864</v>
      </c>
      <c r="J2954" s="642">
        <f t="shared" si="70"/>
        <v>149732.64864864864</v>
      </c>
    </row>
    <row r="2955" spans="1:10">
      <c r="A2955" t="s">
        <v>3832</v>
      </c>
      <c r="B2955" t="s">
        <v>249</v>
      </c>
      <c r="C2955" t="s">
        <v>4134</v>
      </c>
      <c r="D2955" t="s">
        <v>172</v>
      </c>
      <c r="E2955" s="639">
        <f>E1187</f>
        <v>147711.87105263578</v>
      </c>
      <c r="F2955" s="640" t="s">
        <v>4073</v>
      </c>
      <c r="H2955" s="6" t="s">
        <v>4648</v>
      </c>
      <c r="I2955" s="641">
        <f t="shared" si="69"/>
        <v>147711.87105263578</v>
      </c>
      <c r="J2955" s="642">
        <f t="shared" si="70"/>
        <v>147711.87105263578</v>
      </c>
    </row>
    <row r="2956" spans="1:10">
      <c r="A2956" t="s">
        <v>3832</v>
      </c>
      <c r="B2956" t="s">
        <v>249</v>
      </c>
      <c r="C2956" t="s">
        <v>4135</v>
      </c>
      <c r="D2956" t="s">
        <v>226</v>
      </c>
      <c r="E2956" s="639">
        <f>E1208</f>
        <v>76550</v>
      </c>
      <c r="F2956" s="640" t="s">
        <v>4073</v>
      </c>
      <c r="H2956" s="6" t="s">
        <v>4648</v>
      </c>
      <c r="I2956" s="641">
        <f t="shared" si="69"/>
        <v>76550</v>
      </c>
      <c r="J2956" s="642">
        <f t="shared" si="70"/>
        <v>76550</v>
      </c>
    </row>
    <row r="2957" spans="1:10">
      <c r="A2957" t="s">
        <v>3832</v>
      </c>
      <c r="B2957" t="s">
        <v>249</v>
      </c>
      <c r="C2957" t="s">
        <v>4136</v>
      </c>
      <c r="D2957" t="s">
        <v>226</v>
      </c>
      <c r="E2957" s="639">
        <f>E1229</f>
        <v>104990</v>
      </c>
      <c r="F2957" s="640" t="s">
        <v>4073</v>
      </c>
      <c r="H2957" s="6" t="s">
        <v>4648</v>
      </c>
      <c r="I2957" s="641">
        <f t="shared" si="69"/>
        <v>104990</v>
      </c>
      <c r="J2957" s="642">
        <f t="shared" si="70"/>
        <v>104990</v>
      </c>
    </row>
    <row r="2958" spans="1:10">
      <c r="A2958" t="s">
        <v>3832</v>
      </c>
      <c r="B2958" t="s">
        <v>249</v>
      </c>
      <c r="C2958" t="s">
        <v>4137</v>
      </c>
      <c r="D2958" t="s">
        <v>4142</v>
      </c>
      <c r="E2958" s="639">
        <f>E1250</f>
        <v>53773.61111110833</v>
      </c>
      <c r="F2958" s="640" t="s">
        <v>4073</v>
      </c>
      <c r="H2958" s="6" t="s">
        <v>4648</v>
      </c>
      <c r="I2958" s="641">
        <f t="shared" si="69"/>
        <v>53773.61111110833</v>
      </c>
      <c r="J2958" s="642">
        <f t="shared" si="70"/>
        <v>53773.61111110833</v>
      </c>
    </row>
    <row r="2959" spans="1:10">
      <c r="A2959" t="s">
        <v>3832</v>
      </c>
      <c r="B2959" t="s">
        <v>249</v>
      </c>
      <c r="C2959" t="s">
        <v>4138</v>
      </c>
      <c r="D2959" t="s">
        <v>4142</v>
      </c>
      <c r="E2959" s="639">
        <f>E1271</f>
        <v>89555.040650399998</v>
      </c>
      <c r="F2959" s="640" t="s">
        <v>4073</v>
      </c>
      <c r="H2959" s="6" t="s">
        <v>4648</v>
      </c>
      <c r="I2959" s="641">
        <f t="shared" si="69"/>
        <v>89555.040650399998</v>
      </c>
      <c r="J2959" s="642">
        <f t="shared" si="70"/>
        <v>89555.040650399998</v>
      </c>
    </row>
    <row r="2960" spans="1:10">
      <c r="A2960" t="s">
        <v>3832</v>
      </c>
      <c r="B2960" t="s">
        <v>249</v>
      </c>
      <c r="C2960" t="s">
        <v>4139</v>
      </c>
      <c r="D2960" t="s">
        <v>4142</v>
      </c>
      <c r="E2960" s="639">
        <f>E1292</f>
        <v>44212.121212127277</v>
      </c>
      <c r="F2960" s="640" t="s">
        <v>4073</v>
      </c>
      <c r="H2960" s="6" t="s">
        <v>4648</v>
      </c>
      <c r="I2960" s="641">
        <f t="shared" si="69"/>
        <v>44212.121212127277</v>
      </c>
      <c r="J2960" s="642">
        <f t="shared" si="70"/>
        <v>44212.121212127277</v>
      </c>
    </row>
    <row r="2961" spans="1:10">
      <c r="A2961" t="s">
        <v>3832</v>
      </c>
      <c r="B2961" t="s">
        <v>249</v>
      </c>
      <c r="C2961" t="s">
        <v>4141</v>
      </c>
      <c r="D2961" t="s">
        <v>4142</v>
      </c>
      <c r="E2961" s="639">
        <f>E1334</f>
        <v>45014.916003855331</v>
      </c>
      <c r="F2961" s="640" t="s">
        <v>4073</v>
      </c>
      <c r="H2961" s="6" t="s">
        <v>4648</v>
      </c>
      <c r="I2961" s="641">
        <f t="shared" si="69"/>
        <v>45014.916003855331</v>
      </c>
      <c r="J2961" s="642">
        <f t="shared" si="70"/>
        <v>45014.916003855331</v>
      </c>
    </row>
    <row r="2962" spans="1:10">
      <c r="A2962" t="s">
        <v>3832</v>
      </c>
      <c r="B2962" t="s">
        <v>249</v>
      </c>
      <c r="C2962" t="s">
        <v>4226</v>
      </c>
      <c r="D2962" t="s">
        <v>4225</v>
      </c>
      <c r="E2962" s="639">
        <f>E1397</f>
        <v>60000</v>
      </c>
      <c r="F2962" s="640" t="s">
        <v>4073</v>
      </c>
      <c r="H2962" s="6" t="s">
        <v>4648</v>
      </c>
      <c r="I2962" s="641">
        <f t="shared" si="69"/>
        <v>60000</v>
      </c>
      <c r="J2962" s="642">
        <f t="shared" si="70"/>
        <v>60000</v>
      </c>
    </row>
    <row r="2963" spans="1:10">
      <c r="A2963" t="s">
        <v>3833</v>
      </c>
      <c r="B2963" t="s">
        <v>249</v>
      </c>
      <c r="C2963" t="s">
        <v>4113</v>
      </c>
      <c r="D2963" t="s">
        <v>172</v>
      </c>
      <c r="E2963" s="639">
        <f>E998</f>
        <v>65237.675085954339</v>
      </c>
      <c r="F2963" s="640" t="s">
        <v>4073</v>
      </c>
      <c r="H2963" s="6" t="s">
        <v>4649</v>
      </c>
      <c r="I2963" s="641">
        <f t="shared" si="69"/>
        <v>66749.140068763474</v>
      </c>
      <c r="J2963" s="642">
        <f t="shared" si="70"/>
        <v>66749.140068763474</v>
      </c>
    </row>
    <row r="2964" spans="1:10">
      <c r="A2964" t="s">
        <v>3833</v>
      </c>
      <c r="B2964" t="s">
        <v>249</v>
      </c>
      <c r="C2964" t="s">
        <v>4128</v>
      </c>
      <c r="D2964" t="s">
        <v>226</v>
      </c>
      <c r="E2964" s="639">
        <f>E1019</f>
        <v>75352.251700679597</v>
      </c>
      <c r="F2964" s="640" t="s">
        <v>4073</v>
      </c>
      <c r="H2964" s="6" t="s">
        <v>4649</v>
      </c>
      <c r="I2964" s="641">
        <f t="shared" si="69"/>
        <v>75352.251700679597</v>
      </c>
      <c r="J2964" s="642">
        <f t="shared" si="70"/>
        <v>75352.251700679597</v>
      </c>
    </row>
    <row r="2965" spans="1:10">
      <c r="A2965" t="s">
        <v>3833</v>
      </c>
      <c r="B2965" t="s">
        <v>249</v>
      </c>
      <c r="C2965" t="s">
        <v>4130</v>
      </c>
      <c r="D2965" t="s">
        <v>172</v>
      </c>
      <c r="E2965" s="639">
        <f>E1061</f>
        <v>30409.090909090908</v>
      </c>
      <c r="F2965" s="640" t="s">
        <v>4073</v>
      </c>
      <c r="H2965" s="6" t="s">
        <v>4649</v>
      </c>
      <c r="I2965" s="641">
        <f t="shared" si="69"/>
        <v>30409.090909090904</v>
      </c>
      <c r="J2965" s="642">
        <f t="shared" si="70"/>
        <v>30409.090909090904</v>
      </c>
    </row>
    <row r="2966" spans="1:10">
      <c r="A2966" t="s">
        <v>3833</v>
      </c>
      <c r="B2966" t="s">
        <v>249</v>
      </c>
      <c r="C2966" t="s">
        <v>4131</v>
      </c>
      <c r="D2966" t="s">
        <v>172</v>
      </c>
      <c r="E2966" s="639">
        <f>E1082</f>
        <v>126785.71428571429</v>
      </c>
      <c r="F2966" s="640" t="s">
        <v>4073</v>
      </c>
      <c r="H2966" s="6" t="s">
        <v>4649</v>
      </c>
      <c r="I2966" s="641">
        <f t="shared" si="69"/>
        <v>126785.71428571429</v>
      </c>
      <c r="J2966" s="642">
        <f t="shared" si="70"/>
        <v>126785.71428571429</v>
      </c>
    </row>
    <row r="2967" spans="1:10">
      <c r="A2967" t="s">
        <v>3833</v>
      </c>
      <c r="B2967" t="s">
        <v>249</v>
      </c>
      <c r="C2967" t="s">
        <v>316</v>
      </c>
      <c r="D2967" t="s">
        <v>172</v>
      </c>
      <c r="E2967" s="639">
        <f>E1103</f>
        <v>46378.174603169042</v>
      </c>
      <c r="F2967" s="640" t="s">
        <v>4073</v>
      </c>
      <c r="H2967" s="6" t="s">
        <v>4649</v>
      </c>
      <c r="I2967" s="641">
        <f t="shared" si="69"/>
        <v>46378.174603169042</v>
      </c>
      <c r="J2967" s="642">
        <f t="shared" si="70"/>
        <v>46378.174603169042</v>
      </c>
    </row>
    <row r="2968" spans="1:10">
      <c r="A2968" t="s">
        <v>3833</v>
      </c>
      <c r="B2968" t="s">
        <v>249</v>
      </c>
      <c r="C2968" t="s">
        <v>4132</v>
      </c>
      <c r="D2968" t="s">
        <v>172</v>
      </c>
      <c r="E2968" s="639">
        <f>E1124</f>
        <v>46031.944444450004</v>
      </c>
      <c r="F2968" s="640" t="s">
        <v>4073</v>
      </c>
      <c r="H2968" s="6" t="s">
        <v>4649</v>
      </c>
      <c r="I2968" s="641">
        <f t="shared" si="69"/>
        <v>46031.944444450004</v>
      </c>
      <c r="J2968" s="642">
        <f t="shared" si="70"/>
        <v>46031.944444450004</v>
      </c>
    </row>
    <row r="2969" spans="1:10">
      <c r="A2969" t="s">
        <v>3833</v>
      </c>
      <c r="B2969" t="s">
        <v>249</v>
      </c>
      <c r="C2969" t="s">
        <v>4133</v>
      </c>
      <c r="D2969" t="s">
        <v>172</v>
      </c>
      <c r="E2969" s="639">
        <f>E1145</f>
        <v>57912.060126068194</v>
      </c>
      <c r="F2969" s="640" t="s">
        <v>4073</v>
      </c>
      <c r="H2969" s="6" t="s">
        <v>4649</v>
      </c>
      <c r="I2969" s="641">
        <f t="shared" si="69"/>
        <v>57912.060126068201</v>
      </c>
      <c r="J2969" s="642">
        <f t="shared" si="70"/>
        <v>57912.060126068201</v>
      </c>
    </row>
    <row r="2970" spans="1:10">
      <c r="A2970" t="s">
        <v>3833</v>
      </c>
      <c r="B2970" t="s">
        <v>249</v>
      </c>
      <c r="C2970" t="s">
        <v>4116</v>
      </c>
      <c r="D2970" t="s">
        <v>172</v>
      </c>
      <c r="E2970" s="639">
        <f>E1166</f>
        <v>149732.64864864864</v>
      </c>
      <c r="F2970" s="640" t="s">
        <v>4073</v>
      </c>
      <c r="H2970" s="6" t="s">
        <v>4649</v>
      </c>
      <c r="I2970" s="641">
        <f t="shared" si="69"/>
        <v>149732.64864864864</v>
      </c>
      <c r="J2970" s="642">
        <f t="shared" si="70"/>
        <v>149732.64864864864</v>
      </c>
    </row>
    <row r="2971" spans="1:10">
      <c r="A2971" t="s">
        <v>3833</v>
      </c>
      <c r="B2971" t="s">
        <v>249</v>
      </c>
      <c r="C2971" t="s">
        <v>4134</v>
      </c>
      <c r="D2971" t="s">
        <v>172</v>
      </c>
      <c r="E2971" s="639">
        <f>E1187</f>
        <v>147711.87105263578</v>
      </c>
      <c r="F2971" s="640" t="s">
        <v>4073</v>
      </c>
      <c r="H2971" s="6" t="s">
        <v>4649</v>
      </c>
      <c r="I2971" s="641">
        <f t="shared" si="69"/>
        <v>147711.87105263578</v>
      </c>
      <c r="J2971" s="642">
        <f t="shared" si="70"/>
        <v>147711.87105263578</v>
      </c>
    </row>
    <row r="2972" spans="1:10">
      <c r="A2972" t="s">
        <v>3833</v>
      </c>
      <c r="B2972" t="s">
        <v>249</v>
      </c>
      <c r="C2972" t="s">
        <v>4135</v>
      </c>
      <c r="D2972" t="s">
        <v>226</v>
      </c>
      <c r="E2972" s="639">
        <f>E1208</f>
        <v>76550</v>
      </c>
      <c r="F2972" s="640" t="s">
        <v>4073</v>
      </c>
      <c r="H2972" s="6" t="s">
        <v>4649</v>
      </c>
      <c r="I2972" s="641">
        <f t="shared" si="69"/>
        <v>76550</v>
      </c>
      <c r="J2972" s="642">
        <f t="shared" si="70"/>
        <v>76550</v>
      </c>
    </row>
    <row r="2973" spans="1:10">
      <c r="A2973" t="s">
        <v>3833</v>
      </c>
      <c r="B2973" t="s">
        <v>249</v>
      </c>
      <c r="C2973" t="s">
        <v>4136</v>
      </c>
      <c r="D2973" t="s">
        <v>226</v>
      </c>
      <c r="E2973" s="639">
        <f>E1229</f>
        <v>104990</v>
      </c>
      <c r="F2973" s="640" t="s">
        <v>4073</v>
      </c>
      <c r="H2973" s="6" t="s">
        <v>4649</v>
      </c>
      <c r="I2973" s="641">
        <f t="shared" si="69"/>
        <v>104990</v>
      </c>
      <c r="J2973" s="642">
        <f t="shared" si="70"/>
        <v>104990</v>
      </c>
    </row>
    <row r="2974" spans="1:10">
      <c r="A2974" t="s">
        <v>3833</v>
      </c>
      <c r="B2974" t="s">
        <v>249</v>
      </c>
      <c r="C2974" t="s">
        <v>4137</v>
      </c>
      <c r="D2974" t="s">
        <v>4142</v>
      </c>
      <c r="E2974" s="639">
        <f>E1250</f>
        <v>53773.61111110833</v>
      </c>
      <c r="F2974" s="640" t="s">
        <v>4073</v>
      </c>
      <c r="H2974" s="6" t="s">
        <v>4649</v>
      </c>
      <c r="I2974" s="641">
        <f t="shared" si="69"/>
        <v>53773.61111110833</v>
      </c>
      <c r="J2974" s="642">
        <f t="shared" si="70"/>
        <v>53773.61111110833</v>
      </c>
    </row>
    <row r="2975" spans="1:10">
      <c r="A2975" t="s">
        <v>3833</v>
      </c>
      <c r="B2975" t="s">
        <v>249</v>
      </c>
      <c r="C2975" t="s">
        <v>4138</v>
      </c>
      <c r="D2975" t="s">
        <v>4142</v>
      </c>
      <c r="E2975" s="639">
        <f>E1271</f>
        <v>89555.040650399998</v>
      </c>
      <c r="F2975" s="640" t="s">
        <v>4073</v>
      </c>
      <c r="H2975" s="6" t="s">
        <v>4649</v>
      </c>
      <c r="I2975" s="641">
        <f t="shared" si="69"/>
        <v>89555.040650399998</v>
      </c>
      <c r="J2975" s="642">
        <f t="shared" si="70"/>
        <v>89555.040650399998</v>
      </c>
    </row>
    <row r="2976" spans="1:10">
      <c r="A2976" t="s">
        <v>3833</v>
      </c>
      <c r="B2976" t="s">
        <v>249</v>
      </c>
      <c r="C2976" t="s">
        <v>4139</v>
      </c>
      <c r="D2976" t="s">
        <v>4142</v>
      </c>
      <c r="E2976" s="639">
        <f>E1292</f>
        <v>44212.121212127277</v>
      </c>
      <c r="F2976" s="640" t="s">
        <v>4073</v>
      </c>
      <c r="H2976" s="6" t="s">
        <v>4649</v>
      </c>
      <c r="I2976" s="641">
        <f t="shared" si="69"/>
        <v>44212.121212127277</v>
      </c>
      <c r="J2976" s="642">
        <f t="shared" si="70"/>
        <v>44212.121212127277</v>
      </c>
    </row>
    <row r="2977" spans="1:10">
      <c r="A2977" t="s">
        <v>3833</v>
      </c>
      <c r="B2977" t="s">
        <v>249</v>
      </c>
      <c r="C2977" t="s">
        <v>4141</v>
      </c>
      <c r="D2977" t="s">
        <v>4142</v>
      </c>
      <c r="E2977" s="639">
        <f>E1334</f>
        <v>45014.916003855331</v>
      </c>
      <c r="F2977" s="640" t="s">
        <v>4073</v>
      </c>
      <c r="H2977" s="6" t="s">
        <v>4649</v>
      </c>
      <c r="I2977" s="641">
        <f t="shared" si="69"/>
        <v>45951.932803084259</v>
      </c>
      <c r="J2977" s="642">
        <f t="shared" si="70"/>
        <v>45951.932803084259</v>
      </c>
    </row>
    <row r="2978" spans="1:10">
      <c r="A2978" t="s">
        <v>3833</v>
      </c>
      <c r="B2978" t="s">
        <v>249</v>
      </c>
      <c r="C2978" t="s">
        <v>4226</v>
      </c>
      <c r="D2978" t="s">
        <v>4225</v>
      </c>
      <c r="E2978" s="639">
        <f>E1397</f>
        <v>60000</v>
      </c>
      <c r="F2978" s="640" t="s">
        <v>4073</v>
      </c>
      <c r="H2978" s="6" t="s">
        <v>4649</v>
      </c>
      <c r="I2978" s="641">
        <f t="shared" si="69"/>
        <v>60000</v>
      </c>
      <c r="J2978" s="642">
        <f t="shared" si="70"/>
        <v>60000</v>
      </c>
    </row>
    <row r="2979" spans="1:10">
      <c r="A2979" t="s">
        <v>3844</v>
      </c>
      <c r="B2979" t="s">
        <v>249</v>
      </c>
      <c r="C2979" t="s">
        <v>4113</v>
      </c>
      <c r="D2979" t="s">
        <v>172</v>
      </c>
      <c r="E2979" s="639">
        <f>E998</f>
        <v>65237.675085954339</v>
      </c>
      <c r="F2979" s="640" t="s">
        <v>4073</v>
      </c>
      <c r="H2979" s="6" t="s">
        <v>4649</v>
      </c>
      <c r="I2979" s="641">
        <f t="shared" ref="I2979:I3010" si="71">IF(F2979="Departamental",E2979,AVERAGEIFS($E:$E,$H:$H,H2979,$B:$B,B2979,$C:$C,C2979))</f>
        <v>66749.140068763474</v>
      </c>
      <c r="J2979" s="642">
        <f t="shared" ref="J2979:J3010" si="72">IF(G2979&lt;&gt;"",G2979,I2979)</f>
        <v>66749.140068763474</v>
      </c>
    </row>
    <row r="2980" spans="1:10">
      <c r="A2980" t="s">
        <v>3844</v>
      </c>
      <c r="B2980" t="s">
        <v>249</v>
      </c>
      <c r="C2980" t="s">
        <v>4128</v>
      </c>
      <c r="D2980" t="s">
        <v>226</v>
      </c>
      <c r="E2980" s="639">
        <f>E1019</f>
        <v>75352.251700679597</v>
      </c>
      <c r="F2980" s="640" t="s">
        <v>4073</v>
      </c>
      <c r="H2980" s="6" t="s">
        <v>4649</v>
      </c>
      <c r="I2980" s="641">
        <f t="shared" si="71"/>
        <v>75352.251700679597</v>
      </c>
      <c r="J2980" s="642">
        <f t="shared" si="72"/>
        <v>75352.251700679597</v>
      </c>
    </row>
    <row r="2981" spans="1:10">
      <c r="A2981" t="s">
        <v>3844</v>
      </c>
      <c r="B2981" t="s">
        <v>249</v>
      </c>
      <c r="C2981" t="s">
        <v>4130</v>
      </c>
      <c r="D2981" t="s">
        <v>172</v>
      </c>
      <c r="E2981" s="639">
        <f>E1061</f>
        <v>30409.090909090908</v>
      </c>
      <c r="F2981" s="640" t="s">
        <v>4073</v>
      </c>
      <c r="H2981" s="6" t="s">
        <v>4649</v>
      </c>
      <c r="I2981" s="641">
        <f t="shared" si="71"/>
        <v>30409.090909090904</v>
      </c>
      <c r="J2981" s="642">
        <f t="shared" si="72"/>
        <v>30409.090909090904</v>
      </c>
    </row>
    <row r="2982" spans="1:10">
      <c r="A2982" t="s">
        <v>3844</v>
      </c>
      <c r="B2982" t="s">
        <v>249</v>
      </c>
      <c r="C2982" t="s">
        <v>4131</v>
      </c>
      <c r="D2982" t="s">
        <v>172</v>
      </c>
      <c r="E2982" s="639">
        <f>E1082</f>
        <v>126785.71428571429</v>
      </c>
      <c r="F2982" s="640" t="s">
        <v>4073</v>
      </c>
      <c r="H2982" s="6" t="s">
        <v>4649</v>
      </c>
      <c r="I2982" s="641">
        <f t="shared" si="71"/>
        <v>126785.71428571429</v>
      </c>
      <c r="J2982" s="642">
        <f t="shared" si="72"/>
        <v>126785.71428571429</v>
      </c>
    </row>
    <row r="2983" spans="1:10">
      <c r="A2983" t="s">
        <v>3844</v>
      </c>
      <c r="B2983" t="s">
        <v>249</v>
      </c>
      <c r="C2983" t="s">
        <v>316</v>
      </c>
      <c r="D2983" t="s">
        <v>172</v>
      </c>
      <c r="E2983" s="639">
        <f>E1103</f>
        <v>46378.174603169042</v>
      </c>
      <c r="F2983" s="640" t="s">
        <v>4073</v>
      </c>
      <c r="H2983" s="6" t="s">
        <v>4649</v>
      </c>
      <c r="I2983" s="641">
        <f t="shared" si="71"/>
        <v>46378.174603169042</v>
      </c>
      <c r="J2983" s="642">
        <f t="shared" si="72"/>
        <v>46378.174603169042</v>
      </c>
    </row>
    <row r="2984" spans="1:10">
      <c r="A2984" t="s">
        <v>3844</v>
      </c>
      <c r="B2984" t="s">
        <v>249</v>
      </c>
      <c r="C2984" t="s">
        <v>4132</v>
      </c>
      <c r="D2984" t="s">
        <v>172</v>
      </c>
      <c r="E2984" s="639">
        <f>E1124</f>
        <v>46031.944444450004</v>
      </c>
      <c r="F2984" s="640" t="s">
        <v>4073</v>
      </c>
      <c r="H2984" s="6" t="s">
        <v>4649</v>
      </c>
      <c r="I2984" s="641">
        <f t="shared" si="71"/>
        <v>46031.944444450004</v>
      </c>
      <c r="J2984" s="642">
        <f t="shared" si="72"/>
        <v>46031.944444450004</v>
      </c>
    </row>
    <row r="2985" spans="1:10">
      <c r="A2985" t="s">
        <v>3844</v>
      </c>
      <c r="B2985" t="s">
        <v>249</v>
      </c>
      <c r="C2985" t="s">
        <v>4133</v>
      </c>
      <c r="D2985" t="s">
        <v>172</v>
      </c>
      <c r="E2985" s="639">
        <f>E1145</f>
        <v>57912.060126068194</v>
      </c>
      <c r="F2985" s="640" t="s">
        <v>4073</v>
      </c>
      <c r="H2985" s="6" t="s">
        <v>4649</v>
      </c>
      <c r="I2985" s="641">
        <f t="shared" si="71"/>
        <v>57912.060126068201</v>
      </c>
      <c r="J2985" s="642">
        <f t="shared" si="72"/>
        <v>57912.060126068201</v>
      </c>
    </row>
    <row r="2986" spans="1:10">
      <c r="A2986" t="s">
        <v>3844</v>
      </c>
      <c r="B2986" t="s">
        <v>249</v>
      </c>
      <c r="C2986" t="s">
        <v>4116</v>
      </c>
      <c r="D2986" t="s">
        <v>172</v>
      </c>
      <c r="E2986" s="639">
        <f>E1166</f>
        <v>149732.64864864864</v>
      </c>
      <c r="F2986" s="640" t="s">
        <v>4073</v>
      </c>
      <c r="H2986" s="6" t="s">
        <v>4649</v>
      </c>
      <c r="I2986" s="641">
        <f t="shared" si="71"/>
        <v>149732.64864864864</v>
      </c>
      <c r="J2986" s="642">
        <f t="shared" si="72"/>
        <v>149732.64864864864</v>
      </c>
    </row>
    <row r="2987" spans="1:10">
      <c r="A2987" t="s">
        <v>3844</v>
      </c>
      <c r="B2987" t="s">
        <v>249</v>
      </c>
      <c r="C2987" t="s">
        <v>4134</v>
      </c>
      <c r="D2987" t="s">
        <v>172</v>
      </c>
      <c r="E2987" s="639">
        <f>E1187</f>
        <v>147711.87105263578</v>
      </c>
      <c r="F2987" s="640" t="s">
        <v>4073</v>
      </c>
      <c r="H2987" s="6" t="s">
        <v>4649</v>
      </c>
      <c r="I2987" s="641">
        <f t="shared" si="71"/>
        <v>147711.87105263578</v>
      </c>
      <c r="J2987" s="642">
        <f t="shared" si="72"/>
        <v>147711.87105263578</v>
      </c>
    </row>
    <row r="2988" spans="1:10">
      <c r="A2988" t="s">
        <v>3844</v>
      </c>
      <c r="B2988" t="s">
        <v>249</v>
      </c>
      <c r="C2988" t="s">
        <v>4135</v>
      </c>
      <c r="D2988" t="s">
        <v>226</v>
      </c>
      <c r="E2988" s="639">
        <f>E1208</f>
        <v>76550</v>
      </c>
      <c r="F2988" s="640" t="s">
        <v>4073</v>
      </c>
      <c r="H2988" s="6" t="s">
        <v>4649</v>
      </c>
      <c r="I2988" s="641">
        <f t="shared" si="71"/>
        <v>76550</v>
      </c>
      <c r="J2988" s="642">
        <f t="shared" si="72"/>
        <v>76550</v>
      </c>
    </row>
    <row r="2989" spans="1:10">
      <c r="A2989" t="s">
        <v>3844</v>
      </c>
      <c r="B2989" t="s">
        <v>249</v>
      </c>
      <c r="C2989" t="s">
        <v>4136</v>
      </c>
      <c r="D2989" t="s">
        <v>226</v>
      </c>
      <c r="E2989" s="639">
        <f>E1229</f>
        <v>104990</v>
      </c>
      <c r="F2989" s="640" t="s">
        <v>4073</v>
      </c>
      <c r="H2989" s="6" t="s">
        <v>4649</v>
      </c>
      <c r="I2989" s="641">
        <f t="shared" si="71"/>
        <v>104990</v>
      </c>
      <c r="J2989" s="642">
        <f t="shared" si="72"/>
        <v>104990</v>
      </c>
    </row>
    <row r="2990" spans="1:10">
      <c r="A2990" t="s">
        <v>3844</v>
      </c>
      <c r="B2990" t="s">
        <v>249</v>
      </c>
      <c r="C2990" t="s">
        <v>4137</v>
      </c>
      <c r="D2990" t="s">
        <v>4142</v>
      </c>
      <c r="E2990" s="639">
        <f>E1250</f>
        <v>53773.61111110833</v>
      </c>
      <c r="F2990" s="640" t="s">
        <v>4073</v>
      </c>
      <c r="H2990" s="6" t="s">
        <v>4649</v>
      </c>
      <c r="I2990" s="641">
        <f t="shared" si="71"/>
        <v>53773.61111110833</v>
      </c>
      <c r="J2990" s="642">
        <f t="shared" si="72"/>
        <v>53773.61111110833</v>
      </c>
    </row>
    <row r="2991" spans="1:10">
      <c r="A2991" t="s">
        <v>3844</v>
      </c>
      <c r="B2991" t="s">
        <v>249</v>
      </c>
      <c r="C2991" t="s">
        <v>4138</v>
      </c>
      <c r="D2991" t="s">
        <v>4142</v>
      </c>
      <c r="E2991" s="639">
        <f>E1271</f>
        <v>89555.040650399998</v>
      </c>
      <c r="F2991" s="640" t="s">
        <v>4073</v>
      </c>
      <c r="H2991" s="6" t="s">
        <v>4649</v>
      </c>
      <c r="I2991" s="641">
        <f t="shared" si="71"/>
        <v>89555.040650399998</v>
      </c>
      <c r="J2991" s="642">
        <f t="shared" si="72"/>
        <v>89555.040650399998</v>
      </c>
    </row>
    <row r="2992" spans="1:10">
      <c r="A2992" t="s">
        <v>3844</v>
      </c>
      <c r="B2992" t="s">
        <v>249</v>
      </c>
      <c r="C2992" t="s">
        <v>4139</v>
      </c>
      <c r="D2992" t="s">
        <v>4142</v>
      </c>
      <c r="E2992" s="639">
        <f>E1292</f>
        <v>44212.121212127277</v>
      </c>
      <c r="F2992" s="640" t="s">
        <v>4073</v>
      </c>
      <c r="H2992" s="6" t="s">
        <v>4649</v>
      </c>
      <c r="I2992" s="641">
        <f t="shared" si="71"/>
        <v>44212.121212127277</v>
      </c>
      <c r="J2992" s="642">
        <f t="shared" si="72"/>
        <v>44212.121212127277</v>
      </c>
    </row>
    <row r="2993" spans="1:10">
      <c r="A2993" t="s">
        <v>3844</v>
      </c>
      <c r="B2993" t="s">
        <v>249</v>
      </c>
      <c r="C2993" t="s">
        <v>4141</v>
      </c>
      <c r="D2993" t="s">
        <v>4142</v>
      </c>
      <c r="E2993" s="639">
        <f>E1334</f>
        <v>45014.916003855331</v>
      </c>
      <c r="F2993" s="640" t="s">
        <v>4073</v>
      </c>
      <c r="H2993" s="6" t="s">
        <v>4649</v>
      </c>
      <c r="I2993" s="641">
        <f t="shared" si="71"/>
        <v>45951.932803084259</v>
      </c>
      <c r="J2993" s="642">
        <f t="shared" si="72"/>
        <v>45951.932803084259</v>
      </c>
    </row>
    <row r="2994" spans="1:10">
      <c r="A2994" t="s">
        <v>3844</v>
      </c>
      <c r="B2994" t="s">
        <v>249</v>
      </c>
      <c r="C2994" t="s">
        <v>4226</v>
      </c>
      <c r="D2994" t="s">
        <v>4225</v>
      </c>
      <c r="E2994" s="639">
        <f>E1397</f>
        <v>60000</v>
      </c>
      <c r="F2994" s="640" t="s">
        <v>4073</v>
      </c>
      <c r="H2994" s="6" t="s">
        <v>4649</v>
      </c>
      <c r="I2994" s="641">
        <f t="shared" si="71"/>
        <v>60000</v>
      </c>
      <c r="J2994" s="642">
        <f t="shared" si="72"/>
        <v>60000</v>
      </c>
    </row>
    <row r="2995" spans="1:10">
      <c r="A2995" t="s">
        <v>3852</v>
      </c>
      <c r="B2995" t="s">
        <v>249</v>
      </c>
      <c r="C2995" t="s">
        <v>4113</v>
      </c>
      <c r="D2995" t="s">
        <v>172</v>
      </c>
      <c r="E2995" s="639">
        <f>E998</f>
        <v>65237.675085954339</v>
      </c>
      <c r="F2995" s="640" t="s">
        <v>4073</v>
      </c>
      <c r="H2995" s="6" t="s">
        <v>4649</v>
      </c>
      <c r="I2995" s="641">
        <f t="shared" si="71"/>
        <v>66749.140068763474</v>
      </c>
      <c r="J2995" s="642">
        <f t="shared" si="72"/>
        <v>66749.140068763474</v>
      </c>
    </row>
    <row r="2996" spans="1:10">
      <c r="A2996" t="s">
        <v>3852</v>
      </c>
      <c r="B2996" t="s">
        <v>249</v>
      </c>
      <c r="C2996" t="s">
        <v>4128</v>
      </c>
      <c r="D2996" t="s">
        <v>226</v>
      </c>
      <c r="E2996" s="639">
        <f>E1019</f>
        <v>75352.251700679597</v>
      </c>
      <c r="F2996" s="640" t="s">
        <v>4073</v>
      </c>
      <c r="H2996" s="6" t="s">
        <v>4649</v>
      </c>
      <c r="I2996" s="641">
        <f t="shared" si="71"/>
        <v>75352.251700679597</v>
      </c>
      <c r="J2996" s="642">
        <f t="shared" si="72"/>
        <v>75352.251700679597</v>
      </c>
    </row>
    <row r="2997" spans="1:10">
      <c r="A2997" t="s">
        <v>3852</v>
      </c>
      <c r="B2997" t="s">
        <v>249</v>
      </c>
      <c r="C2997" t="s">
        <v>4130</v>
      </c>
      <c r="D2997" t="s">
        <v>172</v>
      </c>
      <c r="E2997" s="639">
        <f>E1061</f>
        <v>30409.090909090908</v>
      </c>
      <c r="F2997" s="640" t="s">
        <v>4073</v>
      </c>
      <c r="H2997" s="6" t="s">
        <v>4649</v>
      </c>
      <c r="I2997" s="641">
        <f t="shared" si="71"/>
        <v>30409.090909090904</v>
      </c>
      <c r="J2997" s="642">
        <f t="shared" si="72"/>
        <v>30409.090909090904</v>
      </c>
    </row>
    <row r="2998" spans="1:10">
      <c r="A2998" t="s">
        <v>3852</v>
      </c>
      <c r="B2998" t="s">
        <v>249</v>
      </c>
      <c r="C2998" t="s">
        <v>4131</v>
      </c>
      <c r="D2998" t="s">
        <v>172</v>
      </c>
      <c r="E2998" s="639">
        <f>E1082</f>
        <v>126785.71428571429</v>
      </c>
      <c r="F2998" s="640" t="s">
        <v>4073</v>
      </c>
      <c r="H2998" s="6" t="s">
        <v>4649</v>
      </c>
      <c r="I2998" s="641">
        <f t="shared" si="71"/>
        <v>126785.71428571429</v>
      </c>
      <c r="J2998" s="642">
        <f t="shared" si="72"/>
        <v>126785.71428571429</v>
      </c>
    </row>
    <row r="2999" spans="1:10">
      <c r="A2999" t="s">
        <v>3852</v>
      </c>
      <c r="B2999" t="s">
        <v>249</v>
      </c>
      <c r="C2999" t="s">
        <v>316</v>
      </c>
      <c r="D2999" t="s">
        <v>172</v>
      </c>
      <c r="E2999" s="639">
        <f>E1103</f>
        <v>46378.174603169042</v>
      </c>
      <c r="F2999" s="640" t="s">
        <v>4073</v>
      </c>
      <c r="H2999" s="6" t="s">
        <v>4649</v>
      </c>
      <c r="I2999" s="641">
        <f t="shared" si="71"/>
        <v>46378.174603169042</v>
      </c>
      <c r="J2999" s="642">
        <f t="shared" si="72"/>
        <v>46378.174603169042</v>
      </c>
    </row>
    <row r="3000" spans="1:10">
      <c r="A3000" t="s">
        <v>3852</v>
      </c>
      <c r="B3000" t="s">
        <v>249</v>
      </c>
      <c r="C3000" t="s">
        <v>4132</v>
      </c>
      <c r="D3000" t="s">
        <v>172</v>
      </c>
      <c r="E3000" s="639">
        <f>E1124</f>
        <v>46031.944444450004</v>
      </c>
      <c r="F3000" s="640" t="s">
        <v>4073</v>
      </c>
      <c r="H3000" s="6" t="s">
        <v>4649</v>
      </c>
      <c r="I3000" s="641">
        <f t="shared" si="71"/>
        <v>46031.944444450004</v>
      </c>
      <c r="J3000" s="642">
        <f t="shared" si="72"/>
        <v>46031.944444450004</v>
      </c>
    </row>
    <row r="3001" spans="1:10">
      <c r="A3001" t="s">
        <v>3852</v>
      </c>
      <c r="B3001" t="s">
        <v>249</v>
      </c>
      <c r="C3001" t="s">
        <v>4133</v>
      </c>
      <c r="D3001" t="s">
        <v>172</v>
      </c>
      <c r="E3001" s="639">
        <f>E1145</f>
        <v>57912.060126068194</v>
      </c>
      <c r="F3001" s="640" t="s">
        <v>4073</v>
      </c>
      <c r="H3001" s="6" t="s">
        <v>4649</v>
      </c>
      <c r="I3001" s="641">
        <f t="shared" si="71"/>
        <v>57912.060126068201</v>
      </c>
      <c r="J3001" s="642">
        <f t="shared" si="72"/>
        <v>57912.060126068201</v>
      </c>
    </row>
    <row r="3002" spans="1:10">
      <c r="A3002" t="s">
        <v>3852</v>
      </c>
      <c r="B3002" t="s">
        <v>249</v>
      </c>
      <c r="C3002" t="s">
        <v>4116</v>
      </c>
      <c r="D3002" t="s">
        <v>172</v>
      </c>
      <c r="E3002" s="639">
        <f>E1166</f>
        <v>149732.64864864864</v>
      </c>
      <c r="F3002" s="640" t="s">
        <v>4073</v>
      </c>
      <c r="H3002" s="6" t="s">
        <v>4649</v>
      </c>
      <c r="I3002" s="641">
        <f t="shared" si="71"/>
        <v>149732.64864864864</v>
      </c>
      <c r="J3002" s="642">
        <f t="shared" si="72"/>
        <v>149732.64864864864</v>
      </c>
    </row>
    <row r="3003" spans="1:10">
      <c r="A3003" t="s">
        <v>3852</v>
      </c>
      <c r="B3003" t="s">
        <v>249</v>
      </c>
      <c r="C3003" t="s">
        <v>4134</v>
      </c>
      <c r="D3003" t="s">
        <v>172</v>
      </c>
      <c r="E3003" s="639">
        <f>E1187</f>
        <v>147711.87105263578</v>
      </c>
      <c r="F3003" s="640" t="s">
        <v>4073</v>
      </c>
      <c r="H3003" s="6" t="s">
        <v>4649</v>
      </c>
      <c r="I3003" s="641">
        <f t="shared" si="71"/>
        <v>147711.87105263578</v>
      </c>
      <c r="J3003" s="642">
        <f t="shared" si="72"/>
        <v>147711.87105263578</v>
      </c>
    </row>
    <row r="3004" spans="1:10">
      <c r="A3004" t="s">
        <v>3852</v>
      </c>
      <c r="B3004" t="s">
        <v>249</v>
      </c>
      <c r="C3004" t="s">
        <v>4135</v>
      </c>
      <c r="D3004" t="s">
        <v>226</v>
      </c>
      <c r="E3004" s="639">
        <f>E1208</f>
        <v>76550</v>
      </c>
      <c r="F3004" s="640" t="s">
        <v>4073</v>
      </c>
      <c r="H3004" s="6" t="s">
        <v>4649</v>
      </c>
      <c r="I3004" s="641">
        <f t="shared" si="71"/>
        <v>76550</v>
      </c>
      <c r="J3004" s="642">
        <f t="shared" si="72"/>
        <v>76550</v>
      </c>
    </row>
    <row r="3005" spans="1:10">
      <c r="A3005" t="s">
        <v>3852</v>
      </c>
      <c r="B3005" t="s">
        <v>249</v>
      </c>
      <c r="C3005" t="s">
        <v>4136</v>
      </c>
      <c r="D3005" t="s">
        <v>226</v>
      </c>
      <c r="E3005" s="639">
        <f>E1229</f>
        <v>104990</v>
      </c>
      <c r="F3005" s="640" t="s">
        <v>4073</v>
      </c>
      <c r="H3005" s="6" t="s">
        <v>4649</v>
      </c>
      <c r="I3005" s="641">
        <f t="shared" si="71"/>
        <v>104990</v>
      </c>
      <c r="J3005" s="642">
        <f t="shared" si="72"/>
        <v>104990</v>
      </c>
    </row>
    <row r="3006" spans="1:10">
      <c r="A3006" t="s">
        <v>3852</v>
      </c>
      <c r="B3006" t="s">
        <v>249</v>
      </c>
      <c r="C3006" t="s">
        <v>4137</v>
      </c>
      <c r="D3006" t="s">
        <v>4142</v>
      </c>
      <c r="E3006" s="639">
        <f>E1250</f>
        <v>53773.61111110833</v>
      </c>
      <c r="F3006" s="640" t="s">
        <v>4073</v>
      </c>
      <c r="H3006" s="6" t="s">
        <v>4649</v>
      </c>
      <c r="I3006" s="641">
        <f t="shared" si="71"/>
        <v>53773.61111110833</v>
      </c>
      <c r="J3006" s="642">
        <f t="shared" si="72"/>
        <v>53773.61111110833</v>
      </c>
    </row>
    <row r="3007" spans="1:10">
      <c r="A3007" t="s">
        <v>3852</v>
      </c>
      <c r="B3007" t="s">
        <v>249</v>
      </c>
      <c r="C3007" t="s">
        <v>4138</v>
      </c>
      <c r="D3007" t="s">
        <v>4142</v>
      </c>
      <c r="E3007" s="639">
        <f>E1271</f>
        <v>89555.040650399998</v>
      </c>
      <c r="F3007" s="640" t="s">
        <v>4073</v>
      </c>
      <c r="H3007" s="6" t="s">
        <v>4649</v>
      </c>
      <c r="I3007" s="641">
        <f t="shared" si="71"/>
        <v>89555.040650399998</v>
      </c>
      <c r="J3007" s="642">
        <f t="shared" si="72"/>
        <v>89555.040650399998</v>
      </c>
    </row>
    <row r="3008" spans="1:10">
      <c r="A3008" t="s">
        <v>3852</v>
      </c>
      <c r="B3008" t="s">
        <v>249</v>
      </c>
      <c r="C3008" t="s">
        <v>4139</v>
      </c>
      <c r="D3008" t="s">
        <v>4142</v>
      </c>
      <c r="E3008" s="639">
        <f>E1292</f>
        <v>44212.121212127277</v>
      </c>
      <c r="F3008" s="640" t="s">
        <v>4073</v>
      </c>
      <c r="H3008" s="6" t="s">
        <v>4649</v>
      </c>
      <c r="I3008" s="641">
        <f t="shared" si="71"/>
        <v>44212.121212127277</v>
      </c>
      <c r="J3008" s="642">
        <f t="shared" si="72"/>
        <v>44212.121212127277</v>
      </c>
    </row>
    <row r="3009" spans="1:10">
      <c r="A3009" t="s">
        <v>3852</v>
      </c>
      <c r="B3009" t="s">
        <v>249</v>
      </c>
      <c r="C3009" t="s">
        <v>4141</v>
      </c>
      <c r="D3009" t="s">
        <v>4142</v>
      </c>
      <c r="E3009" s="639">
        <f>E1334</f>
        <v>45014.916003855331</v>
      </c>
      <c r="F3009" s="640" t="s">
        <v>4073</v>
      </c>
      <c r="H3009" s="6" t="s">
        <v>4649</v>
      </c>
      <c r="I3009" s="641">
        <f t="shared" si="71"/>
        <v>45951.932803084259</v>
      </c>
      <c r="J3009" s="642">
        <f t="shared" si="72"/>
        <v>45951.932803084259</v>
      </c>
    </row>
    <row r="3010" spans="1:10">
      <c r="A3010" t="s">
        <v>3852</v>
      </c>
      <c r="B3010" t="s">
        <v>249</v>
      </c>
      <c r="C3010" t="s">
        <v>4226</v>
      </c>
      <c r="D3010" t="s">
        <v>4225</v>
      </c>
      <c r="E3010" s="639">
        <f>E1397</f>
        <v>60000</v>
      </c>
      <c r="F3010" s="640" t="s">
        <v>4073</v>
      </c>
      <c r="H3010" s="6" t="s">
        <v>4649</v>
      </c>
      <c r="I3010" s="641">
        <f t="shared" si="71"/>
        <v>60000</v>
      </c>
      <c r="J3010" s="642">
        <f t="shared" si="72"/>
        <v>60000</v>
      </c>
    </row>
    <row r="3011" spans="1:10">
      <c r="A3011" t="s">
        <v>3837</v>
      </c>
      <c r="B3011" t="s">
        <v>149</v>
      </c>
      <c r="C3011" t="s">
        <v>150</v>
      </c>
      <c r="D3011" t="s">
        <v>151</v>
      </c>
      <c r="E3011" s="639">
        <f>E831</f>
        <v>194085.8096882547</v>
      </c>
      <c r="F3011" s="640" t="s">
        <v>4073</v>
      </c>
      <c r="H3011" s="6" t="s">
        <v>4650</v>
      </c>
      <c r="I3011" s="641">
        <f>IF(F3011="Departamental",E3011,AVERAGEIFS($E:$E,$H:$H,H3011,$B:$B,B3011,$C:$C,C3011))</f>
        <v>194085.8096882547</v>
      </c>
      <c r="J3011" s="642">
        <f>IF(G3011&lt;&gt;"",G3011,I3011)</f>
        <v>194085.8096882547</v>
      </c>
    </row>
    <row r="3012" spans="1:10">
      <c r="A3012" t="s">
        <v>3837</v>
      </c>
      <c r="B3012" t="s">
        <v>149</v>
      </c>
      <c r="C3012" t="s">
        <v>156</v>
      </c>
      <c r="D3012" t="s">
        <v>151</v>
      </c>
      <c r="E3012" s="639">
        <f>E851</f>
        <v>16744.497139344232</v>
      </c>
      <c r="F3012" s="640" t="s">
        <v>4073</v>
      </c>
      <c r="H3012" s="6" t="s">
        <v>4650</v>
      </c>
      <c r="I3012" s="641">
        <f>IF(F3012="Departamental",E3012,AVERAGEIFS($E:$E,$H:$H,H3012,$B:$B,B3012,$C:$C,C3012))</f>
        <v>16744.497139344232</v>
      </c>
      <c r="J3012" s="642">
        <f>IF(G3012&lt;&gt;"",G3012,I3012)</f>
        <v>16744.497139344232</v>
      </c>
    </row>
    <row r="3013" spans="1:10">
      <c r="A3013" t="s">
        <v>3837</v>
      </c>
      <c r="B3013" t="s">
        <v>149</v>
      </c>
      <c r="C3013" t="s">
        <v>166</v>
      </c>
      <c r="D3013" t="s">
        <v>151</v>
      </c>
      <c r="E3013" s="639">
        <f>E791</f>
        <v>111349.3008880651</v>
      </c>
      <c r="F3013" s="640" t="s">
        <v>4073</v>
      </c>
      <c r="H3013" s="6" t="s">
        <v>4650</v>
      </c>
      <c r="I3013" s="641">
        <f>IF(F3013="Departamental",E3013,AVERAGEIFS($E:$E,$H:$H,H3013,$B:$B,B3013,$C:$C,C3013))</f>
        <v>111349.30088806509</v>
      </c>
      <c r="J3013" s="642">
        <f>IF(G3013&lt;&gt;"",G3013,I3013)</f>
        <v>111349.30088806509</v>
      </c>
    </row>
    <row r="3014" spans="1:10">
      <c r="A3014" t="s">
        <v>3837</v>
      </c>
      <c r="B3014" t="s">
        <v>149</v>
      </c>
      <c r="C3014" t="s">
        <v>4110</v>
      </c>
      <c r="D3014" t="s">
        <v>151</v>
      </c>
      <c r="E3014" s="639">
        <f>E771</f>
        <v>127882.97797722</v>
      </c>
      <c r="F3014" s="640" t="s">
        <v>4073</v>
      </c>
      <c r="H3014" s="6" t="s">
        <v>4650</v>
      </c>
      <c r="I3014" s="641">
        <f>IF(F3014="Departamental",E3014,AVERAGEIFS($E:$E,$H:$H,H3014,$B:$B,B3014,$C:$C,C3014))</f>
        <v>127882.97797722001</v>
      </c>
      <c r="J3014" s="642">
        <f>IF(G3014&lt;&gt;"",G3014,I3014)</f>
        <v>127882.97797722001</v>
      </c>
    </row>
    <row r="3015" spans="1:10">
      <c r="A3015" t="s">
        <v>3837</v>
      </c>
      <c r="B3015" t="s">
        <v>149</v>
      </c>
      <c r="C3015" t="s">
        <v>163</v>
      </c>
      <c r="D3015" t="s">
        <v>164</v>
      </c>
      <c r="E3015" s="639">
        <f>E811</f>
        <v>129509.6904195097</v>
      </c>
      <c r="F3015" s="640" t="s">
        <v>4073</v>
      </c>
      <c r="H3015" s="6" t="s">
        <v>4650</v>
      </c>
      <c r="I3015" s="641">
        <f>IF(F3015="Departamental",E3015,AVERAGEIFS($E:$E,$H:$H,H3015,$B:$B,B3015,$C:$C,C3015))</f>
        <v>129509.6904195097</v>
      </c>
      <c r="J3015" s="642">
        <f>IF(G3015&lt;&gt;"",G3015,I3015)</f>
        <v>129509.6904195097</v>
      </c>
    </row>
    <row r="3016" spans="1:10">
      <c r="A3016" t="s">
        <v>3838</v>
      </c>
      <c r="B3016" t="s">
        <v>149</v>
      </c>
      <c r="C3016" t="s">
        <v>150</v>
      </c>
      <c r="D3016" t="s">
        <v>151</v>
      </c>
      <c r="E3016" s="639">
        <f>E831</f>
        <v>194085.8096882547</v>
      </c>
      <c r="F3016" s="640" t="s">
        <v>4073</v>
      </c>
      <c r="H3016" s="6" t="s">
        <v>4648</v>
      </c>
      <c r="I3016" s="641">
        <f>IF(F3016="Departamental",E3016,AVERAGEIFS($E:$E,$H:$H,H3016,$B:$B,B3016,$C:$C,C3016))</f>
        <v>194085.8096882547</v>
      </c>
      <c r="J3016" s="642">
        <f>IF(G3016&lt;&gt;"",G3016,I3016)</f>
        <v>194085.8096882547</v>
      </c>
    </row>
    <row r="3017" spans="1:10">
      <c r="A3017" t="s">
        <v>3838</v>
      </c>
      <c r="B3017" t="s">
        <v>149</v>
      </c>
      <c r="C3017" t="s">
        <v>156</v>
      </c>
      <c r="D3017" t="s">
        <v>151</v>
      </c>
      <c r="E3017" s="639">
        <f>E851</f>
        <v>16744.497139344232</v>
      </c>
      <c r="F3017" s="640" t="s">
        <v>4073</v>
      </c>
      <c r="H3017" s="6" t="s">
        <v>4648</v>
      </c>
      <c r="I3017" s="641">
        <f>IF(F3017="Departamental",E3017,AVERAGEIFS($E:$E,$H:$H,H3017,$B:$B,B3017,$C:$C,C3017))</f>
        <v>17340.745345642306</v>
      </c>
      <c r="J3017" s="642">
        <f>IF(G3017&lt;&gt;"",G3017,I3017)</f>
        <v>17340.745345642306</v>
      </c>
    </row>
    <row r="3018" spans="1:10">
      <c r="A3018" t="s">
        <v>3838</v>
      </c>
      <c r="B3018" t="s">
        <v>149</v>
      </c>
      <c r="C3018" t="s">
        <v>166</v>
      </c>
      <c r="D3018" t="s">
        <v>151</v>
      </c>
      <c r="E3018" s="639">
        <f>E791</f>
        <v>111349.3008880651</v>
      </c>
      <c r="F3018" s="640" t="s">
        <v>4073</v>
      </c>
      <c r="H3018" s="6" t="s">
        <v>4648</v>
      </c>
      <c r="I3018" s="641">
        <f>IF(F3018="Departamental",E3018,AVERAGEIFS($E:$E,$H:$H,H3018,$B:$B,B3018,$C:$C,C3018))</f>
        <v>111349.30088806509</v>
      </c>
      <c r="J3018" s="642">
        <f>IF(G3018&lt;&gt;"",G3018,I3018)</f>
        <v>111349.30088806509</v>
      </c>
    </row>
    <row r="3019" spans="1:10">
      <c r="A3019" t="s">
        <v>3838</v>
      </c>
      <c r="B3019" t="s">
        <v>149</v>
      </c>
      <c r="C3019" t="s">
        <v>4110</v>
      </c>
      <c r="D3019" t="s">
        <v>151</v>
      </c>
      <c r="E3019" s="639">
        <f>E771</f>
        <v>127882.97797722</v>
      </c>
      <c r="F3019" s="640" t="s">
        <v>4073</v>
      </c>
      <c r="H3019" s="6" t="s">
        <v>4648</v>
      </c>
      <c r="I3019" s="641">
        <f>IF(F3019="Departamental",E3019,AVERAGEIFS($E:$E,$H:$H,H3019,$B:$B,B3019,$C:$C,C3019))</f>
        <v>129509.63963913557</v>
      </c>
      <c r="J3019" s="642">
        <f>IF(G3019&lt;&gt;"",G3019,I3019)</f>
        <v>129509.63963913557</v>
      </c>
    </row>
    <row r="3020" spans="1:10">
      <c r="A3020" t="s">
        <v>3838</v>
      </c>
      <c r="B3020" t="s">
        <v>149</v>
      </c>
      <c r="C3020" t="s">
        <v>163</v>
      </c>
      <c r="D3020" t="s">
        <v>164</v>
      </c>
      <c r="E3020" s="639">
        <f>E811</f>
        <v>129509.6904195097</v>
      </c>
      <c r="F3020" s="640" t="s">
        <v>4073</v>
      </c>
      <c r="H3020" s="6" t="s">
        <v>4648</v>
      </c>
      <c r="I3020" s="641">
        <f>IF(F3020="Departamental",E3020,AVERAGEIFS($E:$E,$H:$H,H3020,$B:$B,B3020,$C:$C,C3020))</f>
        <v>128798.12694633981</v>
      </c>
      <c r="J3020" s="642">
        <f>IF(G3020&lt;&gt;"",G3020,I3020)</f>
        <v>128798.12694633981</v>
      </c>
    </row>
    <row r="3021" spans="1:10">
      <c r="A3021" t="s">
        <v>3848</v>
      </c>
      <c r="B3021" t="s">
        <v>149</v>
      </c>
      <c r="C3021" t="s">
        <v>150</v>
      </c>
      <c r="D3021" t="s">
        <v>151</v>
      </c>
      <c r="E3021" s="639">
        <f>E831</f>
        <v>194085.8096882547</v>
      </c>
      <c r="F3021" s="640" t="s">
        <v>4073</v>
      </c>
      <c r="H3021" s="6" t="s">
        <v>4650</v>
      </c>
      <c r="I3021" s="641">
        <f>IF(F3021="Departamental",E3021,AVERAGEIFS($E:$E,$H:$H,H3021,$B:$B,B3021,$C:$C,C3021))</f>
        <v>194085.8096882547</v>
      </c>
      <c r="J3021" s="642">
        <f>IF(G3021&lt;&gt;"",G3021,I3021)</f>
        <v>194085.8096882547</v>
      </c>
    </row>
    <row r="3022" spans="1:10">
      <c r="A3022" t="s">
        <v>3848</v>
      </c>
      <c r="B3022" t="s">
        <v>149</v>
      </c>
      <c r="C3022" t="s">
        <v>156</v>
      </c>
      <c r="D3022" t="s">
        <v>151</v>
      </c>
      <c r="E3022" s="639">
        <f>E851</f>
        <v>16744.497139344232</v>
      </c>
      <c r="F3022" s="640" t="s">
        <v>4073</v>
      </c>
      <c r="H3022" s="6" t="s">
        <v>4650</v>
      </c>
      <c r="I3022" s="641">
        <f>IF(F3022="Departamental",E3022,AVERAGEIFS($E:$E,$H:$H,H3022,$B:$B,B3022,$C:$C,C3022))</f>
        <v>16744.497139344232</v>
      </c>
      <c r="J3022" s="642">
        <f>IF(G3022&lt;&gt;"",G3022,I3022)</f>
        <v>16744.497139344232</v>
      </c>
    </row>
    <row r="3023" spans="1:10">
      <c r="A3023" t="s">
        <v>3848</v>
      </c>
      <c r="B3023" t="s">
        <v>149</v>
      </c>
      <c r="C3023" t="s">
        <v>166</v>
      </c>
      <c r="D3023" t="s">
        <v>151</v>
      </c>
      <c r="E3023" s="639">
        <f>E791</f>
        <v>111349.3008880651</v>
      </c>
      <c r="F3023" s="640" t="s">
        <v>4073</v>
      </c>
      <c r="H3023" s="6" t="s">
        <v>4650</v>
      </c>
      <c r="I3023" s="641">
        <f>IF(F3023="Departamental",E3023,AVERAGEIFS($E:$E,$H:$H,H3023,$B:$B,B3023,$C:$C,C3023))</f>
        <v>111349.30088806509</v>
      </c>
      <c r="J3023" s="642">
        <f>IF(G3023&lt;&gt;"",G3023,I3023)</f>
        <v>111349.30088806509</v>
      </c>
    </row>
    <row r="3024" spans="1:10">
      <c r="A3024" t="s">
        <v>3848</v>
      </c>
      <c r="B3024" t="s">
        <v>149</v>
      </c>
      <c r="C3024" t="s">
        <v>4110</v>
      </c>
      <c r="D3024" t="s">
        <v>151</v>
      </c>
      <c r="E3024" s="639">
        <f>E771</f>
        <v>127882.97797722</v>
      </c>
      <c r="F3024" s="640" t="s">
        <v>4073</v>
      </c>
      <c r="H3024" s="6" t="s">
        <v>4650</v>
      </c>
      <c r="I3024" s="641">
        <f>IF(F3024="Departamental",E3024,AVERAGEIFS($E:$E,$H:$H,H3024,$B:$B,B3024,$C:$C,C3024))</f>
        <v>127882.97797722001</v>
      </c>
      <c r="J3024" s="642">
        <f>IF(G3024&lt;&gt;"",G3024,I3024)</f>
        <v>127882.97797722001</v>
      </c>
    </row>
    <row r="3025" spans="1:10">
      <c r="A3025" t="s">
        <v>3848</v>
      </c>
      <c r="B3025" t="s">
        <v>149</v>
      </c>
      <c r="C3025" t="s">
        <v>163</v>
      </c>
      <c r="D3025" t="s">
        <v>164</v>
      </c>
      <c r="E3025" s="639">
        <f>E811</f>
        <v>129509.6904195097</v>
      </c>
      <c r="F3025" s="640" t="s">
        <v>4073</v>
      </c>
      <c r="H3025" s="6" t="s">
        <v>4650</v>
      </c>
      <c r="I3025" s="641">
        <f>IF(F3025="Departamental",E3025,AVERAGEIFS($E:$E,$H:$H,H3025,$B:$B,B3025,$C:$C,C3025))</f>
        <v>129509.6904195097</v>
      </c>
      <c r="J3025" s="642">
        <f>IF(G3025&lt;&gt;"",G3025,I3025)</f>
        <v>129509.6904195097</v>
      </c>
    </row>
    <row r="3026" spans="1:10">
      <c r="A3026" t="s">
        <v>3832</v>
      </c>
      <c r="B3026" t="s">
        <v>170</v>
      </c>
      <c r="C3026" t="s">
        <v>230</v>
      </c>
      <c r="D3026" t="s">
        <v>172</v>
      </c>
      <c r="E3026" s="638">
        <v>264979.26829268498</v>
      </c>
      <c r="F3026" s="640" t="s">
        <v>4073</v>
      </c>
      <c r="H3026" s="6" t="s">
        <v>4648</v>
      </c>
      <c r="I3026" s="7"/>
      <c r="J3026" s="7"/>
    </row>
    <row r="3027" spans="1:10">
      <c r="A3027" t="s">
        <v>3833</v>
      </c>
      <c r="B3027" t="s">
        <v>170</v>
      </c>
      <c r="C3027" t="s">
        <v>230</v>
      </c>
      <c r="D3027" t="s">
        <v>172</v>
      </c>
      <c r="E3027" s="638">
        <v>264979.26829268498</v>
      </c>
      <c r="F3027" s="640" t="s">
        <v>4073</v>
      </c>
      <c r="H3027" s="6" t="s">
        <v>4649</v>
      </c>
      <c r="I3027" s="7"/>
      <c r="J3027" s="7"/>
    </row>
    <row r="3028" spans="1:10">
      <c r="A3028" t="s">
        <v>3844</v>
      </c>
      <c r="B3028" t="s">
        <v>170</v>
      </c>
      <c r="C3028" t="s">
        <v>230</v>
      </c>
      <c r="D3028" t="s">
        <v>172</v>
      </c>
      <c r="E3028" s="638">
        <v>264979.26829268498</v>
      </c>
      <c r="F3028" s="640" t="s">
        <v>4073</v>
      </c>
      <c r="H3028" s="6" t="s">
        <v>4649</v>
      </c>
      <c r="I3028" s="7"/>
      <c r="J3028" s="7"/>
    </row>
    <row r="3029" spans="1:10">
      <c r="A3029" t="s">
        <v>3852</v>
      </c>
      <c r="B3029" t="s">
        <v>170</v>
      </c>
      <c r="C3029" t="s">
        <v>230</v>
      </c>
      <c r="D3029" t="s">
        <v>172</v>
      </c>
      <c r="E3029" s="638">
        <v>264979.26829268498</v>
      </c>
      <c r="F3029" s="640" t="s">
        <v>4073</v>
      </c>
      <c r="H3029" s="6" t="s">
        <v>4649</v>
      </c>
      <c r="I3029" s="7"/>
      <c r="J3029" s="7"/>
    </row>
    <row r="3030" spans="1:10">
      <c r="A3030" t="s">
        <v>3852</v>
      </c>
      <c r="B3030" t="s">
        <v>149</v>
      </c>
      <c r="C3030" t="s">
        <v>159</v>
      </c>
      <c r="D3030" t="s">
        <v>4228</v>
      </c>
      <c r="E3030" s="638">
        <v>11457.9436403694</v>
      </c>
      <c r="F3030" s="640" t="s">
        <v>4073</v>
      </c>
      <c r="H3030" s="6" t="s">
        <v>4649</v>
      </c>
      <c r="I3030" s="7"/>
      <c r="J3030" s="7"/>
    </row>
    <row r="3031" spans="1:10">
      <c r="A3031" t="s">
        <v>3852</v>
      </c>
      <c r="B3031" t="s">
        <v>149</v>
      </c>
      <c r="C3031" t="s">
        <v>159</v>
      </c>
      <c r="D3031" t="s">
        <v>160</v>
      </c>
      <c r="E3031" s="638">
        <v>11457.9436403694</v>
      </c>
      <c r="F3031" s="640" t="s">
        <v>4073</v>
      </c>
      <c r="H3031" s="6" t="s">
        <v>4649</v>
      </c>
      <c r="I3031" s="7"/>
      <c r="J3031" s="7"/>
    </row>
    <row r="3032" spans="1:10">
      <c r="A3032" s="27" t="s">
        <v>4448</v>
      </c>
      <c r="B3032" s="27" t="s">
        <v>105</v>
      </c>
      <c r="C3032" s="27" t="s">
        <v>196</v>
      </c>
      <c r="D3032" s="27" t="s">
        <v>197</v>
      </c>
      <c r="E3032" s="28">
        <v>1200000</v>
      </c>
      <c r="F3032" s="27" t="s">
        <v>4658</v>
      </c>
      <c r="G3032" s="48"/>
      <c r="H3032" s="47" t="str">
        <f>IF(OR(A3032="Antioquia",A3032="Bogotá, D.C.",A3032="Boyacá",A3032="Cundinamarca",A3032="Caldas",A3032="Risaralda",A3032="Quindío",A3032="Tolima",A3032="Huila",A3032="Santander",A3032="Norte de Santander"),"ANDINA",
IF(OR(A3032="Atlántico",A3032="Bolívar",A3032="Cesar",A3032="Córdoba",A3032="Sucre",A3032="Magdalena"),"CARIBE",
IF(OR(A3032="Valle del Cauca",A3032="Cauca",A3032="Nariño"),"PACIFICO",
IF(OR(A3032="Meta",A3032="Casanare",A3032="Arauca"),"ORINOQUIA",
"AMAZONIA"))))</f>
        <v>AMAZONIA</v>
      </c>
      <c r="I3032" s="6">
        <f>IF(F3032="Departamental",E3032,
AVERAGEIFS($E:$E,$H:$H,H3032,$B:$B,B3032,$C:$C,C3032))</f>
        <v>1200000</v>
      </c>
      <c r="J3032" s="47">
        <f>IF(G3032&lt;&gt;"",G3032,I3032)</f>
        <v>1200000</v>
      </c>
    </row>
    <row r="3033" spans="1:10">
      <c r="A3033" s="27" t="s">
        <v>3831</v>
      </c>
      <c r="B3033" s="27" t="s">
        <v>105</v>
      </c>
      <c r="C3033" s="27" t="s">
        <v>196</v>
      </c>
      <c r="D3033" s="27" t="s">
        <v>197</v>
      </c>
      <c r="E3033" s="28">
        <v>1200000</v>
      </c>
      <c r="F3033" s="27" t="s">
        <v>4658</v>
      </c>
      <c r="G3033" s="48"/>
      <c r="H3033" s="47" t="str">
        <f>IF(OR(A3033="Antioquia",A3033="Bogotá, D.C.",A3033="Boyacá",A3033="Cundinamarca",A3033="Caldas",A3033="Risaralda",A3033="Quindío",A3033="Tolima",A3033="Huila",A3033="Santander",A3033="Norte de Santander"),"ANDINA",
IF(OR(A3033="Atlántico",A3033="Bolívar",A3033="Cesar",A3033="Córdoba",A3033="Sucre",A3033="Magdalena"),"CARIBE",
IF(OR(A3033="Valle del Cauca",A3033="Cauca",A3033="Nariño"),"PACIFICO",
IF(OR(A3033="Meta",A3033="Casanare",A3033="Arauca"),"ORINOQUIA",
"AMAZONIA"))))</f>
        <v>ANDINA</v>
      </c>
      <c r="I3033" s="6">
        <f>IF(F3033="Departamental",E3033,
AVERAGEIFS($E:$E,$H:$H,H3033,$B:$B,B3033,$C:$C,C3033))</f>
        <v>1200000</v>
      </c>
      <c r="J3033" s="47">
        <f>IF(G3033&lt;&gt;"",G3033,I3033)</f>
        <v>1200000</v>
      </c>
    </row>
    <row r="3034" spans="1:10">
      <c r="A3034" s="27" t="s">
        <v>3832</v>
      </c>
      <c r="B3034" s="27" t="s">
        <v>105</v>
      </c>
      <c r="C3034" s="27" t="s">
        <v>196</v>
      </c>
      <c r="D3034" s="27" t="s">
        <v>197</v>
      </c>
      <c r="E3034" s="28">
        <v>1200000</v>
      </c>
      <c r="F3034" s="27" t="s">
        <v>4658</v>
      </c>
      <c r="G3034" s="48"/>
      <c r="H3034" s="47" t="str">
        <f>IF(OR(A3034="Antioquia",A3034="Bogotá, D.C.",A3034="Boyacá",A3034="Cundinamarca",A3034="Caldas",A3034="Risaralda",A3034="Quindío",A3034="Tolima",A3034="Huila",A3034="Santander",A3034="Norte de Santander"),"ANDINA",
IF(OR(A3034="Atlántico",A3034="Bolívar",A3034="Cesar",A3034="Córdoba",A3034="Sucre",A3034="Magdalena"),"CARIBE",
IF(OR(A3034="Valle del Cauca",A3034="Cauca",A3034="Nariño"),"PACIFICO",
IF(OR(A3034="Meta",A3034="Casanare",A3034="Arauca"),"ORINOQUIA",
"AMAZONIA"))))</f>
        <v>ORINOQUIA</v>
      </c>
      <c r="I3034" s="6">
        <f>IF(F3034="Departamental",E3034,
AVERAGEIFS($E:$E,$H:$H,H3034,$B:$B,B3034,$C:$C,C3034))</f>
        <v>1200000</v>
      </c>
      <c r="J3034" s="47">
        <f>IF(G3034&lt;&gt;"",G3034,I3034)</f>
        <v>1200000</v>
      </c>
    </row>
    <row r="3035" spans="1:10">
      <c r="A3035" s="27" t="s">
        <v>3833</v>
      </c>
      <c r="B3035" s="27" t="s">
        <v>105</v>
      </c>
      <c r="C3035" s="27" t="s">
        <v>196</v>
      </c>
      <c r="D3035" s="27" t="s">
        <v>197</v>
      </c>
      <c r="E3035" s="28">
        <v>1200000</v>
      </c>
      <c r="F3035" s="27" t="s">
        <v>4658</v>
      </c>
      <c r="G3035" s="48"/>
      <c r="H3035" s="47" t="str">
        <f>IF(OR(A3035="Antioquia",A3035="Bogotá, D.C.",A3035="Boyacá",A3035="Cundinamarca",A3035="Caldas",A3035="Risaralda",A3035="Quindío",A3035="Tolima",A3035="Huila",A3035="Santander",A3035="Norte de Santander"),"ANDINA",
IF(OR(A3035="Atlántico",A3035="Bolívar",A3035="Cesar",A3035="Córdoba",A3035="Sucre",A3035="Magdalena"),"CARIBE",
IF(OR(A3035="Valle del Cauca",A3035="Cauca",A3035="Nariño"),"PACIFICO",
IF(OR(A3035="Meta",A3035="Casanare",A3035="Arauca"),"ORINOQUIA",
"AMAZONIA"))))</f>
        <v>CARIBE</v>
      </c>
      <c r="I3035" s="6">
        <f>IF(F3035="Departamental",E3035,
AVERAGEIFS($E:$E,$H:$H,H3035,$B:$B,B3035,$C:$C,C3035))</f>
        <v>1200000</v>
      </c>
      <c r="J3035" s="47">
        <f>IF(G3035&lt;&gt;"",G3035,I3035)</f>
        <v>1200000</v>
      </c>
    </row>
    <row r="3036" spans="1:10">
      <c r="A3036" s="27" t="s">
        <v>4075</v>
      </c>
      <c r="B3036" s="27" t="s">
        <v>105</v>
      </c>
      <c r="C3036" s="27" t="s">
        <v>196</v>
      </c>
      <c r="D3036" s="27" t="s">
        <v>197</v>
      </c>
      <c r="E3036" s="28">
        <v>1200000</v>
      </c>
      <c r="F3036" s="27" t="s">
        <v>4658</v>
      </c>
      <c r="G3036" s="48"/>
      <c r="H3036" s="47" t="str">
        <f>IF(OR(A3036="Antioquia",A3036="Bogotá, D.C.",A3036="Boyacá",A3036="Cundinamarca",A3036="Caldas",A3036="Risaralda",A3036="Quindío",A3036="Tolima",A3036="Huila",A3036="Santander",A3036="Norte de Santander"),"ANDINA",
IF(OR(A3036="Atlántico",A3036="Bolívar",A3036="Cesar",A3036="Córdoba",A3036="Sucre",A3036="Magdalena"),"CARIBE",
IF(OR(A3036="Valle del Cauca",A3036="Cauca",A3036="Nariño"),"PACIFICO",
IF(OR(A3036="Meta",A3036="Casanare",A3036="Arauca"),"ORINOQUIA",
"AMAZONIA"))))</f>
        <v>ANDINA</v>
      </c>
      <c r="I3036" s="6">
        <f>IF(F3036="Departamental",E3036,
AVERAGEIFS($E:$E,$H:$H,H3036,$B:$B,B3036,$C:$C,C3036))</f>
        <v>1200000</v>
      </c>
      <c r="J3036" s="47">
        <f>IF(G3036&lt;&gt;"",G3036,I3036)</f>
        <v>1200000</v>
      </c>
    </row>
    <row r="3037" spans="1:10">
      <c r="A3037" s="27" t="s">
        <v>3834</v>
      </c>
      <c r="B3037" s="27" t="s">
        <v>105</v>
      </c>
      <c r="C3037" s="27" t="s">
        <v>196</v>
      </c>
      <c r="D3037" s="27" t="s">
        <v>197</v>
      </c>
      <c r="E3037" s="28">
        <v>1200000</v>
      </c>
      <c r="F3037" s="27" t="s">
        <v>4658</v>
      </c>
      <c r="G3037" s="48"/>
      <c r="H3037" s="47" t="str">
        <f>IF(OR(A3037="Antioquia",A3037="Bogotá, D.C.",A3037="Boyacá",A3037="Cundinamarca",A3037="Caldas",A3037="Risaralda",A3037="Quindío",A3037="Tolima",A3037="Huila",A3037="Santander",A3037="Norte de Santander"),"ANDINA",
IF(OR(A3037="Atlántico",A3037="Bolívar",A3037="Cesar",A3037="Córdoba",A3037="Sucre",A3037="Magdalena"),"CARIBE",
IF(OR(A3037="Valle del Cauca",A3037="Cauca",A3037="Nariño"),"PACIFICO",
IF(OR(A3037="Meta",A3037="Casanare",A3037="Arauca"),"ORINOQUIA",
"AMAZONIA"))))</f>
        <v>CARIBE</v>
      </c>
      <c r="I3037" s="6">
        <f>IF(F3037="Departamental",E3037,
AVERAGEIFS($E:$E,$H:$H,H3037,$B:$B,B3037,$C:$C,C3037))</f>
        <v>1200000</v>
      </c>
      <c r="J3037" s="47">
        <f>IF(G3037&lt;&gt;"",G3037,I3037)</f>
        <v>1200000</v>
      </c>
    </row>
    <row r="3038" spans="1:10">
      <c r="A3038" s="27" t="s">
        <v>3835</v>
      </c>
      <c r="B3038" s="27" t="s">
        <v>105</v>
      </c>
      <c r="C3038" s="27" t="s">
        <v>196</v>
      </c>
      <c r="D3038" s="27" t="s">
        <v>197</v>
      </c>
      <c r="E3038" s="28">
        <v>1200000</v>
      </c>
      <c r="F3038" s="27" t="s">
        <v>4658</v>
      </c>
      <c r="G3038" s="48"/>
      <c r="H3038" s="47" t="str">
        <f>IF(OR(A3038="Antioquia",A3038="Bogotá, D.C.",A3038="Boyacá",A3038="Cundinamarca",A3038="Caldas",A3038="Risaralda",A3038="Quindío",A3038="Tolima",A3038="Huila",A3038="Santander",A3038="Norte de Santander"),"ANDINA",
IF(OR(A3038="Atlántico",A3038="Bolívar",A3038="Cesar",A3038="Córdoba",A3038="Sucre",A3038="Magdalena"),"CARIBE",
IF(OR(A3038="Valle del Cauca",A3038="Cauca",A3038="Nariño"),"PACIFICO",
IF(OR(A3038="Meta",A3038="Casanare",A3038="Arauca"),"ORINOQUIA",
"AMAZONIA"))))</f>
        <v>ANDINA</v>
      </c>
      <c r="I3038" s="6">
        <f>IF(F3038="Departamental",E3038,
AVERAGEIFS($E:$E,$H:$H,H3038,$B:$B,B3038,$C:$C,C3038))</f>
        <v>1200000</v>
      </c>
      <c r="J3038" s="47">
        <f>IF(G3038&lt;&gt;"",G3038,I3038)</f>
        <v>1200000</v>
      </c>
    </row>
    <row r="3039" spans="1:10">
      <c r="A3039" s="27" t="s">
        <v>3836</v>
      </c>
      <c r="B3039" s="27" t="s">
        <v>105</v>
      </c>
      <c r="C3039" s="27" t="s">
        <v>196</v>
      </c>
      <c r="D3039" s="27" t="s">
        <v>197</v>
      </c>
      <c r="E3039" s="28">
        <v>1200000</v>
      </c>
      <c r="F3039" s="27" t="s">
        <v>4658</v>
      </c>
      <c r="G3039" s="48"/>
      <c r="H3039" s="47" t="str">
        <f>IF(OR(A3039="Antioquia",A3039="Bogotá, D.C.",A3039="Boyacá",A3039="Cundinamarca",A3039="Caldas",A3039="Risaralda",A3039="Quindío",A3039="Tolima",A3039="Huila",A3039="Santander",A3039="Norte de Santander"),"ANDINA",
IF(OR(A3039="Atlántico",A3039="Bolívar",A3039="Cesar",A3039="Córdoba",A3039="Sucre",A3039="Magdalena"),"CARIBE",
IF(OR(A3039="Valle del Cauca",A3039="Cauca",A3039="Nariño"),"PACIFICO",
IF(OR(A3039="Meta",A3039="Casanare",A3039="Arauca"),"ORINOQUIA",
"AMAZONIA"))))</f>
        <v>ANDINA</v>
      </c>
      <c r="I3039" s="6">
        <f>IF(F3039="Departamental",E3039,
AVERAGEIFS($E:$E,$H:$H,H3039,$B:$B,B3039,$C:$C,C3039))</f>
        <v>1200000</v>
      </c>
      <c r="J3039" s="47">
        <f>IF(G3039&lt;&gt;"",G3039,I3039)</f>
        <v>1200000</v>
      </c>
    </row>
    <row r="3040" spans="1:10">
      <c r="A3040" s="27" t="s">
        <v>3837</v>
      </c>
      <c r="B3040" s="27" t="s">
        <v>105</v>
      </c>
      <c r="C3040" s="27" t="s">
        <v>196</v>
      </c>
      <c r="D3040" s="27" t="s">
        <v>197</v>
      </c>
      <c r="E3040" s="28">
        <v>1200000</v>
      </c>
      <c r="F3040" s="27" t="s">
        <v>4658</v>
      </c>
      <c r="G3040" s="48"/>
      <c r="H3040" s="47" t="str">
        <f>IF(OR(A3040="Antioquia",A3040="Bogotá, D.C.",A3040="Boyacá",A3040="Cundinamarca",A3040="Caldas",A3040="Risaralda",A3040="Quindío",A3040="Tolima",A3040="Huila",A3040="Santander",A3040="Norte de Santander"),"ANDINA",
IF(OR(A3040="Atlántico",A3040="Bolívar",A3040="Cesar",A3040="Córdoba",A3040="Sucre",A3040="Magdalena"),"CARIBE",
IF(OR(A3040="Valle del Cauca",A3040="Cauca",A3040="Nariño"),"PACIFICO",
IF(OR(A3040="Meta",A3040="Casanare",A3040="Arauca"),"ORINOQUIA",
"AMAZONIA"))))</f>
        <v>AMAZONIA</v>
      </c>
      <c r="I3040" s="6">
        <f>IF(F3040="Departamental",E3040,
AVERAGEIFS($E:$E,$H:$H,H3040,$B:$B,B3040,$C:$C,C3040))</f>
        <v>1200000</v>
      </c>
      <c r="J3040" s="47">
        <f>IF(G3040&lt;&gt;"",G3040,I3040)</f>
        <v>1200000</v>
      </c>
    </row>
    <row r="3041" spans="1:10">
      <c r="A3041" s="27" t="s">
        <v>3838</v>
      </c>
      <c r="B3041" s="27" t="s">
        <v>105</v>
      </c>
      <c r="C3041" s="27" t="s">
        <v>196</v>
      </c>
      <c r="D3041" s="27" t="s">
        <v>197</v>
      </c>
      <c r="E3041" s="28">
        <v>1200000</v>
      </c>
      <c r="F3041" s="27" t="s">
        <v>4658</v>
      </c>
      <c r="G3041" s="48"/>
      <c r="H3041" s="47" t="str">
        <f>IF(OR(A3041="Antioquia",A3041="Bogotá, D.C.",A3041="Boyacá",A3041="Cundinamarca",A3041="Caldas",A3041="Risaralda",A3041="Quindío",A3041="Tolima",A3041="Huila",A3041="Santander",A3041="Norte de Santander"),"ANDINA",
IF(OR(A3041="Atlántico",A3041="Bolívar",A3041="Cesar",A3041="Córdoba",A3041="Sucre",A3041="Magdalena"),"CARIBE",
IF(OR(A3041="Valle del Cauca",A3041="Cauca",A3041="Nariño"),"PACIFICO",
IF(OR(A3041="Meta",A3041="Casanare",A3041="Arauca"),"ORINOQUIA",
"AMAZONIA"))))</f>
        <v>ORINOQUIA</v>
      </c>
      <c r="I3041" s="6">
        <f>IF(F3041="Departamental",E3041,
AVERAGEIFS($E:$E,$H:$H,H3041,$B:$B,B3041,$C:$C,C3041))</f>
        <v>1200000</v>
      </c>
      <c r="J3041" s="47">
        <f>IF(G3041&lt;&gt;"",G3041,I3041)</f>
        <v>1200000</v>
      </c>
    </row>
    <row r="3042" spans="1:10">
      <c r="A3042" s="27" t="s">
        <v>3839</v>
      </c>
      <c r="B3042" s="27" t="s">
        <v>105</v>
      </c>
      <c r="C3042" s="27" t="s">
        <v>196</v>
      </c>
      <c r="D3042" s="27" t="s">
        <v>197</v>
      </c>
      <c r="E3042" s="28">
        <v>1200000</v>
      </c>
      <c r="F3042" s="27" t="s">
        <v>4658</v>
      </c>
      <c r="G3042" s="48"/>
      <c r="H3042" s="47" t="str">
        <f>IF(OR(A3042="Antioquia",A3042="Bogotá, D.C.",A3042="Boyacá",A3042="Cundinamarca",A3042="Caldas",A3042="Risaralda",A3042="Quindío",A3042="Tolima",A3042="Huila",A3042="Santander",A3042="Norte de Santander"),"ANDINA",
IF(OR(A3042="Atlántico",A3042="Bolívar",A3042="Cesar",A3042="Córdoba",A3042="Sucre",A3042="Magdalena"),"CARIBE",
IF(OR(A3042="Valle del Cauca",A3042="Cauca",A3042="Nariño"),"PACIFICO",
IF(OR(A3042="Meta",A3042="Casanare",A3042="Arauca"),"ORINOQUIA",
"AMAZONIA"))))</f>
        <v>PACIFICO</v>
      </c>
      <c r="I3042" s="6">
        <f>IF(F3042="Departamental",E3042,
AVERAGEIFS($E:$E,$H:$H,H3042,$B:$B,B3042,$C:$C,C3042))</f>
        <v>1200000</v>
      </c>
      <c r="J3042" s="47">
        <f>IF(G3042&lt;&gt;"",G3042,I3042)</f>
        <v>1200000</v>
      </c>
    </row>
    <row r="3043" spans="1:10">
      <c r="A3043" s="27" t="s">
        <v>3840</v>
      </c>
      <c r="B3043" s="27" t="s">
        <v>105</v>
      </c>
      <c r="C3043" s="27" t="s">
        <v>196</v>
      </c>
      <c r="D3043" s="27" t="s">
        <v>197</v>
      </c>
      <c r="E3043" s="28">
        <v>1200000</v>
      </c>
      <c r="F3043" s="27" t="s">
        <v>4658</v>
      </c>
      <c r="G3043" s="48"/>
      <c r="H3043" s="47" t="str">
        <f>IF(OR(A3043="Antioquia",A3043="Bogotá, D.C.",A3043="Boyacá",A3043="Cundinamarca",A3043="Caldas",A3043="Risaralda",A3043="Quindío",A3043="Tolima",A3043="Huila",A3043="Santander",A3043="Norte de Santander"),"ANDINA",
IF(OR(A3043="Atlántico",A3043="Bolívar",A3043="Cesar",A3043="Córdoba",A3043="Sucre",A3043="Magdalena"),"CARIBE",
IF(OR(A3043="Valle del Cauca",A3043="Cauca",A3043="Nariño"),"PACIFICO",
IF(OR(A3043="Meta",A3043="Casanare",A3043="Arauca"),"ORINOQUIA",
"AMAZONIA"))))</f>
        <v>CARIBE</v>
      </c>
      <c r="I3043" s="6">
        <f>IF(F3043="Departamental",E3043,
AVERAGEIFS($E:$E,$H:$H,H3043,$B:$B,B3043,$C:$C,C3043))</f>
        <v>1200000</v>
      </c>
      <c r="J3043" s="47">
        <f>IF(G3043&lt;&gt;"",G3043,I3043)</f>
        <v>1200000</v>
      </c>
    </row>
    <row r="3044" spans="1:10">
      <c r="A3044" s="27" t="s">
        <v>4449</v>
      </c>
      <c r="B3044" s="27" t="s">
        <v>105</v>
      </c>
      <c r="C3044" s="27" t="s">
        <v>196</v>
      </c>
      <c r="D3044" s="27" t="s">
        <v>197</v>
      </c>
      <c r="E3044" s="28">
        <v>1200000</v>
      </c>
      <c r="F3044" s="27" t="s">
        <v>4658</v>
      </c>
      <c r="G3044" s="48"/>
      <c r="H3044" s="47" t="str">
        <f>IF(OR(A3044="Antioquia",A3044="Bogotá, D.C.",A3044="Boyacá",A3044="Cundinamarca",A3044="Caldas",A3044="Risaralda",A3044="Quindío",A3044="Tolima",A3044="Huila",A3044="Santander",A3044="Norte de Santander"),"ANDINA",
IF(OR(A3044="Atlántico",A3044="Bolívar",A3044="Cesar",A3044="Córdoba",A3044="Sucre",A3044="Magdalena"),"CARIBE",
IF(OR(A3044="Valle del Cauca",A3044="Cauca",A3044="Nariño"),"PACIFICO",
IF(OR(A3044="Meta",A3044="Casanare",A3044="Arauca"),"ORINOQUIA",
"AMAZONIA"))))</f>
        <v>AMAZONIA</v>
      </c>
      <c r="I3044" s="6">
        <f>IF(F3044="Departamental",E3044,
AVERAGEIFS($E:$E,$H:$H,H3044,$B:$B,B3044,$C:$C,C3044))</f>
        <v>1200000</v>
      </c>
      <c r="J3044" s="47">
        <f>IF(G3044&lt;&gt;"",G3044,I3044)</f>
        <v>1200000</v>
      </c>
    </row>
    <row r="3045" spans="1:10">
      <c r="A3045" s="27" t="s">
        <v>3842</v>
      </c>
      <c r="B3045" s="27" t="s">
        <v>105</v>
      </c>
      <c r="C3045" s="27" t="s">
        <v>196</v>
      </c>
      <c r="D3045" s="27" t="s">
        <v>197</v>
      </c>
      <c r="E3045" s="28">
        <v>1200000</v>
      </c>
      <c r="F3045" s="27" t="s">
        <v>4658</v>
      </c>
      <c r="G3045" s="48"/>
      <c r="H3045" s="47" t="str">
        <f>IF(OR(A3045="Antioquia",A3045="Bogotá, D.C.",A3045="Boyacá",A3045="Cundinamarca",A3045="Caldas",A3045="Risaralda",A3045="Quindío",A3045="Tolima",A3045="Huila",A3045="Santander",A3045="Norte de Santander"),"ANDINA",
IF(OR(A3045="Atlántico",A3045="Bolívar",A3045="Cesar",A3045="Córdoba",A3045="Sucre",A3045="Magdalena"),"CARIBE",
IF(OR(A3045="Valle del Cauca",A3045="Cauca",A3045="Nariño"),"PACIFICO",
IF(OR(A3045="Meta",A3045="Casanare",A3045="Arauca"),"ORINOQUIA",
"AMAZONIA"))))</f>
        <v>ANDINA</v>
      </c>
      <c r="I3045" s="6">
        <f>IF(F3045="Departamental",E3045,
AVERAGEIFS($E:$E,$H:$H,H3045,$B:$B,B3045,$C:$C,C3045))</f>
        <v>1200000</v>
      </c>
      <c r="J3045" s="47">
        <f>IF(G3045&lt;&gt;"",G3045,I3045)</f>
        <v>1200000</v>
      </c>
    </row>
    <row r="3046" spans="1:10">
      <c r="A3046" s="27" t="s">
        <v>3841</v>
      </c>
      <c r="B3046" s="27" t="s">
        <v>105</v>
      </c>
      <c r="C3046" s="27" t="s">
        <v>196</v>
      </c>
      <c r="D3046" s="27" t="s">
        <v>197</v>
      </c>
      <c r="E3046" s="28">
        <v>1200000</v>
      </c>
      <c r="F3046" s="27" t="s">
        <v>4658</v>
      </c>
      <c r="G3046" s="48"/>
      <c r="H3046" s="47" t="str">
        <f>IF(OR(A3046="Antioquia",A3046="Bogotá, D.C.",A3046="Boyacá",A3046="Cundinamarca",A3046="Caldas",A3046="Risaralda",A3046="Quindío",A3046="Tolima",A3046="Huila",A3046="Santander",A3046="Norte de Santander"),"ANDINA",
IF(OR(A3046="Atlántico",A3046="Bolívar",A3046="Cesar",A3046="Córdoba",A3046="Sucre",A3046="Magdalena"),"CARIBE",
IF(OR(A3046="Valle del Cauca",A3046="Cauca",A3046="Nariño"),"PACIFICO",
IF(OR(A3046="Meta",A3046="Casanare",A3046="Arauca"),"ORINOQUIA",
"AMAZONIA"))))</f>
        <v>CARIBE</v>
      </c>
      <c r="I3046" s="6">
        <f>IF(F3046="Departamental",E3046,
AVERAGEIFS($E:$E,$H:$H,H3046,$B:$B,B3046,$C:$C,C3046))</f>
        <v>1200000</v>
      </c>
      <c r="J3046" s="47">
        <f>IF(G3046&lt;&gt;"",G3046,I3046)</f>
        <v>1200000</v>
      </c>
    </row>
    <row r="3047" spans="1:10">
      <c r="A3047" s="27" t="s">
        <v>4450</v>
      </c>
      <c r="B3047" s="27" t="s">
        <v>105</v>
      </c>
      <c r="C3047" s="27" t="s">
        <v>196</v>
      </c>
      <c r="D3047" s="27" t="s">
        <v>197</v>
      </c>
      <c r="E3047" s="28">
        <v>1200000</v>
      </c>
      <c r="F3047" s="27" t="s">
        <v>4658</v>
      </c>
      <c r="G3047" s="48"/>
      <c r="H3047" s="47" t="str">
        <f>IF(OR(A3047="Antioquia",A3047="Bogotá, D.C.",A3047="Boyacá",A3047="Cundinamarca",A3047="Caldas",A3047="Risaralda",A3047="Quindío",A3047="Tolima",A3047="Huila",A3047="Santander",A3047="Norte de Santander"),"ANDINA",
IF(OR(A3047="Atlántico",A3047="Bolívar",A3047="Cesar",A3047="Córdoba",A3047="Sucre",A3047="Magdalena"),"CARIBE",
IF(OR(A3047="Valle del Cauca",A3047="Cauca",A3047="Nariño"),"PACIFICO",
IF(OR(A3047="Meta",A3047="Casanare",A3047="Arauca"),"ORINOQUIA",
"AMAZONIA"))))</f>
        <v>AMAZONIA</v>
      </c>
      <c r="I3047" s="6">
        <f>IF(F3047="Departamental",E3047,
AVERAGEIFS($E:$E,$H:$H,H3047,$B:$B,B3047,$C:$C,C3047))</f>
        <v>1200000</v>
      </c>
      <c r="J3047" s="47">
        <f>IF(G3047&lt;&gt;"",G3047,I3047)</f>
        <v>1200000</v>
      </c>
    </row>
    <row r="3048" spans="1:10">
      <c r="A3048" s="27" t="s">
        <v>4451</v>
      </c>
      <c r="B3048" s="27" t="s">
        <v>105</v>
      </c>
      <c r="C3048" s="27" t="s">
        <v>196</v>
      </c>
      <c r="D3048" s="27" t="s">
        <v>197</v>
      </c>
      <c r="E3048" s="28">
        <v>1200000</v>
      </c>
      <c r="F3048" s="27" t="s">
        <v>4658</v>
      </c>
      <c r="G3048" s="48"/>
      <c r="H3048" s="47" t="str">
        <f>IF(OR(A3048="Antioquia",A3048="Bogotá, D.C.",A3048="Boyacá",A3048="Cundinamarca",A3048="Caldas",A3048="Risaralda",A3048="Quindío",A3048="Tolima",A3048="Huila",A3048="Santander",A3048="Norte de Santander"),"ANDINA",
IF(OR(A3048="Atlántico",A3048="Bolívar",A3048="Cesar",A3048="Córdoba",A3048="Sucre",A3048="Magdalena"),"CARIBE",
IF(OR(A3048="Valle del Cauca",A3048="Cauca",A3048="Nariño"),"PACIFICO",
IF(OR(A3048="Meta",A3048="Casanare",A3048="Arauca"),"ORINOQUIA",
"AMAZONIA"))))</f>
        <v>AMAZONIA</v>
      </c>
      <c r="I3048" s="6">
        <f>IF(F3048="Departamental",E3048,
AVERAGEIFS($E:$E,$H:$H,H3048,$B:$B,B3048,$C:$C,C3048))</f>
        <v>1200000</v>
      </c>
      <c r="J3048" s="47">
        <f>IF(G3048&lt;&gt;"",G3048,I3048)</f>
        <v>1200000</v>
      </c>
    </row>
    <row r="3049" spans="1:10">
      <c r="A3049" s="27" t="s">
        <v>3843</v>
      </c>
      <c r="B3049" s="27" t="s">
        <v>105</v>
      </c>
      <c r="C3049" s="27" t="s">
        <v>196</v>
      </c>
      <c r="D3049" s="27" t="s">
        <v>197</v>
      </c>
      <c r="E3049" s="28">
        <v>1200000</v>
      </c>
      <c r="F3049" s="27" t="s">
        <v>4658</v>
      </c>
      <c r="G3049" s="48"/>
      <c r="H3049" s="47" t="str">
        <f>IF(OR(A3049="Antioquia",A3049="Bogotá, D.C.",A3049="Boyacá",A3049="Cundinamarca",A3049="Caldas",A3049="Risaralda",A3049="Quindío",A3049="Tolima",A3049="Huila",A3049="Santander",A3049="Norte de Santander"),"ANDINA",
IF(OR(A3049="Atlántico",A3049="Bolívar",A3049="Cesar",A3049="Córdoba",A3049="Sucre",A3049="Magdalena"),"CARIBE",
IF(OR(A3049="Valle del Cauca",A3049="Cauca",A3049="Nariño"),"PACIFICO",
IF(OR(A3049="Meta",A3049="Casanare",A3049="Arauca"),"ORINOQUIA",
"AMAZONIA"))))</f>
        <v>ANDINA</v>
      </c>
      <c r="I3049" s="6">
        <f>IF(F3049="Departamental",E3049,
AVERAGEIFS($E:$E,$H:$H,H3049,$B:$B,B3049,$C:$C,C3049))</f>
        <v>1200000</v>
      </c>
      <c r="J3049" s="47">
        <f>IF(G3049&lt;&gt;"",G3049,I3049)</f>
        <v>1200000</v>
      </c>
    </row>
    <row r="3050" spans="1:10">
      <c r="A3050" s="27" t="s">
        <v>4452</v>
      </c>
      <c r="B3050" s="27" t="s">
        <v>105</v>
      </c>
      <c r="C3050" s="27" t="s">
        <v>196</v>
      </c>
      <c r="D3050" s="27" t="s">
        <v>197</v>
      </c>
      <c r="E3050" s="28">
        <v>1200000</v>
      </c>
      <c r="F3050" s="27" t="s">
        <v>4658</v>
      </c>
      <c r="G3050" s="48"/>
      <c r="H3050" s="47" t="str">
        <f>IF(OR(A3050="Antioquia",A3050="Bogotá, D.C.",A3050="Boyacá",A3050="Cundinamarca",A3050="Caldas",A3050="Risaralda",A3050="Quindío",A3050="Tolima",A3050="Huila",A3050="Santander",A3050="Norte de Santander"),"ANDINA",
IF(OR(A3050="Atlántico",A3050="Bolívar",A3050="Cesar",A3050="Córdoba",A3050="Sucre",A3050="Magdalena"),"CARIBE",
IF(OR(A3050="Valle del Cauca",A3050="Cauca",A3050="Nariño"),"PACIFICO",
IF(OR(A3050="Meta",A3050="Casanare",A3050="Arauca"),"ORINOQUIA",
"AMAZONIA"))))</f>
        <v>AMAZONIA</v>
      </c>
      <c r="I3050" s="6">
        <f>IF(F3050="Departamental",E3050,
AVERAGEIFS($E:$E,$H:$H,H3050,$B:$B,B3050,$C:$C,C3050))</f>
        <v>1200000</v>
      </c>
      <c r="J3050" s="47">
        <f>IF(G3050&lt;&gt;"",G3050,I3050)</f>
        <v>1200000</v>
      </c>
    </row>
    <row r="3051" spans="1:10">
      <c r="A3051" s="27" t="s">
        <v>3844</v>
      </c>
      <c r="B3051" s="27" t="s">
        <v>105</v>
      </c>
      <c r="C3051" s="27" t="s">
        <v>196</v>
      </c>
      <c r="D3051" s="27" t="s">
        <v>197</v>
      </c>
      <c r="E3051" s="28">
        <v>1200000</v>
      </c>
      <c r="F3051" s="27" t="s">
        <v>4658</v>
      </c>
      <c r="G3051" s="48"/>
      <c r="H3051" s="47" t="str">
        <f>IF(OR(A3051="Antioquia",A3051="Bogotá, D.C.",A3051="Boyacá",A3051="Cundinamarca",A3051="Caldas",A3051="Risaralda",A3051="Quindío",A3051="Tolima",A3051="Huila",A3051="Santander",A3051="Norte de Santander"),"ANDINA",
IF(OR(A3051="Atlántico",A3051="Bolívar",A3051="Cesar",A3051="Córdoba",A3051="Sucre",A3051="Magdalena"),"CARIBE",
IF(OR(A3051="Valle del Cauca",A3051="Cauca",A3051="Nariño"),"PACIFICO",
IF(OR(A3051="Meta",A3051="Casanare",A3051="Arauca"),"ORINOQUIA",
"AMAZONIA"))))</f>
        <v>CARIBE</v>
      </c>
      <c r="I3051" s="6">
        <f>IF(F3051="Departamental",E3051,
AVERAGEIFS($E:$E,$H:$H,H3051,$B:$B,B3051,$C:$C,C3051))</f>
        <v>1200000</v>
      </c>
      <c r="J3051" s="47">
        <f>IF(G3051&lt;&gt;"",G3051,I3051)</f>
        <v>1200000</v>
      </c>
    </row>
    <row r="3052" spans="1:10">
      <c r="A3052" s="27" t="s">
        <v>3845</v>
      </c>
      <c r="B3052" s="27" t="s">
        <v>105</v>
      </c>
      <c r="C3052" s="27" t="s">
        <v>196</v>
      </c>
      <c r="D3052" s="27" t="s">
        <v>197</v>
      </c>
      <c r="E3052" s="28">
        <v>1200000</v>
      </c>
      <c r="F3052" s="27" t="s">
        <v>4658</v>
      </c>
      <c r="G3052" s="48"/>
      <c r="H3052" s="47" t="str">
        <f>IF(OR(A3052="Antioquia",A3052="Bogotá, D.C.",A3052="Boyacá",A3052="Cundinamarca",A3052="Caldas",A3052="Risaralda",A3052="Quindío",A3052="Tolima",A3052="Huila",A3052="Santander",A3052="Norte de Santander"),"ANDINA",
IF(OR(A3052="Atlántico",A3052="Bolívar",A3052="Cesar",A3052="Córdoba",A3052="Sucre",A3052="Magdalena"),"CARIBE",
IF(OR(A3052="Valle del Cauca",A3052="Cauca",A3052="Nariño"),"PACIFICO",
IF(OR(A3052="Meta",A3052="Casanare",A3052="Arauca"),"ORINOQUIA",
"AMAZONIA"))))</f>
        <v>ORINOQUIA</v>
      </c>
      <c r="I3052" s="6">
        <f>IF(F3052="Departamental",E3052,
AVERAGEIFS($E:$E,$H:$H,H3052,$B:$B,B3052,$C:$C,C3052))</f>
        <v>1200000</v>
      </c>
      <c r="J3052" s="47">
        <f>IF(G3052&lt;&gt;"",G3052,I3052)</f>
        <v>1200000</v>
      </c>
    </row>
    <row r="3053" spans="1:10">
      <c r="A3053" s="27" t="s">
        <v>3846</v>
      </c>
      <c r="B3053" s="27" t="s">
        <v>105</v>
      </c>
      <c r="C3053" s="27" t="s">
        <v>196</v>
      </c>
      <c r="D3053" s="27" t="s">
        <v>197</v>
      </c>
      <c r="E3053" s="28">
        <v>1200000</v>
      </c>
      <c r="F3053" s="27" t="s">
        <v>4658</v>
      </c>
      <c r="G3053" s="48"/>
      <c r="H3053" s="47" t="str">
        <f>IF(OR(A3053="Antioquia",A3053="Bogotá, D.C.",A3053="Boyacá",A3053="Cundinamarca",A3053="Caldas",A3053="Risaralda",A3053="Quindío",A3053="Tolima",A3053="Huila",A3053="Santander",A3053="Norte de Santander"),"ANDINA",
IF(OR(A3053="Atlántico",A3053="Bolívar",A3053="Cesar",A3053="Córdoba",A3053="Sucre",A3053="Magdalena"),"CARIBE",
IF(OR(A3053="Valle del Cauca",A3053="Cauca",A3053="Nariño"),"PACIFICO",
IF(OR(A3053="Meta",A3053="Casanare",A3053="Arauca"),"ORINOQUIA",
"AMAZONIA"))))</f>
        <v>PACIFICO</v>
      </c>
      <c r="I3053" s="6">
        <f>IF(F3053="Departamental",E3053,
AVERAGEIFS($E:$E,$H:$H,H3053,$B:$B,B3053,$C:$C,C3053))</f>
        <v>1200000</v>
      </c>
      <c r="J3053" s="47">
        <f>IF(G3053&lt;&gt;"",G3053,I3053)</f>
        <v>1200000</v>
      </c>
    </row>
    <row r="3054" spans="1:10">
      <c r="A3054" s="27" t="s">
        <v>3847</v>
      </c>
      <c r="B3054" s="27" t="s">
        <v>105</v>
      </c>
      <c r="C3054" s="27" t="s">
        <v>196</v>
      </c>
      <c r="D3054" s="27" t="s">
        <v>197</v>
      </c>
      <c r="E3054" s="28">
        <v>1200000</v>
      </c>
      <c r="F3054" s="27" t="s">
        <v>4658</v>
      </c>
      <c r="G3054" s="48"/>
      <c r="H3054" s="47" t="str">
        <f>IF(OR(A3054="Antioquia",A3054="Bogotá, D.C.",A3054="Boyacá",A3054="Cundinamarca",A3054="Caldas",A3054="Risaralda",A3054="Quindío",A3054="Tolima",A3054="Huila",A3054="Santander",A3054="Norte de Santander"),"ANDINA",
IF(OR(A3054="Atlántico",A3054="Bolívar",A3054="Cesar",A3054="Córdoba",A3054="Sucre",A3054="Magdalena"),"CARIBE",
IF(OR(A3054="Valle del Cauca",A3054="Cauca",A3054="Nariño"),"PACIFICO",
IF(OR(A3054="Meta",A3054="Casanare",A3054="Arauca"),"ORINOQUIA",
"AMAZONIA"))))</f>
        <v>ANDINA</v>
      </c>
      <c r="I3054" s="6">
        <f>IF(F3054="Departamental",E3054,
AVERAGEIFS($E:$E,$H:$H,H3054,$B:$B,B3054,$C:$C,C3054))</f>
        <v>1200000</v>
      </c>
      <c r="J3054" s="47">
        <f>IF(G3054&lt;&gt;"",G3054,I3054)</f>
        <v>1200000</v>
      </c>
    </row>
    <row r="3055" spans="1:10">
      <c r="A3055" s="27" t="s">
        <v>3848</v>
      </c>
      <c r="B3055" s="27" t="s">
        <v>105</v>
      </c>
      <c r="C3055" s="27" t="s">
        <v>196</v>
      </c>
      <c r="D3055" s="27" t="s">
        <v>197</v>
      </c>
      <c r="E3055" s="28">
        <v>1200000</v>
      </c>
      <c r="F3055" s="27" t="s">
        <v>4658</v>
      </c>
      <c r="G3055" s="48"/>
      <c r="H3055" s="47" t="str">
        <f>IF(OR(A3055="Antioquia",A3055="Bogotá, D.C.",A3055="Boyacá",A3055="Cundinamarca",A3055="Caldas",A3055="Risaralda",A3055="Quindío",A3055="Tolima",A3055="Huila",A3055="Santander",A3055="Norte de Santander"),"ANDINA",
IF(OR(A3055="Atlántico",A3055="Bolívar",A3055="Cesar",A3055="Córdoba",A3055="Sucre",A3055="Magdalena"),"CARIBE",
IF(OR(A3055="Valle del Cauca",A3055="Cauca",A3055="Nariño"),"PACIFICO",
IF(OR(A3055="Meta",A3055="Casanare",A3055="Arauca"),"ORINOQUIA",
"AMAZONIA"))))</f>
        <v>AMAZONIA</v>
      </c>
      <c r="I3055" s="6">
        <f>IF(F3055="Departamental",E3055,
AVERAGEIFS($E:$E,$H:$H,H3055,$B:$B,B3055,$C:$C,C3055))</f>
        <v>1200000</v>
      </c>
      <c r="J3055" s="47">
        <f>IF(G3055&lt;&gt;"",G3055,I3055)</f>
        <v>1200000</v>
      </c>
    </row>
    <row r="3056" spans="1:10">
      <c r="A3056" s="27" t="s">
        <v>3849</v>
      </c>
      <c r="B3056" s="27" t="s">
        <v>105</v>
      </c>
      <c r="C3056" s="27" t="s">
        <v>196</v>
      </c>
      <c r="D3056" s="27" t="s">
        <v>197</v>
      </c>
      <c r="E3056" s="28">
        <v>1200000</v>
      </c>
      <c r="F3056" s="27" t="s">
        <v>4658</v>
      </c>
      <c r="G3056" s="48"/>
      <c r="H3056" s="47" t="str">
        <f>IF(OR(A3056="Antioquia",A3056="Bogotá, D.C.",A3056="Boyacá",A3056="Cundinamarca",A3056="Caldas",A3056="Risaralda",A3056="Quindío",A3056="Tolima",A3056="Huila",A3056="Santander",A3056="Norte de Santander"),"ANDINA",
IF(OR(A3056="Atlántico",A3056="Bolívar",A3056="Cesar",A3056="Córdoba",A3056="Sucre",A3056="Magdalena"),"CARIBE",
IF(OR(A3056="Valle del Cauca",A3056="Cauca",A3056="Nariño"),"PACIFICO",
IF(OR(A3056="Meta",A3056="Casanare",A3056="Arauca"),"ORINOQUIA",
"AMAZONIA"))))</f>
        <v>ANDINA</v>
      </c>
      <c r="I3056" s="6">
        <f>IF(F3056="Departamental",E3056,
AVERAGEIFS($E:$E,$H:$H,H3056,$B:$B,B3056,$C:$C,C3056))</f>
        <v>1200000</v>
      </c>
      <c r="J3056" s="47">
        <f>IF(G3056&lt;&gt;"",G3056,I3056)</f>
        <v>1200000</v>
      </c>
    </row>
    <row r="3057" spans="1:10">
      <c r="A3057" s="27" t="s">
        <v>3850</v>
      </c>
      <c r="B3057" s="27" t="s">
        <v>105</v>
      </c>
      <c r="C3057" s="27" t="s">
        <v>196</v>
      </c>
      <c r="D3057" s="27" t="s">
        <v>197</v>
      </c>
      <c r="E3057" s="28">
        <v>1200000</v>
      </c>
      <c r="F3057" s="27" t="s">
        <v>4658</v>
      </c>
      <c r="G3057" s="48"/>
      <c r="H3057" s="47" t="str">
        <f>IF(OR(A3057="Antioquia",A3057="Bogotá, D.C.",A3057="Boyacá",A3057="Cundinamarca",A3057="Caldas",A3057="Risaralda",A3057="Quindío",A3057="Tolima",A3057="Huila",A3057="Santander",A3057="Norte de Santander"),"ANDINA",
IF(OR(A3057="Atlántico",A3057="Bolívar",A3057="Cesar",A3057="Córdoba",A3057="Sucre",A3057="Magdalena"),"CARIBE",
IF(OR(A3057="Valle del Cauca",A3057="Cauca",A3057="Nariño"),"PACIFICO",
IF(OR(A3057="Meta",A3057="Casanare",A3057="Arauca"),"ORINOQUIA",
"AMAZONIA"))))</f>
        <v>ANDINA</v>
      </c>
      <c r="I3057" s="6">
        <f>IF(F3057="Departamental",E3057,
AVERAGEIFS($E:$E,$H:$H,H3057,$B:$B,B3057,$C:$C,C3057))</f>
        <v>1200000</v>
      </c>
      <c r="J3057" s="47">
        <f>IF(G3057&lt;&gt;"",G3057,I3057)</f>
        <v>1200000</v>
      </c>
    </row>
    <row r="3058" spans="1:10">
      <c r="A3058" s="27" t="s">
        <v>3851</v>
      </c>
      <c r="B3058" s="27" t="s">
        <v>105</v>
      </c>
      <c r="C3058" s="27" t="s">
        <v>196</v>
      </c>
      <c r="D3058" s="27" t="s">
        <v>197</v>
      </c>
      <c r="E3058" s="28">
        <v>1200000</v>
      </c>
      <c r="F3058" s="27" t="s">
        <v>4658</v>
      </c>
      <c r="G3058" s="48"/>
      <c r="H3058" s="47" t="str">
        <f>IF(OR(A3058="Antioquia",A3058="Bogotá, D.C.",A3058="Boyacá",A3058="Cundinamarca",A3058="Caldas",A3058="Risaralda",A3058="Quindío",A3058="Tolima",A3058="Huila",A3058="Santander",A3058="Norte de Santander"),"ANDINA",
IF(OR(A3058="Atlántico",A3058="Bolívar",A3058="Cesar",A3058="Córdoba",A3058="Sucre",A3058="Magdalena"),"CARIBE",
IF(OR(A3058="Valle del Cauca",A3058="Cauca",A3058="Nariño"),"PACIFICO",
IF(OR(A3058="Meta",A3058="Casanare",A3058="Arauca"),"ORINOQUIA",
"AMAZONIA"))))</f>
        <v>ANDINA</v>
      </c>
      <c r="I3058" s="6">
        <f>IF(F3058="Departamental",E3058,
AVERAGEIFS($E:$E,$H:$H,H3058,$B:$B,B3058,$C:$C,C3058))</f>
        <v>1200000</v>
      </c>
      <c r="J3058" s="47">
        <f>IF(G3058&lt;&gt;"",G3058,I3058)</f>
        <v>1200000</v>
      </c>
    </row>
    <row r="3059" spans="1:10">
      <c r="A3059" s="27" t="s">
        <v>3852</v>
      </c>
      <c r="B3059" s="27" t="s">
        <v>105</v>
      </c>
      <c r="C3059" s="27" t="s">
        <v>196</v>
      </c>
      <c r="D3059" s="27" t="s">
        <v>197</v>
      </c>
      <c r="E3059" s="28">
        <v>1200000</v>
      </c>
      <c r="F3059" s="27" t="s">
        <v>4658</v>
      </c>
      <c r="G3059" s="48"/>
      <c r="H3059" s="47" t="str">
        <f>IF(OR(A3059="Antioquia",A3059="Bogotá, D.C.",A3059="Boyacá",A3059="Cundinamarca",A3059="Caldas",A3059="Risaralda",A3059="Quindío",A3059="Tolima",A3059="Huila",A3059="Santander",A3059="Norte de Santander"),"ANDINA",
IF(OR(A3059="Atlántico",A3059="Bolívar",A3059="Cesar",A3059="Córdoba",A3059="Sucre",A3059="Magdalena"),"CARIBE",
IF(OR(A3059="Valle del Cauca",A3059="Cauca",A3059="Nariño"),"PACIFICO",
IF(OR(A3059="Meta",A3059="Casanare",A3059="Arauca"),"ORINOQUIA",
"AMAZONIA"))))</f>
        <v>CARIBE</v>
      </c>
      <c r="I3059" s="6">
        <f>IF(F3059="Departamental",E3059,
AVERAGEIFS($E:$E,$H:$H,H3059,$B:$B,B3059,$C:$C,C3059))</f>
        <v>1200000</v>
      </c>
      <c r="J3059" s="47">
        <f>IF(G3059&lt;&gt;"",G3059,I3059)</f>
        <v>1200000</v>
      </c>
    </row>
    <row r="3060" spans="1:10">
      <c r="A3060" s="27" t="s">
        <v>3853</v>
      </c>
      <c r="B3060" s="27" t="s">
        <v>105</v>
      </c>
      <c r="C3060" s="27" t="s">
        <v>196</v>
      </c>
      <c r="D3060" s="27" t="s">
        <v>197</v>
      </c>
      <c r="E3060" s="28">
        <v>1200000</v>
      </c>
      <c r="F3060" s="27" t="s">
        <v>4658</v>
      </c>
      <c r="G3060" s="48"/>
      <c r="H3060" s="47" t="str">
        <f>IF(OR(A3060="Antioquia",A3060="Bogotá, D.C.",A3060="Boyacá",A3060="Cundinamarca",A3060="Caldas",A3060="Risaralda",A3060="Quindío",A3060="Tolima",A3060="Huila",A3060="Santander",A3060="Norte de Santander"),"ANDINA",
IF(OR(A3060="Atlántico",A3060="Bolívar",A3060="Cesar",A3060="Córdoba",A3060="Sucre",A3060="Magdalena"),"CARIBE",
IF(OR(A3060="Valle del Cauca",A3060="Cauca",A3060="Nariño"),"PACIFICO",
IF(OR(A3060="Meta",A3060="Casanare",A3060="Arauca"),"ORINOQUIA",
"AMAZONIA"))))</f>
        <v>ANDINA</v>
      </c>
      <c r="I3060" s="6">
        <f>IF(F3060="Departamental",E3060,
AVERAGEIFS($E:$E,$H:$H,H3060,$B:$B,B3060,$C:$C,C3060))</f>
        <v>1200000</v>
      </c>
      <c r="J3060" s="47">
        <f>IF(G3060&lt;&gt;"",G3060,I3060)</f>
        <v>1200000</v>
      </c>
    </row>
    <row r="3061" spans="1:10">
      <c r="A3061" s="27" t="s">
        <v>3854</v>
      </c>
      <c r="B3061" s="27" t="s">
        <v>105</v>
      </c>
      <c r="C3061" s="27" t="s">
        <v>196</v>
      </c>
      <c r="D3061" s="27" t="s">
        <v>197</v>
      </c>
      <c r="E3061" s="28">
        <v>1200000</v>
      </c>
      <c r="F3061" s="27" t="s">
        <v>4658</v>
      </c>
      <c r="G3061" s="48"/>
      <c r="H3061" s="47" t="str">
        <f>IF(OR(A3061="Antioquia",A3061="Bogotá, D.C.",A3061="Boyacá",A3061="Cundinamarca",A3061="Caldas",A3061="Risaralda",A3061="Quindío",A3061="Tolima",A3061="Huila",A3061="Santander",A3061="Norte de Santander"),"ANDINA",
IF(OR(A3061="Atlántico",A3061="Bolívar",A3061="Cesar",A3061="Córdoba",A3061="Sucre",A3061="Magdalena"),"CARIBE",
IF(OR(A3061="Valle del Cauca",A3061="Cauca",A3061="Nariño"),"PACIFICO",
IF(OR(A3061="Meta",A3061="Casanare",A3061="Arauca"),"ORINOQUIA",
"AMAZONIA"))))</f>
        <v>PACIFICO</v>
      </c>
      <c r="I3061" s="6">
        <f>IF(F3061="Departamental",E3061,
AVERAGEIFS($E:$E,$H:$H,H3061,$B:$B,B3061,$C:$C,C3061))</f>
        <v>1200000</v>
      </c>
      <c r="J3061" s="47">
        <f>IF(G3061&lt;&gt;"",G3061,I3061)</f>
        <v>1200000</v>
      </c>
    </row>
    <row r="3062" spans="1:10">
      <c r="A3062" s="27" t="s">
        <v>4453</v>
      </c>
      <c r="B3062" s="27" t="s">
        <v>105</v>
      </c>
      <c r="C3062" s="27" t="s">
        <v>196</v>
      </c>
      <c r="D3062" s="27" t="s">
        <v>197</v>
      </c>
      <c r="E3062" s="28">
        <v>1200000</v>
      </c>
      <c r="F3062" s="27" t="s">
        <v>4658</v>
      </c>
      <c r="G3062" s="48"/>
      <c r="H3062" s="47" t="str">
        <f>IF(OR(A3062="Antioquia",A3062="Bogotá, D.C.",A3062="Boyacá",A3062="Cundinamarca",A3062="Caldas",A3062="Risaralda",A3062="Quindío",A3062="Tolima",A3062="Huila",A3062="Santander",A3062="Norte de Santander"),"ANDINA",
IF(OR(A3062="Atlántico",A3062="Bolívar",A3062="Cesar",A3062="Córdoba",A3062="Sucre",A3062="Magdalena"),"CARIBE",
IF(OR(A3062="Valle del Cauca",A3062="Cauca",A3062="Nariño"),"PACIFICO",
IF(OR(A3062="Meta",A3062="Casanare",A3062="Arauca"),"ORINOQUIA",
"AMAZONIA"))))</f>
        <v>AMAZONIA</v>
      </c>
      <c r="I3062" s="6">
        <f>IF(F3062="Departamental",E3062,
AVERAGEIFS($E:$E,$H:$H,H3062,$B:$B,B3062,$C:$C,C3062))</f>
        <v>1200000</v>
      </c>
      <c r="J3062" s="47">
        <f>IF(G3062&lt;&gt;"",G3062,I3062)</f>
        <v>1200000</v>
      </c>
    </row>
    <row r="3063" spans="1:10">
      <c r="A3063" s="27" t="s">
        <v>4454</v>
      </c>
      <c r="B3063" s="27" t="s">
        <v>105</v>
      </c>
      <c r="C3063" s="27" t="s">
        <v>196</v>
      </c>
      <c r="D3063" s="27" t="s">
        <v>197</v>
      </c>
      <c r="E3063" s="28">
        <v>1200000</v>
      </c>
      <c r="F3063" s="27" t="s">
        <v>4658</v>
      </c>
      <c r="G3063" s="48"/>
      <c r="H3063" s="47" t="str">
        <f>IF(OR(A3063="Antioquia",A3063="Bogotá, D.C.",A3063="Boyacá",A3063="Cundinamarca",A3063="Caldas",A3063="Risaralda",A3063="Quindío",A3063="Tolima",A3063="Huila",A3063="Santander",A3063="Norte de Santander"),"ANDINA",
IF(OR(A3063="Atlántico",A3063="Bolívar",A3063="Cesar",A3063="Córdoba",A3063="Sucre",A3063="Magdalena"),"CARIBE",
IF(OR(A3063="Valle del Cauca",A3063="Cauca",A3063="Nariño"),"PACIFICO",
IF(OR(A3063="Meta",A3063="Casanare",A3063="Arauca"),"ORINOQUIA",
"AMAZONIA"))))</f>
        <v>AMAZONIA</v>
      </c>
      <c r="I3063" s="6">
        <f>IF(F3063="Departamental",E3063,
AVERAGEIFS($E:$E,$H:$H,H3063,$B:$B,B3063,$C:$C,C3063))</f>
        <v>1200000</v>
      </c>
      <c r="J3063" s="47">
        <f>IF(G3063&lt;&gt;"",G3063,I3063)</f>
        <v>1200000</v>
      </c>
    </row>
    <row r="3064" spans="1:10">
      <c r="A3064" s="27" t="s">
        <v>4448</v>
      </c>
      <c r="B3064" s="27" t="s">
        <v>4659</v>
      </c>
      <c r="C3064" s="27" t="s">
        <v>228</v>
      </c>
      <c r="D3064" s="27" t="s">
        <v>4660</v>
      </c>
      <c r="E3064" s="28">
        <v>500000</v>
      </c>
      <c r="F3064" s="27" t="s">
        <v>4658</v>
      </c>
      <c r="G3064" s="48"/>
      <c r="H3064" s="47" t="str">
        <f>IF(OR(A3064="Antioquia",A3064="Bogotá, D.C.",A3064="Boyacá",A3064="Cundinamarca",A3064="Caldas",A3064="Risaralda",A3064="Quindío",A3064="Tolima",A3064="Huila",A3064="Santander",A3064="Norte de Santander"),"ANDINA",
IF(OR(A3064="Atlántico",A3064="Bolívar",A3064="Cesar",A3064="Córdoba",A3064="Sucre",A3064="Magdalena"),"CARIBE",
IF(OR(A3064="Valle del Cauca",A3064="Cauca",A3064="Nariño"),"PACIFICO",
IF(OR(A3064="Meta",A3064="Casanare",A3064="Arauca"),"ORINOQUIA",
"AMAZONIA"))))</f>
        <v>AMAZONIA</v>
      </c>
      <c r="I3064" s="6">
        <f>IF(F3064="Departamental",E3064,
AVERAGEIFS($E:$E,$H:$H,H3064,$B:$B,B3064,$C:$C,C3064))</f>
        <v>500000</v>
      </c>
      <c r="J3064" s="47">
        <f>IF(G3064&lt;&gt;"",G3064,I3064)</f>
        <v>500000</v>
      </c>
    </row>
    <row r="3065" spans="1:10">
      <c r="A3065" s="27" t="s">
        <v>3831</v>
      </c>
      <c r="B3065" s="27" t="s">
        <v>4659</v>
      </c>
      <c r="C3065" s="27" t="s">
        <v>228</v>
      </c>
      <c r="D3065" s="27" t="s">
        <v>4660</v>
      </c>
      <c r="E3065" s="28">
        <v>500000</v>
      </c>
      <c r="F3065" s="27" t="s">
        <v>4658</v>
      </c>
      <c r="G3065" s="48"/>
      <c r="H3065" s="47" t="str">
        <f>IF(OR(A3065="Antioquia",A3065="Bogotá, D.C.",A3065="Boyacá",A3065="Cundinamarca",A3065="Caldas",A3065="Risaralda",A3065="Quindío",A3065="Tolima",A3065="Huila",A3065="Santander",A3065="Norte de Santander"),"ANDINA",
IF(OR(A3065="Atlántico",A3065="Bolívar",A3065="Cesar",A3065="Córdoba",A3065="Sucre",A3065="Magdalena"),"CARIBE",
IF(OR(A3065="Valle del Cauca",A3065="Cauca",A3065="Nariño"),"PACIFICO",
IF(OR(A3065="Meta",A3065="Casanare",A3065="Arauca"),"ORINOQUIA",
"AMAZONIA"))))</f>
        <v>ANDINA</v>
      </c>
      <c r="I3065" s="6">
        <f>IF(F3065="Departamental",E3065,
AVERAGEIFS($E:$E,$H:$H,H3065,$B:$B,B3065,$C:$C,C3065))</f>
        <v>500000</v>
      </c>
      <c r="J3065" s="47">
        <f>IF(G3065&lt;&gt;"",G3065,I3065)</f>
        <v>500000</v>
      </c>
    </row>
    <row r="3066" spans="1:10">
      <c r="A3066" s="27" t="s">
        <v>3832</v>
      </c>
      <c r="B3066" s="27" t="s">
        <v>4659</v>
      </c>
      <c r="C3066" s="27" t="s">
        <v>228</v>
      </c>
      <c r="D3066" s="27" t="s">
        <v>4660</v>
      </c>
      <c r="E3066" s="28">
        <v>500000</v>
      </c>
      <c r="F3066" s="27" t="s">
        <v>4658</v>
      </c>
      <c r="G3066" s="48"/>
      <c r="H3066" s="47" t="str">
        <f>IF(OR(A3066="Antioquia",A3066="Bogotá, D.C.",A3066="Boyacá",A3066="Cundinamarca",A3066="Caldas",A3066="Risaralda",A3066="Quindío",A3066="Tolima",A3066="Huila",A3066="Santander",A3066="Norte de Santander"),"ANDINA",
IF(OR(A3066="Atlántico",A3066="Bolívar",A3066="Cesar",A3066="Córdoba",A3066="Sucre",A3066="Magdalena"),"CARIBE",
IF(OR(A3066="Valle del Cauca",A3066="Cauca",A3066="Nariño"),"PACIFICO",
IF(OR(A3066="Meta",A3066="Casanare",A3066="Arauca"),"ORINOQUIA",
"AMAZONIA"))))</f>
        <v>ORINOQUIA</v>
      </c>
      <c r="I3066" s="6">
        <f>IF(F3066="Departamental",E3066,
AVERAGEIFS($E:$E,$H:$H,H3066,$B:$B,B3066,$C:$C,C3066))</f>
        <v>500000</v>
      </c>
      <c r="J3066" s="47">
        <f>IF(G3066&lt;&gt;"",G3066,I3066)</f>
        <v>500000</v>
      </c>
    </row>
    <row r="3067" spans="1:10">
      <c r="A3067" s="27" t="s">
        <v>3833</v>
      </c>
      <c r="B3067" s="27" t="s">
        <v>4659</v>
      </c>
      <c r="C3067" s="27" t="s">
        <v>228</v>
      </c>
      <c r="D3067" s="27" t="s">
        <v>4660</v>
      </c>
      <c r="E3067" s="28">
        <v>500000</v>
      </c>
      <c r="F3067" s="27" t="s">
        <v>4658</v>
      </c>
      <c r="G3067" s="48"/>
      <c r="H3067" s="47" t="str">
        <f>IF(OR(A3067="Antioquia",A3067="Bogotá, D.C.",A3067="Boyacá",A3067="Cundinamarca",A3067="Caldas",A3067="Risaralda",A3067="Quindío",A3067="Tolima",A3067="Huila",A3067="Santander",A3067="Norte de Santander"),"ANDINA",
IF(OR(A3067="Atlántico",A3067="Bolívar",A3067="Cesar",A3067="Córdoba",A3067="Sucre",A3067="Magdalena"),"CARIBE",
IF(OR(A3067="Valle del Cauca",A3067="Cauca",A3067="Nariño"),"PACIFICO",
IF(OR(A3067="Meta",A3067="Casanare",A3067="Arauca"),"ORINOQUIA",
"AMAZONIA"))))</f>
        <v>CARIBE</v>
      </c>
      <c r="I3067" s="6">
        <f>IF(F3067="Departamental",E3067,
AVERAGEIFS($E:$E,$H:$H,H3067,$B:$B,B3067,$C:$C,C3067))</f>
        <v>500000</v>
      </c>
      <c r="J3067" s="47">
        <f>IF(G3067&lt;&gt;"",G3067,I3067)</f>
        <v>500000</v>
      </c>
    </row>
    <row r="3068" spans="1:10">
      <c r="A3068" s="27" t="s">
        <v>4075</v>
      </c>
      <c r="B3068" s="27" t="s">
        <v>4659</v>
      </c>
      <c r="C3068" s="27" t="s">
        <v>228</v>
      </c>
      <c r="D3068" s="27" t="s">
        <v>4660</v>
      </c>
      <c r="E3068" s="28">
        <v>500000</v>
      </c>
      <c r="F3068" s="27" t="s">
        <v>4658</v>
      </c>
      <c r="G3068" s="48"/>
      <c r="H3068" s="47" t="str">
        <f>IF(OR(A3068="Antioquia",A3068="Bogotá, D.C.",A3068="Boyacá",A3068="Cundinamarca",A3068="Caldas",A3068="Risaralda",A3068="Quindío",A3068="Tolima",A3068="Huila",A3068="Santander",A3068="Norte de Santander"),"ANDINA",
IF(OR(A3068="Atlántico",A3068="Bolívar",A3068="Cesar",A3068="Córdoba",A3068="Sucre",A3068="Magdalena"),"CARIBE",
IF(OR(A3068="Valle del Cauca",A3068="Cauca",A3068="Nariño"),"PACIFICO",
IF(OR(A3068="Meta",A3068="Casanare",A3068="Arauca"),"ORINOQUIA",
"AMAZONIA"))))</f>
        <v>ANDINA</v>
      </c>
      <c r="I3068" s="6">
        <f>IF(F3068="Departamental",E3068,
AVERAGEIFS($E:$E,$H:$H,H3068,$B:$B,B3068,$C:$C,C3068))</f>
        <v>500000</v>
      </c>
      <c r="J3068" s="47">
        <f>IF(G3068&lt;&gt;"",G3068,I3068)</f>
        <v>500000</v>
      </c>
    </row>
    <row r="3069" spans="1:10">
      <c r="A3069" s="27" t="s">
        <v>3834</v>
      </c>
      <c r="B3069" s="27" t="s">
        <v>4659</v>
      </c>
      <c r="C3069" s="27" t="s">
        <v>228</v>
      </c>
      <c r="D3069" s="27" t="s">
        <v>4660</v>
      </c>
      <c r="E3069" s="28">
        <v>500000</v>
      </c>
      <c r="F3069" s="27" t="s">
        <v>4658</v>
      </c>
      <c r="G3069" s="48"/>
      <c r="H3069" s="47" t="str">
        <f>IF(OR(A3069="Antioquia",A3069="Bogotá, D.C.",A3069="Boyacá",A3069="Cundinamarca",A3069="Caldas",A3069="Risaralda",A3069="Quindío",A3069="Tolima",A3069="Huila",A3069="Santander",A3069="Norte de Santander"),"ANDINA",
IF(OR(A3069="Atlántico",A3069="Bolívar",A3069="Cesar",A3069="Córdoba",A3069="Sucre",A3069="Magdalena"),"CARIBE",
IF(OR(A3069="Valle del Cauca",A3069="Cauca",A3069="Nariño"),"PACIFICO",
IF(OR(A3069="Meta",A3069="Casanare",A3069="Arauca"),"ORINOQUIA",
"AMAZONIA"))))</f>
        <v>CARIBE</v>
      </c>
      <c r="I3069" s="6">
        <f>IF(F3069="Departamental",E3069,
AVERAGEIFS($E:$E,$H:$H,H3069,$B:$B,B3069,$C:$C,C3069))</f>
        <v>500000</v>
      </c>
      <c r="J3069" s="47">
        <f>IF(G3069&lt;&gt;"",G3069,I3069)</f>
        <v>500000</v>
      </c>
    </row>
    <row r="3070" spans="1:10">
      <c r="A3070" s="27" t="s">
        <v>3835</v>
      </c>
      <c r="B3070" s="27" t="s">
        <v>4659</v>
      </c>
      <c r="C3070" s="27" t="s">
        <v>228</v>
      </c>
      <c r="D3070" s="27" t="s">
        <v>4660</v>
      </c>
      <c r="E3070" s="28">
        <v>500000</v>
      </c>
      <c r="F3070" s="27" t="s">
        <v>4658</v>
      </c>
      <c r="G3070" s="48"/>
      <c r="H3070" s="47" t="str">
        <f>IF(OR(A3070="Antioquia",A3070="Bogotá, D.C.",A3070="Boyacá",A3070="Cundinamarca",A3070="Caldas",A3070="Risaralda",A3070="Quindío",A3070="Tolima",A3070="Huila",A3070="Santander",A3070="Norte de Santander"),"ANDINA",
IF(OR(A3070="Atlántico",A3070="Bolívar",A3070="Cesar",A3070="Córdoba",A3070="Sucre",A3070="Magdalena"),"CARIBE",
IF(OR(A3070="Valle del Cauca",A3070="Cauca",A3070="Nariño"),"PACIFICO",
IF(OR(A3070="Meta",A3070="Casanare",A3070="Arauca"),"ORINOQUIA",
"AMAZONIA"))))</f>
        <v>ANDINA</v>
      </c>
      <c r="I3070" s="6">
        <f>IF(F3070="Departamental",E3070,
AVERAGEIFS($E:$E,$H:$H,H3070,$B:$B,B3070,$C:$C,C3070))</f>
        <v>500000</v>
      </c>
      <c r="J3070" s="47">
        <f>IF(G3070&lt;&gt;"",G3070,I3070)</f>
        <v>500000</v>
      </c>
    </row>
    <row r="3071" spans="1:10">
      <c r="A3071" s="27" t="s">
        <v>3836</v>
      </c>
      <c r="B3071" s="27" t="s">
        <v>4659</v>
      </c>
      <c r="C3071" s="27" t="s">
        <v>228</v>
      </c>
      <c r="D3071" s="27" t="s">
        <v>4660</v>
      </c>
      <c r="E3071" s="28">
        <v>500000</v>
      </c>
      <c r="F3071" s="27" t="s">
        <v>4658</v>
      </c>
      <c r="G3071" s="48"/>
      <c r="H3071" s="47" t="str">
        <f>IF(OR(A3071="Antioquia",A3071="Bogotá, D.C.",A3071="Boyacá",A3071="Cundinamarca",A3071="Caldas",A3071="Risaralda",A3071="Quindío",A3071="Tolima",A3071="Huila",A3071="Santander",A3071="Norte de Santander"),"ANDINA",
IF(OR(A3071="Atlántico",A3071="Bolívar",A3071="Cesar",A3071="Córdoba",A3071="Sucre",A3071="Magdalena"),"CARIBE",
IF(OR(A3071="Valle del Cauca",A3071="Cauca",A3071="Nariño"),"PACIFICO",
IF(OR(A3071="Meta",A3071="Casanare",A3071="Arauca"),"ORINOQUIA",
"AMAZONIA"))))</f>
        <v>ANDINA</v>
      </c>
      <c r="I3071" s="6">
        <f>IF(F3071="Departamental",E3071,
AVERAGEIFS($E:$E,$H:$H,H3071,$B:$B,B3071,$C:$C,C3071))</f>
        <v>500000</v>
      </c>
      <c r="J3071" s="47">
        <f>IF(G3071&lt;&gt;"",G3071,I3071)</f>
        <v>500000</v>
      </c>
    </row>
    <row r="3072" spans="1:10">
      <c r="A3072" s="27" t="s">
        <v>3837</v>
      </c>
      <c r="B3072" s="27" t="s">
        <v>4659</v>
      </c>
      <c r="C3072" s="27" t="s">
        <v>228</v>
      </c>
      <c r="D3072" s="27" t="s">
        <v>4660</v>
      </c>
      <c r="E3072" s="28">
        <v>500000</v>
      </c>
      <c r="F3072" s="27" t="s">
        <v>4658</v>
      </c>
      <c r="G3072" s="48"/>
      <c r="H3072" s="47" t="str">
        <f>IF(OR(A3072="Antioquia",A3072="Bogotá, D.C.",A3072="Boyacá",A3072="Cundinamarca",A3072="Caldas",A3072="Risaralda",A3072="Quindío",A3072="Tolima",A3072="Huila",A3072="Santander",A3072="Norte de Santander"),"ANDINA",
IF(OR(A3072="Atlántico",A3072="Bolívar",A3072="Cesar",A3072="Córdoba",A3072="Sucre",A3072="Magdalena"),"CARIBE",
IF(OR(A3072="Valle del Cauca",A3072="Cauca",A3072="Nariño"),"PACIFICO",
IF(OR(A3072="Meta",A3072="Casanare",A3072="Arauca"),"ORINOQUIA",
"AMAZONIA"))))</f>
        <v>AMAZONIA</v>
      </c>
      <c r="I3072" s="6">
        <f>IF(F3072="Departamental",E3072,
AVERAGEIFS($E:$E,$H:$H,H3072,$B:$B,B3072,$C:$C,C3072))</f>
        <v>500000</v>
      </c>
      <c r="J3072" s="47">
        <f>IF(G3072&lt;&gt;"",G3072,I3072)</f>
        <v>500000</v>
      </c>
    </row>
    <row r="3073" spans="1:10">
      <c r="A3073" s="27" t="s">
        <v>3838</v>
      </c>
      <c r="B3073" s="27" t="s">
        <v>4659</v>
      </c>
      <c r="C3073" s="27" t="s">
        <v>228</v>
      </c>
      <c r="D3073" s="27" t="s">
        <v>4660</v>
      </c>
      <c r="E3073" s="28">
        <v>500000</v>
      </c>
      <c r="F3073" s="27" t="s">
        <v>4658</v>
      </c>
      <c r="G3073" s="48"/>
      <c r="H3073" s="47" t="str">
        <f>IF(OR(A3073="Antioquia",A3073="Bogotá, D.C.",A3073="Boyacá",A3073="Cundinamarca",A3073="Caldas",A3073="Risaralda",A3073="Quindío",A3073="Tolima",A3073="Huila",A3073="Santander",A3073="Norte de Santander"),"ANDINA",
IF(OR(A3073="Atlántico",A3073="Bolívar",A3073="Cesar",A3073="Córdoba",A3073="Sucre",A3073="Magdalena"),"CARIBE",
IF(OR(A3073="Valle del Cauca",A3073="Cauca",A3073="Nariño"),"PACIFICO",
IF(OR(A3073="Meta",A3073="Casanare",A3073="Arauca"),"ORINOQUIA",
"AMAZONIA"))))</f>
        <v>ORINOQUIA</v>
      </c>
      <c r="I3073" s="6">
        <f>IF(F3073="Departamental",E3073,
AVERAGEIFS($E:$E,$H:$H,H3073,$B:$B,B3073,$C:$C,C3073))</f>
        <v>500000</v>
      </c>
      <c r="J3073" s="47">
        <f>IF(G3073&lt;&gt;"",G3073,I3073)</f>
        <v>500000</v>
      </c>
    </row>
    <row r="3074" spans="1:10">
      <c r="A3074" s="27" t="s">
        <v>3839</v>
      </c>
      <c r="B3074" s="27" t="s">
        <v>4659</v>
      </c>
      <c r="C3074" s="27" t="s">
        <v>228</v>
      </c>
      <c r="D3074" s="27" t="s">
        <v>4660</v>
      </c>
      <c r="E3074" s="28">
        <v>500000</v>
      </c>
      <c r="F3074" s="27" t="s">
        <v>4658</v>
      </c>
      <c r="G3074" s="48"/>
      <c r="H3074" s="47" t="str">
        <f>IF(OR(A3074="Antioquia",A3074="Bogotá, D.C.",A3074="Boyacá",A3074="Cundinamarca",A3074="Caldas",A3074="Risaralda",A3074="Quindío",A3074="Tolima",A3074="Huila",A3074="Santander",A3074="Norte de Santander"),"ANDINA",
IF(OR(A3074="Atlántico",A3074="Bolívar",A3074="Cesar",A3074="Córdoba",A3074="Sucre",A3074="Magdalena"),"CARIBE",
IF(OR(A3074="Valle del Cauca",A3074="Cauca",A3074="Nariño"),"PACIFICO",
IF(OR(A3074="Meta",A3074="Casanare",A3074="Arauca"),"ORINOQUIA",
"AMAZONIA"))))</f>
        <v>PACIFICO</v>
      </c>
      <c r="I3074" s="6">
        <f>IF(F3074="Departamental",E3074,
AVERAGEIFS($E:$E,$H:$H,H3074,$B:$B,B3074,$C:$C,C3074))</f>
        <v>500000</v>
      </c>
      <c r="J3074" s="47">
        <f>IF(G3074&lt;&gt;"",G3074,I3074)</f>
        <v>500000</v>
      </c>
    </row>
    <row r="3075" spans="1:10">
      <c r="A3075" s="27" t="s">
        <v>3840</v>
      </c>
      <c r="B3075" s="27" t="s">
        <v>4659</v>
      </c>
      <c r="C3075" s="27" t="s">
        <v>228</v>
      </c>
      <c r="D3075" s="27" t="s">
        <v>4660</v>
      </c>
      <c r="E3075" s="28">
        <v>500000</v>
      </c>
      <c r="F3075" s="27" t="s">
        <v>4658</v>
      </c>
      <c r="G3075" s="48"/>
      <c r="H3075" s="47" t="str">
        <f>IF(OR(A3075="Antioquia",A3075="Bogotá, D.C.",A3075="Boyacá",A3075="Cundinamarca",A3075="Caldas",A3075="Risaralda",A3075="Quindío",A3075="Tolima",A3075="Huila",A3075="Santander",A3075="Norte de Santander"),"ANDINA",
IF(OR(A3075="Atlántico",A3075="Bolívar",A3075="Cesar",A3075="Córdoba",A3075="Sucre",A3075="Magdalena"),"CARIBE",
IF(OR(A3075="Valle del Cauca",A3075="Cauca",A3075="Nariño"),"PACIFICO",
IF(OR(A3075="Meta",A3075="Casanare",A3075="Arauca"),"ORINOQUIA",
"AMAZONIA"))))</f>
        <v>CARIBE</v>
      </c>
      <c r="I3075" s="6">
        <f>IF(F3075="Departamental",E3075,
AVERAGEIFS($E:$E,$H:$H,H3075,$B:$B,B3075,$C:$C,C3075))</f>
        <v>500000</v>
      </c>
      <c r="J3075" s="47">
        <f>IF(G3075&lt;&gt;"",G3075,I3075)</f>
        <v>500000</v>
      </c>
    </row>
    <row r="3076" spans="1:10">
      <c r="A3076" s="27" t="s">
        <v>4449</v>
      </c>
      <c r="B3076" s="27" t="s">
        <v>4659</v>
      </c>
      <c r="C3076" s="27" t="s">
        <v>228</v>
      </c>
      <c r="D3076" s="27" t="s">
        <v>4660</v>
      </c>
      <c r="E3076" s="28">
        <v>500000</v>
      </c>
      <c r="F3076" s="27" t="s">
        <v>4658</v>
      </c>
      <c r="G3076" s="48"/>
      <c r="H3076" s="47" t="str">
        <f>IF(OR(A3076="Antioquia",A3076="Bogotá, D.C.",A3076="Boyacá",A3076="Cundinamarca",A3076="Caldas",A3076="Risaralda",A3076="Quindío",A3076="Tolima",A3076="Huila",A3076="Santander",A3076="Norte de Santander"),"ANDINA",
IF(OR(A3076="Atlántico",A3076="Bolívar",A3076="Cesar",A3076="Córdoba",A3076="Sucre",A3076="Magdalena"),"CARIBE",
IF(OR(A3076="Valle del Cauca",A3076="Cauca",A3076="Nariño"),"PACIFICO",
IF(OR(A3076="Meta",A3076="Casanare",A3076="Arauca"),"ORINOQUIA",
"AMAZONIA"))))</f>
        <v>AMAZONIA</v>
      </c>
      <c r="I3076" s="6">
        <f>IF(F3076="Departamental",E3076,
AVERAGEIFS($E:$E,$H:$H,H3076,$B:$B,B3076,$C:$C,C3076))</f>
        <v>500000</v>
      </c>
      <c r="J3076" s="47">
        <f>IF(G3076&lt;&gt;"",G3076,I3076)</f>
        <v>500000</v>
      </c>
    </row>
    <row r="3077" spans="1:10">
      <c r="A3077" s="27" t="s">
        <v>3842</v>
      </c>
      <c r="B3077" s="27" t="s">
        <v>4659</v>
      </c>
      <c r="C3077" s="27" t="s">
        <v>228</v>
      </c>
      <c r="D3077" s="27" t="s">
        <v>4660</v>
      </c>
      <c r="E3077" s="28">
        <v>500000</v>
      </c>
      <c r="F3077" s="27" t="s">
        <v>4658</v>
      </c>
      <c r="G3077" s="48"/>
      <c r="H3077" s="47" t="str">
        <f>IF(OR(A3077="Antioquia",A3077="Bogotá, D.C.",A3077="Boyacá",A3077="Cundinamarca",A3077="Caldas",A3077="Risaralda",A3077="Quindío",A3077="Tolima",A3077="Huila",A3077="Santander",A3077="Norte de Santander"),"ANDINA",
IF(OR(A3077="Atlántico",A3077="Bolívar",A3077="Cesar",A3077="Córdoba",A3077="Sucre",A3077="Magdalena"),"CARIBE",
IF(OR(A3077="Valle del Cauca",A3077="Cauca",A3077="Nariño"),"PACIFICO",
IF(OR(A3077="Meta",A3077="Casanare",A3077="Arauca"),"ORINOQUIA",
"AMAZONIA"))))</f>
        <v>ANDINA</v>
      </c>
      <c r="I3077" s="6">
        <f>IF(F3077="Departamental",E3077,
AVERAGEIFS($E:$E,$H:$H,H3077,$B:$B,B3077,$C:$C,C3077))</f>
        <v>500000</v>
      </c>
      <c r="J3077" s="47">
        <f>IF(G3077&lt;&gt;"",G3077,I3077)</f>
        <v>500000</v>
      </c>
    </row>
    <row r="3078" spans="1:10">
      <c r="A3078" s="27" t="s">
        <v>3841</v>
      </c>
      <c r="B3078" s="27" t="s">
        <v>4659</v>
      </c>
      <c r="C3078" s="27" t="s">
        <v>228</v>
      </c>
      <c r="D3078" s="27" t="s">
        <v>4660</v>
      </c>
      <c r="E3078" s="28">
        <v>500000</v>
      </c>
      <c r="F3078" s="27" t="s">
        <v>4658</v>
      </c>
      <c r="G3078" s="48"/>
      <c r="H3078" s="47" t="str">
        <f>IF(OR(A3078="Antioquia",A3078="Bogotá, D.C.",A3078="Boyacá",A3078="Cundinamarca",A3078="Caldas",A3078="Risaralda",A3078="Quindío",A3078="Tolima",A3078="Huila",A3078="Santander",A3078="Norte de Santander"),"ANDINA",
IF(OR(A3078="Atlántico",A3078="Bolívar",A3078="Cesar",A3078="Córdoba",A3078="Sucre",A3078="Magdalena"),"CARIBE",
IF(OR(A3078="Valle del Cauca",A3078="Cauca",A3078="Nariño"),"PACIFICO",
IF(OR(A3078="Meta",A3078="Casanare",A3078="Arauca"),"ORINOQUIA",
"AMAZONIA"))))</f>
        <v>CARIBE</v>
      </c>
      <c r="I3078" s="6">
        <f>IF(F3078="Departamental",E3078,
AVERAGEIFS($E:$E,$H:$H,H3078,$B:$B,B3078,$C:$C,C3078))</f>
        <v>500000</v>
      </c>
      <c r="J3078" s="47">
        <f>IF(G3078&lt;&gt;"",G3078,I3078)</f>
        <v>500000</v>
      </c>
    </row>
    <row r="3079" spans="1:10">
      <c r="A3079" s="27" t="s">
        <v>4450</v>
      </c>
      <c r="B3079" s="27" t="s">
        <v>4659</v>
      </c>
      <c r="C3079" s="27" t="s">
        <v>228</v>
      </c>
      <c r="D3079" s="27" t="s">
        <v>4660</v>
      </c>
      <c r="E3079" s="28">
        <v>500000</v>
      </c>
      <c r="F3079" s="27" t="s">
        <v>4658</v>
      </c>
      <c r="G3079" s="48"/>
      <c r="H3079" s="47" t="str">
        <f>IF(OR(A3079="Antioquia",A3079="Bogotá, D.C.",A3079="Boyacá",A3079="Cundinamarca",A3079="Caldas",A3079="Risaralda",A3079="Quindío",A3079="Tolima",A3079="Huila",A3079="Santander",A3079="Norte de Santander"),"ANDINA",
IF(OR(A3079="Atlántico",A3079="Bolívar",A3079="Cesar",A3079="Córdoba",A3079="Sucre",A3079="Magdalena"),"CARIBE",
IF(OR(A3079="Valle del Cauca",A3079="Cauca",A3079="Nariño"),"PACIFICO",
IF(OR(A3079="Meta",A3079="Casanare",A3079="Arauca"),"ORINOQUIA",
"AMAZONIA"))))</f>
        <v>AMAZONIA</v>
      </c>
      <c r="I3079" s="6">
        <f>IF(F3079="Departamental",E3079,
AVERAGEIFS($E:$E,$H:$H,H3079,$B:$B,B3079,$C:$C,C3079))</f>
        <v>500000</v>
      </c>
      <c r="J3079" s="47">
        <f>IF(G3079&lt;&gt;"",G3079,I3079)</f>
        <v>500000</v>
      </c>
    </row>
    <row r="3080" spans="1:10">
      <c r="A3080" s="27" t="s">
        <v>4451</v>
      </c>
      <c r="B3080" s="27" t="s">
        <v>4659</v>
      </c>
      <c r="C3080" s="27" t="s">
        <v>228</v>
      </c>
      <c r="D3080" s="27" t="s">
        <v>4660</v>
      </c>
      <c r="E3080" s="28">
        <v>500000</v>
      </c>
      <c r="F3080" s="27" t="s">
        <v>4658</v>
      </c>
      <c r="G3080" s="48"/>
      <c r="H3080" s="47" t="str">
        <f>IF(OR(A3080="Antioquia",A3080="Bogotá, D.C.",A3080="Boyacá",A3080="Cundinamarca",A3080="Caldas",A3080="Risaralda",A3080="Quindío",A3080="Tolima",A3080="Huila",A3080="Santander",A3080="Norte de Santander"),"ANDINA",
IF(OR(A3080="Atlántico",A3080="Bolívar",A3080="Cesar",A3080="Córdoba",A3080="Sucre",A3080="Magdalena"),"CARIBE",
IF(OR(A3080="Valle del Cauca",A3080="Cauca",A3080="Nariño"),"PACIFICO",
IF(OR(A3080="Meta",A3080="Casanare",A3080="Arauca"),"ORINOQUIA",
"AMAZONIA"))))</f>
        <v>AMAZONIA</v>
      </c>
      <c r="I3080" s="6">
        <f>IF(F3080="Departamental",E3080,
AVERAGEIFS($E:$E,$H:$H,H3080,$B:$B,B3080,$C:$C,C3080))</f>
        <v>500000</v>
      </c>
      <c r="J3080" s="47">
        <f>IF(G3080&lt;&gt;"",G3080,I3080)</f>
        <v>500000</v>
      </c>
    </row>
    <row r="3081" spans="1:10">
      <c r="A3081" s="27" t="s">
        <v>3843</v>
      </c>
      <c r="B3081" s="27" t="s">
        <v>4659</v>
      </c>
      <c r="C3081" s="27" t="s">
        <v>228</v>
      </c>
      <c r="D3081" s="27" t="s">
        <v>4660</v>
      </c>
      <c r="E3081" s="28">
        <v>500000</v>
      </c>
      <c r="F3081" s="27" t="s">
        <v>4658</v>
      </c>
      <c r="G3081" s="48"/>
      <c r="H3081" s="47" t="str">
        <f>IF(OR(A3081="Antioquia",A3081="Bogotá, D.C.",A3081="Boyacá",A3081="Cundinamarca",A3081="Caldas",A3081="Risaralda",A3081="Quindío",A3081="Tolima",A3081="Huila",A3081="Santander",A3081="Norte de Santander"),"ANDINA",
IF(OR(A3081="Atlántico",A3081="Bolívar",A3081="Cesar",A3081="Córdoba",A3081="Sucre",A3081="Magdalena"),"CARIBE",
IF(OR(A3081="Valle del Cauca",A3081="Cauca",A3081="Nariño"),"PACIFICO",
IF(OR(A3081="Meta",A3081="Casanare",A3081="Arauca"),"ORINOQUIA",
"AMAZONIA"))))</f>
        <v>ANDINA</v>
      </c>
      <c r="I3081" s="6">
        <f>IF(F3081="Departamental",E3081,
AVERAGEIFS($E:$E,$H:$H,H3081,$B:$B,B3081,$C:$C,C3081))</f>
        <v>500000</v>
      </c>
      <c r="J3081" s="47">
        <f>IF(G3081&lt;&gt;"",G3081,I3081)</f>
        <v>500000</v>
      </c>
    </row>
    <row r="3082" spans="1:10">
      <c r="A3082" s="27" t="s">
        <v>4452</v>
      </c>
      <c r="B3082" s="27" t="s">
        <v>4659</v>
      </c>
      <c r="C3082" s="27" t="s">
        <v>228</v>
      </c>
      <c r="D3082" s="27" t="s">
        <v>4660</v>
      </c>
      <c r="E3082" s="28">
        <v>500000</v>
      </c>
      <c r="F3082" s="27" t="s">
        <v>4658</v>
      </c>
      <c r="G3082" s="48"/>
      <c r="H3082" s="47" t="str">
        <f>IF(OR(A3082="Antioquia",A3082="Bogotá, D.C.",A3082="Boyacá",A3082="Cundinamarca",A3082="Caldas",A3082="Risaralda",A3082="Quindío",A3082="Tolima",A3082="Huila",A3082="Santander",A3082="Norte de Santander"),"ANDINA",
IF(OR(A3082="Atlántico",A3082="Bolívar",A3082="Cesar",A3082="Córdoba",A3082="Sucre",A3082="Magdalena"),"CARIBE",
IF(OR(A3082="Valle del Cauca",A3082="Cauca",A3082="Nariño"),"PACIFICO",
IF(OR(A3082="Meta",A3082="Casanare",A3082="Arauca"),"ORINOQUIA",
"AMAZONIA"))))</f>
        <v>AMAZONIA</v>
      </c>
      <c r="I3082" s="6">
        <f>IF(F3082="Departamental",E3082,
AVERAGEIFS($E:$E,$H:$H,H3082,$B:$B,B3082,$C:$C,C3082))</f>
        <v>500000</v>
      </c>
      <c r="J3082" s="47">
        <f>IF(G3082&lt;&gt;"",G3082,I3082)</f>
        <v>500000</v>
      </c>
    </row>
    <row r="3083" spans="1:10">
      <c r="A3083" s="27" t="s">
        <v>3844</v>
      </c>
      <c r="B3083" s="27" t="s">
        <v>4659</v>
      </c>
      <c r="C3083" s="27" t="s">
        <v>228</v>
      </c>
      <c r="D3083" s="27" t="s">
        <v>4660</v>
      </c>
      <c r="E3083" s="28">
        <v>500000</v>
      </c>
      <c r="F3083" s="27" t="s">
        <v>4658</v>
      </c>
      <c r="G3083" s="48"/>
      <c r="H3083" s="47" t="str">
        <f>IF(OR(A3083="Antioquia",A3083="Bogotá, D.C.",A3083="Boyacá",A3083="Cundinamarca",A3083="Caldas",A3083="Risaralda",A3083="Quindío",A3083="Tolima",A3083="Huila",A3083="Santander",A3083="Norte de Santander"),"ANDINA",
IF(OR(A3083="Atlántico",A3083="Bolívar",A3083="Cesar",A3083="Córdoba",A3083="Sucre",A3083="Magdalena"),"CARIBE",
IF(OR(A3083="Valle del Cauca",A3083="Cauca",A3083="Nariño"),"PACIFICO",
IF(OR(A3083="Meta",A3083="Casanare",A3083="Arauca"),"ORINOQUIA",
"AMAZONIA"))))</f>
        <v>CARIBE</v>
      </c>
      <c r="I3083" s="6">
        <f>IF(F3083="Departamental",E3083,
AVERAGEIFS($E:$E,$H:$H,H3083,$B:$B,B3083,$C:$C,C3083))</f>
        <v>500000</v>
      </c>
      <c r="J3083" s="47">
        <f>IF(G3083&lt;&gt;"",G3083,I3083)</f>
        <v>500000</v>
      </c>
    </row>
    <row r="3084" spans="1:10">
      <c r="A3084" s="27" t="s">
        <v>3845</v>
      </c>
      <c r="B3084" s="27" t="s">
        <v>4659</v>
      </c>
      <c r="C3084" s="27" t="s">
        <v>228</v>
      </c>
      <c r="D3084" s="27" t="s">
        <v>4660</v>
      </c>
      <c r="E3084" s="28">
        <v>500000</v>
      </c>
      <c r="F3084" s="27" t="s">
        <v>4658</v>
      </c>
      <c r="G3084" s="48"/>
      <c r="H3084" s="47" t="str">
        <f>IF(OR(A3084="Antioquia",A3084="Bogotá, D.C.",A3084="Boyacá",A3084="Cundinamarca",A3084="Caldas",A3084="Risaralda",A3084="Quindío",A3084="Tolima",A3084="Huila",A3084="Santander",A3084="Norte de Santander"),"ANDINA",
IF(OR(A3084="Atlántico",A3084="Bolívar",A3084="Cesar",A3084="Córdoba",A3084="Sucre",A3084="Magdalena"),"CARIBE",
IF(OR(A3084="Valle del Cauca",A3084="Cauca",A3084="Nariño"),"PACIFICO",
IF(OR(A3084="Meta",A3084="Casanare",A3084="Arauca"),"ORINOQUIA",
"AMAZONIA"))))</f>
        <v>ORINOQUIA</v>
      </c>
      <c r="I3084" s="6">
        <f>IF(F3084="Departamental",E3084,
AVERAGEIFS($E:$E,$H:$H,H3084,$B:$B,B3084,$C:$C,C3084))</f>
        <v>500000</v>
      </c>
      <c r="J3084" s="47">
        <f>IF(G3084&lt;&gt;"",G3084,I3084)</f>
        <v>500000</v>
      </c>
    </row>
    <row r="3085" spans="1:10">
      <c r="A3085" s="27" t="s">
        <v>3846</v>
      </c>
      <c r="B3085" s="27" t="s">
        <v>4659</v>
      </c>
      <c r="C3085" s="27" t="s">
        <v>228</v>
      </c>
      <c r="D3085" s="27" t="s">
        <v>4660</v>
      </c>
      <c r="E3085" s="28">
        <v>500000</v>
      </c>
      <c r="F3085" s="27" t="s">
        <v>4658</v>
      </c>
      <c r="G3085" s="48"/>
      <c r="H3085" s="47" t="str">
        <f>IF(OR(A3085="Antioquia",A3085="Bogotá, D.C.",A3085="Boyacá",A3085="Cundinamarca",A3085="Caldas",A3085="Risaralda",A3085="Quindío",A3085="Tolima",A3085="Huila",A3085="Santander",A3085="Norte de Santander"),"ANDINA",
IF(OR(A3085="Atlántico",A3085="Bolívar",A3085="Cesar",A3085="Córdoba",A3085="Sucre",A3085="Magdalena"),"CARIBE",
IF(OR(A3085="Valle del Cauca",A3085="Cauca",A3085="Nariño"),"PACIFICO",
IF(OR(A3085="Meta",A3085="Casanare",A3085="Arauca"),"ORINOQUIA",
"AMAZONIA"))))</f>
        <v>PACIFICO</v>
      </c>
      <c r="I3085" s="6">
        <f>IF(F3085="Departamental",E3085,
AVERAGEIFS($E:$E,$H:$H,H3085,$B:$B,B3085,$C:$C,C3085))</f>
        <v>500000</v>
      </c>
      <c r="J3085" s="47">
        <f>IF(G3085&lt;&gt;"",G3085,I3085)</f>
        <v>500000</v>
      </c>
    </row>
    <row r="3086" spans="1:10">
      <c r="A3086" s="27" t="s">
        <v>3847</v>
      </c>
      <c r="B3086" s="27" t="s">
        <v>4659</v>
      </c>
      <c r="C3086" s="27" t="s">
        <v>228</v>
      </c>
      <c r="D3086" s="27" t="s">
        <v>4660</v>
      </c>
      <c r="E3086" s="28">
        <v>500000</v>
      </c>
      <c r="F3086" s="27" t="s">
        <v>4658</v>
      </c>
      <c r="G3086" s="48"/>
      <c r="H3086" s="47" t="str">
        <f>IF(OR(A3086="Antioquia",A3086="Bogotá, D.C.",A3086="Boyacá",A3086="Cundinamarca",A3086="Caldas",A3086="Risaralda",A3086="Quindío",A3086="Tolima",A3086="Huila",A3086="Santander",A3086="Norte de Santander"),"ANDINA",
IF(OR(A3086="Atlántico",A3086="Bolívar",A3086="Cesar",A3086="Córdoba",A3086="Sucre",A3086="Magdalena"),"CARIBE",
IF(OR(A3086="Valle del Cauca",A3086="Cauca",A3086="Nariño"),"PACIFICO",
IF(OR(A3086="Meta",A3086="Casanare",A3086="Arauca"),"ORINOQUIA",
"AMAZONIA"))))</f>
        <v>ANDINA</v>
      </c>
      <c r="I3086" s="6">
        <f>IF(F3086="Departamental",E3086,
AVERAGEIFS($E:$E,$H:$H,H3086,$B:$B,B3086,$C:$C,C3086))</f>
        <v>500000</v>
      </c>
      <c r="J3086" s="47">
        <f>IF(G3086&lt;&gt;"",G3086,I3086)</f>
        <v>500000</v>
      </c>
    </row>
    <row r="3087" spans="1:10">
      <c r="A3087" s="27" t="s">
        <v>3848</v>
      </c>
      <c r="B3087" s="27" t="s">
        <v>4659</v>
      </c>
      <c r="C3087" s="27" t="s">
        <v>228</v>
      </c>
      <c r="D3087" s="27" t="s">
        <v>4660</v>
      </c>
      <c r="E3087" s="28">
        <v>500000</v>
      </c>
      <c r="F3087" s="27" t="s">
        <v>4658</v>
      </c>
      <c r="G3087" s="48"/>
      <c r="H3087" s="47" t="str">
        <f>IF(OR(A3087="Antioquia",A3087="Bogotá, D.C.",A3087="Boyacá",A3087="Cundinamarca",A3087="Caldas",A3087="Risaralda",A3087="Quindío",A3087="Tolima",A3087="Huila",A3087="Santander",A3087="Norte de Santander"),"ANDINA",
IF(OR(A3087="Atlántico",A3087="Bolívar",A3087="Cesar",A3087="Córdoba",A3087="Sucre",A3087="Magdalena"),"CARIBE",
IF(OR(A3087="Valle del Cauca",A3087="Cauca",A3087="Nariño"),"PACIFICO",
IF(OR(A3087="Meta",A3087="Casanare",A3087="Arauca"),"ORINOQUIA",
"AMAZONIA"))))</f>
        <v>AMAZONIA</v>
      </c>
      <c r="I3087" s="6">
        <f>IF(F3087="Departamental",E3087,
AVERAGEIFS($E:$E,$H:$H,H3087,$B:$B,B3087,$C:$C,C3087))</f>
        <v>500000</v>
      </c>
      <c r="J3087" s="47">
        <f>IF(G3087&lt;&gt;"",G3087,I3087)</f>
        <v>500000</v>
      </c>
    </row>
    <row r="3088" spans="1:10">
      <c r="A3088" s="27" t="s">
        <v>3849</v>
      </c>
      <c r="B3088" s="27" t="s">
        <v>4659</v>
      </c>
      <c r="C3088" s="27" t="s">
        <v>228</v>
      </c>
      <c r="D3088" s="27" t="s">
        <v>4660</v>
      </c>
      <c r="E3088" s="28">
        <v>500000</v>
      </c>
      <c r="F3088" s="27" t="s">
        <v>4658</v>
      </c>
      <c r="G3088" s="48"/>
      <c r="H3088" s="47" t="str">
        <f>IF(OR(A3088="Antioquia",A3088="Bogotá, D.C.",A3088="Boyacá",A3088="Cundinamarca",A3088="Caldas",A3088="Risaralda",A3088="Quindío",A3088="Tolima",A3088="Huila",A3088="Santander",A3088="Norte de Santander"),"ANDINA",
IF(OR(A3088="Atlántico",A3088="Bolívar",A3088="Cesar",A3088="Córdoba",A3088="Sucre",A3088="Magdalena"),"CARIBE",
IF(OR(A3088="Valle del Cauca",A3088="Cauca",A3088="Nariño"),"PACIFICO",
IF(OR(A3088="Meta",A3088="Casanare",A3088="Arauca"),"ORINOQUIA",
"AMAZONIA"))))</f>
        <v>ANDINA</v>
      </c>
      <c r="I3088" s="6">
        <f>IF(F3088="Departamental",E3088,
AVERAGEIFS($E:$E,$H:$H,H3088,$B:$B,B3088,$C:$C,C3088))</f>
        <v>500000</v>
      </c>
      <c r="J3088" s="47">
        <f>IF(G3088&lt;&gt;"",G3088,I3088)</f>
        <v>500000</v>
      </c>
    </row>
    <row r="3089" spans="1:10">
      <c r="A3089" s="27" t="s">
        <v>3850</v>
      </c>
      <c r="B3089" s="27" t="s">
        <v>4659</v>
      </c>
      <c r="C3089" s="27" t="s">
        <v>228</v>
      </c>
      <c r="D3089" s="27" t="s">
        <v>4660</v>
      </c>
      <c r="E3089" s="28">
        <v>500000</v>
      </c>
      <c r="F3089" s="27" t="s">
        <v>4658</v>
      </c>
      <c r="G3089" s="48"/>
      <c r="H3089" s="47" t="str">
        <f>IF(OR(A3089="Antioquia",A3089="Bogotá, D.C.",A3089="Boyacá",A3089="Cundinamarca",A3089="Caldas",A3089="Risaralda",A3089="Quindío",A3089="Tolima",A3089="Huila",A3089="Santander",A3089="Norte de Santander"),"ANDINA",
IF(OR(A3089="Atlántico",A3089="Bolívar",A3089="Cesar",A3089="Córdoba",A3089="Sucre",A3089="Magdalena"),"CARIBE",
IF(OR(A3089="Valle del Cauca",A3089="Cauca",A3089="Nariño"),"PACIFICO",
IF(OR(A3089="Meta",A3089="Casanare",A3089="Arauca"),"ORINOQUIA",
"AMAZONIA"))))</f>
        <v>ANDINA</v>
      </c>
      <c r="I3089" s="6">
        <f>IF(F3089="Departamental",E3089,
AVERAGEIFS($E:$E,$H:$H,H3089,$B:$B,B3089,$C:$C,C3089))</f>
        <v>500000</v>
      </c>
      <c r="J3089" s="47">
        <f>IF(G3089&lt;&gt;"",G3089,I3089)</f>
        <v>500000</v>
      </c>
    </row>
    <row r="3090" spans="1:10">
      <c r="A3090" s="27" t="s">
        <v>3851</v>
      </c>
      <c r="B3090" s="27" t="s">
        <v>4659</v>
      </c>
      <c r="C3090" s="27" t="s">
        <v>228</v>
      </c>
      <c r="D3090" s="27" t="s">
        <v>4660</v>
      </c>
      <c r="E3090" s="28">
        <v>500000</v>
      </c>
      <c r="F3090" s="27" t="s">
        <v>4658</v>
      </c>
      <c r="G3090" s="48"/>
      <c r="H3090" s="47" t="str">
        <f>IF(OR(A3090="Antioquia",A3090="Bogotá, D.C.",A3090="Boyacá",A3090="Cundinamarca",A3090="Caldas",A3090="Risaralda",A3090="Quindío",A3090="Tolima",A3090="Huila",A3090="Santander",A3090="Norte de Santander"),"ANDINA",
IF(OR(A3090="Atlántico",A3090="Bolívar",A3090="Cesar",A3090="Córdoba",A3090="Sucre",A3090="Magdalena"),"CARIBE",
IF(OR(A3090="Valle del Cauca",A3090="Cauca",A3090="Nariño"),"PACIFICO",
IF(OR(A3090="Meta",A3090="Casanare",A3090="Arauca"),"ORINOQUIA",
"AMAZONIA"))))</f>
        <v>ANDINA</v>
      </c>
      <c r="I3090" s="6">
        <f>IF(F3090="Departamental",E3090,
AVERAGEIFS($E:$E,$H:$H,H3090,$B:$B,B3090,$C:$C,C3090))</f>
        <v>500000</v>
      </c>
      <c r="J3090" s="47">
        <f>IF(G3090&lt;&gt;"",G3090,I3090)</f>
        <v>500000</v>
      </c>
    </row>
    <row r="3091" spans="1:10">
      <c r="A3091" s="27" t="s">
        <v>3852</v>
      </c>
      <c r="B3091" s="27" t="s">
        <v>4659</v>
      </c>
      <c r="C3091" s="27" t="s">
        <v>228</v>
      </c>
      <c r="D3091" s="27" t="s">
        <v>4660</v>
      </c>
      <c r="E3091" s="28">
        <v>500000</v>
      </c>
      <c r="F3091" s="27" t="s">
        <v>4658</v>
      </c>
      <c r="G3091" s="48"/>
      <c r="H3091" s="47" t="str">
        <f>IF(OR(A3091="Antioquia",A3091="Bogotá, D.C.",A3091="Boyacá",A3091="Cundinamarca",A3091="Caldas",A3091="Risaralda",A3091="Quindío",A3091="Tolima",A3091="Huila",A3091="Santander",A3091="Norte de Santander"),"ANDINA",
IF(OR(A3091="Atlántico",A3091="Bolívar",A3091="Cesar",A3091="Córdoba",A3091="Sucre",A3091="Magdalena"),"CARIBE",
IF(OR(A3091="Valle del Cauca",A3091="Cauca",A3091="Nariño"),"PACIFICO",
IF(OR(A3091="Meta",A3091="Casanare",A3091="Arauca"),"ORINOQUIA",
"AMAZONIA"))))</f>
        <v>CARIBE</v>
      </c>
      <c r="I3091" s="6">
        <f>IF(F3091="Departamental",E3091,
AVERAGEIFS($E:$E,$H:$H,H3091,$B:$B,B3091,$C:$C,C3091))</f>
        <v>500000</v>
      </c>
      <c r="J3091" s="47">
        <f>IF(G3091&lt;&gt;"",G3091,I3091)</f>
        <v>500000</v>
      </c>
    </row>
    <row r="3092" spans="1:10">
      <c r="A3092" s="27" t="s">
        <v>3853</v>
      </c>
      <c r="B3092" s="27" t="s">
        <v>4659</v>
      </c>
      <c r="C3092" s="27" t="s">
        <v>228</v>
      </c>
      <c r="D3092" s="27" t="s">
        <v>4660</v>
      </c>
      <c r="E3092" s="28">
        <v>500000</v>
      </c>
      <c r="F3092" s="27" t="s">
        <v>4658</v>
      </c>
      <c r="G3092" s="48"/>
      <c r="H3092" s="47" t="str">
        <f>IF(OR(A3092="Antioquia",A3092="Bogotá, D.C.",A3092="Boyacá",A3092="Cundinamarca",A3092="Caldas",A3092="Risaralda",A3092="Quindío",A3092="Tolima",A3092="Huila",A3092="Santander",A3092="Norte de Santander"),"ANDINA",
IF(OR(A3092="Atlántico",A3092="Bolívar",A3092="Cesar",A3092="Córdoba",A3092="Sucre",A3092="Magdalena"),"CARIBE",
IF(OR(A3092="Valle del Cauca",A3092="Cauca",A3092="Nariño"),"PACIFICO",
IF(OR(A3092="Meta",A3092="Casanare",A3092="Arauca"),"ORINOQUIA",
"AMAZONIA"))))</f>
        <v>ANDINA</v>
      </c>
      <c r="I3092" s="6">
        <f>IF(F3092="Departamental",E3092,
AVERAGEIFS($E:$E,$H:$H,H3092,$B:$B,B3092,$C:$C,C3092))</f>
        <v>500000</v>
      </c>
      <c r="J3092" s="47">
        <f>IF(G3092&lt;&gt;"",G3092,I3092)</f>
        <v>500000</v>
      </c>
    </row>
    <row r="3093" spans="1:10">
      <c r="A3093" s="27" t="s">
        <v>3854</v>
      </c>
      <c r="B3093" s="27" t="s">
        <v>4659</v>
      </c>
      <c r="C3093" s="27" t="s">
        <v>228</v>
      </c>
      <c r="D3093" s="27" t="s">
        <v>4660</v>
      </c>
      <c r="E3093" s="28">
        <v>500000</v>
      </c>
      <c r="F3093" s="27" t="s">
        <v>4658</v>
      </c>
      <c r="G3093" s="48"/>
      <c r="H3093" s="47" t="str">
        <f>IF(OR(A3093="Antioquia",A3093="Bogotá, D.C.",A3093="Boyacá",A3093="Cundinamarca",A3093="Caldas",A3093="Risaralda",A3093="Quindío",A3093="Tolima",A3093="Huila",A3093="Santander",A3093="Norte de Santander"),"ANDINA",
IF(OR(A3093="Atlántico",A3093="Bolívar",A3093="Cesar",A3093="Córdoba",A3093="Sucre",A3093="Magdalena"),"CARIBE",
IF(OR(A3093="Valle del Cauca",A3093="Cauca",A3093="Nariño"),"PACIFICO",
IF(OR(A3093="Meta",A3093="Casanare",A3093="Arauca"),"ORINOQUIA",
"AMAZONIA"))))</f>
        <v>PACIFICO</v>
      </c>
      <c r="I3093" s="6">
        <f>IF(F3093="Departamental",E3093,
AVERAGEIFS($E:$E,$H:$H,H3093,$B:$B,B3093,$C:$C,C3093))</f>
        <v>500000</v>
      </c>
      <c r="J3093" s="47">
        <f>IF(G3093&lt;&gt;"",G3093,I3093)</f>
        <v>500000</v>
      </c>
    </row>
    <row r="3094" spans="1:10">
      <c r="A3094" s="27" t="s">
        <v>4453</v>
      </c>
      <c r="B3094" s="27" t="s">
        <v>4659</v>
      </c>
      <c r="C3094" s="27" t="s">
        <v>228</v>
      </c>
      <c r="D3094" s="27" t="s">
        <v>4660</v>
      </c>
      <c r="E3094" s="28">
        <v>500000</v>
      </c>
      <c r="F3094" s="27" t="s">
        <v>4658</v>
      </c>
      <c r="G3094" s="48"/>
      <c r="H3094" s="47" t="str">
        <f>IF(OR(A3094="Antioquia",A3094="Bogotá, D.C.",A3094="Boyacá",A3094="Cundinamarca",A3094="Caldas",A3094="Risaralda",A3094="Quindío",A3094="Tolima",A3094="Huila",A3094="Santander",A3094="Norte de Santander"),"ANDINA",
IF(OR(A3094="Atlántico",A3094="Bolívar",A3094="Cesar",A3094="Córdoba",A3094="Sucre",A3094="Magdalena"),"CARIBE",
IF(OR(A3094="Valle del Cauca",A3094="Cauca",A3094="Nariño"),"PACIFICO",
IF(OR(A3094="Meta",A3094="Casanare",A3094="Arauca"),"ORINOQUIA",
"AMAZONIA"))))</f>
        <v>AMAZONIA</v>
      </c>
      <c r="I3094" s="6">
        <f>IF(F3094="Departamental",E3094,
AVERAGEIFS($E:$E,$H:$H,H3094,$B:$B,B3094,$C:$C,C3094))</f>
        <v>500000</v>
      </c>
      <c r="J3094" s="47">
        <f>IF(G3094&lt;&gt;"",G3094,I3094)</f>
        <v>500000</v>
      </c>
    </row>
    <row r="3095" spans="1:10">
      <c r="A3095" s="27" t="s">
        <v>4454</v>
      </c>
      <c r="B3095" s="27" t="s">
        <v>4659</v>
      </c>
      <c r="C3095" s="27" t="s">
        <v>228</v>
      </c>
      <c r="D3095" s="27" t="s">
        <v>4660</v>
      </c>
      <c r="E3095" s="28">
        <v>500000</v>
      </c>
      <c r="F3095" s="27" t="s">
        <v>4658</v>
      </c>
      <c r="G3095" s="48"/>
      <c r="H3095" s="47" t="str">
        <f>IF(OR(A3095="Antioquia",A3095="Bogotá, D.C.",A3095="Boyacá",A3095="Cundinamarca",A3095="Caldas",A3095="Risaralda",A3095="Quindío",A3095="Tolima",A3095="Huila",A3095="Santander",A3095="Norte de Santander"),"ANDINA",
IF(OR(A3095="Atlántico",A3095="Bolívar",A3095="Cesar",A3095="Córdoba",A3095="Sucre",A3095="Magdalena"),"CARIBE",
IF(OR(A3095="Valle del Cauca",A3095="Cauca",A3095="Nariño"),"PACIFICO",
IF(OR(A3095="Meta",A3095="Casanare",A3095="Arauca"),"ORINOQUIA",
"AMAZONIA"))))</f>
        <v>AMAZONIA</v>
      </c>
      <c r="I3095" s="6">
        <f>IF(F3095="Departamental",E3095,
AVERAGEIFS($E:$E,$H:$H,H3095,$B:$B,B3095,$C:$C,C3095))</f>
        <v>500000</v>
      </c>
      <c r="J3095" s="47">
        <f>IF(G3095&lt;&gt;"",G3095,I3095)</f>
        <v>500000</v>
      </c>
    </row>
    <row r="3096" spans="1:10">
      <c r="A3096" s="27" t="s">
        <v>3832</v>
      </c>
      <c r="B3096" s="27" t="s">
        <v>170</v>
      </c>
      <c r="C3096" s="27" t="s">
        <v>238</v>
      </c>
      <c r="D3096" s="27" t="s">
        <v>239</v>
      </c>
      <c r="E3096" s="28">
        <v>29062.313127203699</v>
      </c>
      <c r="F3096" s="27" t="s">
        <v>4073</v>
      </c>
      <c r="G3096" s="48"/>
      <c r="H3096" s="47" t="str">
        <f>IF(OR(A3096="Antioquia",A3096="Bogotá, D.C.",A3096="Boyacá",A3096="Cundinamarca",A3096="Caldas",A3096="Risaralda",A3096="Quindío",A3096="Tolima",A3096="Huila",A3096="Santander",A3096="Norte de Santander"),"ANDINA",
IF(OR(A3096="Atlántico",A3096="Bolívar",A3096="Cesar",A3096="Córdoba",A3096="Sucre",A3096="Magdalena"),"CARIBE",
IF(OR(A3096="Valle del Cauca",A3096="Cauca",A3096="Nariño"),"PACIFICO",
IF(OR(A3096="Meta",A3096="Casanare",A3096="Arauca"),"ORINOQUIA",
"AMAZONIA"))))</f>
        <v>ORINOQUIA</v>
      </c>
      <c r="I3096" s="6">
        <f>IF(F3096="Departamental",E3096,
AVERAGEIFS($E:$E,$H:$H,H3096,$B:$B,B3096,$C:$C,C3096))</f>
        <v>29062.313127203684</v>
      </c>
      <c r="J3096" s="47">
        <f>IF(G3096&lt;&gt;"",G3096,I3096)</f>
        <v>29062.313127203684</v>
      </c>
    </row>
    <row r="3097" spans="1:10">
      <c r="A3097" s="27" t="s">
        <v>3833</v>
      </c>
      <c r="B3097" s="27" t="s">
        <v>170</v>
      </c>
      <c r="C3097" s="27" t="s">
        <v>238</v>
      </c>
      <c r="D3097" s="27" t="s">
        <v>239</v>
      </c>
      <c r="E3097" s="28">
        <v>29062.313127203699</v>
      </c>
      <c r="F3097" s="27" t="s">
        <v>4073</v>
      </c>
      <c r="G3097" s="48"/>
      <c r="H3097" s="47" t="str">
        <f>IF(OR(A3097="Antioquia",A3097="Bogotá, D.C.",A3097="Boyacá",A3097="Cundinamarca",A3097="Caldas",A3097="Risaralda",A3097="Quindío",A3097="Tolima",A3097="Huila",A3097="Santander",A3097="Norte de Santander"),"ANDINA",
IF(OR(A3097="Atlántico",A3097="Bolívar",A3097="Cesar",A3097="Córdoba",A3097="Sucre",A3097="Magdalena"),"CARIBE",
IF(OR(A3097="Valle del Cauca",A3097="Cauca",A3097="Nariño"),"PACIFICO",
IF(OR(A3097="Meta",A3097="Casanare",A3097="Arauca"),"ORINOQUIA",
"AMAZONIA"))))</f>
        <v>CARIBE</v>
      </c>
      <c r="I3097" s="6">
        <f>IF(F3097="Departamental",E3097,
AVERAGEIFS($E:$E,$H:$H,H3097,$B:$B,B3097,$C:$C,C3097))</f>
        <v>28421.026765209121</v>
      </c>
      <c r="J3097" s="47">
        <f>IF(G3097&lt;&gt;"",G3097,I3097)</f>
        <v>28421.026765209121</v>
      </c>
    </row>
    <row r="3098" spans="1:10">
      <c r="A3098" s="27" t="s">
        <v>3844</v>
      </c>
      <c r="B3098" s="27" t="s">
        <v>170</v>
      </c>
      <c r="C3098" s="27" t="s">
        <v>238</v>
      </c>
      <c r="D3098" s="27" t="s">
        <v>239</v>
      </c>
      <c r="E3098" s="28">
        <v>29062.313127203699</v>
      </c>
      <c r="F3098" s="27" t="s">
        <v>4073</v>
      </c>
      <c r="G3098" s="48"/>
      <c r="H3098" s="47" t="str">
        <f>IF(OR(A3098="Antioquia",A3098="Bogotá, D.C.",A3098="Boyacá",A3098="Cundinamarca",A3098="Caldas",A3098="Risaralda",A3098="Quindío",A3098="Tolima",A3098="Huila",A3098="Santander",A3098="Norte de Santander"),"ANDINA",
IF(OR(A3098="Atlántico",A3098="Bolívar",A3098="Cesar",A3098="Córdoba",A3098="Sucre",A3098="Magdalena"),"CARIBE",
IF(OR(A3098="Valle del Cauca",A3098="Cauca",A3098="Nariño"),"PACIFICO",
IF(OR(A3098="Meta",A3098="Casanare",A3098="Arauca"),"ORINOQUIA",
"AMAZONIA"))))</f>
        <v>CARIBE</v>
      </c>
      <c r="I3098" s="6">
        <f>IF(F3098="Departamental",E3098,
AVERAGEIFS($E:$E,$H:$H,H3098,$B:$B,B3098,$C:$C,C3098))</f>
        <v>28421.026765209121</v>
      </c>
      <c r="J3098" s="47">
        <f>IF(G3098&lt;&gt;"",G3098,I3098)</f>
        <v>28421.026765209121</v>
      </c>
    </row>
    <row r="3099" spans="1:10">
      <c r="A3099" s="27" t="s">
        <v>3852</v>
      </c>
      <c r="B3099" s="27" t="s">
        <v>170</v>
      </c>
      <c r="C3099" s="27" t="s">
        <v>238</v>
      </c>
      <c r="D3099" s="27" t="s">
        <v>239</v>
      </c>
      <c r="E3099" s="28">
        <v>29062.313127203699</v>
      </c>
      <c r="F3099" s="27" t="s">
        <v>4073</v>
      </c>
      <c r="G3099" s="48"/>
      <c r="H3099" s="47" t="str">
        <f>IF(OR(A3099="Antioquia",A3099="Bogotá, D.C.",A3099="Boyacá",A3099="Cundinamarca",A3099="Caldas",A3099="Risaralda",A3099="Quindío",A3099="Tolima",A3099="Huila",A3099="Santander",A3099="Norte de Santander"),"ANDINA",
IF(OR(A3099="Atlántico",A3099="Bolívar",A3099="Cesar",A3099="Córdoba",A3099="Sucre",A3099="Magdalena"),"CARIBE",
IF(OR(A3099="Valle del Cauca",A3099="Cauca",A3099="Nariño"),"PACIFICO",
IF(OR(A3099="Meta",A3099="Casanare",A3099="Arauca"),"ORINOQUIA",
"AMAZONIA"))))</f>
        <v>CARIBE</v>
      </c>
      <c r="I3099" s="6">
        <f>IF(F3099="Departamental",E3099,
AVERAGEIFS($E:$E,$H:$H,H3099,$B:$B,B3099,$C:$C,C3099))</f>
        <v>28421.026765209121</v>
      </c>
      <c r="J3099" s="47">
        <f>IF(G3099&lt;&gt;"",G3099,I3099)</f>
        <v>28421.026765209121</v>
      </c>
    </row>
    <row r="3100" spans="1:10">
      <c r="A3100" s="27" t="s">
        <v>3832</v>
      </c>
      <c r="B3100" s="27" t="s">
        <v>180</v>
      </c>
      <c r="C3100" s="27" t="s">
        <v>241</v>
      </c>
      <c r="D3100" s="27" t="s">
        <v>4224</v>
      </c>
      <c r="E3100" s="28">
        <v>27783.1738609079</v>
      </c>
      <c r="F3100" s="27" t="s">
        <v>4073</v>
      </c>
      <c r="G3100" s="48"/>
      <c r="H3100" s="47" t="str">
        <f>IF(OR(A3100="Antioquia",A3100="Bogotá, D.C.",A3100="Boyacá",A3100="Cundinamarca",A3100="Caldas",A3100="Risaralda",A3100="Quindío",A3100="Tolima",A3100="Huila",A3100="Santander",A3100="Norte de Santander"),"ANDINA",
IF(OR(A3100="Atlántico",A3100="Bolívar",A3100="Cesar",A3100="Córdoba",A3100="Sucre",A3100="Magdalena"),"CARIBE",
IF(OR(A3100="Valle del Cauca",A3100="Cauca",A3100="Nariño"),"PACIFICO",
IF(OR(A3100="Meta",A3100="Casanare",A3100="Arauca"),"ORINOQUIA",
"AMAZONIA"))))</f>
        <v>ORINOQUIA</v>
      </c>
      <c r="I3100" s="6">
        <f>IF(F3100="Departamental",E3100,
AVERAGEIFS($E:$E,$H:$H,H3100,$B:$B,B3100,$C:$C,C3100))</f>
        <v>27783.173860907908</v>
      </c>
      <c r="J3100" s="47">
        <f>IF(G3100&lt;&gt;"",G3100,I3100)</f>
        <v>27783.173860907908</v>
      </c>
    </row>
    <row r="3101" spans="1:10">
      <c r="A3101" s="27" t="s">
        <v>3833</v>
      </c>
      <c r="B3101" s="27" t="s">
        <v>180</v>
      </c>
      <c r="C3101" s="27" t="s">
        <v>241</v>
      </c>
      <c r="D3101" s="27" t="s">
        <v>4224</v>
      </c>
      <c r="E3101" s="28">
        <v>27783.1738609079</v>
      </c>
      <c r="F3101" s="27" t="s">
        <v>4073</v>
      </c>
      <c r="G3101" s="48"/>
      <c r="H3101" s="47" t="str">
        <f>IF(OR(A3101="Antioquia",A3101="Bogotá, D.C.",A3101="Boyacá",A3101="Cundinamarca",A3101="Caldas",A3101="Risaralda",A3101="Quindío",A3101="Tolima",A3101="Huila",A3101="Santander",A3101="Norte de Santander"),"ANDINA",
IF(OR(A3101="Atlántico",A3101="Bolívar",A3101="Cesar",A3101="Córdoba",A3101="Sucre",A3101="Magdalena"),"CARIBE",
IF(OR(A3101="Valle del Cauca",A3101="Cauca",A3101="Nariño"),"PACIFICO",
IF(OR(A3101="Meta",A3101="Casanare",A3101="Arauca"),"ORINOQUIA",
"AMAZONIA"))))</f>
        <v>CARIBE</v>
      </c>
      <c r="I3101" s="6">
        <f>IF(F3101="Departamental",E3101,
AVERAGEIFS($E:$E,$H:$H,H3101,$B:$B,B3101,$C:$C,C3101))</f>
        <v>27783.173860907904</v>
      </c>
      <c r="J3101" s="47">
        <f>IF(G3101&lt;&gt;"",G3101,I3101)</f>
        <v>27783.173860907904</v>
      </c>
    </row>
    <row r="3102" spans="1:10">
      <c r="A3102" s="27" t="s">
        <v>3844</v>
      </c>
      <c r="B3102" s="27" t="s">
        <v>180</v>
      </c>
      <c r="C3102" s="27" t="s">
        <v>241</v>
      </c>
      <c r="D3102" s="27" t="s">
        <v>4224</v>
      </c>
      <c r="E3102" s="28">
        <v>27783.1738609079</v>
      </c>
      <c r="F3102" s="27" t="s">
        <v>4073</v>
      </c>
      <c r="G3102" s="48"/>
      <c r="H3102" s="47" t="str">
        <f>IF(OR(A3102="Antioquia",A3102="Bogotá, D.C.",A3102="Boyacá",A3102="Cundinamarca",A3102="Caldas",A3102="Risaralda",A3102="Quindío",A3102="Tolima",A3102="Huila",A3102="Santander",A3102="Norte de Santander"),"ANDINA",
IF(OR(A3102="Atlántico",A3102="Bolívar",A3102="Cesar",A3102="Córdoba",A3102="Sucre",A3102="Magdalena"),"CARIBE",
IF(OR(A3102="Valle del Cauca",A3102="Cauca",A3102="Nariño"),"PACIFICO",
IF(OR(A3102="Meta",A3102="Casanare",A3102="Arauca"),"ORINOQUIA",
"AMAZONIA"))))</f>
        <v>CARIBE</v>
      </c>
      <c r="I3102" s="6">
        <f>IF(F3102="Departamental",E3102,
AVERAGEIFS($E:$E,$H:$H,H3102,$B:$B,B3102,$C:$C,C3102))</f>
        <v>27783.173860907904</v>
      </c>
      <c r="J3102" s="47">
        <f>IF(G3102&lt;&gt;"",G3102,I3102)</f>
        <v>27783.173860907904</v>
      </c>
    </row>
    <row r="3103" spans="1:10">
      <c r="A3103" s="27" t="s">
        <v>3852</v>
      </c>
      <c r="B3103" s="27" t="s">
        <v>180</v>
      </c>
      <c r="C3103" s="27" t="s">
        <v>241</v>
      </c>
      <c r="D3103" s="27" t="s">
        <v>4224</v>
      </c>
      <c r="E3103" s="28">
        <v>27783.1738609079</v>
      </c>
      <c r="F3103" s="27" t="s">
        <v>4073</v>
      </c>
      <c r="G3103" s="48"/>
      <c r="H3103" s="47" t="str">
        <f>IF(OR(A3103="Antioquia",A3103="Bogotá, D.C.",A3103="Boyacá",A3103="Cundinamarca",A3103="Caldas",A3103="Risaralda",A3103="Quindío",A3103="Tolima",A3103="Huila",A3103="Santander",A3103="Norte de Santander"),"ANDINA",
IF(OR(A3103="Atlántico",A3103="Bolívar",A3103="Cesar",A3103="Córdoba",A3103="Sucre",A3103="Magdalena"),"CARIBE",
IF(OR(A3103="Valle del Cauca",A3103="Cauca",A3103="Nariño"),"PACIFICO",
IF(OR(A3103="Meta",A3103="Casanare",A3103="Arauca"),"ORINOQUIA",
"AMAZONIA"))))</f>
        <v>CARIBE</v>
      </c>
      <c r="I3103" s="6">
        <f>IF(F3103="Departamental",E3103,
AVERAGEIFS($E:$E,$H:$H,H3103,$B:$B,B3103,$C:$C,C3103))</f>
        <v>27783.173860907904</v>
      </c>
      <c r="J3103" s="47">
        <f>IF(G3103&lt;&gt;"",G3103,I3103)</f>
        <v>27783.173860907904</v>
      </c>
    </row>
    <row r="3104" spans="1:10">
      <c r="A3104" s="27" t="s">
        <v>3832</v>
      </c>
      <c r="B3104" s="27" t="s">
        <v>249</v>
      </c>
      <c r="C3104" s="27" t="s">
        <v>4140</v>
      </c>
      <c r="D3104" s="27" t="s">
        <v>4142</v>
      </c>
      <c r="E3104" s="28">
        <v>28000</v>
      </c>
      <c r="F3104" s="27" t="s">
        <v>4658</v>
      </c>
      <c r="G3104" s="48"/>
      <c r="H3104" s="47" t="str">
        <f>IF(OR(A3104="Antioquia",A3104="Bogotá, D.C.",A3104="Boyacá",A3104="Cundinamarca",A3104="Caldas",A3104="Risaralda",A3104="Quindío",A3104="Tolima",A3104="Huila",A3104="Santander",A3104="Norte de Santander"),"ANDINA",
IF(OR(A3104="Atlántico",A3104="Bolívar",A3104="Cesar",A3104="Córdoba",A3104="Sucre",A3104="Magdalena"),"CARIBE",
IF(OR(A3104="Valle del Cauca",A3104="Cauca",A3104="Nariño"),"PACIFICO",
IF(OR(A3104="Meta",A3104="Casanare",A3104="Arauca"),"ORINOQUIA",
"AMAZONIA"))))</f>
        <v>ORINOQUIA</v>
      </c>
      <c r="I3104" s="6">
        <f>IF(F3104="Departamental",E3104,
AVERAGEIFS($E:$E,$H:$H,H3104,$B:$B,B3104,$C:$C,C3104))</f>
        <v>38808.080808084851</v>
      </c>
      <c r="J3104" s="47">
        <f>IF(G3104&lt;&gt;"",G3104,I3104)</f>
        <v>38808.080808084851</v>
      </c>
    </row>
    <row r="3105" spans="1:10">
      <c r="A3105" s="27" t="s">
        <v>3833</v>
      </c>
      <c r="B3105" s="27" t="s">
        <v>249</v>
      </c>
      <c r="C3105" s="27" t="s">
        <v>4140</v>
      </c>
      <c r="D3105" s="27" t="s">
        <v>4142</v>
      </c>
      <c r="E3105" s="28">
        <v>28000</v>
      </c>
      <c r="F3105" s="27" t="s">
        <v>4658</v>
      </c>
      <c r="G3105" s="48"/>
      <c r="H3105" s="47" t="str">
        <f>IF(OR(A3105="Antioquia",A3105="Bogotá, D.C.",A3105="Boyacá",A3105="Cundinamarca",A3105="Caldas",A3105="Risaralda",A3105="Quindío",A3105="Tolima",A3105="Huila",A3105="Santander",A3105="Norte de Santander"),"ANDINA",
IF(OR(A3105="Atlántico",A3105="Bolívar",A3105="Cesar",A3105="Córdoba",A3105="Sucre",A3105="Magdalena"),"CARIBE",
IF(OR(A3105="Valle del Cauca",A3105="Cauca",A3105="Nariño"),"PACIFICO",
IF(OR(A3105="Meta",A3105="Casanare",A3105="Arauca"),"ORINOQUIA",
"AMAZONIA"))))</f>
        <v>CARIBE</v>
      </c>
      <c r="I3105" s="6">
        <f>IF(F3105="Departamental",E3105,
AVERAGEIFS($E:$E,$H:$H,H3105,$B:$B,B3105,$C:$C,C3105))</f>
        <v>36844.424242425455</v>
      </c>
      <c r="J3105" s="47">
        <f>IF(G3105&lt;&gt;"",G3105,I3105)</f>
        <v>36844.424242425455</v>
      </c>
    </row>
    <row r="3106" spans="1:10">
      <c r="A3106" s="27" t="s">
        <v>3844</v>
      </c>
      <c r="B3106" s="27" t="s">
        <v>249</v>
      </c>
      <c r="C3106" s="27" t="s">
        <v>4140</v>
      </c>
      <c r="D3106" s="27" t="s">
        <v>4142</v>
      </c>
      <c r="E3106" s="28">
        <v>28000</v>
      </c>
      <c r="F3106" s="27" t="s">
        <v>4658</v>
      </c>
      <c r="G3106" s="48"/>
      <c r="H3106" s="47" t="str">
        <f>IF(OR(A3106="Antioquia",A3106="Bogotá, D.C.",A3106="Boyacá",A3106="Cundinamarca",A3106="Caldas",A3106="Risaralda",A3106="Quindío",A3106="Tolima",A3106="Huila",A3106="Santander",A3106="Norte de Santander"),"ANDINA",
IF(OR(A3106="Atlántico",A3106="Bolívar",A3106="Cesar",A3106="Córdoba",A3106="Sucre",A3106="Magdalena"),"CARIBE",
IF(OR(A3106="Valle del Cauca",A3106="Cauca",A3106="Nariño"),"PACIFICO",
IF(OR(A3106="Meta",A3106="Casanare",A3106="Arauca"),"ORINOQUIA",
"AMAZONIA"))))</f>
        <v>CARIBE</v>
      </c>
      <c r="I3106" s="6">
        <f>IF(F3106="Departamental",E3106,
AVERAGEIFS($E:$E,$H:$H,H3106,$B:$B,B3106,$C:$C,C3106))</f>
        <v>36844.424242425455</v>
      </c>
      <c r="J3106" s="47">
        <f>IF(G3106&lt;&gt;"",G3106,I3106)</f>
        <v>36844.424242425455</v>
      </c>
    </row>
    <row r="3107" spans="1:10">
      <c r="A3107" s="27" t="s">
        <v>3852</v>
      </c>
      <c r="B3107" s="27" t="s">
        <v>249</v>
      </c>
      <c r="C3107" s="27" t="s">
        <v>4140</v>
      </c>
      <c r="D3107" s="27" t="s">
        <v>4142</v>
      </c>
      <c r="E3107" s="28">
        <v>28000</v>
      </c>
      <c r="F3107" s="27" t="s">
        <v>4658</v>
      </c>
      <c r="G3107" s="48"/>
      <c r="H3107" s="47" t="str">
        <f>IF(OR(A3107="Antioquia",A3107="Bogotá, D.C.",A3107="Boyacá",A3107="Cundinamarca",A3107="Caldas",A3107="Risaralda",A3107="Quindío",A3107="Tolima",A3107="Huila",A3107="Santander",A3107="Norte de Santander"),"ANDINA",
IF(OR(A3107="Atlántico",A3107="Bolívar",A3107="Cesar",A3107="Córdoba",A3107="Sucre",A3107="Magdalena"),"CARIBE",
IF(OR(A3107="Valle del Cauca",A3107="Cauca",A3107="Nariño"),"PACIFICO",
IF(OR(A3107="Meta",A3107="Casanare",A3107="Arauca"),"ORINOQUIA",
"AMAZONIA"))))</f>
        <v>CARIBE</v>
      </c>
      <c r="I3107" s="6">
        <f>IF(F3107="Departamental",E3107,
AVERAGEIFS($E:$E,$H:$H,H3107,$B:$B,B3107,$C:$C,C3107))</f>
        <v>36844.424242425455</v>
      </c>
      <c r="J3107" s="47">
        <f>IF(G3107&lt;&gt;"",G3107,I3107)</f>
        <v>36844.424242425455</v>
      </c>
    </row>
    <row r="3108" spans="1:10">
      <c r="A3108" s="27" t="s">
        <v>3832</v>
      </c>
      <c r="B3108" s="27" t="s">
        <v>170</v>
      </c>
      <c r="C3108" s="27" t="s">
        <v>260</v>
      </c>
      <c r="D3108" s="27" t="s">
        <v>261</v>
      </c>
      <c r="E3108" s="28">
        <v>24430.157645961699</v>
      </c>
      <c r="F3108" s="27" t="s">
        <v>4073</v>
      </c>
      <c r="G3108" s="48"/>
      <c r="H3108" s="47" t="str">
        <f>IF(OR(A3108="Antioquia",A3108="Bogotá, D.C.",A3108="Boyacá",A3108="Cundinamarca",A3108="Caldas",A3108="Risaralda",A3108="Quindío",A3108="Tolima",A3108="Huila",A3108="Santander",A3108="Norte de Santander"),"ANDINA",
IF(OR(A3108="Atlántico",A3108="Bolívar",A3108="Cesar",A3108="Córdoba",A3108="Sucre",A3108="Magdalena"),"CARIBE",
IF(OR(A3108="Valle del Cauca",A3108="Cauca",A3108="Nariño"),"PACIFICO",
IF(OR(A3108="Meta",A3108="Casanare",A3108="Arauca"),"ORINOQUIA",
"AMAZONIA"))))</f>
        <v>ORINOQUIA</v>
      </c>
      <c r="I3108" s="6">
        <f>IF(F3108="Departamental",E3108,
AVERAGEIFS($E:$E,$H:$H,H3108,$B:$B,B3108,$C:$C,C3108))</f>
        <v>24770.423758124827</v>
      </c>
      <c r="J3108" s="47">
        <f>IF(G3108&lt;&gt;"",G3108,I3108)</f>
        <v>24770.423758124827</v>
      </c>
    </row>
    <row r="3109" spans="1:10">
      <c r="A3109" s="27" t="s">
        <v>3833</v>
      </c>
      <c r="B3109" s="27" t="s">
        <v>170</v>
      </c>
      <c r="C3109" s="27" t="s">
        <v>260</v>
      </c>
      <c r="D3109" s="27" t="s">
        <v>261</v>
      </c>
      <c r="E3109" s="28">
        <v>24430.157645961699</v>
      </c>
      <c r="F3109" s="27" t="s">
        <v>4073</v>
      </c>
      <c r="G3109" s="48"/>
      <c r="H3109" s="47" t="str">
        <f>IF(OR(A3109="Antioquia",A3109="Bogotá, D.C.",A3109="Boyacá",A3109="Cundinamarca",A3109="Caldas",A3109="Risaralda",A3109="Quindío",A3109="Tolima",A3109="Huila",A3109="Santander",A3109="Norte de Santander"),"ANDINA",
IF(OR(A3109="Atlántico",A3109="Bolívar",A3109="Cesar",A3109="Córdoba",A3109="Sucre",A3109="Magdalena"),"CARIBE",
IF(OR(A3109="Valle del Cauca",A3109="Cauca",A3109="Nariño"),"PACIFICO",
IF(OR(A3109="Meta",A3109="Casanare",A3109="Arauca"),"ORINOQUIA",
"AMAZONIA"))))</f>
        <v>CARIBE</v>
      </c>
      <c r="I3109" s="6">
        <f>IF(F3109="Departamental",E3109,
AVERAGEIFS($E:$E,$H:$H,H3109,$B:$B,B3109,$C:$C,C3109))</f>
        <v>24430.157645961688</v>
      </c>
      <c r="J3109" s="47">
        <f>IF(G3109&lt;&gt;"",G3109,I3109)</f>
        <v>24430.157645961688</v>
      </c>
    </row>
    <row r="3110" spans="1:10">
      <c r="A3110" s="27" t="s">
        <v>3844</v>
      </c>
      <c r="B3110" s="27" t="s">
        <v>170</v>
      </c>
      <c r="C3110" s="27" t="s">
        <v>260</v>
      </c>
      <c r="D3110" s="27" t="s">
        <v>261</v>
      </c>
      <c r="E3110" s="28">
        <v>24430.157645961699</v>
      </c>
      <c r="F3110" s="27" t="s">
        <v>4073</v>
      </c>
      <c r="G3110" s="48"/>
      <c r="H3110" s="47" t="str">
        <f>IF(OR(A3110="Antioquia",A3110="Bogotá, D.C.",A3110="Boyacá",A3110="Cundinamarca",A3110="Caldas",A3110="Risaralda",A3110="Quindío",A3110="Tolima",A3110="Huila",A3110="Santander",A3110="Norte de Santander"),"ANDINA",
IF(OR(A3110="Atlántico",A3110="Bolívar",A3110="Cesar",A3110="Córdoba",A3110="Sucre",A3110="Magdalena"),"CARIBE",
IF(OR(A3110="Valle del Cauca",A3110="Cauca",A3110="Nariño"),"PACIFICO",
IF(OR(A3110="Meta",A3110="Casanare",A3110="Arauca"),"ORINOQUIA",
"AMAZONIA"))))</f>
        <v>CARIBE</v>
      </c>
      <c r="I3110" s="6">
        <f>IF(F3110="Departamental",E3110,
AVERAGEIFS($E:$E,$H:$H,H3110,$B:$B,B3110,$C:$C,C3110))</f>
        <v>24430.157645961688</v>
      </c>
      <c r="J3110" s="47">
        <f>IF(G3110&lt;&gt;"",G3110,I3110)</f>
        <v>24430.157645961688</v>
      </c>
    </row>
    <row r="3111" spans="1:10">
      <c r="A3111" s="27" t="s">
        <v>3852</v>
      </c>
      <c r="B3111" s="27" t="s">
        <v>170</v>
      </c>
      <c r="C3111" s="27" t="s">
        <v>260</v>
      </c>
      <c r="D3111" s="27" t="s">
        <v>261</v>
      </c>
      <c r="E3111" s="28">
        <v>24430.157645961699</v>
      </c>
      <c r="F3111" s="27" t="s">
        <v>4073</v>
      </c>
      <c r="G3111" s="48"/>
      <c r="H3111" s="47" t="str">
        <f>IF(OR(A3111="Antioquia",A3111="Bogotá, D.C.",A3111="Boyacá",A3111="Cundinamarca",A3111="Caldas",A3111="Risaralda",A3111="Quindío",A3111="Tolima",A3111="Huila",A3111="Santander",A3111="Norte de Santander"),"ANDINA",
IF(OR(A3111="Atlántico",A3111="Bolívar",A3111="Cesar",A3111="Córdoba",A3111="Sucre",A3111="Magdalena"),"CARIBE",
IF(OR(A3111="Valle del Cauca",A3111="Cauca",A3111="Nariño"),"PACIFICO",
IF(OR(A3111="Meta",A3111="Casanare",A3111="Arauca"),"ORINOQUIA",
"AMAZONIA"))))</f>
        <v>CARIBE</v>
      </c>
      <c r="I3111" s="6">
        <f>IF(F3111="Departamental",E3111,
AVERAGEIFS($E:$E,$H:$H,H3111,$B:$B,B3111,$C:$C,C3111))</f>
        <v>24430.157645961688</v>
      </c>
      <c r="J3111" s="47">
        <f>IF(G3111&lt;&gt;"",G3111,I3111)</f>
        <v>24430.157645961688</v>
      </c>
    </row>
    <row r="3112" spans="1:10">
      <c r="A3112" s="27" t="s">
        <v>3832</v>
      </c>
      <c r="B3112" s="27" t="s">
        <v>170</v>
      </c>
      <c r="C3112" s="27" t="s">
        <v>4077</v>
      </c>
      <c r="D3112" s="27" t="s">
        <v>226</v>
      </c>
      <c r="E3112" s="28">
        <v>36066.6666666643</v>
      </c>
      <c r="F3112" s="27" t="s">
        <v>4073</v>
      </c>
      <c r="G3112" s="48"/>
      <c r="H3112" s="47" t="str">
        <f>IF(OR(A3112="Antioquia",A3112="Bogotá, D.C.",A3112="Boyacá",A3112="Cundinamarca",A3112="Caldas",A3112="Risaralda",A3112="Quindío",A3112="Tolima",A3112="Huila",A3112="Santander",A3112="Norte de Santander"),"ANDINA",
IF(OR(A3112="Atlántico",A3112="Bolívar",A3112="Cesar",A3112="Córdoba",A3112="Sucre",A3112="Magdalena"),"CARIBE",
IF(OR(A3112="Valle del Cauca",A3112="Cauca",A3112="Nariño"),"PACIFICO",
IF(OR(A3112="Meta",A3112="Casanare",A3112="Arauca"),"ORINOQUIA",
"AMAZONIA"))))</f>
        <v>ORINOQUIA</v>
      </c>
      <c r="I3112" s="6">
        <f>IF(F3112="Departamental",E3112,
AVERAGEIFS($E:$E,$H:$H,H3112,$B:$B,B3112,$C:$C,C3112))</f>
        <v>36066.666666664292</v>
      </c>
      <c r="J3112" s="47">
        <f>IF(G3112&lt;&gt;"",G3112,I3112)</f>
        <v>36066.666666664292</v>
      </c>
    </row>
    <row r="3113" spans="1:10">
      <c r="A3113" s="27" t="s">
        <v>3833</v>
      </c>
      <c r="B3113" s="27" t="s">
        <v>170</v>
      </c>
      <c r="C3113" s="27" t="s">
        <v>4077</v>
      </c>
      <c r="D3113" s="27" t="s">
        <v>226</v>
      </c>
      <c r="E3113" s="28">
        <v>36066.6666666643</v>
      </c>
      <c r="F3113" s="27" t="s">
        <v>4073</v>
      </c>
      <c r="G3113" s="48"/>
      <c r="H3113" s="47" t="str">
        <f>IF(OR(A3113="Antioquia",A3113="Bogotá, D.C.",A3113="Boyacá",A3113="Cundinamarca",A3113="Caldas",A3113="Risaralda",A3113="Quindío",A3113="Tolima",A3113="Huila",A3113="Santander",A3113="Norte de Santander"),"ANDINA",
IF(OR(A3113="Atlántico",A3113="Bolívar",A3113="Cesar",A3113="Córdoba",A3113="Sucre",A3113="Magdalena"),"CARIBE",
IF(OR(A3113="Valle del Cauca",A3113="Cauca",A3113="Nariño"),"PACIFICO",
IF(OR(A3113="Meta",A3113="Casanare",A3113="Arauca"),"ORINOQUIA",
"AMAZONIA"))))</f>
        <v>CARIBE</v>
      </c>
      <c r="I3113" s="6">
        <f>IF(F3113="Departamental",E3113,
AVERAGEIFS($E:$E,$H:$H,H3113,$B:$B,B3113,$C:$C,C3113))</f>
        <v>36066.666666664292</v>
      </c>
      <c r="J3113" s="47">
        <f>IF(G3113&lt;&gt;"",G3113,I3113)</f>
        <v>36066.666666664292</v>
      </c>
    </row>
    <row r="3114" spans="1:10">
      <c r="A3114" s="27" t="s">
        <v>3844</v>
      </c>
      <c r="B3114" s="27" t="s">
        <v>170</v>
      </c>
      <c r="C3114" s="27" t="s">
        <v>4077</v>
      </c>
      <c r="D3114" s="27" t="s">
        <v>226</v>
      </c>
      <c r="E3114" s="28">
        <v>36066.6666666643</v>
      </c>
      <c r="F3114" s="27" t="s">
        <v>4073</v>
      </c>
      <c r="G3114" s="48"/>
      <c r="H3114" s="47" t="str">
        <f>IF(OR(A3114="Antioquia",A3114="Bogotá, D.C.",A3114="Boyacá",A3114="Cundinamarca",A3114="Caldas",A3114="Risaralda",A3114="Quindío",A3114="Tolima",A3114="Huila",A3114="Santander",A3114="Norte de Santander"),"ANDINA",
IF(OR(A3114="Atlántico",A3114="Bolívar",A3114="Cesar",A3114="Córdoba",A3114="Sucre",A3114="Magdalena"),"CARIBE",
IF(OR(A3114="Valle del Cauca",A3114="Cauca",A3114="Nariño"),"PACIFICO",
IF(OR(A3114="Meta",A3114="Casanare",A3114="Arauca"),"ORINOQUIA",
"AMAZONIA"))))</f>
        <v>CARIBE</v>
      </c>
      <c r="I3114" s="6">
        <f>IF(F3114="Departamental",E3114,
AVERAGEIFS($E:$E,$H:$H,H3114,$B:$B,B3114,$C:$C,C3114))</f>
        <v>36066.666666664292</v>
      </c>
      <c r="J3114" s="47">
        <f>IF(G3114&lt;&gt;"",G3114,I3114)</f>
        <v>36066.666666664292</v>
      </c>
    </row>
    <row r="3115" spans="1:10">
      <c r="A3115" s="27" t="s">
        <v>3852</v>
      </c>
      <c r="B3115" s="27" t="s">
        <v>170</v>
      </c>
      <c r="C3115" s="27" t="s">
        <v>4077</v>
      </c>
      <c r="D3115" s="27" t="s">
        <v>226</v>
      </c>
      <c r="E3115" s="28">
        <v>36066.6666666643</v>
      </c>
      <c r="F3115" s="27" t="s">
        <v>4073</v>
      </c>
      <c r="G3115" s="48"/>
      <c r="H3115" s="47" t="str">
        <f>IF(OR(A3115="Antioquia",A3115="Bogotá, D.C.",A3115="Boyacá",A3115="Cundinamarca",A3115="Caldas",A3115="Risaralda",A3115="Quindío",A3115="Tolima",A3115="Huila",A3115="Santander",A3115="Norte de Santander"),"ANDINA",
IF(OR(A3115="Atlántico",A3115="Bolívar",A3115="Cesar",A3115="Córdoba",A3115="Sucre",A3115="Magdalena"),"CARIBE",
IF(OR(A3115="Valle del Cauca",A3115="Cauca",A3115="Nariño"),"PACIFICO",
IF(OR(A3115="Meta",A3115="Casanare",A3115="Arauca"),"ORINOQUIA",
"AMAZONIA"))))</f>
        <v>CARIBE</v>
      </c>
      <c r="I3115" s="6">
        <f>IF(F3115="Departamental",E3115,
AVERAGEIFS($E:$E,$H:$H,H3115,$B:$B,B3115,$C:$C,C3115))</f>
        <v>36066.666666664292</v>
      </c>
      <c r="J3115" s="47">
        <f>IF(G3115&lt;&gt;"",G3115,I3115)</f>
        <v>36066.666666664292</v>
      </c>
    </row>
    <row r="3116" spans="1:10">
      <c r="A3116" s="27" t="s">
        <v>3832</v>
      </c>
      <c r="B3116" s="27" t="s">
        <v>170</v>
      </c>
      <c r="C3116" s="27" t="s">
        <v>295</v>
      </c>
      <c r="D3116" s="27" t="s">
        <v>261</v>
      </c>
      <c r="E3116" s="28">
        <v>28069.2528790006</v>
      </c>
      <c r="F3116" s="27" t="s">
        <v>4073</v>
      </c>
      <c r="G3116" s="48"/>
      <c r="H3116" s="47" t="str">
        <f>IF(OR(A3116="Antioquia",A3116="Bogotá, D.C.",A3116="Boyacá",A3116="Cundinamarca",A3116="Caldas",A3116="Risaralda",A3116="Quindío",A3116="Tolima",A3116="Huila",A3116="Santander",A3116="Norte de Santander"),"ANDINA",
IF(OR(A3116="Atlántico",A3116="Bolívar",A3116="Cesar",A3116="Córdoba",A3116="Sucre",A3116="Magdalena"),"CARIBE",
IF(OR(A3116="Valle del Cauca",A3116="Cauca",A3116="Nariño"),"PACIFICO",
IF(OR(A3116="Meta",A3116="Casanare",A3116="Arauca"),"ORINOQUIA",
"AMAZONIA"))))</f>
        <v>ORINOQUIA</v>
      </c>
      <c r="I3116" s="6">
        <f>IF(F3116="Departamental",E3116,
AVERAGEIFS($E:$E,$H:$H,H3116,$B:$B,B3116,$C:$C,C3116))</f>
        <v>28069.252879000614</v>
      </c>
      <c r="J3116" s="47">
        <f>IF(G3116&lt;&gt;"",G3116,I3116)</f>
        <v>28069.252879000614</v>
      </c>
    </row>
    <row r="3117" spans="1:10">
      <c r="A3117" s="27" t="s">
        <v>3833</v>
      </c>
      <c r="B3117" s="27" t="s">
        <v>170</v>
      </c>
      <c r="C3117" s="27" t="s">
        <v>295</v>
      </c>
      <c r="D3117" s="27" t="s">
        <v>261</v>
      </c>
      <c r="E3117" s="28">
        <v>28069.2528790006</v>
      </c>
      <c r="F3117" s="27" t="s">
        <v>4073</v>
      </c>
      <c r="G3117" s="48"/>
      <c r="H3117" s="47" t="str">
        <f>IF(OR(A3117="Antioquia",A3117="Bogotá, D.C.",A3117="Boyacá",A3117="Cundinamarca",A3117="Caldas",A3117="Risaralda",A3117="Quindío",A3117="Tolima",A3117="Huila",A3117="Santander",A3117="Norte de Santander"),"ANDINA",
IF(OR(A3117="Atlántico",A3117="Bolívar",A3117="Cesar",A3117="Córdoba",A3117="Sucre",A3117="Magdalena"),"CARIBE",
IF(OR(A3117="Valle del Cauca",A3117="Cauca",A3117="Nariño"),"PACIFICO",
IF(OR(A3117="Meta",A3117="Casanare",A3117="Arauca"),"ORINOQUIA",
"AMAZONIA"))))</f>
        <v>CARIBE</v>
      </c>
      <c r="I3117" s="6">
        <f>IF(F3117="Departamental",E3117,
AVERAGEIFS($E:$E,$H:$H,H3117,$B:$B,B3117,$C:$C,C3117))</f>
        <v>28069.252879000607</v>
      </c>
      <c r="J3117" s="47">
        <f>IF(G3117&lt;&gt;"",G3117,I3117)</f>
        <v>28069.252879000607</v>
      </c>
    </row>
    <row r="3118" spans="1:10">
      <c r="A3118" s="27" t="s">
        <v>3844</v>
      </c>
      <c r="B3118" s="27" t="s">
        <v>170</v>
      </c>
      <c r="C3118" s="27" t="s">
        <v>295</v>
      </c>
      <c r="D3118" s="27" t="s">
        <v>261</v>
      </c>
      <c r="E3118" s="28">
        <v>28069.2528790006</v>
      </c>
      <c r="F3118" s="27" t="s">
        <v>4073</v>
      </c>
      <c r="G3118" s="48"/>
      <c r="H3118" s="47" t="str">
        <f>IF(OR(A3118="Antioquia",A3118="Bogotá, D.C.",A3118="Boyacá",A3118="Cundinamarca",A3118="Caldas",A3118="Risaralda",A3118="Quindío",A3118="Tolima",A3118="Huila",A3118="Santander",A3118="Norte de Santander"),"ANDINA",
IF(OR(A3118="Atlántico",A3118="Bolívar",A3118="Cesar",A3118="Córdoba",A3118="Sucre",A3118="Magdalena"),"CARIBE",
IF(OR(A3118="Valle del Cauca",A3118="Cauca",A3118="Nariño"),"PACIFICO",
IF(OR(A3118="Meta",A3118="Casanare",A3118="Arauca"),"ORINOQUIA",
"AMAZONIA"))))</f>
        <v>CARIBE</v>
      </c>
      <c r="I3118" s="6">
        <f>IF(F3118="Departamental",E3118,
AVERAGEIFS($E:$E,$H:$H,H3118,$B:$B,B3118,$C:$C,C3118))</f>
        <v>28069.252879000607</v>
      </c>
      <c r="J3118" s="47">
        <f>IF(G3118&lt;&gt;"",G3118,I3118)</f>
        <v>28069.252879000607</v>
      </c>
    </row>
    <row r="3119" spans="1:10">
      <c r="A3119" s="27" t="s">
        <v>3852</v>
      </c>
      <c r="B3119" s="27" t="s">
        <v>170</v>
      </c>
      <c r="C3119" s="27" t="s">
        <v>295</v>
      </c>
      <c r="D3119" s="27" t="s">
        <v>261</v>
      </c>
      <c r="E3119" s="28">
        <v>28069.2528790006</v>
      </c>
      <c r="F3119" s="27" t="s">
        <v>4073</v>
      </c>
      <c r="G3119" s="48"/>
      <c r="H3119" s="47" t="str">
        <f>IF(OR(A3119="Antioquia",A3119="Bogotá, D.C.",A3119="Boyacá",A3119="Cundinamarca",A3119="Caldas",A3119="Risaralda",A3119="Quindío",A3119="Tolima",A3119="Huila",A3119="Santander",A3119="Norte de Santander"),"ANDINA",
IF(OR(A3119="Atlántico",A3119="Bolívar",A3119="Cesar",A3119="Córdoba",A3119="Sucre",A3119="Magdalena"),"CARIBE",
IF(OR(A3119="Valle del Cauca",A3119="Cauca",A3119="Nariño"),"PACIFICO",
IF(OR(A3119="Meta",A3119="Casanare",A3119="Arauca"),"ORINOQUIA",
"AMAZONIA"))))</f>
        <v>CARIBE</v>
      </c>
      <c r="I3119" s="6">
        <f>IF(F3119="Departamental",E3119,
AVERAGEIFS($E:$E,$H:$H,H3119,$B:$B,B3119,$C:$C,C3119))</f>
        <v>28069.252879000607</v>
      </c>
      <c r="J3119" s="47">
        <f>IF(G3119&lt;&gt;"",G3119,I3119)</f>
        <v>28069.252879000607</v>
      </c>
    </row>
    <row r="3120" spans="1:10">
      <c r="A3120" s="27" t="s">
        <v>4448</v>
      </c>
      <c r="B3120" s="27" t="s">
        <v>4661</v>
      </c>
      <c r="C3120" s="27" t="s">
        <v>304</v>
      </c>
      <c r="D3120" s="27" t="s">
        <v>4662</v>
      </c>
      <c r="E3120" s="28">
        <v>180000</v>
      </c>
      <c r="F3120" s="27" t="s">
        <v>4658</v>
      </c>
      <c r="G3120" s="48"/>
      <c r="H3120" s="47" t="str">
        <f>IF(OR(A3120="Antioquia",A3120="Bogotá, D.C.",A3120="Boyacá",A3120="Cundinamarca",A3120="Caldas",A3120="Risaralda",A3120="Quindío",A3120="Tolima",A3120="Huila",A3120="Santander",A3120="Norte de Santander"),"ANDINA",
IF(OR(A3120="Atlántico",A3120="Bolívar",A3120="Cesar",A3120="Córdoba",A3120="Sucre",A3120="Magdalena"),"CARIBE",
IF(OR(A3120="Valle del Cauca",A3120="Cauca",A3120="Nariño"),"PACIFICO",
IF(OR(A3120="Meta",A3120="Casanare",A3120="Arauca"),"ORINOQUIA",
"AMAZONIA"))))</f>
        <v>AMAZONIA</v>
      </c>
      <c r="I3120" s="6">
        <f>IF(F3120="Departamental",E3120,
AVERAGEIFS($E:$E,$H:$H,H3120,$B:$B,B3120,$C:$C,C3120))</f>
        <v>180000</v>
      </c>
      <c r="J3120" s="47">
        <f>IF(G3120&lt;&gt;"",G3120,I3120)</f>
        <v>180000</v>
      </c>
    </row>
    <row r="3121" spans="1:10">
      <c r="A3121" s="27" t="s">
        <v>3831</v>
      </c>
      <c r="B3121" s="27" t="s">
        <v>4661</v>
      </c>
      <c r="C3121" s="27" t="s">
        <v>304</v>
      </c>
      <c r="D3121" s="27" t="s">
        <v>4662</v>
      </c>
      <c r="E3121" s="28">
        <v>180000</v>
      </c>
      <c r="F3121" s="27" t="s">
        <v>4658</v>
      </c>
      <c r="G3121" s="48"/>
      <c r="H3121" s="47" t="str">
        <f>IF(OR(A3121="Antioquia",A3121="Bogotá, D.C.",A3121="Boyacá",A3121="Cundinamarca",A3121="Caldas",A3121="Risaralda",A3121="Quindío",A3121="Tolima",A3121="Huila",A3121="Santander",A3121="Norte de Santander"),"ANDINA",
IF(OR(A3121="Atlántico",A3121="Bolívar",A3121="Cesar",A3121="Córdoba",A3121="Sucre",A3121="Magdalena"),"CARIBE",
IF(OR(A3121="Valle del Cauca",A3121="Cauca",A3121="Nariño"),"PACIFICO",
IF(OR(A3121="Meta",A3121="Casanare",A3121="Arauca"),"ORINOQUIA",
"AMAZONIA"))))</f>
        <v>ANDINA</v>
      </c>
      <c r="I3121" s="6">
        <f>IF(F3121="Departamental",E3121,
AVERAGEIFS($E:$E,$H:$H,H3121,$B:$B,B3121,$C:$C,C3121))</f>
        <v>180000</v>
      </c>
      <c r="J3121" s="47">
        <f>IF(G3121&lt;&gt;"",G3121,I3121)</f>
        <v>180000</v>
      </c>
    </row>
    <row r="3122" spans="1:10">
      <c r="A3122" s="27" t="s">
        <v>3832</v>
      </c>
      <c r="B3122" s="27" t="s">
        <v>4661</v>
      </c>
      <c r="C3122" s="27" t="s">
        <v>304</v>
      </c>
      <c r="D3122" s="27" t="s">
        <v>4662</v>
      </c>
      <c r="E3122" s="28">
        <v>180000</v>
      </c>
      <c r="F3122" s="27" t="s">
        <v>4658</v>
      </c>
      <c r="G3122" s="48"/>
      <c r="H3122" s="47" t="str">
        <f>IF(OR(A3122="Antioquia",A3122="Bogotá, D.C.",A3122="Boyacá",A3122="Cundinamarca",A3122="Caldas",A3122="Risaralda",A3122="Quindío",A3122="Tolima",A3122="Huila",A3122="Santander",A3122="Norte de Santander"),"ANDINA",
IF(OR(A3122="Atlántico",A3122="Bolívar",A3122="Cesar",A3122="Córdoba",A3122="Sucre",A3122="Magdalena"),"CARIBE",
IF(OR(A3122="Valle del Cauca",A3122="Cauca",A3122="Nariño"),"PACIFICO",
IF(OR(A3122="Meta",A3122="Casanare",A3122="Arauca"),"ORINOQUIA",
"AMAZONIA"))))</f>
        <v>ORINOQUIA</v>
      </c>
      <c r="I3122" s="6">
        <f>IF(F3122="Departamental",E3122,
AVERAGEIFS($E:$E,$H:$H,H3122,$B:$B,B3122,$C:$C,C3122))</f>
        <v>180000</v>
      </c>
      <c r="J3122" s="47">
        <f>IF(G3122&lt;&gt;"",G3122,I3122)</f>
        <v>180000</v>
      </c>
    </row>
    <row r="3123" spans="1:10">
      <c r="A3123" s="27" t="s">
        <v>3833</v>
      </c>
      <c r="B3123" s="27" t="s">
        <v>4661</v>
      </c>
      <c r="C3123" s="27" t="s">
        <v>304</v>
      </c>
      <c r="D3123" s="27" t="s">
        <v>4662</v>
      </c>
      <c r="E3123" s="28">
        <v>180000</v>
      </c>
      <c r="F3123" s="27" t="s">
        <v>4658</v>
      </c>
      <c r="G3123" s="48"/>
      <c r="H3123" s="47" t="str">
        <f>IF(OR(A3123="Antioquia",A3123="Bogotá, D.C.",A3123="Boyacá",A3123="Cundinamarca",A3123="Caldas",A3123="Risaralda",A3123="Quindío",A3123="Tolima",A3123="Huila",A3123="Santander",A3123="Norte de Santander"),"ANDINA",
IF(OR(A3123="Atlántico",A3123="Bolívar",A3123="Cesar",A3123="Córdoba",A3123="Sucre",A3123="Magdalena"),"CARIBE",
IF(OR(A3123="Valle del Cauca",A3123="Cauca",A3123="Nariño"),"PACIFICO",
IF(OR(A3123="Meta",A3123="Casanare",A3123="Arauca"),"ORINOQUIA",
"AMAZONIA"))))</f>
        <v>CARIBE</v>
      </c>
      <c r="I3123" s="6">
        <f>IF(F3123="Departamental",E3123,
AVERAGEIFS($E:$E,$H:$H,H3123,$B:$B,B3123,$C:$C,C3123))</f>
        <v>180000</v>
      </c>
      <c r="J3123" s="47">
        <f>IF(G3123&lt;&gt;"",G3123,I3123)</f>
        <v>180000</v>
      </c>
    </row>
    <row r="3124" spans="1:10">
      <c r="A3124" s="27" t="s">
        <v>4075</v>
      </c>
      <c r="B3124" s="27" t="s">
        <v>4661</v>
      </c>
      <c r="C3124" s="27" t="s">
        <v>304</v>
      </c>
      <c r="D3124" s="27" t="s">
        <v>4662</v>
      </c>
      <c r="E3124" s="28">
        <v>180000</v>
      </c>
      <c r="F3124" s="27" t="s">
        <v>4658</v>
      </c>
      <c r="G3124" s="48"/>
      <c r="H3124" s="47" t="str">
        <f>IF(OR(A3124="Antioquia",A3124="Bogotá, D.C.",A3124="Boyacá",A3124="Cundinamarca",A3124="Caldas",A3124="Risaralda",A3124="Quindío",A3124="Tolima",A3124="Huila",A3124="Santander",A3124="Norte de Santander"),"ANDINA",
IF(OR(A3124="Atlántico",A3124="Bolívar",A3124="Cesar",A3124="Córdoba",A3124="Sucre",A3124="Magdalena"),"CARIBE",
IF(OR(A3124="Valle del Cauca",A3124="Cauca",A3124="Nariño"),"PACIFICO",
IF(OR(A3124="Meta",A3124="Casanare",A3124="Arauca"),"ORINOQUIA",
"AMAZONIA"))))</f>
        <v>ANDINA</v>
      </c>
      <c r="I3124" s="6">
        <f>IF(F3124="Departamental",E3124,
AVERAGEIFS($E:$E,$H:$H,H3124,$B:$B,B3124,$C:$C,C3124))</f>
        <v>180000</v>
      </c>
      <c r="J3124" s="47">
        <f>IF(G3124&lt;&gt;"",G3124,I3124)</f>
        <v>180000</v>
      </c>
    </row>
    <row r="3125" spans="1:10">
      <c r="A3125" s="27" t="s">
        <v>3834</v>
      </c>
      <c r="B3125" s="27" t="s">
        <v>4661</v>
      </c>
      <c r="C3125" s="27" t="s">
        <v>304</v>
      </c>
      <c r="D3125" s="27" t="s">
        <v>4662</v>
      </c>
      <c r="E3125" s="28">
        <v>180000</v>
      </c>
      <c r="F3125" s="27" t="s">
        <v>4658</v>
      </c>
      <c r="G3125" s="48"/>
      <c r="H3125" s="47" t="str">
        <f>IF(OR(A3125="Antioquia",A3125="Bogotá, D.C.",A3125="Boyacá",A3125="Cundinamarca",A3125="Caldas",A3125="Risaralda",A3125="Quindío",A3125="Tolima",A3125="Huila",A3125="Santander",A3125="Norte de Santander"),"ANDINA",
IF(OR(A3125="Atlántico",A3125="Bolívar",A3125="Cesar",A3125="Córdoba",A3125="Sucre",A3125="Magdalena"),"CARIBE",
IF(OR(A3125="Valle del Cauca",A3125="Cauca",A3125="Nariño"),"PACIFICO",
IF(OR(A3125="Meta",A3125="Casanare",A3125="Arauca"),"ORINOQUIA",
"AMAZONIA"))))</f>
        <v>CARIBE</v>
      </c>
      <c r="I3125" s="6">
        <f>IF(F3125="Departamental",E3125,
AVERAGEIFS($E:$E,$H:$H,H3125,$B:$B,B3125,$C:$C,C3125))</f>
        <v>180000</v>
      </c>
      <c r="J3125" s="47">
        <f>IF(G3125&lt;&gt;"",G3125,I3125)</f>
        <v>180000</v>
      </c>
    </row>
    <row r="3126" spans="1:10">
      <c r="A3126" s="27" t="s">
        <v>3835</v>
      </c>
      <c r="B3126" s="27" t="s">
        <v>4661</v>
      </c>
      <c r="C3126" s="27" t="s">
        <v>304</v>
      </c>
      <c r="D3126" s="27" t="s">
        <v>4662</v>
      </c>
      <c r="E3126" s="28">
        <v>180000</v>
      </c>
      <c r="F3126" s="27" t="s">
        <v>4658</v>
      </c>
      <c r="G3126" s="48"/>
      <c r="H3126" s="47" t="str">
        <f>IF(OR(A3126="Antioquia",A3126="Bogotá, D.C.",A3126="Boyacá",A3126="Cundinamarca",A3126="Caldas",A3126="Risaralda",A3126="Quindío",A3126="Tolima",A3126="Huila",A3126="Santander",A3126="Norte de Santander"),"ANDINA",
IF(OR(A3126="Atlántico",A3126="Bolívar",A3126="Cesar",A3126="Córdoba",A3126="Sucre",A3126="Magdalena"),"CARIBE",
IF(OR(A3126="Valle del Cauca",A3126="Cauca",A3126="Nariño"),"PACIFICO",
IF(OR(A3126="Meta",A3126="Casanare",A3126="Arauca"),"ORINOQUIA",
"AMAZONIA"))))</f>
        <v>ANDINA</v>
      </c>
      <c r="I3126" s="6">
        <f>IF(F3126="Departamental",E3126,
AVERAGEIFS($E:$E,$H:$H,H3126,$B:$B,B3126,$C:$C,C3126))</f>
        <v>180000</v>
      </c>
      <c r="J3126" s="47">
        <f>IF(G3126&lt;&gt;"",G3126,I3126)</f>
        <v>180000</v>
      </c>
    </row>
    <row r="3127" spans="1:10">
      <c r="A3127" s="27" t="s">
        <v>3836</v>
      </c>
      <c r="B3127" s="27" t="s">
        <v>4661</v>
      </c>
      <c r="C3127" s="27" t="s">
        <v>304</v>
      </c>
      <c r="D3127" s="27" t="s">
        <v>4662</v>
      </c>
      <c r="E3127" s="28">
        <v>180000</v>
      </c>
      <c r="F3127" s="27" t="s">
        <v>4658</v>
      </c>
      <c r="G3127" s="48"/>
      <c r="H3127" s="47" t="str">
        <f>IF(OR(A3127="Antioquia",A3127="Bogotá, D.C.",A3127="Boyacá",A3127="Cundinamarca",A3127="Caldas",A3127="Risaralda",A3127="Quindío",A3127="Tolima",A3127="Huila",A3127="Santander",A3127="Norte de Santander"),"ANDINA",
IF(OR(A3127="Atlántico",A3127="Bolívar",A3127="Cesar",A3127="Córdoba",A3127="Sucre",A3127="Magdalena"),"CARIBE",
IF(OR(A3127="Valle del Cauca",A3127="Cauca",A3127="Nariño"),"PACIFICO",
IF(OR(A3127="Meta",A3127="Casanare",A3127="Arauca"),"ORINOQUIA",
"AMAZONIA"))))</f>
        <v>ANDINA</v>
      </c>
      <c r="I3127" s="6">
        <f>IF(F3127="Departamental",E3127,
AVERAGEIFS($E:$E,$H:$H,H3127,$B:$B,B3127,$C:$C,C3127))</f>
        <v>180000</v>
      </c>
      <c r="J3127" s="47">
        <f>IF(G3127&lt;&gt;"",G3127,I3127)</f>
        <v>180000</v>
      </c>
    </row>
    <row r="3128" spans="1:10">
      <c r="A3128" s="27" t="s">
        <v>3837</v>
      </c>
      <c r="B3128" s="27" t="s">
        <v>4661</v>
      </c>
      <c r="C3128" s="27" t="s">
        <v>304</v>
      </c>
      <c r="D3128" s="27" t="s">
        <v>4662</v>
      </c>
      <c r="E3128" s="28">
        <v>180000</v>
      </c>
      <c r="F3128" s="27" t="s">
        <v>4658</v>
      </c>
      <c r="G3128" s="48"/>
      <c r="H3128" s="47" t="str">
        <f>IF(OR(A3128="Antioquia",A3128="Bogotá, D.C.",A3128="Boyacá",A3128="Cundinamarca",A3128="Caldas",A3128="Risaralda",A3128="Quindío",A3128="Tolima",A3128="Huila",A3128="Santander",A3128="Norte de Santander"),"ANDINA",
IF(OR(A3128="Atlántico",A3128="Bolívar",A3128="Cesar",A3128="Córdoba",A3128="Sucre",A3128="Magdalena"),"CARIBE",
IF(OR(A3128="Valle del Cauca",A3128="Cauca",A3128="Nariño"),"PACIFICO",
IF(OR(A3128="Meta",A3128="Casanare",A3128="Arauca"),"ORINOQUIA",
"AMAZONIA"))))</f>
        <v>AMAZONIA</v>
      </c>
      <c r="I3128" s="6">
        <f>IF(F3128="Departamental",E3128,
AVERAGEIFS($E:$E,$H:$H,H3128,$B:$B,B3128,$C:$C,C3128))</f>
        <v>180000</v>
      </c>
      <c r="J3128" s="47">
        <f>IF(G3128&lt;&gt;"",G3128,I3128)</f>
        <v>180000</v>
      </c>
    </row>
    <row r="3129" spans="1:10">
      <c r="A3129" s="27" t="s">
        <v>3838</v>
      </c>
      <c r="B3129" s="27" t="s">
        <v>4661</v>
      </c>
      <c r="C3129" s="27" t="s">
        <v>304</v>
      </c>
      <c r="D3129" s="27" t="s">
        <v>4662</v>
      </c>
      <c r="E3129" s="28">
        <v>180000</v>
      </c>
      <c r="F3129" s="27" t="s">
        <v>4658</v>
      </c>
      <c r="G3129" s="48"/>
      <c r="H3129" s="47" t="str">
        <f>IF(OR(A3129="Antioquia",A3129="Bogotá, D.C.",A3129="Boyacá",A3129="Cundinamarca",A3129="Caldas",A3129="Risaralda",A3129="Quindío",A3129="Tolima",A3129="Huila",A3129="Santander",A3129="Norte de Santander"),"ANDINA",
IF(OR(A3129="Atlántico",A3129="Bolívar",A3129="Cesar",A3129="Córdoba",A3129="Sucre",A3129="Magdalena"),"CARIBE",
IF(OR(A3129="Valle del Cauca",A3129="Cauca",A3129="Nariño"),"PACIFICO",
IF(OR(A3129="Meta",A3129="Casanare",A3129="Arauca"),"ORINOQUIA",
"AMAZONIA"))))</f>
        <v>ORINOQUIA</v>
      </c>
      <c r="I3129" s="6">
        <f>IF(F3129="Departamental",E3129,
AVERAGEIFS($E:$E,$H:$H,H3129,$B:$B,B3129,$C:$C,C3129))</f>
        <v>180000</v>
      </c>
      <c r="J3129" s="47">
        <f>IF(G3129&lt;&gt;"",G3129,I3129)</f>
        <v>180000</v>
      </c>
    </row>
    <row r="3130" spans="1:10">
      <c r="A3130" s="27" t="s">
        <v>3839</v>
      </c>
      <c r="B3130" s="27" t="s">
        <v>4661</v>
      </c>
      <c r="C3130" s="27" t="s">
        <v>304</v>
      </c>
      <c r="D3130" s="27" t="s">
        <v>4662</v>
      </c>
      <c r="E3130" s="28">
        <v>180000</v>
      </c>
      <c r="F3130" s="27" t="s">
        <v>4658</v>
      </c>
      <c r="G3130" s="48"/>
      <c r="H3130" s="47" t="str">
        <f>IF(OR(A3130="Antioquia",A3130="Bogotá, D.C.",A3130="Boyacá",A3130="Cundinamarca",A3130="Caldas",A3130="Risaralda",A3130="Quindío",A3130="Tolima",A3130="Huila",A3130="Santander",A3130="Norte de Santander"),"ANDINA",
IF(OR(A3130="Atlántico",A3130="Bolívar",A3130="Cesar",A3130="Córdoba",A3130="Sucre",A3130="Magdalena"),"CARIBE",
IF(OR(A3130="Valle del Cauca",A3130="Cauca",A3130="Nariño"),"PACIFICO",
IF(OR(A3130="Meta",A3130="Casanare",A3130="Arauca"),"ORINOQUIA",
"AMAZONIA"))))</f>
        <v>PACIFICO</v>
      </c>
      <c r="I3130" s="6">
        <f>IF(F3130="Departamental",E3130,
AVERAGEIFS($E:$E,$H:$H,H3130,$B:$B,B3130,$C:$C,C3130))</f>
        <v>180000</v>
      </c>
      <c r="J3130" s="47">
        <f>IF(G3130&lt;&gt;"",G3130,I3130)</f>
        <v>180000</v>
      </c>
    </row>
    <row r="3131" spans="1:10">
      <c r="A3131" s="27" t="s">
        <v>3840</v>
      </c>
      <c r="B3131" s="27" t="s">
        <v>4661</v>
      </c>
      <c r="C3131" s="27" t="s">
        <v>304</v>
      </c>
      <c r="D3131" s="27" t="s">
        <v>4662</v>
      </c>
      <c r="E3131" s="28">
        <v>180000</v>
      </c>
      <c r="F3131" s="27" t="s">
        <v>4658</v>
      </c>
      <c r="G3131" s="48"/>
      <c r="H3131" s="47" t="str">
        <f>IF(OR(A3131="Antioquia",A3131="Bogotá, D.C.",A3131="Boyacá",A3131="Cundinamarca",A3131="Caldas",A3131="Risaralda",A3131="Quindío",A3131="Tolima",A3131="Huila",A3131="Santander",A3131="Norte de Santander"),"ANDINA",
IF(OR(A3131="Atlántico",A3131="Bolívar",A3131="Cesar",A3131="Córdoba",A3131="Sucre",A3131="Magdalena"),"CARIBE",
IF(OR(A3131="Valle del Cauca",A3131="Cauca",A3131="Nariño"),"PACIFICO",
IF(OR(A3131="Meta",A3131="Casanare",A3131="Arauca"),"ORINOQUIA",
"AMAZONIA"))))</f>
        <v>CARIBE</v>
      </c>
      <c r="I3131" s="6">
        <f>IF(F3131="Departamental",E3131,
AVERAGEIFS($E:$E,$H:$H,H3131,$B:$B,B3131,$C:$C,C3131))</f>
        <v>180000</v>
      </c>
      <c r="J3131" s="47">
        <f>IF(G3131&lt;&gt;"",G3131,I3131)</f>
        <v>180000</v>
      </c>
    </row>
    <row r="3132" spans="1:10">
      <c r="A3132" s="27" t="s">
        <v>4449</v>
      </c>
      <c r="B3132" s="27" t="s">
        <v>4661</v>
      </c>
      <c r="C3132" s="27" t="s">
        <v>304</v>
      </c>
      <c r="D3132" s="27" t="s">
        <v>4662</v>
      </c>
      <c r="E3132" s="28">
        <v>180000</v>
      </c>
      <c r="F3132" s="27" t="s">
        <v>4658</v>
      </c>
      <c r="G3132" s="48"/>
      <c r="H3132" s="47" t="str">
        <f>IF(OR(A3132="Antioquia",A3132="Bogotá, D.C.",A3132="Boyacá",A3132="Cundinamarca",A3132="Caldas",A3132="Risaralda",A3132="Quindío",A3132="Tolima",A3132="Huila",A3132="Santander",A3132="Norte de Santander"),"ANDINA",
IF(OR(A3132="Atlántico",A3132="Bolívar",A3132="Cesar",A3132="Córdoba",A3132="Sucre",A3132="Magdalena"),"CARIBE",
IF(OR(A3132="Valle del Cauca",A3132="Cauca",A3132="Nariño"),"PACIFICO",
IF(OR(A3132="Meta",A3132="Casanare",A3132="Arauca"),"ORINOQUIA",
"AMAZONIA"))))</f>
        <v>AMAZONIA</v>
      </c>
      <c r="I3132" s="6">
        <f>IF(F3132="Departamental",E3132,
AVERAGEIFS($E:$E,$H:$H,H3132,$B:$B,B3132,$C:$C,C3132))</f>
        <v>180000</v>
      </c>
      <c r="J3132" s="47">
        <f>IF(G3132&lt;&gt;"",G3132,I3132)</f>
        <v>180000</v>
      </c>
    </row>
    <row r="3133" spans="1:10">
      <c r="A3133" s="27" t="s">
        <v>3842</v>
      </c>
      <c r="B3133" s="27" t="s">
        <v>4661</v>
      </c>
      <c r="C3133" s="27" t="s">
        <v>304</v>
      </c>
      <c r="D3133" s="27" t="s">
        <v>4662</v>
      </c>
      <c r="E3133" s="28">
        <v>180000</v>
      </c>
      <c r="F3133" s="27" t="s">
        <v>4658</v>
      </c>
      <c r="G3133" s="48"/>
      <c r="H3133" s="47" t="str">
        <f>IF(OR(A3133="Antioquia",A3133="Bogotá, D.C.",A3133="Boyacá",A3133="Cundinamarca",A3133="Caldas",A3133="Risaralda",A3133="Quindío",A3133="Tolima",A3133="Huila",A3133="Santander",A3133="Norte de Santander"),"ANDINA",
IF(OR(A3133="Atlántico",A3133="Bolívar",A3133="Cesar",A3133="Córdoba",A3133="Sucre",A3133="Magdalena"),"CARIBE",
IF(OR(A3133="Valle del Cauca",A3133="Cauca",A3133="Nariño"),"PACIFICO",
IF(OR(A3133="Meta",A3133="Casanare",A3133="Arauca"),"ORINOQUIA",
"AMAZONIA"))))</f>
        <v>ANDINA</v>
      </c>
      <c r="I3133" s="6">
        <f>IF(F3133="Departamental",E3133,
AVERAGEIFS($E:$E,$H:$H,H3133,$B:$B,B3133,$C:$C,C3133))</f>
        <v>180000</v>
      </c>
      <c r="J3133" s="47">
        <f>IF(G3133&lt;&gt;"",G3133,I3133)</f>
        <v>180000</v>
      </c>
    </row>
    <row r="3134" spans="1:10">
      <c r="A3134" s="27" t="s">
        <v>3841</v>
      </c>
      <c r="B3134" s="27" t="s">
        <v>4661</v>
      </c>
      <c r="C3134" s="27" t="s">
        <v>304</v>
      </c>
      <c r="D3134" s="27" t="s">
        <v>4662</v>
      </c>
      <c r="E3134" s="28">
        <v>180000</v>
      </c>
      <c r="F3134" s="27" t="s">
        <v>4658</v>
      </c>
      <c r="G3134" s="48"/>
      <c r="H3134" s="47" t="str">
        <f>IF(OR(A3134="Antioquia",A3134="Bogotá, D.C.",A3134="Boyacá",A3134="Cundinamarca",A3134="Caldas",A3134="Risaralda",A3134="Quindío",A3134="Tolima",A3134="Huila",A3134="Santander",A3134="Norte de Santander"),"ANDINA",
IF(OR(A3134="Atlántico",A3134="Bolívar",A3134="Cesar",A3134="Córdoba",A3134="Sucre",A3134="Magdalena"),"CARIBE",
IF(OR(A3134="Valle del Cauca",A3134="Cauca",A3134="Nariño"),"PACIFICO",
IF(OR(A3134="Meta",A3134="Casanare",A3134="Arauca"),"ORINOQUIA",
"AMAZONIA"))))</f>
        <v>CARIBE</v>
      </c>
      <c r="I3134" s="6">
        <f>IF(F3134="Departamental",E3134,
AVERAGEIFS($E:$E,$H:$H,H3134,$B:$B,B3134,$C:$C,C3134))</f>
        <v>180000</v>
      </c>
      <c r="J3134" s="47">
        <f>IF(G3134&lt;&gt;"",G3134,I3134)</f>
        <v>180000</v>
      </c>
    </row>
    <row r="3135" spans="1:10">
      <c r="A3135" s="27" t="s">
        <v>4450</v>
      </c>
      <c r="B3135" s="27" t="s">
        <v>4661</v>
      </c>
      <c r="C3135" s="27" t="s">
        <v>304</v>
      </c>
      <c r="D3135" s="27" t="s">
        <v>4662</v>
      </c>
      <c r="E3135" s="28">
        <v>180000</v>
      </c>
      <c r="F3135" s="27" t="s">
        <v>4658</v>
      </c>
      <c r="G3135" s="48"/>
      <c r="H3135" s="47" t="str">
        <f>IF(OR(A3135="Antioquia",A3135="Bogotá, D.C.",A3135="Boyacá",A3135="Cundinamarca",A3135="Caldas",A3135="Risaralda",A3135="Quindío",A3135="Tolima",A3135="Huila",A3135="Santander",A3135="Norte de Santander"),"ANDINA",
IF(OR(A3135="Atlántico",A3135="Bolívar",A3135="Cesar",A3135="Córdoba",A3135="Sucre",A3135="Magdalena"),"CARIBE",
IF(OR(A3135="Valle del Cauca",A3135="Cauca",A3135="Nariño"),"PACIFICO",
IF(OR(A3135="Meta",A3135="Casanare",A3135="Arauca"),"ORINOQUIA",
"AMAZONIA"))))</f>
        <v>AMAZONIA</v>
      </c>
      <c r="I3135" s="6">
        <f>IF(F3135="Departamental",E3135,
AVERAGEIFS($E:$E,$H:$H,H3135,$B:$B,B3135,$C:$C,C3135))</f>
        <v>180000</v>
      </c>
      <c r="J3135" s="47">
        <f>IF(G3135&lt;&gt;"",G3135,I3135)</f>
        <v>180000</v>
      </c>
    </row>
    <row r="3136" spans="1:10">
      <c r="A3136" s="27" t="s">
        <v>4451</v>
      </c>
      <c r="B3136" s="27" t="s">
        <v>4661</v>
      </c>
      <c r="C3136" s="27" t="s">
        <v>304</v>
      </c>
      <c r="D3136" s="27" t="s">
        <v>4662</v>
      </c>
      <c r="E3136" s="28">
        <v>180000</v>
      </c>
      <c r="F3136" s="27" t="s">
        <v>4658</v>
      </c>
      <c r="G3136" s="48"/>
      <c r="H3136" s="47" t="str">
        <f>IF(OR(A3136="Antioquia",A3136="Bogotá, D.C.",A3136="Boyacá",A3136="Cundinamarca",A3136="Caldas",A3136="Risaralda",A3136="Quindío",A3136="Tolima",A3136="Huila",A3136="Santander",A3136="Norte de Santander"),"ANDINA",
IF(OR(A3136="Atlántico",A3136="Bolívar",A3136="Cesar",A3136="Córdoba",A3136="Sucre",A3136="Magdalena"),"CARIBE",
IF(OR(A3136="Valle del Cauca",A3136="Cauca",A3136="Nariño"),"PACIFICO",
IF(OR(A3136="Meta",A3136="Casanare",A3136="Arauca"),"ORINOQUIA",
"AMAZONIA"))))</f>
        <v>AMAZONIA</v>
      </c>
      <c r="I3136" s="6">
        <f>IF(F3136="Departamental",E3136,
AVERAGEIFS($E:$E,$H:$H,H3136,$B:$B,B3136,$C:$C,C3136))</f>
        <v>180000</v>
      </c>
      <c r="J3136" s="47">
        <f>IF(G3136&lt;&gt;"",G3136,I3136)</f>
        <v>180000</v>
      </c>
    </row>
    <row r="3137" spans="1:10">
      <c r="A3137" s="27" t="s">
        <v>3843</v>
      </c>
      <c r="B3137" s="27" t="s">
        <v>4661</v>
      </c>
      <c r="C3137" s="27" t="s">
        <v>304</v>
      </c>
      <c r="D3137" s="27" t="s">
        <v>4662</v>
      </c>
      <c r="E3137" s="28">
        <v>180000</v>
      </c>
      <c r="F3137" s="27" t="s">
        <v>4658</v>
      </c>
      <c r="G3137" s="48"/>
      <c r="H3137" s="47" t="str">
        <f>IF(OR(A3137="Antioquia",A3137="Bogotá, D.C.",A3137="Boyacá",A3137="Cundinamarca",A3137="Caldas",A3137="Risaralda",A3137="Quindío",A3137="Tolima",A3137="Huila",A3137="Santander",A3137="Norte de Santander"),"ANDINA",
IF(OR(A3137="Atlántico",A3137="Bolívar",A3137="Cesar",A3137="Córdoba",A3137="Sucre",A3137="Magdalena"),"CARIBE",
IF(OR(A3137="Valle del Cauca",A3137="Cauca",A3137="Nariño"),"PACIFICO",
IF(OR(A3137="Meta",A3137="Casanare",A3137="Arauca"),"ORINOQUIA",
"AMAZONIA"))))</f>
        <v>ANDINA</v>
      </c>
      <c r="I3137" s="6">
        <f>IF(F3137="Departamental",E3137,
AVERAGEIFS($E:$E,$H:$H,H3137,$B:$B,B3137,$C:$C,C3137))</f>
        <v>180000</v>
      </c>
      <c r="J3137" s="47">
        <f>IF(G3137&lt;&gt;"",G3137,I3137)</f>
        <v>180000</v>
      </c>
    </row>
    <row r="3138" spans="1:10">
      <c r="A3138" s="27" t="s">
        <v>4452</v>
      </c>
      <c r="B3138" s="27" t="s">
        <v>4661</v>
      </c>
      <c r="C3138" s="27" t="s">
        <v>304</v>
      </c>
      <c r="D3138" s="27" t="s">
        <v>4662</v>
      </c>
      <c r="E3138" s="28">
        <v>180000</v>
      </c>
      <c r="F3138" s="27" t="s">
        <v>4658</v>
      </c>
      <c r="G3138" s="48"/>
      <c r="H3138" s="47" t="str">
        <f>IF(OR(A3138="Antioquia",A3138="Bogotá, D.C.",A3138="Boyacá",A3138="Cundinamarca",A3138="Caldas",A3138="Risaralda",A3138="Quindío",A3138="Tolima",A3138="Huila",A3138="Santander",A3138="Norte de Santander"),"ANDINA",
IF(OR(A3138="Atlántico",A3138="Bolívar",A3138="Cesar",A3138="Córdoba",A3138="Sucre",A3138="Magdalena"),"CARIBE",
IF(OR(A3138="Valle del Cauca",A3138="Cauca",A3138="Nariño"),"PACIFICO",
IF(OR(A3138="Meta",A3138="Casanare",A3138="Arauca"),"ORINOQUIA",
"AMAZONIA"))))</f>
        <v>AMAZONIA</v>
      </c>
      <c r="I3138" s="6">
        <f>IF(F3138="Departamental",E3138,
AVERAGEIFS($E:$E,$H:$H,H3138,$B:$B,B3138,$C:$C,C3138))</f>
        <v>180000</v>
      </c>
      <c r="J3138" s="47">
        <f>IF(G3138&lt;&gt;"",G3138,I3138)</f>
        <v>180000</v>
      </c>
    </row>
    <row r="3139" spans="1:10">
      <c r="A3139" s="27" t="s">
        <v>3844</v>
      </c>
      <c r="B3139" s="27" t="s">
        <v>4661</v>
      </c>
      <c r="C3139" s="27" t="s">
        <v>304</v>
      </c>
      <c r="D3139" s="27" t="s">
        <v>4662</v>
      </c>
      <c r="E3139" s="28">
        <v>180000</v>
      </c>
      <c r="F3139" s="27" t="s">
        <v>4658</v>
      </c>
      <c r="G3139" s="48"/>
      <c r="H3139" s="47" t="str">
        <f>IF(OR(A3139="Antioquia",A3139="Bogotá, D.C.",A3139="Boyacá",A3139="Cundinamarca",A3139="Caldas",A3139="Risaralda",A3139="Quindío",A3139="Tolima",A3139="Huila",A3139="Santander",A3139="Norte de Santander"),"ANDINA",
IF(OR(A3139="Atlántico",A3139="Bolívar",A3139="Cesar",A3139="Córdoba",A3139="Sucre",A3139="Magdalena"),"CARIBE",
IF(OR(A3139="Valle del Cauca",A3139="Cauca",A3139="Nariño"),"PACIFICO",
IF(OR(A3139="Meta",A3139="Casanare",A3139="Arauca"),"ORINOQUIA",
"AMAZONIA"))))</f>
        <v>CARIBE</v>
      </c>
      <c r="I3139" s="6">
        <f>IF(F3139="Departamental",E3139,
AVERAGEIFS($E:$E,$H:$H,H3139,$B:$B,B3139,$C:$C,C3139))</f>
        <v>180000</v>
      </c>
      <c r="J3139" s="47">
        <f>IF(G3139&lt;&gt;"",G3139,I3139)</f>
        <v>180000</v>
      </c>
    </row>
    <row r="3140" spans="1:10">
      <c r="A3140" s="27" t="s">
        <v>3845</v>
      </c>
      <c r="B3140" s="27" t="s">
        <v>4661</v>
      </c>
      <c r="C3140" s="27" t="s">
        <v>304</v>
      </c>
      <c r="D3140" s="27" t="s">
        <v>4662</v>
      </c>
      <c r="E3140" s="28">
        <v>180000</v>
      </c>
      <c r="F3140" s="27" t="s">
        <v>4658</v>
      </c>
      <c r="G3140" s="48"/>
      <c r="H3140" s="47" t="str">
        <f>IF(OR(A3140="Antioquia",A3140="Bogotá, D.C.",A3140="Boyacá",A3140="Cundinamarca",A3140="Caldas",A3140="Risaralda",A3140="Quindío",A3140="Tolima",A3140="Huila",A3140="Santander",A3140="Norte de Santander"),"ANDINA",
IF(OR(A3140="Atlántico",A3140="Bolívar",A3140="Cesar",A3140="Córdoba",A3140="Sucre",A3140="Magdalena"),"CARIBE",
IF(OR(A3140="Valle del Cauca",A3140="Cauca",A3140="Nariño"),"PACIFICO",
IF(OR(A3140="Meta",A3140="Casanare",A3140="Arauca"),"ORINOQUIA",
"AMAZONIA"))))</f>
        <v>ORINOQUIA</v>
      </c>
      <c r="I3140" s="6">
        <f>IF(F3140="Departamental",E3140,
AVERAGEIFS($E:$E,$H:$H,H3140,$B:$B,B3140,$C:$C,C3140))</f>
        <v>180000</v>
      </c>
      <c r="J3140" s="47">
        <f>IF(G3140&lt;&gt;"",G3140,I3140)</f>
        <v>180000</v>
      </c>
    </row>
    <row r="3141" spans="1:10">
      <c r="A3141" s="27" t="s">
        <v>3846</v>
      </c>
      <c r="B3141" s="27" t="s">
        <v>4661</v>
      </c>
      <c r="C3141" s="27" t="s">
        <v>304</v>
      </c>
      <c r="D3141" s="27" t="s">
        <v>4662</v>
      </c>
      <c r="E3141" s="28">
        <v>180000</v>
      </c>
      <c r="F3141" s="27" t="s">
        <v>4658</v>
      </c>
      <c r="G3141" s="48"/>
      <c r="H3141" s="47" t="str">
        <f>IF(OR(A3141="Antioquia",A3141="Bogotá, D.C.",A3141="Boyacá",A3141="Cundinamarca",A3141="Caldas",A3141="Risaralda",A3141="Quindío",A3141="Tolima",A3141="Huila",A3141="Santander",A3141="Norte de Santander"),"ANDINA",
IF(OR(A3141="Atlántico",A3141="Bolívar",A3141="Cesar",A3141="Córdoba",A3141="Sucre",A3141="Magdalena"),"CARIBE",
IF(OR(A3141="Valle del Cauca",A3141="Cauca",A3141="Nariño"),"PACIFICO",
IF(OR(A3141="Meta",A3141="Casanare",A3141="Arauca"),"ORINOQUIA",
"AMAZONIA"))))</f>
        <v>PACIFICO</v>
      </c>
      <c r="I3141" s="6">
        <f>IF(F3141="Departamental",E3141,
AVERAGEIFS($E:$E,$H:$H,H3141,$B:$B,B3141,$C:$C,C3141))</f>
        <v>180000</v>
      </c>
      <c r="J3141" s="47">
        <f>IF(G3141&lt;&gt;"",G3141,I3141)</f>
        <v>180000</v>
      </c>
    </row>
    <row r="3142" spans="1:10">
      <c r="A3142" s="27" t="s">
        <v>3847</v>
      </c>
      <c r="B3142" s="27" t="s">
        <v>4661</v>
      </c>
      <c r="C3142" s="27" t="s">
        <v>304</v>
      </c>
      <c r="D3142" s="27" t="s">
        <v>4662</v>
      </c>
      <c r="E3142" s="28">
        <v>180000</v>
      </c>
      <c r="F3142" s="27" t="s">
        <v>4658</v>
      </c>
      <c r="G3142" s="48"/>
      <c r="H3142" s="47" t="str">
        <f>IF(OR(A3142="Antioquia",A3142="Bogotá, D.C.",A3142="Boyacá",A3142="Cundinamarca",A3142="Caldas",A3142="Risaralda",A3142="Quindío",A3142="Tolima",A3142="Huila",A3142="Santander",A3142="Norte de Santander"),"ANDINA",
IF(OR(A3142="Atlántico",A3142="Bolívar",A3142="Cesar",A3142="Córdoba",A3142="Sucre",A3142="Magdalena"),"CARIBE",
IF(OR(A3142="Valle del Cauca",A3142="Cauca",A3142="Nariño"),"PACIFICO",
IF(OR(A3142="Meta",A3142="Casanare",A3142="Arauca"),"ORINOQUIA",
"AMAZONIA"))))</f>
        <v>ANDINA</v>
      </c>
      <c r="I3142" s="6">
        <f>IF(F3142="Departamental",E3142,
AVERAGEIFS($E:$E,$H:$H,H3142,$B:$B,B3142,$C:$C,C3142))</f>
        <v>180000</v>
      </c>
      <c r="J3142" s="47">
        <f>IF(G3142&lt;&gt;"",G3142,I3142)</f>
        <v>180000</v>
      </c>
    </row>
    <row r="3143" spans="1:10">
      <c r="A3143" s="27" t="s">
        <v>3848</v>
      </c>
      <c r="B3143" s="27" t="s">
        <v>4661</v>
      </c>
      <c r="C3143" s="27" t="s">
        <v>304</v>
      </c>
      <c r="D3143" s="27" t="s">
        <v>4662</v>
      </c>
      <c r="E3143" s="28">
        <v>180000</v>
      </c>
      <c r="F3143" s="27" t="s">
        <v>4658</v>
      </c>
      <c r="G3143" s="48"/>
      <c r="H3143" s="47" t="str">
        <f>IF(OR(A3143="Antioquia",A3143="Bogotá, D.C.",A3143="Boyacá",A3143="Cundinamarca",A3143="Caldas",A3143="Risaralda",A3143="Quindío",A3143="Tolima",A3143="Huila",A3143="Santander",A3143="Norte de Santander"),"ANDINA",
IF(OR(A3143="Atlántico",A3143="Bolívar",A3143="Cesar",A3143="Córdoba",A3143="Sucre",A3143="Magdalena"),"CARIBE",
IF(OR(A3143="Valle del Cauca",A3143="Cauca",A3143="Nariño"),"PACIFICO",
IF(OR(A3143="Meta",A3143="Casanare",A3143="Arauca"),"ORINOQUIA",
"AMAZONIA"))))</f>
        <v>AMAZONIA</v>
      </c>
      <c r="I3143" s="6">
        <f>IF(F3143="Departamental",E3143,
AVERAGEIFS($E:$E,$H:$H,H3143,$B:$B,B3143,$C:$C,C3143))</f>
        <v>180000</v>
      </c>
      <c r="J3143" s="47">
        <f>IF(G3143&lt;&gt;"",G3143,I3143)</f>
        <v>180000</v>
      </c>
    </row>
    <row r="3144" spans="1:10">
      <c r="A3144" s="27" t="s">
        <v>3849</v>
      </c>
      <c r="B3144" s="27" t="s">
        <v>4661</v>
      </c>
      <c r="C3144" s="27" t="s">
        <v>304</v>
      </c>
      <c r="D3144" s="27" t="s">
        <v>4662</v>
      </c>
      <c r="E3144" s="28">
        <v>180000</v>
      </c>
      <c r="F3144" s="27" t="s">
        <v>4658</v>
      </c>
      <c r="G3144" s="48"/>
      <c r="H3144" s="47" t="str">
        <f>IF(OR(A3144="Antioquia",A3144="Bogotá, D.C.",A3144="Boyacá",A3144="Cundinamarca",A3144="Caldas",A3144="Risaralda",A3144="Quindío",A3144="Tolima",A3144="Huila",A3144="Santander",A3144="Norte de Santander"),"ANDINA",
IF(OR(A3144="Atlántico",A3144="Bolívar",A3144="Cesar",A3144="Córdoba",A3144="Sucre",A3144="Magdalena"),"CARIBE",
IF(OR(A3144="Valle del Cauca",A3144="Cauca",A3144="Nariño"),"PACIFICO",
IF(OR(A3144="Meta",A3144="Casanare",A3144="Arauca"),"ORINOQUIA",
"AMAZONIA"))))</f>
        <v>ANDINA</v>
      </c>
      <c r="I3144" s="6">
        <f>IF(F3144="Departamental",E3144,
AVERAGEIFS($E:$E,$H:$H,H3144,$B:$B,B3144,$C:$C,C3144))</f>
        <v>180000</v>
      </c>
      <c r="J3144" s="47">
        <f>IF(G3144&lt;&gt;"",G3144,I3144)</f>
        <v>180000</v>
      </c>
    </row>
    <row r="3145" spans="1:10">
      <c r="A3145" s="27" t="s">
        <v>3850</v>
      </c>
      <c r="B3145" s="27" t="s">
        <v>4661</v>
      </c>
      <c r="C3145" s="27" t="s">
        <v>304</v>
      </c>
      <c r="D3145" s="27" t="s">
        <v>4662</v>
      </c>
      <c r="E3145" s="28">
        <v>180000</v>
      </c>
      <c r="F3145" s="27" t="s">
        <v>4658</v>
      </c>
      <c r="G3145" s="48"/>
      <c r="H3145" s="47" t="str">
        <f>IF(OR(A3145="Antioquia",A3145="Bogotá, D.C.",A3145="Boyacá",A3145="Cundinamarca",A3145="Caldas",A3145="Risaralda",A3145="Quindío",A3145="Tolima",A3145="Huila",A3145="Santander",A3145="Norte de Santander"),"ANDINA",
IF(OR(A3145="Atlántico",A3145="Bolívar",A3145="Cesar",A3145="Córdoba",A3145="Sucre",A3145="Magdalena"),"CARIBE",
IF(OR(A3145="Valle del Cauca",A3145="Cauca",A3145="Nariño"),"PACIFICO",
IF(OR(A3145="Meta",A3145="Casanare",A3145="Arauca"),"ORINOQUIA",
"AMAZONIA"))))</f>
        <v>ANDINA</v>
      </c>
      <c r="I3145" s="6">
        <f>IF(F3145="Departamental",E3145,
AVERAGEIFS($E:$E,$H:$H,H3145,$B:$B,B3145,$C:$C,C3145))</f>
        <v>180000</v>
      </c>
      <c r="J3145" s="47">
        <f>IF(G3145&lt;&gt;"",G3145,I3145)</f>
        <v>180000</v>
      </c>
    </row>
    <row r="3146" spans="1:10">
      <c r="A3146" s="27" t="s">
        <v>3851</v>
      </c>
      <c r="B3146" s="27" t="s">
        <v>4661</v>
      </c>
      <c r="C3146" s="27" t="s">
        <v>304</v>
      </c>
      <c r="D3146" s="27" t="s">
        <v>4662</v>
      </c>
      <c r="E3146" s="28">
        <v>180000</v>
      </c>
      <c r="F3146" s="27" t="s">
        <v>4658</v>
      </c>
      <c r="G3146" s="48"/>
      <c r="H3146" s="47" t="str">
        <f>IF(OR(A3146="Antioquia",A3146="Bogotá, D.C.",A3146="Boyacá",A3146="Cundinamarca",A3146="Caldas",A3146="Risaralda",A3146="Quindío",A3146="Tolima",A3146="Huila",A3146="Santander",A3146="Norte de Santander"),"ANDINA",
IF(OR(A3146="Atlántico",A3146="Bolívar",A3146="Cesar",A3146="Córdoba",A3146="Sucre",A3146="Magdalena"),"CARIBE",
IF(OR(A3146="Valle del Cauca",A3146="Cauca",A3146="Nariño"),"PACIFICO",
IF(OR(A3146="Meta",A3146="Casanare",A3146="Arauca"),"ORINOQUIA",
"AMAZONIA"))))</f>
        <v>ANDINA</v>
      </c>
      <c r="I3146" s="6">
        <f>IF(F3146="Departamental",E3146,
AVERAGEIFS($E:$E,$H:$H,H3146,$B:$B,B3146,$C:$C,C3146))</f>
        <v>180000</v>
      </c>
      <c r="J3146" s="47">
        <f>IF(G3146&lt;&gt;"",G3146,I3146)</f>
        <v>180000</v>
      </c>
    </row>
    <row r="3147" spans="1:10">
      <c r="A3147" s="27" t="s">
        <v>3852</v>
      </c>
      <c r="B3147" s="27" t="s">
        <v>4661</v>
      </c>
      <c r="C3147" s="27" t="s">
        <v>304</v>
      </c>
      <c r="D3147" s="27" t="s">
        <v>4662</v>
      </c>
      <c r="E3147" s="28">
        <v>180000</v>
      </c>
      <c r="F3147" s="27" t="s">
        <v>4658</v>
      </c>
      <c r="G3147" s="48"/>
      <c r="H3147" s="47" t="str">
        <f>IF(OR(A3147="Antioquia",A3147="Bogotá, D.C.",A3147="Boyacá",A3147="Cundinamarca",A3147="Caldas",A3147="Risaralda",A3147="Quindío",A3147="Tolima",A3147="Huila",A3147="Santander",A3147="Norte de Santander"),"ANDINA",
IF(OR(A3147="Atlántico",A3147="Bolívar",A3147="Cesar",A3147="Córdoba",A3147="Sucre",A3147="Magdalena"),"CARIBE",
IF(OR(A3147="Valle del Cauca",A3147="Cauca",A3147="Nariño"),"PACIFICO",
IF(OR(A3147="Meta",A3147="Casanare",A3147="Arauca"),"ORINOQUIA",
"AMAZONIA"))))</f>
        <v>CARIBE</v>
      </c>
      <c r="I3147" s="6">
        <f>IF(F3147="Departamental",E3147,
AVERAGEIFS($E:$E,$H:$H,H3147,$B:$B,B3147,$C:$C,C3147))</f>
        <v>180000</v>
      </c>
      <c r="J3147" s="47">
        <f>IF(G3147&lt;&gt;"",G3147,I3147)</f>
        <v>180000</v>
      </c>
    </row>
    <row r="3148" spans="1:10">
      <c r="A3148" s="27" t="s">
        <v>3853</v>
      </c>
      <c r="B3148" s="27" t="s">
        <v>4661</v>
      </c>
      <c r="C3148" s="27" t="s">
        <v>304</v>
      </c>
      <c r="D3148" s="27" t="s">
        <v>4662</v>
      </c>
      <c r="E3148" s="28">
        <v>180000</v>
      </c>
      <c r="F3148" s="27" t="s">
        <v>4658</v>
      </c>
      <c r="G3148" s="48"/>
      <c r="H3148" s="47" t="str">
        <f>IF(OR(A3148="Antioquia",A3148="Bogotá, D.C.",A3148="Boyacá",A3148="Cundinamarca",A3148="Caldas",A3148="Risaralda",A3148="Quindío",A3148="Tolima",A3148="Huila",A3148="Santander",A3148="Norte de Santander"),"ANDINA",
IF(OR(A3148="Atlántico",A3148="Bolívar",A3148="Cesar",A3148="Córdoba",A3148="Sucre",A3148="Magdalena"),"CARIBE",
IF(OR(A3148="Valle del Cauca",A3148="Cauca",A3148="Nariño"),"PACIFICO",
IF(OR(A3148="Meta",A3148="Casanare",A3148="Arauca"),"ORINOQUIA",
"AMAZONIA"))))</f>
        <v>ANDINA</v>
      </c>
      <c r="I3148" s="6">
        <f>IF(F3148="Departamental",E3148,
AVERAGEIFS($E:$E,$H:$H,H3148,$B:$B,B3148,$C:$C,C3148))</f>
        <v>180000</v>
      </c>
      <c r="J3148" s="47">
        <f>IF(G3148&lt;&gt;"",G3148,I3148)</f>
        <v>180000</v>
      </c>
    </row>
    <row r="3149" spans="1:10">
      <c r="A3149" s="27" t="s">
        <v>3854</v>
      </c>
      <c r="B3149" s="27" t="s">
        <v>4661</v>
      </c>
      <c r="C3149" s="27" t="s">
        <v>304</v>
      </c>
      <c r="D3149" s="27" t="s">
        <v>4662</v>
      </c>
      <c r="E3149" s="28">
        <v>180000</v>
      </c>
      <c r="F3149" s="27" t="s">
        <v>4658</v>
      </c>
      <c r="G3149" s="48"/>
      <c r="H3149" s="47" t="str">
        <f>IF(OR(A3149="Antioquia",A3149="Bogotá, D.C.",A3149="Boyacá",A3149="Cundinamarca",A3149="Caldas",A3149="Risaralda",A3149="Quindío",A3149="Tolima",A3149="Huila",A3149="Santander",A3149="Norte de Santander"),"ANDINA",
IF(OR(A3149="Atlántico",A3149="Bolívar",A3149="Cesar",A3149="Córdoba",A3149="Sucre",A3149="Magdalena"),"CARIBE",
IF(OR(A3149="Valle del Cauca",A3149="Cauca",A3149="Nariño"),"PACIFICO",
IF(OR(A3149="Meta",A3149="Casanare",A3149="Arauca"),"ORINOQUIA",
"AMAZONIA"))))</f>
        <v>PACIFICO</v>
      </c>
      <c r="I3149" s="6">
        <f>IF(F3149="Departamental",E3149,
AVERAGEIFS($E:$E,$H:$H,H3149,$B:$B,B3149,$C:$C,C3149))</f>
        <v>180000</v>
      </c>
      <c r="J3149" s="47">
        <f>IF(G3149&lt;&gt;"",G3149,I3149)</f>
        <v>180000</v>
      </c>
    </row>
    <row r="3150" spans="1:10">
      <c r="A3150" s="27" t="s">
        <v>4453</v>
      </c>
      <c r="B3150" s="27" t="s">
        <v>4661</v>
      </c>
      <c r="C3150" s="27" t="s">
        <v>304</v>
      </c>
      <c r="D3150" s="27" t="s">
        <v>4662</v>
      </c>
      <c r="E3150" s="28">
        <v>180000</v>
      </c>
      <c r="F3150" s="27" t="s">
        <v>4658</v>
      </c>
      <c r="G3150" s="48"/>
      <c r="H3150" s="47" t="str">
        <f>IF(OR(A3150="Antioquia",A3150="Bogotá, D.C.",A3150="Boyacá",A3150="Cundinamarca",A3150="Caldas",A3150="Risaralda",A3150="Quindío",A3150="Tolima",A3150="Huila",A3150="Santander",A3150="Norte de Santander"),"ANDINA",
IF(OR(A3150="Atlántico",A3150="Bolívar",A3150="Cesar",A3150="Córdoba",A3150="Sucre",A3150="Magdalena"),"CARIBE",
IF(OR(A3150="Valle del Cauca",A3150="Cauca",A3150="Nariño"),"PACIFICO",
IF(OR(A3150="Meta",A3150="Casanare",A3150="Arauca"),"ORINOQUIA",
"AMAZONIA"))))</f>
        <v>AMAZONIA</v>
      </c>
      <c r="I3150" s="6">
        <f>IF(F3150="Departamental",E3150,
AVERAGEIFS($E:$E,$H:$H,H3150,$B:$B,B3150,$C:$C,C3150))</f>
        <v>180000</v>
      </c>
      <c r="J3150" s="47">
        <f>IF(G3150&lt;&gt;"",G3150,I3150)</f>
        <v>180000</v>
      </c>
    </row>
    <row r="3151" spans="1:10">
      <c r="A3151" s="27" t="s">
        <v>4454</v>
      </c>
      <c r="B3151" s="27" t="s">
        <v>4661</v>
      </c>
      <c r="C3151" s="27" t="s">
        <v>304</v>
      </c>
      <c r="D3151" s="27" t="s">
        <v>4662</v>
      </c>
      <c r="E3151" s="28">
        <v>180000</v>
      </c>
      <c r="F3151" s="27" t="s">
        <v>4658</v>
      </c>
      <c r="G3151" s="48"/>
      <c r="H3151" s="47" t="str">
        <f>IF(OR(A3151="Antioquia",A3151="Bogotá, D.C.",A3151="Boyacá",A3151="Cundinamarca",A3151="Caldas",A3151="Risaralda",A3151="Quindío",A3151="Tolima",A3151="Huila",A3151="Santander",A3151="Norte de Santander"),"ANDINA",
IF(OR(A3151="Atlántico",A3151="Bolívar",A3151="Cesar",A3151="Córdoba",A3151="Sucre",A3151="Magdalena"),"CARIBE",
IF(OR(A3151="Valle del Cauca",A3151="Cauca",A3151="Nariño"),"PACIFICO",
IF(OR(A3151="Meta",A3151="Casanare",A3151="Arauca"),"ORINOQUIA",
"AMAZONIA"))))</f>
        <v>AMAZONIA</v>
      </c>
      <c r="I3151" s="6">
        <f>IF(F3151="Departamental",E3151,
AVERAGEIFS($E:$E,$H:$H,H3151,$B:$B,B3151,$C:$C,C3151))</f>
        <v>180000</v>
      </c>
      <c r="J3151" s="47">
        <f>IF(G3151&lt;&gt;"",G3151,I3151)</f>
        <v>180000</v>
      </c>
    </row>
    <row r="3152" spans="1:10">
      <c r="A3152" s="27" t="s">
        <v>3832</v>
      </c>
      <c r="B3152" s="27" t="s">
        <v>170</v>
      </c>
      <c r="C3152" s="27" t="s">
        <v>309</v>
      </c>
      <c r="D3152" s="27" t="s">
        <v>4078</v>
      </c>
      <c r="E3152" s="28">
        <v>78080.853020496797</v>
      </c>
      <c r="F3152" s="27" t="s">
        <v>4073</v>
      </c>
      <c r="G3152" s="48"/>
      <c r="H3152" s="47" t="str">
        <f>IF(OR(A3152="Antioquia",A3152="Bogotá, D.C.",A3152="Boyacá",A3152="Cundinamarca",A3152="Caldas",A3152="Risaralda",A3152="Quindío",A3152="Tolima",A3152="Huila",A3152="Santander",A3152="Norte de Santander"),"ANDINA",
IF(OR(A3152="Atlántico",A3152="Bolívar",A3152="Cesar",A3152="Córdoba",A3152="Sucre",A3152="Magdalena"),"CARIBE",
IF(OR(A3152="Valle del Cauca",A3152="Cauca",A3152="Nariño"),"PACIFICO",
IF(OR(A3152="Meta",A3152="Casanare",A3152="Arauca"),"ORINOQUIA",
"AMAZONIA"))))</f>
        <v>ORINOQUIA</v>
      </c>
      <c r="I3152" s="6">
        <f>IF(F3152="Departamental",E3152,
AVERAGEIFS($E:$E,$H:$H,H3152,$B:$B,B3152,$C:$C,C3152))</f>
        <v>78080.853020496783</v>
      </c>
      <c r="J3152" s="47">
        <f>IF(G3152&lt;&gt;"",G3152,I3152)</f>
        <v>78080.853020496783</v>
      </c>
    </row>
    <row r="3153" spans="1:10">
      <c r="A3153" s="27" t="s">
        <v>3833</v>
      </c>
      <c r="B3153" s="27" t="s">
        <v>170</v>
      </c>
      <c r="C3153" s="27" t="s">
        <v>309</v>
      </c>
      <c r="D3153" s="27" t="s">
        <v>4078</v>
      </c>
      <c r="E3153" s="28">
        <v>78080.853020496797</v>
      </c>
      <c r="F3153" s="27" t="s">
        <v>4073</v>
      </c>
      <c r="G3153" s="48"/>
      <c r="H3153" s="47" t="str">
        <f>IF(OR(A3153="Antioquia",A3153="Bogotá, D.C.",A3153="Boyacá",A3153="Cundinamarca",A3153="Caldas",A3153="Risaralda",A3153="Quindío",A3153="Tolima",A3153="Huila",A3153="Santander",A3153="Norte de Santander"),"ANDINA",
IF(OR(A3153="Atlántico",A3153="Bolívar",A3153="Cesar",A3153="Córdoba",A3153="Sucre",A3153="Magdalena"),"CARIBE",
IF(OR(A3153="Valle del Cauca",A3153="Cauca",A3153="Nariño"),"PACIFICO",
IF(OR(A3153="Meta",A3153="Casanare",A3153="Arauca"),"ORINOQUIA",
"AMAZONIA"))))</f>
        <v>CARIBE</v>
      </c>
      <c r="I3153" s="6">
        <f>IF(F3153="Departamental",E3153,
AVERAGEIFS($E:$E,$H:$H,H3153,$B:$B,B3153,$C:$C,C3153))</f>
        <v>78080.853020496783</v>
      </c>
      <c r="J3153" s="47">
        <f>IF(G3153&lt;&gt;"",G3153,I3153)</f>
        <v>78080.853020496783</v>
      </c>
    </row>
    <row r="3154" spans="1:10">
      <c r="A3154" s="27" t="s">
        <v>3844</v>
      </c>
      <c r="B3154" s="27" t="s">
        <v>170</v>
      </c>
      <c r="C3154" s="27" t="s">
        <v>309</v>
      </c>
      <c r="D3154" s="27" t="s">
        <v>4078</v>
      </c>
      <c r="E3154" s="28">
        <v>78080.853020496797</v>
      </c>
      <c r="F3154" s="27" t="s">
        <v>4073</v>
      </c>
      <c r="G3154" s="48"/>
      <c r="H3154" s="47" t="str">
        <f>IF(OR(A3154="Antioquia",A3154="Bogotá, D.C.",A3154="Boyacá",A3154="Cundinamarca",A3154="Caldas",A3154="Risaralda",A3154="Quindío",A3154="Tolima",A3154="Huila",A3154="Santander",A3154="Norte de Santander"),"ANDINA",
IF(OR(A3154="Atlántico",A3154="Bolívar",A3154="Cesar",A3154="Córdoba",A3154="Sucre",A3154="Magdalena"),"CARIBE",
IF(OR(A3154="Valle del Cauca",A3154="Cauca",A3154="Nariño"),"PACIFICO",
IF(OR(A3154="Meta",A3154="Casanare",A3154="Arauca"),"ORINOQUIA",
"AMAZONIA"))))</f>
        <v>CARIBE</v>
      </c>
      <c r="I3154" s="6">
        <f>IF(F3154="Departamental",E3154,
AVERAGEIFS($E:$E,$H:$H,H3154,$B:$B,B3154,$C:$C,C3154))</f>
        <v>78080.853020496783</v>
      </c>
      <c r="J3154" s="47">
        <f>IF(G3154&lt;&gt;"",G3154,I3154)</f>
        <v>78080.853020496783</v>
      </c>
    </row>
    <row r="3155" spans="1:10">
      <c r="A3155" s="27" t="s">
        <v>3852</v>
      </c>
      <c r="B3155" s="27" t="s">
        <v>170</v>
      </c>
      <c r="C3155" s="27" t="s">
        <v>309</v>
      </c>
      <c r="D3155" s="27" t="s">
        <v>4078</v>
      </c>
      <c r="E3155" s="28">
        <v>78080.853020496797</v>
      </c>
      <c r="F3155" s="27" t="s">
        <v>4073</v>
      </c>
      <c r="G3155" s="48"/>
      <c r="H3155" s="47" t="str">
        <f>IF(OR(A3155="Antioquia",A3155="Bogotá, D.C.",A3155="Boyacá",A3155="Cundinamarca",A3155="Caldas",A3155="Risaralda",A3155="Quindío",A3155="Tolima",A3155="Huila",A3155="Santander",A3155="Norte de Santander"),"ANDINA",
IF(OR(A3155="Atlántico",A3155="Bolívar",A3155="Cesar",A3155="Córdoba",A3155="Sucre",A3155="Magdalena"),"CARIBE",
IF(OR(A3155="Valle del Cauca",A3155="Cauca",A3155="Nariño"),"PACIFICO",
IF(OR(A3155="Meta",A3155="Casanare",A3155="Arauca"),"ORINOQUIA",
"AMAZONIA"))))</f>
        <v>CARIBE</v>
      </c>
      <c r="I3155" s="6">
        <f>IF(F3155="Departamental",E3155,
AVERAGEIFS($E:$E,$H:$H,H3155,$B:$B,B3155,$C:$C,C3155))</f>
        <v>78080.853020496783</v>
      </c>
      <c r="J3155" s="47">
        <f>IF(G3155&lt;&gt;"",G3155,I3155)</f>
        <v>78080.853020496783</v>
      </c>
    </row>
    <row r="3156" spans="1:10">
      <c r="A3156" s="27" t="s">
        <v>4448</v>
      </c>
      <c r="B3156" s="27" t="s">
        <v>4663</v>
      </c>
      <c r="C3156" s="27" t="s">
        <v>4123</v>
      </c>
      <c r="D3156" s="27" t="s">
        <v>4664</v>
      </c>
      <c r="E3156" s="28">
        <v>45000</v>
      </c>
      <c r="F3156" s="27" t="s">
        <v>4658</v>
      </c>
      <c r="G3156" s="48"/>
      <c r="H3156" s="47" t="str">
        <f>IF(OR(A3156="Antioquia",A3156="Bogotá, D.C.",A3156="Boyacá",A3156="Cundinamarca",A3156="Caldas",A3156="Risaralda",A3156="Quindío",A3156="Tolima",A3156="Huila",A3156="Santander",A3156="Norte de Santander"),"ANDINA",
IF(OR(A3156="Atlántico",A3156="Bolívar",A3156="Cesar",A3156="Córdoba",A3156="Sucre",A3156="Magdalena"),"CARIBE",
IF(OR(A3156="Valle del Cauca",A3156="Cauca",A3156="Nariño"),"PACIFICO",
IF(OR(A3156="Meta",A3156="Casanare",A3156="Arauca"),"ORINOQUIA",
"AMAZONIA"))))</f>
        <v>AMAZONIA</v>
      </c>
      <c r="I3156" s="6">
        <f>IF(F3156="Departamental",E3156,
AVERAGEIFS($E:$E,$H:$H,H3156,$B:$B,B3156,$C:$C,C3156))</f>
        <v>45000</v>
      </c>
      <c r="J3156" s="47">
        <f>IF(G3156&lt;&gt;"",G3156,I3156)</f>
        <v>45000</v>
      </c>
    </row>
    <row r="3157" spans="1:10">
      <c r="A3157" s="27" t="s">
        <v>3831</v>
      </c>
      <c r="B3157" s="27" t="s">
        <v>4663</v>
      </c>
      <c r="C3157" s="27" t="s">
        <v>4123</v>
      </c>
      <c r="D3157" s="27" t="s">
        <v>4664</v>
      </c>
      <c r="E3157" s="28">
        <v>45000</v>
      </c>
      <c r="F3157" s="27" t="s">
        <v>4658</v>
      </c>
      <c r="G3157" s="48"/>
      <c r="H3157" s="47" t="str">
        <f>IF(OR(A3157="Antioquia",A3157="Bogotá, D.C.",A3157="Boyacá",A3157="Cundinamarca",A3157="Caldas",A3157="Risaralda",A3157="Quindío",A3157="Tolima",A3157="Huila",A3157="Santander",A3157="Norte de Santander"),"ANDINA",
IF(OR(A3157="Atlántico",A3157="Bolívar",A3157="Cesar",A3157="Córdoba",A3157="Sucre",A3157="Magdalena"),"CARIBE",
IF(OR(A3157="Valle del Cauca",A3157="Cauca",A3157="Nariño"),"PACIFICO",
IF(OR(A3157="Meta",A3157="Casanare",A3157="Arauca"),"ORINOQUIA",
"AMAZONIA"))))</f>
        <v>ANDINA</v>
      </c>
      <c r="I3157" s="6">
        <f>IF(F3157="Departamental",E3157,
AVERAGEIFS($E:$E,$H:$H,H3157,$B:$B,B3157,$C:$C,C3157))</f>
        <v>45000</v>
      </c>
      <c r="J3157" s="47">
        <f>IF(G3157&lt;&gt;"",G3157,I3157)</f>
        <v>45000</v>
      </c>
    </row>
    <row r="3158" spans="1:10">
      <c r="A3158" s="27" t="s">
        <v>3832</v>
      </c>
      <c r="B3158" s="27" t="s">
        <v>4663</v>
      </c>
      <c r="C3158" s="27" t="s">
        <v>4123</v>
      </c>
      <c r="D3158" s="27" t="s">
        <v>4664</v>
      </c>
      <c r="E3158" s="28">
        <v>45000</v>
      </c>
      <c r="F3158" s="27" t="s">
        <v>4658</v>
      </c>
      <c r="G3158" s="48"/>
      <c r="H3158" s="47" t="str">
        <f>IF(OR(A3158="Antioquia",A3158="Bogotá, D.C.",A3158="Boyacá",A3158="Cundinamarca",A3158="Caldas",A3158="Risaralda",A3158="Quindío",A3158="Tolima",A3158="Huila",A3158="Santander",A3158="Norte de Santander"),"ANDINA",
IF(OR(A3158="Atlántico",A3158="Bolívar",A3158="Cesar",A3158="Córdoba",A3158="Sucre",A3158="Magdalena"),"CARIBE",
IF(OR(A3158="Valle del Cauca",A3158="Cauca",A3158="Nariño"),"PACIFICO",
IF(OR(A3158="Meta",A3158="Casanare",A3158="Arauca"),"ORINOQUIA",
"AMAZONIA"))))</f>
        <v>ORINOQUIA</v>
      </c>
      <c r="I3158" s="6">
        <f>IF(F3158="Departamental",E3158,
AVERAGEIFS($E:$E,$H:$H,H3158,$B:$B,B3158,$C:$C,C3158))</f>
        <v>45000</v>
      </c>
      <c r="J3158" s="47">
        <f>IF(G3158&lt;&gt;"",G3158,I3158)</f>
        <v>45000</v>
      </c>
    </row>
    <row r="3159" spans="1:10">
      <c r="A3159" s="27" t="s">
        <v>3833</v>
      </c>
      <c r="B3159" s="27" t="s">
        <v>4663</v>
      </c>
      <c r="C3159" s="27" t="s">
        <v>4123</v>
      </c>
      <c r="D3159" s="27" t="s">
        <v>4664</v>
      </c>
      <c r="E3159" s="28">
        <v>45000</v>
      </c>
      <c r="F3159" s="27" t="s">
        <v>4658</v>
      </c>
      <c r="G3159" s="48"/>
      <c r="H3159" s="47" t="str">
        <f>IF(OR(A3159="Antioquia",A3159="Bogotá, D.C.",A3159="Boyacá",A3159="Cundinamarca",A3159="Caldas",A3159="Risaralda",A3159="Quindío",A3159="Tolima",A3159="Huila",A3159="Santander",A3159="Norte de Santander"),"ANDINA",
IF(OR(A3159="Atlántico",A3159="Bolívar",A3159="Cesar",A3159="Córdoba",A3159="Sucre",A3159="Magdalena"),"CARIBE",
IF(OR(A3159="Valle del Cauca",A3159="Cauca",A3159="Nariño"),"PACIFICO",
IF(OR(A3159="Meta",A3159="Casanare",A3159="Arauca"),"ORINOQUIA",
"AMAZONIA"))))</f>
        <v>CARIBE</v>
      </c>
      <c r="I3159" s="6">
        <f>IF(F3159="Departamental",E3159,
AVERAGEIFS($E:$E,$H:$H,H3159,$B:$B,B3159,$C:$C,C3159))</f>
        <v>45000</v>
      </c>
      <c r="J3159" s="47">
        <f>IF(G3159&lt;&gt;"",G3159,I3159)</f>
        <v>45000</v>
      </c>
    </row>
    <row r="3160" spans="1:10">
      <c r="A3160" s="27" t="s">
        <v>4075</v>
      </c>
      <c r="B3160" s="27" t="s">
        <v>4663</v>
      </c>
      <c r="C3160" s="27" t="s">
        <v>4123</v>
      </c>
      <c r="D3160" s="27" t="s">
        <v>4664</v>
      </c>
      <c r="E3160" s="28">
        <v>45000</v>
      </c>
      <c r="F3160" s="27" t="s">
        <v>4658</v>
      </c>
      <c r="G3160" s="48"/>
      <c r="H3160" s="47" t="str">
        <f>IF(OR(A3160="Antioquia",A3160="Bogotá, D.C.",A3160="Boyacá",A3160="Cundinamarca",A3160="Caldas",A3160="Risaralda",A3160="Quindío",A3160="Tolima",A3160="Huila",A3160="Santander",A3160="Norte de Santander"),"ANDINA",
IF(OR(A3160="Atlántico",A3160="Bolívar",A3160="Cesar",A3160="Córdoba",A3160="Sucre",A3160="Magdalena"),"CARIBE",
IF(OR(A3160="Valle del Cauca",A3160="Cauca",A3160="Nariño"),"PACIFICO",
IF(OR(A3160="Meta",A3160="Casanare",A3160="Arauca"),"ORINOQUIA",
"AMAZONIA"))))</f>
        <v>ANDINA</v>
      </c>
      <c r="I3160" s="6">
        <f>IF(F3160="Departamental",E3160,
AVERAGEIFS($E:$E,$H:$H,H3160,$B:$B,B3160,$C:$C,C3160))</f>
        <v>45000</v>
      </c>
      <c r="J3160" s="47">
        <f>IF(G3160&lt;&gt;"",G3160,I3160)</f>
        <v>45000</v>
      </c>
    </row>
    <row r="3161" spans="1:10">
      <c r="A3161" s="27" t="s">
        <v>3834</v>
      </c>
      <c r="B3161" s="27" t="s">
        <v>4663</v>
      </c>
      <c r="C3161" s="27" t="s">
        <v>4123</v>
      </c>
      <c r="D3161" s="27" t="s">
        <v>4664</v>
      </c>
      <c r="E3161" s="28">
        <v>45000</v>
      </c>
      <c r="F3161" s="27" t="s">
        <v>4658</v>
      </c>
      <c r="G3161" s="48"/>
      <c r="H3161" s="47" t="str">
        <f>IF(OR(A3161="Antioquia",A3161="Bogotá, D.C.",A3161="Boyacá",A3161="Cundinamarca",A3161="Caldas",A3161="Risaralda",A3161="Quindío",A3161="Tolima",A3161="Huila",A3161="Santander",A3161="Norte de Santander"),"ANDINA",
IF(OR(A3161="Atlántico",A3161="Bolívar",A3161="Cesar",A3161="Córdoba",A3161="Sucre",A3161="Magdalena"),"CARIBE",
IF(OR(A3161="Valle del Cauca",A3161="Cauca",A3161="Nariño"),"PACIFICO",
IF(OR(A3161="Meta",A3161="Casanare",A3161="Arauca"),"ORINOQUIA",
"AMAZONIA"))))</f>
        <v>CARIBE</v>
      </c>
      <c r="I3161" s="6">
        <f>IF(F3161="Departamental",E3161,
AVERAGEIFS($E:$E,$H:$H,H3161,$B:$B,B3161,$C:$C,C3161))</f>
        <v>45000</v>
      </c>
      <c r="J3161" s="47">
        <f>IF(G3161&lt;&gt;"",G3161,I3161)</f>
        <v>45000</v>
      </c>
    </row>
    <row r="3162" spans="1:10">
      <c r="A3162" s="27" t="s">
        <v>3835</v>
      </c>
      <c r="B3162" s="27" t="s">
        <v>4663</v>
      </c>
      <c r="C3162" s="27" t="s">
        <v>4123</v>
      </c>
      <c r="D3162" s="27" t="s">
        <v>4664</v>
      </c>
      <c r="E3162" s="28">
        <v>45000</v>
      </c>
      <c r="F3162" s="27" t="s">
        <v>4658</v>
      </c>
      <c r="G3162" s="48"/>
      <c r="H3162" s="47" t="str">
        <f>IF(OR(A3162="Antioquia",A3162="Bogotá, D.C.",A3162="Boyacá",A3162="Cundinamarca",A3162="Caldas",A3162="Risaralda",A3162="Quindío",A3162="Tolima",A3162="Huila",A3162="Santander",A3162="Norte de Santander"),"ANDINA",
IF(OR(A3162="Atlántico",A3162="Bolívar",A3162="Cesar",A3162="Córdoba",A3162="Sucre",A3162="Magdalena"),"CARIBE",
IF(OR(A3162="Valle del Cauca",A3162="Cauca",A3162="Nariño"),"PACIFICO",
IF(OR(A3162="Meta",A3162="Casanare",A3162="Arauca"),"ORINOQUIA",
"AMAZONIA"))))</f>
        <v>ANDINA</v>
      </c>
      <c r="I3162" s="6">
        <f>IF(F3162="Departamental",E3162,
AVERAGEIFS($E:$E,$H:$H,H3162,$B:$B,B3162,$C:$C,C3162))</f>
        <v>45000</v>
      </c>
      <c r="J3162" s="47">
        <f>IF(G3162&lt;&gt;"",G3162,I3162)</f>
        <v>45000</v>
      </c>
    </row>
    <row r="3163" spans="1:10">
      <c r="A3163" s="27" t="s">
        <v>3836</v>
      </c>
      <c r="B3163" s="27" t="s">
        <v>4663</v>
      </c>
      <c r="C3163" s="27" t="s">
        <v>4123</v>
      </c>
      <c r="D3163" s="27" t="s">
        <v>4664</v>
      </c>
      <c r="E3163" s="28">
        <v>45000</v>
      </c>
      <c r="F3163" s="27" t="s">
        <v>4658</v>
      </c>
      <c r="G3163" s="48"/>
      <c r="H3163" s="47" t="str">
        <f>IF(OR(A3163="Antioquia",A3163="Bogotá, D.C.",A3163="Boyacá",A3163="Cundinamarca",A3163="Caldas",A3163="Risaralda",A3163="Quindío",A3163="Tolima",A3163="Huila",A3163="Santander",A3163="Norte de Santander"),"ANDINA",
IF(OR(A3163="Atlántico",A3163="Bolívar",A3163="Cesar",A3163="Córdoba",A3163="Sucre",A3163="Magdalena"),"CARIBE",
IF(OR(A3163="Valle del Cauca",A3163="Cauca",A3163="Nariño"),"PACIFICO",
IF(OR(A3163="Meta",A3163="Casanare",A3163="Arauca"),"ORINOQUIA",
"AMAZONIA"))))</f>
        <v>ANDINA</v>
      </c>
      <c r="I3163" s="6">
        <f>IF(F3163="Departamental",E3163,
AVERAGEIFS($E:$E,$H:$H,H3163,$B:$B,B3163,$C:$C,C3163))</f>
        <v>45000</v>
      </c>
      <c r="J3163" s="47">
        <f>IF(G3163&lt;&gt;"",G3163,I3163)</f>
        <v>45000</v>
      </c>
    </row>
    <row r="3164" spans="1:10">
      <c r="A3164" s="27" t="s">
        <v>3837</v>
      </c>
      <c r="B3164" s="27" t="s">
        <v>4663</v>
      </c>
      <c r="C3164" s="27" t="s">
        <v>4123</v>
      </c>
      <c r="D3164" s="27" t="s">
        <v>4664</v>
      </c>
      <c r="E3164" s="28">
        <v>45000</v>
      </c>
      <c r="F3164" s="27" t="s">
        <v>4658</v>
      </c>
      <c r="G3164" s="48"/>
      <c r="H3164" s="47" t="str">
        <f>IF(OR(A3164="Antioquia",A3164="Bogotá, D.C.",A3164="Boyacá",A3164="Cundinamarca",A3164="Caldas",A3164="Risaralda",A3164="Quindío",A3164="Tolima",A3164="Huila",A3164="Santander",A3164="Norte de Santander"),"ANDINA",
IF(OR(A3164="Atlántico",A3164="Bolívar",A3164="Cesar",A3164="Córdoba",A3164="Sucre",A3164="Magdalena"),"CARIBE",
IF(OR(A3164="Valle del Cauca",A3164="Cauca",A3164="Nariño"),"PACIFICO",
IF(OR(A3164="Meta",A3164="Casanare",A3164="Arauca"),"ORINOQUIA",
"AMAZONIA"))))</f>
        <v>AMAZONIA</v>
      </c>
      <c r="I3164" s="6">
        <f>IF(F3164="Departamental",E3164,
AVERAGEIFS($E:$E,$H:$H,H3164,$B:$B,B3164,$C:$C,C3164))</f>
        <v>45000</v>
      </c>
      <c r="J3164" s="47">
        <f>IF(G3164&lt;&gt;"",G3164,I3164)</f>
        <v>45000</v>
      </c>
    </row>
    <row r="3165" spans="1:10">
      <c r="A3165" s="27" t="s">
        <v>3838</v>
      </c>
      <c r="B3165" s="27" t="s">
        <v>4663</v>
      </c>
      <c r="C3165" s="27" t="s">
        <v>4123</v>
      </c>
      <c r="D3165" s="27" t="s">
        <v>4664</v>
      </c>
      <c r="E3165" s="28">
        <v>45000</v>
      </c>
      <c r="F3165" s="27" t="s">
        <v>4658</v>
      </c>
      <c r="G3165" s="48"/>
      <c r="H3165" s="47" t="str">
        <f>IF(OR(A3165="Antioquia",A3165="Bogotá, D.C.",A3165="Boyacá",A3165="Cundinamarca",A3165="Caldas",A3165="Risaralda",A3165="Quindío",A3165="Tolima",A3165="Huila",A3165="Santander",A3165="Norte de Santander"),"ANDINA",
IF(OR(A3165="Atlántico",A3165="Bolívar",A3165="Cesar",A3165="Córdoba",A3165="Sucre",A3165="Magdalena"),"CARIBE",
IF(OR(A3165="Valle del Cauca",A3165="Cauca",A3165="Nariño"),"PACIFICO",
IF(OR(A3165="Meta",A3165="Casanare",A3165="Arauca"),"ORINOQUIA",
"AMAZONIA"))))</f>
        <v>ORINOQUIA</v>
      </c>
      <c r="I3165" s="6">
        <f>IF(F3165="Departamental",E3165,
AVERAGEIFS($E:$E,$H:$H,H3165,$B:$B,B3165,$C:$C,C3165))</f>
        <v>45000</v>
      </c>
      <c r="J3165" s="47">
        <f>IF(G3165&lt;&gt;"",G3165,I3165)</f>
        <v>45000</v>
      </c>
    </row>
    <row r="3166" spans="1:10">
      <c r="A3166" s="27" t="s">
        <v>3839</v>
      </c>
      <c r="B3166" s="27" t="s">
        <v>4663</v>
      </c>
      <c r="C3166" s="27" t="s">
        <v>4123</v>
      </c>
      <c r="D3166" s="27" t="s">
        <v>4664</v>
      </c>
      <c r="E3166" s="28">
        <v>45000</v>
      </c>
      <c r="F3166" s="27" t="s">
        <v>4658</v>
      </c>
      <c r="G3166" s="48"/>
      <c r="H3166" s="47" t="str">
        <f>IF(OR(A3166="Antioquia",A3166="Bogotá, D.C.",A3166="Boyacá",A3166="Cundinamarca",A3166="Caldas",A3166="Risaralda",A3166="Quindío",A3166="Tolima",A3166="Huila",A3166="Santander",A3166="Norte de Santander"),"ANDINA",
IF(OR(A3166="Atlántico",A3166="Bolívar",A3166="Cesar",A3166="Córdoba",A3166="Sucre",A3166="Magdalena"),"CARIBE",
IF(OR(A3166="Valle del Cauca",A3166="Cauca",A3166="Nariño"),"PACIFICO",
IF(OR(A3166="Meta",A3166="Casanare",A3166="Arauca"),"ORINOQUIA",
"AMAZONIA"))))</f>
        <v>PACIFICO</v>
      </c>
      <c r="I3166" s="6">
        <f>IF(F3166="Departamental",E3166,
AVERAGEIFS($E:$E,$H:$H,H3166,$B:$B,B3166,$C:$C,C3166))</f>
        <v>45000</v>
      </c>
      <c r="J3166" s="47">
        <f>IF(G3166&lt;&gt;"",G3166,I3166)</f>
        <v>45000</v>
      </c>
    </row>
    <row r="3167" spans="1:10">
      <c r="A3167" s="27" t="s">
        <v>3840</v>
      </c>
      <c r="B3167" s="27" t="s">
        <v>4663</v>
      </c>
      <c r="C3167" s="27" t="s">
        <v>4123</v>
      </c>
      <c r="D3167" s="27" t="s">
        <v>4664</v>
      </c>
      <c r="E3167" s="28">
        <v>45000</v>
      </c>
      <c r="F3167" s="27" t="s">
        <v>4658</v>
      </c>
      <c r="G3167" s="48"/>
      <c r="H3167" s="47" t="str">
        <f>IF(OR(A3167="Antioquia",A3167="Bogotá, D.C.",A3167="Boyacá",A3167="Cundinamarca",A3167="Caldas",A3167="Risaralda",A3167="Quindío",A3167="Tolima",A3167="Huila",A3167="Santander",A3167="Norte de Santander"),"ANDINA",
IF(OR(A3167="Atlántico",A3167="Bolívar",A3167="Cesar",A3167="Córdoba",A3167="Sucre",A3167="Magdalena"),"CARIBE",
IF(OR(A3167="Valle del Cauca",A3167="Cauca",A3167="Nariño"),"PACIFICO",
IF(OR(A3167="Meta",A3167="Casanare",A3167="Arauca"),"ORINOQUIA",
"AMAZONIA"))))</f>
        <v>CARIBE</v>
      </c>
      <c r="I3167" s="6">
        <f>IF(F3167="Departamental",E3167,
AVERAGEIFS($E:$E,$H:$H,H3167,$B:$B,B3167,$C:$C,C3167))</f>
        <v>45000</v>
      </c>
      <c r="J3167" s="47">
        <f>IF(G3167&lt;&gt;"",G3167,I3167)</f>
        <v>45000</v>
      </c>
    </row>
    <row r="3168" spans="1:10">
      <c r="A3168" s="27" t="s">
        <v>4449</v>
      </c>
      <c r="B3168" s="27" t="s">
        <v>4663</v>
      </c>
      <c r="C3168" s="27" t="s">
        <v>4123</v>
      </c>
      <c r="D3168" s="27" t="s">
        <v>4664</v>
      </c>
      <c r="E3168" s="28">
        <v>45000</v>
      </c>
      <c r="F3168" s="27" t="s">
        <v>4658</v>
      </c>
      <c r="G3168" s="48"/>
      <c r="H3168" s="47" t="str">
        <f>IF(OR(A3168="Antioquia",A3168="Bogotá, D.C.",A3168="Boyacá",A3168="Cundinamarca",A3168="Caldas",A3168="Risaralda",A3168="Quindío",A3168="Tolima",A3168="Huila",A3168="Santander",A3168="Norte de Santander"),"ANDINA",
IF(OR(A3168="Atlántico",A3168="Bolívar",A3168="Cesar",A3168="Córdoba",A3168="Sucre",A3168="Magdalena"),"CARIBE",
IF(OR(A3168="Valle del Cauca",A3168="Cauca",A3168="Nariño"),"PACIFICO",
IF(OR(A3168="Meta",A3168="Casanare",A3168="Arauca"),"ORINOQUIA",
"AMAZONIA"))))</f>
        <v>AMAZONIA</v>
      </c>
      <c r="I3168" s="6">
        <f>IF(F3168="Departamental",E3168,
AVERAGEIFS($E:$E,$H:$H,H3168,$B:$B,B3168,$C:$C,C3168))</f>
        <v>45000</v>
      </c>
      <c r="J3168" s="47">
        <f>IF(G3168&lt;&gt;"",G3168,I3168)</f>
        <v>45000</v>
      </c>
    </row>
    <row r="3169" spans="1:10">
      <c r="A3169" s="27" t="s">
        <v>3842</v>
      </c>
      <c r="B3169" s="27" t="s">
        <v>4663</v>
      </c>
      <c r="C3169" s="27" t="s">
        <v>4123</v>
      </c>
      <c r="D3169" s="27" t="s">
        <v>4664</v>
      </c>
      <c r="E3169" s="28">
        <v>45000</v>
      </c>
      <c r="F3169" s="27" t="s">
        <v>4658</v>
      </c>
      <c r="G3169" s="48"/>
      <c r="H3169" s="47" t="str">
        <f>IF(OR(A3169="Antioquia",A3169="Bogotá, D.C.",A3169="Boyacá",A3169="Cundinamarca",A3169="Caldas",A3169="Risaralda",A3169="Quindío",A3169="Tolima",A3169="Huila",A3169="Santander",A3169="Norte de Santander"),"ANDINA",
IF(OR(A3169="Atlántico",A3169="Bolívar",A3169="Cesar",A3169="Córdoba",A3169="Sucre",A3169="Magdalena"),"CARIBE",
IF(OR(A3169="Valle del Cauca",A3169="Cauca",A3169="Nariño"),"PACIFICO",
IF(OR(A3169="Meta",A3169="Casanare",A3169="Arauca"),"ORINOQUIA",
"AMAZONIA"))))</f>
        <v>ANDINA</v>
      </c>
      <c r="I3169" s="6">
        <f>IF(F3169="Departamental",E3169,
AVERAGEIFS($E:$E,$H:$H,H3169,$B:$B,B3169,$C:$C,C3169))</f>
        <v>45000</v>
      </c>
      <c r="J3169" s="47">
        <f>IF(G3169&lt;&gt;"",G3169,I3169)</f>
        <v>45000</v>
      </c>
    </row>
    <row r="3170" spans="1:10">
      <c r="A3170" s="27" t="s">
        <v>3841</v>
      </c>
      <c r="B3170" s="27" t="s">
        <v>4663</v>
      </c>
      <c r="C3170" s="27" t="s">
        <v>4123</v>
      </c>
      <c r="D3170" s="27" t="s">
        <v>4664</v>
      </c>
      <c r="E3170" s="28">
        <v>45000</v>
      </c>
      <c r="F3170" s="27" t="s">
        <v>4658</v>
      </c>
      <c r="G3170" s="48"/>
      <c r="H3170" s="47" t="str">
        <f>IF(OR(A3170="Antioquia",A3170="Bogotá, D.C.",A3170="Boyacá",A3170="Cundinamarca",A3170="Caldas",A3170="Risaralda",A3170="Quindío",A3170="Tolima",A3170="Huila",A3170="Santander",A3170="Norte de Santander"),"ANDINA",
IF(OR(A3170="Atlántico",A3170="Bolívar",A3170="Cesar",A3170="Córdoba",A3170="Sucre",A3170="Magdalena"),"CARIBE",
IF(OR(A3170="Valle del Cauca",A3170="Cauca",A3170="Nariño"),"PACIFICO",
IF(OR(A3170="Meta",A3170="Casanare",A3170="Arauca"),"ORINOQUIA",
"AMAZONIA"))))</f>
        <v>CARIBE</v>
      </c>
      <c r="I3170" s="6">
        <f>IF(F3170="Departamental",E3170,
AVERAGEIFS($E:$E,$H:$H,H3170,$B:$B,B3170,$C:$C,C3170))</f>
        <v>45000</v>
      </c>
      <c r="J3170" s="47">
        <f>IF(G3170&lt;&gt;"",G3170,I3170)</f>
        <v>45000</v>
      </c>
    </row>
    <row r="3171" spans="1:10">
      <c r="A3171" s="27" t="s">
        <v>4450</v>
      </c>
      <c r="B3171" s="27" t="s">
        <v>4663</v>
      </c>
      <c r="C3171" s="27" t="s">
        <v>4123</v>
      </c>
      <c r="D3171" s="27" t="s">
        <v>4664</v>
      </c>
      <c r="E3171" s="28">
        <v>45000</v>
      </c>
      <c r="F3171" s="27" t="s">
        <v>4658</v>
      </c>
      <c r="G3171" s="48"/>
      <c r="H3171" s="47" t="str">
        <f>IF(OR(A3171="Antioquia",A3171="Bogotá, D.C.",A3171="Boyacá",A3171="Cundinamarca",A3171="Caldas",A3171="Risaralda",A3171="Quindío",A3171="Tolima",A3171="Huila",A3171="Santander",A3171="Norte de Santander"),"ANDINA",
IF(OR(A3171="Atlántico",A3171="Bolívar",A3171="Cesar",A3171="Córdoba",A3171="Sucre",A3171="Magdalena"),"CARIBE",
IF(OR(A3171="Valle del Cauca",A3171="Cauca",A3171="Nariño"),"PACIFICO",
IF(OR(A3171="Meta",A3171="Casanare",A3171="Arauca"),"ORINOQUIA",
"AMAZONIA"))))</f>
        <v>AMAZONIA</v>
      </c>
      <c r="I3171" s="6">
        <f>IF(F3171="Departamental",E3171,
AVERAGEIFS($E:$E,$H:$H,H3171,$B:$B,B3171,$C:$C,C3171))</f>
        <v>45000</v>
      </c>
      <c r="J3171" s="47">
        <f>IF(G3171&lt;&gt;"",G3171,I3171)</f>
        <v>45000</v>
      </c>
    </row>
    <row r="3172" spans="1:10">
      <c r="A3172" s="27" t="s">
        <v>4451</v>
      </c>
      <c r="B3172" s="27" t="s">
        <v>4663</v>
      </c>
      <c r="C3172" s="27" t="s">
        <v>4123</v>
      </c>
      <c r="D3172" s="27" t="s">
        <v>4664</v>
      </c>
      <c r="E3172" s="28">
        <v>45000</v>
      </c>
      <c r="F3172" s="27" t="s">
        <v>4658</v>
      </c>
      <c r="G3172" s="48"/>
      <c r="H3172" s="47" t="str">
        <f>IF(OR(A3172="Antioquia",A3172="Bogotá, D.C.",A3172="Boyacá",A3172="Cundinamarca",A3172="Caldas",A3172="Risaralda",A3172="Quindío",A3172="Tolima",A3172="Huila",A3172="Santander",A3172="Norte de Santander"),"ANDINA",
IF(OR(A3172="Atlántico",A3172="Bolívar",A3172="Cesar",A3172="Córdoba",A3172="Sucre",A3172="Magdalena"),"CARIBE",
IF(OR(A3172="Valle del Cauca",A3172="Cauca",A3172="Nariño"),"PACIFICO",
IF(OR(A3172="Meta",A3172="Casanare",A3172="Arauca"),"ORINOQUIA",
"AMAZONIA"))))</f>
        <v>AMAZONIA</v>
      </c>
      <c r="I3172" s="6">
        <f>IF(F3172="Departamental",E3172,
AVERAGEIFS($E:$E,$H:$H,H3172,$B:$B,B3172,$C:$C,C3172))</f>
        <v>45000</v>
      </c>
      <c r="J3172" s="47">
        <f>IF(G3172&lt;&gt;"",G3172,I3172)</f>
        <v>45000</v>
      </c>
    </row>
    <row r="3173" spans="1:10">
      <c r="A3173" s="27" t="s">
        <v>3843</v>
      </c>
      <c r="B3173" s="27" t="s">
        <v>4663</v>
      </c>
      <c r="C3173" s="27" t="s">
        <v>4123</v>
      </c>
      <c r="D3173" s="27" t="s">
        <v>4664</v>
      </c>
      <c r="E3173" s="28">
        <v>45000</v>
      </c>
      <c r="F3173" s="27" t="s">
        <v>4658</v>
      </c>
      <c r="G3173" s="48"/>
      <c r="H3173" s="47" t="str">
        <f>IF(OR(A3173="Antioquia",A3173="Bogotá, D.C.",A3173="Boyacá",A3173="Cundinamarca",A3173="Caldas",A3173="Risaralda",A3173="Quindío",A3173="Tolima",A3173="Huila",A3173="Santander",A3173="Norte de Santander"),"ANDINA",
IF(OR(A3173="Atlántico",A3173="Bolívar",A3173="Cesar",A3173="Córdoba",A3173="Sucre",A3173="Magdalena"),"CARIBE",
IF(OR(A3173="Valle del Cauca",A3173="Cauca",A3173="Nariño"),"PACIFICO",
IF(OR(A3173="Meta",A3173="Casanare",A3173="Arauca"),"ORINOQUIA",
"AMAZONIA"))))</f>
        <v>ANDINA</v>
      </c>
      <c r="I3173" s="6">
        <f>IF(F3173="Departamental",E3173,
AVERAGEIFS($E:$E,$H:$H,H3173,$B:$B,B3173,$C:$C,C3173))</f>
        <v>45000</v>
      </c>
      <c r="J3173" s="47">
        <f>IF(G3173&lt;&gt;"",G3173,I3173)</f>
        <v>45000</v>
      </c>
    </row>
    <row r="3174" spans="1:10">
      <c r="A3174" s="27" t="s">
        <v>4452</v>
      </c>
      <c r="B3174" s="27" t="s">
        <v>4663</v>
      </c>
      <c r="C3174" s="27" t="s">
        <v>4123</v>
      </c>
      <c r="D3174" s="27" t="s">
        <v>4664</v>
      </c>
      <c r="E3174" s="28">
        <v>45000</v>
      </c>
      <c r="F3174" s="27" t="s">
        <v>4658</v>
      </c>
      <c r="G3174" s="48"/>
      <c r="H3174" s="47" t="str">
        <f>IF(OR(A3174="Antioquia",A3174="Bogotá, D.C.",A3174="Boyacá",A3174="Cundinamarca",A3174="Caldas",A3174="Risaralda",A3174="Quindío",A3174="Tolima",A3174="Huila",A3174="Santander",A3174="Norte de Santander"),"ANDINA",
IF(OR(A3174="Atlántico",A3174="Bolívar",A3174="Cesar",A3174="Córdoba",A3174="Sucre",A3174="Magdalena"),"CARIBE",
IF(OR(A3174="Valle del Cauca",A3174="Cauca",A3174="Nariño"),"PACIFICO",
IF(OR(A3174="Meta",A3174="Casanare",A3174="Arauca"),"ORINOQUIA",
"AMAZONIA"))))</f>
        <v>AMAZONIA</v>
      </c>
      <c r="I3174" s="6">
        <f>IF(F3174="Departamental",E3174,
AVERAGEIFS($E:$E,$H:$H,H3174,$B:$B,B3174,$C:$C,C3174))</f>
        <v>45000</v>
      </c>
      <c r="J3174" s="47">
        <f>IF(G3174&lt;&gt;"",G3174,I3174)</f>
        <v>45000</v>
      </c>
    </row>
    <row r="3175" spans="1:10">
      <c r="A3175" s="27" t="s">
        <v>3844</v>
      </c>
      <c r="B3175" s="27" t="s">
        <v>4663</v>
      </c>
      <c r="C3175" s="27" t="s">
        <v>4123</v>
      </c>
      <c r="D3175" s="27" t="s">
        <v>4664</v>
      </c>
      <c r="E3175" s="28">
        <v>45000</v>
      </c>
      <c r="F3175" s="27" t="s">
        <v>4658</v>
      </c>
      <c r="G3175" s="48"/>
      <c r="H3175" s="47" t="str">
        <f>IF(OR(A3175="Antioquia",A3175="Bogotá, D.C.",A3175="Boyacá",A3175="Cundinamarca",A3175="Caldas",A3175="Risaralda",A3175="Quindío",A3175="Tolima",A3175="Huila",A3175="Santander",A3175="Norte de Santander"),"ANDINA",
IF(OR(A3175="Atlántico",A3175="Bolívar",A3175="Cesar",A3175="Córdoba",A3175="Sucre",A3175="Magdalena"),"CARIBE",
IF(OR(A3175="Valle del Cauca",A3175="Cauca",A3175="Nariño"),"PACIFICO",
IF(OR(A3175="Meta",A3175="Casanare",A3175="Arauca"),"ORINOQUIA",
"AMAZONIA"))))</f>
        <v>CARIBE</v>
      </c>
      <c r="I3175" s="6">
        <f>IF(F3175="Departamental",E3175,
AVERAGEIFS($E:$E,$H:$H,H3175,$B:$B,B3175,$C:$C,C3175))</f>
        <v>45000</v>
      </c>
      <c r="J3175" s="47">
        <f>IF(G3175&lt;&gt;"",G3175,I3175)</f>
        <v>45000</v>
      </c>
    </row>
    <row r="3176" spans="1:10">
      <c r="A3176" s="27" t="s">
        <v>3845</v>
      </c>
      <c r="B3176" s="27" t="s">
        <v>4663</v>
      </c>
      <c r="C3176" s="27" t="s">
        <v>4123</v>
      </c>
      <c r="D3176" s="27" t="s">
        <v>4664</v>
      </c>
      <c r="E3176" s="28">
        <v>45000</v>
      </c>
      <c r="F3176" s="27" t="s">
        <v>4658</v>
      </c>
      <c r="G3176" s="48"/>
      <c r="H3176" s="47" t="str">
        <f>IF(OR(A3176="Antioquia",A3176="Bogotá, D.C.",A3176="Boyacá",A3176="Cundinamarca",A3176="Caldas",A3176="Risaralda",A3176="Quindío",A3176="Tolima",A3176="Huila",A3176="Santander",A3176="Norte de Santander"),"ANDINA",
IF(OR(A3176="Atlántico",A3176="Bolívar",A3176="Cesar",A3176="Córdoba",A3176="Sucre",A3176="Magdalena"),"CARIBE",
IF(OR(A3176="Valle del Cauca",A3176="Cauca",A3176="Nariño"),"PACIFICO",
IF(OR(A3176="Meta",A3176="Casanare",A3176="Arauca"),"ORINOQUIA",
"AMAZONIA"))))</f>
        <v>ORINOQUIA</v>
      </c>
      <c r="I3176" s="6">
        <f>IF(F3176="Departamental",E3176,
AVERAGEIFS($E:$E,$H:$H,H3176,$B:$B,B3176,$C:$C,C3176))</f>
        <v>45000</v>
      </c>
      <c r="J3176" s="47">
        <f>IF(G3176&lt;&gt;"",G3176,I3176)</f>
        <v>45000</v>
      </c>
    </row>
    <row r="3177" spans="1:10">
      <c r="A3177" s="27" t="s">
        <v>3846</v>
      </c>
      <c r="B3177" s="27" t="s">
        <v>4663</v>
      </c>
      <c r="C3177" s="27" t="s">
        <v>4123</v>
      </c>
      <c r="D3177" s="27" t="s">
        <v>4664</v>
      </c>
      <c r="E3177" s="28">
        <v>45000</v>
      </c>
      <c r="F3177" s="27" t="s">
        <v>4658</v>
      </c>
      <c r="G3177" s="48"/>
      <c r="H3177" s="47" t="str">
        <f>IF(OR(A3177="Antioquia",A3177="Bogotá, D.C.",A3177="Boyacá",A3177="Cundinamarca",A3177="Caldas",A3177="Risaralda",A3177="Quindío",A3177="Tolima",A3177="Huila",A3177="Santander",A3177="Norte de Santander"),"ANDINA",
IF(OR(A3177="Atlántico",A3177="Bolívar",A3177="Cesar",A3177="Córdoba",A3177="Sucre",A3177="Magdalena"),"CARIBE",
IF(OR(A3177="Valle del Cauca",A3177="Cauca",A3177="Nariño"),"PACIFICO",
IF(OR(A3177="Meta",A3177="Casanare",A3177="Arauca"),"ORINOQUIA",
"AMAZONIA"))))</f>
        <v>PACIFICO</v>
      </c>
      <c r="I3177" s="6">
        <f>IF(F3177="Departamental",E3177,
AVERAGEIFS($E:$E,$H:$H,H3177,$B:$B,B3177,$C:$C,C3177))</f>
        <v>45000</v>
      </c>
      <c r="J3177" s="47">
        <f>IF(G3177&lt;&gt;"",G3177,I3177)</f>
        <v>45000</v>
      </c>
    </row>
    <row r="3178" spans="1:10">
      <c r="A3178" s="27" t="s">
        <v>3847</v>
      </c>
      <c r="B3178" s="27" t="s">
        <v>4663</v>
      </c>
      <c r="C3178" s="27" t="s">
        <v>4123</v>
      </c>
      <c r="D3178" s="27" t="s">
        <v>4664</v>
      </c>
      <c r="E3178" s="28">
        <v>45000</v>
      </c>
      <c r="F3178" s="27" t="s">
        <v>4658</v>
      </c>
      <c r="G3178" s="48"/>
      <c r="H3178" s="47" t="str">
        <f>IF(OR(A3178="Antioquia",A3178="Bogotá, D.C.",A3178="Boyacá",A3178="Cundinamarca",A3178="Caldas",A3178="Risaralda",A3178="Quindío",A3178="Tolima",A3178="Huila",A3178="Santander",A3178="Norte de Santander"),"ANDINA",
IF(OR(A3178="Atlántico",A3178="Bolívar",A3178="Cesar",A3178="Córdoba",A3178="Sucre",A3178="Magdalena"),"CARIBE",
IF(OR(A3178="Valle del Cauca",A3178="Cauca",A3178="Nariño"),"PACIFICO",
IF(OR(A3178="Meta",A3178="Casanare",A3178="Arauca"),"ORINOQUIA",
"AMAZONIA"))))</f>
        <v>ANDINA</v>
      </c>
      <c r="I3178" s="6">
        <f>IF(F3178="Departamental",E3178,
AVERAGEIFS($E:$E,$H:$H,H3178,$B:$B,B3178,$C:$C,C3178))</f>
        <v>45000</v>
      </c>
      <c r="J3178" s="47">
        <f>IF(G3178&lt;&gt;"",G3178,I3178)</f>
        <v>45000</v>
      </c>
    </row>
    <row r="3179" spans="1:10">
      <c r="A3179" s="27" t="s">
        <v>3848</v>
      </c>
      <c r="B3179" s="27" t="s">
        <v>4663</v>
      </c>
      <c r="C3179" s="27" t="s">
        <v>4123</v>
      </c>
      <c r="D3179" s="27" t="s">
        <v>4664</v>
      </c>
      <c r="E3179" s="28">
        <v>45000</v>
      </c>
      <c r="F3179" s="27" t="s">
        <v>4658</v>
      </c>
      <c r="G3179" s="48"/>
      <c r="H3179" s="47" t="str">
        <f>IF(OR(A3179="Antioquia",A3179="Bogotá, D.C.",A3179="Boyacá",A3179="Cundinamarca",A3179="Caldas",A3179="Risaralda",A3179="Quindío",A3179="Tolima",A3179="Huila",A3179="Santander",A3179="Norte de Santander"),"ANDINA",
IF(OR(A3179="Atlántico",A3179="Bolívar",A3179="Cesar",A3179="Córdoba",A3179="Sucre",A3179="Magdalena"),"CARIBE",
IF(OR(A3179="Valle del Cauca",A3179="Cauca",A3179="Nariño"),"PACIFICO",
IF(OR(A3179="Meta",A3179="Casanare",A3179="Arauca"),"ORINOQUIA",
"AMAZONIA"))))</f>
        <v>AMAZONIA</v>
      </c>
      <c r="I3179" s="6">
        <f>IF(F3179="Departamental",E3179,
AVERAGEIFS($E:$E,$H:$H,H3179,$B:$B,B3179,$C:$C,C3179))</f>
        <v>45000</v>
      </c>
      <c r="J3179" s="47">
        <f>IF(G3179&lt;&gt;"",G3179,I3179)</f>
        <v>45000</v>
      </c>
    </row>
    <row r="3180" spans="1:10">
      <c r="A3180" s="27" t="s">
        <v>3849</v>
      </c>
      <c r="B3180" s="27" t="s">
        <v>4663</v>
      </c>
      <c r="C3180" s="27" t="s">
        <v>4123</v>
      </c>
      <c r="D3180" s="27" t="s">
        <v>4664</v>
      </c>
      <c r="E3180" s="28">
        <v>45000</v>
      </c>
      <c r="F3180" s="27" t="s">
        <v>4658</v>
      </c>
      <c r="G3180" s="48"/>
      <c r="H3180" s="47" t="str">
        <f>IF(OR(A3180="Antioquia",A3180="Bogotá, D.C.",A3180="Boyacá",A3180="Cundinamarca",A3180="Caldas",A3180="Risaralda",A3180="Quindío",A3180="Tolima",A3180="Huila",A3180="Santander",A3180="Norte de Santander"),"ANDINA",
IF(OR(A3180="Atlántico",A3180="Bolívar",A3180="Cesar",A3180="Córdoba",A3180="Sucre",A3180="Magdalena"),"CARIBE",
IF(OR(A3180="Valle del Cauca",A3180="Cauca",A3180="Nariño"),"PACIFICO",
IF(OR(A3180="Meta",A3180="Casanare",A3180="Arauca"),"ORINOQUIA",
"AMAZONIA"))))</f>
        <v>ANDINA</v>
      </c>
      <c r="I3180" s="6">
        <f>IF(F3180="Departamental",E3180,
AVERAGEIFS($E:$E,$H:$H,H3180,$B:$B,B3180,$C:$C,C3180))</f>
        <v>45000</v>
      </c>
      <c r="J3180" s="47">
        <f>IF(G3180&lt;&gt;"",G3180,I3180)</f>
        <v>45000</v>
      </c>
    </row>
    <row r="3181" spans="1:10">
      <c r="A3181" s="27" t="s">
        <v>3850</v>
      </c>
      <c r="B3181" s="27" t="s">
        <v>4663</v>
      </c>
      <c r="C3181" s="27" t="s">
        <v>4123</v>
      </c>
      <c r="D3181" s="27" t="s">
        <v>4664</v>
      </c>
      <c r="E3181" s="28">
        <v>45000</v>
      </c>
      <c r="F3181" s="27" t="s">
        <v>4658</v>
      </c>
      <c r="G3181" s="48"/>
      <c r="H3181" s="47" t="str">
        <f>IF(OR(A3181="Antioquia",A3181="Bogotá, D.C.",A3181="Boyacá",A3181="Cundinamarca",A3181="Caldas",A3181="Risaralda",A3181="Quindío",A3181="Tolima",A3181="Huila",A3181="Santander",A3181="Norte de Santander"),"ANDINA",
IF(OR(A3181="Atlántico",A3181="Bolívar",A3181="Cesar",A3181="Córdoba",A3181="Sucre",A3181="Magdalena"),"CARIBE",
IF(OR(A3181="Valle del Cauca",A3181="Cauca",A3181="Nariño"),"PACIFICO",
IF(OR(A3181="Meta",A3181="Casanare",A3181="Arauca"),"ORINOQUIA",
"AMAZONIA"))))</f>
        <v>ANDINA</v>
      </c>
      <c r="I3181" s="6">
        <f>IF(F3181="Departamental",E3181,
AVERAGEIFS($E:$E,$H:$H,H3181,$B:$B,B3181,$C:$C,C3181))</f>
        <v>45000</v>
      </c>
      <c r="J3181" s="47">
        <f>IF(G3181&lt;&gt;"",G3181,I3181)</f>
        <v>45000</v>
      </c>
    </row>
    <row r="3182" spans="1:10">
      <c r="A3182" s="27" t="s">
        <v>3851</v>
      </c>
      <c r="B3182" s="27" t="s">
        <v>4663</v>
      </c>
      <c r="C3182" s="27" t="s">
        <v>4123</v>
      </c>
      <c r="D3182" s="27" t="s">
        <v>4664</v>
      </c>
      <c r="E3182" s="28">
        <v>45000</v>
      </c>
      <c r="F3182" s="27" t="s">
        <v>4658</v>
      </c>
      <c r="G3182" s="48"/>
      <c r="H3182" s="47" t="str">
        <f>IF(OR(A3182="Antioquia",A3182="Bogotá, D.C.",A3182="Boyacá",A3182="Cundinamarca",A3182="Caldas",A3182="Risaralda",A3182="Quindío",A3182="Tolima",A3182="Huila",A3182="Santander",A3182="Norte de Santander"),"ANDINA",
IF(OR(A3182="Atlántico",A3182="Bolívar",A3182="Cesar",A3182="Córdoba",A3182="Sucre",A3182="Magdalena"),"CARIBE",
IF(OR(A3182="Valle del Cauca",A3182="Cauca",A3182="Nariño"),"PACIFICO",
IF(OR(A3182="Meta",A3182="Casanare",A3182="Arauca"),"ORINOQUIA",
"AMAZONIA"))))</f>
        <v>ANDINA</v>
      </c>
      <c r="I3182" s="6">
        <f>IF(F3182="Departamental",E3182,
AVERAGEIFS($E:$E,$H:$H,H3182,$B:$B,B3182,$C:$C,C3182))</f>
        <v>45000</v>
      </c>
      <c r="J3182" s="47">
        <f>IF(G3182&lt;&gt;"",G3182,I3182)</f>
        <v>45000</v>
      </c>
    </row>
    <row r="3183" spans="1:10">
      <c r="A3183" s="27" t="s">
        <v>3852</v>
      </c>
      <c r="B3183" s="27" t="s">
        <v>4663</v>
      </c>
      <c r="C3183" s="27" t="s">
        <v>4123</v>
      </c>
      <c r="D3183" s="27" t="s">
        <v>4664</v>
      </c>
      <c r="E3183" s="28">
        <v>45000</v>
      </c>
      <c r="F3183" s="27" t="s">
        <v>4658</v>
      </c>
      <c r="G3183" s="48"/>
      <c r="H3183" s="47" t="str">
        <f>IF(OR(A3183="Antioquia",A3183="Bogotá, D.C.",A3183="Boyacá",A3183="Cundinamarca",A3183="Caldas",A3183="Risaralda",A3183="Quindío",A3183="Tolima",A3183="Huila",A3183="Santander",A3183="Norte de Santander"),"ANDINA",
IF(OR(A3183="Atlántico",A3183="Bolívar",A3183="Cesar",A3183="Córdoba",A3183="Sucre",A3183="Magdalena"),"CARIBE",
IF(OR(A3183="Valle del Cauca",A3183="Cauca",A3183="Nariño"),"PACIFICO",
IF(OR(A3183="Meta",A3183="Casanare",A3183="Arauca"),"ORINOQUIA",
"AMAZONIA"))))</f>
        <v>CARIBE</v>
      </c>
      <c r="I3183" s="6">
        <f>IF(F3183="Departamental",E3183,
AVERAGEIFS($E:$E,$H:$H,H3183,$B:$B,B3183,$C:$C,C3183))</f>
        <v>45000</v>
      </c>
      <c r="J3183" s="47">
        <f>IF(G3183&lt;&gt;"",G3183,I3183)</f>
        <v>45000</v>
      </c>
    </row>
    <row r="3184" spans="1:10">
      <c r="A3184" s="27" t="s">
        <v>3853</v>
      </c>
      <c r="B3184" s="27" t="s">
        <v>4663</v>
      </c>
      <c r="C3184" s="27" t="s">
        <v>4123</v>
      </c>
      <c r="D3184" s="27" t="s">
        <v>4664</v>
      </c>
      <c r="E3184" s="28">
        <v>45000</v>
      </c>
      <c r="F3184" s="27" t="s">
        <v>4658</v>
      </c>
      <c r="G3184" s="48"/>
      <c r="H3184" s="47" t="str">
        <f>IF(OR(A3184="Antioquia",A3184="Bogotá, D.C.",A3184="Boyacá",A3184="Cundinamarca",A3184="Caldas",A3184="Risaralda",A3184="Quindío",A3184="Tolima",A3184="Huila",A3184="Santander",A3184="Norte de Santander"),"ANDINA",
IF(OR(A3184="Atlántico",A3184="Bolívar",A3184="Cesar",A3184="Córdoba",A3184="Sucre",A3184="Magdalena"),"CARIBE",
IF(OR(A3184="Valle del Cauca",A3184="Cauca",A3184="Nariño"),"PACIFICO",
IF(OR(A3184="Meta",A3184="Casanare",A3184="Arauca"),"ORINOQUIA",
"AMAZONIA"))))</f>
        <v>ANDINA</v>
      </c>
      <c r="I3184" s="6">
        <f>IF(F3184="Departamental",E3184,
AVERAGEIFS($E:$E,$H:$H,H3184,$B:$B,B3184,$C:$C,C3184))</f>
        <v>45000</v>
      </c>
      <c r="J3184" s="47">
        <f>IF(G3184&lt;&gt;"",G3184,I3184)</f>
        <v>45000</v>
      </c>
    </row>
    <row r="3185" spans="1:10">
      <c r="A3185" s="27" t="s">
        <v>3854</v>
      </c>
      <c r="B3185" s="27" t="s">
        <v>4663</v>
      </c>
      <c r="C3185" s="27" t="s">
        <v>4123</v>
      </c>
      <c r="D3185" s="27" t="s">
        <v>4664</v>
      </c>
      <c r="E3185" s="28">
        <v>45000</v>
      </c>
      <c r="F3185" s="27" t="s">
        <v>4658</v>
      </c>
      <c r="G3185" s="48"/>
      <c r="H3185" s="47" t="str">
        <f>IF(OR(A3185="Antioquia",A3185="Bogotá, D.C.",A3185="Boyacá",A3185="Cundinamarca",A3185="Caldas",A3185="Risaralda",A3185="Quindío",A3185="Tolima",A3185="Huila",A3185="Santander",A3185="Norte de Santander"),"ANDINA",
IF(OR(A3185="Atlántico",A3185="Bolívar",A3185="Cesar",A3185="Córdoba",A3185="Sucre",A3185="Magdalena"),"CARIBE",
IF(OR(A3185="Valle del Cauca",A3185="Cauca",A3185="Nariño"),"PACIFICO",
IF(OR(A3185="Meta",A3185="Casanare",A3185="Arauca"),"ORINOQUIA",
"AMAZONIA"))))</f>
        <v>PACIFICO</v>
      </c>
      <c r="I3185" s="6">
        <f>IF(F3185="Departamental",E3185,
AVERAGEIFS($E:$E,$H:$H,H3185,$B:$B,B3185,$C:$C,C3185))</f>
        <v>45000</v>
      </c>
      <c r="J3185" s="47">
        <f>IF(G3185&lt;&gt;"",G3185,I3185)</f>
        <v>45000</v>
      </c>
    </row>
    <row r="3186" spans="1:10">
      <c r="A3186" s="27" t="s">
        <v>4453</v>
      </c>
      <c r="B3186" s="27" t="s">
        <v>4663</v>
      </c>
      <c r="C3186" s="27" t="s">
        <v>4123</v>
      </c>
      <c r="D3186" s="27" t="s">
        <v>4664</v>
      </c>
      <c r="E3186" s="28">
        <v>45000</v>
      </c>
      <c r="F3186" s="27" t="s">
        <v>4658</v>
      </c>
      <c r="G3186" s="48"/>
      <c r="H3186" s="47" t="str">
        <f>IF(OR(A3186="Antioquia",A3186="Bogotá, D.C.",A3186="Boyacá",A3186="Cundinamarca",A3186="Caldas",A3186="Risaralda",A3186="Quindío",A3186="Tolima",A3186="Huila",A3186="Santander",A3186="Norte de Santander"),"ANDINA",
IF(OR(A3186="Atlántico",A3186="Bolívar",A3186="Cesar",A3186="Córdoba",A3186="Sucre",A3186="Magdalena"),"CARIBE",
IF(OR(A3186="Valle del Cauca",A3186="Cauca",A3186="Nariño"),"PACIFICO",
IF(OR(A3186="Meta",A3186="Casanare",A3186="Arauca"),"ORINOQUIA",
"AMAZONIA"))))</f>
        <v>AMAZONIA</v>
      </c>
      <c r="I3186" s="6">
        <f>IF(F3186="Departamental",E3186,
AVERAGEIFS($E:$E,$H:$H,H3186,$B:$B,B3186,$C:$C,C3186))</f>
        <v>45000</v>
      </c>
      <c r="J3186" s="47">
        <f>IF(G3186&lt;&gt;"",G3186,I3186)</f>
        <v>45000</v>
      </c>
    </row>
    <row r="3187" spans="1:10">
      <c r="A3187" s="27" t="s">
        <v>4454</v>
      </c>
      <c r="B3187" s="27" t="s">
        <v>4663</v>
      </c>
      <c r="C3187" s="27" t="s">
        <v>4123</v>
      </c>
      <c r="D3187" s="27" t="s">
        <v>4664</v>
      </c>
      <c r="E3187" s="28">
        <v>45000</v>
      </c>
      <c r="F3187" s="27" t="s">
        <v>4658</v>
      </c>
      <c r="G3187" s="48"/>
      <c r="H3187" s="47" t="str">
        <f>IF(OR(A3187="Antioquia",A3187="Bogotá, D.C.",A3187="Boyacá",A3187="Cundinamarca",A3187="Caldas",A3187="Risaralda",A3187="Quindío",A3187="Tolima",A3187="Huila",A3187="Santander",A3187="Norte de Santander"),"ANDINA",
IF(OR(A3187="Atlántico",A3187="Bolívar",A3187="Cesar",A3187="Córdoba",A3187="Sucre",A3187="Magdalena"),"CARIBE",
IF(OR(A3187="Valle del Cauca",A3187="Cauca",A3187="Nariño"),"PACIFICO",
IF(OR(A3187="Meta",A3187="Casanare",A3187="Arauca"),"ORINOQUIA",
"AMAZONIA"))))</f>
        <v>AMAZONIA</v>
      </c>
      <c r="I3187" s="6">
        <f>IF(F3187="Departamental",E3187,
AVERAGEIFS($E:$E,$H:$H,H3187,$B:$B,B3187,$C:$C,C3187))</f>
        <v>45000</v>
      </c>
      <c r="J3187" s="47">
        <f>IF(G3187&lt;&gt;"",G3187,I3187)</f>
        <v>45000</v>
      </c>
    </row>
    <row r="3188" spans="1:10">
      <c r="A3188" s="27" t="s">
        <v>3832</v>
      </c>
      <c r="B3188" s="27" t="s">
        <v>176</v>
      </c>
      <c r="C3188" s="27" t="s">
        <v>4145</v>
      </c>
      <c r="D3188" s="27" t="s">
        <v>172</v>
      </c>
      <c r="E3188" s="28">
        <v>19889.1857318574</v>
      </c>
      <c r="F3188" s="27" t="s">
        <v>4073</v>
      </c>
      <c r="G3188" s="48"/>
      <c r="H3188" s="47" t="str">
        <f>IF(OR(A3188="Antioquia",A3188="Bogotá, D.C.",A3188="Boyacá",A3188="Cundinamarca",A3188="Caldas",A3188="Risaralda",A3188="Quindío",A3188="Tolima",A3188="Huila",A3188="Santander",A3188="Norte de Santander"),"ANDINA",
IF(OR(A3188="Atlántico",A3188="Bolívar",A3188="Cesar",A3188="Córdoba",A3188="Sucre",A3188="Magdalena"),"CARIBE",
IF(OR(A3188="Valle del Cauca",A3188="Cauca",A3188="Nariño"),"PACIFICO",
IF(OR(A3188="Meta",A3188="Casanare",A3188="Arauca"),"ORINOQUIA",
"AMAZONIA"))))</f>
        <v>ORINOQUIA</v>
      </c>
      <c r="I3188" s="6">
        <f>IF(F3188="Departamental",E3188,
AVERAGEIFS($E:$E,$H:$H,H3188,$B:$B,B3188,$C:$C,C3188))</f>
        <v>19889.1857318574</v>
      </c>
      <c r="J3188" s="47">
        <f>IF(G3188&lt;&gt;"",G3188,I3188)</f>
        <v>19889.1857318574</v>
      </c>
    </row>
    <row r="3189" spans="1:10">
      <c r="A3189" s="27" t="s">
        <v>3833</v>
      </c>
      <c r="B3189" s="27" t="s">
        <v>176</v>
      </c>
      <c r="C3189" s="27" t="s">
        <v>4145</v>
      </c>
      <c r="D3189" s="27" t="s">
        <v>172</v>
      </c>
      <c r="E3189" s="28">
        <v>19889.1857318574</v>
      </c>
      <c r="F3189" s="27" t="s">
        <v>4073</v>
      </c>
      <c r="G3189" s="48"/>
      <c r="H3189" s="47" t="str">
        <f>IF(OR(A3189="Antioquia",A3189="Bogotá, D.C.",A3189="Boyacá",A3189="Cundinamarca",A3189="Caldas",A3189="Risaralda",A3189="Quindío",A3189="Tolima",A3189="Huila",A3189="Santander",A3189="Norte de Santander"),"ANDINA",
IF(OR(A3189="Atlántico",A3189="Bolívar",A3189="Cesar",A3189="Córdoba",A3189="Sucre",A3189="Magdalena"),"CARIBE",
IF(OR(A3189="Valle del Cauca",A3189="Cauca",A3189="Nariño"),"PACIFICO",
IF(OR(A3189="Meta",A3189="Casanare",A3189="Arauca"),"ORINOQUIA",
"AMAZONIA"))))</f>
        <v>CARIBE</v>
      </c>
      <c r="I3189" s="6">
        <f>IF(F3189="Departamental",E3189,
AVERAGEIFS($E:$E,$H:$H,H3189,$B:$B,B3189,$C:$C,C3189))</f>
        <v>19935.472879271685</v>
      </c>
      <c r="J3189" s="47">
        <f>IF(G3189&lt;&gt;"",G3189,I3189)</f>
        <v>19935.472879271685</v>
      </c>
    </row>
    <row r="3190" spans="1:10">
      <c r="A3190" s="27" t="s">
        <v>3844</v>
      </c>
      <c r="B3190" s="27" t="s">
        <v>176</v>
      </c>
      <c r="C3190" s="27" t="s">
        <v>4145</v>
      </c>
      <c r="D3190" s="27" t="s">
        <v>172</v>
      </c>
      <c r="E3190" s="28">
        <v>19889.1857318574</v>
      </c>
      <c r="F3190" s="27" t="s">
        <v>4073</v>
      </c>
      <c r="G3190" s="48"/>
      <c r="H3190" s="47" t="str">
        <f>IF(OR(A3190="Antioquia",A3190="Bogotá, D.C.",A3190="Boyacá",A3190="Cundinamarca",A3190="Caldas",A3190="Risaralda",A3190="Quindío",A3190="Tolima",A3190="Huila",A3190="Santander",A3190="Norte de Santander"),"ANDINA",
IF(OR(A3190="Atlántico",A3190="Bolívar",A3190="Cesar",A3190="Córdoba",A3190="Sucre",A3190="Magdalena"),"CARIBE",
IF(OR(A3190="Valle del Cauca",A3190="Cauca",A3190="Nariño"),"PACIFICO",
IF(OR(A3190="Meta",A3190="Casanare",A3190="Arauca"),"ORINOQUIA",
"AMAZONIA"))))</f>
        <v>CARIBE</v>
      </c>
      <c r="I3190" s="6">
        <f>IF(F3190="Departamental",E3190,
AVERAGEIFS($E:$E,$H:$H,H3190,$B:$B,B3190,$C:$C,C3190))</f>
        <v>19935.472879271685</v>
      </c>
      <c r="J3190" s="47">
        <f>IF(G3190&lt;&gt;"",G3190,I3190)</f>
        <v>19935.472879271685</v>
      </c>
    </row>
    <row r="3191" spans="1:10">
      <c r="A3191" s="27" t="s">
        <v>3852</v>
      </c>
      <c r="B3191" s="27" t="s">
        <v>176</v>
      </c>
      <c r="C3191" s="27" t="s">
        <v>4145</v>
      </c>
      <c r="D3191" s="27" t="s">
        <v>172</v>
      </c>
      <c r="E3191" s="28">
        <v>19889.1857318574</v>
      </c>
      <c r="F3191" s="27" t="s">
        <v>4073</v>
      </c>
      <c r="G3191" s="48"/>
      <c r="H3191" s="47" t="str">
        <f>IF(OR(A3191="Antioquia",A3191="Bogotá, D.C.",A3191="Boyacá",A3191="Cundinamarca",A3191="Caldas",A3191="Risaralda",A3191="Quindío",A3191="Tolima",A3191="Huila",A3191="Santander",A3191="Norte de Santander"),"ANDINA",
IF(OR(A3191="Atlántico",A3191="Bolívar",A3191="Cesar",A3191="Córdoba",A3191="Sucre",A3191="Magdalena"),"CARIBE",
IF(OR(A3191="Valle del Cauca",A3191="Cauca",A3191="Nariño"),"PACIFICO",
IF(OR(A3191="Meta",A3191="Casanare",A3191="Arauca"),"ORINOQUIA",
"AMAZONIA"))))</f>
        <v>CARIBE</v>
      </c>
      <c r="I3191" s="6">
        <f>IF(F3191="Departamental",E3191,
AVERAGEIFS($E:$E,$H:$H,H3191,$B:$B,B3191,$C:$C,C3191))</f>
        <v>19935.472879271685</v>
      </c>
      <c r="J3191" s="47">
        <f>IF(G3191&lt;&gt;"",G3191,I3191)</f>
        <v>19935.472879271685</v>
      </c>
    </row>
    <row r="3192" spans="1:10">
      <c r="A3192" s="27" t="s">
        <v>3832</v>
      </c>
      <c r="B3192" s="27" t="s">
        <v>176</v>
      </c>
      <c r="C3192" s="27" t="s">
        <v>4112</v>
      </c>
      <c r="D3192" s="27" t="s">
        <v>226</v>
      </c>
      <c r="E3192" s="28">
        <v>28373.316498316399</v>
      </c>
      <c r="F3192" s="27" t="s">
        <v>4073</v>
      </c>
      <c r="G3192" s="48"/>
      <c r="H3192" s="47" t="str">
        <f>IF(OR(A3192="Antioquia",A3192="Bogotá, D.C.",A3192="Boyacá",A3192="Cundinamarca",A3192="Caldas",A3192="Risaralda",A3192="Quindío",A3192="Tolima",A3192="Huila",A3192="Santander",A3192="Norte de Santander"),"ANDINA",
IF(OR(A3192="Atlántico",A3192="Bolívar",A3192="Cesar",A3192="Córdoba",A3192="Sucre",A3192="Magdalena"),"CARIBE",
IF(OR(A3192="Valle del Cauca",A3192="Cauca",A3192="Nariño"),"PACIFICO",
IF(OR(A3192="Meta",A3192="Casanare",A3192="Arauca"),"ORINOQUIA",
"AMAZONIA"))))</f>
        <v>ORINOQUIA</v>
      </c>
      <c r="I3192" s="6">
        <f>IF(F3192="Departamental",E3192,
AVERAGEIFS($E:$E,$H:$H,H3192,$B:$B,B3192,$C:$C,C3192))</f>
        <v>27252.088896626501</v>
      </c>
      <c r="J3192" s="47">
        <f>IF(G3192&lt;&gt;"",G3192,I3192)</f>
        <v>27252.088896626501</v>
      </c>
    </row>
    <row r="3193" spans="1:10">
      <c r="A3193" s="27" t="s">
        <v>3833</v>
      </c>
      <c r="B3193" s="27" t="s">
        <v>176</v>
      </c>
      <c r="C3193" s="27" t="s">
        <v>4112</v>
      </c>
      <c r="D3193" s="27" t="s">
        <v>226</v>
      </c>
      <c r="E3193" s="28">
        <v>28373.316498316399</v>
      </c>
      <c r="F3193" s="27" t="s">
        <v>4073</v>
      </c>
      <c r="G3193" s="48"/>
      <c r="H3193" s="47" t="str">
        <f>IF(OR(A3193="Antioquia",A3193="Bogotá, D.C.",A3193="Boyacá",A3193="Cundinamarca",A3193="Caldas",A3193="Risaralda",A3193="Quindío",A3193="Tolima",A3193="Huila",A3193="Santander",A3193="Norte de Santander"),"ANDINA",
IF(OR(A3193="Atlántico",A3193="Bolívar",A3193="Cesar",A3193="Córdoba",A3193="Sucre",A3193="Magdalena"),"CARIBE",
IF(OR(A3193="Valle del Cauca",A3193="Cauca",A3193="Nariño"),"PACIFICO",
IF(OR(A3193="Meta",A3193="Casanare",A3193="Arauca"),"ORINOQUIA",
"AMAZONIA"))))</f>
        <v>CARIBE</v>
      </c>
      <c r="I3193" s="6">
        <f>IF(F3193="Departamental",E3193,
AVERAGEIFS($E:$E,$H:$H,H3193,$B:$B,B3193,$C:$C,C3193))</f>
        <v>28373.316498316406</v>
      </c>
      <c r="J3193" s="47">
        <f>IF(G3193&lt;&gt;"",G3193,I3193)</f>
        <v>28373.316498316406</v>
      </c>
    </row>
    <row r="3194" spans="1:10">
      <c r="A3194" s="27" t="s">
        <v>3844</v>
      </c>
      <c r="B3194" s="27" t="s">
        <v>176</v>
      </c>
      <c r="C3194" s="27" t="s">
        <v>4112</v>
      </c>
      <c r="D3194" s="27" t="s">
        <v>226</v>
      </c>
      <c r="E3194" s="28">
        <v>28373.316498316399</v>
      </c>
      <c r="F3194" s="27" t="s">
        <v>4073</v>
      </c>
      <c r="G3194" s="48"/>
      <c r="H3194" s="47" t="str">
        <f>IF(OR(A3194="Antioquia",A3194="Bogotá, D.C.",A3194="Boyacá",A3194="Cundinamarca",A3194="Caldas",A3194="Risaralda",A3194="Quindío",A3194="Tolima",A3194="Huila",A3194="Santander",A3194="Norte de Santander"),"ANDINA",
IF(OR(A3194="Atlántico",A3194="Bolívar",A3194="Cesar",A3194="Córdoba",A3194="Sucre",A3194="Magdalena"),"CARIBE",
IF(OR(A3194="Valle del Cauca",A3194="Cauca",A3194="Nariño"),"PACIFICO",
IF(OR(A3194="Meta",A3194="Casanare",A3194="Arauca"),"ORINOQUIA",
"AMAZONIA"))))</f>
        <v>CARIBE</v>
      </c>
      <c r="I3194" s="6">
        <f>IF(F3194="Departamental",E3194,
AVERAGEIFS($E:$E,$H:$H,H3194,$B:$B,B3194,$C:$C,C3194))</f>
        <v>28373.316498316406</v>
      </c>
      <c r="J3194" s="47">
        <f>IF(G3194&lt;&gt;"",G3194,I3194)</f>
        <v>28373.316498316406</v>
      </c>
    </row>
    <row r="3195" spans="1:10">
      <c r="A3195" s="27" t="s">
        <v>3852</v>
      </c>
      <c r="B3195" s="27" t="s">
        <v>176</v>
      </c>
      <c r="C3195" s="27" t="s">
        <v>4112</v>
      </c>
      <c r="D3195" s="27" t="s">
        <v>226</v>
      </c>
      <c r="E3195" s="28">
        <v>28373.316498316399</v>
      </c>
      <c r="F3195" s="27" t="s">
        <v>4073</v>
      </c>
      <c r="G3195" s="48"/>
      <c r="H3195" s="47" t="str">
        <f>IF(OR(A3195="Antioquia",A3195="Bogotá, D.C.",A3195="Boyacá",A3195="Cundinamarca",A3195="Caldas",A3195="Risaralda",A3195="Quindío",A3195="Tolima",A3195="Huila",A3195="Santander",A3195="Norte de Santander"),"ANDINA",
IF(OR(A3195="Atlántico",A3195="Bolívar",A3195="Cesar",A3195="Córdoba",A3195="Sucre",A3195="Magdalena"),"CARIBE",
IF(OR(A3195="Valle del Cauca",A3195="Cauca",A3195="Nariño"),"PACIFICO",
IF(OR(A3195="Meta",A3195="Casanare",A3195="Arauca"),"ORINOQUIA",
"AMAZONIA"))))</f>
        <v>CARIBE</v>
      </c>
      <c r="I3195" s="6">
        <f>IF(F3195="Departamental",E3195,
AVERAGEIFS($E:$E,$H:$H,H3195,$B:$B,B3195,$C:$C,C3195))</f>
        <v>28373.316498316406</v>
      </c>
      <c r="J3195" s="47">
        <f>IF(G3195&lt;&gt;"",G3195,I3195)</f>
        <v>28373.316498316406</v>
      </c>
    </row>
    <row r="3196" spans="1:10">
      <c r="A3196" s="27" t="s">
        <v>3832</v>
      </c>
      <c r="B3196" s="27" t="s">
        <v>180</v>
      </c>
      <c r="C3196" s="27" t="s">
        <v>4114</v>
      </c>
      <c r="D3196" s="27" t="s">
        <v>172</v>
      </c>
      <c r="E3196" s="28">
        <v>26303.824059353399</v>
      </c>
      <c r="F3196" s="27" t="s">
        <v>4073</v>
      </c>
      <c r="G3196" s="48"/>
      <c r="H3196" s="47" t="str">
        <f>IF(OR(A3196="Antioquia",A3196="Bogotá, D.C.",A3196="Boyacá",A3196="Cundinamarca",A3196="Caldas",A3196="Risaralda",A3196="Quindío",A3196="Tolima",A3196="Huila",A3196="Santander",A3196="Norte de Santander"),"ANDINA",
IF(OR(A3196="Atlántico",A3196="Bolívar",A3196="Cesar",A3196="Córdoba",A3196="Sucre",A3196="Magdalena"),"CARIBE",
IF(OR(A3196="Valle del Cauca",A3196="Cauca",A3196="Nariño"),"PACIFICO",
IF(OR(A3196="Meta",A3196="Casanare",A3196="Arauca"),"ORINOQUIA",
"AMAZONIA"))))</f>
        <v>ORINOQUIA</v>
      </c>
      <c r="I3196" s="6">
        <f>IF(F3196="Departamental",E3196,
AVERAGEIFS($E:$E,$H:$H,H3196,$B:$B,B3196,$C:$C,C3196))</f>
        <v>29524.081703994994</v>
      </c>
      <c r="J3196" s="47">
        <f>IF(G3196&lt;&gt;"",G3196,I3196)</f>
        <v>29524.081703994994</v>
      </c>
    </row>
    <row r="3197" spans="1:10">
      <c r="A3197" s="27" t="s">
        <v>3833</v>
      </c>
      <c r="B3197" s="27" t="s">
        <v>180</v>
      </c>
      <c r="C3197" s="27" t="s">
        <v>4114</v>
      </c>
      <c r="D3197" s="27" t="s">
        <v>172</v>
      </c>
      <c r="E3197" s="28">
        <v>26303.824059353399</v>
      </c>
      <c r="F3197" s="27" t="s">
        <v>4073</v>
      </c>
      <c r="G3197" s="48"/>
      <c r="H3197" s="47" t="str">
        <f>IF(OR(A3197="Antioquia",A3197="Bogotá, D.C.",A3197="Boyacá",A3197="Cundinamarca",A3197="Caldas",A3197="Risaralda",A3197="Quindío",A3197="Tolima",A3197="Huila",A3197="Santander",A3197="Norte de Santander"),"ANDINA",
IF(OR(A3197="Atlántico",A3197="Bolívar",A3197="Cesar",A3197="Córdoba",A3197="Sucre",A3197="Magdalena"),"CARIBE",
IF(OR(A3197="Valle del Cauca",A3197="Cauca",A3197="Nariño"),"PACIFICO",
IF(OR(A3197="Meta",A3197="Casanare",A3197="Arauca"),"ORINOQUIA",
"AMAZONIA"))))</f>
        <v>CARIBE</v>
      </c>
      <c r="I3197" s="6">
        <f>IF(F3197="Departamental",E3197,
AVERAGEIFS($E:$E,$H:$H,H3197,$B:$B,B3197,$C:$C,C3197))</f>
        <v>26652.587353670096</v>
      </c>
      <c r="J3197" s="47">
        <f>IF(G3197&lt;&gt;"",G3197,I3197)</f>
        <v>26652.587353670096</v>
      </c>
    </row>
    <row r="3198" spans="1:10">
      <c r="A3198" s="27" t="s">
        <v>3844</v>
      </c>
      <c r="B3198" s="27" t="s">
        <v>180</v>
      </c>
      <c r="C3198" s="27" t="s">
        <v>4114</v>
      </c>
      <c r="D3198" s="27" t="s">
        <v>172</v>
      </c>
      <c r="E3198" s="28">
        <v>26303.824059353399</v>
      </c>
      <c r="F3198" s="27" t="s">
        <v>4073</v>
      </c>
      <c r="G3198" s="48"/>
      <c r="H3198" s="47" t="str">
        <f>IF(OR(A3198="Antioquia",A3198="Bogotá, D.C.",A3198="Boyacá",A3198="Cundinamarca",A3198="Caldas",A3198="Risaralda",A3198="Quindío",A3198="Tolima",A3198="Huila",A3198="Santander",A3198="Norte de Santander"),"ANDINA",
IF(OR(A3198="Atlántico",A3198="Bolívar",A3198="Cesar",A3198="Córdoba",A3198="Sucre",A3198="Magdalena"),"CARIBE",
IF(OR(A3198="Valle del Cauca",A3198="Cauca",A3198="Nariño"),"PACIFICO",
IF(OR(A3198="Meta",A3198="Casanare",A3198="Arauca"),"ORINOQUIA",
"AMAZONIA"))))</f>
        <v>CARIBE</v>
      </c>
      <c r="I3198" s="6">
        <f>IF(F3198="Departamental",E3198,
AVERAGEIFS($E:$E,$H:$H,H3198,$B:$B,B3198,$C:$C,C3198))</f>
        <v>26652.587353670096</v>
      </c>
      <c r="J3198" s="47">
        <f>IF(G3198&lt;&gt;"",G3198,I3198)</f>
        <v>26652.587353670096</v>
      </c>
    </row>
    <row r="3199" spans="1:10">
      <c r="A3199" s="27" t="s">
        <v>3852</v>
      </c>
      <c r="B3199" s="27" t="s">
        <v>180</v>
      </c>
      <c r="C3199" s="27" t="s">
        <v>4114</v>
      </c>
      <c r="D3199" s="27" t="s">
        <v>172</v>
      </c>
      <c r="E3199" s="28">
        <v>26303.824059353399</v>
      </c>
      <c r="F3199" s="27" t="s">
        <v>4073</v>
      </c>
      <c r="G3199" s="48"/>
      <c r="H3199" s="47" t="str">
        <f>IF(OR(A3199="Antioquia",A3199="Bogotá, D.C.",A3199="Boyacá",A3199="Cundinamarca",A3199="Caldas",A3199="Risaralda",A3199="Quindío",A3199="Tolima",A3199="Huila",A3199="Santander",A3199="Norte de Santander"),"ANDINA",
IF(OR(A3199="Atlántico",A3199="Bolívar",A3199="Cesar",A3199="Córdoba",A3199="Sucre",A3199="Magdalena"),"CARIBE",
IF(OR(A3199="Valle del Cauca",A3199="Cauca",A3199="Nariño"),"PACIFICO",
IF(OR(A3199="Meta",A3199="Casanare",A3199="Arauca"),"ORINOQUIA",
"AMAZONIA"))))</f>
        <v>CARIBE</v>
      </c>
      <c r="I3199" s="6">
        <f>IF(F3199="Departamental",E3199,
AVERAGEIFS($E:$E,$H:$H,H3199,$B:$B,B3199,$C:$C,C3199))</f>
        <v>26652.587353670096</v>
      </c>
      <c r="J3199" s="47">
        <f>IF(G3199&lt;&gt;"",G3199,I3199)</f>
        <v>26652.587353670096</v>
      </c>
    </row>
  </sheetData>
  <autoFilter ref="A1:F2928" xr:uid="{00000000-0009-0000-0000-000009000000}"/>
  <mergeCells count="2">
    <mergeCell ref="L2:S15"/>
    <mergeCell ref="L17:S21"/>
  </mergeCells>
  <phoneticPr fontId="12" type="noConversion"/>
  <conditionalFormatting sqref="B978:B1334">
    <cfRule type="expression" dxfId="75" priority="6">
      <formula>ROW()=CELL("fila")</formula>
    </cfRule>
  </conditionalFormatting>
  <conditionalFormatting sqref="B1377:B1418">
    <cfRule type="expression" dxfId="73" priority="4">
      <formula>ROW()=CELL("fila")</formula>
    </cfRule>
  </conditionalFormatting>
  <conditionalFormatting sqref="B1909:B1927">
    <cfRule type="expression" dxfId="71" priority="2">
      <formula>ROW()=CELL("fila")</formula>
    </cfRule>
  </conditionalFormatting>
  <conditionalFormatting sqref="C1419:C1460">
    <cfRule type="expression" dxfId="64" priority="10">
      <formula>ROW()=CELL("fila")</formula>
    </cfRule>
    <cfRule type="cellIs" dxfId="62" priority="12" operator="equal">
      <formula>$L$1162</formula>
    </cfRule>
    <cfRule type="cellIs" dxfId="61" priority="13" operator="equal">
      <formula>$L$1057</formula>
    </cfRule>
    <cfRule type="containsText" dxfId="60" priority="14" operator="containsText" text="agrimins">
      <formula>NOT(ISERROR(SEARCH("agrimins",C1419)))</formula>
    </cfRule>
    <cfRule type="containsText" dxfId="59" priority="15" operator="containsText" text="cloruro">
      <formula>NOT(ISERROR(SEARCH("cloruro",C1419)))</formula>
    </cfRule>
    <cfRule type="containsText" dxfId="58" priority="16" operator="containsText" text="fosfato">
      <formula>NOT(ISERROR(SEARCH("fosfato",C1419)))</formula>
    </cfRule>
    <cfRule type="containsText" dxfId="57" priority="17" operator="containsText" text="urea">
      <formula>NOT(ISERROR(SEARCH("urea",C1419)))</formula>
    </cfRule>
  </conditionalFormatting>
  <conditionalFormatting sqref="E1 E2485:E3031 E3200:E1048576">
    <cfRule type="duplicateValues" dxfId="56" priority="54"/>
  </conditionalFormatting>
  <conditionalFormatting sqref="E2:E1338 E1340:E1346 E1348:E1400 E1403:E1405 E1407:E1411 E1414:E1418 E1422 E1426 E1428 E1439 E1441 E1445 E1449:E1451 E1457 E1460:E2484">
    <cfRule type="duplicateValues" dxfId="55" priority="18"/>
  </conditionalFormatting>
  <conditionalFormatting sqref="E1398:E1460">
    <cfRule type="duplicateValues" dxfId="54" priority="8"/>
  </conditionalFormatting>
  <conditionalFormatting sqref="E3032:E3199">
    <cfRule type="duplicateValues" dxfId="0" priority="1"/>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containsText" priority="19" operator="containsText" id="{958F4BE5-7A7D-4D9C-8819-83B7F0754A50}">
            <xm:f>NOT(ISERROR(SEARCH($A$1019,A1)))</xm:f>
            <xm:f>$A$1019</xm:f>
            <x14:dxf>
              <fill>
                <patternFill>
                  <bgColor rgb="FF7030A0"/>
                </patternFill>
              </fill>
            </x14:dxf>
          </x14:cfRule>
          <xm:sqref>A1:A1048576</xm:sqref>
        </x14:conditionalFormatting>
        <x14:conditionalFormatting xmlns:xm="http://schemas.microsoft.com/office/excel/2006/main">
          <x14:cfRule type="containsText" priority="7" operator="containsText" id="{384B5147-EFB1-4161-93EE-26F022F549EB}">
            <xm:f>NOT(ISERROR(SEARCH(ROW()=CELL("fila"),B978)))</xm:f>
            <xm:f>ROW()=CELL("fila")</xm:f>
            <x14:dxf>
              <fill>
                <patternFill>
                  <bgColor theme="9" tint="0.59996337778862885"/>
                </patternFill>
              </fill>
            </x14:dxf>
          </x14:cfRule>
          <xm:sqref>B978:B1334</xm:sqref>
        </x14:conditionalFormatting>
        <x14:conditionalFormatting xmlns:xm="http://schemas.microsoft.com/office/excel/2006/main">
          <x14:cfRule type="containsText" priority="5" operator="containsText" id="{9C7ABBC0-F53C-470B-B6B5-8AD4F34DA634}">
            <xm:f>NOT(ISERROR(SEARCH(ROW()=CELL("fila"),B1377)))</xm:f>
            <xm:f>ROW()=CELL("fila")</xm:f>
            <x14:dxf>
              <fill>
                <patternFill>
                  <bgColor theme="9" tint="0.59996337778862885"/>
                </patternFill>
              </fill>
            </x14:dxf>
          </x14:cfRule>
          <xm:sqref>B1377:B1418</xm:sqref>
        </x14:conditionalFormatting>
        <x14:conditionalFormatting xmlns:xm="http://schemas.microsoft.com/office/excel/2006/main">
          <x14:cfRule type="containsText" priority="3" operator="containsText" id="{14AF7DDA-D32D-4E29-8F09-2535413543C1}">
            <xm:f>NOT(ISERROR(SEARCH(ROW()=CELL("fila"),B1909)))</xm:f>
            <xm:f>ROW()=CELL("fila")</xm:f>
            <x14:dxf>
              <fill>
                <patternFill>
                  <bgColor theme="9" tint="0.59996337778862885"/>
                </patternFill>
              </fill>
            </x14:dxf>
          </x14:cfRule>
          <xm:sqref>B1909:B1927</xm:sqref>
        </x14:conditionalFormatting>
        <x14:conditionalFormatting xmlns:xm="http://schemas.microsoft.com/office/excel/2006/main">
          <x14:cfRule type="containsText" priority="23" operator="containsText" id="{E1CD8957-8177-4574-87F4-A843A02BA529}">
            <xm:f>NOT(ISERROR(SEARCH($B$32,C852)))</xm:f>
            <xm:f>$B$32</xm:f>
            <x14:dxf>
              <fill>
                <patternFill>
                  <bgColor theme="9"/>
                </patternFill>
              </fill>
            </x14:dxf>
          </x14:cfRule>
          <xm:sqref>C852:C872</xm:sqref>
        </x14:conditionalFormatting>
        <x14:conditionalFormatting xmlns:xm="http://schemas.microsoft.com/office/excel/2006/main">
          <x14:cfRule type="containsText" priority="22" operator="containsText" id="{7D643B64-842D-4F40-B29C-4EA6F27FF755}">
            <xm:f>NOT(ISERROR(SEARCH($C$32,C873)))</xm:f>
            <xm:f>$C$32</xm:f>
            <x14:dxf>
              <fill>
                <patternFill>
                  <bgColor rgb="FF00B050"/>
                </patternFill>
              </fill>
            </x14:dxf>
          </x14:cfRule>
          <xm:sqref>C873:C893</xm:sqref>
        </x14:conditionalFormatting>
        <x14:conditionalFormatting xmlns:xm="http://schemas.microsoft.com/office/excel/2006/main">
          <x14:cfRule type="containsText" priority="21" operator="containsText" id="{D29AE537-205E-4578-9BA9-7F5448A1B4B6}">
            <xm:f>NOT(ISERROR(SEARCH($D$32,C894)))</xm:f>
            <xm:f>$D$32</xm:f>
            <x14:dxf>
              <fill>
                <patternFill>
                  <bgColor rgb="FF00B0F0"/>
                </patternFill>
              </fill>
            </x14:dxf>
          </x14:cfRule>
          <xm:sqref>C894:C914</xm:sqref>
        </x14:conditionalFormatting>
        <x14:conditionalFormatting xmlns:xm="http://schemas.microsoft.com/office/excel/2006/main">
          <x14:cfRule type="containsText" priority="20" operator="containsText" id="{E0C931DA-53B5-4EF8-BAAE-F58665643D33}">
            <xm:f>NOT(ISERROR(SEARCH($E$32,C915)))</xm:f>
            <xm:f>$E$32</xm:f>
            <x14:dxf>
              <fill>
                <patternFill>
                  <bgColor rgb="FF7030A0"/>
                </patternFill>
              </fill>
            </x14:dxf>
          </x14:cfRule>
          <xm:sqref>C915:C935</xm:sqref>
        </x14:conditionalFormatting>
        <x14:conditionalFormatting xmlns:xm="http://schemas.microsoft.com/office/excel/2006/main">
          <x14:cfRule type="containsText" priority="9" operator="containsText" id="{FFBE61F3-FA0E-403F-9EC5-D383D64C9E04}">
            <xm:f>NOT(ISERROR(SEARCH($L$71,C1419)))</xm:f>
            <xm:f>$L$71</xm:f>
            <x14:dxf>
              <fill>
                <patternFill>
                  <bgColor theme="7" tint="0.39994506668294322"/>
                </patternFill>
              </fill>
            </x14:dxf>
          </x14:cfRule>
          <x14:cfRule type="containsText" priority="11" operator="containsText" id="{7A167C77-330B-4122-AC2C-5BA75211B3EC}">
            <xm:f>NOT(ISERROR(SEARCH(ROW()=CELL("fila"),C1419)))</xm:f>
            <xm:f>ROW()=CELL("fila")</xm:f>
            <x14:dxf>
              <fill>
                <patternFill>
                  <bgColor theme="9" tint="0.59996337778862885"/>
                </patternFill>
              </fill>
            </x14:dxf>
          </x14:cfRule>
          <xm:sqref>C1419:C1460</xm:sqref>
        </x14:conditionalFormatting>
        <x14:conditionalFormatting xmlns:xm="http://schemas.microsoft.com/office/excel/2006/main">
          <x14:cfRule type="containsText" priority="58" operator="containsText" id="{58E852B9-EB8A-44FB-9445-DE7C4BBC162A}">
            <xm:f>NOT(ISERROR(SEARCH($L$992,L978)))</xm:f>
            <xm:f>$L$992</xm:f>
            <x14:dxf>
              <fill>
                <patternFill>
                  <bgColor theme="9"/>
                </patternFill>
              </fill>
            </x14:dxf>
          </x14:cfRule>
          <xm:sqref>L978:L983</xm:sqref>
        </x14:conditionalFormatting>
        <x14:conditionalFormatting xmlns:xm="http://schemas.microsoft.com/office/excel/2006/main">
          <x14:cfRule type="containsText" priority="59" operator="containsText" id="{D78872E8-7D84-475B-A967-A5868E964A99}">
            <xm:f>NOT(ISERROR(SEARCH($L$1007,L996)))</xm:f>
            <xm:f>$L$1007</xm:f>
            <x14:dxf>
              <fill>
                <patternFill>
                  <bgColor theme="9"/>
                </patternFill>
              </fill>
            </x14:dxf>
          </x14:cfRule>
          <xm:sqref>L996:L1007</xm:sqref>
        </x14:conditionalFormatting>
        <x14:conditionalFormatting xmlns:xm="http://schemas.microsoft.com/office/excel/2006/main">
          <x14:cfRule type="containsText" priority="57" operator="containsText" id="{1E6EAFCA-E1CC-4216-B4AB-17334D5AEBAC}">
            <xm:f>NOT(ISERROR(SEARCH($L$1022,L1008)))</xm:f>
            <xm:f>$L$1022</xm:f>
            <x14:dxf>
              <fill>
                <patternFill>
                  <bgColor theme="9"/>
                </patternFill>
              </fill>
            </x14:dxf>
          </x14:cfRule>
          <xm:sqref>L1008:L1022</xm:sqref>
        </x14:conditionalFormatting>
        <x14:conditionalFormatting xmlns:xm="http://schemas.microsoft.com/office/excel/2006/main">
          <x14:cfRule type="containsText" priority="56" operator="containsText" id="{CBA16329-3760-42CF-ADF3-D634234CE440}">
            <xm:f>NOT(ISERROR(SEARCH($L$1037,L1023)))</xm:f>
            <xm:f>$L$1037</xm:f>
            <x14:dxf>
              <fill>
                <patternFill>
                  <bgColor theme="5" tint="0.59996337778862885"/>
                </patternFill>
              </fill>
            </x14:dxf>
          </x14:cfRule>
          <xm:sqref>L1023:L1037</xm:sqref>
        </x14:conditionalFormatting>
        <x14:conditionalFormatting xmlns:xm="http://schemas.microsoft.com/office/excel/2006/main">
          <x14:cfRule type="containsText" priority="60" operator="containsText" id="{A1A41839-F6C1-4CCF-90FF-6F49A0311A33}">
            <xm:f>NOT(ISERROR(SEARCH($L$992,M978)))</xm:f>
            <xm:f>$L$992</xm:f>
            <x14:dxf>
              <fill>
                <patternFill>
                  <bgColor theme="9"/>
                </patternFill>
              </fill>
            </x14:dxf>
          </x14:cfRule>
          <xm:sqref>M978</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BEDE2-0AC0-4A80-A47B-F8AC4B11CACF}">
  <sheetPr codeName="Hoja1">
    <tabColor rgb="FF607D8B"/>
  </sheetPr>
  <dimension ref="A1:AJ2212"/>
  <sheetViews>
    <sheetView zoomScale="25" workbookViewId="0">
      <pane ySplit="1" topLeftCell="A2" activePane="bottomLeft" state="frozen"/>
      <selection pane="bottomLeft" activeCell="H18" sqref="H18"/>
    </sheetView>
    <sheetView workbookViewId="1"/>
  </sheetViews>
  <sheetFormatPr baseColWidth="10" defaultColWidth="27" defaultRowHeight="14.25"/>
  <cols>
    <col min="1" max="16384" width="27" style="26"/>
  </cols>
  <sheetData>
    <row r="1" spans="1:36" ht="21.95" customHeight="1">
      <c r="A1" s="179" t="s">
        <v>317</v>
      </c>
      <c r="B1" s="179" t="s">
        <v>318</v>
      </c>
      <c r="C1" s="179" t="s">
        <v>319</v>
      </c>
      <c r="D1" s="179" t="s">
        <v>320</v>
      </c>
      <c r="E1" s="179" t="s">
        <v>13</v>
      </c>
      <c r="F1" s="88"/>
      <c r="G1" s="646" t="s">
        <v>4651</v>
      </c>
      <c r="H1" s="88"/>
      <c r="I1" s="88"/>
      <c r="J1" s="88"/>
      <c r="K1" s="88"/>
      <c r="L1" s="88"/>
      <c r="M1" s="88"/>
      <c r="N1" s="88"/>
      <c r="O1" s="88"/>
      <c r="P1" s="88"/>
      <c r="Q1" s="88"/>
      <c r="R1" s="88"/>
      <c r="S1" s="88"/>
      <c r="T1" s="88"/>
      <c r="U1" s="88"/>
      <c r="V1" s="88"/>
      <c r="W1" s="88"/>
      <c r="X1" s="88"/>
      <c r="Y1" s="88"/>
      <c r="Z1" s="88"/>
      <c r="AA1" s="88"/>
      <c r="AB1" s="88"/>
      <c r="AC1" s="88"/>
      <c r="AD1" s="88"/>
      <c r="AE1" s="88"/>
      <c r="AF1" s="88"/>
      <c r="AG1" s="88"/>
      <c r="AH1" s="88"/>
      <c r="AI1" s="88"/>
      <c r="AJ1" s="88"/>
    </row>
    <row r="2" spans="1:36" ht="15">
      <c r="A2" s="88" t="s">
        <v>6</v>
      </c>
      <c r="B2" s="88" t="s">
        <v>321</v>
      </c>
      <c r="C2" s="88" t="s">
        <v>7</v>
      </c>
      <c r="D2" s="88" t="s">
        <v>322</v>
      </c>
      <c r="E2" s="88" t="s">
        <v>323</v>
      </c>
      <c r="F2" s="88" t="s">
        <v>324</v>
      </c>
      <c r="G2" s="88" t="s">
        <v>324</v>
      </c>
      <c r="H2" s="88" t="s">
        <v>325</v>
      </c>
      <c r="I2" s="88" t="s">
        <v>326</v>
      </c>
      <c r="J2" s="88" t="s">
        <v>327</v>
      </c>
      <c r="K2" s="88" t="s">
        <v>328</v>
      </c>
      <c r="L2" s="88" t="s">
        <v>329</v>
      </c>
      <c r="M2" s="88" t="s">
        <v>330</v>
      </c>
      <c r="N2" s="88" t="s">
        <v>331</v>
      </c>
      <c r="O2" s="88" t="s">
        <v>332</v>
      </c>
      <c r="P2" s="88" t="s">
        <v>333</v>
      </c>
      <c r="Q2" s="88" t="s">
        <v>334</v>
      </c>
      <c r="R2" s="88" t="s">
        <v>335</v>
      </c>
      <c r="S2" s="88" t="s">
        <v>336</v>
      </c>
      <c r="T2" s="88" t="s">
        <v>337</v>
      </c>
      <c r="U2" s="88" t="s">
        <v>338</v>
      </c>
      <c r="V2" s="88" t="s">
        <v>339</v>
      </c>
      <c r="W2" s="88" t="s">
        <v>340</v>
      </c>
      <c r="X2" s="88" t="s">
        <v>341</v>
      </c>
      <c r="Y2" s="88" t="s">
        <v>342</v>
      </c>
      <c r="Z2" s="88" t="s">
        <v>343</v>
      </c>
      <c r="AA2" s="88" t="s">
        <v>344</v>
      </c>
      <c r="AB2" s="88" t="s">
        <v>345</v>
      </c>
      <c r="AC2" s="88" t="s">
        <v>346</v>
      </c>
      <c r="AD2" s="88" t="s">
        <v>347</v>
      </c>
      <c r="AE2" s="88" t="s">
        <v>348</v>
      </c>
      <c r="AF2" s="88" t="s">
        <v>349</v>
      </c>
      <c r="AG2" s="88" t="s">
        <v>350</v>
      </c>
      <c r="AH2" s="88" t="s">
        <v>351</v>
      </c>
      <c r="AI2" s="88" t="s">
        <v>352</v>
      </c>
      <c r="AJ2" s="88" t="s">
        <v>353</v>
      </c>
    </row>
    <row r="3" spans="1:36" ht="15">
      <c r="A3" s="88" t="s">
        <v>6</v>
      </c>
      <c r="B3" s="88" t="s">
        <v>354</v>
      </c>
      <c r="C3" s="88" t="s">
        <v>7</v>
      </c>
      <c r="D3" s="88" t="s">
        <v>355</v>
      </c>
      <c r="E3" s="88" t="s">
        <v>356</v>
      </c>
      <c r="F3" s="88" t="s">
        <v>357</v>
      </c>
      <c r="G3" s="88" t="s">
        <v>6</v>
      </c>
      <c r="H3" s="88" t="s">
        <v>325</v>
      </c>
      <c r="I3" s="88" t="s">
        <v>358</v>
      </c>
      <c r="J3" s="88" t="s">
        <v>359</v>
      </c>
      <c r="K3" s="88" t="s">
        <v>360</v>
      </c>
      <c r="L3" s="88" t="s">
        <v>361</v>
      </c>
      <c r="M3" s="88" t="s">
        <v>362</v>
      </c>
      <c r="N3" s="88" t="s">
        <v>363</v>
      </c>
      <c r="O3" s="88" t="s">
        <v>364</v>
      </c>
      <c r="P3" s="88" t="s">
        <v>365</v>
      </c>
      <c r="Q3" s="88" t="s">
        <v>366</v>
      </c>
      <c r="R3" s="88" t="s">
        <v>367</v>
      </c>
      <c r="S3" s="88" t="s">
        <v>368</v>
      </c>
      <c r="T3" s="88" t="s">
        <v>369</v>
      </c>
      <c r="U3" s="88" t="s">
        <v>370</v>
      </c>
      <c r="V3" s="88" t="s">
        <v>371</v>
      </c>
      <c r="W3" s="88" t="s">
        <v>372</v>
      </c>
      <c r="X3" s="88" t="s">
        <v>373</v>
      </c>
      <c r="Y3" s="88" t="s">
        <v>374</v>
      </c>
      <c r="Z3" s="88" t="s">
        <v>375</v>
      </c>
      <c r="AA3" s="88" t="s">
        <v>376</v>
      </c>
      <c r="AB3" s="88" t="s">
        <v>377</v>
      </c>
      <c r="AC3" s="88" t="s">
        <v>378</v>
      </c>
      <c r="AD3" s="88" t="s">
        <v>379</v>
      </c>
      <c r="AE3" s="88" t="s">
        <v>380</v>
      </c>
      <c r="AF3" s="88" t="s">
        <v>381</v>
      </c>
      <c r="AG3" s="88" t="s">
        <v>382</v>
      </c>
      <c r="AH3" s="88" t="s">
        <v>383</v>
      </c>
      <c r="AI3" s="88" t="s">
        <v>384</v>
      </c>
      <c r="AJ3" s="88" t="s">
        <v>385</v>
      </c>
    </row>
    <row r="4" spans="1:36" ht="15">
      <c r="A4" s="88" t="s">
        <v>6</v>
      </c>
      <c r="B4" s="88" t="s">
        <v>8</v>
      </c>
      <c r="C4" s="88" t="s">
        <v>7</v>
      </c>
      <c r="D4" s="88" t="s">
        <v>386</v>
      </c>
      <c r="E4" s="88" t="s">
        <v>387</v>
      </c>
      <c r="F4" s="88" t="s">
        <v>388</v>
      </c>
      <c r="G4" s="88" t="s">
        <v>325</v>
      </c>
      <c r="H4" s="88" t="s">
        <v>389</v>
      </c>
      <c r="I4" s="88" t="s">
        <v>390</v>
      </c>
      <c r="J4" s="88" t="s">
        <v>391</v>
      </c>
      <c r="K4" s="88" t="s">
        <v>392</v>
      </c>
      <c r="L4" s="88" t="s">
        <v>393</v>
      </c>
      <c r="M4" s="88" t="s">
        <v>394</v>
      </c>
      <c r="N4" s="88" t="s">
        <v>395</v>
      </c>
      <c r="O4" s="88" t="s">
        <v>396</v>
      </c>
      <c r="P4" s="88" t="s">
        <v>397</v>
      </c>
      <c r="Q4" s="88" t="s">
        <v>398</v>
      </c>
      <c r="R4" s="88" t="s">
        <v>399</v>
      </c>
      <c r="S4" s="88" t="s">
        <v>400</v>
      </c>
      <c r="T4" s="88" t="s">
        <v>401</v>
      </c>
      <c r="U4" s="88" t="s">
        <v>402</v>
      </c>
      <c r="V4" s="88" t="s">
        <v>403</v>
      </c>
      <c r="W4" s="88" t="s">
        <v>394</v>
      </c>
      <c r="X4" s="88" t="s">
        <v>404</v>
      </c>
      <c r="Y4" s="88" t="s">
        <v>405</v>
      </c>
      <c r="Z4" s="88" t="s">
        <v>400</v>
      </c>
      <c r="AA4" s="88" t="s">
        <v>406</v>
      </c>
      <c r="AB4" s="88" t="s">
        <v>407</v>
      </c>
      <c r="AC4" s="88" t="s">
        <v>408</v>
      </c>
      <c r="AD4" s="88" t="s">
        <v>409</v>
      </c>
      <c r="AE4" s="88" t="s">
        <v>410</v>
      </c>
      <c r="AF4" s="88" t="s">
        <v>408</v>
      </c>
      <c r="AG4" s="88" t="s">
        <v>411</v>
      </c>
      <c r="AH4" s="88" t="s">
        <v>412</v>
      </c>
      <c r="AI4" s="88" t="s">
        <v>413</v>
      </c>
      <c r="AJ4" s="88" t="s">
        <v>414</v>
      </c>
    </row>
    <row r="5" spans="1:36" ht="15">
      <c r="A5" s="88" t="s">
        <v>6</v>
      </c>
      <c r="B5" s="88" t="s">
        <v>415</v>
      </c>
      <c r="C5" s="88" t="s">
        <v>7</v>
      </c>
      <c r="D5" s="88" t="s">
        <v>416</v>
      </c>
      <c r="E5" s="88" t="s">
        <v>417</v>
      </c>
      <c r="F5" s="88" t="s">
        <v>418</v>
      </c>
      <c r="G5" s="88" t="s">
        <v>326</v>
      </c>
      <c r="H5" s="88" t="s">
        <v>419</v>
      </c>
      <c r="I5" s="88" t="s">
        <v>420</v>
      </c>
      <c r="J5" s="88" t="s">
        <v>421</v>
      </c>
      <c r="K5" s="88" t="s">
        <v>422</v>
      </c>
      <c r="L5" s="88" t="s">
        <v>423</v>
      </c>
      <c r="M5" s="88" t="s">
        <v>424</v>
      </c>
      <c r="N5" s="88" t="s">
        <v>425</v>
      </c>
      <c r="O5" s="88" t="s">
        <v>426</v>
      </c>
      <c r="P5" s="88" t="s">
        <v>427</v>
      </c>
      <c r="Q5" s="88" t="s">
        <v>428</v>
      </c>
      <c r="R5" s="88" t="s">
        <v>408</v>
      </c>
      <c r="S5" s="88" t="s">
        <v>429</v>
      </c>
      <c r="T5" s="88" t="s">
        <v>430</v>
      </c>
      <c r="U5" s="88" t="s">
        <v>431</v>
      </c>
      <c r="V5" s="88" t="s">
        <v>432</v>
      </c>
      <c r="W5" s="88" t="s">
        <v>433</v>
      </c>
      <c r="X5" s="88" t="s">
        <v>434</v>
      </c>
      <c r="Y5" s="88" t="s">
        <v>435</v>
      </c>
      <c r="Z5" s="88" t="s">
        <v>436</v>
      </c>
      <c r="AA5" s="88" t="s">
        <v>437</v>
      </c>
      <c r="AB5" s="88" t="s">
        <v>438</v>
      </c>
      <c r="AC5" s="88" t="s">
        <v>439</v>
      </c>
      <c r="AD5" s="88" t="s">
        <v>440</v>
      </c>
      <c r="AE5" s="88" t="s">
        <v>394</v>
      </c>
      <c r="AF5" s="88" t="s">
        <v>441</v>
      </c>
      <c r="AG5" s="88" t="s">
        <v>442</v>
      </c>
      <c r="AH5" s="88" t="s">
        <v>443</v>
      </c>
      <c r="AI5" s="88" t="s">
        <v>444</v>
      </c>
      <c r="AJ5" s="88" t="s">
        <v>445</v>
      </c>
    </row>
    <row r="6" spans="1:36" ht="15">
      <c r="A6" s="88" t="s">
        <v>6</v>
      </c>
      <c r="B6" s="88" t="s">
        <v>446</v>
      </c>
      <c r="C6" s="88" t="s">
        <v>7</v>
      </c>
      <c r="D6" s="88" t="s">
        <v>447</v>
      </c>
      <c r="E6" s="88" t="s">
        <v>448</v>
      </c>
      <c r="F6" s="88" t="s">
        <v>449</v>
      </c>
      <c r="G6" s="88" t="s">
        <v>1674</v>
      </c>
      <c r="H6" s="88" t="s">
        <v>450</v>
      </c>
      <c r="I6" s="88" t="s">
        <v>451</v>
      </c>
      <c r="J6" s="88" t="s">
        <v>452</v>
      </c>
      <c r="K6" s="88" t="s">
        <v>453</v>
      </c>
      <c r="L6" s="88" t="s">
        <v>454</v>
      </c>
      <c r="M6" s="88" t="s">
        <v>455</v>
      </c>
      <c r="N6" s="88" t="s">
        <v>456</v>
      </c>
      <c r="O6" s="88" t="s">
        <v>440</v>
      </c>
      <c r="P6" s="88" t="s">
        <v>457</v>
      </c>
      <c r="Q6" s="88" t="s">
        <v>458</v>
      </c>
      <c r="R6" s="88" t="s">
        <v>459</v>
      </c>
      <c r="S6" s="88" t="s">
        <v>460</v>
      </c>
      <c r="T6" s="88" t="s">
        <v>461</v>
      </c>
      <c r="U6" s="88" t="s">
        <v>462</v>
      </c>
      <c r="V6" s="88" t="s">
        <v>463</v>
      </c>
      <c r="W6" s="88" t="s">
        <v>464</v>
      </c>
      <c r="X6" s="88" t="s">
        <v>465</v>
      </c>
      <c r="Y6" s="88" t="s">
        <v>466</v>
      </c>
      <c r="Z6" s="88" t="s">
        <v>467</v>
      </c>
      <c r="AA6" s="88" t="s">
        <v>468</v>
      </c>
      <c r="AB6" s="88" t="s">
        <v>469</v>
      </c>
      <c r="AC6" s="88" t="s">
        <v>470</v>
      </c>
      <c r="AD6" s="88" t="s">
        <v>471</v>
      </c>
      <c r="AE6" s="88" t="s">
        <v>472</v>
      </c>
      <c r="AF6" s="88" t="s">
        <v>473</v>
      </c>
      <c r="AG6" s="88" t="s">
        <v>474</v>
      </c>
      <c r="AH6" s="88" t="s">
        <v>475</v>
      </c>
      <c r="AI6" s="88" t="s">
        <v>476</v>
      </c>
      <c r="AJ6" s="88" t="s">
        <v>477</v>
      </c>
    </row>
    <row r="7" spans="1:36" ht="15">
      <c r="A7" s="88" t="s">
        <v>6</v>
      </c>
      <c r="B7" s="88" t="s">
        <v>478</v>
      </c>
      <c r="C7" s="88" t="s">
        <v>7</v>
      </c>
      <c r="D7" s="88" t="s">
        <v>479</v>
      </c>
      <c r="E7" s="88" t="s">
        <v>480</v>
      </c>
      <c r="F7" s="88" t="s">
        <v>481</v>
      </c>
      <c r="G7" s="88" t="s">
        <v>327</v>
      </c>
      <c r="H7" s="88" t="s">
        <v>482</v>
      </c>
      <c r="I7" s="88" t="s">
        <v>483</v>
      </c>
      <c r="J7" s="88" t="s">
        <v>484</v>
      </c>
      <c r="K7" s="88" t="s">
        <v>485</v>
      </c>
      <c r="L7" s="88" t="s">
        <v>486</v>
      </c>
      <c r="M7" s="88" t="s">
        <v>487</v>
      </c>
      <c r="N7" s="88" t="s">
        <v>488</v>
      </c>
      <c r="O7" s="88" t="s">
        <v>327</v>
      </c>
      <c r="P7" s="88" t="s">
        <v>489</v>
      </c>
      <c r="Q7" s="88" t="s">
        <v>490</v>
      </c>
      <c r="R7" s="88" t="s">
        <v>491</v>
      </c>
      <c r="S7" s="88" t="s">
        <v>492</v>
      </c>
      <c r="T7" s="88" t="s">
        <v>493</v>
      </c>
      <c r="U7" s="88"/>
      <c r="V7" s="88" t="s">
        <v>494</v>
      </c>
      <c r="W7" s="88" t="s">
        <v>495</v>
      </c>
      <c r="X7" s="88" t="s">
        <v>496</v>
      </c>
      <c r="Y7" s="88" t="s">
        <v>497</v>
      </c>
      <c r="Z7" s="88" t="s">
        <v>498</v>
      </c>
      <c r="AA7" s="88" t="s">
        <v>499</v>
      </c>
      <c r="AB7" s="88" t="s">
        <v>500</v>
      </c>
      <c r="AC7" s="88" t="s">
        <v>335</v>
      </c>
      <c r="AD7" s="88" t="s">
        <v>501</v>
      </c>
      <c r="AE7" s="88" t="s">
        <v>502</v>
      </c>
      <c r="AF7" s="88" t="s">
        <v>503</v>
      </c>
      <c r="AG7" s="88" t="s">
        <v>504</v>
      </c>
      <c r="AH7" s="88" t="s">
        <v>426</v>
      </c>
      <c r="AI7" s="88" t="s">
        <v>505</v>
      </c>
      <c r="AJ7" s="88"/>
    </row>
    <row r="8" spans="1:36" ht="15">
      <c r="A8" s="88" t="s">
        <v>6</v>
      </c>
      <c r="B8" s="88" t="s">
        <v>506</v>
      </c>
      <c r="C8" s="88" t="s">
        <v>7</v>
      </c>
      <c r="D8" s="88" t="s">
        <v>507</v>
      </c>
      <c r="E8" s="88" t="s">
        <v>508</v>
      </c>
      <c r="F8" s="88" t="s">
        <v>509</v>
      </c>
      <c r="G8" s="88" t="s">
        <v>328</v>
      </c>
      <c r="H8" s="88" t="s">
        <v>510</v>
      </c>
      <c r="I8" s="88" t="s">
        <v>511</v>
      </c>
      <c r="J8" s="88" t="s">
        <v>512</v>
      </c>
      <c r="K8" s="88" t="s">
        <v>513</v>
      </c>
      <c r="L8" s="88" t="s">
        <v>514</v>
      </c>
      <c r="M8" s="88" t="s">
        <v>515</v>
      </c>
      <c r="N8" s="88" t="s">
        <v>516</v>
      </c>
      <c r="O8" s="88" t="s">
        <v>517</v>
      </c>
      <c r="P8" s="88" t="s">
        <v>518</v>
      </c>
      <c r="Q8" s="88" t="s">
        <v>519</v>
      </c>
      <c r="R8" s="88" t="s">
        <v>520</v>
      </c>
      <c r="S8" s="88" t="s">
        <v>521</v>
      </c>
      <c r="T8" s="88" t="s">
        <v>522</v>
      </c>
      <c r="U8" s="88"/>
      <c r="V8" s="88" t="s">
        <v>523</v>
      </c>
      <c r="W8" s="88" t="s">
        <v>524</v>
      </c>
      <c r="X8" s="88" t="s">
        <v>525</v>
      </c>
      <c r="Y8" s="88" t="s">
        <v>526</v>
      </c>
      <c r="Z8" s="88" t="s">
        <v>527</v>
      </c>
      <c r="AA8" s="88" t="s">
        <v>528</v>
      </c>
      <c r="AB8" s="88" t="s">
        <v>529</v>
      </c>
      <c r="AC8" s="88" t="s">
        <v>530</v>
      </c>
      <c r="AD8" s="88" t="s">
        <v>531</v>
      </c>
      <c r="AE8" s="88" t="s">
        <v>532</v>
      </c>
      <c r="AF8" s="88" t="s">
        <v>533</v>
      </c>
      <c r="AG8" s="88" t="s">
        <v>534</v>
      </c>
      <c r="AH8" s="88" t="s">
        <v>327</v>
      </c>
      <c r="AI8" s="88" t="s">
        <v>535</v>
      </c>
      <c r="AJ8" s="88"/>
    </row>
    <row r="9" spans="1:36" ht="15">
      <c r="A9" s="88" t="s">
        <v>6</v>
      </c>
      <c r="B9" s="88" t="s">
        <v>536</v>
      </c>
      <c r="C9" s="88" t="s">
        <v>7</v>
      </c>
      <c r="D9" s="88" t="s">
        <v>537</v>
      </c>
      <c r="E9" s="88" t="s">
        <v>538</v>
      </c>
      <c r="F9" s="88" t="s">
        <v>539</v>
      </c>
      <c r="G9" s="88" t="s">
        <v>329</v>
      </c>
      <c r="H9" s="88" t="s">
        <v>540</v>
      </c>
      <c r="I9" s="88" t="s">
        <v>541</v>
      </c>
      <c r="J9" s="88" t="s">
        <v>542</v>
      </c>
      <c r="K9" s="88" t="s">
        <v>543</v>
      </c>
      <c r="L9" s="88" t="s">
        <v>544</v>
      </c>
      <c r="M9" s="88" t="s">
        <v>545</v>
      </c>
      <c r="N9" s="88" t="s">
        <v>546</v>
      </c>
      <c r="O9" s="88" t="s">
        <v>547</v>
      </c>
      <c r="P9" s="88" t="s">
        <v>548</v>
      </c>
      <c r="Q9" s="88" t="s">
        <v>549</v>
      </c>
      <c r="R9" s="88" t="s">
        <v>550</v>
      </c>
      <c r="S9" s="88" t="s">
        <v>551</v>
      </c>
      <c r="T9" s="88" t="s">
        <v>552</v>
      </c>
      <c r="U9" s="88"/>
      <c r="V9" s="88" t="s">
        <v>553</v>
      </c>
      <c r="W9" s="88" t="s">
        <v>554</v>
      </c>
      <c r="X9" s="88" t="s">
        <v>555</v>
      </c>
      <c r="Y9" s="88" t="s">
        <v>556</v>
      </c>
      <c r="Z9" s="88" t="s">
        <v>485</v>
      </c>
      <c r="AA9" s="88" t="s">
        <v>557</v>
      </c>
      <c r="AB9" s="88" t="s">
        <v>558</v>
      </c>
      <c r="AC9" s="88" t="s">
        <v>559</v>
      </c>
      <c r="AD9" s="88" t="s">
        <v>560</v>
      </c>
      <c r="AE9" s="88" t="s">
        <v>561</v>
      </c>
      <c r="AF9" s="88" t="s">
        <v>562</v>
      </c>
      <c r="AG9" s="88" t="s">
        <v>563</v>
      </c>
      <c r="AH9" s="88" t="s">
        <v>564</v>
      </c>
      <c r="AI9" s="88"/>
      <c r="AJ9" s="88"/>
    </row>
    <row r="10" spans="1:36" ht="15">
      <c r="A10" s="88" t="s">
        <v>6</v>
      </c>
      <c r="B10" s="88" t="s">
        <v>565</v>
      </c>
      <c r="C10" s="88" t="s">
        <v>7</v>
      </c>
      <c r="D10" s="88" t="s">
        <v>566</v>
      </c>
      <c r="E10" s="88" t="s">
        <v>567</v>
      </c>
      <c r="F10" s="88" t="s">
        <v>568</v>
      </c>
      <c r="G10" s="88" t="s">
        <v>330</v>
      </c>
      <c r="H10" s="88"/>
      <c r="I10" s="88" t="s">
        <v>569</v>
      </c>
      <c r="J10" s="88" t="s">
        <v>402</v>
      </c>
      <c r="K10" s="88" t="s">
        <v>570</v>
      </c>
      <c r="L10" s="88" t="s">
        <v>571</v>
      </c>
      <c r="M10" s="88" t="s">
        <v>572</v>
      </c>
      <c r="N10" s="88" t="s">
        <v>573</v>
      </c>
      <c r="O10" s="88" t="s">
        <v>574</v>
      </c>
      <c r="P10" s="88" t="s">
        <v>575</v>
      </c>
      <c r="Q10" s="88" t="s">
        <v>576</v>
      </c>
      <c r="R10" s="88" t="s">
        <v>577</v>
      </c>
      <c r="S10" s="88" t="s">
        <v>578</v>
      </c>
      <c r="T10" s="88" t="s">
        <v>579</v>
      </c>
      <c r="U10" s="88"/>
      <c r="V10" s="88" t="s">
        <v>580</v>
      </c>
      <c r="W10" s="88" t="s">
        <v>581</v>
      </c>
      <c r="X10" s="88" t="s">
        <v>582</v>
      </c>
      <c r="Y10" s="88" t="s">
        <v>583</v>
      </c>
      <c r="Z10" s="88" t="s">
        <v>584</v>
      </c>
      <c r="AA10" s="88" t="s">
        <v>585</v>
      </c>
      <c r="AB10" s="88" t="s">
        <v>586</v>
      </c>
      <c r="AC10" s="88" t="s">
        <v>587</v>
      </c>
      <c r="AD10" s="88" t="s">
        <v>588</v>
      </c>
      <c r="AE10" s="88" t="s">
        <v>589</v>
      </c>
      <c r="AF10" s="88" t="s">
        <v>590</v>
      </c>
      <c r="AG10" s="88" t="s">
        <v>591</v>
      </c>
      <c r="AH10" s="88" t="s">
        <v>592</v>
      </c>
      <c r="AI10" s="88"/>
      <c r="AJ10" s="88"/>
    </row>
    <row r="11" spans="1:36" ht="15">
      <c r="A11" s="88" t="s">
        <v>6</v>
      </c>
      <c r="B11" s="88" t="s">
        <v>593</v>
      </c>
      <c r="C11" s="88" t="s">
        <v>7</v>
      </c>
      <c r="D11" s="88" t="s">
        <v>594</v>
      </c>
      <c r="E11" s="88" t="s">
        <v>595</v>
      </c>
      <c r="F11" s="88" t="s">
        <v>596</v>
      </c>
      <c r="G11" s="88" t="s">
        <v>331</v>
      </c>
      <c r="H11" s="88"/>
      <c r="I11" s="88" t="s">
        <v>597</v>
      </c>
      <c r="J11" s="88" t="s">
        <v>598</v>
      </c>
      <c r="K11" s="88" t="s">
        <v>328</v>
      </c>
      <c r="L11" s="88" t="s">
        <v>599</v>
      </c>
      <c r="M11" s="88" t="s">
        <v>600</v>
      </c>
      <c r="N11" s="88" t="s">
        <v>601</v>
      </c>
      <c r="O11" s="88" t="s">
        <v>602</v>
      </c>
      <c r="P11" s="88" t="s">
        <v>603</v>
      </c>
      <c r="Q11" s="88" t="s">
        <v>604</v>
      </c>
      <c r="R11" s="88" t="s">
        <v>605</v>
      </c>
      <c r="S11" s="88" t="s">
        <v>606</v>
      </c>
      <c r="T11" s="88"/>
      <c r="U11" s="88"/>
      <c r="V11" s="88" t="s">
        <v>607</v>
      </c>
      <c r="W11" s="88" t="s">
        <v>608</v>
      </c>
      <c r="X11" s="88" t="s">
        <v>609</v>
      </c>
      <c r="Y11" s="88" t="s">
        <v>610</v>
      </c>
      <c r="Z11" s="88" t="s">
        <v>407</v>
      </c>
      <c r="AA11" s="88" t="s">
        <v>611</v>
      </c>
      <c r="AB11" s="88" t="s">
        <v>612</v>
      </c>
      <c r="AC11" s="88" t="s">
        <v>613</v>
      </c>
      <c r="AD11" s="88" t="s">
        <v>614</v>
      </c>
      <c r="AE11" s="88" t="s">
        <v>327</v>
      </c>
      <c r="AF11" s="88" t="s">
        <v>615</v>
      </c>
      <c r="AG11" s="88" t="s">
        <v>616</v>
      </c>
      <c r="AH11" s="88" t="s">
        <v>617</v>
      </c>
      <c r="AI11" s="88"/>
      <c r="AJ11" s="88"/>
    </row>
    <row r="12" spans="1:36" ht="15">
      <c r="A12" s="88" t="s">
        <v>6</v>
      </c>
      <c r="B12" s="88" t="s">
        <v>618</v>
      </c>
      <c r="C12" s="88" t="s">
        <v>7</v>
      </c>
      <c r="D12" s="88" t="s">
        <v>619</v>
      </c>
      <c r="E12" s="88" t="s">
        <v>620</v>
      </c>
      <c r="F12" s="88" t="s">
        <v>621</v>
      </c>
      <c r="G12" s="88" t="s">
        <v>332</v>
      </c>
      <c r="H12" s="88"/>
      <c r="I12" s="88" t="s">
        <v>622</v>
      </c>
      <c r="J12" s="88" t="s">
        <v>623</v>
      </c>
      <c r="K12" s="88" t="s">
        <v>624</v>
      </c>
      <c r="L12" s="88" t="s">
        <v>625</v>
      </c>
      <c r="M12" s="88" t="s">
        <v>626</v>
      </c>
      <c r="N12" s="88" t="s">
        <v>627</v>
      </c>
      <c r="O12" s="88" t="s">
        <v>628</v>
      </c>
      <c r="P12" s="88" t="s">
        <v>629</v>
      </c>
      <c r="Q12" s="88" t="s">
        <v>630</v>
      </c>
      <c r="R12" s="88" t="s">
        <v>631</v>
      </c>
      <c r="S12" s="88" t="s">
        <v>632</v>
      </c>
      <c r="T12" s="88"/>
      <c r="U12" s="88"/>
      <c r="V12" s="88" t="s">
        <v>633</v>
      </c>
      <c r="W12" s="88" t="s">
        <v>634</v>
      </c>
      <c r="X12" s="88" t="s">
        <v>635</v>
      </c>
      <c r="Y12" s="88" t="s">
        <v>636</v>
      </c>
      <c r="Z12" s="88" t="s">
        <v>637</v>
      </c>
      <c r="AA12" s="88" t="s">
        <v>638</v>
      </c>
      <c r="AB12" s="88" t="s">
        <v>639</v>
      </c>
      <c r="AC12" s="88" t="s">
        <v>640</v>
      </c>
      <c r="AD12" s="88" t="s">
        <v>641</v>
      </c>
      <c r="AE12" s="88" t="s">
        <v>606</v>
      </c>
      <c r="AF12" s="88" t="s">
        <v>642</v>
      </c>
      <c r="AG12" s="88" t="s">
        <v>643</v>
      </c>
      <c r="AH12" s="88" t="s">
        <v>644</v>
      </c>
      <c r="AI12" s="88"/>
      <c r="AJ12" s="88"/>
    </row>
    <row r="13" spans="1:36" ht="15">
      <c r="A13" s="88" t="s">
        <v>6</v>
      </c>
      <c r="B13" s="88" t="s">
        <v>645</v>
      </c>
      <c r="C13" s="88" t="s">
        <v>7</v>
      </c>
      <c r="D13" s="88" t="s">
        <v>646</v>
      </c>
      <c r="E13" s="88" t="s">
        <v>647</v>
      </c>
      <c r="F13" s="88" t="s">
        <v>648</v>
      </c>
      <c r="G13" s="88" t="s">
        <v>333</v>
      </c>
      <c r="H13" s="88"/>
      <c r="I13" s="88" t="s">
        <v>649</v>
      </c>
      <c r="J13" s="88" t="s">
        <v>335</v>
      </c>
      <c r="K13" s="88" t="s">
        <v>408</v>
      </c>
      <c r="L13" s="88" t="s">
        <v>650</v>
      </c>
      <c r="M13" s="88" t="s">
        <v>651</v>
      </c>
      <c r="N13" s="88" t="s">
        <v>652</v>
      </c>
      <c r="O13" s="88" t="s">
        <v>653</v>
      </c>
      <c r="P13" s="88" t="s">
        <v>654</v>
      </c>
      <c r="Q13" s="88" t="s">
        <v>655</v>
      </c>
      <c r="R13" s="88" t="s">
        <v>656</v>
      </c>
      <c r="S13" s="88" t="s">
        <v>657</v>
      </c>
      <c r="T13" s="88"/>
      <c r="U13" s="88"/>
      <c r="V13" s="88" t="s">
        <v>658</v>
      </c>
      <c r="W13" s="88" t="s">
        <v>659</v>
      </c>
      <c r="X13" s="88" t="s">
        <v>660</v>
      </c>
      <c r="Y13" s="88" t="s">
        <v>661</v>
      </c>
      <c r="Z13" s="88" t="s">
        <v>662</v>
      </c>
      <c r="AA13" s="88" t="s">
        <v>663</v>
      </c>
      <c r="AB13" s="88" t="s">
        <v>664</v>
      </c>
      <c r="AC13" s="88" t="s">
        <v>665</v>
      </c>
      <c r="AD13" s="88" t="s">
        <v>666</v>
      </c>
      <c r="AE13" s="88" t="s">
        <v>667</v>
      </c>
      <c r="AF13" s="88" t="s">
        <v>668</v>
      </c>
      <c r="AG13" s="88" t="s">
        <v>669</v>
      </c>
      <c r="AH13" s="88" t="s">
        <v>670</v>
      </c>
      <c r="AI13" s="88"/>
      <c r="AJ13" s="88"/>
    </row>
    <row r="14" spans="1:36" ht="15">
      <c r="A14" s="88" t="s">
        <v>6</v>
      </c>
      <c r="B14" s="88" t="s">
        <v>671</v>
      </c>
      <c r="C14" s="88" t="s">
        <v>7</v>
      </c>
      <c r="D14" s="88" t="s">
        <v>672</v>
      </c>
      <c r="E14" s="88" t="s">
        <v>673</v>
      </c>
      <c r="F14" s="88"/>
      <c r="G14" s="88" t="s">
        <v>334</v>
      </c>
      <c r="H14" s="88"/>
      <c r="I14" s="88" t="s">
        <v>674</v>
      </c>
      <c r="J14" s="88" t="s">
        <v>675</v>
      </c>
      <c r="K14" s="88" t="s">
        <v>676</v>
      </c>
      <c r="L14" s="88" t="s">
        <v>677</v>
      </c>
      <c r="M14" s="88" t="s">
        <v>678</v>
      </c>
      <c r="N14" s="88" t="s">
        <v>679</v>
      </c>
      <c r="O14" s="88" t="s">
        <v>362</v>
      </c>
      <c r="P14" s="88" t="s">
        <v>680</v>
      </c>
      <c r="Q14" s="88" t="s">
        <v>681</v>
      </c>
      <c r="R14" s="88" t="s">
        <v>682</v>
      </c>
      <c r="S14" s="88" t="s">
        <v>683</v>
      </c>
      <c r="T14" s="88"/>
      <c r="U14" s="88"/>
      <c r="V14" s="88" t="s">
        <v>684</v>
      </c>
      <c r="W14" s="88" t="s">
        <v>685</v>
      </c>
      <c r="X14" s="88" t="s">
        <v>686</v>
      </c>
      <c r="Y14" s="88" t="s">
        <v>687</v>
      </c>
      <c r="Z14" s="88" t="s">
        <v>335</v>
      </c>
      <c r="AA14" s="88" t="s">
        <v>688</v>
      </c>
      <c r="AB14" s="88" t="s">
        <v>689</v>
      </c>
      <c r="AC14" s="88" t="s">
        <v>690</v>
      </c>
      <c r="AD14" s="88" t="s">
        <v>691</v>
      </c>
      <c r="AE14" s="88" t="s">
        <v>692</v>
      </c>
      <c r="AF14" s="88" t="s">
        <v>693</v>
      </c>
      <c r="AG14" s="88" t="s">
        <v>694</v>
      </c>
      <c r="AH14" s="88" t="s">
        <v>451</v>
      </c>
      <c r="AI14" s="88"/>
      <c r="AJ14" s="88"/>
    </row>
    <row r="15" spans="1:36" ht="15">
      <c r="A15" s="88" t="s">
        <v>6</v>
      </c>
      <c r="B15" s="88" t="s">
        <v>695</v>
      </c>
      <c r="C15" s="88" t="s">
        <v>7</v>
      </c>
      <c r="D15" s="88" t="s">
        <v>696</v>
      </c>
      <c r="E15" s="88" t="s">
        <v>697</v>
      </c>
      <c r="F15" s="88"/>
      <c r="G15" s="88" t="s">
        <v>336</v>
      </c>
      <c r="H15" s="88"/>
      <c r="I15" s="88" t="s">
        <v>698</v>
      </c>
      <c r="J15" s="88" t="s">
        <v>699</v>
      </c>
      <c r="K15" s="88" t="s">
        <v>329</v>
      </c>
      <c r="L15" s="88" t="s">
        <v>700</v>
      </c>
      <c r="M15" s="88" t="s">
        <v>701</v>
      </c>
      <c r="N15" s="88" t="s">
        <v>702</v>
      </c>
      <c r="O15" s="88" t="s">
        <v>703</v>
      </c>
      <c r="P15" s="88" t="s">
        <v>704</v>
      </c>
      <c r="Q15" s="88" t="s">
        <v>705</v>
      </c>
      <c r="R15" s="88" t="s">
        <v>706</v>
      </c>
      <c r="S15" s="88" t="s">
        <v>707</v>
      </c>
      <c r="T15" s="88"/>
      <c r="U15" s="88"/>
      <c r="V15" s="88" t="s">
        <v>708</v>
      </c>
      <c r="W15" s="88" t="s">
        <v>709</v>
      </c>
      <c r="X15" s="88" t="s">
        <v>710</v>
      </c>
      <c r="Y15" s="88" t="s">
        <v>710</v>
      </c>
      <c r="Z15" s="88" t="s">
        <v>711</v>
      </c>
      <c r="AA15" s="88" t="s">
        <v>712</v>
      </c>
      <c r="AB15" s="88" t="s">
        <v>713</v>
      </c>
      <c r="AC15" s="88"/>
      <c r="AD15" s="88" t="s">
        <v>714</v>
      </c>
      <c r="AE15" s="88" t="s">
        <v>715</v>
      </c>
      <c r="AF15" s="88" t="s">
        <v>716</v>
      </c>
      <c r="AG15" s="88" t="s">
        <v>717</v>
      </c>
      <c r="AH15" s="88" t="s">
        <v>718</v>
      </c>
      <c r="AI15" s="88"/>
      <c r="AJ15" s="88"/>
    </row>
    <row r="16" spans="1:36" ht="15">
      <c r="A16" s="88" t="s">
        <v>6</v>
      </c>
      <c r="B16" s="88" t="s">
        <v>426</v>
      </c>
      <c r="C16" s="88" t="s">
        <v>7</v>
      </c>
      <c r="D16" s="88" t="s">
        <v>719</v>
      </c>
      <c r="E16" s="88" t="s">
        <v>720</v>
      </c>
      <c r="F16" s="88"/>
      <c r="G16" s="88" t="s">
        <v>335</v>
      </c>
      <c r="H16" s="88"/>
      <c r="I16" s="88" t="s">
        <v>461</v>
      </c>
      <c r="J16" s="88" t="s">
        <v>721</v>
      </c>
      <c r="K16" s="88" t="s">
        <v>722</v>
      </c>
      <c r="L16" s="88" t="s">
        <v>723</v>
      </c>
      <c r="M16" s="88" t="s">
        <v>724</v>
      </c>
      <c r="N16" s="88" t="s">
        <v>725</v>
      </c>
      <c r="O16" s="88" t="s">
        <v>726</v>
      </c>
      <c r="P16" s="88" t="s">
        <v>727</v>
      </c>
      <c r="Q16" s="88" t="s">
        <v>728</v>
      </c>
      <c r="R16" s="88" t="s">
        <v>729</v>
      </c>
      <c r="S16" s="88" t="s">
        <v>730</v>
      </c>
      <c r="T16" s="88"/>
      <c r="U16" s="88"/>
      <c r="V16" s="88" t="s">
        <v>731</v>
      </c>
      <c r="W16" s="88" t="s">
        <v>732</v>
      </c>
      <c r="X16" s="88" t="s">
        <v>733</v>
      </c>
      <c r="Y16" s="88" t="s">
        <v>734</v>
      </c>
      <c r="Z16" s="88" t="s">
        <v>735</v>
      </c>
      <c r="AA16" s="88" t="s">
        <v>736</v>
      </c>
      <c r="AB16" s="88"/>
      <c r="AC16" s="88"/>
      <c r="AD16" s="88" t="s">
        <v>737</v>
      </c>
      <c r="AE16" s="88" t="s">
        <v>738</v>
      </c>
      <c r="AF16" s="88" t="s">
        <v>739</v>
      </c>
      <c r="AG16" s="88" t="s">
        <v>740</v>
      </c>
      <c r="AH16" s="88" t="s">
        <v>741</v>
      </c>
      <c r="AI16" s="88"/>
      <c r="AJ16" s="88"/>
    </row>
    <row r="17" spans="1:36" ht="15">
      <c r="A17" s="88" t="s">
        <v>6</v>
      </c>
      <c r="B17" s="88" t="s">
        <v>378</v>
      </c>
      <c r="C17" s="88" t="s">
        <v>7</v>
      </c>
      <c r="D17" s="88" t="s">
        <v>742</v>
      </c>
      <c r="E17" s="88" t="s">
        <v>743</v>
      </c>
      <c r="F17" s="88"/>
      <c r="G17" s="88" t="s">
        <v>337</v>
      </c>
      <c r="H17" s="88"/>
      <c r="I17" s="88" t="s">
        <v>744</v>
      </c>
      <c r="J17" s="88" t="s">
        <v>745</v>
      </c>
      <c r="K17" s="88" t="s">
        <v>746</v>
      </c>
      <c r="L17" s="88" t="s">
        <v>747</v>
      </c>
      <c r="M17" s="88" t="s">
        <v>748</v>
      </c>
      <c r="N17" s="88" t="s">
        <v>749</v>
      </c>
      <c r="O17" s="88" t="s">
        <v>750</v>
      </c>
      <c r="P17" s="88" t="s">
        <v>751</v>
      </c>
      <c r="Q17" s="88" t="s">
        <v>752</v>
      </c>
      <c r="R17" s="88" t="s">
        <v>753</v>
      </c>
      <c r="S17" s="88" t="s">
        <v>754</v>
      </c>
      <c r="T17" s="88"/>
      <c r="U17" s="88"/>
      <c r="V17" s="88" t="s">
        <v>755</v>
      </c>
      <c r="W17" s="88" t="s">
        <v>756</v>
      </c>
      <c r="X17" s="88" t="s">
        <v>757</v>
      </c>
      <c r="Y17" s="88" t="s">
        <v>758</v>
      </c>
      <c r="Z17" s="88" t="s">
        <v>759</v>
      </c>
      <c r="AA17" s="88" t="s">
        <v>760</v>
      </c>
      <c r="AB17" s="88"/>
      <c r="AC17" s="88"/>
      <c r="AD17" s="88"/>
      <c r="AE17" s="88" t="s">
        <v>761</v>
      </c>
      <c r="AF17" s="88" t="s">
        <v>762</v>
      </c>
      <c r="AG17" s="88" t="s">
        <v>763</v>
      </c>
      <c r="AH17" s="88" t="s">
        <v>764</v>
      </c>
      <c r="AI17" s="88"/>
      <c r="AJ17" s="88"/>
    </row>
    <row r="18" spans="1:36" ht="15">
      <c r="A18" s="88" t="s">
        <v>6</v>
      </c>
      <c r="B18" s="88" t="s">
        <v>502</v>
      </c>
      <c r="C18" s="88" t="s">
        <v>7</v>
      </c>
      <c r="D18" s="88" t="s">
        <v>765</v>
      </c>
      <c r="E18" s="88" t="s">
        <v>766</v>
      </c>
      <c r="F18" s="88"/>
      <c r="G18" s="88" t="s">
        <v>338</v>
      </c>
      <c r="H18" s="88"/>
      <c r="I18" s="88" t="s">
        <v>767</v>
      </c>
      <c r="J18" s="88" t="s">
        <v>768</v>
      </c>
      <c r="K18" s="88" t="s">
        <v>769</v>
      </c>
      <c r="L18" s="88" t="s">
        <v>770</v>
      </c>
      <c r="M18" s="88" t="s">
        <v>771</v>
      </c>
      <c r="N18" s="88" t="s">
        <v>772</v>
      </c>
      <c r="O18" s="88" t="s">
        <v>773</v>
      </c>
      <c r="P18" s="88" t="s">
        <v>774</v>
      </c>
      <c r="Q18" s="88" t="s">
        <v>775</v>
      </c>
      <c r="R18" s="88" t="s">
        <v>776</v>
      </c>
      <c r="S18" s="88" t="s">
        <v>777</v>
      </c>
      <c r="T18" s="88"/>
      <c r="U18" s="88"/>
      <c r="V18" s="88" t="s">
        <v>778</v>
      </c>
      <c r="W18" s="88"/>
      <c r="X18" s="88" t="s">
        <v>779</v>
      </c>
      <c r="Y18" s="88" t="s">
        <v>780</v>
      </c>
      <c r="Z18" s="88" t="s">
        <v>781</v>
      </c>
      <c r="AA18" s="88" t="s">
        <v>782</v>
      </c>
      <c r="AB18" s="88"/>
      <c r="AC18" s="88"/>
      <c r="AD18" s="88"/>
      <c r="AE18" s="88" t="s">
        <v>783</v>
      </c>
      <c r="AF18" s="88" t="s">
        <v>784</v>
      </c>
      <c r="AG18" s="88" t="s">
        <v>785</v>
      </c>
      <c r="AH18" s="88" t="s">
        <v>786</v>
      </c>
      <c r="AI18" s="88"/>
      <c r="AJ18" s="88"/>
    </row>
    <row r="19" spans="1:36" ht="15">
      <c r="A19" s="88" t="s">
        <v>6</v>
      </c>
      <c r="B19" s="88" t="s">
        <v>787</v>
      </c>
      <c r="C19" s="88" t="s">
        <v>7</v>
      </c>
      <c r="D19" s="88" t="s">
        <v>788</v>
      </c>
      <c r="E19" s="88" t="s">
        <v>789</v>
      </c>
      <c r="F19" s="88"/>
      <c r="G19" s="88" t="s">
        <v>339</v>
      </c>
      <c r="H19" s="88"/>
      <c r="I19" s="88" t="s">
        <v>702</v>
      </c>
      <c r="J19" s="88" t="s">
        <v>790</v>
      </c>
      <c r="K19" s="88" t="s">
        <v>791</v>
      </c>
      <c r="L19" s="88" t="s">
        <v>792</v>
      </c>
      <c r="M19" s="88"/>
      <c r="N19" s="88" t="s">
        <v>793</v>
      </c>
      <c r="O19" s="88" t="s">
        <v>794</v>
      </c>
      <c r="P19" s="88" t="s">
        <v>795</v>
      </c>
      <c r="Q19" s="88" t="s">
        <v>796</v>
      </c>
      <c r="R19" s="88" t="s">
        <v>797</v>
      </c>
      <c r="S19" s="88" t="s">
        <v>798</v>
      </c>
      <c r="T19" s="88"/>
      <c r="U19" s="88"/>
      <c r="V19" s="88" t="s">
        <v>799</v>
      </c>
      <c r="W19" s="88"/>
      <c r="X19" s="88" t="s">
        <v>800</v>
      </c>
      <c r="Y19" s="88" t="s">
        <v>801</v>
      </c>
      <c r="Z19" s="88" t="s">
        <v>802</v>
      </c>
      <c r="AA19" s="88" t="s">
        <v>803</v>
      </c>
      <c r="AB19" s="88"/>
      <c r="AC19" s="88"/>
      <c r="AD19" s="88"/>
      <c r="AE19" s="88" t="s">
        <v>804</v>
      </c>
      <c r="AF19" s="88" t="s">
        <v>805</v>
      </c>
      <c r="AG19" s="88" t="s">
        <v>806</v>
      </c>
      <c r="AH19" s="88" t="s">
        <v>807</v>
      </c>
      <c r="AI19" s="88"/>
      <c r="AJ19" s="88"/>
    </row>
    <row r="20" spans="1:36" ht="15">
      <c r="A20" s="88" t="s">
        <v>6</v>
      </c>
      <c r="B20" s="88" t="s">
        <v>808</v>
      </c>
      <c r="C20" s="88" t="s">
        <v>7</v>
      </c>
      <c r="D20" s="88" t="s">
        <v>809</v>
      </c>
      <c r="E20" s="88" t="s">
        <v>810</v>
      </c>
      <c r="F20" s="88"/>
      <c r="G20" s="88" t="s">
        <v>340</v>
      </c>
      <c r="H20" s="88"/>
      <c r="I20" s="88" t="s">
        <v>811</v>
      </c>
      <c r="J20" s="88" t="s">
        <v>812</v>
      </c>
      <c r="K20" s="88" t="s">
        <v>813</v>
      </c>
      <c r="L20" s="88" t="s">
        <v>814</v>
      </c>
      <c r="M20" s="88"/>
      <c r="N20" s="88" t="s">
        <v>815</v>
      </c>
      <c r="O20" s="88" t="s">
        <v>816</v>
      </c>
      <c r="P20" s="88" t="s">
        <v>817</v>
      </c>
      <c r="Q20" s="88" t="s">
        <v>818</v>
      </c>
      <c r="R20" s="88" t="s">
        <v>819</v>
      </c>
      <c r="S20" s="88" t="s">
        <v>820</v>
      </c>
      <c r="T20" s="88"/>
      <c r="U20" s="88"/>
      <c r="V20" s="88" t="s">
        <v>821</v>
      </c>
      <c r="W20" s="88"/>
      <c r="X20" s="88" t="s">
        <v>822</v>
      </c>
      <c r="Y20" s="88" t="s">
        <v>823</v>
      </c>
      <c r="Z20" s="88" t="s">
        <v>824</v>
      </c>
      <c r="AA20" s="88" t="s">
        <v>825</v>
      </c>
      <c r="AB20" s="88"/>
      <c r="AC20" s="88"/>
      <c r="AD20" s="88"/>
      <c r="AE20" s="88" t="s">
        <v>826</v>
      </c>
      <c r="AF20" s="88" t="s">
        <v>827</v>
      </c>
      <c r="AG20" s="88" t="s">
        <v>828</v>
      </c>
      <c r="AH20" s="88" t="s">
        <v>829</v>
      </c>
      <c r="AI20" s="88"/>
      <c r="AJ20" s="88"/>
    </row>
    <row r="21" spans="1:36" ht="15">
      <c r="A21" s="88" t="s">
        <v>6</v>
      </c>
      <c r="B21" s="88" t="s">
        <v>830</v>
      </c>
      <c r="C21" s="88" t="s">
        <v>7</v>
      </c>
      <c r="D21" s="88" t="s">
        <v>831</v>
      </c>
      <c r="E21" s="88" t="s">
        <v>832</v>
      </c>
      <c r="F21" s="88"/>
      <c r="G21" s="88" t="s">
        <v>341</v>
      </c>
      <c r="H21" s="88"/>
      <c r="I21" s="88" t="s">
        <v>833</v>
      </c>
      <c r="J21" s="88" t="s">
        <v>834</v>
      </c>
      <c r="K21" s="88" t="s">
        <v>835</v>
      </c>
      <c r="L21" s="88" t="s">
        <v>836</v>
      </c>
      <c r="M21" s="88"/>
      <c r="N21" s="88" t="s">
        <v>756</v>
      </c>
      <c r="O21" s="88" t="s">
        <v>837</v>
      </c>
      <c r="P21" s="88" t="s">
        <v>838</v>
      </c>
      <c r="Q21" s="88" t="s">
        <v>839</v>
      </c>
      <c r="R21" s="88" t="s">
        <v>840</v>
      </c>
      <c r="S21" s="88" t="s">
        <v>841</v>
      </c>
      <c r="T21" s="88"/>
      <c r="U21" s="88"/>
      <c r="V21" s="88" t="s">
        <v>842</v>
      </c>
      <c r="W21" s="88"/>
      <c r="X21" s="88" t="s">
        <v>843</v>
      </c>
      <c r="Y21" s="88" t="s">
        <v>844</v>
      </c>
      <c r="Z21" s="88" t="s">
        <v>845</v>
      </c>
      <c r="AA21" s="88" t="s">
        <v>846</v>
      </c>
      <c r="AB21" s="88"/>
      <c r="AC21" s="88"/>
      <c r="AD21" s="88"/>
      <c r="AE21" s="88" t="s">
        <v>847</v>
      </c>
      <c r="AF21" s="88" t="s">
        <v>848</v>
      </c>
      <c r="AG21" s="88" t="s">
        <v>849</v>
      </c>
      <c r="AH21" s="88" t="s">
        <v>850</v>
      </c>
      <c r="AI21" s="88"/>
      <c r="AJ21" s="88"/>
    </row>
    <row r="22" spans="1:36" ht="15">
      <c r="A22" s="88" t="s">
        <v>6</v>
      </c>
      <c r="B22" s="88" t="s">
        <v>589</v>
      </c>
      <c r="C22" s="88" t="s">
        <v>7</v>
      </c>
      <c r="D22" s="88" t="s">
        <v>851</v>
      </c>
      <c r="E22" s="88" t="s">
        <v>852</v>
      </c>
      <c r="F22" s="88"/>
      <c r="G22" s="88" t="s">
        <v>342</v>
      </c>
      <c r="H22" s="88"/>
      <c r="I22" s="88" t="s">
        <v>853</v>
      </c>
      <c r="J22" s="88" t="s">
        <v>854</v>
      </c>
      <c r="K22" s="88" t="s">
        <v>855</v>
      </c>
      <c r="L22" s="88" t="s">
        <v>347</v>
      </c>
      <c r="M22" s="88"/>
      <c r="N22" s="88"/>
      <c r="O22" s="88" t="s">
        <v>856</v>
      </c>
      <c r="P22" s="88" t="s">
        <v>857</v>
      </c>
      <c r="Q22" s="88" t="s">
        <v>858</v>
      </c>
      <c r="R22" s="88" t="s">
        <v>859</v>
      </c>
      <c r="S22" s="88" t="s">
        <v>860</v>
      </c>
      <c r="T22" s="88"/>
      <c r="U22" s="88"/>
      <c r="V22" s="88" t="s">
        <v>861</v>
      </c>
      <c r="W22" s="88"/>
      <c r="X22" s="88" t="s">
        <v>862</v>
      </c>
      <c r="Y22" s="88" t="s">
        <v>863</v>
      </c>
      <c r="Z22" s="88" t="s">
        <v>864</v>
      </c>
      <c r="AA22" s="88" t="s">
        <v>865</v>
      </c>
      <c r="AB22" s="88"/>
      <c r="AC22" s="88"/>
      <c r="AD22" s="88"/>
      <c r="AE22" s="88" t="s">
        <v>866</v>
      </c>
      <c r="AF22" s="88" t="s">
        <v>867</v>
      </c>
      <c r="AG22" s="88" t="s">
        <v>868</v>
      </c>
      <c r="AH22" s="88" t="s">
        <v>869</v>
      </c>
      <c r="AI22" s="88"/>
      <c r="AJ22" s="88"/>
    </row>
    <row r="23" spans="1:36" ht="15">
      <c r="A23" s="88" t="s">
        <v>6</v>
      </c>
      <c r="B23" s="88" t="s">
        <v>870</v>
      </c>
      <c r="C23" s="88" t="s">
        <v>7</v>
      </c>
      <c r="D23" s="88" t="s">
        <v>871</v>
      </c>
      <c r="E23" s="88" t="s">
        <v>872</v>
      </c>
      <c r="F23" s="88"/>
      <c r="G23" s="88" t="s">
        <v>343</v>
      </c>
      <c r="H23" s="88"/>
      <c r="I23" s="88" t="s">
        <v>873</v>
      </c>
      <c r="J23" s="88" t="s">
        <v>874</v>
      </c>
      <c r="K23" s="88" t="s">
        <v>875</v>
      </c>
      <c r="L23" s="88" t="s">
        <v>876</v>
      </c>
      <c r="M23" s="88"/>
      <c r="N23" s="88"/>
      <c r="O23" s="88" t="s">
        <v>877</v>
      </c>
      <c r="P23" s="88" t="s">
        <v>878</v>
      </c>
      <c r="Q23" s="88" t="s">
        <v>879</v>
      </c>
      <c r="R23" s="88" t="s">
        <v>880</v>
      </c>
      <c r="S23" s="88" t="s">
        <v>881</v>
      </c>
      <c r="T23" s="88"/>
      <c r="U23" s="88"/>
      <c r="V23" s="88" t="s">
        <v>882</v>
      </c>
      <c r="W23" s="88"/>
      <c r="X23" s="88" t="s">
        <v>883</v>
      </c>
      <c r="Y23" s="88" t="s">
        <v>884</v>
      </c>
      <c r="Z23" s="88" t="s">
        <v>653</v>
      </c>
      <c r="AA23" s="88" t="s">
        <v>885</v>
      </c>
      <c r="AB23" s="88"/>
      <c r="AC23" s="88"/>
      <c r="AD23" s="88"/>
      <c r="AE23" s="88" t="s">
        <v>886</v>
      </c>
      <c r="AF23" s="88" t="s">
        <v>887</v>
      </c>
      <c r="AG23" s="88" t="s">
        <v>888</v>
      </c>
      <c r="AH23" s="88" t="s">
        <v>889</v>
      </c>
      <c r="AI23" s="88"/>
      <c r="AJ23" s="88"/>
    </row>
    <row r="24" spans="1:36" ht="15">
      <c r="A24" s="88" t="s">
        <v>6</v>
      </c>
      <c r="B24" s="88" t="s">
        <v>624</v>
      </c>
      <c r="C24" s="88" t="s">
        <v>7</v>
      </c>
      <c r="D24" s="88" t="s">
        <v>890</v>
      </c>
      <c r="E24" s="88" t="s">
        <v>891</v>
      </c>
      <c r="F24" s="88"/>
      <c r="G24" s="88" t="s">
        <v>344</v>
      </c>
      <c r="H24" s="88"/>
      <c r="I24" s="88" t="s">
        <v>892</v>
      </c>
      <c r="J24" s="88" t="s">
        <v>893</v>
      </c>
      <c r="K24" s="88" t="s">
        <v>894</v>
      </c>
      <c r="L24" s="88" t="s">
        <v>895</v>
      </c>
      <c r="M24" s="88"/>
      <c r="N24" s="88"/>
      <c r="O24" s="88" t="s">
        <v>896</v>
      </c>
      <c r="P24" s="88" t="s">
        <v>897</v>
      </c>
      <c r="Q24" s="88" t="s">
        <v>898</v>
      </c>
      <c r="R24" s="88" t="s">
        <v>899</v>
      </c>
      <c r="S24" s="88" t="s">
        <v>900</v>
      </c>
      <c r="T24" s="88"/>
      <c r="U24" s="88"/>
      <c r="V24" s="88" t="s">
        <v>901</v>
      </c>
      <c r="W24" s="88"/>
      <c r="X24" s="88" t="s">
        <v>876</v>
      </c>
      <c r="Y24" s="88" t="s">
        <v>902</v>
      </c>
      <c r="Z24" s="88" t="s">
        <v>903</v>
      </c>
      <c r="AA24" s="88" t="s">
        <v>904</v>
      </c>
      <c r="AB24" s="88"/>
      <c r="AC24" s="88"/>
      <c r="AD24" s="88"/>
      <c r="AE24" s="88" t="s">
        <v>905</v>
      </c>
      <c r="AF24" s="88" t="s">
        <v>906</v>
      </c>
      <c r="AG24" s="88" t="s">
        <v>907</v>
      </c>
      <c r="AH24" s="88" t="s">
        <v>908</v>
      </c>
      <c r="AI24" s="88"/>
      <c r="AJ24" s="88"/>
    </row>
    <row r="25" spans="1:36" ht="15">
      <c r="A25" s="88" t="s">
        <v>6</v>
      </c>
      <c r="B25" s="88" t="s">
        <v>909</v>
      </c>
      <c r="C25" s="88" t="s">
        <v>7</v>
      </c>
      <c r="D25" s="88" t="s">
        <v>910</v>
      </c>
      <c r="E25" s="88" t="s">
        <v>911</v>
      </c>
      <c r="F25" s="88"/>
      <c r="G25" s="88" t="s">
        <v>345</v>
      </c>
      <c r="H25" s="88"/>
      <c r="I25" s="88" t="s">
        <v>912</v>
      </c>
      <c r="J25" s="88" t="s">
        <v>896</v>
      </c>
      <c r="K25" s="88" t="s">
        <v>913</v>
      </c>
      <c r="L25" s="88" t="s">
        <v>914</v>
      </c>
      <c r="M25" s="88"/>
      <c r="N25" s="88"/>
      <c r="O25" s="88" t="s">
        <v>915</v>
      </c>
      <c r="P25" s="88" t="s">
        <v>916</v>
      </c>
      <c r="Q25" s="88" t="s">
        <v>917</v>
      </c>
      <c r="R25" s="88" t="s">
        <v>918</v>
      </c>
      <c r="S25" s="88" t="s">
        <v>919</v>
      </c>
      <c r="T25" s="88"/>
      <c r="U25" s="88"/>
      <c r="V25" s="88" t="s">
        <v>792</v>
      </c>
      <c r="W25" s="88"/>
      <c r="X25" s="88" t="s">
        <v>920</v>
      </c>
      <c r="Y25" s="88" t="s">
        <v>651</v>
      </c>
      <c r="Z25" s="88" t="s">
        <v>921</v>
      </c>
      <c r="AA25" s="88" t="s">
        <v>922</v>
      </c>
      <c r="AB25" s="88"/>
      <c r="AC25" s="88"/>
      <c r="AD25" s="88"/>
      <c r="AE25" s="88" t="s">
        <v>923</v>
      </c>
      <c r="AF25" s="88" t="s">
        <v>924</v>
      </c>
      <c r="AG25" s="88" t="s">
        <v>925</v>
      </c>
      <c r="AH25" s="88" t="s">
        <v>926</v>
      </c>
      <c r="AI25" s="88"/>
      <c r="AJ25" s="88"/>
    </row>
    <row r="26" spans="1:36" ht="15">
      <c r="A26" s="88" t="s">
        <v>6</v>
      </c>
      <c r="B26" s="88" t="s">
        <v>927</v>
      </c>
      <c r="C26" s="88" t="s">
        <v>7</v>
      </c>
      <c r="D26" s="88" t="s">
        <v>928</v>
      </c>
      <c r="E26" s="88" t="s">
        <v>929</v>
      </c>
      <c r="F26" s="88"/>
      <c r="G26" s="88" t="s">
        <v>346</v>
      </c>
      <c r="H26" s="88"/>
      <c r="I26" s="88"/>
      <c r="J26" s="88" t="s">
        <v>930</v>
      </c>
      <c r="K26" s="88" t="s">
        <v>931</v>
      </c>
      <c r="L26" s="88" t="s">
        <v>932</v>
      </c>
      <c r="M26" s="88"/>
      <c r="N26" s="88"/>
      <c r="O26" s="88" t="s">
        <v>933</v>
      </c>
      <c r="P26" s="88" t="s">
        <v>934</v>
      </c>
      <c r="Q26" s="88" t="s">
        <v>935</v>
      </c>
      <c r="R26" s="88" t="s">
        <v>936</v>
      </c>
      <c r="S26" s="88" t="s">
        <v>745</v>
      </c>
      <c r="T26" s="88"/>
      <c r="U26" s="88"/>
      <c r="V26" s="88" t="s">
        <v>937</v>
      </c>
      <c r="W26" s="88"/>
      <c r="X26" s="88" t="s">
        <v>938</v>
      </c>
      <c r="Y26" s="88" t="s">
        <v>939</v>
      </c>
      <c r="Z26" s="88" t="s">
        <v>940</v>
      </c>
      <c r="AA26" s="88" t="s">
        <v>941</v>
      </c>
      <c r="AB26" s="88"/>
      <c r="AC26" s="88"/>
      <c r="AD26" s="88"/>
      <c r="AE26" s="88" t="s">
        <v>942</v>
      </c>
      <c r="AF26" s="88" t="s">
        <v>349</v>
      </c>
      <c r="AG26" s="88" t="s">
        <v>943</v>
      </c>
      <c r="AH26" s="88" t="s">
        <v>668</v>
      </c>
      <c r="AI26" s="88"/>
      <c r="AJ26" s="88"/>
    </row>
    <row r="27" spans="1:36" ht="15">
      <c r="A27" s="88" t="s">
        <v>6</v>
      </c>
      <c r="B27" s="88" t="s">
        <v>944</v>
      </c>
      <c r="C27" s="88" t="s">
        <v>7</v>
      </c>
      <c r="D27" s="88" t="s">
        <v>945</v>
      </c>
      <c r="E27" s="88" t="s">
        <v>946</v>
      </c>
      <c r="F27" s="88"/>
      <c r="G27" s="88" t="s">
        <v>347</v>
      </c>
      <c r="H27" s="88"/>
      <c r="I27" s="88"/>
      <c r="J27" s="88" t="s">
        <v>947</v>
      </c>
      <c r="K27" s="88" t="s">
        <v>948</v>
      </c>
      <c r="L27" s="88" t="s">
        <v>949</v>
      </c>
      <c r="M27" s="88"/>
      <c r="N27" s="88"/>
      <c r="O27" s="88" t="s">
        <v>950</v>
      </c>
      <c r="P27" s="88" t="s">
        <v>951</v>
      </c>
      <c r="Q27" s="88" t="s">
        <v>952</v>
      </c>
      <c r="R27" s="88" t="s">
        <v>953</v>
      </c>
      <c r="S27" s="88" t="s">
        <v>954</v>
      </c>
      <c r="T27" s="88"/>
      <c r="U27" s="88"/>
      <c r="V27" s="88" t="s">
        <v>955</v>
      </c>
      <c r="W27" s="88"/>
      <c r="X27" s="88" t="s">
        <v>956</v>
      </c>
      <c r="Y27" s="88" t="s">
        <v>957</v>
      </c>
      <c r="Z27" s="88" t="s">
        <v>958</v>
      </c>
      <c r="AA27" s="88" t="s">
        <v>959</v>
      </c>
      <c r="AB27" s="88"/>
      <c r="AC27" s="88"/>
      <c r="AD27" s="88"/>
      <c r="AE27" s="88" t="s">
        <v>960</v>
      </c>
      <c r="AF27" s="88" t="s">
        <v>961</v>
      </c>
      <c r="AG27" s="88" t="s">
        <v>962</v>
      </c>
      <c r="AH27" s="88" t="s">
        <v>481</v>
      </c>
      <c r="AI27" s="88"/>
      <c r="AJ27" s="88"/>
    </row>
    <row r="28" spans="1:36" ht="15">
      <c r="A28" s="88" t="s">
        <v>6</v>
      </c>
      <c r="B28" s="88" t="s">
        <v>329</v>
      </c>
      <c r="C28" s="88" t="s">
        <v>7</v>
      </c>
      <c r="D28" s="88" t="s">
        <v>963</v>
      </c>
      <c r="E28" s="88" t="s">
        <v>964</v>
      </c>
      <c r="F28" s="88"/>
      <c r="G28" s="88" t="s">
        <v>348</v>
      </c>
      <c r="H28" s="88"/>
      <c r="I28" s="88"/>
      <c r="J28" s="88" t="s">
        <v>965</v>
      </c>
      <c r="K28" s="88" t="s">
        <v>966</v>
      </c>
      <c r="L28" s="88" t="s">
        <v>967</v>
      </c>
      <c r="M28" s="88"/>
      <c r="N28" s="88"/>
      <c r="O28" s="88" t="s">
        <v>968</v>
      </c>
      <c r="P28" s="88"/>
      <c r="Q28" s="88" t="s">
        <v>836</v>
      </c>
      <c r="R28" s="88" t="s">
        <v>969</v>
      </c>
      <c r="S28" s="88" t="s">
        <v>970</v>
      </c>
      <c r="T28" s="88"/>
      <c r="U28" s="88"/>
      <c r="V28" s="88" t="s">
        <v>971</v>
      </c>
      <c r="W28" s="88"/>
      <c r="X28" s="88" t="s">
        <v>972</v>
      </c>
      <c r="Y28" s="88" t="s">
        <v>973</v>
      </c>
      <c r="Z28" s="88" t="s">
        <v>974</v>
      </c>
      <c r="AA28" s="88" t="s">
        <v>975</v>
      </c>
      <c r="AB28" s="88"/>
      <c r="AC28" s="88"/>
      <c r="AD28" s="88"/>
      <c r="AE28" s="88" t="s">
        <v>976</v>
      </c>
      <c r="AF28" s="88" t="s">
        <v>977</v>
      </c>
      <c r="AG28" s="88" t="s">
        <v>978</v>
      </c>
      <c r="AH28" s="88" t="s">
        <v>979</v>
      </c>
      <c r="AI28" s="88"/>
      <c r="AJ28" s="88"/>
    </row>
    <row r="29" spans="1:36" ht="15">
      <c r="A29" s="88" t="s">
        <v>6</v>
      </c>
      <c r="B29" s="88" t="s">
        <v>980</v>
      </c>
      <c r="C29" s="88" t="s">
        <v>7</v>
      </c>
      <c r="D29" s="88" t="s">
        <v>981</v>
      </c>
      <c r="E29" s="88" t="s">
        <v>982</v>
      </c>
      <c r="F29" s="88"/>
      <c r="G29" s="88" t="s">
        <v>349</v>
      </c>
      <c r="H29" s="88"/>
      <c r="I29" s="88"/>
      <c r="J29" s="88" t="s">
        <v>983</v>
      </c>
      <c r="K29" s="88" t="s">
        <v>984</v>
      </c>
      <c r="L29" s="88" t="s">
        <v>985</v>
      </c>
      <c r="M29" s="88"/>
      <c r="N29" s="88"/>
      <c r="O29" s="88" t="s">
        <v>986</v>
      </c>
      <c r="P29" s="88"/>
      <c r="Q29" s="88" t="s">
        <v>987</v>
      </c>
      <c r="R29" s="88" t="s">
        <v>988</v>
      </c>
      <c r="S29" s="88" t="s">
        <v>989</v>
      </c>
      <c r="T29" s="88"/>
      <c r="U29" s="88"/>
      <c r="V29" s="88" t="s">
        <v>990</v>
      </c>
      <c r="W29" s="88"/>
      <c r="X29" s="88" t="s">
        <v>991</v>
      </c>
      <c r="Y29" s="88" t="s">
        <v>992</v>
      </c>
      <c r="Z29" s="88" t="s">
        <v>993</v>
      </c>
      <c r="AA29" s="88" t="s">
        <v>994</v>
      </c>
      <c r="AB29" s="88"/>
      <c r="AC29" s="88"/>
      <c r="AD29" s="88"/>
      <c r="AE29" s="88" t="s">
        <v>995</v>
      </c>
      <c r="AF29" s="88"/>
      <c r="AG29" s="88" t="s">
        <v>996</v>
      </c>
      <c r="AH29" s="88" t="s">
        <v>997</v>
      </c>
      <c r="AI29" s="88"/>
      <c r="AJ29" s="88"/>
    </row>
    <row r="30" spans="1:36" ht="15">
      <c r="A30" s="88" t="s">
        <v>6</v>
      </c>
      <c r="B30" s="88" t="s">
        <v>998</v>
      </c>
      <c r="C30" s="88" t="s">
        <v>7</v>
      </c>
      <c r="D30" s="88" t="s">
        <v>999</v>
      </c>
      <c r="E30" s="88" t="s">
        <v>1000</v>
      </c>
      <c r="F30" s="88"/>
      <c r="G30" s="88" t="s">
        <v>350</v>
      </c>
      <c r="H30" s="88"/>
      <c r="I30" s="88"/>
      <c r="J30" s="88" t="s">
        <v>1001</v>
      </c>
      <c r="K30" s="88" t="s">
        <v>1002</v>
      </c>
      <c r="L30" s="88"/>
      <c r="M30" s="88"/>
      <c r="N30" s="88"/>
      <c r="O30" s="88" t="s">
        <v>1003</v>
      </c>
      <c r="P30" s="88"/>
      <c r="Q30" s="88" t="s">
        <v>1004</v>
      </c>
      <c r="R30" s="88" t="s">
        <v>1005</v>
      </c>
      <c r="S30" s="88" t="s">
        <v>1006</v>
      </c>
      <c r="T30" s="88"/>
      <c r="U30" s="88"/>
      <c r="V30" s="88" t="s">
        <v>1007</v>
      </c>
      <c r="W30" s="88"/>
      <c r="X30" s="88" t="s">
        <v>1008</v>
      </c>
      <c r="Y30" s="88" t="s">
        <v>934</v>
      </c>
      <c r="Z30" s="88" t="s">
        <v>1009</v>
      </c>
      <c r="AA30" s="88" t="s">
        <v>621</v>
      </c>
      <c r="AB30" s="88"/>
      <c r="AC30" s="88"/>
      <c r="AD30" s="88"/>
      <c r="AE30" s="88" t="s">
        <v>745</v>
      </c>
      <c r="AF30" s="88"/>
      <c r="AG30" s="88" t="s">
        <v>1010</v>
      </c>
      <c r="AH30" s="88" t="s">
        <v>1011</v>
      </c>
      <c r="AI30" s="88"/>
      <c r="AJ30" s="88"/>
    </row>
    <row r="31" spans="1:36" ht="15">
      <c r="A31" s="88" t="s">
        <v>6</v>
      </c>
      <c r="B31" s="88" t="s">
        <v>1012</v>
      </c>
      <c r="C31" s="88" t="s">
        <v>7</v>
      </c>
      <c r="D31" s="88" t="s">
        <v>1013</v>
      </c>
      <c r="E31" s="88" t="s">
        <v>1014</v>
      </c>
      <c r="F31" s="88"/>
      <c r="G31" s="88" t="s">
        <v>351</v>
      </c>
      <c r="H31" s="88"/>
      <c r="I31" s="88"/>
      <c r="J31" s="88" t="s">
        <v>1015</v>
      </c>
      <c r="K31" s="88" t="s">
        <v>1016</v>
      </c>
      <c r="L31" s="88"/>
      <c r="M31" s="88"/>
      <c r="N31" s="88"/>
      <c r="O31" s="88" t="s">
        <v>1017</v>
      </c>
      <c r="P31" s="88"/>
      <c r="Q31" s="88" t="s">
        <v>1018</v>
      </c>
      <c r="R31" s="88" t="s">
        <v>1019</v>
      </c>
      <c r="S31" s="88" t="s">
        <v>1020</v>
      </c>
      <c r="T31" s="88"/>
      <c r="U31" s="88"/>
      <c r="V31" s="88" t="s">
        <v>1021</v>
      </c>
      <c r="W31" s="88"/>
      <c r="X31" s="88" t="s">
        <v>1022</v>
      </c>
      <c r="Y31" s="88" t="s">
        <v>1023</v>
      </c>
      <c r="Z31" s="88" t="s">
        <v>1024</v>
      </c>
      <c r="AA31" s="88" t="s">
        <v>1025</v>
      </c>
      <c r="AB31" s="88"/>
      <c r="AC31" s="88"/>
      <c r="AD31" s="88"/>
      <c r="AE31" s="88" t="s">
        <v>1026</v>
      </c>
      <c r="AF31" s="88"/>
      <c r="AG31" s="88" t="s">
        <v>1027</v>
      </c>
      <c r="AH31" s="88" t="s">
        <v>939</v>
      </c>
      <c r="AI31" s="88"/>
      <c r="AJ31" s="88"/>
    </row>
    <row r="32" spans="1:36" ht="15">
      <c r="A32" s="88" t="s">
        <v>6</v>
      </c>
      <c r="B32" s="88" t="s">
        <v>1028</v>
      </c>
      <c r="C32" s="88" t="s">
        <v>7</v>
      </c>
      <c r="D32" s="88" t="s">
        <v>1029</v>
      </c>
      <c r="E32" s="88" t="s">
        <v>1030</v>
      </c>
      <c r="F32" s="88"/>
      <c r="G32" s="88" t="s">
        <v>352</v>
      </c>
      <c r="H32" s="88"/>
      <c r="I32" s="88"/>
      <c r="J32" s="88" t="s">
        <v>1031</v>
      </c>
      <c r="K32" s="88" t="s">
        <v>1032</v>
      </c>
      <c r="L32" s="88"/>
      <c r="M32" s="88"/>
      <c r="N32" s="88"/>
      <c r="O32" s="88" t="s">
        <v>1033</v>
      </c>
      <c r="P32" s="88"/>
      <c r="Q32" s="88" t="s">
        <v>1034</v>
      </c>
      <c r="R32" s="88" t="s">
        <v>1035</v>
      </c>
      <c r="S32" s="88" t="s">
        <v>1036</v>
      </c>
      <c r="T32" s="88"/>
      <c r="U32" s="88"/>
      <c r="V32" s="88" t="s">
        <v>1037</v>
      </c>
      <c r="W32" s="88"/>
      <c r="X32" s="88" t="s">
        <v>1038</v>
      </c>
      <c r="Y32" s="88"/>
      <c r="Z32" s="88" t="s">
        <v>1039</v>
      </c>
      <c r="AA32" s="88" t="s">
        <v>1040</v>
      </c>
      <c r="AB32" s="88"/>
      <c r="AC32" s="88"/>
      <c r="AD32" s="88"/>
      <c r="AE32" s="88" t="s">
        <v>1041</v>
      </c>
      <c r="AF32" s="88"/>
      <c r="AG32" s="88" t="s">
        <v>1042</v>
      </c>
      <c r="AH32" s="88" t="s">
        <v>1043</v>
      </c>
      <c r="AI32" s="88"/>
      <c r="AJ32" s="88"/>
    </row>
    <row r="33" spans="1:36" ht="15">
      <c r="A33" s="88" t="s">
        <v>6</v>
      </c>
      <c r="B33" s="88" t="s">
        <v>1044</v>
      </c>
      <c r="C33" s="88" t="s">
        <v>7</v>
      </c>
      <c r="D33" s="88" t="s">
        <v>1045</v>
      </c>
      <c r="E33" s="88" t="s">
        <v>1046</v>
      </c>
      <c r="F33" s="88"/>
      <c r="G33" s="88" t="s">
        <v>353</v>
      </c>
      <c r="H33" s="88"/>
      <c r="I33" s="88"/>
      <c r="J33" s="88" t="s">
        <v>1047</v>
      </c>
      <c r="K33" s="88" t="s">
        <v>1048</v>
      </c>
      <c r="L33" s="88"/>
      <c r="M33" s="88"/>
      <c r="N33" s="88"/>
      <c r="O33" s="88" t="s">
        <v>1049</v>
      </c>
      <c r="P33" s="88"/>
      <c r="Q33" s="88" t="s">
        <v>1050</v>
      </c>
      <c r="R33" s="88"/>
      <c r="S33" s="88" t="s">
        <v>1051</v>
      </c>
      <c r="T33" s="88"/>
      <c r="U33" s="88"/>
      <c r="V33" s="88" t="s">
        <v>1052</v>
      </c>
      <c r="W33" s="88"/>
      <c r="X33" s="88"/>
      <c r="Y33" s="88"/>
      <c r="Z33" s="88" t="s">
        <v>1053</v>
      </c>
      <c r="AA33" s="88" t="s">
        <v>1054</v>
      </c>
      <c r="AB33" s="88"/>
      <c r="AC33" s="88"/>
      <c r="AD33" s="88"/>
      <c r="AE33" s="88" t="s">
        <v>1055</v>
      </c>
      <c r="AF33" s="88"/>
      <c r="AG33" s="88" t="s">
        <v>1056</v>
      </c>
      <c r="AH33" s="88" t="s">
        <v>1057</v>
      </c>
      <c r="AI33" s="88"/>
      <c r="AJ33" s="88"/>
    </row>
    <row r="34" spans="1:36" ht="15">
      <c r="A34" s="88" t="s">
        <v>6</v>
      </c>
      <c r="B34" s="88" t="s">
        <v>1058</v>
      </c>
      <c r="C34" s="88" t="s">
        <v>7</v>
      </c>
      <c r="D34" s="88" t="s">
        <v>1059</v>
      </c>
      <c r="E34" s="88" t="s">
        <v>1060</v>
      </c>
      <c r="F34" s="88"/>
      <c r="G34" s="88" t="s">
        <v>1044</v>
      </c>
      <c r="H34" s="88"/>
      <c r="I34" s="88"/>
      <c r="J34" s="88" t="s">
        <v>1061</v>
      </c>
      <c r="K34" s="88" t="s">
        <v>1062</v>
      </c>
      <c r="L34" s="88"/>
      <c r="M34" s="88"/>
      <c r="N34" s="88"/>
      <c r="O34" s="88" t="s">
        <v>1063</v>
      </c>
      <c r="P34" s="88"/>
      <c r="Q34" s="88"/>
      <c r="R34" s="88"/>
      <c r="S34" s="88" t="s">
        <v>1064</v>
      </c>
      <c r="T34" s="88"/>
      <c r="U34" s="88"/>
      <c r="V34" s="88" t="s">
        <v>1065</v>
      </c>
      <c r="W34" s="88"/>
      <c r="X34" s="88"/>
      <c r="Y34" s="88"/>
      <c r="Z34" s="88" t="s">
        <v>1066</v>
      </c>
      <c r="AA34" s="88" t="s">
        <v>1067</v>
      </c>
      <c r="AB34" s="88"/>
      <c r="AC34" s="88"/>
      <c r="AD34" s="88"/>
      <c r="AE34" s="88" t="s">
        <v>1068</v>
      </c>
      <c r="AF34" s="88"/>
      <c r="AG34" s="88" t="s">
        <v>1069</v>
      </c>
      <c r="AH34" s="88" t="s">
        <v>906</v>
      </c>
      <c r="AI34" s="88"/>
      <c r="AJ34" s="88"/>
    </row>
    <row r="35" spans="1:36" ht="15">
      <c r="A35" s="88" t="s">
        <v>6</v>
      </c>
      <c r="B35" s="88" t="s">
        <v>1070</v>
      </c>
      <c r="C35" s="88" t="s">
        <v>7</v>
      </c>
      <c r="D35" s="88" t="s">
        <v>1071</v>
      </c>
      <c r="E35" s="88" t="s">
        <v>1072</v>
      </c>
      <c r="F35" s="88"/>
      <c r="G35" s="88" t="s">
        <v>1058</v>
      </c>
      <c r="H35" s="88"/>
      <c r="I35" s="88"/>
      <c r="J35" s="88" t="s">
        <v>1073</v>
      </c>
      <c r="K35" s="88" t="s">
        <v>1074</v>
      </c>
      <c r="L35" s="88"/>
      <c r="M35" s="88"/>
      <c r="N35" s="88"/>
      <c r="O35" s="88" t="s">
        <v>1075</v>
      </c>
      <c r="P35" s="88"/>
      <c r="Q35" s="88"/>
      <c r="R35" s="88"/>
      <c r="S35" s="88" t="s">
        <v>1076</v>
      </c>
      <c r="T35" s="88"/>
      <c r="U35" s="88"/>
      <c r="V35" s="88" t="s">
        <v>1077</v>
      </c>
      <c r="W35" s="88"/>
      <c r="X35" s="88"/>
      <c r="Y35" s="88"/>
      <c r="Z35" s="88" t="s">
        <v>668</v>
      </c>
      <c r="AA35" s="88" t="s">
        <v>664</v>
      </c>
      <c r="AB35" s="88"/>
      <c r="AC35" s="88"/>
      <c r="AD35" s="88"/>
      <c r="AE35" s="88" t="s">
        <v>1078</v>
      </c>
      <c r="AF35" s="88"/>
      <c r="AG35" s="88" t="s">
        <v>1079</v>
      </c>
      <c r="AH35" s="88" t="s">
        <v>1080</v>
      </c>
      <c r="AI35" s="88"/>
      <c r="AJ35" s="88"/>
    </row>
    <row r="36" spans="1:36" ht="15">
      <c r="A36" s="88" t="s">
        <v>6</v>
      </c>
      <c r="B36" s="88" t="s">
        <v>1081</v>
      </c>
      <c r="C36" s="88" t="s">
        <v>7</v>
      </c>
      <c r="D36" s="88" t="s">
        <v>1082</v>
      </c>
      <c r="E36" s="88" t="s">
        <v>1083</v>
      </c>
      <c r="F36" s="88"/>
      <c r="G36" s="88" t="s">
        <v>1070</v>
      </c>
      <c r="H36" s="88"/>
      <c r="I36" s="88"/>
      <c r="J36" s="88" t="s">
        <v>1084</v>
      </c>
      <c r="K36" s="88" t="s">
        <v>1085</v>
      </c>
      <c r="L36" s="88"/>
      <c r="M36" s="88"/>
      <c r="N36" s="88"/>
      <c r="O36" s="88" t="s">
        <v>1086</v>
      </c>
      <c r="P36" s="88"/>
      <c r="Q36" s="88"/>
      <c r="R36" s="88"/>
      <c r="S36" s="88" t="s">
        <v>1087</v>
      </c>
      <c r="T36" s="88"/>
      <c r="U36" s="88"/>
      <c r="V36" s="88" t="s">
        <v>1088</v>
      </c>
      <c r="W36" s="88"/>
      <c r="X36" s="88"/>
      <c r="Y36" s="88"/>
      <c r="Z36" s="88" t="s">
        <v>1089</v>
      </c>
      <c r="AA36" s="88" t="s">
        <v>1090</v>
      </c>
      <c r="AB36" s="88"/>
      <c r="AC36" s="88"/>
      <c r="AD36" s="88"/>
      <c r="AE36" s="88" t="s">
        <v>1091</v>
      </c>
      <c r="AF36" s="88"/>
      <c r="AG36" s="88" t="s">
        <v>1092</v>
      </c>
      <c r="AH36" s="88" t="s">
        <v>1093</v>
      </c>
      <c r="AI36" s="88"/>
      <c r="AJ36" s="88"/>
    </row>
    <row r="37" spans="1:36" ht="15">
      <c r="A37" s="88" t="s">
        <v>6</v>
      </c>
      <c r="B37" s="88" t="s">
        <v>1094</v>
      </c>
      <c r="C37" s="88" t="s">
        <v>7</v>
      </c>
      <c r="D37" s="88" t="s">
        <v>1095</v>
      </c>
      <c r="E37" s="88" t="s">
        <v>1096</v>
      </c>
      <c r="F37" s="88"/>
      <c r="G37" s="88" t="s">
        <v>1081</v>
      </c>
      <c r="H37" s="88"/>
      <c r="I37" s="88"/>
      <c r="J37" s="88" t="s">
        <v>1097</v>
      </c>
      <c r="K37" s="88" t="s">
        <v>1098</v>
      </c>
      <c r="L37" s="88"/>
      <c r="M37" s="88"/>
      <c r="N37" s="88"/>
      <c r="O37" s="88" t="s">
        <v>1099</v>
      </c>
      <c r="P37" s="88"/>
      <c r="Q37" s="88"/>
      <c r="R37" s="88"/>
      <c r="S37" s="88" t="s">
        <v>1100</v>
      </c>
      <c r="T37" s="88"/>
      <c r="U37" s="88"/>
      <c r="V37" s="88" t="s">
        <v>1101</v>
      </c>
      <c r="W37" s="88"/>
      <c r="X37" s="88"/>
      <c r="Y37" s="88"/>
      <c r="Z37" s="88" t="s">
        <v>1102</v>
      </c>
      <c r="AA37" s="88" t="s">
        <v>1103</v>
      </c>
      <c r="AB37" s="88"/>
      <c r="AC37" s="88"/>
      <c r="AD37" s="88"/>
      <c r="AE37" s="88" t="s">
        <v>1104</v>
      </c>
      <c r="AF37" s="88"/>
      <c r="AG37" s="88" t="s">
        <v>1105</v>
      </c>
      <c r="AH37" s="88" t="s">
        <v>1106</v>
      </c>
      <c r="AI37" s="88"/>
      <c r="AJ37" s="88"/>
    </row>
    <row r="38" spans="1:36" ht="15">
      <c r="A38" s="88" t="s">
        <v>6</v>
      </c>
      <c r="B38" s="88" t="s">
        <v>1107</v>
      </c>
      <c r="C38" s="88" t="s">
        <v>7</v>
      </c>
      <c r="D38" s="88" t="s">
        <v>1108</v>
      </c>
      <c r="E38" s="88" t="s">
        <v>1109</v>
      </c>
      <c r="F38" s="88"/>
      <c r="G38" s="88" t="s">
        <v>1094</v>
      </c>
      <c r="H38" s="88"/>
      <c r="I38" s="88"/>
      <c r="J38" s="88" t="s">
        <v>1110</v>
      </c>
      <c r="K38" s="88" t="s">
        <v>1111</v>
      </c>
      <c r="L38" s="88"/>
      <c r="M38" s="88"/>
      <c r="N38" s="88"/>
      <c r="O38" s="88" t="s">
        <v>1112</v>
      </c>
      <c r="P38" s="88"/>
      <c r="Q38" s="88"/>
      <c r="R38" s="88"/>
      <c r="S38" s="88" t="s">
        <v>1113</v>
      </c>
      <c r="T38" s="88"/>
      <c r="U38" s="88"/>
      <c r="V38" s="88" t="s">
        <v>1114</v>
      </c>
      <c r="W38" s="88"/>
      <c r="X38" s="88"/>
      <c r="Y38" s="88"/>
      <c r="Z38" s="88" t="s">
        <v>1115</v>
      </c>
      <c r="AA38" s="88" t="s">
        <v>1116</v>
      </c>
      <c r="AB38" s="88"/>
      <c r="AC38" s="88"/>
      <c r="AD38" s="88"/>
      <c r="AE38" s="88" t="s">
        <v>1117</v>
      </c>
      <c r="AF38" s="88"/>
      <c r="AG38" s="88" t="s">
        <v>1118</v>
      </c>
      <c r="AH38" s="88" t="s">
        <v>1119</v>
      </c>
      <c r="AI38" s="88"/>
      <c r="AJ38" s="88"/>
    </row>
    <row r="39" spans="1:36" ht="15">
      <c r="A39" s="88" t="s">
        <v>6</v>
      </c>
      <c r="B39" s="88" t="s">
        <v>1120</v>
      </c>
      <c r="C39" s="88" t="s">
        <v>7</v>
      </c>
      <c r="D39" s="88" t="s">
        <v>1121</v>
      </c>
      <c r="E39" s="88" t="s">
        <v>1122</v>
      </c>
      <c r="F39" s="88"/>
      <c r="G39" s="88" t="s">
        <v>1107</v>
      </c>
      <c r="H39" s="88"/>
      <c r="I39" s="88"/>
      <c r="J39" s="88" t="s">
        <v>1075</v>
      </c>
      <c r="K39" s="88" t="s">
        <v>1123</v>
      </c>
      <c r="L39" s="88"/>
      <c r="M39" s="88"/>
      <c r="N39" s="88"/>
      <c r="O39" s="88" t="s">
        <v>349</v>
      </c>
      <c r="P39" s="88"/>
      <c r="Q39" s="88"/>
      <c r="R39" s="88"/>
      <c r="S39" s="88" t="s">
        <v>687</v>
      </c>
      <c r="T39" s="88"/>
      <c r="U39" s="88"/>
      <c r="V39" s="88" t="s">
        <v>1124</v>
      </c>
      <c r="W39" s="88"/>
      <c r="X39" s="88"/>
      <c r="Y39" s="88"/>
      <c r="Z39" s="88" t="s">
        <v>1125</v>
      </c>
      <c r="AA39" s="88" t="s">
        <v>1126</v>
      </c>
      <c r="AB39" s="88"/>
      <c r="AC39" s="88"/>
      <c r="AD39" s="88"/>
      <c r="AE39" s="88" t="s">
        <v>1127</v>
      </c>
      <c r="AF39" s="88"/>
      <c r="AG39" s="88" t="s">
        <v>1128</v>
      </c>
      <c r="AH39" s="88" t="s">
        <v>1129</v>
      </c>
      <c r="AI39" s="88"/>
      <c r="AJ39" s="88"/>
    </row>
    <row r="40" spans="1:36" ht="15">
      <c r="A40" s="88" t="s">
        <v>6</v>
      </c>
      <c r="B40" s="88" t="s">
        <v>886</v>
      </c>
      <c r="C40" s="88" t="s">
        <v>7</v>
      </c>
      <c r="D40" s="88" t="s">
        <v>1130</v>
      </c>
      <c r="E40" s="88" t="s">
        <v>1131</v>
      </c>
      <c r="F40" s="88"/>
      <c r="G40" s="88" t="s">
        <v>1120</v>
      </c>
      <c r="H40" s="88"/>
      <c r="I40" s="88"/>
      <c r="J40" s="88" t="s">
        <v>1132</v>
      </c>
      <c r="K40" s="88" t="s">
        <v>1133</v>
      </c>
      <c r="L40" s="88"/>
      <c r="M40" s="88"/>
      <c r="N40" s="88"/>
      <c r="O40" s="88" t="s">
        <v>1134</v>
      </c>
      <c r="P40" s="88"/>
      <c r="Q40" s="88"/>
      <c r="R40" s="88"/>
      <c r="S40" s="88" t="s">
        <v>1135</v>
      </c>
      <c r="T40" s="88"/>
      <c r="U40" s="88"/>
      <c r="V40" s="88"/>
      <c r="W40" s="88"/>
      <c r="X40" s="88"/>
      <c r="Y40" s="88"/>
      <c r="Z40" s="88" t="s">
        <v>1136</v>
      </c>
      <c r="AA40" s="88" t="s">
        <v>1137</v>
      </c>
      <c r="AB40" s="88"/>
      <c r="AC40" s="88"/>
      <c r="AD40" s="88"/>
      <c r="AE40" s="88" t="s">
        <v>708</v>
      </c>
      <c r="AF40" s="88"/>
      <c r="AG40" s="88" t="s">
        <v>1138</v>
      </c>
      <c r="AH40" s="88" t="s">
        <v>1139</v>
      </c>
      <c r="AI40" s="88"/>
      <c r="AJ40" s="88"/>
    </row>
    <row r="41" spans="1:36" ht="15">
      <c r="A41" s="88" t="s">
        <v>6</v>
      </c>
      <c r="B41" s="88" t="s">
        <v>582</v>
      </c>
      <c r="C41" s="88" t="s">
        <v>7</v>
      </c>
      <c r="D41" s="88" t="s">
        <v>1140</v>
      </c>
      <c r="E41" s="88" t="s">
        <v>1141</v>
      </c>
      <c r="F41" s="88"/>
      <c r="G41" s="88" t="s">
        <v>886</v>
      </c>
      <c r="H41" s="88"/>
      <c r="I41" s="88"/>
      <c r="J41" s="88" t="s">
        <v>1142</v>
      </c>
      <c r="K41" s="88" t="s">
        <v>1143</v>
      </c>
      <c r="L41" s="88"/>
      <c r="M41" s="88"/>
      <c r="N41" s="88"/>
      <c r="O41" s="88" t="s">
        <v>1144</v>
      </c>
      <c r="P41" s="88"/>
      <c r="Q41" s="88"/>
      <c r="R41" s="88"/>
      <c r="S41" s="88" t="s">
        <v>1145</v>
      </c>
      <c r="T41" s="88"/>
      <c r="U41" s="88"/>
      <c r="V41" s="88"/>
      <c r="W41" s="88"/>
      <c r="X41" s="88"/>
      <c r="Y41" s="88"/>
      <c r="Z41" s="88" t="s">
        <v>1146</v>
      </c>
      <c r="AA41" s="88" t="s">
        <v>1147</v>
      </c>
      <c r="AB41" s="88"/>
      <c r="AC41" s="88"/>
      <c r="AD41" s="88"/>
      <c r="AE41" s="88" t="s">
        <v>1148</v>
      </c>
      <c r="AF41" s="88"/>
      <c r="AG41" s="88" t="s">
        <v>1149</v>
      </c>
      <c r="AH41" s="88" t="s">
        <v>1150</v>
      </c>
      <c r="AI41" s="88"/>
      <c r="AJ41" s="88"/>
    </row>
    <row r="42" spans="1:36" ht="15">
      <c r="A42" s="88" t="s">
        <v>6</v>
      </c>
      <c r="B42" s="88" t="s">
        <v>1151</v>
      </c>
      <c r="C42" s="88" t="s">
        <v>7</v>
      </c>
      <c r="D42" s="88" t="s">
        <v>1152</v>
      </c>
      <c r="E42" s="88" t="s">
        <v>1153</v>
      </c>
      <c r="F42" s="88"/>
      <c r="G42" s="88" t="s">
        <v>582</v>
      </c>
      <c r="H42" s="88"/>
      <c r="I42" s="88"/>
      <c r="J42" s="88" t="s">
        <v>1154</v>
      </c>
      <c r="K42" s="88" t="s">
        <v>1155</v>
      </c>
      <c r="L42" s="88"/>
      <c r="M42" s="88"/>
      <c r="N42" s="88"/>
      <c r="O42" s="88" t="s">
        <v>1156</v>
      </c>
      <c r="P42" s="88"/>
      <c r="Q42" s="88"/>
      <c r="R42" s="88"/>
      <c r="S42" s="88" t="s">
        <v>1157</v>
      </c>
      <c r="T42" s="88"/>
      <c r="U42" s="88"/>
      <c r="V42" s="88"/>
      <c r="W42" s="88"/>
      <c r="X42" s="88"/>
      <c r="Y42" s="88"/>
      <c r="Z42" s="88" t="s">
        <v>343</v>
      </c>
      <c r="AA42" s="88" t="s">
        <v>1158</v>
      </c>
      <c r="AB42" s="88"/>
      <c r="AC42" s="88"/>
      <c r="AD42" s="88"/>
      <c r="AE42" s="88" t="s">
        <v>1159</v>
      </c>
      <c r="AF42" s="88"/>
      <c r="AG42" s="88" t="s">
        <v>1160</v>
      </c>
      <c r="AH42" s="88" t="s">
        <v>1161</v>
      </c>
      <c r="AI42" s="88"/>
      <c r="AJ42" s="88"/>
    </row>
    <row r="43" spans="1:36" ht="15">
      <c r="A43" s="88" t="s">
        <v>6</v>
      </c>
      <c r="B43" s="88" t="s">
        <v>1162</v>
      </c>
      <c r="C43" s="88" t="s">
        <v>7</v>
      </c>
      <c r="D43" s="88" t="s">
        <v>1163</v>
      </c>
      <c r="E43" s="88" t="s">
        <v>1164</v>
      </c>
      <c r="F43" s="88"/>
      <c r="G43" s="88" t="s">
        <v>1151</v>
      </c>
      <c r="H43" s="88"/>
      <c r="I43" s="88"/>
      <c r="J43" s="88" t="s">
        <v>1165</v>
      </c>
      <c r="K43" s="88" t="s">
        <v>1166</v>
      </c>
      <c r="L43" s="88"/>
      <c r="M43" s="88"/>
      <c r="N43" s="88"/>
      <c r="O43" s="88" t="s">
        <v>1167</v>
      </c>
      <c r="P43" s="88"/>
      <c r="Q43" s="88"/>
      <c r="R43" s="88"/>
      <c r="S43" s="88" t="s">
        <v>1168</v>
      </c>
      <c r="T43" s="88"/>
      <c r="U43" s="88"/>
      <c r="V43" s="88"/>
      <c r="W43" s="88"/>
      <c r="X43" s="88"/>
      <c r="Y43" s="88"/>
      <c r="Z43" s="88" t="s">
        <v>1169</v>
      </c>
      <c r="AA43" s="88"/>
      <c r="AB43" s="88"/>
      <c r="AC43" s="88"/>
      <c r="AD43" s="88"/>
      <c r="AE43" s="88" t="s">
        <v>1170</v>
      </c>
      <c r="AF43" s="88"/>
      <c r="AG43" s="88" t="s">
        <v>1171</v>
      </c>
      <c r="AH43" s="88" t="s">
        <v>1172</v>
      </c>
      <c r="AI43" s="88"/>
      <c r="AJ43" s="88"/>
    </row>
    <row r="44" spans="1:36" ht="15">
      <c r="A44" s="88" t="s">
        <v>6</v>
      </c>
      <c r="B44" s="88" t="s">
        <v>1173</v>
      </c>
      <c r="C44" s="88" t="s">
        <v>7</v>
      </c>
      <c r="D44" s="88" t="s">
        <v>1174</v>
      </c>
      <c r="E44" s="88" t="s">
        <v>1175</v>
      </c>
      <c r="F44" s="88"/>
      <c r="G44" s="88" t="s">
        <v>1162</v>
      </c>
      <c r="H44" s="88"/>
      <c r="I44" s="88"/>
      <c r="J44" s="88" t="s">
        <v>1176</v>
      </c>
      <c r="K44" s="88" t="s">
        <v>1177</v>
      </c>
      <c r="L44" s="88"/>
      <c r="M44" s="88"/>
      <c r="N44" s="88"/>
      <c r="O44" s="88" t="s">
        <v>1178</v>
      </c>
      <c r="P44" s="88"/>
      <c r="Q44" s="88"/>
      <c r="R44" s="88"/>
      <c r="S44" s="88" t="s">
        <v>1179</v>
      </c>
      <c r="T44" s="88"/>
      <c r="U44" s="88"/>
      <c r="V44" s="88"/>
      <c r="W44" s="88"/>
      <c r="X44" s="88"/>
      <c r="Y44" s="88"/>
      <c r="Z44" s="88" t="s">
        <v>1180</v>
      </c>
      <c r="AA44" s="88"/>
      <c r="AB44" s="88"/>
      <c r="AC44" s="88"/>
      <c r="AD44" s="88"/>
      <c r="AE44" s="88" t="s">
        <v>1181</v>
      </c>
      <c r="AF44" s="88"/>
      <c r="AG44" s="88" t="s">
        <v>1182</v>
      </c>
      <c r="AH44" s="88" t="s">
        <v>1183</v>
      </c>
      <c r="AI44" s="88"/>
      <c r="AJ44" s="88"/>
    </row>
    <row r="45" spans="1:36" ht="15">
      <c r="A45" s="88" t="s">
        <v>6</v>
      </c>
      <c r="B45" s="88" t="s">
        <v>1184</v>
      </c>
      <c r="C45" s="88" t="s">
        <v>7</v>
      </c>
      <c r="D45" s="88" t="s">
        <v>1185</v>
      </c>
      <c r="E45" s="88" t="s">
        <v>1186</v>
      </c>
      <c r="F45" s="88"/>
      <c r="G45" s="88" t="s">
        <v>1173</v>
      </c>
      <c r="H45" s="88"/>
      <c r="I45" s="88"/>
      <c r="J45" s="88" t="s">
        <v>1187</v>
      </c>
      <c r="K45" s="88" t="s">
        <v>1188</v>
      </c>
      <c r="L45" s="88"/>
      <c r="M45" s="88"/>
      <c r="N45" s="88"/>
      <c r="O45" s="88"/>
      <c r="P45" s="88"/>
      <c r="Q45" s="88"/>
      <c r="R45" s="88"/>
      <c r="S45" s="88" t="s">
        <v>1189</v>
      </c>
      <c r="T45" s="88"/>
      <c r="U45" s="88"/>
      <c r="V45" s="88"/>
      <c r="W45" s="88"/>
      <c r="X45" s="88"/>
      <c r="Y45" s="88"/>
      <c r="Z45" s="88" t="s">
        <v>1190</v>
      </c>
      <c r="AA45" s="88"/>
      <c r="AB45" s="88"/>
      <c r="AC45" s="88"/>
      <c r="AD45" s="88"/>
      <c r="AE45" s="88" t="s">
        <v>1191</v>
      </c>
      <c r="AF45" s="88"/>
      <c r="AG45" s="88" t="s">
        <v>1112</v>
      </c>
      <c r="AH45" s="88"/>
      <c r="AI45" s="88"/>
      <c r="AJ45" s="88"/>
    </row>
    <row r="46" spans="1:36" ht="15">
      <c r="A46" s="88" t="s">
        <v>6</v>
      </c>
      <c r="B46" s="88" t="s">
        <v>1192</v>
      </c>
      <c r="C46" s="88" t="s">
        <v>7</v>
      </c>
      <c r="D46" s="88" t="s">
        <v>1193</v>
      </c>
      <c r="E46" s="88" t="s">
        <v>1194</v>
      </c>
      <c r="F46" s="88"/>
      <c r="G46" s="88" t="s">
        <v>1184</v>
      </c>
      <c r="H46" s="88"/>
      <c r="I46" s="88"/>
      <c r="J46" s="88" t="s">
        <v>1195</v>
      </c>
      <c r="K46" s="88" t="s">
        <v>1196</v>
      </c>
      <c r="L46" s="88"/>
      <c r="M46" s="88"/>
      <c r="N46" s="88"/>
      <c r="O46" s="88"/>
      <c r="P46" s="88"/>
      <c r="Q46" s="88"/>
      <c r="R46" s="88"/>
      <c r="S46" s="88" t="s">
        <v>1197</v>
      </c>
      <c r="T46" s="88"/>
      <c r="U46" s="88"/>
      <c r="V46" s="88"/>
      <c r="W46" s="88"/>
      <c r="X46" s="88"/>
      <c r="Y46" s="88"/>
      <c r="Z46" s="88" t="s">
        <v>1198</v>
      </c>
      <c r="AA46" s="88"/>
      <c r="AB46" s="88"/>
      <c r="AC46" s="88"/>
      <c r="AD46" s="88"/>
      <c r="AE46" s="88" t="s">
        <v>1199</v>
      </c>
      <c r="AF46" s="88"/>
      <c r="AG46" s="88" t="s">
        <v>1200</v>
      </c>
      <c r="AH46" s="88"/>
      <c r="AI46" s="88"/>
      <c r="AJ46" s="88"/>
    </row>
    <row r="47" spans="1:36" ht="15">
      <c r="A47" s="88" t="s">
        <v>6</v>
      </c>
      <c r="B47" s="88" t="s">
        <v>1201</v>
      </c>
      <c r="C47" s="88" t="s">
        <v>7</v>
      </c>
      <c r="D47" s="88" t="s">
        <v>1202</v>
      </c>
      <c r="E47" s="88" t="s">
        <v>1203</v>
      </c>
      <c r="F47" s="88"/>
      <c r="G47" s="88" t="s">
        <v>1192</v>
      </c>
      <c r="H47" s="88"/>
      <c r="I47" s="88"/>
      <c r="J47" s="88" t="s">
        <v>756</v>
      </c>
      <c r="K47" s="88" t="s">
        <v>1204</v>
      </c>
      <c r="L47" s="88"/>
      <c r="M47" s="88"/>
      <c r="N47" s="88"/>
      <c r="O47" s="88"/>
      <c r="P47" s="88"/>
      <c r="Q47" s="88"/>
      <c r="R47" s="88"/>
      <c r="S47" s="88" t="s">
        <v>1205</v>
      </c>
      <c r="T47" s="88"/>
      <c r="U47" s="88"/>
      <c r="V47" s="88"/>
      <c r="W47" s="88"/>
      <c r="X47" s="88"/>
      <c r="Y47" s="88"/>
      <c r="Z47" s="88" t="s">
        <v>1206</v>
      </c>
      <c r="AA47" s="88"/>
      <c r="AB47" s="88"/>
      <c r="AC47" s="88"/>
      <c r="AD47" s="88"/>
      <c r="AE47" s="88" t="s">
        <v>1207</v>
      </c>
      <c r="AF47" s="88"/>
      <c r="AG47" s="88" t="s">
        <v>1208</v>
      </c>
      <c r="AH47" s="88"/>
      <c r="AI47" s="88"/>
      <c r="AJ47" s="88"/>
    </row>
    <row r="48" spans="1:36" ht="15">
      <c r="A48" s="88" t="s">
        <v>6</v>
      </c>
      <c r="B48" s="88" t="s">
        <v>1209</v>
      </c>
      <c r="C48" s="88" t="s">
        <v>7</v>
      </c>
      <c r="D48" s="88" t="s">
        <v>1210</v>
      </c>
      <c r="E48" s="88" t="s">
        <v>1211</v>
      </c>
      <c r="F48" s="88"/>
      <c r="G48" s="88" t="s">
        <v>1201</v>
      </c>
      <c r="H48" s="88"/>
      <c r="I48" s="88"/>
      <c r="J48" s="88" t="s">
        <v>1212</v>
      </c>
      <c r="K48" s="88" t="s">
        <v>1213</v>
      </c>
      <c r="L48" s="88"/>
      <c r="M48" s="88"/>
      <c r="N48" s="88"/>
      <c r="O48" s="88"/>
      <c r="P48" s="88"/>
      <c r="Q48" s="88"/>
      <c r="R48" s="88"/>
      <c r="S48" s="88" t="s">
        <v>1214</v>
      </c>
      <c r="T48" s="88"/>
      <c r="U48" s="88"/>
      <c r="V48" s="88"/>
      <c r="W48" s="88"/>
      <c r="X48" s="88"/>
      <c r="Y48" s="88"/>
      <c r="Z48" s="88" t="s">
        <v>1215</v>
      </c>
      <c r="AA48" s="88"/>
      <c r="AB48" s="88"/>
      <c r="AC48" s="88"/>
      <c r="AD48" s="88"/>
      <c r="AE48" s="88" t="s">
        <v>1216</v>
      </c>
      <c r="AF48" s="88"/>
      <c r="AG48" s="88" t="s">
        <v>1217</v>
      </c>
      <c r="AH48" s="88"/>
      <c r="AI48" s="88"/>
      <c r="AJ48" s="88"/>
    </row>
    <row r="49" spans="1:36" ht="15">
      <c r="A49" s="88" t="s">
        <v>6</v>
      </c>
      <c r="B49" s="88" t="s">
        <v>1218</v>
      </c>
      <c r="C49" s="88" t="s">
        <v>7</v>
      </c>
      <c r="D49" s="88" t="s">
        <v>1219</v>
      </c>
      <c r="E49" s="88" t="s">
        <v>1220</v>
      </c>
      <c r="F49" s="88"/>
      <c r="G49" s="88" t="s">
        <v>1209</v>
      </c>
      <c r="H49" s="88"/>
      <c r="I49" s="88"/>
      <c r="J49" s="88"/>
      <c r="K49" s="88" t="s">
        <v>1221</v>
      </c>
      <c r="L49" s="88"/>
      <c r="M49" s="88"/>
      <c r="N49" s="88"/>
      <c r="O49" s="88"/>
      <c r="P49" s="88"/>
      <c r="Q49" s="88"/>
      <c r="R49" s="88"/>
      <c r="S49" s="88" t="s">
        <v>1222</v>
      </c>
      <c r="T49" s="88"/>
      <c r="U49" s="88"/>
      <c r="V49" s="88"/>
      <c r="W49" s="88"/>
      <c r="X49" s="88"/>
      <c r="Y49" s="88"/>
      <c r="Z49" s="88" t="s">
        <v>1223</v>
      </c>
      <c r="AA49" s="88"/>
      <c r="AB49" s="88"/>
      <c r="AC49" s="88"/>
      <c r="AD49" s="88"/>
      <c r="AE49" s="88" t="s">
        <v>878</v>
      </c>
      <c r="AF49" s="88"/>
      <c r="AG49" s="88" t="s">
        <v>1224</v>
      </c>
      <c r="AH49" s="88"/>
      <c r="AI49" s="88"/>
      <c r="AJ49" s="88"/>
    </row>
    <row r="50" spans="1:36" ht="15">
      <c r="A50" s="88" t="s">
        <v>6</v>
      </c>
      <c r="B50" s="88" t="s">
        <v>1225</v>
      </c>
      <c r="C50" s="88" t="s">
        <v>7</v>
      </c>
      <c r="D50" s="88" t="s">
        <v>1226</v>
      </c>
      <c r="E50" s="88" t="s">
        <v>1227</v>
      </c>
      <c r="F50" s="88"/>
      <c r="G50" s="88" t="s">
        <v>1218</v>
      </c>
      <c r="H50" s="88"/>
      <c r="I50" s="88"/>
      <c r="J50" s="88"/>
      <c r="K50" s="88" t="s">
        <v>1228</v>
      </c>
      <c r="L50" s="88"/>
      <c r="M50" s="88"/>
      <c r="N50" s="88"/>
      <c r="O50" s="88"/>
      <c r="P50" s="88"/>
      <c r="Q50" s="88"/>
      <c r="R50" s="88"/>
      <c r="S50" s="88" t="s">
        <v>1229</v>
      </c>
      <c r="T50" s="88"/>
      <c r="U50" s="88"/>
      <c r="V50" s="88"/>
      <c r="W50" s="88"/>
      <c r="X50" s="88"/>
      <c r="Y50" s="88"/>
      <c r="Z50" s="88" t="s">
        <v>1230</v>
      </c>
      <c r="AA50" s="88"/>
      <c r="AB50" s="88"/>
      <c r="AC50" s="88"/>
      <c r="AD50" s="88"/>
      <c r="AE50" s="88" t="s">
        <v>1231</v>
      </c>
      <c r="AF50" s="88"/>
      <c r="AG50" s="88"/>
      <c r="AH50" s="88"/>
      <c r="AI50" s="88"/>
      <c r="AJ50" s="88"/>
    </row>
    <row r="51" spans="1:36" ht="15">
      <c r="A51" s="88" t="s">
        <v>6</v>
      </c>
      <c r="B51" s="88" t="s">
        <v>1232</v>
      </c>
      <c r="C51" s="88" t="s">
        <v>7</v>
      </c>
      <c r="D51" s="88" t="s">
        <v>1233</v>
      </c>
      <c r="E51" s="88" t="s">
        <v>1234</v>
      </c>
      <c r="F51" s="88"/>
      <c r="G51" s="88" t="s">
        <v>1225</v>
      </c>
      <c r="H51" s="88"/>
      <c r="I51" s="88"/>
      <c r="J51" s="88"/>
      <c r="K51" s="88" t="s">
        <v>481</v>
      </c>
      <c r="L51" s="88"/>
      <c r="M51" s="88"/>
      <c r="N51" s="88"/>
      <c r="O51" s="88"/>
      <c r="P51" s="88"/>
      <c r="Q51" s="88"/>
      <c r="R51" s="88"/>
      <c r="S51" s="88" t="s">
        <v>1235</v>
      </c>
      <c r="T51" s="88"/>
      <c r="U51" s="88"/>
      <c r="V51" s="88"/>
      <c r="W51" s="88"/>
      <c r="X51" s="88"/>
      <c r="Y51" s="88"/>
      <c r="Z51" s="88" t="s">
        <v>1236</v>
      </c>
      <c r="AA51" s="88"/>
      <c r="AB51" s="88"/>
      <c r="AC51" s="88"/>
      <c r="AD51" s="88"/>
      <c r="AE51" s="88" t="s">
        <v>1237</v>
      </c>
      <c r="AF51" s="88"/>
      <c r="AG51" s="88"/>
      <c r="AH51" s="88"/>
      <c r="AI51" s="88"/>
      <c r="AJ51" s="88"/>
    </row>
    <row r="52" spans="1:36" ht="15">
      <c r="A52" s="88" t="s">
        <v>6</v>
      </c>
      <c r="B52" s="88" t="s">
        <v>1238</v>
      </c>
      <c r="C52" s="88" t="s">
        <v>7</v>
      </c>
      <c r="D52" s="88" t="s">
        <v>1239</v>
      </c>
      <c r="E52" s="88" t="s">
        <v>1240</v>
      </c>
      <c r="F52" s="88"/>
      <c r="G52" s="88" t="s">
        <v>1232</v>
      </c>
      <c r="H52" s="88"/>
      <c r="I52" s="88"/>
      <c r="J52" s="88"/>
      <c r="K52" s="88" t="s">
        <v>1241</v>
      </c>
      <c r="L52" s="88"/>
      <c r="M52" s="88"/>
      <c r="N52" s="88"/>
      <c r="O52" s="88"/>
      <c r="P52" s="88"/>
      <c r="Q52" s="88"/>
      <c r="R52" s="88"/>
      <c r="S52" s="88" t="s">
        <v>1242</v>
      </c>
      <c r="T52" s="88"/>
      <c r="U52" s="88"/>
      <c r="V52" s="88"/>
      <c r="W52" s="88"/>
      <c r="X52" s="88"/>
      <c r="Y52" s="88"/>
      <c r="Z52" s="88" t="s">
        <v>1243</v>
      </c>
      <c r="AA52" s="88"/>
      <c r="AB52" s="88"/>
      <c r="AC52" s="88"/>
      <c r="AD52" s="88"/>
      <c r="AE52" s="88" t="s">
        <v>1244</v>
      </c>
      <c r="AF52" s="88"/>
      <c r="AG52" s="88"/>
      <c r="AH52" s="88"/>
      <c r="AI52" s="88"/>
      <c r="AJ52" s="88"/>
    </row>
    <row r="53" spans="1:36" ht="15">
      <c r="A53" s="88" t="s">
        <v>6</v>
      </c>
      <c r="B53" s="88" t="s">
        <v>1245</v>
      </c>
      <c r="C53" s="88" t="s">
        <v>7</v>
      </c>
      <c r="D53" s="88" t="s">
        <v>1246</v>
      </c>
      <c r="E53" s="88" t="s">
        <v>1247</v>
      </c>
      <c r="F53" s="88"/>
      <c r="G53" s="88" t="s">
        <v>1238</v>
      </c>
      <c r="H53" s="88"/>
      <c r="I53" s="88"/>
      <c r="J53" s="88"/>
      <c r="K53" s="88" t="s">
        <v>1248</v>
      </c>
      <c r="L53" s="88"/>
      <c r="M53" s="88"/>
      <c r="N53" s="88"/>
      <c r="O53" s="88"/>
      <c r="P53" s="88"/>
      <c r="Q53" s="88"/>
      <c r="R53" s="88"/>
      <c r="S53" s="88" t="s">
        <v>1249</v>
      </c>
      <c r="T53" s="88"/>
      <c r="U53" s="88"/>
      <c r="V53" s="88"/>
      <c r="W53" s="88"/>
      <c r="X53" s="88"/>
      <c r="Y53" s="88"/>
      <c r="Z53" s="88" t="s">
        <v>1250</v>
      </c>
      <c r="AA53" s="88"/>
      <c r="AB53" s="88"/>
      <c r="AC53" s="88"/>
      <c r="AD53" s="88"/>
      <c r="AE53" s="88" t="s">
        <v>1251</v>
      </c>
      <c r="AF53" s="88"/>
      <c r="AG53" s="88"/>
      <c r="AH53" s="88"/>
      <c r="AI53" s="88"/>
      <c r="AJ53" s="88"/>
    </row>
    <row r="54" spans="1:36" ht="15">
      <c r="A54" s="88" t="s">
        <v>6</v>
      </c>
      <c r="B54" s="88" t="s">
        <v>687</v>
      </c>
      <c r="C54" s="88" t="s">
        <v>7</v>
      </c>
      <c r="D54" s="88" t="s">
        <v>1252</v>
      </c>
      <c r="E54" s="88" t="s">
        <v>1253</v>
      </c>
      <c r="F54" s="88"/>
      <c r="G54" s="88" t="s">
        <v>1245</v>
      </c>
      <c r="H54" s="88"/>
      <c r="I54" s="88"/>
      <c r="J54" s="88"/>
      <c r="K54" s="88" t="s">
        <v>1254</v>
      </c>
      <c r="L54" s="88"/>
      <c r="M54" s="88"/>
      <c r="N54" s="88"/>
      <c r="O54" s="88"/>
      <c r="P54" s="88"/>
      <c r="Q54" s="88"/>
      <c r="R54" s="88"/>
      <c r="S54" s="88" t="s">
        <v>816</v>
      </c>
      <c r="T54" s="88"/>
      <c r="U54" s="88"/>
      <c r="V54" s="88"/>
      <c r="W54" s="88"/>
      <c r="X54" s="88"/>
      <c r="Y54" s="88"/>
      <c r="Z54" s="88" t="s">
        <v>1255</v>
      </c>
      <c r="AA54" s="88"/>
      <c r="AB54" s="88"/>
      <c r="AC54" s="88"/>
      <c r="AD54" s="88"/>
      <c r="AE54" s="88" t="s">
        <v>1256</v>
      </c>
      <c r="AF54" s="88"/>
      <c r="AG54" s="88"/>
      <c r="AH54" s="88"/>
      <c r="AI54" s="88"/>
      <c r="AJ54" s="88"/>
    </row>
    <row r="55" spans="1:36" ht="15">
      <c r="A55" s="88" t="s">
        <v>6</v>
      </c>
      <c r="B55" s="88" t="s">
        <v>708</v>
      </c>
      <c r="C55" s="88" t="s">
        <v>7</v>
      </c>
      <c r="D55" s="88" t="s">
        <v>1257</v>
      </c>
      <c r="E55" s="88" t="s">
        <v>1258</v>
      </c>
      <c r="F55" s="88"/>
      <c r="G55" s="88" t="s">
        <v>687</v>
      </c>
      <c r="H55" s="88"/>
      <c r="I55" s="88"/>
      <c r="J55" s="88"/>
      <c r="K55" s="88" t="s">
        <v>1259</v>
      </c>
      <c r="L55" s="88"/>
      <c r="M55" s="88"/>
      <c r="N55" s="88"/>
      <c r="O55" s="88"/>
      <c r="P55" s="88"/>
      <c r="Q55" s="88"/>
      <c r="R55" s="88"/>
      <c r="S55" s="88" t="s">
        <v>1260</v>
      </c>
      <c r="T55" s="88"/>
      <c r="U55" s="88"/>
      <c r="V55" s="88"/>
      <c r="W55" s="88"/>
      <c r="X55" s="88"/>
      <c r="Y55" s="88"/>
      <c r="Z55" s="88" t="s">
        <v>1261</v>
      </c>
      <c r="AA55" s="88"/>
      <c r="AB55" s="88"/>
      <c r="AC55" s="88"/>
      <c r="AD55" s="88"/>
      <c r="AE55" s="88" t="s">
        <v>1262</v>
      </c>
      <c r="AF55" s="88"/>
      <c r="AG55" s="88"/>
      <c r="AH55" s="88"/>
      <c r="AI55" s="88"/>
      <c r="AJ55" s="88"/>
    </row>
    <row r="56" spans="1:36" ht="15">
      <c r="A56" s="88" t="s">
        <v>6</v>
      </c>
      <c r="B56" s="88" t="s">
        <v>1263</v>
      </c>
      <c r="C56" s="88" t="s">
        <v>7</v>
      </c>
      <c r="D56" s="88" t="s">
        <v>1264</v>
      </c>
      <c r="E56" s="88" t="s">
        <v>1265</v>
      </c>
      <c r="F56" s="88"/>
      <c r="G56" s="88" t="s">
        <v>708</v>
      </c>
      <c r="H56" s="88"/>
      <c r="I56" s="88"/>
      <c r="J56" s="88"/>
      <c r="K56" s="88" t="s">
        <v>462</v>
      </c>
      <c r="L56" s="88"/>
      <c r="M56" s="88"/>
      <c r="N56" s="88"/>
      <c r="O56" s="88"/>
      <c r="P56" s="88"/>
      <c r="Q56" s="88"/>
      <c r="R56" s="88"/>
      <c r="S56" s="88" t="s">
        <v>1266</v>
      </c>
      <c r="T56" s="88"/>
      <c r="U56" s="88"/>
      <c r="V56" s="88"/>
      <c r="W56" s="88"/>
      <c r="X56" s="88"/>
      <c r="Y56" s="88"/>
      <c r="Z56" s="88" t="s">
        <v>1267</v>
      </c>
      <c r="AA56" s="88"/>
      <c r="AB56" s="88"/>
      <c r="AC56" s="88"/>
      <c r="AD56" s="88"/>
      <c r="AE56" s="88" t="s">
        <v>1268</v>
      </c>
      <c r="AF56" s="88"/>
      <c r="AG56" s="88"/>
      <c r="AH56" s="88"/>
      <c r="AI56" s="88"/>
      <c r="AJ56" s="88"/>
    </row>
    <row r="57" spans="1:36" ht="15">
      <c r="A57" s="88" t="s">
        <v>6</v>
      </c>
      <c r="B57" s="88" t="s">
        <v>1269</v>
      </c>
      <c r="C57" s="88" t="s">
        <v>7</v>
      </c>
      <c r="D57" s="88" t="s">
        <v>1270</v>
      </c>
      <c r="E57" s="88" t="s">
        <v>1271</v>
      </c>
      <c r="F57" s="88"/>
      <c r="G57" s="88" t="s">
        <v>1263</v>
      </c>
      <c r="H57" s="88"/>
      <c r="I57" s="88"/>
      <c r="J57" s="88"/>
      <c r="K57" s="88" t="s">
        <v>1272</v>
      </c>
      <c r="L57" s="88"/>
      <c r="M57" s="88"/>
      <c r="N57" s="88"/>
      <c r="O57" s="88"/>
      <c r="P57" s="88"/>
      <c r="Q57" s="88"/>
      <c r="R57" s="88"/>
      <c r="S57" s="88" t="s">
        <v>1273</v>
      </c>
      <c r="T57" s="88"/>
      <c r="U57" s="88"/>
      <c r="V57" s="88"/>
      <c r="W57" s="88"/>
      <c r="X57" s="88"/>
      <c r="Y57" s="88"/>
      <c r="Z57" s="88" t="s">
        <v>1097</v>
      </c>
      <c r="AA57" s="88"/>
      <c r="AB57" s="88"/>
      <c r="AC57" s="88"/>
      <c r="AD57" s="88"/>
      <c r="AE57" s="88" t="s">
        <v>1274</v>
      </c>
      <c r="AF57" s="88"/>
      <c r="AG57" s="88"/>
      <c r="AH57" s="88"/>
      <c r="AI57" s="88"/>
      <c r="AJ57" s="88"/>
    </row>
    <row r="58" spans="1:36" ht="15">
      <c r="A58" s="88" t="s">
        <v>6</v>
      </c>
      <c r="B58" s="88" t="s">
        <v>1275</v>
      </c>
      <c r="C58" s="88" t="s">
        <v>7</v>
      </c>
      <c r="D58" s="88" t="s">
        <v>1276</v>
      </c>
      <c r="E58" s="88" t="s">
        <v>1277</v>
      </c>
      <c r="F58" s="88"/>
      <c r="G58" s="88" t="s">
        <v>1269</v>
      </c>
      <c r="H58" s="88"/>
      <c r="I58" s="88"/>
      <c r="J58" s="88"/>
      <c r="K58" s="88" t="s">
        <v>1278</v>
      </c>
      <c r="L58" s="88"/>
      <c r="M58" s="88"/>
      <c r="N58" s="88"/>
      <c r="O58" s="88"/>
      <c r="P58" s="88"/>
      <c r="Q58" s="88"/>
      <c r="R58" s="88"/>
      <c r="S58" s="88" t="s">
        <v>1279</v>
      </c>
      <c r="T58" s="88"/>
      <c r="U58" s="88"/>
      <c r="V58" s="88"/>
      <c r="W58" s="88"/>
      <c r="X58" s="88"/>
      <c r="Y58" s="88"/>
      <c r="Z58" s="88" t="s">
        <v>1280</v>
      </c>
      <c r="AA58" s="88"/>
      <c r="AB58" s="88"/>
      <c r="AC58" s="88"/>
      <c r="AD58" s="88"/>
      <c r="AE58" s="88" t="s">
        <v>1281</v>
      </c>
      <c r="AF58" s="88"/>
      <c r="AG58" s="88"/>
      <c r="AH58" s="88"/>
      <c r="AI58" s="88"/>
      <c r="AJ58" s="88"/>
    </row>
    <row r="59" spans="1:36" ht="15">
      <c r="A59" s="88" t="s">
        <v>6</v>
      </c>
      <c r="B59" s="88" t="s">
        <v>1282</v>
      </c>
      <c r="C59" s="88" t="s">
        <v>7</v>
      </c>
      <c r="D59" s="88" t="s">
        <v>1283</v>
      </c>
      <c r="E59" s="88" t="s">
        <v>1284</v>
      </c>
      <c r="F59" s="88"/>
      <c r="G59" s="88" t="s">
        <v>1275</v>
      </c>
      <c r="H59" s="88"/>
      <c r="I59" s="88"/>
      <c r="J59" s="88"/>
      <c r="K59" s="88" t="s">
        <v>1285</v>
      </c>
      <c r="L59" s="88"/>
      <c r="M59" s="88"/>
      <c r="N59" s="88"/>
      <c r="O59" s="88"/>
      <c r="P59" s="88"/>
      <c r="Q59" s="88"/>
      <c r="R59" s="88"/>
      <c r="S59" s="88" t="s">
        <v>1286</v>
      </c>
      <c r="T59" s="88"/>
      <c r="U59" s="88"/>
      <c r="V59" s="88"/>
      <c r="W59" s="88"/>
      <c r="X59" s="88"/>
      <c r="Y59" s="88"/>
      <c r="Z59" s="88" t="s">
        <v>1287</v>
      </c>
      <c r="AA59" s="88"/>
      <c r="AB59" s="88"/>
      <c r="AC59" s="88"/>
      <c r="AD59" s="88"/>
      <c r="AE59" s="88" t="s">
        <v>1288</v>
      </c>
      <c r="AF59" s="88"/>
      <c r="AG59" s="88"/>
      <c r="AH59" s="88"/>
      <c r="AI59" s="88"/>
      <c r="AJ59" s="88"/>
    </row>
    <row r="60" spans="1:36" ht="15">
      <c r="A60" s="88" t="s">
        <v>6</v>
      </c>
      <c r="B60" s="88" t="s">
        <v>1289</v>
      </c>
      <c r="C60" s="88" t="s">
        <v>7</v>
      </c>
      <c r="D60" s="88" t="s">
        <v>1290</v>
      </c>
      <c r="E60" s="88" t="s">
        <v>1291</v>
      </c>
      <c r="F60" s="88"/>
      <c r="G60" s="88" t="s">
        <v>1282</v>
      </c>
      <c r="H60" s="88"/>
      <c r="I60" s="88"/>
      <c r="J60" s="88"/>
      <c r="K60" s="88" t="s">
        <v>1292</v>
      </c>
      <c r="L60" s="88"/>
      <c r="M60" s="88"/>
      <c r="N60" s="88"/>
      <c r="O60" s="88"/>
      <c r="P60" s="88"/>
      <c r="Q60" s="88"/>
      <c r="R60" s="88"/>
      <c r="S60" s="88" t="s">
        <v>1146</v>
      </c>
      <c r="T60" s="88"/>
      <c r="U60" s="88"/>
      <c r="V60" s="88"/>
      <c r="W60" s="88"/>
      <c r="X60" s="88"/>
      <c r="Y60" s="88"/>
      <c r="Z60" s="88" t="s">
        <v>1293</v>
      </c>
      <c r="AA60" s="88"/>
      <c r="AB60" s="88"/>
      <c r="AC60" s="88"/>
      <c r="AD60" s="88"/>
      <c r="AE60" s="88" t="s">
        <v>1294</v>
      </c>
      <c r="AF60" s="88"/>
      <c r="AG60" s="88"/>
      <c r="AH60" s="88"/>
      <c r="AI60" s="88"/>
      <c r="AJ60" s="88"/>
    </row>
    <row r="61" spans="1:36" ht="15">
      <c r="A61" s="88" t="s">
        <v>6</v>
      </c>
      <c r="B61" s="88" t="s">
        <v>1295</v>
      </c>
      <c r="C61" s="88" t="s">
        <v>7</v>
      </c>
      <c r="D61" s="88" t="s">
        <v>1296</v>
      </c>
      <c r="E61" s="88" t="s">
        <v>1297</v>
      </c>
      <c r="F61" s="88"/>
      <c r="G61" s="88" t="s">
        <v>1289</v>
      </c>
      <c r="H61" s="88"/>
      <c r="I61" s="88"/>
      <c r="J61" s="88"/>
      <c r="K61" s="88" t="s">
        <v>1298</v>
      </c>
      <c r="L61" s="88"/>
      <c r="M61" s="88"/>
      <c r="N61" s="88"/>
      <c r="O61" s="88"/>
      <c r="P61" s="88"/>
      <c r="Q61" s="88"/>
      <c r="R61" s="88"/>
      <c r="S61" s="88" t="s">
        <v>343</v>
      </c>
      <c r="T61" s="88"/>
      <c r="U61" s="88"/>
      <c r="V61" s="88"/>
      <c r="W61" s="88"/>
      <c r="X61" s="88"/>
      <c r="Y61" s="88"/>
      <c r="Z61" s="88" t="s">
        <v>1299</v>
      </c>
      <c r="AA61" s="88"/>
      <c r="AB61" s="88"/>
      <c r="AC61" s="88"/>
      <c r="AD61" s="88"/>
      <c r="AE61" s="88" t="s">
        <v>1300</v>
      </c>
      <c r="AF61" s="88"/>
      <c r="AG61" s="88"/>
      <c r="AH61" s="88"/>
      <c r="AI61" s="88"/>
      <c r="AJ61" s="88"/>
    </row>
    <row r="62" spans="1:36" ht="15">
      <c r="A62" s="88" t="s">
        <v>6</v>
      </c>
      <c r="B62" s="88" t="s">
        <v>1301</v>
      </c>
      <c r="C62" s="88" t="s">
        <v>7</v>
      </c>
      <c r="D62" s="88" t="s">
        <v>1302</v>
      </c>
      <c r="E62" s="88" t="s">
        <v>1303</v>
      </c>
      <c r="F62" s="88"/>
      <c r="G62" s="88" t="s">
        <v>1295</v>
      </c>
      <c r="H62" s="88"/>
      <c r="I62" s="88"/>
      <c r="J62" s="88"/>
      <c r="K62" s="88" t="s">
        <v>1304</v>
      </c>
      <c r="L62" s="88"/>
      <c r="M62" s="88"/>
      <c r="N62" s="88"/>
      <c r="O62" s="88"/>
      <c r="P62" s="88"/>
      <c r="Q62" s="88"/>
      <c r="R62" s="88"/>
      <c r="S62" s="88" t="s">
        <v>1305</v>
      </c>
      <c r="T62" s="88"/>
      <c r="U62" s="88"/>
      <c r="V62" s="88"/>
      <c r="W62" s="88"/>
      <c r="X62" s="88"/>
      <c r="Y62" s="88"/>
      <c r="Z62" s="88" t="s">
        <v>1306</v>
      </c>
      <c r="AA62" s="88"/>
      <c r="AB62" s="88"/>
      <c r="AC62" s="88"/>
      <c r="AD62" s="88"/>
      <c r="AE62" s="88" t="s">
        <v>1307</v>
      </c>
      <c r="AF62" s="88"/>
      <c r="AG62" s="88"/>
      <c r="AH62" s="88"/>
      <c r="AI62" s="88"/>
      <c r="AJ62" s="88"/>
    </row>
    <row r="63" spans="1:36" ht="15">
      <c r="A63" s="88" t="s">
        <v>6</v>
      </c>
      <c r="B63" s="88" t="s">
        <v>1213</v>
      </c>
      <c r="C63" s="88" t="s">
        <v>7</v>
      </c>
      <c r="D63" s="88" t="s">
        <v>1308</v>
      </c>
      <c r="E63" s="88" t="s">
        <v>1309</v>
      </c>
      <c r="F63" s="88"/>
      <c r="G63" s="88" t="s">
        <v>1301</v>
      </c>
      <c r="H63" s="88"/>
      <c r="I63" s="88"/>
      <c r="J63" s="88"/>
      <c r="K63" s="88" t="s">
        <v>1310</v>
      </c>
      <c r="L63" s="88"/>
      <c r="M63" s="88"/>
      <c r="N63" s="88"/>
      <c r="O63" s="88"/>
      <c r="P63" s="88"/>
      <c r="Q63" s="88"/>
      <c r="R63" s="88"/>
      <c r="S63" s="88" t="s">
        <v>1311</v>
      </c>
      <c r="T63" s="88"/>
      <c r="U63" s="88"/>
      <c r="V63" s="88"/>
      <c r="W63" s="88"/>
      <c r="X63" s="88"/>
      <c r="Y63" s="88"/>
      <c r="Z63" s="88" t="s">
        <v>1312</v>
      </c>
      <c r="AA63" s="88"/>
      <c r="AB63" s="88"/>
      <c r="AC63" s="88"/>
      <c r="AD63" s="88"/>
      <c r="AE63" s="88" t="s">
        <v>1313</v>
      </c>
      <c r="AF63" s="88"/>
      <c r="AG63" s="88"/>
      <c r="AH63" s="88"/>
      <c r="AI63" s="88"/>
      <c r="AJ63" s="88"/>
    </row>
    <row r="64" spans="1:36" ht="15">
      <c r="A64" s="88" t="s">
        <v>6</v>
      </c>
      <c r="B64" s="88" t="s">
        <v>1314</v>
      </c>
      <c r="C64" s="88" t="s">
        <v>7</v>
      </c>
      <c r="D64" s="88" t="s">
        <v>1315</v>
      </c>
      <c r="E64" s="88" t="s">
        <v>1316</v>
      </c>
      <c r="F64" s="88"/>
      <c r="G64" s="88" t="s">
        <v>1213</v>
      </c>
      <c r="H64" s="88"/>
      <c r="I64" s="88"/>
      <c r="J64" s="88"/>
      <c r="K64" s="88" t="s">
        <v>1317</v>
      </c>
      <c r="L64" s="88"/>
      <c r="M64" s="88"/>
      <c r="N64" s="88"/>
      <c r="O64" s="88"/>
      <c r="P64" s="88"/>
      <c r="Q64" s="88"/>
      <c r="R64" s="88"/>
      <c r="S64" s="88" t="s">
        <v>1318</v>
      </c>
      <c r="T64" s="88"/>
      <c r="U64" s="88"/>
      <c r="V64" s="88"/>
      <c r="W64" s="88"/>
      <c r="X64" s="88"/>
      <c r="Y64" s="88"/>
      <c r="Z64" s="88" t="s">
        <v>1319</v>
      </c>
      <c r="AA64" s="88"/>
      <c r="AB64" s="88"/>
      <c r="AC64" s="88"/>
      <c r="AD64" s="88"/>
      <c r="AE64" s="88" t="s">
        <v>1320</v>
      </c>
      <c r="AF64" s="88"/>
      <c r="AG64" s="88"/>
      <c r="AH64" s="88"/>
      <c r="AI64" s="88"/>
      <c r="AJ64" s="88"/>
    </row>
    <row r="65" spans="1:36" ht="15">
      <c r="A65" s="88" t="s">
        <v>6</v>
      </c>
      <c r="B65" s="88" t="s">
        <v>1321</v>
      </c>
      <c r="C65" s="88" t="s">
        <v>7</v>
      </c>
      <c r="D65" s="88" t="s">
        <v>1322</v>
      </c>
      <c r="E65" s="88" t="s">
        <v>1323</v>
      </c>
      <c r="F65" s="88"/>
      <c r="G65" s="88" t="s">
        <v>1314</v>
      </c>
      <c r="H65" s="88"/>
      <c r="I65" s="88"/>
      <c r="J65" s="88"/>
      <c r="K65" s="88" t="s">
        <v>1324</v>
      </c>
      <c r="L65" s="88"/>
      <c r="M65" s="88"/>
      <c r="N65" s="88"/>
      <c r="O65" s="88"/>
      <c r="P65" s="88"/>
      <c r="Q65" s="88"/>
      <c r="R65" s="88"/>
      <c r="S65" s="88" t="s">
        <v>1325</v>
      </c>
      <c r="T65" s="88"/>
      <c r="U65" s="88"/>
      <c r="V65" s="88"/>
      <c r="W65" s="88"/>
      <c r="X65" s="88"/>
      <c r="Y65" s="88"/>
      <c r="Z65" s="88" t="s">
        <v>1326</v>
      </c>
      <c r="AA65" s="88"/>
      <c r="AB65" s="88"/>
      <c r="AC65" s="88"/>
      <c r="AD65" s="88"/>
      <c r="AE65" s="88" t="s">
        <v>1327</v>
      </c>
      <c r="AF65" s="88"/>
      <c r="AG65" s="88"/>
      <c r="AH65" s="88"/>
      <c r="AI65" s="88"/>
      <c r="AJ65" s="88"/>
    </row>
    <row r="66" spans="1:36" ht="15">
      <c r="A66" s="88" t="s">
        <v>6</v>
      </c>
      <c r="B66" s="88" t="s">
        <v>1328</v>
      </c>
      <c r="C66" s="88" t="s">
        <v>7</v>
      </c>
      <c r="D66" s="88" t="s">
        <v>1329</v>
      </c>
      <c r="E66" s="88" t="s">
        <v>1330</v>
      </c>
      <c r="F66" s="88"/>
      <c r="G66" s="88" t="s">
        <v>1321</v>
      </c>
      <c r="H66" s="88"/>
      <c r="I66" s="88"/>
      <c r="J66" s="88"/>
      <c r="K66" s="88" t="s">
        <v>1331</v>
      </c>
      <c r="L66" s="88"/>
      <c r="M66" s="88"/>
      <c r="N66" s="88"/>
      <c r="O66" s="88"/>
      <c r="P66" s="88"/>
      <c r="Q66" s="88"/>
      <c r="R66" s="88"/>
      <c r="S66" s="88" t="s">
        <v>1332</v>
      </c>
      <c r="T66" s="88"/>
      <c r="U66" s="88"/>
      <c r="V66" s="88"/>
      <c r="W66" s="88"/>
      <c r="X66" s="88"/>
      <c r="Y66" s="88"/>
      <c r="Z66" s="88" t="s">
        <v>1333</v>
      </c>
      <c r="AA66" s="88"/>
      <c r="AB66" s="88"/>
      <c r="AC66" s="88"/>
      <c r="AD66" s="88"/>
      <c r="AE66" s="88" t="s">
        <v>1334</v>
      </c>
      <c r="AF66" s="88"/>
      <c r="AG66" s="88"/>
      <c r="AH66" s="88"/>
      <c r="AI66" s="88"/>
      <c r="AJ66" s="88"/>
    </row>
    <row r="67" spans="1:36" ht="15">
      <c r="A67" s="88" t="s">
        <v>6</v>
      </c>
      <c r="B67" s="88" t="s">
        <v>668</v>
      </c>
      <c r="C67" s="88" t="s">
        <v>7</v>
      </c>
      <c r="D67" s="88" t="s">
        <v>1335</v>
      </c>
      <c r="E67" s="88" t="s">
        <v>1336</v>
      </c>
      <c r="F67" s="88"/>
      <c r="G67" s="88" t="s">
        <v>1328</v>
      </c>
      <c r="H67" s="88"/>
      <c r="I67" s="88"/>
      <c r="J67" s="88"/>
      <c r="K67" s="88" t="s">
        <v>933</v>
      </c>
      <c r="L67" s="88"/>
      <c r="M67" s="88"/>
      <c r="N67" s="88"/>
      <c r="O67" s="88"/>
      <c r="P67" s="88"/>
      <c r="Q67" s="88"/>
      <c r="R67" s="88"/>
      <c r="S67" s="88" t="s">
        <v>1337</v>
      </c>
      <c r="T67" s="88"/>
      <c r="U67" s="88"/>
      <c r="V67" s="88"/>
      <c r="W67" s="88"/>
      <c r="X67" s="88"/>
      <c r="Y67" s="88"/>
      <c r="Z67" s="88"/>
      <c r="AA67" s="88"/>
      <c r="AB67" s="88"/>
      <c r="AC67" s="88"/>
      <c r="AD67" s="88"/>
      <c r="AE67" s="88" t="s">
        <v>1338</v>
      </c>
      <c r="AF67" s="88"/>
      <c r="AG67" s="88"/>
      <c r="AH67" s="88"/>
      <c r="AI67" s="88"/>
      <c r="AJ67" s="88"/>
    </row>
    <row r="68" spans="1:36" ht="15">
      <c r="A68" s="88" t="s">
        <v>6</v>
      </c>
      <c r="B68" s="88" t="s">
        <v>1339</v>
      </c>
      <c r="C68" s="88" t="s">
        <v>7</v>
      </c>
      <c r="D68" s="88" t="s">
        <v>1340</v>
      </c>
      <c r="E68" s="88" t="s">
        <v>1341</v>
      </c>
      <c r="F68" s="88"/>
      <c r="G68" s="88" t="s">
        <v>668</v>
      </c>
      <c r="H68" s="88"/>
      <c r="I68" s="88"/>
      <c r="J68" s="88"/>
      <c r="K68" s="88" t="s">
        <v>1342</v>
      </c>
      <c r="L68" s="88"/>
      <c r="M68" s="88"/>
      <c r="N68" s="88"/>
      <c r="O68" s="88"/>
      <c r="P68" s="88"/>
      <c r="Q68" s="88"/>
      <c r="R68" s="88"/>
      <c r="S68" s="88" t="s">
        <v>1343</v>
      </c>
      <c r="T68" s="88"/>
      <c r="U68" s="88"/>
      <c r="V68" s="88"/>
      <c r="W68" s="88"/>
      <c r="X68" s="88"/>
      <c r="Y68" s="88"/>
      <c r="Z68" s="88"/>
      <c r="AA68" s="88"/>
      <c r="AB68" s="88"/>
      <c r="AC68" s="88"/>
      <c r="AD68" s="88"/>
      <c r="AE68" s="88" t="s">
        <v>1344</v>
      </c>
      <c r="AF68" s="88"/>
      <c r="AG68" s="88"/>
      <c r="AH68" s="88"/>
      <c r="AI68" s="88"/>
      <c r="AJ68" s="88"/>
    </row>
    <row r="69" spans="1:36" ht="15">
      <c r="A69" s="88" t="s">
        <v>6</v>
      </c>
      <c r="B69" s="88" t="s">
        <v>1345</v>
      </c>
      <c r="C69" s="88" t="s">
        <v>7</v>
      </c>
      <c r="D69" s="88" t="s">
        <v>1346</v>
      </c>
      <c r="E69" s="88" t="s">
        <v>1347</v>
      </c>
      <c r="F69" s="88"/>
      <c r="G69" s="88" t="s">
        <v>1339</v>
      </c>
      <c r="H69" s="88"/>
      <c r="I69" s="88"/>
      <c r="J69" s="88"/>
      <c r="K69" s="88" t="s">
        <v>1348</v>
      </c>
      <c r="L69" s="88"/>
      <c r="M69" s="88"/>
      <c r="N69" s="88"/>
      <c r="O69" s="88"/>
      <c r="P69" s="88"/>
      <c r="Q69" s="88"/>
      <c r="R69" s="88"/>
      <c r="S69" s="88" t="s">
        <v>1349</v>
      </c>
      <c r="T69" s="88"/>
      <c r="U69" s="88"/>
      <c r="V69" s="88"/>
      <c r="W69" s="88"/>
      <c r="X69" s="88"/>
      <c r="Y69" s="88"/>
      <c r="Z69" s="88"/>
      <c r="AA69" s="88"/>
      <c r="AB69" s="88"/>
      <c r="AC69" s="88"/>
      <c r="AD69" s="88"/>
      <c r="AE69" s="88" t="s">
        <v>1350</v>
      </c>
      <c r="AF69" s="88"/>
      <c r="AG69" s="88"/>
      <c r="AH69" s="88"/>
      <c r="AI69" s="88"/>
      <c r="AJ69" s="88"/>
    </row>
    <row r="70" spans="1:36" ht="15">
      <c r="A70" s="88" t="s">
        <v>6</v>
      </c>
      <c r="B70" s="88" t="s">
        <v>1351</v>
      </c>
      <c r="C70" s="88" t="s">
        <v>7</v>
      </c>
      <c r="D70" s="88" t="s">
        <v>1352</v>
      </c>
      <c r="E70" s="88" t="s">
        <v>1353</v>
      </c>
      <c r="F70" s="88"/>
      <c r="G70" s="88" t="s">
        <v>1345</v>
      </c>
      <c r="H70" s="88"/>
      <c r="I70" s="88"/>
      <c r="J70" s="88"/>
      <c r="K70" s="88" t="s">
        <v>1354</v>
      </c>
      <c r="L70" s="88"/>
      <c r="M70" s="88"/>
      <c r="N70" s="88"/>
      <c r="O70" s="88"/>
      <c r="P70" s="88"/>
      <c r="Q70" s="88"/>
      <c r="R70" s="88"/>
      <c r="S70" s="88" t="s">
        <v>1355</v>
      </c>
      <c r="T70" s="88"/>
      <c r="U70" s="88"/>
      <c r="V70" s="88"/>
      <c r="W70" s="88"/>
      <c r="X70" s="88"/>
      <c r="Y70" s="88"/>
      <c r="Z70" s="88"/>
      <c r="AA70" s="88"/>
      <c r="AB70" s="88"/>
      <c r="AC70" s="88"/>
      <c r="AD70" s="88"/>
      <c r="AE70" s="88" t="s">
        <v>1356</v>
      </c>
      <c r="AF70" s="88"/>
      <c r="AG70" s="88"/>
      <c r="AH70" s="88"/>
      <c r="AI70" s="88"/>
      <c r="AJ70" s="88"/>
    </row>
    <row r="71" spans="1:36" ht="15">
      <c r="A71" s="88" t="s">
        <v>6</v>
      </c>
      <c r="B71" s="88" t="s">
        <v>1357</v>
      </c>
      <c r="C71" s="88" t="s">
        <v>7</v>
      </c>
      <c r="D71" s="88" t="s">
        <v>1358</v>
      </c>
      <c r="E71" s="88" t="s">
        <v>1359</v>
      </c>
      <c r="F71" s="88"/>
      <c r="G71" s="88" t="s">
        <v>1351</v>
      </c>
      <c r="H71" s="88"/>
      <c r="I71" s="88"/>
      <c r="J71" s="88"/>
      <c r="K71" s="88" t="s">
        <v>1360</v>
      </c>
      <c r="L71" s="88"/>
      <c r="M71" s="88"/>
      <c r="N71" s="88"/>
      <c r="O71" s="88"/>
      <c r="P71" s="88"/>
      <c r="Q71" s="88"/>
      <c r="R71" s="88"/>
      <c r="S71" s="88" t="s">
        <v>1361</v>
      </c>
      <c r="T71" s="88"/>
      <c r="U71" s="88"/>
      <c r="V71" s="88"/>
      <c r="W71" s="88"/>
      <c r="X71" s="88"/>
      <c r="Y71" s="88"/>
      <c r="Z71" s="88"/>
      <c r="AA71" s="88"/>
      <c r="AB71" s="88"/>
      <c r="AC71" s="88"/>
      <c r="AD71" s="88"/>
      <c r="AE71" s="88" t="s">
        <v>1362</v>
      </c>
      <c r="AF71" s="88"/>
      <c r="AG71" s="88"/>
      <c r="AH71" s="88"/>
      <c r="AI71" s="88"/>
      <c r="AJ71" s="88"/>
    </row>
    <row r="72" spans="1:36" ht="15">
      <c r="A72" s="88" t="s">
        <v>6</v>
      </c>
      <c r="B72" s="88" t="s">
        <v>1363</v>
      </c>
      <c r="C72" s="88" t="s">
        <v>7</v>
      </c>
      <c r="D72" s="88" t="s">
        <v>1364</v>
      </c>
      <c r="E72" s="88" t="s">
        <v>1365</v>
      </c>
      <c r="F72" s="88"/>
      <c r="G72" s="88" t="s">
        <v>1357</v>
      </c>
      <c r="H72" s="88"/>
      <c r="I72" s="88"/>
      <c r="J72" s="88"/>
      <c r="K72" s="88" t="s">
        <v>1366</v>
      </c>
      <c r="L72" s="88"/>
      <c r="M72" s="88"/>
      <c r="N72" s="88"/>
      <c r="O72" s="88"/>
      <c r="P72" s="88"/>
      <c r="Q72" s="88"/>
      <c r="R72" s="88"/>
      <c r="S72" s="88" t="s">
        <v>1367</v>
      </c>
      <c r="T72" s="88"/>
      <c r="U72" s="88"/>
      <c r="V72" s="88"/>
      <c r="W72" s="88"/>
      <c r="X72" s="88"/>
      <c r="Y72" s="88"/>
      <c r="Z72" s="88"/>
      <c r="AA72" s="88"/>
      <c r="AB72" s="88"/>
      <c r="AC72" s="88"/>
      <c r="AD72" s="88"/>
      <c r="AE72" s="88" t="s">
        <v>1368</v>
      </c>
      <c r="AF72" s="88"/>
      <c r="AG72" s="88"/>
      <c r="AH72" s="88"/>
      <c r="AI72" s="88"/>
      <c r="AJ72" s="88"/>
    </row>
    <row r="73" spans="1:36" ht="15">
      <c r="A73" s="88" t="s">
        <v>6</v>
      </c>
      <c r="B73" s="88" t="s">
        <v>1369</v>
      </c>
      <c r="C73" s="88" t="s">
        <v>7</v>
      </c>
      <c r="D73" s="88" t="s">
        <v>1370</v>
      </c>
      <c r="E73" s="88" t="s">
        <v>1371</v>
      </c>
      <c r="F73" s="88"/>
      <c r="G73" s="88" t="s">
        <v>1363</v>
      </c>
      <c r="H73" s="88"/>
      <c r="I73" s="88"/>
      <c r="J73" s="88"/>
      <c r="K73" s="88" t="s">
        <v>1372</v>
      </c>
      <c r="L73" s="88"/>
      <c r="M73" s="88"/>
      <c r="N73" s="88"/>
      <c r="O73" s="88"/>
      <c r="P73" s="88"/>
      <c r="Q73" s="88"/>
      <c r="R73" s="88"/>
      <c r="S73" s="88" t="s">
        <v>1373</v>
      </c>
      <c r="T73" s="88"/>
      <c r="U73" s="88"/>
      <c r="V73" s="88"/>
      <c r="W73" s="88"/>
      <c r="X73" s="88"/>
      <c r="Y73" s="88"/>
      <c r="Z73" s="88"/>
      <c r="AA73" s="88"/>
      <c r="AB73" s="88"/>
      <c r="AC73" s="88"/>
      <c r="AD73" s="88"/>
      <c r="AE73" s="88" t="s">
        <v>1374</v>
      </c>
      <c r="AF73" s="88"/>
      <c r="AG73" s="88"/>
      <c r="AH73" s="88"/>
      <c r="AI73" s="88"/>
      <c r="AJ73" s="88"/>
    </row>
    <row r="74" spans="1:36" ht="15">
      <c r="A74" s="88" t="s">
        <v>6</v>
      </c>
      <c r="B74" s="88" t="s">
        <v>343</v>
      </c>
      <c r="C74" s="88" t="s">
        <v>7</v>
      </c>
      <c r="D74" s="88" t="s">
        <v>1375</v>
      </c>
      <c r="E74" s="88" t="s">
        <v>1376</v>
      </c>
      <c r="F74" s="88"/>
      <c r="G74" s="88" t="s">
        <v>1369</v>
      </c>
      <c r="H74" s="88"/>
      <c r="I74" s="88"/>
      <c r="J74" s="88"/>
      <c r="K74" s="88" t="s">
        <v>1377</v>
      </c>
      <c r="L74" s="88"/>
      <c r="M74" s="88"/>
      <c r="N74" s="88"/>
      <c r="O74" s="88"/>
      <c r="P74" s="88"/>
      <c r="Q74" s="88"/>
      <c r="R74" s="88"/>
      <c r="S74" s="88" t="s">
        <v>1378</v>
      </c>
      <c r="T74" s="88"/>
      <c r="U74" s="88"/>
      <c r="V74" s="88"/>
      <c r="W74" s="88"/>
      <c r="X74" s="88"/>
      <c r="Y74" s="88"/>
      <c r="Z74" s="88"/>
      <c r="AA74" s="88"/>
      <c r="AB74" s="88"/>
      <c r="AC74" s="88"/>
      <c r="AD74" s="88"/>
      <c r="AE74" s="88" t="s">
        <v>1379</v>
      </c>
      <c r="AF74" s="88"/>
      <c r="AG74" s="88"/>
      <c r="AH74" s="88"/>
      <c r="AI74" s="88"/>
      <c r="AJ74" s="88"/>
    </row>
    <row r="75" spans="1:36" ht="15">
      <c r="A75" s="88" t="s">
        <v>6</v>
      </c>
      <c r="B75" s="88" t="s">
        <v>1380</v>
      </c>
      <c r="C75" s="88" t="s">
        <v>7</v>
      </c>
      <c r="D75" s="88" t="s">
        <v>1381</v>
      </c>
      <c r="E75" s="88" t="s">
        <v>1382</v>
      </c>
      <c r="F75" s="88"/>
      <c r="G75" s="88" t="s">
        <v>343</v>
      </c>
      <c r="H75" s="88"/>
      <c r="I75" s="88"/>
      <c r="J75" s="88"/>
      <c r="K75" s="88" t="s">
        <v>1383</v>
      </c>
      <c r="L75" s="88"/>
      <c r="M75" s="88"/>
      <c r="N75" s="88"/>
      <c r="O75" s="88"/>
      <c r="P75" s="88"/>
      <c r="Q75" s="88"/>
      <c r="R75" s="88"/>
      <c r="S75" s="88" t="s">
        <v>1384</v>
      </c>
      <c r="T75" s="88"/>
      <c r="U75" s="88"/>
      <c r="V75" s="88"/>
      <c r="W75" s="88"/>
      <c r="X75" s="88"/>
      <c r="Y75" s="88"/>
      <c r="Z75" s="88"/>
      <c r="AA75" s="88"/>
      <c r="AB75" s="88"/>
      <c r="AC75" s="88"/>
      <c r="AD75" s="88"/>
      <c r="AE75" s="88" t="s">
        <v>639</v>
      </c>
      <c r="AF75" s="88"/>
      <c r="AG75" s="88"/>
      <c r="AH75" s="88"/>
      <c r="AI75" s="88"/>
      <c r="AJ75" s="88"/>
    </row>
    <row r="76" spans="1:36" ht="15">
      <c r="A76" s="88" t="s">
        <v>6</v>
      </c>
      <c r="B76" s="88" t="s">
        <v>1385</v>
      </c>
      <c r="C76" s="88" t="s">
        <v>7</v>
      </c>
      <c r="D76" s="88" t="s">
        <v>1386</v>
      </c>
      <c r="E76" s="88" t="s">
        <v>1387</v>
      </c>
      <c r="F76" s="88"/>
      <c r="G76" s="88" t="s">
        <v>1380</v>
      </c>
      <c r="H76" s="88"/>
      <c r="I76" s="88"/>
      <c r="J76" s="88"/>
      <c r="K76" s="88" t="s">
        <v>1388</v>
      </c>
      <c r="L76" s="88"/>
      <c r="M76" s="88"/>
      <c r="N76" s="88"/>
      <c r="O76" s="88"/>
      <c r="P76" s="88"/>
      <c r="Q76" s="88"/>
      <c r="R76" s="88"/>
      <c r="S76" s="88" t="s">
        <v>1389</v>
      </c>
      <c r="T76" s="88"/>
      <c r="U76" s="88"/>
      <c r="V76" s="88"/>
      <c r="W76" s="88"/>
      <c r="X76" s="88"/>
      <c r="Y76" s="88"/>
      <c r="Z76" s="88"/>
      <c r="AA76" s="88"/>
      <c r="AB76" s="88"/>
      <c r="AC76" s="88"/>
      <c r="AD76" s="88"/>
      <c r="AE76" s="88" t="s">
        <v>1390</v>
      </c>
      <c r="AF76" s="88"/>
      <c r="AG76" s="88"/>
      <c r="AH76" s="88"/>
      <c r="AI76" s="88"/>
      <c r="AJ76" s="88"/>
    </row>
    <row r="77" spans="1:36" ht="15">
      <c r="A77" s="88" t="s">
        <v>6</v>
      </c>
      <c r="B77" s="88" t="s">
        <v>1391</v>
      </c>
      <c r="C77" s="88" t="s">
        <v>7</v>
      </c>
      <c r="D77" s="88" t="s">
        <v>1392</v>
      </c>
      <c r="E77" s="88" t="s">
        <v>1393</v>
      </c>
      <c r="F77" s="88"/>
      <c r="G77" s="88" t="s">
        <v>1385</v>
      </c>
      <c r="H77" s="88"/>
      <c r="I77" s="88"/>
      <c r="J77" s="88"/>
      <c r="K77" s="88" t="s">
        <v>1394</v>
      </c>
      <c r="L77" s="88"/>
      <c r="M77" s="88"/>
      <c r="N77" s="88"/>
      <c r="O77" s="88"/>
      <c r="P77" s="88"/>
      <c r="Q77" s="88"/>
      <c r="R77" s="88"/>
      <c r="S77" s="88" t="s">
        <v>1395</v>
      </c>
      <c r="T77" s="88"/>
      <c r="U77" s="88"/>
      <c r="V77" s="88"/>
      <c r="W77" s="88"/>
      <c r="X77" s="88"/>
      <c r="Y77" s="88"/>
      <c r="Z77" s="88"/>
      <c r="AA77" s="88"/>
      <c r="AB77" s="88"/>
      <c r="AC77" s="88"/>
      <c r="AD77" s="88"/>
      <c r="AE77" s="88" t="s">
        <v>1287</v>
      </c>
      <c r="AF77" s="88"/>
      <c r="AG77" s="88"/>
      <c r="AH77" s="88"/>
      <c r="AI77" s="88"/>
      <c r="AJ77" s="88"/>
    </row>
    <row r="78" spans="1:36" ht="15">
      <c r="A78" s="88" t="s">
        <v>6</v>
      </c>
      <c r="B78" s="88" t="s">
        <v>1396</v>
      </c>
      <c r="C78" s="88" t="s">
        <v>7</v>
      </c>
      <c r="D78" s="88" t="s">
        <v>1397</v>
      </c>
      <c r="E78" s="88" t="s">
        <v>1398</v>
      </c>
      <c r="F78" s="88"/>
      <c r="G78" s="88" t="s">
        <v>1391</v>
      </c>
      <c r="H78" s="88"/>
      <c r="I78" s="88"/>
      <c r="J78" s="88"/>
      <c r="K78" s="88" t="s">
        <v>1399</v>
      </c>
      <c r="L78" s="88"/>
      <c r="M78" s="88"/>
      <c r="N78" s="88"/>
      <c r="O78" s="88"/>
      <c r="P78" s="88"/>
      <c r="Q78" s="88"/>
      <c r="R78" s="88"/>
      <c r="S78" s="88" t="s">
        <v>1236</v>
      </c>
      <c r="T78" s="88"/>
      <c r="U78" s="88"/>
      <c r="V78" s="88"/>
      <c r="W78" s="88"/>
      <c r="X78" s="88"/>
      <c r="Y78" s="88"/>
      <c r="Z78" s="88"/>
      <c r="AA78" s="88"/>
      <c r="AB78" s="88"/>
      <c r="AC78" s="88"/>
      <c r="AD78" s="88"/>
      <c r="AE78" s="88" t="s">
        <v>1400</v>
      </c>
      <c r="AF78" s="88"/>
      <c r="AG78" s="88"/>
      <c r="AH78" s="88"/>
      <c r="AI78" s="88"/>
      <c r="AJ78" s="88"/>
    </row>
    <row r="79" spans="1:36" ht="15">
      <c r="A79" s="88" t="s">
        <v>6</v>
      </c>
      <c r="B79" s="88" t="s">
        <v>1401</v>
      </c>
      <c r="C79" s="88" t="s">
        <v>7</v>
      </c>
      <c r="D79" s="88" t="s">
        <v>1402</v>
      </c>
      <c r="E79" s="88" t="s">
        <v>1403</v>
      </c>
      <c r="F79" s="88"/>
      <c r="G79" s="88" t="s">
        <v>1396</v>
      </c>
      <c r="H79" s="88"/>
      <c r="I79" s="88"/>
      <c r="J79" s="88"/>
      <c r="K79" s="88" t="s">
        <v>1404</v>
      </c>
      <c r="L79" s="88"/>
      <c r="M79" s="88"/>
      <c r="N79" s="88"/>
      <c r="O79" s="88"/>
      <c r="P79" s="88"/>
      <c r="Q79" s="88"/>
      <c r="R79" s="88"/>
      <c r="S79" s="88" t="s">
        <v>1405</v>
      </c>
      <c r="T79" s="88"/>
      <c r="U79" s="88"/>
      <c r="V79" s="88"/>
      <c r="W79" s="88"/>
      <c r="X79" s="88"/>
      <c r="Y79" s="88"/>
      <c r="Z79" s="88"/>
      <c r="AA79" s="88"/>
      <c r="AB79" s="88"/>
      <c r="AC79" s="88"/>
      <c r="AD79" s="88"/>
      <c r="AE79" s="88" t="s">
        <v>1406</v>
      </c>
      <c r="AF79" s="88"/>
      <c r="AG79" s="88"/>
      <c r="AH79" s="88"/>
      <c r="AI79" s="88"/>
      <c r="AJ79" s="88"/>
    </row>
    <row r="80" spans="1:36" ht="15">
      <c r="A80" s="88" t="s">
        <v>6</v>
      </c>
      <c r="B80" s="88" t="s">
        <v>1407</v>
      </c>
      <c r="C80" s="88" t="s">
        <v>7</v>
      </c>
      <c r="D80" s="88" t="s">
        <v>1408</v>
      </c>
      <c r="E80" s="88" t="s">
        <v>1409</v>
      </c>
      <c r="F80" s="88"/>
      <c r="G80" s="88" t="s">
        <v>1401</v>
      </c>
      <c r="H80" s="88"/>
      <c r="I80" s="88"/>
      <c r="J80" s="88"/>
      <c r="K80" s="88" t="s">
        <v>1410</v>
      </c>
      <c r="L80" s="88"/>
      <c r="M80" s="88"/>
      <c r="N80" s="88"/>
      <c r="O80" s="88"/>
      <c r="P80" s="88"/>
      <c r="Q80" s="88"/>
      <c r="R80" s="88"/>
      <c r="S80" s="88" t="s">
        <v>1261</v>
      </c>
      <c r="T80" s="88"/>
      <c r="U80" s="88"/>
      <c r="V80" s="88"/>
      <c r="W80" s="88"/>
      <c r="X80" s="88"/>
      <c r="Y80" s="88"/>
      <c r="Z80" s="88"/>
      <c r="AA80" s="88"/>
      <c r="AB80" s="88"/>
      <c r="AC80" s="88"/>
      <c r="AD80" s="88"/>
      <c r="AE80" s="88" t="s">
        <v>1411</v>
      </c>
      <c r="AF80" s="88"/>
      <c r="AG80" s="88"/>
      <c r="AH80" s="88"/>
      <c r="AI80" s="88"/>
      <c r="AJ80" s="88"/>
    </row>
    <row r="81" spans="1:36" ht="15">
      <c r="A81" s="88" t="s">
        <v>6</v>
      </c>
      <c r="B81" s="88" t="s">
        <v>1412</v>
      </c>
      <c r="C81" s="88" t="s">
        <v>7</v>
      </c>
      <c r="D81" s="88" t="s">
        <v>1413</v>
      </c>
      <c r="E81" s="88" t="s">
        <v>1414</v>
      </c>
      <c r="F81" s="88"/>
      <c r="G81" s="88" t="s">
        <v>1407</v>
      </c>
      <c r="H81" s="88"/>
      <c r="I81" s="88"/>
      <c r="J81" s="88"/>
      <c r="K81" s="88" t="s">
        <v>1415</v>
      </c>
      <c r="L81" s="88"/>
      <c r="M81" s="88"/>
      <c r="N81" s="88"/>
      <c r="O81" s="88"/>
      <c r="P81" s="88"/>
      <c r="Q81" s="88"/>
      <c r="R81" s="88"/>
      <c r="S81" s="88" t="s">
        <v>1067</v>
      </c>
      <c r="T81" s="88"/>
      <c r="U81" s="88"/>
      <c r="V81" s="88"/>
      <c r="W81" s="88"/>
      <c r="X81" s="88"/>
      <c r="Y81" s="88"/>
      <c r="Z81" s="88"/>
      <c r="AA81" s="88"/>
      <c r="AB81" s="88"/>
      <c r="AC81" s="88"/>
      <c r="AD81" s="88"/>
      <c r="AE81" s="88" t="s">
        <v>1416</v>
      </c>
      <c r="AF81" s="88"/>
      <c r="AG81" s="88"/>
      <c r="AH81" s="88"/>
      <c r="AI81" s="88"/>
      <c r="AJ81" s="88"/>
    </row>
    <row r="82" spans="1:36" ht="15">
      <c r="A82" s="88" t="s">
        <v>6</v>
      </c>
      <c r="B82" s="88" t="s">
        <v>1417</v>
      </c>
      <c r="C82" s="88" t="s">
        <v>7</v>
      </c>
      <c r="D82" s="88" t="s">
        <v>1418</v>
      </c>
      <c r="E82" s="88" t="s">
        <v>1419</v>
      </c>
      <c r="F82" s="88"/>
      <c r="G82" s="88" t="s">
        <v>1412</v>
      </c>
      <c r="H82" s="88"/>
      <c r="I82" s="88"/>
      <c r="J82" s="88"/>
      <c r="K82" s="88" t="s">
        <v>1420</v>
      </c>
      <c r="L82" s="88"/>
      <c r="M82" s="88"/>
      <c r="N82" s="88"/>
      <c r="O82" s="88"/>
      <c r="P82" s="88"/>
      <c r="Q82" s="88"/>
      <c r="R82" s="88"/>
      <c r="S82" s="88" t="s">
        <v>612</v>
      </c>
      <c r="T82" s="88"/>
      <c r="U82" s="88"/>
      <c r="V82" s="88"/>
      <c r="W82" s="88"/>
      <c r="X82" s="88"/>
      <c r="Y82" s="88"/>
      <c r="Z82" s="88"/>
      <c r="AA82" s="88"/>
      <c r="AB82" s="88"/>
      <c r="AC82" s="88"/>
      <c r="AD82" s="88"/>
      <c r="AE82" s="88" t="s">
        <v>349</v>
      </c>
      <c r="AF82" s="88"/>
      <c r="AG82" s="88"/>
      <c r="AH82" s="88"/>
      <c r="AI82" s="88"/>
      <c r="AJ82" s="88"/>
    </row>
    <row r="83" spans="1:36" ht="15">
      <c r="A83" s="88" t="s">
        <v>6</v>
      </c>
      <c r="B83" s="88" t="s">
        <v>1421</v>
      </c>
      <c r="C83" s="88" t="s">
        <v>7</v>
      </c>
      <c r="D83" s="88" t="s">
        <v>1422</v>
      </c>
      <c r="E83" s="88" t="s">
        <v>1423</v>
      </c>
      <c r="F83" s="88"/>
      <c r="G83" s="88" t="s">
        <v>1417</v>
      </c>
      <c r="H83" s="88"/>
      <c r="I83" s="88"/>
      <c r="J83" s="88"/>
      <c r="K83" s="88" t="s">
        <v>1424</v>
      </c>
      <c r="L83" s="88"/>
      <c r="M83" s="88"/>
      <c r="N83" s="88"/>
      <c r="O83" s="88"/>
      <c r="P83" s="88"/>
      <c r="Q83" s="88"/>
      <c r="R83" s="88"/>
      <c r="S83" s="88" t="s">
        <v>1425</v>
      </c>
      <c r="T83" s="88"/>
      <c r="U83" s="88"/>
      <c r="V83" s="88"/>
      <c r="W83" s="88"/>
      <c r="X83" s="88"/>
      <c r="Y83" s="88"/>
      <c r="Z83" s="88"/>
      <c r="AA83" s="88"/>
      <c r="AB83" s="88"/>
      <c r="AC83" s="88"/>
      <c r="AD83" s="88"/>
      <c r="AE83" s="88" t="s">
        <v>1426</v>
      </c>
      <c r="AF83" s="88"/>
      <c r="AG83" s="88"/>
      <c r="AH83" s="88"/>
      <c r="AI83" s="88"/>
      <c r="AJ83" s="88"/>
    </row>
    <row r="84" spans="1:36" ht="15">
      <c r="A84" s="88" t="s">
        <v>6</v>
      </c>
      <c r="B84" s="88" t="s">
        <v>1427</v>
      </c>
      <c r="C84" s="88" t="s">
        <v>7</v>
      </c>
      <c r="D84" s="88" t="s">
        <v>1428</v>
      </c>
      <c r="E84" s="88" t="s">
        <v>1429</v>
      </c>
      <c r="F84" s="88"/>
      <c r="G84" s="88" t="s">
        <v>1421</v>
      </c>
      <c r="H84" s="88"/>
      <c r="I84" s="88"/>
      <c r="J84" s="88"/>
      <c r="K84" s="88" t="s">
        <v>1430</v>
      </c>
      <c r="L84" s="88"/>
      <c r="M84" s="88"/>
      <c r="N84" s="88"/>
      <c r="O84" s="88"/>
      <c r="P84" s="88"/>
      <c r="Q84" s="88"/>
      <c r="R84" s="88"/>
      <c r="S84" s="88" t="s">
        <v>1431</v>
      </c>
      <c r="T84" s="88"/>
      <c r="U84" s="88"/>
      <c r="V84" s="88"/>
      <c r="W84" s="88"/>
      <c r="X84" s="88"/>
      <c r="Y84" s="88"/>
      <c r="Z84" s="88"/>
      <c r="AA84" s="88"/>
      <c r="AB84" s="88"/>
      <c r="AC84" s="88"/>
      <c r="AD84" s="88"/>
      <c r="AE84" s="88" t="s">
        <v>1432</v>
      </c>
      <c r="AF84" s="88"/>
      <c r="AG84" s="88"/>
      <c r="AH84" s="88"/>
      <c r="AI84" s="88"/>
      <c r="AJ84" s="88"/>
    </row>
    <row r="85" spans="1:36" ht="15">
      <c r="A85" s="88" t="s">
        <v>6</v>
      </c>
      <c r="B85" s="88" t="s">
        <v>1433</v>
      </c>
      <c r="C85" s="88" t="s">
        <v>7</v>
      </c>
      <c r="D85" s="88" t="s">
        <v>1434</v>
      </c>
      <c r="E85" s="88" t="s">
        <v>1435</v>
      </c>
      <c r="F85" s="88"/>
      <c r="G85" s="88" t="s">
        <v>1427</v>
      </c>
      <c r="H85" s="88"/>
      <c r="I85" s="88"/>
      <c r="J85" s="88"/>
      <c r="K85" s="88" t="s">
        <v>1436</v>
      </c>
      <c r="L85" s="88"/>
      <c r="M85" s="88"/>
      <c r="N85" s="88"/>
      <c r="O85" s="88"/>
      <c r="P85" s="88"/>
      <c r="Q85" s="88"/>
      <c r="R85" s="88"/>
      <c r="S85" s="88" t="s">
        <v>1437</v>
      </c>
      <c r="T85" s="88"/>
      <c r="U85" s="88"/>
      <c r="V85" s="88"/>
      <c r="W85" s="88"/>
      <c r="X85" s="88"/>
      <c r="Y85" s="88"/>
      <c r="Z85" s="88"/>
      <c r="AA85" s="88"/>
      <c r="AB85" s="88"/>
      <c r="AC85" s="88"/>
      <c r="AD85" s="88"/>
      <c r="AE85" s="88" t="s">
        <v>1438</v>
      </c>
      <c r="AF85" s="88"/>
      <c r="AG85" s="88"/>
      <c r="AH85" s="88"/>
      <c r="AI85" s="88"/>
      <c r="AJ85" s="88"/>
    </row>
    <row r="86" spans="1:36" ht="15">
      <c r="A86" s="88" t="s">
        <v>6</v>
      </c>
      <c r="B86" s="88" t="s">
        <v>1344</v>
      </c>
      <c r="C86" s="88" t="s">
        <v>7</v>
      </c>
      <c r="D86" s="88" t="s">
        <v>1439</v>
      </c>
      <c r="E86" s="88" t="s">
        <v>1440</v>
      </c>
      <c r="F86" s="88"/>
      <c r="G86" s="88" t="s">
        <v>1433</v>
      </c>
      <c r="H86" s="88"/>
      <c r="I86" s="88"/>
      <c r="J86" s="88"/>
      <c r="K86" s="88" t="s">
        <v>1441</v>
      </c>
      <c r="L86" s="88"/>
      <c r="M86" s="88"/>
      <c r="N86" s="88"/>
      <c r="O86" s="88"/>
      <c r="P86" s="88"/>
      <c r="Q86" s="88"/>
      <c r="R86" s="88"/>
      <c r="S86" s="88" t="s">
        <v>1442</v>
      </c>
      <c r="T86" s="88"/>
      <c r="U86" s="88"/>
      <c r="V86" s="88"/>
      <c r="W86" s="88"/>
      <c r="X86" s="88"/>
      <c r="Y86" s="88"/>
      <c r="Z86" s="88"/>
      <c r="AA86" s="88"/>
      <c r="AB86" s="88"/>
      <c r="AC86" s="88"/>
      <c r="AD86" s="88"/>
      <c r="AE86" s="88" t="s">
        <v>1443</v>
      </c>
      <c r="AF86" s="88"/>
      <c r="AG86" s="88"/>
      <c r="AH86" s="88"/>
      <c r="AI86" s="88"/>
      <c r="AJ86" s="88"/>
    </row>
    <row r="87" spans="1:36" ht="15">
      <c r="A87" s="88" t="s">
        <v>6</v>
      </c>
      <c r="B87" s="88" t="s">
        <v>702</v>
      </c>
      <c r="C87" s="88" t="s">
        <v>7</v>
      </c>
      <c r="D87" s="88" t="s">
        <v>1444</v>
      </c>
      <c r="E87" s="88" t="s">
        <v>1445</v>
      </c>
      <c r="F87" s="88"/>
      <c r="G87" s="88" t="s">
        <v>1344</v>
      </c>
      <c r="H87" s="88"/>
      <c r="I87" s="88"/>
      <c r="J87" s="88"/>
      <c r="K87" s="88" t="s">
        <v>1446</v>
      </c>
      <c r="L87" s="88"/>
      <c r="M87" s="88"/>
      <c r="N87" s="88"/>
      <c r="O87" s="88"/>
      <c r="P87" s="88"/>
      <c r="Q87" s="88"/>
      <c r="R87" s="88"/>
      <c r="S87" s="88" t="s">
        <v>1447</v>
      </c>
      <c r="T87" s="88"/>
      <c r="U87" s="88"/>
      <c r="V87" s="88"/>
      <c r="W87" s="88"/>
      <c r="X87" s="88"/>
      <c r="Y87" s="88"/>
      <c r="Z87" s="88"/>
      <c r="AA87" s="88"/>
      <c r="AB87" s="88"/>
      <c r="AC87" s="88"/>
      <c r="AD87" s="88"/>
      <c r="AE87" s="88" t="s">
        <v>1448</v>
      </c>
      <c r="AF87" s="88"/>
      <c r="AG87" s="88"/>
      <c r="AH87" s="88"/>
      <c r="AI87" s="88"/>
      <c r="AJ87" s="88"/>
    </row>
    <row r="88" spans="1:36" ht="15">
      <c r="A88" s="88" t="s">
        <v>6</v>
      </c>
      <c r="B88" s="88" t="s">
        <v>1449</v>
      </c>
      <c r="C88" s="88" t="s">
        <v>7</v>
      </c>
      <c r="D88" s="88" t="s">
        <v>1450</v>
      </c>
      <c r="E88" s="88" t="s">
        <v>1451</v>
      </c>
      <c r="F88" s="88"/>
      <c r="G88" s="88" t="s">
        <v>702</v>
      </c>
      <c r="H88" s="88"/>
      <c r="I88" s="88"/>
      <c r="J88" s="88"/>
      <c r="K88" s="88" t="s">
        <v>1452</v>
      </c>
      <c r="L88" s="88"/>
      <c r="M88" s="88"/>
      <c r="N88" s="88"/>
      <c r="O88" s="88"/>
      <c r="P88" s="88"/>
      <c r="Q88" s="88"/>
      <c r="R88" s="88"/>
      <c r="S88" s="88" t="s">
        <v>1453</v>
      </c>
      <c r="T88" s="88"/>
      <c r="U88" s="88"/>
      <c r="V88" s="88"/>
      <c r="W88" s="88"/>
      <c r="X88" s="88"/>
      <c r="Y88" s="88"/>
      <c r="Z88" s="88"/>
      <c r="AA88" s="88"/>
      <c r="AB88" s="88"/>
      <c r="AC88" s="88"/>
      <c r="AD88" s="88"/>
      <c r="AE88" s="88" t="s">
        <v>756</v>
      </c>
      <c r="AF88" s="88"/>
      <c r="AG88" s="88"/>
      <c r="AH88" s="88"/>
      <c r="AI88" s="88"/>
      <c r="AJ88" s="88"/>
    </row>
    <row r="89" spans="1:36" ht="15">
      <c r="A89" s="88" t="s">
        <v>6</v>
      </c>
      <c r="B89" s="88" t="s">
        <v>1454</v>
      </c>
      <c r="C89" s="88" t="s">
        <v>7</v>
      </c>
      <c r="D89" s="88" t="s">
        <v>1455</v>
      </c>
      <c r="E89" s="88" t="s">
        <v>1456</v>
      </c>
      <c r="F89" s="88"/>
      <c r="G89" s="88" t="s">
        <v>1449</v>
      </c>
      <c r="H89" s="88"/>
      <c r="I89" s="88"/>
      <c r="J89" s="88"/>
      <c r="K89" s="88" t="s">
        <v>1457</v>
      </c>
      <c r="L89" s="88"/>
      <c r="M89" s="88"/>
      <c r="N89" s="88"/>
      <c r="O89" s="88"/>
      <c r="P89" s="88"/>
      <c r="Q89" s="88"/>
      <c r="R89" s="88"/>
      <c r="S89" s="88" t="s">
        <v>1458</v>
      </c>
      <c r="T89" s="88"/>
      <c r="U89" s="88"/>
      <c r="V89" s="88"/>
      <c r="W89" s="88"/>
      <c r="X89" s="88"/>
      <c r="Y89" s="88"/>
      <c r="Z89" s="88"/>
      <c r="AA89" s="88"/>
      <c r="AB89" s="88"/>
      <c r="AC89" s="88"/>
      <c r="AD89" s="88"/>
      <c r="AE89" s="88" t="s">
        <v>1459</v>
      </c>
      <c r="AF89" s="88"/>
      <c r="AG89" s="88"/>
      <c r="AH89" s="88"/>
      <c r="AI89" s="88"/>
      <c r="AJ89" s="88"/>
    </row>
    <row r="90" spans="1:36" ht="15">
      <c r="A90" s="88" t="s">
        <v>6</v>
      </c>
      <c r="B90" s="88" t="s">
        <v>1460</v>
      </c>
      <c r="C90" s="88" t="s">
        <v>7</v>
      </c>
      <c r="D90" s="88" t="s">
        <v>1461</v>
      </c>
      <c r="E90" s="88" t="s">
        <v>1462</v>
      </c>
      <c r="F90" s="88"/>
      <c r="G90" s="88" t="s">
        <v>1454</v>
      </c>
      <c r="H90" s="88"/>
      <c r="I90" s="88"/>
      <c r="J90" s="88"/>
      <c r="K90" s="88" t="s">
        <v>1463</v>
      </c>
      <c r="L90" s="88"/>
      <c r="M90" s="88"/>
      <c r="N90" s="88"/>
      <c r="O90" s="88"/>
      <c r="P90" s="88"/>
      <c r="Q90" s="88"/>
      <c r="R90" s="88"/>
      <c r="S90" s="88" t="s">
        <v>1464</v>
      </c>
      <c r="T90" s="88"/>
      <c r="U90" s="88"/>
      <c r="V90" s="88"/>
      <c r="W90" s="88"/>
      <c r="X90" s="88"/>
      <c r="Y90" s="88"/>
      <c r="Z90" s="88"/>
      <c r="AA90" s="88"/>
      <c r="AB90" s="88"/>
      <c r="AC90" s="88"/>
      <c r="AD90" s="88"/>
      <c r="AE90" s="88"/>
      <c r="AF90" s="88"/>
      <c r="AG90" s="88"/>
      <c r="AH90" s="88"/>
      <c r="AI90" s="88"/>
      <c r="AJ90" s="88"/>
    </row>
    <row r="91" spans="1:36" ht="15">
      <c r="A91" s="88" t="s">
        <v>6</v>
      </c>
      <c r="B91" s="88" t="s">
        <v>953</v>
      </c>
      <c r="C91" s="88" t="s">
        <v>7</v>
      </c>
      <c r="D91" s="88" t="s">
        <v>1465</v>
      </c>
      <c r="E91" s="88" t="s">
        <v>1466</v>
      </c>
      <c r="F91" s="88"/>
      <c r="G91" s="88" t="s">
        <v>1460</v>
      </c>
      <c r="H91" s="88"/>
      <c r="I91" s="88"/>
      <c r="J91" s="88"/>
      <c r="K91" s="88" t="s">
        <v>1021</v>
      </c>
      <c r="L91" s="88"/>
      <c r="M91" s="88"/>
      <c r="N91" s="88"/>
      <c r="O91" s="88"/>
      <c r="P91" s="88"/>
      <c r="Q91" s="88"/>
      <c r="R91" s="88"/>
      <c r="S91" s="88" t="s">
        <v>1467</v>
      </c>
      <c r="T91" s="88"/>
      <c r="U91" s="88"/>
      <c r="V91" s="88"/>
      <c r="W91" s="88"/>
      <c r="X91" s="88"/>
      <c r="Y91" s="88"/>
      <c r="Z91" s="88"/>
      <c r="AA91" s="88"/>
      <c r="AB91" s="88"/>
      <c r="AC91" s="88"/>
      <c r="AD91" s="88"/>
      <c r="AE91" s="88"/>
      <c r="AF91" s="88"/>
      <c r="AG91" s="88"/>
      <c r="AH91" s="88"/>
      <c r="AI91" s="88"/>
      <c r="AJ91" s="88"/>
    </row>
    <row r="92" spans="1:36" ht="15">
      <c r="A92" s="88" t="s">
        <v>6</v>
      </c>
      <c r="B92" s="88" t="s">
        <v>612</v>
      </c>
      <c r="C92" s="88" t="s">
        <v>7</v>
      </c>
      <c r="D92" s="88" t="s">
        <v>1468</v>
      </c>
      <c r="E92" s="88" t="s">
        <v>1469</v>
      </c>
      <c r="F92" s="88"/>
      <c r="G92" s="88" t="s">
        <v>953</v>
      </c>
      <c r="H92" s="88"/>
      <c r="I92" s="88"/>
      <c r="J92" s="88"/>
      <c r="K92" s="88" t="s">
        <v>1470</v>
      </c>
      <c r="L92" s="88"/>
      <c r="M92" s="88"/>
      <c r="N92" s="88"/>
      <c r="O92" s="88"/>
      <c r="P92" s="88"/>
      <c r="Q92" s="88"/>
      <c r="R92" s="88"/>
      <c r="S92" s="88" t="s">
        <v>1471</v>
      </c>
      <c r="T92" s="88"/>
      <c r="U92" s="88"/>
      <c r="V92" s="88"/>
      <c r="W92" s="88"/>
      <c r="X92" s="88"/>
      <c r="Y92" s="88"/>
      <c r="Z92" s="88"/>
      <c r="AA92" s="88"/>
      <c r="AB92" s="88"/>
      <c r="AC92" s="88"/>
      <c r="AD92" s="88"/>
      <c r="AE92" s="88"/>
      <c r="AF92" s="88"/>
      <c r="AG92" s="88"/>
      <c r="AH92" s="88"/>
      <c r="AI92" s="88"/>
      <c r="AJ92" s="88"/>
    </row>
    <row r="93" spans="1:36" ht="15">
      <c r="A93" s="88" t="s">
        <v>6</v>
      </c>
      <c r="B93" s="88" t="s">
        <v>1472</v>
      </c>
      <c r="C93" s="88" t="s">
        <v>7</v>
      </c>
      <c r="D93" s="88" t="s">
        <v>1473</v>
      </c>
      <c r="E93" s="88" t="s">
        <v>1474</v>
      </c>
      <c r="F93" s="88"/>
      <c r="G93" s="88" t="s">
        <v>612</v>
      </c>
      <c r="H93" s="88"/>
      <c r="I93" s="88"/>
      <c r="J93" s="88"/>
      <c r="K93" s="88" t="s">
        <v>1475</v>
      </c>
      <c r="L93" s="88"/>
      <c r="M93" s="88"/>
      <c r="N93" s="88"/>
      <c r="O93" s="88"/>
      <c r="P93" s="88"/>
      <c r="Q93" s="88"/>
      <c r="R93" s="88"/>
      <c r="S93" s="88" t="s">
        <v>1476</v>
      </c>
      <c r="T93" s="88"/>
      <c r="U93" s="88"/>
      <c r="V93" s="88"/>
      <c r="W93" s="88"/>
      <c r="X93" s="88"/>
      <c r="Y93" s="88"/>
      <c r="Z93" s="88"/>
      <c r="AA93" s="88"/>
      <c r="AB93" s="88"/>
      <c r="AC93" s="88"/>
      <c r="AD93" s="88"/>
      <c r="AE93" s="88"/>
      <c r="AF93" s="88"/>
      <c r="AG93" s="88"/>
      <c r="AH93" s="88"/>
      <c r="AI93" s="88"/>
      <c r="AJ93" s="88"/>
    </row>
    <row r="94" spans="1:36" ht="15">
      <c r="A94" s="88" t="s">
        <v>6</v>
      </c>
      <c r="B94" s="88" t="s">
        <v>1477</v>
      </c>
      <c r="C94" s="88" t="s">
        <v>7</v>
      </c>
      <c r="D94" s="88" t="s">
        <v>1478</v>
      </c>
      <c r="E94" s="88" t="s">
        <v>1479</v>
      </c>
      <c r="F94" s="88"/>
      <c r="G94" s="88" t="s">
        <v>1472</v>
      </c>
      <c r="H94" s="88"/>
      <c r="I94" s="88"/>
      <c r="J94" s="88"/>
      <c r="K94" s="88" t="s">
        <v>1480</v>
      </c>
      <c r="L94" s="88"/>
      <c r="M94" s="88"/>
      <c r="N94" s="88"/>
      <c r="O94" s="88"/>
      <c r="P94" s="88"/>
      <c r="Q94" s="88"/>
      <c r="R94" s="88"/>
      <c r="S94" s="88" t="s">
        <v>1481</v>
      </c>
      <c r="T94" s="88"/>
      <c r="U94" s="88"/>
      <c r="V94" s="88"/>
      <c r="W94" s="88"/>
      <c r="X94" s="88"/>
      <c r="Y94" s="88"/>
      <c r="Z94" s="88"/>
      <c r="AA94" s="88"/>
      <c r="AB94" s="88"/>
      <c r="AC94" s="88"/>
      <c r="AD94" s="88"/>
      <c r="AE94" s="88"/>
      <c r="AF94" s="88"/>
      <c r="AG94" s="88"/>
      <c r="AH94" s="88"/>
      <c r="AI94" s="88"/>
      <c r="AJ94" s="88"/>
    </row>
    <row r="95" spans="1:36" ht="15">
      <c r="A95" s="88" t="s">
        <v>6</v>
      </c>
      <c r="B95" s="88" t="s">
        <v>1482</v>
      </c>
      <c r="C95" s="88" t="s">
        <v>7</v>
      </c>
      <c r="D95" s="88" t="s">
        <v>1483</v>
      </c>
      <c r="E95" s="88" t="s">
        <v>1484</v>
      </c>
      <c r="F95" s="88"/>
      <c r="G95" s="88" t="s">
        <v>1477</v>
      </c>
      <c r="H95" s="88"/>
      <c r="I95" s="88"/>
      <c r="J95" s="88"/>
      <c r="K95" s="88" t="s">
        <v>1485</v>
      </c>
      <c r="L95" s="88"/>
      <c r="M95" s="88"/>
      <c r="N95" s="88"/>
      <c r="O95" s="88"/>
      <c r="P95" s="88"/>
      <c r="Q95" s="88"/>
      <c r="R95" s="88"/>
      <c r="S95" s="88" t="s">
        <v>1486</v>
      </c>
      <c r="T95" s="88"/>
      <c r="U95" s="88"/>
      <c r="V95" s="88"/>
      <c r="W95" s="88"/>
      <c r="X95" s="88"/>
      <c r="Y95" s="88"/>
      <c r="Z95" s="88"/>
      <c r="AA95" s="88"/>
      <c r="AB95" s="88"/>
      <c r="AC95" s="88"/>
      <c r="AD95" s="88"/>
      <c r="AE95" s="88"/>
      <c r="AF95" s="88"/>
      <c r="AG95" s="88"/>
      <c r="AH95" s="88"/>
      <c r="AI95" s="88"/>
      <c r="AJ95" s="88"/>
    </row>
    <row r="96" spans="1:36" ht="15">
      <c r="A96" s="88" t="s">
        <v>6</v>
      </c>
      <c r="B96" s="88" t="s">
        <v>1171</v>
      </c>
      <c r="C96" s="88" t="s">
        <v>7</v>
      </c>
      <c r="D96" s="88" t="s">
        <v>1487</v>
      </c>
      <c r="E96" s="88" t="s">
        <v>1488</v>
      </c>
      <c r="F96" s="88"/>
      <c r="G96" s="88" t="s">
        <v>1482</v>
      </c>
      <c r="H96" s="88"/>
      <c r="I96" s="88"/>
      <c r="J96" s="88"/>
      <c r="K96" s="88" t="s">
        <v>1489</v>
      </c>
      <c r="L96" s="88"/>
      <c r="M96" s="88"/>
      <c r="N96" s="88"/>
      <c r="O96" s="88"/>
      <c r="P96" s="88"/>
      <c r="Q96" s="88"/>
      <c r="R96" s="88"/>
      <c r="S96" s="88" t="s">
        <v>1490</v>
      </c>
      <c r="T96" s="88"/>
      <c r="U96" s="88"/>
      <c r="V96" s="88"/>
      <c r="W96" s="88"/>
      <c r="X96" s="88"/>
      <c r="Y96" s="88"/>
      <c r="Z96" s="88"/>
      <c r="AA96" s="88"/>
      <c r="AB96" s="88"/>
      <c r="AC96" s="88"/>
      <c r="AD96" s="88"/>
      <c r="AE96" s="88"/>
      <c r="AF96" s="88"/>
      <c r="AG96" s="88"/>
      <c r="AH96" s="88"/>
      <c r="AI96" s="88"/>
      <c r="AJ96" s="88"/>
    </row>
    <row r="97" spans="1:36" ht="15">
      <c r="A97" s="88" t="s">
        <v>6</v>
      </c>
      <c r="B97" s="88" t="s">
        <v>1491</v>
      </c>
      <c r="C97" s="88" t="s">
        <v>7</v>
      </c>
      <c r="D97" s="88" t="s">
        <v>1492</v>
      </c>
      <c r="E97" s="88" t="s">
        <v>1493</v>
      </c>
      <c r="F97" s="88"/>
      <c r="G97" s="88" t="s">
        <v>1171</v>
      </c>
      <c r="H97" s="88"/>
      <c r="I97" s="88"/>
      <c r="J97" s="88"/>
      <c r="K97" s="88" t="s">
        <v>1494</v>
      </c>
      <c r="L97" s="88"/>
      <c r="M97" s="88"/>
      <c r="N97" s="88"/>
      <c r="O97" s="88"/>
      <c r="P97" s="88"/>
      <c r="Q97" s="88"/>
      <c r="R97" s="88"/>
      <c r="S97" s="88" t="s">
        <v>1495</v>
      </c>
      <c r="T97" s="88"/>
      <c r="U97" s="88"/>
      <c r="V97" s="88"/>
      <c r="W97" s="88"/>
      <c r="X97" s="88"/>
      <c r="Y97" s="88"/>
      <c r="Z97" s="88"/>
      <c r="AA97" s="88"/>
      <c r="AB97" s="88"/>
      <c r="AC97" s="88"/>
      <c r="AD97" s="88"/>
      <c r="AE97" s="88"/>
      <c r="AF97" s="88"/>
      <c r="AG97" s="88"/>
      <c r="AH97" s="88"/>
      <c r="AI97" s="88"/>
      <c r="AJ97" s="88"/>
    </row>
    <row r="98" spans="1:36" ht="15">
      <c r="A98" s="88" t="s">
        <v>6</v>
      </c>
      <c r="B98" s="88" t="s">
        <v>1496</v>
      </c>
      <c r="C98" s="88" t="s">
        <v>7</v>
      </c>
      <c r="D98" s="88" t="s">
        <v>1497</v>
      </c>
      <c r="E98" s="88" t="s">
        <v>1498</v>
      </c>
      <c r="F98" s="88"/>
      <c r="G98" s="88" t="s">
        <v>1491</v>
      </c>
      <c r="H98" s="88"/>
      <c r="I98" s="88"/>
      <c r="J98" s="88"/>
      <c r="K98" s="88" t="s">
        <v>1499</v>
      </c>
      <c r="L98" s="88"/>
      <c r="M98" s="88"/>
      <c r="N98" s="88"/>
      <c r="O98" s="88"/>
      <c r="P98" s="88"/>
      <c r="Q98" s="88"/>
      <c r="R98" s="88"/>
      <c r="S98" s="88" t="s">
        <v>1500</v>
      </c>
      <c r="T98" s="88"/>
      <c r="U98" s="88"/>
      <c r="V98" s="88"/>
      <c r="W98" s="88"/>
      <c r="X98" s="88"/>
      <c r="Y98" s="88"/>
      <c r="Z98" s="88"/>
      <c r="AA98" s="88"/>
      <c r="AB98" s="88"/>
      <c r="AC98" s="88"/>
      <c r="AD98" s="88"/>
      <c r="AE98" s="88"/>
      <c r="AF98" s="88"/>
      <c r="AG98" s="88"/>
      <c r="AH98" s="88"/>
      <c r="AI98" s="88"/>
      <c r="AJ98" s="88"/>
    </row>
    <row r="99" spans="1:36" ht="15">
      <c r="A99" s="88" t="s">
        <v>6</v>
      </c>
      <c r="B99" s="88" t="s">
        <v>1501</v>
      </c>
      <c r="C99" s="88" t="s">
        <v>7</v>
      </c>
      <c r="D99" s="88" t="s">
        <v>1502</v>
      </c>
      <c r="E99" s="88" t="s">
        <v>1503</v>
      </c>
      <c r="F99" s="88"/>
      <c r="G99" s="88" t="s">
        <v>1496</v>
      </c>
      <c r="H99" s="88"/>
      <c r="I99" s="88"/>
      <c r="J99" s="88"/>
      <c r="K99" s="88" t="s">
        <v>1504</v>
      </c>
      <c r="L99" s="88"/>
      <c r="M99" s="88"/>
      <c r="N99" s="88"/>
      <c r="O99" s="88"/>
      <c r="P99" s="88"/>
      <c r="Q99" s="88"/>
      <c r="R99" s="88"/>
      <c r="S99" s="88" t="s">
        <v>1505</v>
      </c>
      <c r="T99" s="88"/>
      <c r="U99" s="88"/>
      <c r="V99" s="88"/>
      <c r="W99" s="88"/>
      <c r="X99" s="88"/>
      <c r="Y99" s="88"/>
      <c r="Z99" s="88"/>
      <c r="AA99" s="88"/>
      <c r="AB99" s="88"/>
      <c r="AC99" s="88"/>
      <c r="AD99" s="88"/>
      <c r="AE99" s="88"/>
      <c r="AF99" s="88"/>
      <c r="AG99" s="88"/>
      <c r="AH99" s="88"/>
      <c r="AI99" s="88"/>
      <c r="AJ99" s="88"/>
    </row>
    <row r="100" spans="1:36" ht="15">
      <c r="A100" s="88" t="s">
        <v>6</v>
      </c>
      <c r="B100" s="88" t="s">
        <v>1506</v>
      </c>
      <c r="C100" s="88" t="s">
        <v>7</v>
      </c>
      <c r="D100" s="88" t="s">
        <v>1507</v>
      </c>
      <c r="E100" s="88" t="s">
        <v>1508</v>
      </c>
      <c r="F100" s="88"/>
      <c r="G100" s="88" t="s">
        <v>1501</v>
      </c>
      <c r="H100" s="88"/>
      <c r="I100" s="88"/>
      <c r="J100" s="88"/>
      <c r="K100" s="88" t="s">
        <v>1509</v>
      </c>
      <c r="L100" s="88"/>
      <c r="M100" s="88"/>
      <c r="N100" s="88"/>
      <c r="O100" s="88"/>
      <c r="P100" s="88"/>
      <c r="Q100" s="88"/>
      <c r="R100" s="88"/>
      <c r="S100" s="88" t="s">
        <v>1510</v>
      </c>
      <c r="T100" s="88"/>
      <c r="U100" s="88"/>
      <c r="V100" s="88"/>
      <c r="W100" s="88"/>
      <c r="X100" s="88"/>
      <c r="Y100" s="88"/>
      <c r="Z100" s="88"/>
      <c r="AA100" s="88"/>
      <c r="AB100" s="88"/>
      <c r="AC100" s="88"/>
      <c r="AD100" s="88"/>
      <c r="AE100" s="88"/>
      <c r="AF100" s="88"/>
      <c r="AG100" s="88"/>
      <c r="AH100" s="88"/>
      <c r="AI100" s="88"/>
      <c r="AJ100" s="88"/>
    </row>
    <row r="101" spans="1:36" ht="15">
      <c r="A101" s="88" t="s">
        <v>6</v>
      </c>
      <c r="B101" s="88" t="s">
        <v>1511</v>
      </c>
      <c r="C101" s="88" t="s">
        <v>7</v>
      </c>
      <c r="D101" s="88" t="s">
        <v>1512</v>
      </c>
      <c r="E101" s="88" t="s">
        <v>1513</v>
      </c>
      <c r="F101" s="88"/>
      <c r="G101" s="88" t="s">
        <v>1506</v>
      </c>
      <c r="H101" s="88"/>
      <c r="I101" s="88"/>
      <c r="J101" s="88"/>
      <c r="K101" s="88" t="s">
        <v>1514</v>
      </c>
      <c r="L101" s="88"/>
      <c r="M101" s="88"/>
      <c r="N101" s="88"/>
      <c r="O101" s="88"/>
      <c r="P101" s="88"/>
      <c r="Q101" s="88"/>
      <c r="R101" s="88"/>
      <c r="S101" s="88" t="s">
        <v>1515</v>
      </c>
      <c r="T101" s="88"/>
      <c r="U101" s="88"/>
      <c r="V101" s="88"/>
      <c r="W101" s="88"/>
      <c r="X101" s="88"/>
      <c r="Y101" s="88"/>
      <c r="Z101" s="88"/>
      <c r="AA101" s="88"/>
      <c r="AB101" s="88"/>
      <c r="AC101" s="88"/>
      <c r="AD101" s="88"/>
      <c r="AE101" s="88"/>
      <c r="AF101" s="88"/>
      <c r="AG101" s="88"/>
      <c r="AH101" s="88"/>
      <c r="AI101" s="88"/>
      <c r="AJ101" s="88"/>
    </row>
    <row r="102" spans="1:36" ht="15">
      <c r="A102" s="88" t="s">
        <v>6</v>
      </c>
      <c r="B102" s="88" t="s">
        <v>1287</v>
      </c>
      <c r="C102" s="88" t="s">
        <v>7</v>
      </c>
      <c r="D102" s="88" t="s">
        <v>1516</v>
      </c>
      <c r="E102" s="88" t="s">
        <v>1517</v>
      </c>
      <c r="F102" s="88"/>
      <c r="G102" s="88" t="s">
        <v>1511</v>
      </c>
      <c r="H102" s="88"/>
      <c r="I102" s="88"/>
      <c r="J102" s="88"/>
      <c r="K102" s="88" t="s">
        <v>1518</v>
      </c>
      <c r="L102" s="88"/>
      <c r="M102" s="88"/>
      <c r="N102" s="88"/>
      <c r="O102" s="88"/>
      <c r="P102" s="88"/>
      <c r="Q102" s="88"/>
      <c r="R102" s="88"/>
      <c r="S102" s="88" t="s">
        <v>1519</v>
      </c>
      <c r="T102" s="88"/>
      <c r="U102" s="88"/>
      <c r="V102" s="88"/>
      <c r="W102" s="88"/>
      <c r="X102" s="88"/>
      <c r="Y102" s="88"/>
      <c r="Z102" s="88"/>
      <c r="AA102" s="88"/>
      <c r="AB102" s="88"/>
      <c r="AC102" s="88"/>
      <c r="AD102" s="88"/>
      <c r="AE102" s="88"/>
      <c r="AF102" s="88"/>
      <c r="AG102" s="88"/>
      <c r="AH102" s="88"/>
      <c r="AI102" s="88"/>
      <c r="AJ102" s="88"/>
    </row>
    <row r="103" spans="1:36" ht="15">
      <c r="A103" s="88" t="s">
        <v>6</v>
      </c>
      <c r="B103" s="88" t="s">
        <v>1520</v>
      </c>
      <c r="C103" s="88" t="s">
        <v>7</v>
      </c>
      <c r="D103" s="88" t="s">
        <v>1521</v>
      </c>
      <c r="E103" s="88" t="s">
        <v>1522</v>
      </c>
      <c r="F103" s="88"/>
      <c r="G103" s="88" t="s">
        <v>1287</v>
      </c>
      <c r="H103" s="88"/>
      <c r="I103" s="88"/>
      <c r="J103" s="88"/>
      <c r="K103" s="88" t="s">
        <v>1523</v>
      </c>
      <c r="L103" s="88"/>
      <c r="M103" s="88"/>
      <c r="N103" s="88"/>
      <c r="O103" s="88"/>
      <c r="P103" s="88"/>
      <c r="Q103" s="88"/>
      <c r="R103" s="88"/>
      <c r="S103" s="88" t="s">
        <v>1524</v>
      </c>
      <c r="T103" s="88"/>
      <c r="U103" s="88"/>
      <c r="V103" s="88"/>
      <c r="W103" s="88"/>
      <c r="X103" s="88"/>
      <c r="Y103" s="88"/>
      <c r="Z103" s="88"/>
      <c r="AA103" s="88"/>
      <c r="AB103" s="88"/>
      <c r="AC103" s="88"/>
      <c r="AD103" s="88"/>
      <c r="AE103" s="88"/>
      <c r="AF103" s="88"/>
      <c r="AG103" s="88"/>
      <c r="AH103" s="88"/>
      <c r="AI103" s="88"/>
      <c r="AJ103" s="88"/>
    </row>
    <row r="104" spans="1:36" ht="15">
      <c r="A104" s="88" t="s">
        <v>6</v>
      </c>
      <c r="B104" s="88" t="s">
        <v>1525</v>
      </c>
      <c r="C104" s="88" t="s">
        <v>7</v>
      </c>
      <c r="D104" s="88" t="s">
        <v>1526</v>
      </c>
      <c r="E104" s="88" t="s">
        <v>1527</v>
      </c>
      <c r="F104" s="88"/>
      <c r="G104" s="88" t="s">
        <v>1520</v>
      </c>
      <c r="H104" s="88"/>
      <c r="I104" s="88"/>
      <c r="J104" s="88"/>
      <c r="K104" s="88" t="s">
        <v>1528</v>
      </c>
      <c r="L104" s="88"/>
      <c r="M104" s="88"/>
      <c r="N104" s="88"/>
      <c r="O104" s="88"/>
      <c r="P104" s="88"/>
      <c r="Q104" s="88"/>
      <c r="R104" s="88"/>
      <c r="S104" s="88" t="s">
        <v>1529</v>
      </c>
      <c r="T104" s="88"/>
      <c r="U104" s="88"/>
      <c r="V104" s="88"/>
      <c r="W104" s="88"/>
      <c r="X104" s="88"/>
      <c r="Y104" s="88"/>
      <c r="Z104" s="88"/>
      <c r="AA104" s="88"/>
      <c r="AB104" s="88"/>
      <c r="AC104" s="88"/>
      <c r="AD104" s="88"/>
      <c r="AE104" s="88"/>
      <c r="AF104" s="88"/>
      <c r="AG104" s="88"/>
      <c r="AH104" s="88"/>
      <c r="AI104" s="88"/>
      <c r="AJ104" s="88"/>
    </row>
    <row r="105" spans="1:36" ht="15">
      <c r="A105" s="88" t="s">
        <v>6</v>
      </c>
      <c r="B105" s="88" t="s">
        <v>1530</v>
      </c>
      <c r="C105" s="88" t="s">
        <v>7</v>
      </c>
      <c r="D105" s="88" t="s">
        <v>1531</v>
      </c>
      <c r="E105" s="88" t="s">
        <v>1532</v>
      </c>
      <c r="F105" s="88"/>
      <c r="G105" s="88" t="s">
        <v>1525</v>
      </c>
      <c r="H105" s="88"/>
      <c r="I105" s="88"/>
      <c r="J105" s="88"/>
      <c r="K105" s="88" t="s">
        <v>1533</v>
      </c>
      <c r="L105" s="88"/>
      <c r="M105" s="88"/>
      <c r="N105" s="88"/>
      <c r="O105" s="88"/>
      <c r="P105" s="88"/>
      <c r="Q105" s="88"/>
      <c r="R105" s="88"/>
      <c r="S105" s="88" t="s">
        <v>1534</v>
      </c>
      <c r="T105" s="88"/>
      <c r="U105" s="88"/>
      <c r="V105" s="88"/>
      <c r="W105" s="88"/>
      <c r="X105" s="88"/>
      <c r="Y105" s="88"/>
      <c r="Z105" s="88"/>
      <c r="AA105" s="88"/>
      <c r="AB105" s="88"/>
      <c r="AC105" s="88"/>
      <c r="AD105" s="88"/>
      <c r="AE105" s="88"/>
      <c r="AF105" s="88"/>
      <c r="AG105" s="88"/>
      <c r="AH105" s="88"/>
      <c r="AI105" s="88"/>
      <c r="AJ105" s="88"/>
    </row>
    <row r="106" spans="1:36" ht="15">
      <c r="A106" s="88" t="s">
        <v>6</v>
      </c>
      <c r="B106" s="88" t="s">
        <v>1535</v>
      </c>
      <c r="C106" s="88" t="s">
        <v>7</v>
      </c>
      <c r="D106" s="88" t="s">
        <v>1536</v>
      </c>
      <c r="E106" s="88" t="s">
        <v>1537</v>
      </c>
      <c r="F106" s="88"/>
      <c r="G106" s="88" t="s">
        <v>1530</v>
      </c>
      <c r="H106" s="88"/>
      <c r="I106" s="88"/>
      <c r="J106" s="88"/>
      <c r="K106" s="88" t="s">
        <v>1538</v>
      </c>
      <c r="L106" s="88"/>
      <c r="M106" s="88"/>
      <c r="N106" s="88"/>
      <c r="O106" s="88"/>
      <c r="P106" s="88"/>
      <c r="Q106" s="88"/>
      <c r="R106" s="88"/>
      <c r="S106" s="88" t="s">
        <v>1539</v>
      </c>
      <c r="T106" s="88"/>
      <c r="U106" s="88"/>
      <c r="V106" s="88"/>
      <c r="W106" s="88"/>
      <c r="X106" s="88"/>
      <c r="Y106" s="88"/>
      <c r="Z106" s="88"/>
      <c r="AA106" s="88"/>
      <c r="AB106" s="88"/>
      <c r="AC106" s="88"/>
      <c r="AD106" s="88"/>
      <c r="AE106" s="88"/>
      <c r="AF106" s="88"/>
      <c r="AG106" s="88"/>
      <c r="AH106" s="88"/>
      <c r="AI106" s="88"/>
      <c r="AJ106" s="88"/>
    </row>
    <row r="107" spans="1:36" ht="15">
      <c r="A107" s="88" t="s">
        <v>6</v>
      </c>
      <c r="B107" s="88" t="s">
        <v>1540</v>
      </c>
      <c r="C107" s="88" t="s">
        <v>7</v>
      </c>
      <c r="D107" s="88" t="s">
        <v>1541</v>
      </c>
      <c r="E107" s="88" t="s">
        <v>1542</v>
      </c>
      <c r="F107" s="88"/>
      <c r="G107" s="88" t="s">
        <v>1535</v>
      </c>
      <c r="H107" s="88"/>
      <c r="I107" s="88"/>
      <c r="J107" s="88"/>
      <c r="K107" s="88" t="s">
        <v>1543</v>
      </c>
      <c r="L107" s="88"/>
      <c r="M107" s="88"/>
      <c r="N107" s="88"/>
      <c r="O107" s="88"/>
      <c r="P107" s="88"/>
      <c r="Q107" s="88"/>
      <c r="R107" s="88"/>
      <c r="S107" s="88" t="s">
        <v>1544</v>
      </c>
      <c r="T107" s="88"/>
      <c r="U107" s="88"/>
      <c r="V107" s="88"/>
      <c r="W107" s="88"/>
      <c r="X107" s="88"/>
      <c r="Y107" s="88"/>
      <c r="Z107" s="88"/>
      <c r="AA107" s="88"/>
      <c r="AB107" s="88"/>
      <c r="AC107" s="88"/>
      <c r="AD107" s="88"/>
      <c r="AE107" s="88"/>
      <c r="AF107" s="88"/>
      <c r="AG107" s="88"/>
      <c r="AH107" s="88"/>
      <c r="AI107" s="88"/>
      <c r="AJ107" s="88"/>
    </row>
    <row r="108" spans="1:36" ht="15">
      <c r="A108" s="88" t="s">
        <v>6</v>
      </c>
      <c r="B108" s="88" t="s">
        <v>1545</v>
      </c>
      <c r="C108" s="88" t="s">
        <v>7</v>
      </c>
      <c r="D108" s="88" t="s">
        <v>1546</v>
      </c>
      <c r="E108" s="88" t="s">
        <v>1547</v>
      </c>
      <c r="F108" s="88"/>
      <c r="G108" s="88" t="s">
        <v>1540</v>
      </c>
      <c r="H108" s="88"/>
      <c r="I108" s="88"/>
      <c r="J108" s="88"/>
      <c r="K108" s="88" t="s">
        <v>1548</v>
      </c>
      <c r="L108" s="88"/>
      <c r="M108" s="88"/>
      <c r="N108" s="88"/>
      <c r="O108" s="88"/>
      <c r="P108" s="88"/>
      <c r="Q108" s="88"/>
      <c r="R108" s="88"/>
      <c r="S108" s="88" t="s">
        <v>1549</v>
      </c>
      <c r="T108" s="88"/>
      <c r="U108" s="88"/>
      <c r="V108" s="88"/>
      <c r="W108" s="88"/>
      <c r="X108" s="88"/>
      <c r="Y108" s="88"/>
      <c r="Z108" s="88"/>
      <c r="AA108" s="88"/>
      <c r="AB108" s="88"/>
      <c r="AC108" s="88"/>
      <c r="AD108" s="88"/>
      <c r="AE108" s="88"/>
      <c r="AF108" s="88"/>
      <c r="AG108" s="88"/>
      <c r="AH108" s="88"/>
      <c r="AI108" s="88"/>
      <c r="AJ108" s="88"/>
    </row>
    <row r="109" spans="1:36" ht="15">
      <c r="A109" s="88" t="s">
        <v>6</v>
      </c>
      <c r="B109" s="88" t="s">
        <v>1550</v>
      </c>
      <c r="C109" s="88" t="s">
        <v>7</v>
      </c>
      <c r="D109" s="88" t="s">
        <v>1551</v>
      </c>
      <c r="E109" s="88" t="s">
        <v>1552</v>
      </c>
      <c r="F109" s="88"/>
      <c r="G109" s="88" t="s">
        <v>1545</v>
      </c>
      <c r="H109" s="88"/>
      <c r="I109" s="88"/>
      <c r="J109" s="88"/>
      <c r="K109" s="88" t="s">
        <v>1553</v>
      </c>
      <c r="L109" s="88"/>
      <c r="M109" s="88"/>
      <c r="N109" s="88"/>
      <c r="O109" s="88"/>
      <c r="P109" s="88"/>
      <c r="Q109" s="88"/>
      <c r="R109" s="88"/>
      <c r="S109" s="88" t="s">
        <v>1554</v>
      </c>
      <c r="T109" s="88"/>
      <c r="U109" s="88"/>
      <c r="V109" s="88"/>
      <c r="W109" s="88"/>
      <c r="X109" s="88"/>
      <c r="Y109" s="88"/>
      <c r="Z109" s="88"/>
      <c r="AA109" s="88"/>
      <c r="AB109" s="88"/>
      <c r="AC109" s="88"/>
      <c r="AD109" s="88"/>
      <c r="AE109" s="88"/>
      <c r="AF109" s="88"/>
      <c r="AG109" s="88"/>
      <c r="AH109" s="88"/>
      <c r="AI109" s="88"/>
      <c r="AJ109" s="88"/>
    </row>
    <row r="110" spans="1:36" ht="15">
      <c r="A110" s="88" t="s">
        <v>6</v>
      </c>
      <c r="B110" s="88" t="s">
        <v>1555</v>
      </c>
      <c r="C110" s="88" t="s">
        <v>7</v>
      </c>
      <c r="D110" s="88" t="s">
        <v>1556</v>
      </c>
      <c r="E110" s="88" t="s">
        <v>1557</v>
      </c>
      <c r="F110" s="88"/>
      <c r="G110" s="88" t="s">
        <v>1550</v>
      </c>
      <c r="H110" s="88"/>
      <c r="I110" s="88"/>
      <c r="J110" s="88"/>
      <c r="K110" s="88" t="s">
        <v>1558</v>
      </c>
      <c r="L110" s="88"/>
      <c r="M110" s="88"/>
      <c r="N110" s="88"/>
      <c r="O110" s="88"/>
      <c r="P110" s="88"/>
      <c r="Q110" s="88"/>
      <c r="R110" s="88"/>
      <c r="S110" s="88" t="s">
        <v>1559</v>
      </c>
      <c r="T110" s="88"/>
      <c r="U110" s="88"/>
      <c r="V110" s="88"/>
      <c r="W110" s="88"/>
      <c r="X110" s="88"/>
      <c r="Y110" s="88"/>
      <c r="Z110" s="88"/>
      <c r="AA110" s="88"/>
      <c r="AB110" s="88"/>
      <c r="AC110" s="88"/>
      <c r="AD110" s="88"/>
      <c r="AE110" s="88"/>
      <c r="AF110" s="88"/>
      <c r="AG110" s="88"/>
      <c r="AH110" s="88"/>
      <c r="AI110" s="88"/>
      <c r="AJ110" s="88"/>
    </row>
    <row r="111" spans="1:36" ht="15">
      <c r="A111" s="88" t="s">
        <v>6</v>
      </c>
      <c r="B111" s="88" t="s">
        <v>1560</v>
      </c>
      <c r="C111" s="88" t="s">
        <v>7</v>
      </c>
      <c r="D111" s="88" t="s">
        <v>1561</v>
      </c>
      <c r="E111" s="88" t="s">
        <v>1562</v>
      </c>
      <c r="F111" s="88"/>
      <c r="G111" s="88" t="s">
        <v>1555</v>
      </c>
      <c r="H111" s="88"/>
      <c r="I111" s="88"/>
      <c r="J111" s="88"/>
      <c r="K111" s="88" t="s">
        <v>1563</v>
      </c>
      <c r="L111" s="88"/>
      <c r="M111" s="88"/>
      <c r="N111" s="88"/>
      <c r="O111" s="88"/>
      <c r="P111" s="88"/>
      <c r="Q111" s="88"/>
      <c r="R111" s="88"/>
      <c r="S111" s="88" t="s">
        <v>1564</v>
      </c>
      <c r="T111" s="88"/>
      <c r="U111" s="88"/>
      <c r="V111" s="88"/>
      <c r="W111" s="88"/>
      <c r="X111" s="88"/>
      <c r="Y111" s="88"/>
      <c r="Z111" s="88"/>
      <c r="AA111" s="88"/>
      <c r="AB111" s="88"/>
      <c r="AC111" s="88"/>
      <c r="AD111" s="88"/>
      <c r="AE111" s="88"/>
      <c r="AF111" s="88"/>
      <c r="AG111" s="88"/>
      <c r="AH111" s="88"/>
      <c r="AI111" s="88"/>
      <c r="AJ111" s="88"/>
    </row>
    <row r="112" spans="1:36" ht="15">
      <c r="A112" s="88" t="s">
        <v>6</v>
      </c>
      <c r="B112" s="88" t="s">
        <v>1565</v>
      </c>
      <c r="C112" s="88" t="s">
        <v>7</v>
      </c>
      <c r="D112" s="88" t="s">
        <v>1566</v>
      </c>
      <c r="E112" s="88" t="s">
        <v>1567</v>
      </c>
      <c r="F112" s="88"/>
      <c r="G112" s="88" t="s">
        <v>1560</v>
      </c>
      <c r="H112" s="88"/>
      <c r="I112" s="88"/>
      <c r="J112" s="88"/>
      <c r="K112" s="88" t="s">
        <v>1568</v>
      </c>
      <c r="L112" s="88"/>
      <c r="M112" s="88"/>
      <c r="N112" s="88"/>
      <c r="O112" s="88"/>
      <c r="P112" s="88"/>
      <c r="Q112" s="88"/>
      <c r="R112" s="88"/>
      <c r="S112" s="88" t="s">
        <v>1569</v>
      </c>
      <c r="T112" s="88"/>
      <c r="U112" s="88"/>
      <c r="V112" s="88"/>
      <c r="W112" s="88"/>
      <c r="X112" s="88"/>
      <c r="Y112" s="88"/>
      <c r="Z112" s="88"/>
      <c r="AA112" s="88"/>
      <c r="AB112" s="88"/>
      <c r="AC112" s="88"/>
      <c r="AD112" s="88"/>
      <c r="AE112" s="88"/>
      <c r="AF112" s="88"/>
      <c r="AG112" s="88"/>
      <c r="AH112" s="88"/>
      <c r="AI112" s="88"/>
      <c r="AJ112" s="88"/>
    </row>
    <row r="113" spans="1:36" ht="15">
      <c r="A113" s="88" t="s">
        <v>6</v>
      </c>
      <c r="B113" s="88" t="s">
        <v>1137</v>
      </c>
      <c r="C113" s="88" t="s">
        <v>7</v>
      </c>
      <c r="D113" s="88" t="s">
        <v>1570</v>
      </c>
      <c r="E113" s="88" t="s">
        <v>1571</v>
      </c>
      <c r="F113" s="88"/>
      <c r="G113" s="88" t="s">
        <v>1565</v>
      </c>
      <c r="H113" s="88"/>
      <c r="I113" s="88"/>
      <c r="J113" s="88"/>
      <c r="K113" s="88" t="s">
        <v>1572</v>
      </c>
      <c r="L113" s="88"/>
      <c r="M113" s="88"/>
      <c r="N113" s="88"/>
      <c r="O113" s="88"/>
      <c r="P113" s="88"/>
      <c r="Q113" s="88"/>
      <c r="R113" s="88"/>
      <c r="S113" s="88" t="s">
        <v>1573</v>
      </c>
      <c r="T113" s="88"/>
      <c r="U113" s="88"/>
      <c r="V113" s="88"/>
      <c r="W113" s="88"/>
      <c r="X113" s="88"/>
      <c r="Y113" s="88"/>
      <c r="Z113" s="88"/>
      <c r="AA113" s="88"/>
      <c r="AB113" s="88"/>
      <c r="AC113" s="88"/>
      <c r="AD113" s="88"/>
      <c r="AE113" s="88"/>
      <c r="AF113" s="88"/>
      <c r="AG113" s="88"/>
      <c r="AH113" s="88"/>
      <c r="AI113" s="88"/>
      <c r="AJ113" s="88"/>
    </row>
    <row r="114" spans="1:36" ht="15">
      <c r="A114" s="88" t="s">
        <v>6</v>
      </c>
      <c r="B114" s="88" t="s">
        <v>1574</v>
      </c>
      <c r="C114" s="88" t="s">
        <v>7</v>
      </c>
      <c r="D114" s="88" t="s">
        <v>1575</v>
      </c>
      <c r="E114" s="88" t="s">
        <v>1576</v>
      </c>
      <c r="F114" s="88"/>
      <c r="G114" s="88" t="s">
        <v>1137</v>
      </c>
      <c r="H114" s="88"/>
      <c r="I114" s="88"/>
      <c r="J114" s="88"/>
      <c r="K114" s="88" t="s">
        <v>1577</v>
      </c>
      <c r="L114" s="88"/>
      <c r="M114" s="88"/>
      <c r="N114" s="88"/>
      <c r="O114" s="88"/>
      <c r="P114" s="88"/>
      <c r="Q114" s="88"/>
      <c r="R114" s="88"/>
      <c r="S114" s="88" t="s">
        <v>1578</v>
      </c>
      <c r="T114" s="88"/>
      <c r="U114" s="88"/>
      <c r="V114" s="88"/>
      <c r="W114" s="88"/>
      <c r="X114" s="88"/>
      <c r="Y114" s="88"/>
      <c r="Z114" s="88"/>
      <c r="AA114" s="88"/>
      <c r="AB114" s="88"/>
      <c r="AC114" s="88"/>
      <c r="AD114" s="88"/>
      <c r="AE114" s="88"/>
      <c r="AF114" s="88"/>
      <c r="AG114" s="88"/>
      <c r="AH114" s="88"/>
      <c r="AI114" s="88"/>
      <c r="AJ114" s="88"/>
    </row>
    <row r="115" spans="1:36" ht="15">
      <c r="A115" s="88" t="s">
        <v>6</v>
      </c>
      <c r="B115" s="88" t="s">
        <v>1579</v>
      </c>
      <c r="C115" s="88" t="s">
        <v>7</v>
      </c>
      <c r="D115" s="88" t="s">
        <v>1580</v>
      </c>
      <c r="E115" s="88" t="s">
        <v>1581</v>
      </c>
      <c r="F115" s="88"/>
      <c r="G115" s="88" t="s">
        <v>1574</v>
      </c>
      <c r="H115" s="88"/>
      <c r="I115" s="88"/>
      <c r="J115" s="88"/>
      <c r="K115" s="88" t="s">
        <v>1582</v>
      </c>
      <c r="L115" s="88"/>
      <c r="M115" s="88"/>
      <c r="N115" s="88"/>
      <c r="O115" s="88"/>
      <c r="P115" s="88"/>
      <c r="Q115" s="88"/>
      <c r="R115" s="88"/>
      <c r="S115" s="88" t="s">
        <v>1583</v>
      </c>
      <c r="T115" s="88"/>
      <c r="U115" s="88"/>
      <c r="V115" s="88"/>
      <c r="W115" s="88"/>
      <c r="X115" s="88"/>
      <c r="Y115" s="88"/>
      <c r="Z115" s="88"/>
      <c r="AA115" s="88"/>
      <c r="AB115" s="88"/>
      <c r="AC115" s="88"/>
      <c r="AD115" s="88"/>
      <c r="AE115" s="88"/>
      <c r="AF115" s="88"/>
      <c r="AG115" s="88"/>
      <c r="AH115" s="88"/>
      <c r="AI115" s="88"/>
      <c r="AJ115" s="88"/>
    </row>
    <row r="116" spans="1:36" ht="15">
      <c r="A116" s="88" t="s">
        <v>6</v>
      </c>
      <c r="B116" s="88" t="s">
        <v>1584</v>
      </c>
      <c r="C116" s="88" t="s">
        <v>7</v>
      </c>
      <c r="D116" s="88" t="s">
        <v>1585</v>
      </c>
      <c r="E116" s="88" t="s">
        <v>1586</v>
      </c>
      <c r="F116" s="88"/>
      <c r="G116" s="88" t="s">
        <v>1579</v>
      </c>
      <c r="H116" s="88"/>
      <c r="I116" s="88"/>
      <c r="J116" s="88"/>
      <c r="K116" s="88" t="s">
        <v>1587</v>
      </c>
      <c r="L116" s="88"/>
      <c r="M116" s="88"/>
      <c r="N116" s="88"/>
      <c r="O116" s="88"/>
      <c r="P116" s="88"/>
      <c r="Q116" s="88"/>
      <c r="R116" s="88"/>
      <c r="S116" s="88" t="s">
        <v>1588</v>
      </c>
      <c r="T116" s="88"/>
      <c r="U116" s="88"/>
      <c r="V116" s="88"/>
      <c r="W116" s="88"/>
      <c r="X116" s="88"/>
      <c r="Y116" s="88"/>
      <c r="Z116" s="88"/>
      <c r="AA116" s="88"/>
      <c r="AB116" s="88"/>
      <c r="AC116" s="88"/>
      <c r="AD116" s="88"/>
      <c r="AE116" s="88"/>
      <c r="AF116" s="88"/>
      <c r="AG116" s="88"/>
      <c r="AH116" s="88"/>
      <c r="AI116" s="88"/>
      <c r="AJ116" s="88"/>
    </row>
    <row r="117" spans="1:36" ht="15">
      <c r="A117" s="88" t="s">
        <v>6</v>
      </c>
      <c r="B117" s="88" t="s">
        <v>1589</v>
      </c>
      <c r="C117" s="88" t="s">
        <v>7</v>
      </c>
      <c r="D117" s="88" t="s">
        <v>1590</v>
      </c>
      <c r="E117" s="88" t="s">
        <v>1591</v>
      </c>
      <c r="F117" s="88"/>
      <c r="G117" s="88" t="s">
        <v>1584</v>
      </c>
      <c r="H117" s="88"/>
      <c r="I117" s="88"/>
      <c r="J117" s="88"/>
      <c r="K117" s="88" t="s">
        <v>1592</v>
      </c>
      <c r="L117" s="88"/>
      <c r="M117" s="88"/>
      <c r="N117" s="88"/>
      <c r="O117" s="88"/>
      <c r="P117" s="88"/>
      <c r="Q117" s="88"/>
      <c r="R117" s="88"/>
      <c r="S117" s="88" t="s">
        <v>1593</v>
      </c>
      <c r="T117" s="88"/>
      <c r="U117" s="88"/>
      <c r="V117" s="88"/>
      <c r="W117" s="88"/>
      <c r="X117" s="88"/>
      <c r="Y117" s="88"/>
      <c r="Z117" s="88"/>
      <c r="AA117" s="88"/>
      <c r="AB117" s="88"/>
      <c r="AC117" s="88"/>
      <c r="AD117" s="88"/>
      <c r="AE117" s="88"/>
      <c r="AF117" s="88"/>
      <c r="AG117" s="88"/>
      <c r="AH117" s="88"/>
      <c r="AI117" s="88"/>
      <c r="AJ117" s="88"/>
    </row>
    <row r="118" spans="1:36" ht="15">
      <c r="A118" s="88" t="s">
        <v>6</v>
      </c>
      <c r="B118" s="88" t="s">
        <v>771</v>
      </c>
      <c r="C118" s="88" t="s">
        <v>7</v>
      </c>
      <c r="D118" s="88" t="s">
        <v>1594</v>
      </c>
      <c r="E118" s="88" t="s">
        <v>1595</v>
      </c>
      <c r="F118" s="88"/>
      <c r="G118" s="88" t="s">
        <v>1589</v>
      </c>
      <c r="H118" s="88"/>
      <c r="I118" s="88"/>
      <c r="J118" s="88"/>
      <c r="K118" s="88" t="s">
        <v>1596</v>
      </c>
      <c r="L118" s="88"/>
      <c r="M118" s="88"/>
      <c r="N118" s="88"/>
      <c r="O118" s="88"/>
      <c r="P118" s="88"/>
      <c r="Q118" s="88"/>
      <c r="R118" s="88"/>
      <c r="S118" s="88" t="s">
        <v>1597</v>
      </c>
      <c r="T118" s="88"/>
      <c r="U118" s="88"/>
      <c r="V118" s="88"/>
      <c r="W118" s="88"/>
      <c r="X118" s="88"/>
      <c r="Y118" s="88"/>
      <c r="Z118" s="88"/>
      <c r="AA118" s="88"/>
      <c r="AB118" s="88"/>
      <c r="AC118" s="88"/>
      <c r="AD118" s="88"/>
      <c r="AE118" s="88"/>
      <c r="AF118" s="88"/>
      <c r="AG118" s="88"/>
      <c r="AH118" s="88"/>
      <c r="AI118" s="88"/>
      <c r="AJ118" s="88"/>
    </row>
    <row r="119" spans="1:36" ht="15">
      <c r="A119" s="88" t="s">
        <v>6</v>
      </c>
      <c r="B119" s="88" t="s">
        <v>1598</v>
      </c>
      <c r="C119" s="88" t="s">
        <v>7</v>
      </c>
      <c r="D119" s="88" t="s">
        <v>1599</v>
      </c>
      <c r="E119" s="88" t="s">
        <v>1600</v>
      </c>
      <c r="F119" s="88"/>
      <c r="G119" s="88" t="s">
        <v>771</v>
      </c>
      <c r="H119" s="88"/>
      <c r="I119" s="88"/>
      <c r="J119" s="88"/>
      <c r="K119" s="88" t="s">
        <v>1601</v>
      </c>
      <c r="L119" s="88"/>
      <c r="M119" s="88"/>
      <c r="N119" s="88"/>
      <c r="O119" s="88"/>
      <c r="P119" s="88"/>
      <c r="Q119" s="88"/>
      <c r="R119" s="88"/>
      <c r="S119" s="88"/>
      <c r="T119" s="88"/>
      <c r="U119" s="88"/>
      <c r="V119" s="88"/>
      <c r="W119" s="88"/>
      <c r="X119" s="88"/>
      <c r="Y119" s="88"/>
      <c r="Z119" s="88"/>
      <c r="AA119" s="88"/>
      <c r="AB119" s="88"/>
      <c r="AC119" s="88"/>
      <c r="AD119" s="88"/>
      <c r="AE119" s="88"/>
      <c r="AF119" s="88"/>
      <c r="AG119" s="88"/>
      <c r="AH119" s="88"/>
      <c r="AI119" s="88"/>
      <c r="AJ119" s="88"/>
    </row>
    <row r="120" spans="1:36" ht="15">
      <c r="A120" s="88" t="s">
        <v>6</v>
      </c>
      <c r="B120" s="88" t="s">
        <v>1332</v>
      </c>
      <c r="C120" s="88" t="s">
        <v>7</v>
      </c>
      <c r="D120" s="88" t="s">
        <v>1602</v>
      </c>
      <c r="E120" s="88" t="s">
        <v>1603</v>
      </c>
      <c r="F120" s="88"/>
      <c r="G120" s="88" t="s">
        <v>1598</v>
      </c>
      <c r="H120" s="88"/>
      <c r="I120" s="88"/>
      <c r="J120" s="88"/>
      <c r="K120" s="88" t="s">
        <v>1604</v>
      </c>
      <c r="L120" s="88"/>
      <c r="M120" s="88"/>
      <c r="N120" s="88"/>
      <c r="O120" s="88"/>
      <c r="P120" s="88"/>
      <c r="Q120" s="88"/>
      <c r="R120" s="88"/>
      <c r="S120" s="88"/>
      <c r="T120" s="88"/>
      <c r="U120" s="88"/>
      <c r="V120" s="88"/>
      <c r="W120" s="88"/>
      <c r="X120" s="88"/>
      <c r="Y120" s="88"/>
      <c r="Z120" s="88"/>
      <c r="AA120" s="88"/>
      <c r="AB120" s="88"/>
      <c r="AC120" s="88"/>
      <c r="AD120" s="88"/>
      <c r="AE120" s="88"/>
      <c r="AF120" s="88"/>
      <c r="AG120" s="88"/>
      <c r="AH120" s="88"/>
      <c r="AI120" s="88"/>
      <c r="AJ120" s="88"/>
    </row>
    <row r="121" spans="1:36" ht="15">
      <c r="A121" s="88" t="s">
        <v>6</v>
      </c>
      <c r="B121" s="88" t="s">
        <v>1605</v>
      </c>
      <c r="C121" s="88" t="s">
        <v>7</v>
      </c>
      <c r="D121" s="88" t="s">
        <v>1606</v>
      </c>
      <c r="E121" s="88" t="s">
        <v>1607</v>
      </c>
      <c r="F121" s="88"/>
      <c r="G121" s="88" t="s">
        <v>1332</v>
      </c>
      <c r="H121" s="88"/>
      <c r="I121" s="88"/>
      <c r="J121" s="88"/>
      <c r="K121" s="88" t="s">
        <v>1608</v>
      </c>
      <c r="L121" s="88"/>
      <c r="M121" s="88"/>
      <c r="N121" s="88"/>
      <c r="O121" s="88"/>
      <c r="P121" s="88"/>
      <c r="Q121" s="88"/>
      <c r="R121" s="88"/>
      <c r="S121" s="88"/>
      <c r="T121" s="88"/>
      <c r="U121" s="88"/>
      <c r="V121" s="88"/>
      <c r="W121" s="88"/>
      <c r="X121" s="88"/>
      <c r="Y121" s="88"/>
      <c r="Z121" s="88"/>
      <c r="AA121" s="88"/>
      <c r="AB121" s="88"/>
      <c r="AC121" s="88"/>
      <c r="AD121" s="88"/>
      <c r="AE121" s="88"/>
      <c r="AF121" s="88"/>
      <c r="AG121" s="88"/>
      <c r="AH121" s="88"/>
      <c r="AI121" s="88"/>
      <c r="AJ121" s="88"/>
    </row>
    <row r="122" spans="1:36" ht="15">
      <c r="A122" s="88" t="s">
        <v>6</v>
      </c>
      <c r="B122" s="88" t="s">
        <v>1609</v>
      </c>
      <c r="C122" s="88" t="s">
        <v>7</v>
      </c>
      <c r="D122" s="88" t="s">
        <v>1610</v>
      </c>
      <c r="E122" s="88" t="s">
        <v>1611</v>
      </c>
      <c r="F122" s="88"/>
      <c r="G122" s="88" t="s">
        <v>1605</v>
      </c>
      <c r="H122" s="88"/>
      <c r="I122" s="88"/>
      <c r="J122" s="88"/>
      <c r="K122" s="88" t="s">
        <v>1612</v>
      </c>
      <c r="L122" s="88"/>
      <c r="M122" s="88"/>
      <c r="N122" s="88"/>
      <c r="O122" s="88"/>
      <c r="P122" s="88"/>
      <c r="Q122" s="88"/>
      <c r="R122" s="88"/>
      <c r="S122" s="88"/>
      <c r="T122" s="88"/>
      <c r="U122" s="88"/>
      <c r="V122" s="88"/>
      <c r="W122" s="88"/>
      <c r="X122" s="88"/>
      <c r="Y122" s="88"/>
      <c r="Z122" s="88"/>
      <c r="AA122" s="88"/>
      <c r="AB122" s="88"/>
      <c r="AC122" s="88"/>
      <c r="AD122" s="88"/>
      <c r="AE122" s="88"/>
      <c r="AF122" s="88"/>
      <c r="AG122" s="88"/>
      <c r="AH122" s="88"/>
      <c r="AI122" s="88"/>
      <c r="AJ122" s="88"/>
    </row>
    <row r="123" spans="1:36" ht="15">
      <c r="A123" s="88" t="s">
        <v>6</v>
      </c>
      <c r="B123" s="88" t="s">
        <v>1613</v>
      </c>
      <c r="C123" s="88" t="s">
        <v>7</v>
      </c>
      <c r="D123" s="88" t="s">
        <v>1614</v>
      </c>
      <c r="E123" s="88" t="s">
        <v>1615</v>
      </c>
      <c r="F123" s="88"/>
      <c r="G123" s="88" t="s">
        <v>1609</v>
      </c>
      <c r="H123" s="88"/>
      <c r="I123" s="88"/>
      <c r="J123" s="88"/>
      <c r="K123" s="88" t="s">
        <v>1616</v>
      </c>
      <c r="L123" s="88"/>
      <c r="M123" s="88"/>
      <c r="N123" s="88"/>
      <c r="O123" s="88"/>
      <c r="P123" s="88"/>
      <c r="Q123" s="88"/>
      <c r="R123" s="88"/>
      <c r="S123" s="88"/>
      <c r="T123" s="88"/>
      <c r="U123" s="88"/>
      <c r="V123" s="88"/>
      <c r="W123" s="88"/>
      <c r="X123" s="88"/>
      <c r="Y123" s="88"/>
      <c r="Z123" s="88"/>
      <c r="AA123" s="88"/>
      <c r="AB123" s="88"/>
      <c r="AC123" s="88"/>
      <c r="AD123" s="88"/>
      <c r="AE123" s="88"/>
      <c r="AF123" s="88"/>
      <c r="AG123" s="88"/>
      <c r="AH123" s="88"/>
      <c r="AI123" s="88"/>
      <c r="AJ123" s="88"/>
    </row>
    <row r="124" spans="1:36" ht="15">
      <c r="A124" s="88" t="s">
        <v>6</v>
      </c>
      <c r="B124" s="88" t="s">
        <v>1617</v>
      </c>
      <c r="C124" s="88" t="s">
        <v>7</v>
      </c>
      <c r="D124" s="88" t="s">
        <v>1618</v>
      </c>
      <c r="E124" s="88" t="s">
        <v>1619</v>
      </c>
      <c r="F124" s="88"/>
      <c r="G124" s="88" t="s">
        <v>1613</v>
      </c>
      <c r="H124" s="88"/>
      <c r="I124" s="88"/>
      <c r="J124" s="88"/>
      <c r="K124" s="88" t="s">
        <v>1620</v>
      </c>
      <c r="L124" s="88"/>
      <c r="M124" s="88"/>
      <c r="N124" s="88"/>
      <c r="O124" s="88"/>
      <c r="P124" s="88"/>
      <c r="Q124" s="88"/>
      <c r="R124" s="88"/>
      <c r="S124" s="88"/>
      <c r="T124" s="88"/>
      <c r="U124" s="88"/>
      <c r="V124" s="88"/>
      <c r="W124" s="88"/>
      <c r="X124" s="88"/>
      <c r="Y124" s="88"/>
      <c r="Z124" s="88"/>
      <c r="AA124" s="88"/>
      <c r="AB124" s="88"/>
      <c r="AC124" s="88"/>
      <c r="AD124" s="88"/>
      <c r="AE124" s="88"/>
      <c r="AF124" s="88"/>
      <c r="AG124" s="88"/>
      <c r="AH124" s="88"/>
      <c r="AI124" s="88"/>
      <c r="AJ124" s="88"/>
    </row>
    <row r="125" spans="1:36" ht="15">
      <c r="A125" s="88" t="s">
        <v>6</v>
      </c>
      <c r="B125" s="88" t="s">
        <v>1621</v>
      </c>
      <c r="C125" s="88" t="s">
        <v>7</v>
      </c>
      <c r="D125" s="88" t="s">
        <v>1622</v>
      </c>
      <c r="E125" s="88" t="s">
        <v>1623</v>
      </c>
      <c r="F125" s="88"/>
      <c r="G125" s="88" t="s">
        <v>1617</v>
      </c>
      <c r="H125" s="88"/>
      <c r="I125" s="88"/>
      <c r="J125" s="88"/>
      <c r="K125" s="88" t="s">
        <v>1624</v>
      </c>
      <c r="L125" s="88"/>
      <c r="M125" s="88"/>
      <c r="N125" s="88"/>
      <c r="O125" s="88"/>
      <c r="P125" s="88"/>
      <c r="Q125" s="88"/>
      <c r="R125" s="88"/>
      <c r="S125" s="88"/>
      <c r="T125" s="88"/>
      <c r="U125" s="88"/>
      <c r="V125" s="88"/>
      <c r="W125" s="88"/>
      <c r="X125" s="88"/>
      <c r="Y125" s="88"/>
      <c r="Z125" s="88"/>
      <c r="AA125" s="88"/>
      <c r="AB125" s="88"/>
      <c r="AC125" s="88"/>
      <c r="AD125" s="88"/>
      <c r="AE125" s="88"/>
      <c r="AF125" s="88"/>
      <c r="AG125" s="88"/>
      <c r="AH125" s="88"/>
      <c r="AI125" s="88"/>
      <c r="AJ125" s="88"/>
    </row>
    <row r="126" spans="1:36" ht="15">
      <c r="A126" s="88" t="s">
        <v>6</v>
      </c>
      <c r="B126" s="88" t="s">
        <v>1625</v>
      </c>
      <c r="C126" s="88" t="s">
        <v>7</v>
      </c>
      <c r="D126" s="88" t="s">
        <v>1626</v>
      </c>
      <c r="E126" s="88" t="s">
        <v>1627</v>
      </c>
      <c r="F126" s="88"/>
      <c r="G126" s="88" t="s">
        <v>1621</v>
      </c>
      <c r="H126" s="88"/>
      <c r="I126" s="88"/>
      <c r="J126" s="88"/>
      <c r="K126" s="88"/>
      <c r="L126" s="88"/>
      <c r="M126" s="88"/>
      <c r="N126" s="88"/>
      <c r="O126" s="88"/>
      <c r="P126" s="88"/>
      <c r="Q126" s="88"/>
      <c r="R126" s="88"/>
      <c r="S126" s="88"/>
      <c r="T126" s="88"/>
      <c r="U126" s="88"/>
      <c r="V126" s="88"/>
      <c r="W126" s="88"/>
      <c r="X126" s="88"/>
      <c r="Y126" s="88"/>
      <c r="Z126" s="88"/>
      <c r="AA126" s="88"/>
      <c r="AB126" s="88"/>
      <c r="AC126" s="88"/>
      <c r="AD126" s="88"/>
      <c r="AE126" s="88"/>
      <c r="AF126" s="88"/>
      <c r="AG126" s="88"/>
      <c r="AH126" s="88"/>
      <c r="AI126" s="88"/>
      <c r="AJ126" s="88"/>
    </row>
    <row r="127" spans="1:36" ht="15">
      <c r="A127" s="88" t="s">
        <v>326</v>
      </c>
      <c r="B127" s="88" t="s">
        <v>358</v>
      </c>
      <c r="C127" s="88" t="s">
        <v>7</v>
      </c>
      <c r="D127" s="88" t="s">
        <v>1628</v>
      </c>
      <c r="E127" s="88" t="s">
        <v>1629</v>
      </c>
      <c r="F127" s="88"/>
      <c r="G127" s="88" t="s">
        <v>1625</v>
      </c>
      <c r="H127" s="88"/>
      <c r="I127" s="88"/>
      <c r="J127" s="88"/>
      <c r="K127" s="88"/>
      <c r="L127" s="88"/>
      <c r="M127" s="88"/>
      <c r="N127" s="88"/>
      <c r="O127" s="88"/>
      <c r="P127" s="88"/>
      <c r="Q127" s="88"/>
      <c r="R127" s="88"/>
      <c r="S127" s="88"/>
      <c r="T127" s="88"/>
      <c r="U127" s="88"/>
      <c r="V127" s="88"/>
      <c r="W127" s="88"/>
      <c r="X127" s="88"/>
      <c r="Y127" s="88"/>
      <c r="Z127" s="88"/>
      <c r="AA127" s="88"/>
      <c r="AB127" s="88"/>
      <c r="AC127" s="88"/>
      <c r="AD127" s="88"/>
      <c r="AE127" s="88"/>
      <c r="AF127" s="88"/>
      <c r="AG127" s="88"/>
      <c r="AH127" s="88"/>
      <c r="AI127" s="88"/>
      <c r="AJ127" s="88"/>
    </row>
    <row r="128" spans="1:36" ht="15">
      <c r="A128" s="88" t="s">
        <v>326</v>
      </c>
      <c r="B128" s="88" t="s">
        <v>390</v>
      </c>
      <c r="C128" s="88" t="s">
        <v>7</v>
      </c>
      <c r="D128" s="88" t="s">
        <v>1630</v>
      </c>
      <c r="E128" s="88" t="s">
        <v>1631</v>
      </c>
      <c r="F128" s="88"/>
      <c r="G128" s="88"/>
      <c r="H128" s="88"/>
      <c r="I128" s="88"/>
      <c r="J128" s="88"/>
      <c r="K128" s="88"/>
      <c r="L128" s="88"/>
      <c r="M128" s="88"/>
      <c r="N128" s="88"/>
      <c r="O128" s="88"/>
      <c r="P128" s="88"/>
      <c r="Q128" s="88"/>
      <c r="R128" s="88"/>
      <c r="S128" s="88"/>
      <c r="T128" s="88"/>
      <c r="U128" s="88"/>
      <c r="V128" s="88"/>
      <c r="W128" s="88"/>
      <c r="X128" s="88"/>
      <c r="Y128" s="88"/>
      <c r="Z128" s="88"/>
      <c r="AA128" s="88"/>
      <c r="AB128" s="88"/>
      <c r="AC128" s="88"/>
      <c r="AD128" s="88"/>
      <c r="AE128" s="88"/>
      <c r="AF128" s="88"/>
      <c r="AG128" s="88"/>
      <c r="AH128" s="88"/>
      <c r="AI128" s="88"/>
      <c r="AJ128" s="88"/>
    </row>
    <row r="129" spans="1:36" ht="15">
      <c r="A129" s="88" t="s">
        <v>326</v>
      </c>
      <c r="B129" s="88" t="s">
        <v>420</v>
      </c>
      <c r="C129" s="88" t="s">
        <v>7</v>
      </c>
      <c r="D129" s="88" t="s">
        <v>1632</v>
      </c>
      <c r="E129" s="88" t="s">
        <v>1633</v>
      </c>
      <c r="F129" s="88"/>
      <c r="G129" s="88"/>
      <c r="H129" s="88"/>
      <c r="I129" s="88"/>
      <c r="J129" s="88"/>
      <c r="K129" s="88"/>
      <c r="L129" s="88"/>
      <c r="M129" s="88"/>
      <c r="N129" s="88"/>
      <c r="O129" s="88"/>
      <c r="P129" s="88"/>
      <c r="Q129" s="88"/>
      <c r="R129" s="88"/>
      <c r="S129" s="88"/>
      <c r="T129" s="88"/>
      <c r="U129" s="88"/>
      <c r="V129" s="88"/>
      <c r="W129" s="88"/>
      <c r="X129" s="88"/>
      <c r="Y129" s="88"/>
      <c r="Z129" s="88"/>
      <c r="AA129" s="88"/>
      <c r="AB129" s="88"/>
      <c r="AC129" s="88"/>
      <c r="AD129" s="88"/>
      <c r="AE129" s="88"/>
      <c r="AF129" s="88"/>
      <c r="AG129" s="88"/>
      <c r="AH129" s="88"/>
      <c r="AI129" s="88"/>
      <c r="AJ129" s="88"/>
    </row>
    <row r="130" spans="1:36" ht="15">
      <c r="A130" s="88" t="s">
        <v>326</v>
      </c>
      <c r="B130" s="88" t="s">
        <v>451</v>
      </c>
      <c r="C130" s="88" t="s">
        <v>7</v>
      </c>
      <c r="D130" s="88" t="s">
        <v>1634</v>
      </c>
      <c r="E130" s="88" t="s">
        <v>1635</v>
      </c>
      <c r="F130" s="88"/>
      <c r="G130" s="88"/>
      <c r="H130" s="88"/>
      <c r="I130" s="88"/>
      <c r="J130" s="88"/>
      <c r="K130" s="88"/>
      <c r="L130" s="88"/>
      <c r="M130" s="88"/>
      <c r="N130" s="88"/>
      <c r="O130" s="88"/>
      <c r="P130" s="88"/>
      <c r="Q130" s="88"/>
      <c r="R130" s="88"/>
      <c r="S130" s="88"/>
      <c r="T130" s="88"/>
      <c r="U130" s="88"/>
      <c r="V130" s="88"/>
      <c r="W130" s="88"/>
      <c r="X130" s="88"/>
      <c r="Y130" s="88"/>
      <c r="Z130" s="88"/>
      <c r="AA130" s="88"/>
      <c r="AB130" s="88"/>
      <c r="AC130" s="88"/>
      <c r="AD130" s="88"/>
      <c r="AE130" s="88"/>
      <c r="AF130" s="88"/>
      <c r="AG130" s="88"/>
      <c r="AH130" s="88"/>
      <c r="AI130" s="88"/>
      <c r="AJ130" s="88"/>
    </row>
    <row r="131" spans="1:36" ht="15">
      <c r="A131" s="88" t="s">
        <v>326</v>
      </c>
      <c r="B131" s="88" t="s">
        <v>483</v>
      </c>
      <c r="C131" s="88" t="s">
        <v>7</v>
      </c>
      <c r="D131" s="88" t="s">
        <v>1636</v>
      </c>
      <c r="E131" s="88" t="s">
        <v>1637</v>
      </c>
      <c r="F131" s="88"/>
      <c r="G131" s="88"/>
      <c r="H131" s="88"/>
      <c r="I131" s="88"/>
      <c r="J131" s="88"/>
      <c r="K131" s="88"/>
      <c r="L131" s="88"/>
      <c r="M131" s="88"/>
      <c r="N131" s="88"/>
      <c r="O131" s="88"/>
      <c r="P131" s="88"/>
      <c r="Q131" s="88"/>
      <c r="R131" s="88"/>
      <c r="S131" s="88"/>
      <c r="T131" s="88"/>
      <c r="U131" s="88"/>
      <c r="V131" s="88"/>
      <c r="W131" s="88"/>
      <c r="X131" s="88"/>
      <c r="Y131" s="88"/>
      <c r="Z131" s="88"/>
      <c r="AA131" s="88"/>
      <c r="AB131" s="88"/>
      <c r="AC131" s="88"/>
      <c r="AD131" s="88"/>
      <c r="AE131" s="88"/>
      <c r="AF131" s="88"/>
      <c r="AG131" s="88"/>
      <c r="AH131" s="88"/>
      <c r="AI131" s="88"/>
      <c r="AJ131" s="88"/>
    </row>
    <row r="132" spans="1:36" ht="15">
      <c r="A132" s="88" t="s">
        <v>326</v>
      </c>
      <c r="B132" s="88" t="s">
        <v>511</v>
      </c>
      <c r="C132" s="88" t="s">
        <v>7</v>
      </c>
      <c r="D132" s="88" t="s">
        <v>1638</v>
      </c>
      <c r="E132" s="88" t="s">
        <v>1639</v>
      </c>
      <c r="F132" s="88"/>
      <c r="G132" s="88"/>
      <c r="H132" s="88"/>
      <c r="I132" s="88"/>
      <c r="J132" s="88"/>
      <c r="K132" s="88"/>
      <c r="L132" s="88"/>
      <c r="M132" s="88"/>
      <c r="N132" s="88"/>
      <c r="O132" s="88"/>
      <c r="P132" s="88"/>
      <c r="Q132" s="88"/>
      <c r="R132" s="88"/>
      <c r="S132" s="88"/>
      <c r="T132" s="88"/>
      <c r="U132" s="88"/>
      <c r="V132" s="88"/>
      <c r="W132" s="88"/>
      <c r="X132" s="88"/>
      <c r="Y132" s="88"/>
      <c r="Z132" s="88"/>
      <c r="AA132" s="88"/>
      <c r="AB132" s="88"/>
      <c r="AC132" s="88"/>
      <c r="AD132" s="88"/>
      <c r="AE132" s="88"/>
      <c r="AF132" s="88"/>
      <c r="AG132" s="88"/>
      <c r="AH132" s="88"/>
      <c r="AI132" s="88"/>
      <c r="AJ132" s="88"/>
    </row>
    <row r="133" spans="1:36" ht="15">
      <c r="A133" s="88" t="s">
        <v>326</v>
      </c>
      <c r="B133" s="88" t="s">
        <v>541</v>
      </c>
      <c r="C133" s="88" t="s">
        <v>7</v>
      </c>
      <c r="D133" s="88" t="s">
        <v>1640</v>
      </c>
      <c r="E133" s="88" t="s">
        <v>1641</v>
      </c>
      <c r="F133" s="88"/>
      <c r="G133" s="88"/>
      <c r="H133" s="88"/>
      <c r="I133" s="88"/>
      <c r="J133" s="88"/>
      <c r="K133" s="88"/>
      <c r="L133" s="88"/>
      <c r="M133" s="88"/>
      <c r="N133" s="88"/>
      <c r="O133" s="88"/>
      <c r="P133" s="88"/>
      <c r="Q133" s="88"/>
      <c r="R133" s="88"/>
      <c r="S133" s="88"/>
      <c r="T133" s="88"/>
      <c r="U133" s="88"/>
      <c r="V133" s="88"/>
      <c r="W133" s="88"/>
      <c r="X133" s="88"/>
      <c r="Y133" s="88"/>
      <c r="Z133" s="88"/>
      <c r="AA133" s="88"/>
      <c r="AB133" s="88"/>
      <c r="AC133" s="88"/>
      <c r="AD133" s="88"/>
      <c r="AE133" s="88"/>
      <c r="AF133" s="88"/>
      <c r="AG133" s="88"/>
      <c r="AH133" s="88"/>
      <c r="AI133" s="88"/>
      <c r="AJ133" s="88"/>
    </row>
    <row r="134" spans="1:36" ht="15">
      <c r="A134" s="88" t="s">
        <v>326</v>
      </c>
      <c r="B134" s="88" t="s">
        <v>569</v>
      </c>
      <c r="C134" s="88" t="s">
        <v>7</v>
      </c>
      <c r="D134" s="88" t="s">
        <v>1642</v>
      </c>
      <c r="E134" s="88" t="s">
        <v>1643</v>
      </c>
      <c r="F134" s="88"/>
      <c r="G134" s="88"/>
      <c r="H134" s="88"/>
      <c r="I134" s="88"/>
      <c r="J134" s="88"/>
      <c r="K134" s="88"/>
      <c r="L134" s="88"/>
      <c r="M134" s="88"/>
      <c r="N134" s="88"/>
      <c r="O134" s="88"/>
      <c r="P134" s="88"/>
      <c r="Q134" s="88"/>
      <c r="R134" s="88"/>
      <c r="S134" s="88"/>
      <c r="T134" s="88"/>
      <c r="U134" s="88"/>
      <c r="V134" s="88"/>
      <c r="W134" s="88"/>
      <c r="X134" s="88"/>
      <c r="Y134" s="88"/>
      <c r="Z134" s="88"/>
      <c r="AA134" s="88"/>
      <c r="AB134" s="88"/>
      <c r="AC134" s="88"/>
      <c r="AD134" s="88"/>
      <c r="AE134" s="88"/>
      <c r="AF134" s="88"/>
      <c r="AG134" s="88"/>
      <c r="AH134" s="88"/>
      <c r="AI134" s="88"/>
      <c r="AJ134" s="88"/>
    </row>
    <row r="135" spans="1:36" ht="15">
      <c r="A135" s="88" t="s">
        <v>326</v>
      </c>
      <c r="B135" s="88" t="s">
        <v>597</v>
      </c>
      <c r="C135" s="88" t="s">
        <v>7</v>
      </c>
      <c r="D135" s="88" t="s">
        <v>1644</v>
      </c>
      <c r="E135" s="88" t="s">
        <v>1645</v>
      </c>
      <c r="F135" s="88"/>
      <c r="G135" s="88"/>
      <c r="H135" s="88"/>
      <c r="I135" s="88"/>
      <c r="J135" s="88"/>
      <c r="K135" s="88"/>
      <c r="L135" s="88"/>
      <c r="M135" s="88"/>
      <c r="N135" s="88"/>
      <c r="O135" s="88"/>
      <c r="P135" s="88"/>
      <c r="Q135" s="88"/>
      <c r="R135" s="88"/>
      <c r="S135" s="88"/>
      <c r="T135" s="88"/>
      <c r="U135" s="88"/>
      <c r="V135" s="88"/>
      <c r="W135" s="88"/>
      <c r="X135" s="88"/>
      <c r="Y135" s="88"/>
      <c r="Z135" s="88"/>
      <c r="AA135" s="88"/>
      <c r="AB135" s="88"/>
      <c r="AC135" s="88"/>
      <c r="AD135" s="88"/>
      <c r="AE135" s="88"/>
      <c r="AF135" s="88"/>
      <c r="AG135" s="88"/>
      <c r="AH135" s="88"/>
      <c r="AI135" s="88"/>
      <c r="AJ135" s="88"/>
    </row>
    <row r="136" spans="1:36" ht="15">
      <c r="A136" s="88" t="s">
        <v>326</v>
      </c>
      <c r="B136" s="88" t="s">
        <v>622</v>
      </c>
      <c r="C136" s="88" t="s">
        <v>7</v>
      </c>
      <c r="D136" s="88" t="s">
        <v>1646</v>
      </c>
      <c r="E136" s="88" t="s">
        <v>1647</v>
      </c>
      <c r="F136" s="88"/>
      <c r="G136" s="88"/>
      <c r="H136" s="88"/>
      <c r="I136" s="88"/>
      <c r="J136" s="88"/>
      <c r="K136" s="88"/>
      <c r="L136" s="88"/>
      <c r="M136" s="88"/>
      <c r="N136" s="88"/>
      <c r="O136" s="88"/>
      <c r="P136" s="88"/>
      <c r="Q136" s="88"/>
      <c r="R136" s="88"/>
      <c r="S136" s="88"/>
      <c r="T136" s="88"/>
      <c r="U136" s="88"/>
      <c r="V136" s="88"/>
      <c r="W136" s="88"/>
      <c r="X136" s="88"/>
      <c r="Y136" s="88"/>
      <c r="Z136" s="88"/>
      <c r="AA136" s="88"/>
      <c r="AB136" s="88"/>
      <c r="AC136" s="88"/>
      <c r="AD136" s="88"/>
      <c r="AE136" s="88"/>
      <c r="AF136" s="88"/>
      <c r="AG136" s="88"/>
      <c r="AH136" s="88"/>
      <c r="AI136" s="88"/>
      <c r="AJ136" s="88"/>
    </row>
    <row r="137" spans="1:36" ht="15">
      <c r="A137" s="88" t="s">
        <v>326</v>
      </c>
      <c r="B137" s="88" t="s">
        <v>649</v>
      </c>
      <c r="C137" s="88" t="s">
        <v>7</v>
      </c>
      <c r="D137" s="88" t="s">
        <v>1648</v>
      </c>
      <c r="E137" s="88" t="s">
        <v>1649</v>
      </c>
      <c r="F137" s="88"/>
      <c r="G137" s="88"/>
      <c r="H137" s="88"/>
      <c r="I137" s="88"/>
      <c r="J137" s="88"/>
      <c r="K137" s="88"/>
      <c r="L137" s="88"/>
      <c r="M137" s="88"/>
      <c r="N137" s="88"/>
      <c r="O137" s="88"/>
      <c r="P137" s="88"/>
      <c r="Q137" s="88"/>
      <c r="R137" s="88"/>
      <c r="S137" s="88"/>
      <c r="T137" s="88"/>
      <c r="U137" s="88"/>
      <c r="V137" s="88"/>
      <c r="W137" s="88"/>
      <c r="X137" s="88"/>
      <c r="Y137" s="88"/>
      <c r="Z137" s="88"/>
      <c r="AA137" s="88"/>
      <c r="AB137" s="88"/>
      <c r="AC137" s="88"/>
      <c r="AD137" s="88"/>
      <c r="AE137" s="88"/>
      <c r="AF137" s="88"/>
      <c r="AG137" s="88"/>
      <c r="AH137" s="88"/>
      <c r="AI137" s="88"/>
      <c r="AJ137" s="88"/>
    </row>
    <row r="138" spans="1:36" ht="15">
      <c r="A138" s="88" t="s">
        <v>326</v>
      </c>
      <c r="B138" s="88" t="s">
        <v>674</v>
      </c>
      <c r="C138" s="88" t="s">
        <v>7</v>
      </c>
      <c r="D138" s="88" t="s">
        <v>1650</v>
      </c>
      <c r="E138" s="88" t="s">
        <v>1651</v>
      </c>
      <c r="F138" s="88"/>
      <c r="G138" s="88"/>
      <c r="H138" s="88"/>
      <c r="I138" s="88"/>
      <c r="J138" s="88"/>
      <c r="K138" s="88"/>
      <c r="L138" s="88"/>
      <c r="M138" s="88"/>
      <c r="N138" s="88"/>
      <c r="O138" s="88"/>
      <c r="P138" s="88"/>
      <c r="Q138" s="88"/>
      <c r="R138" s="88"/>
      <c r="S138" s="88"/>
      <c r="T138" s="88"/>
      <c r="U138" s="88"/>
      <c r="V138" s="88"/>
      <c r="W138" s="88"/>
      <c r="X138" s="88"/>
      <c r="Y138" s="88"/>
      <c r="Z138" s="88"/>
      <c r="AA138" s="88"/>
      <c r="AB138" s="88"/>
      <c r="AC138" s="88"/>
      <c r="AD138" s="88"/>
      <c r="AE138" s="88"/>
      <c r="AF138" s="88"/>
      <c r="AG138" s="88"/>
      <c r="AH138" s="88"/>
      <c r="AI138" s="88"/>
      <c r="AJ138" s="88"/>
    </row>
    <row r="139" spans="1:36" ht="15">
      <c r="A139" s="88" t="s">
        <v>326</v>
      </c>
      <c r="B139" s="88" t="s">
        <v>698</v>
      </c>
      <c r="C139" s="88" t="s">
        <v>7</v>
      </c>
      <c r="D139" s="88" t="s">
        <v>1652</v>
      </c>
      <c r="E139" s="88" t="s">
        <v>1653</v>
      </c>
      <c r="F139" s="88"/>
      <c r="G139" s="88"/>
      <c r="H139" s="88"/>
      <c r="I139" s="88"/>
      <c r="J139" s="88"/>
      <c r="K139" s="88"/>
      <c r="L139" s="88"/>
      <c r="M139" s="88"/>
      <c r="N139" s="88"/>
      <c r="O139" s="88"/>
      <c r="P139" s="88"/>
      <c r="Q139" s="88"/>
      <c r="R139" s="88"/>
      <c r="S139" s="88"/>
      <c r="T139" s="88"/>
      <c r="U139" s="88"/>
      <c r="V139" s="88"/>
      <c r="W139" s="88"/>
      <c r="X139" s="88"/>
      <c r="Y139" s="88"/>
      <c r="Z139" s="88"/>
      <c r="AA139" s="88"/>
      <c r="AB139" s="88"/>
      <c r="AC139" s="88"/>
      <c r="AD139" s="88"/>
      <c r="AE139" s="88"/>
      <c r="AF139" s="88"/>
      <c r="AG139" s="88"/>
      <c r="AH139" s="88"/>
      <c r="AI139" s="88"/>
      <c r="AJ139" s="88"/>
    </row>
    <row r="140" spans="1:36" ht="15">
      <c r="A140" s="88" t="s">
        <v>326</v>
      </c>
      <c r="B140" s="88" t="s">
        <v>461</v>
      </c>
      <c r="C140" s="88" t="s">
        <v>7</v>
      </c>
      <c r="D140" s="88" t="s">
        <v>1654</v>
      </c>
      <c r="E140" s="88" t="s">
        <v>1655</v>
      </c>
      <c r="F140" s="88"/>
      <c r="G140" s="88"/>
      <c r="H140" s="88"/>
      <c r="I140" s="88"/>
      <c r="J140" s="88"/>
      <c r="K140" s="88"/>
      <c r="L140" s="88"/>
      <c r="M140" s="88"/>
      <c r="N140" s="88"/>
      <c r="O140" s="88"/>
      <c r="P140" s="88"/>
      <c r="Q140" s="88"/>
      <c r="R140" s="88"/>
      <c r="S140" s="88"/>
      <c r="T140" s="88"/>
      <c r="U140" s="88"/>
      <c r="V140" s="88"/>
      <c r="W140" s="88"/>
      <c r="X140" s="88"/>
      <c r="Y140" s="88"/>
      <c r="Z140" s="88"/>
      <c r="AA140" s="88"/>
      <c r="AB140" s="88"/>
      <c r="AC140" s="88"/>
      <c r="AD140" s="88"/>
      <c r="AE140" s="88"/>
      <c r="AF140" s="88"/>
      <c r="AG140" s="88"/>
      <c r="AH140" s="88"/>
      <c r="AI140" s="88"/>
      <c r="AJ140" s="88"/>
    </row>
    <row r="141" spans="1:36" ht="15">
      <c r="A141" s="88" t="s">
        <v>326</v>
      </c>
      <c r="B141" s="88" t="s">
        <v>744</v>
      </c>
      <c r="C141" s="88" t="s">
        <v>7</v>
      </c>
      <c r="D141" s="88" t="s">
        <v>1656</v>
      </c>
      <c r="E141" s="88" t="s">
        <v>1657</v>
      </c>
      <c r="F141" s="88"/>
      <c r="G141" s="88"/>
      <c r="H141" s="88"/>
      <c r="I141" s="88"/>
      <c r="J141" s="88"/>
      <c r="K141" s="88"/>
      <c r="L141" s="88"/>
      <c r="M141" s="88"/>
      <c r="N141" s="88"/>
      <c r="O141" s="88"/>
      <c r="P141" s="88"/>
      <c r="Q141" s="88"/>
      <c r="R141" s="88"/>
      <c r="S141" s="88"/>
      <c r="T141" s="88"/>
      <c r="U141" s="88"/>
      <c r="V141" s="88"/>
      <c r="W141" s="88"/>
      <c r="X141" s="88"/>
      <c r="Y141" s="88"/>
      <c r="Z141" s="88"/>
      <c r="AA141" s="88"/>
      <c r="AB141" s="88"/>
      <c r="AC141" s="88"/>
      <c r="AD141" s="88"/>
      <c r="AE141" s="88"/>
      <c r="AF141" s="88"/>
      <c r="AG141" s="88"/>
      <c r="AH141" s="88"/>
      <c r="AI141" s="88"/>
      <c r="AJ141" s="88"/>
    </row>
    <row r="142" spans="1:36" ht="15">
      <c r="A142" s="88" t="s">
        <v>326</v>
      </c>
      <c r="B142" s="88" t="s">
        <v>767</v>
      </c>
      <c r="C142" s="88" t="s">
        <v>7</v>
      </c>
      <c r="D142" s="88" t="s">
        <v>1658</v>
      </c>
      <c r="E142" s="88" t="s">
        <v>1659</v>
      </c>
      <c r="F142" s="88"/>
      <c r="G142" s="88"/>
      <c r="H142" s="88"/>
      <c r="I142" s="88"/>
      <c r="J142" s="88"/>
      <c r="K142" s="88"/>
      <c r="L142" s="88"/>
      <c r="M142" s="88"/>
      <c r="N142" s="88"/>
      <c r="O142" s="88"/>
      <c r="P142" s="88"/>
      <c r="Q142" s="88"/>
      <c r="R142" s="88"/>
      <c r="S142" s="88"/>
      <c r="T142" s="88"/>
      <c r="U142" s="88"/>
      <c r="V142" s="88"/>
      <c r="W142" s="88"/>
      <c r="X142" s="88"/>
      <c r="Y142" s="88"/>
      <c r="Z142" s="88"/>
      <c r="AA142" s="88"/>
      <c r="AB142" s="88"/>
      <c r="AC142" s="88"/>
      <c r="AD142" s="88"/>
      <c r="AE142" s="88"/>
      <c r="AF142" s="88"/>
      <c r="AG142" s="88"/>
      <c r="AH142" s="88"/>
      <c r="AI142" s="88"/>
      <c r="AJ142" s="88"/>
    </row>
    <row r="143" spans="1:36" ht="15">
      <c r="A143" s="88" t="s">
        <v>326</v>
      </c>
      <c r="B143" s="88" t="s">
        <v>702</v>
      </c>
      <c r="C143" s="88" t="s">
        <v>7</v>
      </c>
      <c r="D143" s="88" t="s">
        <v>1660</v>
      </c>
      <c r="E143" s="88" t="s">
        <v>1661</v>
      </c>
      <c r="F143" s="88"/>
      <c r="G143" s="88"/>
      <c r="H143" s="88"/>
      <c r="I143" s="88"/>
      <c r="J143" s="88"/>
      <c r="K143" s="88"/>
      <c r="L143" s="88"/>
      <c r="M143" s="88"/>
      <c r="N143" s="88"/>
      <c r="O143" s="88"/>
      <c r="P143" s="88"/>
      <c r="Q143" s="88"/>
      <c r="R143" s="88"/>
      <c r="S143" s="88"/>
      <c r="T143" s="88"/>
      <c r="U143" s="88"/>
      <c r="V143" s="88"/>
      <c r="W143" s="88"/>
      <c r="X143" s="88"/>
      <c r="Y143" s="88"/>
      <c r="Z143" s="88"/>
      <c r="AA143" s="88"/>
      <c r="AB143" s="88"/>
      <c r="AC143" s="88"/>
      <c r="AD143" s="88"/>
      <c r="AE143" s="88"/>
      <c r="AF143" s="88"/>
      <c r="AG143" s="88"/>
      <c r="AH143" s="88"/>
      <c r="AI143" s="88"/>
      <c r="AJ143" s="88"/>
    </row>
    <row r="144" spans="1:36" ht="15">
      <c r="A144" s="88" t="s">
        <v>326</v>
      </c>
      <c r="B144" s="88" t="s">
        <v>811</v>
      </c>
      <c r="C144" s="88" t="s">
        <v>7</v>
      </c>
      <c r="D144" s="88" t="s">
        <v>1662</v>
      </c>
      <c r="E144" s="88" t="s">
        <v>1663</v>
      </c>
      <c r="F144" s="88"/>
      <c r="G144" s="88"/>
      <c r="H144" s="88"/>
      <c r="I144" s="88"/>
      <c r="J144" s="88"/>
      <c r="K144" s="88"/>
      <c r="L144" s="88"/>
      <c r="M144" s="88"/>
      <c r="N144" s="88"/>
      <c r="O144" s="88"/>
      <c r="P144" s="88"/>
      <c r="Q144" s="88"/>
      <c r="R144" s="88"/>
      <c r="S144" s="88"/>
      <c r="T144" s="88"/>
      <c r="U144" s="88"/>
      <c r="V144" s="88"/>
      <c r="W144" s="88"/>
      <c r="X144" s="88"/>
      <c r="Y144" s="88"/>
      <c r="Z144" s="88"/>
      <c r="AA144" s="88"/>
      <c r="AB144" s="88"/>
      <c r="AC144" s="88"/>
      <c r="AD144" s="88"/>
      <c r="AE144" s="88"/>
      <c r="AF144" s="88"/>
      <c r="AG144" s="88"/>
      <c r="AH144" s="88"/>
      <c r="AI144" s="88"/>
      <c r="AJ144" s="88"/>
    </row>
    <row r="145" spans="1:36" ht="15">
      <c r="A145" s="88" t="s">
        <v>326</v>
      </c>
      <c r="B145" s="88" t="s">
        <v>833</v>
      </c>
      <c r="C145" s="88" t="s">
        <v>7</v>
      </c>
      <c r="D145" s="88" t="s">
        <v>1664</v>
      </c>
      <c r="E145" s="88" t="s">
        <v>1665</v>
      </c>
      <c r="F145" s="88"/>
      <c r="G145" s="88"/>
      <c r="H145" s="88"/>
      <c r="I145" s="88"/>
      <c r="J145" s="88"/>
      <c r="K145" s="88"/>
      <c r="L145" s="88"/>
      <c r="M145" s="88"/>
      <c r="N145" s="88"/>
      <c r="O145" s="88"/>
      <c r="P145" s="88"/>
      <c r="Q145" s="88"/>
      <c r="R145" s="88"/>
      <c r="S145" s="88"/>
      <c r="T145" s="88"/>
      <c r="U145" s="88"/>
      <c r="V145" s="88"/>
      <c r="W145" s="88"/>
      <c r="X145" s="88"/>
      <c r="Y145" s="88"/>
      <c r="Z145" s="88"/>
      <c r="AA145" s="88"/>
      <c r="AB145" s="88"/>
      <c r="AC145" s="88"/>
      <c r="AD145" s="88"/>
      <c r="AE145" s="88"/>
      <c r="AF145" s="88"/>
      <c r="AG145" s="88"/>
      <c r="AH145" s="88"/>
      <c r="AI145" s="88"/>
      <c r="AJ145" s="88"/>
    </row>
    <row r="146" spans="1:36" ht="15">
      <c r="A146" s="88" t="s">
        <v>326</v>
      </c>
      <c r="B146" s="88" t="s">
        <v>853</v>
      </c>
      <c r="C146" s="88" t="s">
        <v>7</v>
      </c>
      <c r="D146" s="88" t="s">
        <v>1666</v>
      </c>
      <c r="E146" s="88" t="s">
        <v>1667</v>
      </c>
      <c r="F146" s="88"/>
      <c r="G146" s="88"/>
      <c r="H146" s="88"/>
      <c r="I146" s="88"/>
      <c r="J146" s="88"/>
      <c r="K146" s="88"/>
      <c r="L146" s="88"/>
      <c r="M146" s="88"/>
      <c r="N146" s="88"/>
      <c r="O146" s="88"/>
      <c r="P146" s="88"/>
      <c r="Q146" s="88"/>
      <c r="R146" s="88"/>
      <c r="S146" s="88"/>
      <c r="T146" s="88"/>
      <c r="U146" s="88"/>
      <c r="V146" s="88"/>
      <c r="W146" s="88"/>
      <c r="X146" s="88"/>
      <c r="Y146" s="88"/>
      <c r="Z146" s="88"/>
      <c r="AA146" s="88"/>
      <c r="AB146" s="88"/>
      <c r="AC146" s="88"/>
      <c r="AD146" s="88"/>
      <c r="AE146" s="88"/>
      <c r="AF146" s="88"/>
      <c r="AG146" s="88"/>
      <c r="AH146" s="88"/>
      <c r="AI146" s="88"/>
      <c r="AJ146" s="88"/>
    </row>
    <row r="147" spans="1:36" ht="15">
      <c r="A147" s="88" t="s">
        <v>326</v>
      </c>
      <c r="B147" s="88" t="s">
        <v>873</v>
      </c>
      <c r="C147" s="88" t="s">
        <v>7</v>
      </c>
      <c r="D147" s="88" t="s">
        <v>1668</v>
      </c>
      <c r="E147" s="88" t="s">
        <v>1669</v>
      </c>
      <c r="F147" s="88"/>
      <c r="G147" s="88"/>
      <c r="H147" s="88"/>
      <c r="I147" s="88"/>
      <c r="J147" s="88"/>
      <c r="K147" s="88"/>
      <c r="L147" s="88"/>
      <c r="M147" s="88"/>
      <c r="N147" s="88"/>
      <c r="O147" s="88"/>
      <c r="P147" s="88"/>
      <c r="Q147" s="88"/>
      <c r="R147" s="88"/>
      <c r="S147" s="88"/>
      <c r="T147" s="88"/>
      <c r="U147" s="88"/>
      <c r="V147" s="88"/>
      <c r="W147" s="88"/>
      <c r="X147" s="88"/>
      <c r="Y147" s="88"/>
      <c r="Z147" s="88"/>
      <c r="AA147" s="88"/>
      <c r="AB147" s="88"/>
      <c r="AC147" s="88"/>
      <c r="AD147" s="88"/>
      <c r="AE147" s="88"/>
      <c r="AF147" s="88"/>
      <c r="AG147" s="88"/>
      <c r="AH147" s="88"/>
      <c r="AI147" s="88"/>
      <c r="AJ147" s="88"/>
    </row>
    <row r="148" spans="1:36" ht="15">
      <c r="A148" s="88" t="s">
        <v>326</v>
      </c>
      <c r="B148" s="88" t="s">
        <v>892</v>
      </c>
      <c r="C148" s="88" t="s">
        <v>7</v>
      </c>
      <c r="D148" s="88" t="s">
        <v>1670</v>
      </c>
      <c r="E148" s="88" t="s">
        <v>1671</v>
      </c>
      <c r="F148" s="88"/>
      <c r="G148" s="88"/>
      <c r="H148" s="88"/>
      <c r="I148" s="88"/>
      <c r="J148" s="88"/>
      <c r="K148" s="88"/>
      <c r="L148" s="88"/>
      <c r="M148" s="88"/>
      <c r="N148" s="88"/>
      <c r="O148" s="88"/>
      <c r="P148" s="88"/>
      <c r="Q148" s="88"/>
      <c r="R148" s="88"/>
      <c r="S148" s="88"/>
      <c r="T148" s="88"/>
      <c r="U148" s="88"/>
      <c r="V148" s="88"/>
      <c r="W148" s="88"/>
      <c r="X148" s="88"/>
      <c r="Y148" s="88"/>
      <c r="Z148" s="88"/>
      <c r="AA148" s="88"/>
      <c r="AB148" s="88"/>
      <c r="AC148" s="88"/>
      <c r="AD148" s="88"/>
      <c r="AE148" s="88"/>
      <c r="AF148" s="88"/>
      <c r="AG148" s="88"/>
      <c r="AH148" s="88"/>
      <c r="AI148" s="88"/>
      <c r="AJ148" s="88"/>
    </row>
    <row r="149" spans="1:36" ht="15">
      <c r="A149" s="88" t="s">
        <v>326</v>
      </c>
      <c r="B149" s="88" t="s">
        <v>912</v>
      </c>
      <c r="C149" s="88" t="s">
        <v>7</v>
      </c>
      <c r="D149" s="88" t="s">
        <v>1672</v>
      </c>
      <c r="E149" s="88" t="s">
        <v>1673</v>
      </c>
      <c r="F149" s="88"/>
      <c r="G149" s="88"/>
      <c r="H149" s="88"/>
      <c r="I149" s="88"/>
      <c r="J149" s="88"/>
      <c r="K149" s="88"/>
      <c r="L149" s="88"/>
      <c r="M149" s="88"/>
      <c r="N149" s="88"/>
      <c r="O149" s="88"/>
      <c r="P149" s="88"/>
      <c r="Q149" s="88"/>
      <c r="R149" s="88"/>
      <c r="S149" s="88"/>
      <c r="T149" s="88"/>
      <c r="U149" s="88"/>
      <c r="V149" s="88"/>
      <c r="W149" s="88"/>
      <c r="X149" s="88"/>
      <c r="Y149" s="88"/>
      <c r="Z149" s="88"/>
      <c r="AA149" s="88"/>
      <c r="AB149" s="88"/>
      <c r="AC149" s="88"/>
      <c r="AD149" s="88"/>
      <c r="AE149" s="88"/>
      <c r="AF149" s="88"/>
      <c r="AG149" s="88"/>
      <c r="AH149" s="88"/>
      <c r="AI149" s="88"/>
      <c r="AJ149" s="88"/>
    </row>
    <row r="150" spans="1:36" ht="15">
      <c r="A150" s="88" t="s">
        <v>1674</v>
      </c>
      <c r="B150" s="88" t="s">
        <v>1674</v>
      </c>
      <c r="C150" s="88" t="s">
        <v>7</v>
      </c>
      <c r="D150" s="88" t="s">
        <v>1675</v>
      </c>
      <c r="E150" s="88" t="s">
        <v>1676</v>
      </c>
      <c r="F150" s="88"/>
      <c r="G150" s="88"/>
      <c r="H150" s="88"/>
      <c r="I150" s="88"/>
      <c r="J150" s="88"/>
      <c r="K150" s="88"/>
      <c r="L150" s="88"/>
      <c r="M150" s="88"/>
      <c r="N150" s="88"/>
      <c r="O150" s="88"/>
      <c r="P150" s="88"/>
      <c r="Q150" s="88"/>
      <c r="R150" s="88"/>
      <c r="S150" s="88"/>
      <c r="T150" s="88"/>
      <c r="U150" s="88"/>
      <c r="V150" s="88"/>
      <c r="W150" s="88"/>
      <c r="X150" s="88"/>
      <c r="Y150" s="88"/>
      <c r="Z150" s="88"/>
      <c r="AA150" s="88"/>
      <c r="AB150" s="88"/>
      <c r="AC150" s="88"/>
      <c r="AD150" s="88"/>
      <c r="AE150" s="88"/>
      <c r="AF150" s="88"/>
      <c r="AG150" s="88"/>
      <c r="AH150" s="88"/>
      <c r="AI150" s="88"/>
      <c r="AJ150" s="88"/>
    </row>
    <row r="151" spans="1:36" ht="15">
      <c r="A151" s="88" t="s">
        <v>327</v>
      </c>
      <c r="B151" s="88" t="s">
        <v>359</v>
      </c>
      <c r="C151" s="88" t="s">
        <v>7</v>
      </c>
      <c r="D151" s="88" t="s">
        <v>1677</v>
      </c>
      <c r="E151" s="88" t="s">
        <v>1678</v>
      </c>
      <c r="F151" s="88"/>
      <c r="G151" s="88"/>
      <c r="H151" s="88"/>
      <c r="I151" s="88"/>
      <c r="J151" s="88"/>
      <c r="K151" s="88"/>
      <c r="L151" s="88"/>
      <c r="M151" s="88"/>
      <c r="N151" s="88"/>
      <c r="O151" s="88"/>
      <c r="P151" s="88"/>
      <c r="Q151" s="88"/>
      <c r="R151" s="88"/>
      <c r="S151" s="88"/>
      <c r="T151" s="88"/>
      <c r="U151" s="88"/>
      <c r="V151" s="88"/>
      <c r="W151" s="88"/>
      <c r="X151" s="88"/>
      <c r="Y151" s="88"/>
      <c r="Z151" s="88"/>
      <c r="AA151" s="88"/>
      <c r="AB151" s="88"/>
      <c r="AC151" s="88"/>
      <c r="AD151" s="88"/>
      <c r="AE151" s="88"/>
      <c r="AF151" s="88"/>
      <c r="AG151" s="88"/>
      <c r="AH151" s="88"/>
      <c r="AI151" s="88"/>
      <c r="AJ151" s="88"/>
    </row>
    <row r="152" spans="1:36" ht="15">
      <c r="A152" s="88" t="s">
        <v>327</v>
      </c>
      <c r="B152" s="88" t="s">
        <v>391</v>
      </c>
      <c r="C152" s="88" t="s">
        <v>7</v>
      </c>
      <c r="D152" s="88" t="s">
        <v>1679</v>
      </c>
      <c r="E152" s="88" t="s">
        <v>1680</v>
      </c>
      <c r="F152" s="88"/>
      <c r="G152" s="88"/>
      <c r="H152" s="88"/>
      <c r="I152" s="88"/>
      <c r="J152" s="88"/>
      <c r="K152" s="88"/>
      <c r="L152" s="88"/>
      <c r="M152" s="88"/>
      <c r="N152" s="88"/>
      <c r="O152" s="88"/>
      <c r="P152" s="88"/>
      <c r="Q152" s="88"/>
      <c r="R152" s="88"/>
      <c r="S152" s="88"/>
      <c r="T152" s="88"/>
      <c r="U152" s="88"/>
      <c r="V152" s="88"/>
      <c r="W152" s="88"/>
      <c r="X152" s="88"/>
      <c r="Y152" s="88"/>
      <c r="Z152" s="88"/>
      <c r="AA152" s="88"/>
      <c r="AB152" s="88"/>
      <c r="AC152" s="88"/>
      <c r="AD152" s="88"/>
      <c r="AE152" s="88"/>
      <c r="AF152" s="88"/>
      <c r="AG152" s="88"/>
      <c r="AH152" s="88"/>
      <c r="AI152" s="88"/>
      <c r="AJ152" s="88"/>
    </row>
    <row r="153" spans="1:36" ht="15">
      <c r="A153" s="88" t="s">
        <v>327</v>
      </c>
      <c r="B153" s="88" t="s">
        <v>421</v>
      </c>
      <c r="C153" s="88" t="s">
        <v>7</v>
      </c>
      <c r="D153" s="88" t="s">
        <v>1681</v>
      </c>
      <c r="E153" s="88" t="s">
        <v>1682</v>
      </c>
      <c r="F153" s="88"/>
      <c r="G153" s="88"/>
      <c r="H153" s="88"/>
      <c r="I153" s="88"/>
      <c r="J153" s="88"/>
      <c r="K153" s="88"/>
      <c r="L153" s="88"/>
      <c r="M153" s="88"/>
      <c r="N153" s="88"/>
      <c r="O153" s="88"/>
      <c r="P153" s="88"/>
      <c r="Q153" s="88"/>
      <c r="R153" s="88"/>
      <c r="S153" s="88"/>
      <c r="T153" s="88"/>
      <c r="U153" s="88"/>
      <c r="V153" s="88"/>
      <c r="W153" s="88"/>
      <c r="X153" s="88"/>
      <c r="Y153" s="88"/>
      <c r="Z153" s="88"/>
      <c r="AA153" s="88"/>
      <c r="AB153" s="88"/>
      <c r="AC153" s="88"/>
      <c r="AD153" s="88"/>
      <c r="AE153" s="88"/>
      <c r="AF153" s="88"/>
      <c r="AG153" s="88"/>
      <c r="AH153" s="88"/>
      <c r="AI153" s="88"/>
      <c r="AJ153" s="88"/>
    </row>
    <row r="154" spans="1:36" ht="15">
      <c r="A154" s="88" t="s">
        <v>327</v>
      </c>
      <c r="B154" s="88" t="s">
        <v>452</v>
      </c>
      <c r="C154" s="88" t="s">
        <v>7</v>
      </c>
      <c r="D154" s="88" t="s">
        <v>1683</v>
      </c>
      <c r="E154" s="88" t="s">
        <v>1684</v>
      </c>
      <c r="F154" s="88"/>
      <c r="G154" s="88"/>
      <c r="H154" s="88"/>
      <c r="I154" s="88"/>
      <c r="J154" s="88"/>
      <c r="K154" s="88"/>
      <c r="L154" s="88"/>
      <c r="M154" s="88"/>
      <c r="N154" s="88"/>
      <c r="O154" s="88"/>
      <c r="P154" s="88"/>
      <c r="Q154" s="88"/>
      <c r="R154" s="88"/>
      <c r="S154" s="88"/>
      <c r="T154" s="88"/>
      <c r="U154" s="88"/>
      <c r="V154" s="88"/>
      <c r="W154" s="88"/>
      <c r="X154" s="88"/>
      <c r="Y154" s="88"/>
      <c r="Z154" s="88"/>
      <c r="AA154" s="88"/>
      <c r="AB154" s="88"/>
      <c r="AC154" s="88"/>
      <c r="AD154" s="88"/>
      <c r="AE154" s="88"/>
      <c r="AF154" s="88"/>
      <c r="AG154" s="88"/>
      <c r="AH154" s="88"/>
      <c r="AI154" s="88"/>
      <c r="AJ154" s="88"/>
    </row>
    <row r="155" spans="1:36" ht="15">
      <c r="A155" s="88" t="s">
        <v>327</v>
      </c>
      <c r="B155" s="88" t="s">
        <v>484</v>
      </c>
      <c r="C155" s="88" t="s">
        <v>7</v>
      </c>
      <c r="D155" s="88" t="s">
        <v>1685</v>
      </c>
      <c r="E155" s="88" t="s">
        <v>1686</v>
      </c>
      <c r="F155" s="88"/>
      <c r="G155" s="88"/>
      <c r="H155" s="88"/>
      <c r="I155" s="88"/>
      <c r="J155" s="88"/>
      <c r="K155" s="88"/>
      <c r="L155" s="88"/>
      <c r="M155" s="88"/>
      <c r="N155" s="88"/>
      <c r="O155" s="88"/>
      <c r="P155" s="88"/>
      <c r="Q155" s="88"/>
      <c r="R155" s="88"/>
      <c r="S155" s="88"/>
      <c r="T155" s="88"/>
      <c r="U155" s="88"/>
      <c r="V155" s="88"/>
      <c r="W155" s="88"/>
      <c r="X155" s="88"/>
      <c r="Y155" s="88"/>
      <c r="Z155" s="88"/>
      <c r="AA155" s="88"/>
      <c r="AB155" s="88"/>
      <c r="AC155" s="88"/>
      <c r="AD155" s="88"/>
      <c r="AE155" s="88"/>
      <c r="AF155" s="88"/>
      <c r="AG155" s="88"/>
      <c r="AH155" s="88"/>
      <c r="AI155" s="88"/>
      <c r="AJ155" s="88"/>
    </row>
    <row r="156" spans="1:36" ht="15">
      <c r="A156" s="88" t="s">
        <v>327</v>
      </c>
      <c r="B156" s="88" t="s">
        <v>512</v>
      </c>
      <c r="C156" s="88" t="s">
        <v>7</v>
      </c>
      <c r="D156" s="88" t="s">
        <v>1687</v>
      </c>
      <c r="E156" s="88" t="s">
        <v>1688</v>
      </c>
      <c r="F156" s="88"/>
      <c r="G156" s="88"/>
      <c r="H156" s="88"/>
      <c r="I156" s="88"/>
      <c r="J156" s="88"/>
      <c r="K156" s="88"/>
      <c r="L156" s="88"/>
      <c r="M156" s="88"/>
      <c r="N156" s="88"/>
      <c r="O156" s="88"/>
      <c r="P156" s="88"/>
      <c r="Q156" s="88"/>
      <c r="R156" s="88"/>
      <c r="S156" s="88"/>
      <c r="T156" s="88"/>
      <c r="U156" s="88"/>
      <c r="V156" s="88"/>
      <c r="W156" s="88"/>
      <c r="X156" s="88"/>
      <c r="Y156" s="88"/>
      <c r="Z156" s="88"/>
      <c r="AA156" s="88"/>
      <c r="AB156" s="88"/>
      <c r="AC156" s="88"/>
      <c r="AD156" s="88"/>
      <c r="AE156" s="88"/>
      <c r="AF156" s="88"/>
      <c r="AG156" s="88"/>
      <c r="AH156" s="88"/>
      <c r="AI156" s="88"/>
      <c r="AJ156" s="88"/>
    </row>
    <row r="157" spans="1:36" ht="15">
      <c r="A157" s="88" t="s">
        <v>327</v>
      </c>
      <c r="B157" s="88" t="s">
        <v>542</v>
      </c>
      <c r="C157" s="88" t="s">
        <v>7</v>
      </c>
      <c r="D157" s="88" t="s">
        <v>1689</v>
      </c>
      <c r="E157" s="88" t="s">
        <v>1690</v>
      </c>
      <c r="F157" s="88"/>
      <c r="G157" s="88"/>
      <c r="H157" s="88"/>
      <c r="I157" s="88"/>
      <c r="J157" s="88"/>
      <c r="K157" s="88"/>
      <c r="L157" s="88"/>
      <c r="M157" s="88"/>
      <c r="N157" s="88"/>
      <c r="O157" s="88"/>
      <c r="P157" s="88"/>
      <c r="Q157" s="88"/>
      <c r="R157" s="88"/>
      <c r="S157" s="88"/>
      <c r="T157" s="88"/>
      <c r="U157" s="88"/>
      <c r="V157" s="88"/>
      <c r="W157" s="88"/>
      <c r="X157" s="88"/>
      <c r="Y157" s="88"/>
      <c r="Z157" s="88"/>
      <c r="AA157" s="88"/>
      <c r="AB157" s="88"/>
      <c r="AC157" s="88"/>
      <c r="AD157" s="88"/>
      <c r="AE157" s="88"/>
      <c r="AF157" s="88"/>
      <c r="AG157" s="88"/>
      <c r="AH157" s="88"/>
      <c r="AI157" s="88"/>
      <c r="AJ157" s="88"/>
    </row>
    <row r="158" spans="1:36" ht="15">
      <c r="A158" s="88" t="s">
        <v>327</v>
      </c>
      <c r="B158" s="88" t="s">
        <v>402</v>
      </c>
      <c r="C158" s="88" t="s">
        <v>7</v>
      </c>
      <c r="D158" s="88" t="s">
        <v>1691</v>
      </c>
      <c r="E158" s="88" t="s">
        <v>1692</v>
      </c>
      <c r="F158" s="88"/>
      <c r="G158" s="88"/>
      <c r="H158" s="88"/>
      <c r="I158" s="88"/>
      <c r="J158" s="88"/>
      <c r="K158" s="88"/>
      <c r="L158" s="88"/>
      <c r="M158" s="88"/>
      <c r="N158" s="88"/>
      <c r="O158" s="88"/>
      <c r="P158" s="88"/>
      <c r="Q158" s="88"/>
      <c r="R158" s="88"/>
      <c r="S158" s="88"/>
      <c r="T158" s="88"/>
      <c r="U158" s="88"/>
      <c r="V158" s="88"/>
      <c r="W158" s="88"/>
      <c r="X158" s="88"/>
      <c r="Y158" s="88"/>
      <c r="Z158" s="88"/>
      <c r="AA158" s="88"/>
      <c r="AB158" s="88"/>
      <c r="AC158" s="88"/>
      <c r="AD158" s="88"/>
      <c r="AE158" s="88"/>
      <c r="AF158" s="88"/>
      <c r="AG158" s="88"/>
      <c r="AH158" s="88"/>
      <c r="AI158" s="88"/>
      <c r="AJ158" s="88"/>
    </row>
    <row r="159" spans="1:36" ht="15">
      <c r="A159" s="88" t="s">
        <v>327</v>
      </c>
      <c r="B159" s="88" t="s">
        <v>598</v>
      </c>
      <c r="C159" s="88" t="s">
        <v>7</v>
      </c>
      <c r="D159" s="88" t="s">
        <v>1693</v>
      </c>
      <c r="E159" s="88" t="s">
        <v>1694</v>
      </c>
      <c r="F159" s="88"/>
      <c r="G159" s="88"/>
      <c r="H159" s="88"/>
      <c r="I159" s="88"/>
      <c r="J159" s="88"/>
      <c r="K159" s="88"/>
      <c r="L159" s="88"/>
      <c r="M159" s="88"/>
      <c r="N159" s="88"/>
      <c r="O159" s="88"/>
      <c r="P159" s="88"/>
      <c r="Q159" s="88"/>
      <c r="R159" s="88"/>
      <c r="S159" s="88"/>
      <c r="T159" s="88"/>
      <c r="U159" s="88"/>
      <c r="V159" s="88"/>
      <c r="W159" s="88"/>
      <c r="X159" s="88"/>
      <c r="Y159" s="88"/>
      <c r="Z159" s="88"/>
      <c r="AA159" s="88"/>
      <c r="AB159" s="88"/>
      <c r="AC159" s="88"/>
      <c r="AD159" s="88"/>
      <c r="AE159" s="88"/>
      <c r="AF159" s="88"/>
      <c r="AG159" s="88"/>
      <c r="AH159" s="88"/>
      <c r="AI159" s="88"/>
      <c r="AJ159" s="88"/>
    </row>
    <row r="160" spans="1:36" ht="15">
      <c r="A160" s="88" t="s">
        <v>327</v>
      </c>
      <c r="B160" s="88" t="s">
        <v>623</v>
      </c>
      <c r="C160" s="88" t="s">
        <v>7</v>
      </c>
      <c r="D160" s="88" t="s">
        <v>1695</v>
      </c>
      <c r="E160" s="88" t="s">
        <v>1696</v>
      </c>
      <c r="F160" s="88"/>
      <c r="G160" s="88"/>
      <c r="H160" s="88"/>
      <c r="I160" s="88"/>
      <c r="J160" s="88"/>
      <c r="K160" s="88"/>
      <c r="L160" s="88"/>
      <c r="M160" s="88"/>
      <c r="N160" s="88"/>
      <c r="O160" s="88"/>
      <c r="P160" s="88"/>
      <c r="Q160" s="88"/>
      <c r="R160" s="88"/>
      <c r="S160" s="88"/>
      <c r="T160" s="88"/>
      <c r="U160" s="88"/>
      <c r="V160" s="88"/>
      <c r="W160" s="88"/>
      <c r="X160" s="88"/>
      <c r="Y160" s="88"/>
      <c r="Z160" s="88"/>
      <c r="AA160" s="88"/>
      <c r="AB160" s="88"/>
      <c r="AC160" s="88"/>
      <c r="AD160" s="88"/>
      <c r="AE160" s="88"/>
      <c r="AF160" s="88"/>
      <c r="AG160" s="88"/>
      <c r="AH160" s="88"/>
      <c r="AI160" s="88"/>
      <c r="AJ160" s="88"/>
    </row>
    <row r="161" spans="1:36" ht="15">
      <c r="A161" s="88" t="s">
        <v>327</v>
      </c>
      <c r="B161" s="88" t="s">
        <v>335</v>
      </c>
      <c r="C161" s="88" t="s">
        <v>7</v>
      </c>
      <c r="D161" s="88" t="s">
        <v>1697</v>
      </c>
      <c r="E161" s="88" t="s">
        <v>1698</v>
      </c>
      <c r="F161" s="88"/>
      <c r="G161" s="88"/>
      <c r="H161" s="88"/>
      <c r="I161" s="88"/>
      <c r="J161" s="88"/>
      <c r="K161" s="88"/>
      <c r="L161" s="88"/>
      <c r="M161" s="88"/>
      <c r="N161" s="88"/>
      <c r="O161" s="88"/>
      <c r="P161" s="88"/>
      <c r="Q161" s="88"/>
      <c r="R161" s="88"/>
      <c r="S161" s="88"/>
      <c r="T161" s="88"/>
      <c r="U161" s="88"/>
      <c r="V161" s="88"/>
      <c r="W161" s="88"/>
      <c r="X161" s="88"/>
      <c r="Y161" s="88"/>
      <c r="Z161" s="88"/>
      <c r="AA161" s="88"/>
      <c r="AB161" s="88"/>
      <c r="AC161" s="88"/>
      <c r="AD161" s="88"/>
      <c r="AE161" s="88"/>
      <c r="AF161" s="88"/>
      <c r="AG161" s="88"/>
      <c r="AH161" s="88"/>
      <c r="AI161" s="88"/>
      <c r="AJ161" s="88"/>
    </row>
    <row r="162" spans="1:36" ht="15">
      <c r="A162" s="88" t="s">
        <v>327</v>
      </c>
      <c r="B162" s="88" t="s">
        <v>675</v>
      </c>
      <c r="C162" s="88" t="s">
        <v>7</v>
      </c>
      <c r="D162" s="88" t="s">
        <v>1699</v>
      </c>
      <c r="E162" s="88" t="s">
        <v>1700</v>
      </c>
      <c r="F162" s="88"/>
      <c r="G162" s="88"/>
      <c r="H162" s="88"/>
      <c r="I162" s="88"/>
      <c r="J162" s="88"/>
      <c r="K162" s="88"/>
      <c r="L162" s="88"/>
      <c r="M162" s="88"/>
      <c r="N162" s="88"/>
      <c r="O162" s="88"/>
      <c r="P162" s="88"/>
      <c r="Q162" s="88"/>
      <c r="R162" s="88"/>
      <c r="S162" s="88"/>
      <c r="T162" s="88"/>
      <c r="U162" s="88"/>
      <c r="V162" s="88"/>
      <c r="W162" s="88"/>
      <c r="X162" s="88"/>
      <c r="Y162" s="88"/>
      <c r="Z162" s="88"/>
      <c r="AA162" s="88"/>
      <c r="AB162" s="88"/>
      <c r="AC162" s="88"/>
      <c r="AD162" s="88"/>
      <c r="AE162" s="88"/>
      <c r="AF162" s="88"/>
      <c r="AG162" s="88"/>
      <c r="AH162" s="88"/>
      <c r="AI162" s="88"/>
      <c r="AJ162" s="88"/>
    </row>
    <row r="163" spans="1:36" ht="15">
      <c r="A163" s="88" t="s">
        <v>327</v>
      </c>
      <c r="B163" s="88" t="s">
        <v>699</v>
      </c>
      <c r="C163" s="88" t="s">
        <v>7</v>
      </c>
      <c r="D163" s="88" t="s">
        <v>1701</v>
      </c>
      <c r="E163" s="88" t="s">
        <v>1702</v>
      </c>
      <c r="F163" s="88"/>
      <c r="G163" s="88"/>
      <c r="H163" s="88"/>
      <c r="I163" s="88"/>
      <c r="J163" s="88"/>
      <c r="K163" s="88"/>
      <c r="L163" s="88"/>
      <c r="M163" s="88"/>
      <c r="N163" s="88"/>
      <c r="O163" s="88"/>
      <c r="P163" s="88"/>
      <c r="Q163" s="88"/>
      <c r="R163" s="88"/>
      <c r="S163" s="88"/>
      <c r="T163" s="88"/>
      <c r="U163" s="88"/>
      <c r="V163" s="88"/>
      <c r="W163" s="88"/>
      <c r="X163" s="88"/>
      <c r="Y163" s="88"/>
      <c r="Z163" s="88"/>
      <c r="AA163" s="88"/>
      <c r="AB163" s="88"/>
      <c r="AC163" s="88"/>
      <c r="AD163" s="88"/>
      <c r="AE163" s="88"/>
      <c r="AF163" s="88"/>
      <c r="AG163" s="88"/>
      <c r="AH163" s="88"/>
      <c r="AI163" s="88"/>
      <c r="AJ163" s="88"/>
    </row>
    <row r="164" spans="1:36" ht="15">
      <c r="A164" s="88" t="s">
        <v>327</v>
      </c>
      <c r="B164" s="88" t="s">
        <v>721</v>
      </c>
      <c r="C164" s="88" t="s">
        <v>7</v>
      </c>
      <c r="D164" s="88" t="s">
        <v>1703</v>
      </c>
      <c r="E164" s="88" t="s">
        <v>1704</v>
      </c>
      <c r="F164" s="88"/>
      <c r="G164" s="88"/>
      <c r="H164" s="88"/>
      <c r="I164" s="88"/>
      <c r="J164" s="88"/>
      <c r="K164" s="88"/>
      <c r="L164" s="88"/>
      <c r="M164" s="88"/>
      <c r="N164" s="88"/>
      <c r="O164" s="88"/>
      <c r="P164" s="88"/>
      <c r="Q164" s="88"/>
      <c r="R164" s="88"/>
      <c r="S164" s="88"/>
      <c r="T164" s="88"/>
      <c r="U164" s="88"/>
      <c r="V164" s="88"/>
      <c r="W164" s="88"/>
      <c r="X164" s="88"/>
      <c r="Y164" s="88"/>
      <c r="Z164" s="88"/>
      <c r="AA164" s="88"/>
      <c r="AB164" s="88"/>
      <c r="AC164" s="88"/>
      <c r="AD164" s="88"/>
      <c r="AE164" s="88"/>
      <c r="AF164" s="88"/>
      <c r="AG164" s="88"/>
      <c r="AH164" s="88"/>
      <c r="AI164" s="88"/>
      <c r="AJ164" s="88"/>
    </row>
    <row r="165" spans="1:36" ht="15">
      <c r="A165" s="88" t="s">
        <v>327</v>
      </c>
      <c r="B165" s="88" t="s">
        <v>745</v>
      </c>
      <c r="C165" s="88" t="s">
        <v>7</v>
      </c>
      <c r="D165" s="88" t="s">
        <v>1705</v>
      </c>
      <c r="E165" s="88" t="s">
        <v>1706</v>
      </c>
      <c r="F165" s="88"/>
      <c r="G165" s="88"/>
      <c r="H165" s="88"/>
      <c r="I165" s="88"/>
      <c r="J165" s="88"/>
      <c r="K165" s="88"/>
      <c r="L165" s="88"/>
      <c r="M165" s="88"/>
      <c r="N165" s="88"/>
      <c r="O165" s="88"/>
      <c r="P165" s="88"/>
      <c r="Q165" s="88"/>
      <c r="R165" s="88"/>
      <c r="S165" s="88"/>
      <c r="T165" s="88"/>
      <c r="U165" s="88"/>
      <c r="V165" s="88"/>
      <c r="W165" s="88"/>
      <c r="X165" s="88"/>
      <c r="Y165" s="88"/>
      <c r="Z165" s="88"/>
      <c r="AA165" s="88"/>
      <c r="AB165" s="88"/>
      <c r="AC165" s="88"/>
      <c r="AD165" s="88"/>
      <c r="AE165" s="88"/>
      <c r="AF165" s="88"/>
      <c r="AG165" s="88"/>
      <c r="AH165" s="88"/>
      <c r="AI165" s="88"/>
      <c r="AJ165" s="88"/>
    </row>
    <row r="166" spans="1:36" ht="15">
      <c r="A166" s="88" t="s">
        <v>327</v>
      </c>
      <c r="B166" s="88" t="s">
        <v>768</v>
      </c>
      <c r="C166" s="88" t="s">
        <v>7</v>
      </c>
      <c r="D166" s="88" t="s">
        <v>1707</v>
      </c>
      <c r="E166" s="88" t="s">
        <v>1708</v>
      </c>
      <c r="F166" s="88"/>
      <c r="G166" s="88"/>
      <c r="H166" s="88"/>
      <c r="I166" s="88"/>
      <c r="J166" s="88"/>
      <c r="K166" s="88"/>
      <c r="L166" s="88"/>
      <c r="M166" s="88"/>
      <c r="N166" s="88"/>
      <c r="O166" s="88"/>
      <c r="P166" s="88"/>
      <c r="Q166" s="88"/>
      <c r="R166" s="88"/>
      <c r="S166" s="88"/>
      <c r="T166" s="88"/>
      <c r="U166" s="88"/>
      <c r="V166" s="88"/>
      <c r="W166" s="88"/>
      <c r="X166" s="88"/>
      <c r="Y166" s="88"/>
      <c r="Z166" s="88"/>
      <c r="AA166" s="88"/>
      <c r="AB166" s="88"/>
      <c r="AC166" s="88"/>
      <c r="AD166" s="88"/>
      <c r="AE166" s="88"/>
      <c r="AF166" s="88"/>
      <c r="AG166" s="88"/>
      <c r="AH166" s="88"/>
      <c r="AI166" s="88"/>
      <c r="AJ166" s="88"/>
    </row>
    <row r="167" spans="1:36" ht="15">
      <c r="A167" s="88" t="s">
        <v>327</v>
      </c>
      <c r="B167" s="88" t="s">
        <v>790</v>
      </c>
      <c r="C167" s="88" t="s">
        <v>7</v>
      </c>
      <c r="D167" s="88" t="s">
        <v>1709</v>
      </c>
      <c r="E167" s="88" t="s">
        <v>1710</v>
      </c>
      <c r="F167" s="88"/>
      <c r="G167" s="88"/>
      <c r="H167" s="88"/>
      <c r="I167" s="88"/>
      <c r="J167" s="88"/>
      <c r="K167" s="88"/>
      <c r="L167" s="88"/>
      <c r="M167" s="88"/>
      <c r="N167" s="88"/>
      <c r="O167" s="88"/>
      <c r="P167" s="88"/>
      <c r="Q167" s="88"/>
      <c r="R167" s="88"/>
      <c r="S167" s="88"/>
      <c r="T167" s="88"/>
      <c r="U167" s="88"/>
      <c r="V167" s="88"/>
      <c r="W167" s="88"/>
      <c r="X167" s="88"/>
      <c r="Y167" s="88"/>
      <c r="Z167" s="88"/>
      <c r="AA167" s="88"/>
      <c r="AB167" s="88"/>
      <c r="AC167" s="88"/>
      <c r="AD167" s="88"/>
      <c r="AE167" s="88"/>
      <c r="AF167" s="88"/>
      <c r="AG167" s="88"/>
      <c r="AH167" s="88"/>
      <c r="AI167" s="88"/>
      <c r="AJ167" s="88"/>
    </row>
    <row r="168" spans="1:36" ht="15">
      <c r="A168" s="88" t="s">
        <v>327</v>
      </c>
      <c r="B168" s="88" t="s">
        <v>812</v>
      </c>
      <c r="C168" s="88" t="s">
        <v>7</v>
      </c>
      <c r="D168" s="88" t="s">
        <v>1711</v>
      </c>
      <c r="E168" s="88" t="s">
        <v>1712</v>
      </c>
      <c r="F168" s="88"/>
      <c r="G168" s="88"/>
      <c r="H168" s="88"/>
      <c r="I168" s="88"/>
      <c r="J168" s="88"/>
      <c r="K168" s="88"/>
      <c r="L168" s="88"/>
      <c r="M168" s="88"/>
      <c r="N168" s="88"/>
      <c r="O168" s="88"/>
      <c r="P168" s="88"/>
      <c r="Q168" s="88"/>
      <c r="R168" s="88"/>
      <c r="S168" s="88"/>
      <c r="T168" s="88"/>
      <c r="U168" s="88"/>
      <c r="V168" s="88"/>
      <c r="W168" s="88"/>
      <c r="X168" s="88"/>
      <c r="Y168" s="88"/>
      <c r="Z168" s="88"/>
      <c r="AA168" s="88"/>
      <c r="AB168" s="88"/>
      <c r="AC168" s="88"/>
      <c r="AD168" s="88"/>
      <c r="AE168" s="88"/>
      <c r="AF168" s="88"/>
      <c r="AG168" s="88"/>
      <c r="AH168" s="88"/>
      <c r="AI168" s="88"/>
      <c r="AJ168" s="88"/>
    </row>
    <row r="169" spans="1:36" ht="15">
      <c r="A169" s="88" t="s">
        <v>327</v>
      </c>
      <c r="B169" s="88" t="s">
        <v>834</v>
      </c>
      <c r="C169" s="88" t="s">
        <v>7</v>
      </c>
      <c r="D169" s="88" t="s">
        <v>1713</v>
      </c>
      <c r="E169" s="88" t="s">
        <v>1714</v>
      </c>
      <c r="F169" s="88"/>
      <c r="G169" s="88"/>
      <c r="H169" s="88"/>
      <c r="I169" s="88"/>
      <c r="J169" s="88"/>
      <c r="K169" s="88"/>
      <c r="L169" s="88"/>
      <c r="M169" s="88"/>
      <c r="N169" s="88"/>
      <c r="O169" s="88"/>
      <c r="P169" s="88"/>
      <c r="Q169" s="88"/>
      <c r="R169" s="88"/>
      <c r="S169" s="88"/>
      <c r="T169" s="88"/>
      <c r="U169" s="88"/>
      <c r="V169" s="88"/>
      <c r="W169" s="88"/>
      <c r="X169" s="88"/>
      <c r="Y169" s="88"/>
      <c r="Z169" s="88"/>
      <c r="AA169" s="88"/>
      <c r="AB169" s="88"/>
      <c r="AC169" s="88"/>
      <c r="AD169" s="88"/>
      <c r="AE169" s="88"/>
      <c r="AF169" s="88"/>
      <c r="AG169" s="88"/>
      <c r="AH169" s="88"/>
      <c r="AI169" s="88"/>
      <c r="AJ169" s="88"/>
    </row>
    <row r="170" spans="1:36" ht="15">
      <c r="A170" s="88" t="s">
        <v>327</v>
      </c>
      <c r="B170" s="88" t="s">
        <v>854</v>
      </c>
      <c r="C170" s="88" t="s">
        <v>7</v>
      </c>
      <c r="D170" s="88" t="s">
        <v>1715</v>
      </c>
      <c r="E170" s="88" t="s">
        <v>1716</v>
      </c>
      <c r="F170" s="88"/>
      <c r="G170" s="88"/>
      <c r="H170" s="88"/>
      <c r="I170" s="88"/>
      <c r="J170" s="88"/>
      <c r="K170" s="88"/>
      <c r="L170" s="88"/>
      <c r="M170" s="88"/>
      <c r="N170" s="88"/>
      <c r="O170" s="88"/>
      <c r="P170" s="88"/>
      <c r="Q170" s="88"/>
      <c r="R170" s="88"/>
      <c r="S170" s="88"/>
      <c r="T170" s="88"/>
      <c r="U170" s="88"/>
      <c r="V170" s="88"/>
      <c r="W170" s="88"/>
      <c r="X170" s="88"/>
      <c r="Y170" s="88"/>
      <c r="Z170" s="88"/>
      <c r="AA170" s="88"/>
      <c r="AB170" s="88"/>
      <c r="AC170" s="88"/>
      <c r="AD170" s="88"/>
      <c r="AE170" s="88"/>
      <c r="AF170" s="88"/>
      <c r="AG170" s="88"/>
      <c r="AH170" s="88"/>
      <c r="AI170" s="88"/>
      <c r="AJ170" s="88"/>
    </row>
    <row r="171" spans="1:36" ht="15">
      <c r="A171" s="88" t="s">
        <v>327</v>
      </c>
      <c r="B171" s="88" t="s">
        <v>874</v>
      </c>
      <c r="C171" s="88" t="s">
        <v>7</v>
      </c>
      <c r="D171" s="88" t="s">
        <v>1717</v>
      </c>
      <c r="E171" s="88" t="s">
        <v>1718</v>
      </c>
      <c r="F171" s="88"/>
      <c r="G171" s="88"/>
      <c r="H171" s="88"/>
      <c r="I171" s="88"/>
      <c r="J171" s="88"/>
      <c r="K171" s="88"/>
      <c r="L171" s="88"/>
      <c r="M171" s="88"/>
      <c r="N171" s="88"/>
      <c r="O171" s="88"/>
      <c r="P171" s="88"/>
      <c r="Q171" s="88"/>
      <c r="R171" s="88"/>
      <c r="S171" s="88"/>
      <c r="T171" s="88"/>
      <c r="U171" s="88"/>
      <c r="V171" s="88"/>
      <c r="W171" s="88"/>
      <c r="X171" s="88"/>
      <c r="Y171" s="88"/>
      <c r="Z171" s="88"/>
      <c r="AA171" s="88"/>
      <c r="AB171" s="88"/>
      <c r="AC171" s="88"/>
      <c r="AD171" s="88"/>
      <c r="AE171" s="88"/>
      <c r="AF171" s="88"/>
      <c r="AG171" s="88"/>
      <c r="AH171" s="88"/>
      <c r="AI171" s="88"/>
      <c r="AJ171" s="88"/>
    </row>
    <row r="172" spans="1:36" ht="15">
      <c r="A172" s="88" t="s">
        <v>327</v>
      </c>
      <c r="B172" s="88" t="s">
        <v>893</v>
      </c>
      <c r="C172" s="88" t="s">
        <v>7</v>
      </c>
      <c r="D172" s="88" t="s">
        <v>1719</v>
      </c>
      <c r="E172" s="88" t="s">
        <v>1720</v>
      </c>
      <c r="F172" s="88"/>
      <c r="G172" s="88"/>
      <c r="H172" s="88"/>
      <c r="I172" s="88"/>
      <c r="J172" s="88"/>
      <c r="K172" s="88"/>
      <c r="L172" s="88"/>
      <c r="M172" s="88"/>
      <c r="N172" s="88"/>
      <c r="O172" s="88"/>
      <c r="P172" s="88"/>
      <c r="Q172" s="88"/>
      <c r="R172" s="88"/>
      <c r="S172" s="88"/>
      <c r="T172" s="88"/>
      <c r="U172" s="88"/>
      <c r="V172" s="88"/>
      <c r="W172" s="88"/>
      <c r="X172" s="88"/>
      <c r="Y172" s="88"/>
      <c r="Z172" s="88"/>
      <c r="AA172" s="88"/>
      <c r="AB172" s="88"/>
      <c r="AC172" s="88"/>
      <c r="AD172" s="88"/>
      <c r="AE172" s="88"/>
      <c r="AF172" s="88"/>
      <c r="AG172" s="88"/>
      <c r="AH172" s="88"/>
      <c r="AI172" s="88"/>
      <c r="AJ172" s="88"/>
    </row>
    <row r="173" spans="1:36" ht="15">
      <c r="A173" s="88" t="s">
        <v>327</v>
      </c>
      <c r="B173" s="88" t="s">
        <v>896</v>
      </c>
      <c r="C173" s="88" t="s">
        <v>7</v>
      </c>
      <c r="D173" s="88" t="s">
        <v>1721</v>
      </c>
      <c r="E173" s="88" t="s">
        <v>1722</v>
      </c>
      <c r="F173" s="88"/>
      <c r="G173" s="88"/>
      <c r="H173" s="88"/>
      <c r="I173" s="88"/>
      <c r="J173" s="88"/>
      <c r="K173" s="88"/>
      <c r="L173" s="88"/>
      <c r="M173" s="88"/>
      <c r="N173" s="88"/>
      <c r="O173" s="88"/>
      <c r="P173" s="88"/>
      <c r="Q173" s="88"/>
      <c r="R173" s="88"/>
      <c r="S173" s="88"/>
      <c r="T173" s="88"/>
      <c r="U173" s="88"/>
      <c r="V173" s="88"/>
      <c r="W173" s="88"/>
      <c r="X173" s="88"/>
      <c r="Y173" s="88"/>
      <c r="Z173" s="88"/>
      <c r="AA173" s="88"/>
      <c r="AB173" s="88"/>
      <c r="AC173" s="88"/>
      <c r="AD173" s="88"/>
      <c r="AE173" s="88"/>
      <c r="AF173" s="88"/>
      <c r="AG173" s="88"/>
      <c r="AH173" s="88"/>
      <c r="AI173" s="88"/>
      <c r="AJ173" s="88"/>
    </row>
    <row r="174" spans="1:36" ht="15">
      <c r="A174" s="88" t="s">
        <v>327</v>
      </c>
      <c r="B174" s="88" t="s">
        <v>930</v>
      </c>
      <c r="C174" s="88" t="s">
        <v>7</v>
      </c>
      <c r="D174" s="88" t="s">
        <v>1723</v>
      </c>
      <c r="E174" s="88" t="s">
        <v>1724</v>
      </c>
      <c r="F174" s="88"/>
      <c r="G174" s="88"/>
      <c r="H174" s="88"/>
      <c r="I174" s="88"/>
      <c r="J174" s="88"/>
      <c r="K174" s="88"/>
      <c r="L174" s="88"/>
      <c r="M174" s="88"/>
      <c r="N174" s="88"/>
      <c r="O174" s="88"/>
      <c r="P174" s="88"/>
      <c r="Q174" s="88"/>
      <c r="R174" s="88"/>
      <c r="S174" s="88"/>
      <c r="T174" s="88"/>
      <c r="U174" s="88"/>
      <c r="V174" s="88"/>
      <c r="W174" s="88"/>
      <c r="X174" s="88"/>
      <c r="Y174" s="88"/>
      <c r="Z174" s="88"/>
      <c r="AA174" s="88"/>
      <c r="AB174" s="88"/>
      <c r="AC174" s="88"/>
      <c r="AD174" s="88"/>
      <c r="AE174" s="88"/>
      <c r="AF174" s="88"/>
      <c r="AG174" s="88"/>
      <c r="AH174" s="88"/>
      <c r="AI174" s="88"/>
      <c r="AJ174" s="88"/>
    </row>
    <row r="175" spans="1:36" ht="15">
      <c r="A175" s="88" t="s">
        <v>327</v>
      </c>
      <c r="B175" s="88" t="s">
        <v>947</v>
      </c>
      <c r="C175" s="88" t="s">
        <v>7</v>
      </c>
      <c r="D175" s="88" t="s">
        <v>1725</v>
      </c>
      <c r="E175" s="88" t="s">
        <v>1726</v>
      </c>
      <c r="F175" s="88"/>
      <c r="G175" s="88"/>
      <c r="H175" s="88"/>
      <c r="I175" s="88"/>
      <c r="J175" s="88"/>
      <c r="K175" s="88"/>
      <c r="L175" s="88"/>
      <c r="M175" s="88"/>
      <c r="N175" s="88"/>
      <c r="O175" s="88"/>
      <c r="P175" s="88"/>
      <c r="Q175" s="88"/>
      <c r="R175" s="88"/>
      <c r="S175" s="88"/>
      <c r="T175" s="88"/>
      <c r="U175" s="88"/>
      <c r="V175" s="88"/>
      <c r="W175" s="88"/>
      <c r="X175" s="88"/>
      <c r="Y175" s="88"/>
      <c r="Z175" s="88"/>
      <c r="AA175" s="88"/>
      <c r="AB175" s="88"/>
      <c r="AC175" s="88"/>
      <c r="AD175" s="88"/>
      <c r="AE175" s="88"/>
      <c r="AF175" s="88"/>
      <c r="AG175" s="88"/>
      <c r="AH175" s="88"/>
      <c r="AI175" s="88"/>
      <c r="AJ175" s="88"/>
    </row>
    <row r="176" spans="1:36" ht="15">
      <c r="A176" s="88" t="s">
        <v>327</v>
      </c>
      <c r="B176" s="88" t="s">
        <v>965</v>
      </c>
      <c r="C176" s="88" t="s">
        <v>7</v>
      </c>
      <c r="D176" s="88" t="s">
        <v>1727</v>
      </c>
      <c r="E176" s="88" t="s">
        <v>1728</v>
      </c>
      <c r="F176" s="88"/>
      <c r="G176" s="88"/>
      <c r="H176" s="88"/>
      <c r="I176" s="88"/>
      <c r="J176" s="88"/>
      <c r="K176" s="88"/>
      <c r="L176" s="88"/>
      <c r="M176" s="88"/>
      <c r="N176" s="88"/>
      <c r="O176" s="88"/>
      <c r="P176" s="88"/>
      <c r="Q176" s="88"/>
      <c r="R176" s="88"/>
      <c r="S176" s="88"/>
      <c r="T176" s="88"/>
      <c r="U176" s="88"/>
      <c r="V176" s="88"/>
      <c r="W176" s="88"/>
      <c r="X176" s="88"/>
      <c r="Y176" s="88"/>
      <c r="Z176" s="88"/>
      <c r="AA176" s="88"/>
      <c r="AB176" s="88"/>
      <c r="AC176" s="88"/>
      <c r="AD176" s="88"/>
      <c r="AE176" s="88"/>
      <c r="AF176" s="88"/>
      <c r="AG176" s="88"/>
      <c r="AH176" s="88"/>
      <c r="AI176" s="88"/>
      <c r="AJ176" s="88"/>
    </row>
    <row r="177" spans="1:36" ht="15">
      <c r="A177" s="88" t="s">
        <v>327</v>
      </c>
      <c r="B177" s="88" t="s">
        <v>983</v>
      </c>
      <c r="C177" s="88" t="s">
        <v>7</v>
      </c>
      <c r="D177" s="88" t="s">
        <v>1729</v>
      </c>
      <c r="E177" s="88" t="s">
        <v>1730</v>
      </c>
      <c r="F177" s="88"/>
      <c r="G177" s="88"/>
      <c r="H177" s="88"/>
      <c r="I177" s="88"/>
      <c r="J177" s="88"/>
      <c r="K177" s="88"/>
      <c r="L177" s="88"/>
      <c r="M177" s="88"/>
      <c r="N177" s="88"/>
      <c r="O177" s="88"/>
      <c r="P177" s="88"/>
      <c r="Q177" s="88"/>
      <c r="R177" s="88"/>
      <c r="S177" s="88"/>
      <c r="T177" s="88"/>
      <c r="U177" s="88"/>
      <c r="V177" s="88"/>
      <c r="W177" s="88"/>
      <c r="X177" s="88"/>
      <c r="Y177" s="88"/>
      <c r="Z177" s="88"/>
      <c r="AA177" s="88"/>
      <c r="AB177" s="88"/>
      <c r="AC177" s="88"/>
      <c r="AD177" s="88"/>
      <c r="AE177" s="88"/>
      <c r="AF177" s="88"/>
      <c r="AG177" s="88"/>
      <c r="AH177" s="88"/>
      <c r="AI177" s="88"/>
      <c r="AJ177" s="88"/>
    </row>
    <row r="178" spans="1:36" ht="15">
      <c r="A178" s="88" t="s">
        <v>327</v>
      </c>
      <c r="B178" s="88" t="s">
        <v>1001</v>
      </c>
      <c r="C178" s="88" t="s">
        <v>7</v>
      </c>
      <c r="D178" s="88" t="s">
        <v>1731</v>
      </c>
      <c r="E178" s="88" t="s">
        <v>1732</v>
      </c>
      <c r="F178" s="88"/>
      <c r="G178" s="88"/>
      <c r="H178" s="88"/>
      <c r="I178" s="88"/>
      <c r="J178" s="88"/>
      <c r="K178" s="88"/>
      <c r="L178" s="88"/>
      <c r="M178" s="88"/>
      <c r="N178" s="88"/>
      <c r="O178" s="88"/>
      <c r="P178" s="88"/>
      <c r="Q178" s="88"/>
      <c r="R178" s="88"/>
      <c r="S178" s="88"/>
      <c r="T178" s="88"/>
      <c r="U178" s="88"/>
      <c r="V178" s="88"/>
      <c r="W178" s="88"/>
      <c r="X178" s="88"/>
      <c r="Y178" s="88"/>
      <c r="Z178" s="88"/>
      <c r="AA178" s="88"/>
      <c r="AB178" s="88"/>
      <c r="AC178" s="88"/>
      <c r="AD178" s="88"/>
      <c r="AE178" s="88"/>
      <c r="AF178" s="88"/>
      <c r="AG178" s="88"/>
      <c r="AH178" s="88"/>
      <c r="AI178" s="88"/>
      <c r="AJ178" s="88"/>
    </row>
    <row r="179" spans="1:36" ht="15">
      <c r="A179" s="88" t="s">
        <v>327</v>
      </c>
      <c r="B179" s="88" t="s">
        <v>1015</v>
      </c>
      <c r="C179" s="88" t="s">
        <v>7</v>
      </c>
      <c r="D179" s="88" t="s">
        <v>1733</v>
      </c>
      <c r="E179" s="88" t="s">
        <v>1734</v>
      </c>
      <c r="F179" s="88"/>
      <c r="G179" s="88"/>
      <c r="H179" s="88"/>
      <c r="I179" s="88"/>
      <c r="J179" s="88"/>
      <c r="K179" s="88"/>
      <c r="L179" s="88"/>
      <c r="M179" s="88"/>
      <c r="N179" s="88"/>
      <c r="O179" s="88"/>
      <c r="P179" s="88"/>
      <c r="Q179" s="88"/>
      <c r="R179" s="88"/>
      <c r="S179" s="88"/>
      <c r="T179" s="88"/>
      <c r="U179" s="88"/>
      <c r="V179" s="88"/>
      <c r="W179" s="88"/>
      <c r="X179" s="88"/>
      <c r="Y179" s="88"/>
      <c r="Z179" s="88"/>
      <c r="AA179" s="88"/>
      <c r="AB179" s="88"/>
      <c r="AC179" s="88"/>
      <c r="AD179" s="88"/>
      <c r="AE179" s="88"/>
      <c r="AF179" s="88"/>
      <c r="AG179" s="88"/>
      <c r="AH179" s="88"/>
      <c r="AI179" s="88"/>
      <c r="AJ179" s="88"/>
    </row>
    <row r="180" spans="1:36" ht="15">
      <c r="A180" s="88" t="s">
        <v>327</v>
      </c>
      <c r="B180" s="88" t="s">
        <v>1031</v>
      </c>
      <c r="C180" s="88" t="s">
        <v>7</v>
      </c>
      <c r="D180" s="88" t="s">
        <v>1735</v>
      </c>
      <c r="E180" s="88" t="s">
        <v>1736</v>
      </c>
      <c r="F180" s="88"/>
      <c r="G180" s="88"/>
      <c r="H180" s="88"/>
      <c r="I180" s="88"/>
      <c r="J180" s="88"/>
      <c r="K180" s="88"/>
      <c r="L180" s="88"/>
      <c r="M180" s="88"/>
      <c r="N180" s="88"/>
      <c r="O180" s="88"/>
      <c r="P180" s="88"/>
      <c r="Q180" s="88"/>
      <c r="R180" s="88"/>
      <c r="S180" s="88"/>
      <c r="T180" s="88"/>
      <c r="U180" s="88"/>
      <c r="V180" s="88"/>
      <c r="W180" s="88"/>
      <c r="X180" s="88"/>
      <c r="Y180" s="88"/>
      <c r="Z180" s="88"/>
      <c r="AA180" s="88"/>
      <c r="AB180" s="88"/>
      <c r="AC180" s="88"/>
      <c r="AD180" s="88"/>
      <c r="AE180" s="88"/>
      <c r="AF180" s="88"/>
      <c r="AG180" s="88"/>
      <c r="AH180" s="88"/>
      <c r="AI180" s="88"/>
      <c r="AJ180" s="88"/>
    </row>
    <row r="181" spans="1:36" ht="15">
      <c r="A181" s="88" t="s">
        <v>327</v>
      </c>
      <c r="B181" s="88" t="s">
        <v>1047</v>
      </c>
      <c r="C181" s="88" t="s">
        <v>7</v>
      </c>
      <c r="D181" s="88" t="s">
        <v>1737</v>
      </c>
      <c r="E181" s="88" t="s">
        <v>1738</v>
      </c>
      <c r="F181" s="88"/>
      <c r="G181" s="88"/>
      <c r="H181" s="88"/>
      <c r="I181" s="88"/>
      <c r="J181" s="88"/>
      <c r="K181" s="88"/>
      <c r="L181" s="88"/>
      <c r="M181" s="88"/>
      <c r="N181" s="88"/>
      <c r="O181" s="88"/>
      <c r="P181" s="88"/>
      <c r="Q181" s="88"/>
      <c r="R181" s="88"/>
      <c r="S181" s="88"/>
      <c r="T181" s="88"/>
      <c r="U181" s="88"/>
      <c r="V181" s="88"/>
      <c r="W181" s="88"/>
      <c r="X181" s="88"/>
      <c r="Y181" s="88"/>
      <c r="Z181" s="88"/>
      <c r="AA181" s="88"/>
      <c r="AB181" s="88"/>
      <c r="AC181" s="88"/>
      <c r="AD181" s="88"/>
      <c r="AE181" s="88"/>
      <c r="AF181" s="88"/>
      <c r="AG181" s="88"/>
      <c r="AH181" s="88"/>
      <c r="AI181" s="88"/>
      <c r="AJ181" s="88"/>
    </row>
    <row r="182" spans="1:36" ht="15">
      <c r="A182" s="88" t="s">
        <v>327</v>
      </c>
      <c r="B182" s="88" t="s">
        <v>1061</v>
      </c>
      <c r="C182" s="88" t="s">
        <v>7</v>
      </c>
      <c r="D182" s="88" t="s">
        <v>1739</v>
      </c>
      <c r="E182" s="88" t="s">
        <v>1740</v>
      </c>
      <c r="F182" s="88"/>
      <c r="G182" s="88"/>
      <c r="H182" s="88"/>
      <c r="I182" s="88"/>
      <c r="J182" s="88"/>
      <c r="K182" s="88"/>
      <c r="L182" s="88"/>
      <c r="M182" s="88"/>
      <c r="N182" s="88"/>
      <c r="O182" s="88"/>
      <c r="P182" s="88"/>
      <c r="Q182" s="88"/>
      <c r="R182" s="88"/>
      <c r="S182" s="88"/>
      <c r="T182" s="88"/>
      <c r="U182" s="88"/>
      <c r="V182" s="88"/>
      <c r="W182" s="88"/>
      <c r="X182" s="88"/>
      <c r="Y182" s="88"/>
      <c r="Z182" s="88"/>
      <c r="AA182" s="88"/>
      <c r="AB182" s="88"/>
      <c r="AC182" s="88"/>
      <c r="AD182" s="88"/>
      <c r="AE182" s="88"/>
      <c r="AF182" s="88"/>
      <c r="AG182" s="88"/>
      <c r="AH182" s="88"/>
      <c r="AI182" s="88"/>
      <c r="AJ182" s="88"/>
    </row>
    <row r="183" spans="1:36" ht="15">
      <c r="A183" s="88" t="s">
        <v>327</v>
      </c>
      <c r="B183" s="88" t="s">
        <v>1073</v>
      </c>
      <c r="C183" s="88" t="s">
        <v>7</v>
      </c>
      <c r="D183" s="88" t="s">
        <v>1741</v>
      </c>
      <c r="E183" s="88" t="s">
        <v>1742</v>
      </c>
      <c r="F183" s="88"/>
      <c r="G183" s="88"/>
      <c r="H183" s="88"/>
      <c r="I183" s="88"/>
      <c r="J183" s="88"/>
      <c r="K183" s="88"/>
      <c r="L183" s="88"/>
      <c r="M183" s="88"/>
      <c r="N183" s="88"/>
      <c r="O183" s="88"/>
      <c r="P183" s="88"/>
      <c r="Q183" s="88"/>
      <c r="R183" s="88"/>
      <c r="S183" s="88"/>
      <c r="T183" s="88"/>
      <c r="U183" s="88"/>
      <c r="V183" s="88"/>
      <c r="W183" s="88"/>
      <c r="X183" s="88"/>
      <c r="Y183" s="88"/>
      <c r="Z183" s="88"/>
      <c r="AA183" s="88"/>
      <c r="AB183" s="88"/>
      <c r="AC183" s="88"/>
      <c r="AD183" s="88"/>
      <c r="AE183" s="88"/>
      <c r="AF183" s="88"/>
      <c r="AG183" s="88"/>
      <c r="AH183" s="88"/>
      <c r="AI183" s="88"/>
      <c r="AJ183" s="88"/>
    </row>
    <row r="184" spans="1:36" ht="15">
      <c r="A184" s="88" t="s">
        <v>327</v>
      </c>
      <c r="B184" s="88" t="s">
        <v>1084</v>
      </c>
      <c r="C184" s="88" t="s">
        <v>7</v>
      </c>
      <c r="D184" s="88" t="s">
        <v>1743</v>
      </c>
      <c r="E184" s="88" t="s">
        <v>1744</v>
      </c>
      <c r="F184" s="88"/>
      <c r="G184" s="88"/>
      <c r="H184" s="88"/>
      <c r="I184" s="88"/>
      <c r="J184" s="88"/>
      <c r="K184" s="88"/>
      <c r="L184" s="88"/>
      <c r="M184" s="88"/>
      <c r="N184" s="88"/>
      <c r="O184" s="88"/>
      <c r="P184" s="88"/>
      <c r="Q184" s="88"/>
      <c r="R184" s="88"/>
      <c r="S184" s="88"/>
      <c r="T184" s="88"/>
      <c r="U184" s="88"/>
      <c r="V184" s="88"/>
      <c r="W184" s="88"/>
      <c r="X184" s="88"/>
      <c r="Y184" s="88"/>
      <c r="Z184" s="88"/>
      <c r="AA184" s="88"/>
      <c r="AB184" s="88"/>
      <c r="AC184" s="88"/>
      <c r="AD184" s="88"/>
      <c r="AE184" s="88"/>
      <c r="AF184" s="88"/>
      <c r="AG184" s="88"/>
      <c r="AH184" s="88"/>
      <c r="AI184" s="88"/>
      <c r="AJ184" s="88"/>
    </row>
    <row r="185" spans="1:36" ht="15">
      <c r="A185" s="88" t="s">
        <v>327</v>
      </c>
      <c r="B185" s="88" t="s">
        <v>1097</v>
      </c>
      <c r="C185" s="88" t="s">
        <v>7</v>
      </c>
      <c r="D185" s="88" t="s">
        <v>1745</v>
      </c>
      <c r="E185" s="88" t="s">
        <v>1746</v>
      </c>
      <c r="F185" s="88"/>
      <c r="G185" s="88"/>
      <c r="H185" s="88"/>
      <c r="I185" s="88"/>
      <c r="J185" s="88"/>
      <c r="K185" s="88"/>
      <c r="L185" s="88"/>
      <c r="M185" s="88"/>
      <c r="N185" s="88"/>
      <c r="O185" s="88"/>
      <c r="P185" s="88"/>
      <c r="Q185" s="88"/>
      <c r="R185" s="88"/>
      <c r="S185" s="88"/>
      <c r="T185" s="88"/>
      <c r="U185" s="88"/>
      <c r="V185" s="88"/>
      <c r="W185" s="88"/>
      <c r="X185" s="88"/>
      <c r="Y185" s="88"/>
      <c r="Z185" s="88"/>
      <c r="AA185" s="88"/>
      <c r="AB185" s="88"/>
      <c r="AC185" s="88"/>
      <c r="AD185" s="88"/>
      <c r="AE185" s="88"/>
      <c r="AF185" s="88"/>
      <c r="AG185" s="88"/>
      <c r="AH185" s="88"/>
      <c r="AI185" s="88"/>
      <c r="AJ185" s="88"/>
    </row>
    <row r="186" spans="1:36" ht="15">
      <c r="A186" s="88" t="s">
        <v>327</v>
      </c>
      <c r="B186" s="88" t="s">
        <v>1110</v>
      </c>
      <c r="C186" s="88" t="s">
        <v>7</v>
      </c>
      <c r="D186" s="88" t="s">
        <v>1747</v>
      </c>
      <c r="E186" s="88" t="s">
        <v>1748</v>
      </c>
      <c r="F186" s="88"/>
      <c r="G186" s="88"/>
      <c r="H186" s="88"/>
      <c r="I186" s="88"/>
      <c r="J186" s="88"/>
      <c r="K186" s="88"/>
      <c r="L186" s="88"/>
      <c r="M186" s="88"/>
      <c r="N186" s="88"/>
      <c r="O186" s="88"/>
      <c r="P186" s="88"/>
      <c r="Q186" s="88"/>
      <c r="R186" s="88"/>
      <c r="S186" s="88"/>
      <c r="T186" s="88"/>
      <c r="U186" s="88"/>
      <c r="V186" s="88"/>
      <c r="W186" s="88"/>
      <c r="X186" s="88"/>
      <c r="Y186" s="88"/>
      <c r="Z186" s="88"/>
      <c r="AA186" s="88"/>
      <c r="AB186" s="88"/>
      <c r="AC186" s="88"/>
      <c r="AD186" s="88"/>
      <c r="AE186" s="88"/>
      <c r="AF186" s="88"/>
      <c r="AG186" s="88"/>
      <c r="AH186" s="88"/>
      <c r="AI186" s="88"/>
      <c r="AJ186" s="88"/>
    </row>
    <row r="187" spans="1:36" ht="15">
      <c r="A187" s="88" t="s">
        <v>327</v>
      </c>
      <c r="B187" s="88" t="s">
        <v>1075</v>
      </c>
      <c r="C187" s="88" t="s">
        <v>7</v>
      </c>
      <c r="D187" s="88" t="s">
        <v>1749</v>
      </c>
      <c r="E187" s="88" t="s">
        <v>1750</v>
      </c>
      <c r="F187" s="88"/>
      <c r="G187" s="88"/>
      <c r="H187" s="88"/>
      <c r="I187" s="88"/>
      <c r="J187" s="88"/>
      <c r="K187" s="88"/>
      <c r="L187" s="88"/>
      <c r="M187" s="88"/>
      <c r="N187" s="88"/>
      <c r="O187" s="88"/>
      <c r="P187" s="88"/>
      <c r="Q187" s="88"/>
      <c r="R187" s="88"/>
      <c r="S187" s="88"/>
      <c r="T187" s="88"/>
      <c r="U187" s="88"/>
      <c r="V187" s="88"/>
      <c r="W187" s="88"/>
      <c r="X187" s="88"/>
      <c r="Y187" s="88"/>
      <c r="Z187" s="88"/>
      <c r="AA187" s="88"/>
      <c r="AB187" s="88"/>
      <c r="AC187" s="88"/>
      <c r="AD187" s="88"/>
      <c r="AE187" s="88"/>
      <c r="AF187" s="88"/>
      <c r="AG187" s="88"/>
      <c r="AH187" s="88"/>
      <c r="AI187" s="88"/>
      <c r="AJ187" s="88"/>
    </row>
    <row r="188" spans="1:36" ht="15">
      <c r="A188" s="88" t="s">
        <v>327</v>
      </c>
      <c r="B188" s="88" t="s">
        <v>1132</v>
      </c>
      <c r="C188" s="88" t="s">
        <v>7</v>
      </c>
      <c r="D188" s="88" t="s">
        <v>1751</v>
      </c>
      <c r="E188" s="88" t="s">
        <v>1752</v>
      </c>
      <c r="F188" s="88"/>
      <c r="G188" s="88"/>
      <c r="H188" s="88"/>
      <c r="I188" s="88"/>
      <c r="J188" s="88"/>
      <c r="K188" s="88"/>
      <c r="L188" s="88"/>
      <c r="M188" s="88"/>
      <c r="N188" s="88"/>
      <c r="O188" s="88"/>
      <c r="P188" s="88"/>
      <c r="Q188" s="88"/>
      <c r="R188" s="88"/>
      <c r="S188" s="88"/>
      <c r="T188" s="88"/>
      <c r="U188" s="88"/>
      <c r="V188" s="88"/>
      <c r="W188" s="88"/>
      <c r="X188" s="88"/>
      <c r="Y188" s="88"/>
      <c r="Z188" s="88"/>
      <c r="AA188" s="88"/>
      <c r="AB188" s="88"/>
      <c r="AC188" s="88"/>
      <c r="AD188" s="88"/>
      <c r="AE188" s="88"/>
      <c r="AF188" s="88"/>
      <c r="AG188" s="88"/>
      <c r="AH188" s="88"/>
      <c r="AI188" s="88"/>
      <c r="AJ188" s="88"/>
    </row>
    <row r="189" spans="1:36" ht="15">
      <c r="A189" s="88" t="s">
        <v>327</v>
      </c>
      <c r="B189" s="88" t="s">
        <v>1142</v>
      </c>
      <c r="C189" s="88" t="s">
        <v>7</v>
      </c>
      <c r="D189" s="88" t="s">
        <v>1753</v>
      </c>
      <c r="E189" s="88" t="s">
        <v>1754</v>
      </c>
      <c r="F189" s="88"/>
      <c r="G189" s="88"/>
      <c r="H189" s="88"/>
      <c r="I189" s="88"/>
      <c r="J189" s="88"/>
      <c r="K189" s="88"/>
      <c r="L189" s="88"/>
      <c r="M189" s="88"/>
      <c r="N189" s="88"/>
      <c r="O189" s="88"/>
      <c r="P189" s="88"/>
      <c r="Q189" s="88"/>
      <c r="R189" s="88"/>
      <c r="S189" s="88"/>
      <c r="T189" s="88"/>
      <c r="U189" s="88"/>
      <c r="V189" s="88"/>
      <c r="W189" s="88"/>
      <c r="X189" s="88"/>
      <c r="Y189" s="88"/>
      <c r="Z189" s="88"/>
      <c r="AA189" s="88"/>
      <c r="AB189" s="88"/>
      <c r="AC189" s="88"/>
      <c r="AD189" s="88"/>
      <c r="AE189" s="88"/>
      <c r="AF189" s="88"/>
      <c r="AG189" s="88"/>
      <c r="AH189" s="88"/>
      <c r="AI189" s="88"/>
      <c r="AJ189" s="88"/>
    </row>
    <row r="190" spans="1:36" ht="15">
      <c r="A190" s="88" t="s">
        <v>327</v>
      </c>
      <c r="B190" s="88" t="s">
        <v>1154</v>
      </c>
      <c r="C190" s="88" t="s">
        <v>7</v>
      </c>
      <c r="D190" s="88" t="s">
        <v>1755</v>
      </c>
      <c r="E190" s="88" t="s">
        <v>1756</v>
      </c>
      <c r="F190" s="88"/>
      <c r="G190" s="88"/>
      <c r="H190" s="88"/>
      <c r="I190" s="88"/>
      <c r="J190" s="88"/>
      <c r="K190" s="88"/>
      <c r="L190" s="88"/>
      <c r="M190" s="88"/>
      <c r="N190" s="88"/>
      <c r="O190" s="88"/>
      <c r="P190" s="88"/>
      <c r="Q190" s="88"/>
      <c r="R190" s="88"/>
      <c r="S190" s="88"/>
      <c r="T190" s="88"/>
      <c r="U190" s="88"/>
      <c r="V190" s="88"/>
      <c r="W190" s="88"/>
      <c r="X190" s="88"/>
      <c r="Y190" s="88"/>
      <c r="Z190" s="88"/>
      <c r="AA190" s="88"/>
      <c r="AB190" s="88"/>
      <c r="AC190" s="88"/>
      <c r="AD190" s="88"/>
      <c r="AE190" s="88"/>
      <c r="AF190" s="88"/>
      <c r="AG190" s="88"/>
      <c r="AH190" s="88"/>
      <c r="AI190" s="88"/>
      <c r="AJ190" s="88"/>
    </row>
    <row r="191" spans="1:36" ht="15">
      <c r="A191" s="88" t="s">
        <v>327</v>
      </c>
      <c r="B191" s="88" t="s">
        <v>1165</v>
      </c>
      <c r="C191" s="88" t="s">
        <v>7</v>
      </c>
      <c r="D191" s="88" t="s">
        <v>1757</v>
      </c>
      <c r="E191" s="88" t="s">
        <v>1758</v>
      </c>
      <c r="F191" s="88"/>
      <c r="G191" s="88"/>
      <c r="H191" s="88"/>
      <c r="I191" s="88"/>
      <c r="J191" s="88"/>
      <c r="K191" s="88"/>
      <c r="L191" s="88"/>
      <c r="M191" s="88"/>
      <c r="N191" s="88"/>
      <c r="O191" s="88"/>
      <c r="P191" s="88"/>
      <c r="Q191" s="88"/>
      <c r="R191" s="88"/>
      <c r="S191" s="88"/>
      <c r="T191" s="88"/>
      <c r="U191" s="88"/>
      <c r="V191" s="88"/>
      <c r="W191" s="88"/>
      <c r="X191" s="88"/>
      <c r="Y191" s="88"/>
      <c r="Z191" s="88"/>
      <c r="AA191" s="88"/>
      <c r="AB191" s="88"/>
      <c r="AC191" s="88"/>
      <c r="AD191" s="88"/>
      <c r="AE191" s="88"/>
      <c r="AF191" s="88"/>
      <c r="AG191" s="88"/>
      <c r="AH191" s="88"/>
      <c r="AI191" s="88"/>
      <c r="AJ191" s="88"/>
    </row>
    <row r="192" spans="1:36" ht="15">
      <c r="A192" s="88" t="s">
        <v>327</v>
      </c>
      <c r="B192" s="88" t="s">
        <v>1176</v>
      </c>
      <c r="C192" s="88" t="s">
        <v>7</v>
      </c>
      <c r="D192" s="88" t="s">
        <v>1759</v>
      </c>
      <c r="E192" s="88" t="s">
        <v>1760</v>
      </c>
      <c r="F192" s="88"/>
      <c r="G192" s="88"/>
      <c r="H192" s="88"/>
      <c r="I192" s="88"/>
      <c r="J192" s="88"/>
      <c r="K192" s="88"/>
      <c r="L192" s="88"/>
      <c r="M192" s="88"/>
      <c r="N192" s="88"/>
      <c r="O192" s="88"/>
      <c r="P192" s="88"/>
      <c r="Q192" s="88"/>
      <c r="R192" s="88"/>
      <c r="S192" s="88"/>
      <c r="T192" s="88"/>
      <c r="U192" s="88"/>
      <c r="V192" s="88"/>
      <c r="W192" s="88"/>
      <c r="X192" s="88"/>
      <c r="Y192" s="88"/>
      <c r="Z192" s="88"/>
      <c r="AA192" s="88"/>
      <c r="AB192" s="88"/>
      <c r="AC192" s="88"/>
      <c r="AD192" s="88"/>
      <c r="AE192" s="88"/>
      <c r="AF192" s="88"/>
      <c r="AG192" s="88"/>
      <c r="AH192" s="88"/>
      <c r="AI192" s="88"/>
      <c r="AJ192" s="88"/>
    </row>
    <row r="193" spans="1:36" ht="15">
      <c r="A193" s="88" t="s">
        <v>327</v>
      </c>
      <c r="B193" s="88" t="s">
        <v>1187</v>
      </c>
      <c r="C193" s="88" t="s">
        <v>7</v>
      </c>
      <c r="D193" s="88" t="s">
        <v>1761</v>
      </c>
      <c r="E193" s="88" t="s">
        <v>1762</v>
      </c>
      <c r="F193" s="88"/>
      <c r="G193" s="88"/>
      <c r="H193" s="88"/>
      <c r="I193" s="88"/>
      <c r="J193" s="88"/>
      <c r="K193" s="88"/>
      <c r="L193" s="88"/>
      <c r="M193" s="88"/>
      <c r="N193" s="88"/>
      <c r="O193" s="88"/>
      <c r="P193" s="88"/>
      <c r="Q193" s="88"/>
      <c r="R193" s="88"/>
      <c r="S193" s="88"/>
      <c r="T193" s="88"/>
      <c r="U193" s="88"/>
      <c r="V193" s="88"/>
      <c r="W193" s="88"/>
      <c r="X193" s="88"/>
      <c r="Y193" s="88"/>
      <c r="Z193" s="88"/>
      <c r="AA193" s="88"/>
      <c r="AB193" s="88"/>
      <c r="AC193" s="88"/>
      <c r="AD193" s="88"/>
      <c r="AE193" s="88"/>
      <c r="AF193" s="88"/>
      <c r="AG193" s="88"/>
      <c r="AH193" s="88"/>
      <c r="AI193" s="88"/>
      <c r="AJ193" s="88"/>
    </row>
    <row r="194" spans="1:36" ht="15">
      <c r="A194" s="88" t="s">
        <v>327</v>
      </c>
      <c r="B194" s="88" t="s">
        <v>1195</v>
      </c>
      <c r="C194" s="88" t="s">
        <v>7</v>
      </c>
      <c r="D194" s="88" t="s">
        <v>1763</v>
      </c>
      <c r="E194" s="88" t="s">
        <v>1764</v>
      </c>
      <c r="F194" s="88"/>
      <c r="G194" s="88"/>
      <c r="H194" s="88"/>
      <c r="I194" s="88"/>
      <c r="J194" s="88"/>
      <c r="K194" s="88"/>
      <c r="L194" s="88"/>
      <c r="M194" s="88"/>
      <c r="N194" s="88"/>
      <c r="O194" s="88"/>
      <c r="P194" s="88"/>
      <c r="Q194" s="88"/>
      <c r="R194" s="88"/>
      <c r="S194" s="88"/>
      <c r="T194" s="88"/>
      <c r="U194" s="88"/>
      <c r="V194" s="88"/>
      <c r="W194" s="88"/>
      <c r="X194" s="88"/>
      <c r="Y194" s="88"/>
      <c r="Z194" s="88"/>
      <c r="AA194" s="88"/>
      <c r="AB194" s="88"/>
      <c r="AC194" s="88"/>
      <c r="AD194" s="88"/>
      <c r="AE194" s="88"/>
      <c r="AF194" s="88"/>
      <c r="AG194" s="88"/>
      <c r="AH194" s="88"/>
      <c r="AI194" s="88"/>
      <c r="AJ194" s="88"/>
    </row>
    <row r="195" spans="1:36" ht="15">
      <c r="A195" s="88" t="s">
        <v>327</v>
      </c>
      <c r="B195" s="88" t="s">
        <v>756</v>
      </c>
      <c r="C195" s="88" t="s">
        <v>7</v>
      </c>
      <c r="D195" s="88" t="s">
        <v>1765</v>
      </c>
      <c r="E195" s="88" t="s">
        <v>1766</v>
      </c>
      <c r="F195" s="88"/>
      <c r="G195" s="88"/>
      <c r="H195" s="88"/>
      <c r="I195" s="88"/>
      <c r="J195" s="88"/>
      <c r="K195" s="88"/>
      <c r="L195" s="88"/>
      <c r="M195" s="88"/>
      <c r="N195" s="88"/>
      <c r="O195" s="88"/>
      <c r="P195" s="88"/>
      <c r="Q195" s="88"/>
      <c r="R195" s="88"/>
      <c r="S195" s="88"/>
      <c r="T195" s="88"/>
      <c r="U195" s="88"/>
      <c r="V195" s="88"/>
      <c r="W195" s="88"/>
      <c r="X195" s="88"/>
      <c r="Y195" s="88"/>
      <c r="Z195" s="88"/>
      <c r="AA195" s="88"/>
      <c r="AB195" s="88"/>
      <c r="AC195" s="88"/>
      <c r="AD195" s="88"/>
      <c r="AE195" s="88"/>
      <c r="AF195" s="88"/>
      <c r="AG195" s="88"/>
      <c r="AH195" s="88"/>
      <c r="AI195" s="88"/>
      <c r="AJ195" s="88"/>
    </row>
    <row r="196" spans="1:36" ht="15">
      <c r="A196" s="88" t="s">
        <v>327</v>
      </c>
      <c r="B196" s="88" t="s">
        <v>1212</v>
      </c>
      <c r="C196" s="88" t="s">
        <v>7</v>
      </c>
      <c r="D196" s="88" t="s">
        <v>1767</v>
      </c>
      <c r="E196" s="88" t="s">
        <v>1768</v>
      </c>
      <c r="F196" s="88"/>
      <c r="G196" s="88"/>
      <c r="H196" s="88"/>
      <c r="I196" s="88"/>
      <c r="J196" s="88"/>
      <c r="K196" s="88"/>
      <c r="L196" s="88"/>
      <c r="M196" s="88"/>
      <c r="N196" s="88"/>
      <c r="O196" s="88"/>
      <c r="P196" s="88"/>
      <c r="Q196" s="88"/>
      <c r="R196" s="88"/>
      <c r="S196" s="88"/>
      <c r="T196" s="88"/>
      <c r="U196" s="88"/>
      <c r="V196" s="88"/>
      <c r="W196" s="88"/>
      <c r="X196" s="88"/>
      <c r="Y196" s="88"/>
      <c r="Z196" s="88"/>
      <c r="AA196" s="88"/>
      <c r="AB196" s="88"/>
      <c r="AC196" s="88"/>
      <c r="AD196" s="88"/>
      <c r="AE196" s="88"/>
      <c r="AF196" s="88"/>
      <c r="AG196" s="88"/>
      <c r="AH196" s="88"/>
      <c r="AI196" s="88"/>
      <c r="AJ196" s="88"/>
    </row>
    <row r="197" spans="1:36" ht="15">
      <c r="A197" s="88" t="s">
        <v>328</v>
      </c>
      <c r="B197" s="88" t="s">
        <v>360</v>
      </c>
      <c r="C197" s="88" t="s">
        <v>7</v>
      </c>
      <c r="D197" s="88" t="s">
        <v>1769</v>
      </c>
      <c r="E197" s="88" t="s">
        <v>1770</v>
      </c>
      <c r="F197" s="88"/>
      <c r="G197" s="88"/>
      <c r="H197" s="88"/>
      <c r="I197" s="88"/>
      <c r="J197" s="88"/>
      <c r="K197" s="88"/>
      <c r="L197" s="88"/>
      <c r="M197" s="88"/>
      <c r="N197" s="88"/>
      <c r="O197" s="88"/>
      <c r="P197" s="88"/>
      <c r="Q197" s="88"/>
      <c r="R197" s="88"/>
      <c r="S197" s="88"/>
      <c r="T197" s="88"/>
      <c r="U197" s="88"/>
      <c r="V197" s="88"/>
      <c r="W197" s="88"/>
      <c r="X197" s="88"/>
      <c r="Y197" s="88"/>
      <c r="Z197" s="88"/>
      <c r="AA197" s="88"/>
      <c r="AB197" s="88"/>
      <c r="AC197" s="88"/>
      <c r="AD197" s="88"/>
      <c r="AE197" s="88"/>
      <c r="AF197" s="88"/>
      <c r="AG197" s="88"/>
      <c r="AH197" s="88"/>
      <c r="AI197" s="88"/>
      <c r="AJ197" s="88"/>
    </row>
    <row r="198" spans="1:36" ht="15">
      <c r="A198" s="88" t="s">
        <v>328</v>
      </c>
      <c r="B198" s="88" t="s">
        <v>392</v>
      </c>
      <c r="C198" s="88" t="s">
        <v>7</v>
      </c>
      <c r="D198" s="88" t="s">
        <v>1771</v>
      </c>
      <c r="E198" s="88" t="s">
        <v>1772</v>
      </c>
      <c r="F198" s="88"/>
      <c r="G198" s="88"/>
      <c r="H198" s="88"/>
      <c r="I198" s="88"/>
      <c r="J198" s="88"/>
      <c r="K198" s="88"/>
      <c r="L198" s="88"/>
      <c r="M198" s="88"/>
      <c r="N198" s="88"/>
      <c r="O198" s="88"/>
      <c r="P198" s="88"/>
      <c r="Q198" s="88"/>
      <c r="R198" s="88"/>
      <c r="S198" s="88"/>
      <c r="T198" s="88"/>
      <c r="U198" s="88"/>
      <c r="V198" s="88"/>
      <c r="W198" s="88"/>
      <c r="X198" s="88"/>
      <c r="Y198" s="88"/>
      <c r="Z198" s="88"/>
      <c r="AA198" s="88"/>
      <c r="AB198" s="88"/>
      <c r="AC198" s="88"/>
      <c r="AD198" s="88"/>
      <c r="AE198" s="88"/>
      <c r="AF198" s="88"/>
      <c r="AG198" s="88"/>
      <c r="AH198" s="88"/>
      <c r="AI198" s="88"/>
      <c r="AJ198" s="88"/>
    </row>
    <row r="199" spans="1:36" ht="15">
      <c r="A199" s="88" t="s">
        <v>328</v>
      </c>
      <c r="B199" s="88" t="s">
        <v>422</v>
      </c>
      <c r="C199" s="88" t="s">
        <v>7</v>
      </c>
      <c r="D199" s="88" t="s">
        <v>1773</v>
      </c>
      <c r="E199" s="88" t="s">
        <v>1774</v>
      </c>
      <c r="F199" s="88"/>
      <c r="G199" s="88"/>
      <c r="H199" s="88"/>
      <c r="I199" s="88"/>
      <c r="J199" s="88"/>
      <c r="K199" s="88"/>
      <c r="L199" s="88"/>
      <c r="M199" s="88"/>
      <c r="N199" s="88"/>
      <c r="O199" s="88"/>
      <c r="P199" s="88"/>
      <c r="Q199" s="88"/>
      <c r="R199" s="88"/>
      <c r="S199" s="88"/>
      <c r="T199" s="88"/>
      <c r="U199" s="88"/>
      <c r="V199" s="88"/>
      <c r="W199" s="88"/>
      <c r="X199" s="88"/>
      <c r="Y199" s="88"/>
      <c r="Z199" s="88"/>
      <c r="AA199" s="88"/>
      <c r="AB199" s="88"/>
      <c r="AC199" s="88"/>
      <c r="AD199" s="88"/>
      <c r="AE199" s="88"/>
      <c r="AF199" s="88"/>
      <c r="AG199" s="88"/>
      <c r="AH199" s="88"/>
      <c r="AI199" s="88"/>
      <c r="AJ199" s="88"/>
    </row>
    <row r="200" spans="1:36" ht="15">
      <c r="A200" s="88" t="s">
        <v>328</v>
      </c>
      <c r="B200" s="88" t="s">
        <v>453</v>
      </c>
      <c r="C200" s="88" t="s">
        <v>7</v>
      </c>
      <c r="D200" s="88" t="s">
        <v>1775</v>
      </c>
      <c r="E200" s="88" t="s">
        <v>1776</v>
      </c>
      <c r="F200" s="88"/>
      <c r="G200" s="88"/>
      <c r="H200" s="88"/>
      <c r="I200" s="88"/>
      <c r="J200" s="88"/>
      <c r="K200" s="88"/>
      <c r="L200" s="88"/>
      <c r="M200" s="88"/>
      <c r="N200" s="88"/>
      <c r="O200" s="88"/>
      <c r="P200" s="88"/>
      <c r="Q200" s="88"/>
      <c r="R200" s="88"/>
      <c r="S200" s="88"/>
      <c r="T200" s="88"/>
      <c r="U200" s="88"/>
      <c r="V200" s="88"/>
      <c r="W200" s="88"/>
      <c r="X200" s="88"/>
      <c r="Y200" s="88"/>
      <c r="Z200" s="88"/>
      <c r="AA200" s="88"/>
      <c r="AB200" s="88"/>
      <c r="AC200" s="88"/>
      <c r="AD200" s="88"/>
      <c r="AE200" s="88"/>
      <c r="AF200" s="88"/>
      <c r="AG200" s="88"/>
      <c r="AH200" s="88"/>
      <c r="AI200" s="88"/>
      <c r="AJ200" s="88"/>
    </row>
    <row r="201" spans="1:36" ht="15">
      <c r="A201" s="88" t="s">
        <v>328</v>
      </c>
      <c r="B201" s="88" t="s">
        <v>485</v>
      </c>
      <c r="C201" s="88" t="s">
        <v>7</v>
      </c>
      <c r="D201" s="88" t="s">
        <v>1777</v>
      </c>
      <c r="E201" s="88" t="s">
        <v>1778</v>
      </c>
      <c r="F201" s="88"/>
      <c r="G201" s="88"/>
      <c r="H201" s="88"/>
      <c r="I201" s="88"/>
      <c r="J201" s="88"/>
      <c r="K201" s="88"/>
      <c r="L201" s="88"/>
      <c r="M201" s="88"/>
      <c r="N201" s="88"/>
      <c r="O201" s="88"/>
      <c r="P201" s="88"/>
      <c r="Q201" s="88"/>
      <c r="R201" s="88"/>
      <c r="S201" s="88"/>
      <c r="T201" s="88"/>
      <c r="U201" s="88"/>
      <c r="V201" s="88"/>
      <c r="W201" s="88"/>
      <c r="X201" s="88"/>
      <c r="Y201" s="88"/>
      <c r="Z201" s="88"/>
      <c r="AA201" s="88"/>
      <c r="AB201" s="88"/>
      <c r="AC201" s="88"/>
      <c r="AD201" s="88"/>
      <c r="AE201" s="88"/>
      <c r="AF201" s="88"/>
      <c r="AG201" s="88"/>
      <c r="AH201" s="88"/>
      <c r="AI201" s="88"/>
      <c r="AJ201" s="88"/>
    </row>
    <row r="202" spans="1:36" ht="15">
      <c r="A202" s="88" t="s">
        <v>328</v>
      </c>
      <c r="B202" s="88" t="s">
        <v>513</v>
      </c>
      <c r="C202" s="88" t="s">
        <v>7</v>
      </c>
      <c r="D202" s="88" t="s">
        <v>1779</v>
      </c>
      <c r="E202" s="88" t="s">
        <v>1780</v>
      </c>
      <c r="F202" s="88"/>
      <c r="G202" s="88"/>
      <c r="H202" s="88"/>
      <c r="I202" s="88"/>
      <c r="J202" s="88"/>
      <c r="K202" s="88"/>
      <c r="L202" s="88"/>
      <c r="M202" s="88"/>
      <c r="N202" s="88"/>
      <c r="O202" s="88"/>
      <c r="P202" s="88"/>
      <c r="Q202" s="88"/>
      <c r="R202" s="88"/>
      <c r="S202" s="88"/>
      <c r="T202" s="88"/>
      <c r="U202" s="88"/>
      <c r="V202" s="88"/>
      <c r="W202" s="88"/>
      <c r="X202" s="88"/>
      <c r="Y202" s="88"/>
      <c r="Z202" s="88"/>
      <c r="AA202" s="88"/>
      <c r="AB202" s="88"/>
      <c r="AC202" s="88"/>
      <c r="AD202" s="88"/>
      <c r="AE202" s="88"/>
      <c r="AF202" s="88"/>
      <c r="AG202" s="88"/>
      <c r="AH202" s="88"/>
      <c r="AI202" s="88"/>
      <c r="AJ202" s="88"/>
    </row>
    <row r="203" spans="1:36" ht="15">
      <c r="A203" s="88" t="s">
        <v>328</v>
      </c>
      <c r="B203" s="88" t="s">
        <v>543</v>
      </c>
      <c r="C203" s="88" t="s">
        <v>7</v>
      </c>
      <c r="D203" s="88" t="s">
        <v>1781</v>
      </c>
      <c r="E203" s="88" t="s">
        <v>1782</v>
      </c>
      <c r="F203" s="88"/>
      <c r="G203" s="88"/>
      <c r="H203" s="88"/>
      <c r="I203" s="88"/>
      <c r="J203" s="88"/>
      <c r="K203" s="88"/>
      <c r="L203" s="88"/>
      <c r="M203" s="88"/>
      <c r="N203" s="88"/>
      <c r="O203" s="88"/>
      <c r="P203" s="88"/>
      <c r="Q203" s="88"/>
      <c r="R203" s="88"/>
      <c r="S203" s="88"/>
      <c r="T203" s="88"/>
      <c r="U203" s="88"/>
      <c r="V203" s="88"/>
      <c r="W203" s="88"/>
      <c r="X203" s="88"/>
      <c r="Y203" s="88"/>
      <c r="Z203" s="88"/>
      <c r="AA203" s="88"/>
      <c r="AB203" s="88"/>
      <c r="AC203" s="88"/>
      <c r="AD203" s="88"/>
      <c r="AE203" s="88"/>
      <c r="AF203" s="88"/>
      <c r="AG203" s="88"/>
      <c r="AH203" s="88"/>
      <c r="AI203" s="88"/>
      <c r="AJ203" s="88"/>
    </row>
    <row r="204" spans="1:36" ht="15">
      <c r="A204" s="88" t="s">
        <v>328</v>
      </c>
      <c r="B204" s="88" t="s">
        <v>570</v>
      </c>
      <c r="C204" s="88" t="s">
        <v>7</v>
      </c>
      <c r="D204" s="88" t="s">
        <v>1783</v>
      </c>
      <c r="E204" s="88" t="s">
        <v>1784</v>
      </c>
      <c r="F204" s="88"/>
      <c r="G204" s="88"/>
      <c r="H204" s="88"/>
      <c r="I204" s="88"/>
      <c r="J204" s="88"/>
      <c r="K204" s="88"/>
      <c r="L204" s="88"/>
      <c r="M204" s="88"/>
      <c r="N204" s="88"/>
      <c r="O204" s="88"/>
      <c r="P204" s="88"/>
      <c r="Q204" s="88"/>
      <c r="R204" s="88"/>
      <c r="S204" s="88"/>
      <c r="T204" s="88"/>
      <c r="U204" s="88"/>
      <c r="V204" s="88"/>
      <c r="W204" s="88"/>
      <c r="X204" s="88"/>
      <c r="Y204" s="88"/>
      <c r="Z204" s="88"/>
      <c r="AA204" s="88"/>
      <c r="AB204" s="88"/>
      <c r="AC204" s="88"/>
      <c r="AD204" s="88"/>
      <c r="AE204" s="88"/>
      <c r="AF204" s="88"/>
      <c r="AG204" s="88"/>
      <c r="AH204" s="88"/>
      <c r="AI204" s="88"/>
      <c r="AJ204" s="88"/>
    </row>
    <row r="205" spans="1:36" ht="15">
      <c r="A205" s="88" t="s">
        <v>328</v>
      </c>
      <c r="B205" s="88" t="s">
        <v>328</v>
      </c>
      <c r="C205" s="88" t="s">
        <v>7</v>
      </c>
      <c r="D205" s="88" t="s">
        <v>1785</v>
      </c>
      <c r="E205" s="88" t="s">
        <v>1786</v>
      </c>
      <c r="F205" s="88"/>
      <c r="G205" s="88"/>
      <c r="H205" s="88"/>
      <c r="I205" s="88"/>
      <c r="J205" s="88"/>
      <c r="K205" s="88"/>
      <c r="L205" s="88"/>
      <c r="M205" s="88"/>
      <c r="N205" s="88"/>
      <c r="O205" s="88"/>
      <c r="P205" s="88"/>
      <c r="Q205" s="88"/>
      <c r="R205" s="88"/>
      <c r="S205" s="88"/>
      <c r="T205" s="88"/>
      <c r="U205" s="88"/>
      <c r="V205" s="88"/>
      <c r="W205" s="88"/>
      <c r="X205" s="88"/>
      <c r="Y205" s="88"/>
      <c r="Z205" s="88"/>
      <c r="AA205" s="88"/>
      <c r="AB205" s="88"/>
      <c r="AC205" s="88"/>
      <c r="AD205" s="88"/>
      <c r="AE205" s="88"/>
      <c r="AF205" s="88"/>
      <c r="AG205" s="88"/>
      <c r="AH205" s="88"/>
      <c r="AI205" s="88"/>
      <c r="AJ205" s="88"/>
    </row>
    <row r="206" spans="1:36" ht="15">
      <c r="A206" s="88" t="s">
        <v>328</v>
      </c>
      <c r="B206" s="88" t="s">
        <v>624</v>
      </c>
      <c r="C206" s="88" t="s">
        <v>7</v>
      </c>
      <c r="D206" s="88" t="s">
        <v>1787</v>
      </c>
      <c r="E206" s="88" t="s">
        <v>1788</v>
      </c>
      <c r="F206" s="88"/>
      <c r="G206" s="88"/>
      <c r="H206" s="88"/>
      <c r="I206" s="88"/>
      <c r="J206" s="88"/>
      <c r="K206" s="88"/>
      <c r="L206" s="88"/>
      <c r="M206" s="88"/>
      <c r="N206" s="88"/>
      <c r="O206" s="88"/>
      <c r="P206" s="88"/>
      <c r="Q206" s="88"/>
      <c r="R206" s="88"/>
      <c r="S206" s="88"/>
      <c r="T206" s="88"/>
      <c r="U206" s="88"/>
      <c r="V206" s="88"/>
      <c r="W206" s="88"/>
      <c r="X206" s="88"/>
      <c r="Y206" s="88"/>
      <c r="Z206" s="88"/>
      <c r="AA206" s="88"/>
      <c r="AB206" s="88"/>
      <c r="AC206" s="88"/>
      <c r="AD206" s="88"/>
      <c r="AE206" s="88"/>
      <c r="AF206" s="88"/>
      <c r="AG206" s="88"/>
      <c r="AH206" s="88"/>
      <c r="AI206" s="88"/>
      <c r="AJ206" s="88"/>
    </row>
    <row r="207" spans="1:36" ht="15">
      <c r="A207" s="88" t="s">
        <v>328</v>
      </c>
      <c r="B207" s="88" t="s">
        <v>408</v>
      </c>
      <c r="C207" s="88" t="s">
        <v>7</v>
      </c>
      <c r="D207" s="88" t="s">
        <v>1789</v>
      </c>
      <c r="E207" s="88" t="s">
        <v>1790</v>
      </c>
      <c r="F207" s="88"/>
      <c r="G207" s="88"/>
      <c r="H207" s="88"/>
      <c r="I207" s="88"/>
      <c r="J207" s="88"/>
      <c r="K207" s="88"/>
      <c r="L207" s="88"/>
      <c r="M207" s="88"/>
      <c r="N207" s="88"/>
      <c r="O207" s="88"/>
      <c r="P207" s="88"/>
      <c r="Q207" s="88"/>
      <c r="R207" s="88"/>
      <c r="S207" s="88"/>
      <c r="T207" s="88"/>
      <c r="U207" s="88"/>
      <c r="V207" s="88"/>
      <c r="W207" s="88"/>
      <c r="X207" s="88"/>
      <c r="Y207" s="88"/>
      <c r="Z207" s="88"/>
      <c r="AA207" s="88"/>
      <c r="AB207" s="88"/>
      <c r="AC207" s="88"/>
      <c r="AD207" s="88"/>
      <c r="AE207" s="88"/>
      <c r="AF207" s="88"/>
      <c r="AG207" s="88"/>
      <c r="AH207" s="88"/>
      <c r="AI207" s="88"/>
      <c r="AJ207" s="88"/>
    </row>
    <row r="208" spans="1:36" ht="15">
      <c r="A208" s="88" t="s">
        <v>328</v>
      </c>
      <c r="B208" s="88" t="s">
        <v>676</v>
      </c>
      <c r="C208" s="88" t="s">
        <v>7</v>
      </c>
      <c r="D208" s="88" t="s">
        <v>1791</v>
      </c>
      <c r="E208" s="88" t="s">
        <v>1792</v>
      </c>
      <c r="F208" s="88"/>
      <c r="G208" s="88"/>
      <c r="H208" s="88"/>
      <c r="I208" s="88"/>
      <c r="J208" s="88"/>
      <c r="K208" s="88"/>
      <c r="L208" s="88"/>
      <c r="M208" s="88"/>
      <c r="N208" s="88"/>
      <c r="O208" s="88"/>
      <c r="P208" s="88"/>
      <c r="Q208" s="88"/>
      <c r="R208" s="88"/>
      <c r="S208" s="88"/>
      <c r="T208" s="88"/>
      <c r="U208" s="88"/>
      <c r="V208" s="88"/>
      <c r="W208" s="88"/>
      <c r="X208" s="88"/>
      <c r="Y208" s="88"/>
      <c r="Z208" s="88"/>
      <c r="AA208" s="88"/>
      <c r="AB208" s="88"/>
      <c r="AC208" s="88"/>
      <c r="AD208" s="88"/>
      <c r="AE208" s="88"/>
      <c r="AF208" s="88"/>
      <c r="AG208" s="88"/>
      <c r="AH208" s="88"/>
      <c r="AI208" s="88"/>
      <c r="AJ208" s="88"/>
    </row>
    <row r="209" spans="1:36" ht="15">
      <c r="A209" s="88" t="s">
        <v>328</v>
      </c>
      <c r="B209" s="88" t="s">
        <v>329</v>
      </c>
      <c r="C209" s="88" t="s">
        <v>7</v>
      </c>
      <c r="D209" s="88" t="s">
        <v>1793</v>
      </c>
      <c r="E209" s="88" t="s">
        <v>1794</v>
      </c>
      <c r="F209" s="88"/>
      <c r="G209" s="88"/>
      <c r="H209" s="88"/>
      <c r="I209" s="88"/>
      <c r="J209" s="88"/>
      <c r="K209" s="88"/>
      <c r="L209" s="88"/>
      <c r="M209" s="88"/>
      <c r="N209" s="88"/>
      <c r="O209" s="88"/>
      <c r="P209" s="88"/>
      <c r="Q209" s="88"/>
      <c r="R209" s="88"/>
      <c r="S209" s="88"/>
      <c r="T209" s="88"/>
      <c r="U209" s="88"/>
      <c r="V209" s="88"/>
      <c r="W209" s="88"/>
      <c r="X209" s="88"/>
      <c r="Y209" s="88"/>
      <c r="Z209" s="88"/>
      <c r="AA209" s="88"/>
      <c r="AB209" s="88"/>
      <c r="AC209" s="88"/>
      <c r="AD209" s="88"/>
      <c r="AE209" s="88"/>
      <c r="AF209" s="88"/>
      <c r="AG209" s="88"/>
      <c r="AH209" s="88"/>
      <c r="AI209" s="88"/>
      <c r="AJ209" s="88"/>
    </row>
    <row r="210" spans="1:36" ht="15">
      <c r="A210" s="88" t="s">
        <v>328</v>
      </c>
      <c r="B210" s="88" t="s">
        <v>722</v>
      </c>
      <c r="C210" s="88" t="s">
        <v>7</v>
      </c>
      <c r="D210" s="88" t="s">
        <v>1795</v>
      </c>
      <c r="E210" s="88" t="s">
        <v>1796</v>
      </c>
      <c r="F210" s="88"/>
      <c r="G210" s="88"/>
      <c r="H210" s="88"/>
      <c r="I210" s="88"/>
      <c r="J210" s="88"/>
      <c r="K210" s="88"/>
      <c r="L210" s="88"/>
      <c r="M210" s="88"/>
      <c r="N210" s="88"/>
      <c r="O210" s="88"/>
      <c r="P210" s="88"/>
      <c r="Q210" s="88"/>
      <c r="R210" s="88"/>
      <c r="S210" s="88"/>
      <c r="T210" s="88"/>
      <c r="U210" s="88"/>
      <c r="V210" s="88"/>
      <c r="W210" s="88"/>
      <c r="X210" s="88"/>
      <c r="Y210" s="88"/>
      <c r="Z210" s="88"/>
      <c r="AA210" s="88"/>
      <c r="AB210" s="88"/>
      <c r="AC210" s="88"/>
      <c r="AD210" s="88"/>
      <c r="AE210" s="88"/>
      <c r="AF210" s="88"/>
      <c r="AG210" s="88"/>
      <c r="AH210" s="88"/>
      <c r="AI210" s="88"/>
      <c r="AJ210" s="88"/>
    </row>
    <row r="211" spans="1:36" ht="15">
      <c r="A211" s="88" t="s">
        <v>328</v>
      </c>
      <c r="B211" s="88" t="s">
        <v>746</v>
      </c>
      <c r="C211" s="88" t="s">
        <v>7</v>
      </c>
      <c r="D211" s="88" t="s">
        <v>1797</v>
      </c>
      <c r="E211" s="88" t="s">
        <v>1798</v>
      </c>
      <c r="F211" s="88"/>
      <c r="G211" s="88"/>
      <c r="H211" s="88"/>
      <c r="I211" s="88"/>
      <c r="J211" s="88"/>
      <c r="K211" s="88"/>
      <c r="L211" s="88"/>
      <c r="M211" s="88"/>
      <c r="N211" s="88"/>
      <c r="O211" s="88"/>
      <c r="P211" s="88"/>
      <c r="Q211" s="88"/>
      <c r="R211" s="88"/>
      <c r="S211" s="88"/>
      <c r="T211" s="88"/>
      <c r="U211" s="88"/>
      <c r="V211" s="88"/>
      <c r="W211" s="88"/>
      <c r="X211" s="88"/>
      <c r="Y211" s="88"/>
      <c r="Z211" s="88"/>
      <c r="AA211" s="88"/>
      <c r="AB211" s="88"/>
      <c r="AC211" s="88"/>
      <c r="AD211" s="88"/>
      <c r="AE211" s="88"/>
      <c r="AF211" s="88"/>
      <c r="AG211" s="88"/>
      <c r="AH211" s="88"/>
      <c r="AI211" s="88"/>
      <c r="AJ211" s="88"/>
    </row>
    <row r="212" spans="1:36" ht="15">
      <c r="A212" s="88" t="s">
        <v>328</v>
      </c>
      <c r="B212" s="88" t="s">
        <v>769</v>
      </c>
      <c r="C212" s="88" t="s">
        <v>7</v>
      </c>
      <c r="D212" s="88" t="s">
        <v>1799</v>
      </c>
      <c r="E212" s="88" t="s">
        <v>1800</v>
      </c>
      <c r="F212" s="88"/>
      <c r="G212" s="88"/>
      <c r="H212" s="88"/>
      <c r="I212" s="88"/>
      <c r="J212" s="88"/>
      <c r="K212" s="88"/>
      <c r="L212" s="88"/>
      <c r="M212" s="88"/>
      <c r="N212" s="88"/>
      <c r="O212" s="88"/>
      <c r="P212" s="88"/>
      <c r="Q212" s="88"/>
      <c r="R212" s="88"/>
      <c r="S212" s="88"/>
      <c r="T212" s="88"/>
      <c r="U212" s="88"/>
      <c r="V212" s="88"/>
      <c r="W212" s="88"/>
      <c r="X212" s="88"/>
      <c r="Y212" s="88"/>
      <c r="Z212" s="88"/>
      <c r="AA212" s="88"/>
      <c r="AB212" s="88"/>
      <c r="AC212" s="88"/>
      <c r="AD212" s="88"/>
      <c r="AE212" s="88"/>
      <c r="AF212" s="88"/>
      <c r="AG212" s="88"/>
      <c r="AH212" s="88"/>
      <c r="AI212" s="88"/>
      <c r="AJ212" s="88"/>
    </row>
    <row r="213" spans="1:36" ht="15">
      <c r="A213" s="88" t="s">
        <v>328</v>
      </c>
      <c r="B213" s="88" t="s">
        <v>791</v>
      </c>
      <c r="C213" s="88" t="s">
        <v>7</v>
      </c>
      <c r="D213" s="88" t="s">
        <v>1801</v>
      </c>
      <c r="E213" s="88" t="s">
        <v>1802</v>
      </c>
      <c r="F213" s="88"/>
      <c r="G213" s="88"/>
      <c r="H213" s="88"/>
      <c r="I213" s="88"/>
      <c r="J213" s="88"/>
      <c r="K213" s="88"/>
      <c r="L213" s="88"/>
      <c r="M213" s="88"/>
      <c r="N213" s="88"/>
      <c r="O213" s="88"/>
      <c r="P213" s="88"/>
      <c r="Q213" s="88"/>
      <c r="R213" s="88"/>
      <c r="S213" s="88"/>
      <c r="T213" s="88"/>
      <c r="U213" s="88"/>
      <c r="V213" s="88"/>
      <c r="W213" s="88"/>
      <c r="X213" s="88"/>
      <c r="Y213" s="88"/>
      <c r="Z213" s="88"/>
      <c r="AA213" s="88"/>
      <c r="AB213" s="88"/>
      <c r="AC213" s="88"/>
      <c r="AD213" s="88"/>
      <c r="AE213" s="88"/>
      <c r="AF213" s="88"/>
      <c r="AG213" s="88"/>
      <c r="AH213" s="88"/>
      <c r="AI213" s="88"/>
      <c r="AJ213" s="88"/>
    </row>
    <row r="214" spans="1:36" ht="15">
      <c r="A214" s="88" t="s">
        <v>328</v>
      </c>
      <c r="B214" s="88" t="s">
        <v>813</v>
      </c>
      <c r="C214" s="88" t="s">
        <v>7</v>
      </c>
      <c r="D214" s="88" t="s">
        <v>1803</v>
      </c>
      <c r="E214" s="88" t="s">
        <v>1804</v>
      </c>
      <c r="F214" s="88"/>
      <c r="G214" s="88"/>
      <c r="H214" s="88"/>
      <c r="I214" s="88"/>
      <c r="J214" s="88"/>
      <c r="K214" s="88"/>
      <c r="L214" s="88"/>
      <c r="M214" s="88"/>
      <c r="N214" s="88"/>
      <c r="O214" s="88"/>
      <c r="P214" s="88"/>
      <c r="Q214" s="88"/>
      <c r="R214" s="88"/>
      <c r="S214" s="88"/>
      <c r="T214" s="88"/>
      <c r="U214" s="88"/>
      <c r="V214" s="88"/>
      <c r="W214" s="88"/>
      <c r="X214" s="88"/>
      <c r="Y214" s="88"/>
      <c r="Z214" s="88"/>
      <c r="AA214" s="88"/>
      <c r="AB214" s="88"/>
      <c r="AC214" s="88"/>
      <c r="AD214" s="88"/>
      <c r="AE214" s="88"/>
      <c r="AF214" s="88"/>
      <c r="AG214" s="88"/>
      <c r="AH214" s="88"/>
      <c r="AI214" s="88"/>
      <c r="AJ214" s="88"/>
    </row>
    <row r="215" spans="1:36" ht="15">
      <c r="A215" s="88" t="s">
        <v>328</v>
      </c>
      <c r="B215" s="88" t="s">
        <v>835</v>
      </c>
      <c r="C215" s="88" t="s">
        <v>7</v>
      </c>
      <c r="D215" s="88" t="s">
        <v>1805</v>
      </c>
      <c r="E215" s="88" t="s">
        <v>1806</v>
      </c>
      <c r="F215" s="88"/>
      <c r="G215" s="88"/>
      <c r="H215" s="88"/>
      <c r="I215" s="88"/>
      <c r="J215" s="88"/>
      <c r="K215" s="88"/>
      <c r="L215" s="88"/>
      <c r="M215" s="88"/>
      <c r="N215" s="88"/>
      <c r="O215" s="88"/>
      <c r="P215" s="88"/>
      <c r="Q215" s="88"/>
      <c r="R215" s="88"/>
      <c r="S215" s="88"/>
      <c r="T215" s="88"/>
      <c r="U215" s="88"/>
      <c r="V215" s="88"/>
      <c r="W215" s="88"/>
      <c r="X215" s="88"/>
      <c r="Y215" s="88"/>
      <c r="Z215" s="88"/>
      <c r="AA215" s="88"/>
      <c r="AB215" s="88"/>
      <c r="AC215" s="88"/>
      <c r="AD215" s="88"/>
      <c r="AE215" s="88"/>
      <c r="AF215" s="88"/>
      <c r="AG215" s="88"/>
      <c r="AH215" s="88"/>
      <c r="AI215" s="88"/>
      <c r="AJ215" s="88"/>
    </row>
    <row r="216" spans="1:36" ht="15">
      <c r="A216" s="88" t="s">
        <v>328</v>
      </c>
      <c r="B216" s="88" t="s">
        <v>855</v>
      </c>
      <c r="C216" s="88" t="s">
        <v>7</v>
      </c>
      <c r="D216" s="88" t="s">
        <v>1807</v>
      </c>
      <c r="E216" s="88" t="s">
        <v>1808</v>
      </c>
      <c r="F216" s="88"/>
      <c r="G216" s="88"/>
      <c r="H216" s="88"/>
      <c r="I216" s="88"/>
      <c r="J216" s="88"/>
      <c r="K216" s="88"/>
      <c r="L216" s="88"/>
      <c r="M216" s="88"/>
      <c r="N216" s="88"/>
      <c r="O216" s="88"/>
      <c r="P216" s="88"/>
      <c r="Q216" s="88"/>
      <c r="R216" s="88"/>
      <c r="S216" s="88"/>
      <c r="T216" s="88"/>
      <c r="U216" s="88"/>
      <c r="V216" s="88"/>
      <c r="W216" s="88"/>
      <c r="X216" s="88"/>
      <c r="Y216" s="88"/>
      <c r="Z216" s="88"/>
      <c r="AA216" s="88"/>
      <c r="AB216" s="88"/>
      <c r="AC216" s="88"/>
      <c r="AD216" s="88"/>
      <c r="AE216" s="88"/>
      <c r="AF216" s="88"/>
      <c r="AG216" s="88"/>
      <c r="AH216" s="88"/>
      <c r="AI216" s="88"/>
      <c r="AJ216" s="88"/>
    </row>
    <row r="217" spans="1:36" ht="15">
      <c r="A217" s="88" t="s">
        <v>328</v>
      </c>
      <c r="B217" s="88" t="s">
        <v>875</v>
      </c>
      <c r="C217" s="88" t="s">
        <v>7</v>
      </c>
      <c r="D217" s="88" t="s">
        <v>1809</v>
      </c>
      <c r="E217" s="88" t="s">
        <v>1810</v>
      </c>
      <c r="F217" s="88"/>
      <c r="G217" s="88"/>
      <c r="H217" s="88"/>
      <c r="I217" s="88"/>
      <c r="J217" s="88"/>
      <c r="K217" s="88"/>
      <c r="L217" s="88"/>
      <c r="M217" s="88"/>
      <c r="N217" s="88"/>
      <c r="O217" s="88"/>
      <c r="P217" s="88"/>
      <c r="Q217" s="88"/>
      <c r="R217" s="88"/>
      <c r="S217" s="88"/>
      <c r="T217" s="88"/>
      <c r="U217" s="88"/>
      <c r="V217" s="88"/>
      <c r="W217" s="88"/>
      <c r="X217" s="88"/>
      <c r="Y217" s="88"/>
      <c r="Z217" s="88"/>
      <c r="AA217" s="88"/>
      <c r="AB217" s="88"/>
      <c r="AC217" s="88"/>
      <c r="AD217" s="88"/>
      <c r="AE217" s="88"/>
      <c r="AF217" s="88"/>
      <c r="AG217" s="88"/>
      <c r="AH217" s="88"/>
      <c r="AI217" s="88"/>
      <c r="AJ217" s="88"/>
    </row>
    <row r="218" spans="1:36" ht="15">
      <c r="A218" s="88" t="s">
        <v>328</v>
      </c>
      <c r="B218" s="88" t="s">
        <v>894</v>
      </c>
      <c r="C218" s="88" t="s">
        <v>7</v>
      </c>
      <c r="D218" s="88" t="s">
        <v>1811</v>
      </c>
      <c r="E218" s="88" t="s">
        <v>1812</v>
      </c>
      <c r="F218" s="88"/>
      <c r="G218" s="88"/>
      <c r="H218" s="88"/>
      <c r="I218" s="88"/>
      <c r="J218" s="88"/>
      <c r="K218" s="88"/>
      <c r="L218" s="88"/>
      <c r="M218" s="88"/>
      <c r="N218" s="88"/>
      <c r="O218" s="88"/>
      <c r="P218" s="88"/>
      <c r="Q218" s="88"/>
      <c r="R218" s="88"/>
      <c r="S218" s="88"/>
      <c r="T218" s="88"/>
      <c r="U218" s="88"/>
      <c r="V218" s="88"/>
      <c r="W218" s="88"/>
      <c r="X218" s="88"/>
      <c r="Y218" s="88"/>
      <c r="Z218" s="88"/>
      <c r="AA218" s="88"/>
      <c r="AB218" s="88"/>
      <c r="AC218" s="88"/>
      <c r="AD218" s="88"/>
      <c r="AE218" s="88"/>
      <c r="AF218" s="88"/>
      <c r="AG218" s="88"/>
      <c r="AH218" s="88"/>
      <c r="AI218" s="88"/>
      <c r="AJ218" s="88"/>
    </row>
    <row r="219" spans="1:36" ht="15">
      <c r="A219" s="88" t="s">
        <v>328</v>
      </c>
      <c r="B219" s="88" t="s">
        <v>913</v>
      </c>
      <c r="C219" s="88" t="s">
        <v>7</v>
      </c>
      <c r="D219" s="88" t="s">
        <v>1813</v>
      </c>
      <c r="E219" s="88" t="s">
        <v>1814</v>
      </c>
      <c r="F219" s="88"/>
      <c r="G219" s="88"/>
      <c r="H219" s="88"/>
      <c r="I219" s="88"/>
      <c r="J219" s="88"/>
      <c r="K219" s="88"/>
      <c r="L219" s="88"/>
      <c r="M219" s="88"/>
      <c r="N219" s="88"/>
      <c r="O219" s="88"/>
      <c r="P219" s="88"/>
      <c r="Q219" s="88"/>
      <c r="R219" s="88"/>
      <c r="S219" s="88"/>
      <c r="T219" s="88"/>
      <c r="U219" s="88"/>
      <c r="V219" s="88"/>
      <c r="W219" s="88"/>
      <c r="X219" s="88"/>
      <c r="Y219" s="88"/>
      <c r="Z219" s="88"/>
      <c r="AA219" s="88"/>
      <c r="AB219" s="88"/>
      <c r="AC219" s="88"/>
      <c r="AD219" s="88"/>
      <c r="AE219" s="88"/>
      <c r="AF219" s="88"/>
      <c r="AG219" s="88"/>
      <c r="AH219" s="88"/>
      <c r="AI219" s="88"/>
      <c r="AJ219" s="88"/>
    </row>
    <row r="220" spans="1:36" ht="15">
      <c r="A220" s="88" t="s">
        <v>328</v>
      </c>
      <c r="B220" s="88" t="s">
        <v>931</v>
      </c>
      <c r="C220" s="88" t="s">
        <v>7</v>
      </c>
      <c r="D220" s="88" t="s">
        <v>1815</v>
      </c>
      <c r="E220" s="88" t="s">
        <v>1816</v>
      </c>
      <c r="F220" s="88"/>
      <c r="G220" s="88"/>
      <c r="H220" s="88"/>
      <c r="I220" s="88"/>
      <c r="J220" s="88"/>
      <c r="K220" s="88"/>
      <c r="L220" s="88"/>
      <c r="M220" s="88"/>
      <c r="N220" s="88"/>
      <c r="O220" s="88"/>
      <c r="P220" s="88"/>
      <c r="Q220" s="88"/>
      <c r="R220" s="88"/>
      <c r="S220" s="88"/>
      <c r="T220" s="88"/>
      <c r="U220" s="88"/>
      <c r="V220" s="88"/>
      <c r="W220" s="88"/>
      <c r="X220" s="88"/>
      <c r="Y220" s="88"/>
      <c r="Z220" s="88"/>
      <c r="AA220" s="88"/>
      <c r="AB220" s="88"/>
      <c r="AC220" s="88"/>
      <c r="AD220" s="88"/>
      <c r="AE220" s="88"/>
      <c r="AF220" s="88"/>
      <c r="AG220" s="88"/>
      <c r="AH220" s="88"/>
      <c r="AI220" s="88"/>
      <c r="AJ220" s="88"/>
    </row>
    <row r="221" spans="1:36" ht="15">
      <c r="A221" s="88" t="s">
        <v>328</v>
      </c>
      <c r="B221" s="88" t="s">
        <v>948</v>
      </c>
      <c r="C221" s="88" t="s">
        <v>7</v>
      </c>
      <c r="D221" s="88" t="s">
        <v>1817</v>
      </c>
      <c r="E221" s="88" t="s">
        <v>1818</v>
      </c>
      <c r="F221" s="88"/>
      <c r="G221" s="88"/>
      <c r="H221" s="88"/>
      <c r="I221" s="88"/>
      <c r="J221" s="88"/>
      <c r="K221" s="88"/>
      <c r="L221" s="88"/>
      <c r="M221" s="88"/>
      <c r="N221" s="88"/>
      <c r="O221" s="88"/>
      <c r="P221" s="88"/>
      <c r="Q221" s="88"/>
      <c r="R221" s="88"/>
      <c r="S221" s="88"/>
      <c r="T221" s="88"/>
      <c r="U221" s="88"/>
      <c r="V221" s="88"/>
      <c r="W221" s="88"/>
      <c r="X221" s="88"/>
      <c r="Y221" s="88"/>
      <c r="Z221" s="88"/>
      <c r="AA221" s="88"/>
      <c r="AB221" s="88"/>
      <c r="AC221" s="88"/>
      <c r="AD221" s="88"/>
      <c r="AE221" s="88"/>
      <c r="AF221" s="88"/>
      <c r="AG221" s="88"/>
      <c r="AH221" s="88"/>
      <c r="AI221" s="88"/>
      <c r="AJ221" s="88"/>
    </row>
    <row r="222" spans="1:36" ht="15">
      <c r="A222" s="88" t="s">
        <v>328</v>
      </c>
      <c r="B222" s="88" t="s">
        <v>966</v>
      </c>
      <c r="C222" s="88" t="s">
        <v>7</v>
      </c>
      <c r="D222" s="88" t="s">
        <v>1819</v>
      </c>
      <c r="E222" s="88" t="s">
        <v>1820</v>
      </c>
      <c r="F222" s="88"/>
      <c r="G222" s="88"/>
      <c r="H222" s="88"/>
      <c r="I222" s="88"/>
      <c r="J222" s="88"/>
      <c r="K222" s="88"/>
      <c r="L222" s="88"/>
      <c r="M222" s="88"/>
      <c r="N222" s="88"/>
      <c r="O222" s="88"/>
      <c r="P222" s="88"/>
      <c r="Q222" s="88"/>
      <c r="R222" s="88"/>
      <c r="S222" s="88"/>
      <c r="T222" s="88"/>
      <c r="U222" s="88"/>
      <c r="V222" s="88"/>
      <c r="W222" s="88"/>
      <c r="X222" s="88"/>
      <c r="Y222" s="88"/>
      <c r="Z222" s="88"/>
      <c r="AA222" s="88"/>
      <c r="AB222" s="88"/>
      <c r="AC222" s="88"/>
      <c r="AD222" s="88"/>
      <c r="AE222" s="88"/>
      <c r="AF222" s="88"/>
      <c r="AG222" s="88"/>
      <c r="AH222" s="88"/>
      <c r="AI222" s="88"/>
      <c r="AJ222" s="88"/>
    </row>
    <row r="223" spans="1:36" ht="15">
      <c r="A223" s="88" t="s">
        <v>328</v>
      </c>
      <c r="B223" s="88" t="s">
        <v>984</v>
      </c>
      <c r="C223" s="88" t="s">
        <v>7</v>
      </c>
      <c r="D223" s="88" t="s">
        <v>1821</v>
      </c>
      <c r="E223" s="88" t="s">
        <v>1822</v>
      </c>
      <c r="F223" s="88"/>
      <c r="G223" s="88"/>
      <c r="H223" s="88"/>
      <c r="I223" s="88"/>
      <c r="J223" s="88"/>
      <c r="K223" s="88"/>
      <c r="L223" s="88"/>
      <c r="M223" s="88"/>
      <c r="N223" s="88"/>
      <c r="O223" s="88"/>
      <c r="P223" s="88"/>
      <c r="Q223" s="88"/>
      <c r="R223" s="88"/>
      <c r="S223" s="88"/>
      <c r="T223" s="88"/>
      <c r="U223" s="88"/>
      <c r="V223" s="88"/>
      <c r="W223" s="88"/>
      <c r="X223" s="88"/>
      <c r="Y223" s="88"/>
      <c r="Z223" s="88"/>
      <c r="AA223" s="88"/>
      <c r="AB223" s="88"/>
      <c r="AC223" s="88"/>
      <c r="AD223" s="88"/>
      <c r="AE223" s="88"/>
      <c r="AF223" s="88"/>
      <c r="AG223" s="88"/>
      <c r="AH223" s="88"/>
      <c r="AI223" s="88"/>
      <c r="AJ223" s="88"/>
    </row>
    <row r="224" spans="1:36" ht="15">
      <c r="A224" s="88" t="s">
        <v>328</v>
      </c>
      <c r="B224" s="88" t="s">
        <v>1002</v>
      </c>
      <c r="C224" s="88" t="s">
        <v>7</v>
      </c>
      <c r="D224" s="88" t="s">
        <v>1823</v>
      </c>
      <c r="E224" s="88" t="s">
        <v>1824</v>
      </c>
      <c r="F224" s="88"/>
      <c r="G224" s="88"/>
      <c r="H224" s="88"/>
      <c r="I224" s="88"/>
      <c r="J224" s="88"/>
      <c r="K224" s="88"/>
      <c r="L224" s="88"/>
      <c r="M224" s="88"/>
      <c r="N224" s="88"/>
      <c r="O224" s="88"/>
      <c r="P224" s="88"/>
      <c r="Q224" s="88"/>
      <c r="R224" s="88"/>
      <c r="S224" s="88"/>
      <c r="T224" s="88"/>
      <c r="U224" s="88"/>
      <c r="V224" s="88"/>
      <c r="W224" s="88"/>
      <c r="X224" s="88"/>
      <c r="Y224" s="88"/>
      <c r="Z224" s="88"/>
      <c r="AA224" s="88"/>
      <c r="AB224" s="88"/>
      <c r="AC224" s="88"/>
      <c r="AD224" s="88"/>
      <c r="AE224" s="88"/>
      <c r="AF224" s="88"/>
      <c r="AG224" s="88"/>
      <c r="AH224" s="88"/>
      <c r="AI224" s="88"/>
      <c r="AJ224" s="88"/>
    </row>
    <row r="225" spans="1:36" ht="15">
      <c r="A225" s="88" t="s">
        <v>328</v>
      </c>
      <c r="B225" s="88" t="s">
        <v>1016</v>
      </c>
      <c r="C225" s="88" t="s">
        <v>7</v>
      </c>
      <c r="D225" s="88" t="s">
        <v>1825</v>
      </c>
      <c r="E225" s="88" t="s">
        <v>1826</v>
      </c>
      <c r="F225" s="88"/>
      <c r="G225" s="88"/>
      <c r="H225" s="88"/>
      <c r="I225" s="88"/>
      <c r="J225" s="88"/>
      <c r="K225" s="88"/>
      <c r="L225" s="88"/>
      <c r="M225" s="88"/>
      <c r="N225" s="88"/>
      <c r="O225" s="88"/>
      <c r="P225" s="88"/>
      <c r="Q225" s="88"/>
      <c r="R225" s="88"/>
      <c r="S225" s="88"/>
      <c r="T225" s="88"/>
      <c r="U225" s="88"/>
      <c r="V225" s="88"/>
      <c r="W225" s="88"/>
      <c r="X225" s="88"/>
      <c r="Y225" s="88"/>
      <c r="Z225" s="88"/>
      <c r="AA225" s="88"/>
      <c r="AB225" s="88"/>
      <c r="AC225" s="88"/>
      <c r="AD225" s="88"/>
      <c r="AE225" s="88"/>
      <c r="AF225" s="88"/>
      <c r="AG225" s="88"/>
      <c r="AH225" s="88"/>
      <c r="AI225" s="88"/>
      <c r="AJ225" s="88"/>
    </row>
    <row r="226" spans="1:36" ht="15">
      <c r="A226" s="88" t="s">
        <v>328</v>
      </c>
      <c r="B226" s="88" t="s">
        <v>1032</v>
      </c>
      <c r="C226" s="88" t="s">
        <v>7</v>
      </c>
      <c r="D226" s="88" t="s">
        <v>1827</v>
      </c>
      <c r="E226" s="88" t="s">
        <v>1828</v>
      </c>
      <c r="F226" s="88"/>
      <c r="G226" s="88"/>
      <c r="H226" s="88"/>
      <c r="I226" s="88"/>
      <c r="J226" s="88"/>
      <c r="K226" s="88"/>
      <c r="L226" s="88"/>
      <c r="M226" s="88"/>
      <c r="N226" s="88"/>
      <c r="O226" s="88"/>
      <c r="P226" s="88"/>
      <c r="Q226" s="88"/>
      <c r="R226" s="88"/>
      <c r="S226" s="88"/>
      <c r="T226" s="88"/>
      <c r="U226" s="88"/>
      <c r="V226" s="88"/>
      <c r="W226" s="88"/>
      <c r="X226" s="88"/>
      <c r="Y226" s="88"/>
      <c r="Z226" s="88"/>
      <c r="AA226" s="88"/>
      <c r="AB226" s="88"/>
      <c r="AC226" s="88"/>
      <c r="AD226" s="88"/>
      <c r="AE226" s="88"/>
      <c r="AF226" s="88"/>
      <c r="AG226" s="88"/>
      <c r="AH226" s="88"/>
      <c r="AI226" s="88"/>
      <c r="AJ226" s="88"/>
    </row>
    <row r="227" spans="1:36" ht="15">
      <c r="A227" s="88" t="s">
        <v>328</v>
      </c>
      <c r="B227" s="88" t="s">
        <v>1048</v>
      </c>
      <c r="C227" s="88" t="s">
        <v>7</v>
      </c>
      <c r="D227" s="88" t="s">
        <v>1829</v>
      </c>
      <c r="E227" s="88" t="s">
        <v>1830</v>
      </c>
      <c r="F227" s="88"/>
      <c r="G227" s="88"/>
      <c r="H227" s="88"/>
      <c r="I227" s="88"/>
      <c r="J227" s="88"/>
      <c r="K227" s="88"/>
      <c r="L227" s="88"/>
      <c r="M227" s="88"/>
      <c r="N227" s="88"/>
      <c r="O227" s="88"/>
      <c r="P227" s="88"/>
      <c r="Q227" s="88"/>
      <c r="R227" s="88"/>
      <c r="S227" s="88"/>
      <c r="T227" s="88"/>
      <c r="U227" s="88"/>
      <c r="V227" s="88"/>
      <c r="W227" s="88"/>
      <c r="X227" s="88"/>
      <c r="Y227" s="88"/>
      <c r="Z227" s="88"/>
      <c r="AA227" s="88"/>
      <c r="AB227" s="88"/>
      <c r="AC227" s="88"/>
      <c r="AD227" s="88"/>
      <c r="AE227" s="88"/>
      <c r="AF227" s="88"/>
      <c r="AG227" s="88"/>
      <c r="AH227" s="88"/>
      <c r="AI227" s="88"/>
      <c r="AJ227" s="88"/>
    </row>
    <row r="228" spans="1:36" ht="15">
      <c r="A228" s="88" t="s">
        <v>328</v>
      </c>
      <c r="B228" s="88" t="s">
        <v>1062</v>
      </c>
      <c r="C228" s="88" t="s">
        <v>7</v>
      </c>
      <c r="D228" s="88" t="s">
        <v>1831</v>
      </c>
      <c r="E228" s="88" t="s">
        <v>1832</v>
      </c>
      <c r="F228" s="88"/>
      <c r="G228" s="88"/>
      <c r="H228" s="88"/>
      <c r="I228" s="88"/>
      <c r="J228" s="88"/>
      <c r="K228" s="88"/>
      <c r="L228" s="88"/>
      <c r="M228" s="88"/>
      <c r="N228" s="88"/>
      <c r="O228" s="88"/>
      <c r="P228" s="88"/>
      <c r="Q228" s="88"/>
      <c r="R228" s="88"/>
      <c r="S228" s="88"/>
      <c r="T228" s="88"/>
      <c r="U228" s="88"/>
      <c r="V228" s="88"/>
      <c r="W228" s="88"/>
      <c r="X228" s="88"/>
      <c r="Y228" s="88"/>
      <c r="Z228" s="88"/>
      <c r="AA228" s="88"/>
      <c r="AB228" s="88"/>
      <c r="AC228" s="88"/>
      <c r="AD228" s="88"/>
      <c r="AE228" s="88"/>
      <c r="AF228" s="88"/>
      <c r="AG228" s="88"/>
      <c r="AH228" s="88"/>
      <c r="AI228" s="88"/>
      <c r="AJ228" s="88"/>
    </row>
    <row r="229" spans="1:36" ht="15">
      <c r="A229" s="88" t="s">
        <v>328</v>
      </c>
      <c r="B229" s="88" t="s">
        <v>1074</v>
      </c>
      <c r="C229" s="88" t="s">
        <v>7</v>
      </c>
      <c r="D229" s="88" t="s">
        <v>1833</v>
      </c>
      <c r="E229" s="88" t="s">
        <v>1834</v>
      </c>
      <c r="F229" s="88"/>
      <c r="G229" s="88"/>
      <c r="H229" s="88"/>
      <c r="I229" s="88"/>
      <c r="J229" s="88"/>
      <c r="K229" s="88"/>
      <c r="L229" s="88"/>
      <c r="M229" s="88"/>
      <c r="N229" s="88"/>
      <c r="O229" s="88"/>
      <c r="P229" s="88"/>
      <c r="Q229" s="88"/>
      <c r="R229" s="88"/>
      <c r="S229" s="88"/>
      <c r="T229" s="88"/>
      <c r="U229" s="88"/>
      <c r="V229" s="88"/>
      <c r="W229" s="88"/>
      <c r="X229" s="88"/>
      <c r="Y229" s="88"/>
      <c r="Z229" s="88"/>
      <c r="AA229" s="88"/>
      <c r="AB229" s="88"/>
      <c r="AC229" s="88"/>
      <c r="AD229" s="88"/>
      <c r="AE229" s="88"/>
      <c r="AF229" s="88"/>
      <c r="AG229" s="88"/>
      <c r="AH229" s="88"/>
      <c r="AI229" s="88"/>
      <c r="AJ229" s="88"/>
    </row>
    <row r="230" spans="1:36" ht="15">
      <c r="A230" s="88" t="s">
        <v>328</v>
      </c>
      <c r="B230" s="88" t="s">
        <v>1085</v>
      </c>
      <c r="C230" s="88" t="s">
        <v>7</v>
      </c>
      <c r="D230" s="88" t="s">
        <v>1835</v>
      </c>
      <c r="E230" s="88" t="s">
        <v>1836</v>
      </c>
      <c r="F230" s="88"/>
      <c r="G230" s="88"/>
      <c r="H230" s="88"/>
      <c r="I230" s="88"/>
      <c r="J230" s="88"/>
      <c r="K230" s="88"/>
      <c r="L230" s="88"/>
      <c r="M230" s="88"/>
      <c r="N230" s="88"/>
      <c r="O230" s="88"/>
      <c r="P230" s="88"/>
      <c r="Q230" s="88"/>
      <c r="R230" s="88"/>
      <c r="S230" s="88"/>
      <c r="T230" s="88"/>
      <c r="U230" s="88"/>
      <c r="V230" s="88"/>
      <c r="W230" s="88"/>
      <c r="X230" s="88"/>
      <c r="Y230" s="88"/>
      <c r="Z230" s="88"/>
      <c r="AA230" s="88"/>
      <c r="AB230" s="88"/>
      <c r="AC230" s="88"/>
      <c r="AD230" s="88"/>
      <c r="AE230" s="88"/>
      <c r="AF230" s="88"/>
      <c r="AG230" s="88"/>
      <c r="AH230" s="88"/>
      <c r="AI230" s="88"/>
      <c r="AJ230" s="88"/>
    </row>
    <row r="231" spans="1:36" ht="15">
      <c r="A231" s="88" t="s">
        <v>328</v>
      </c>
      <c r="B231" s="88" t="s">
        <v>1098</v>
      </c>
      <c r="C231" s="88" t="s">
        <v>7</v>
      </c>
      <c r="D231" s="88" t="s">
        <v>1837</v>
      </c>
      <c r="E231" s="88" t="s">
        <v>1838</v>
      </c>
      <c r="F231" s="88"/>
      <c r="G231" s="88"/>
      <c r="H231" s="88"/>
      <c r="I231" s="88"/>
      <c r="J231" s="88"/>
      <c r="K231" s="88"/>
      <c r="L231" s="88"/>
      <c r="M231" s="88"/>
      <c r="N231" s="88"/>
      <c r="O231" s="88"/>
      <c r="P231" s="88"/>
      <c r="Q231" s="88"/>
      <c r="R231" s="88"/>
      <c r="S231" s="88"/>
      <c r="T231" s="88"/>
      <c r="U231" s="88"/>
      <c r="V231" s="88"/>
      <c r="W231" s="88"/>
      <c r="X231" s="88"/>
      <c r="Y231" s="88"/>
      <c r="Z231" s="88"/>
      <c r="AA231" s="88"/>
      <c r="AB231" s="88"/>
      <c r="AC231" s="88"/>
      <c r="AD231" s="88"/>
      <c r="AE231" s="88"/>
      <c r="AF231" s="88"/>
      <c r="AG231" s="88"/>
      <c r="AH231" s="88"/>
      <c r="AI231" s="88"/>
      <c r="AJ231" s="88"/>
    </row>
    <row r="232" spans="1:36" ht="15">
      <c r="A232" s="88" t="s">
        <v>328</v>
      </c>
      <c r="B232" s="88" t="s">
        <v>1111</v>
      </c>
      <c r="C232" s="88" t="s">
        <v>7</v>
      </c>
      <c r="D232" s="88" t="s">
        <v>1839</v>
      </c>
      <c r="E232" s="88" t="s">
        <v>1840</v>
      </c>
      <c r="F232" s="88"/>
      <c r="G232" s="88"/>
      <c r="H232" s="88"/>
      <c r="I232" s="88"/>
      <c r="J232" s="88"/>
      <c r="K232" s="88"/>
      <c r="L232" s="88"/>
      <c r="M232" s="88"/>
      <c r="N232" s="88"/>
      <c r="O232" s="88"/>
      <c r="P232" s="88"/>
      <c r="Q232" s="88"/>
      <c r="R232" s="88"/>
      <c r="S232" s="88"/>
      <c r="T232" s="88"/>
      <c r="U232" s="88"/>
      <c r="V232" s="88"/>
      <c r="W232" s="88"/>
      <c r="X232" s="88"/>
      <c r="Y232" s="88"/>
      <c r="Z232" s="88"/>
      <c r="AA232" s="88"/>
      <c r="AB232" s="88"/>
      <c r="AC232" s="88"/>
      <c r="AD232" s="88"/>
      <c r="AE232" s="88"/>
      <c r="AF232" s="88"/>
      <c r="AG232" s="88"/>
      <c r="AH232" s="88"/>
      <c r="AI232" s="88"/>
      <c r="AJ232" s="88"/>
    </row>
    <row r="233" spans="1:36" ht="15">
      <c r="A233" s="88" t="s">
        <v>328</v>
      </c>
      <c r="B233" s="88" t="s">
        <v>1123</v>
      </c>
      <c r="C233" s="88" t="s">
        <v>7</v>
      </c>
      <c r="D233" s="88" t="s">
        <v>1841</v>
      </c>
      <c r="E233" s="88" t="s">
        <v>1842</v>
      </c>
      <c r="F233" s="88"/>
      <c r="G233" s="88"/>
      <c r="H233" s="88"/>
      <c r="I233" s="88"/>
      <c r="J233" s="88"/>
      <c r="K233" s="88"/>
      <c r="L233" s="88"/>
      <c r="M233" s="88"/>
      <c r="N233" s="88"/>
      <c r="O233" s="88"/>
      <c r="P233" s="88"/>
      <c r="Q233" s="88"/>
      <c r="R233" s="88"/>
      <c r="S233" s="88"/>
      <c r="T233" s="88"/>
      <c r="U233" s="88"/>
      <c r="V233" s="88"/>
      <c r="W233" s="88"/>
      <c r="X233" s="88"/>
      <c r="Y233" s="88"/>
      <c r="Z233" s="88"/>
      <c r="AA233" s="88"/>
      <c r="AB233" s="88"/>
      <c r="AC233" s="88"/>
      <c r="AD233" s="88"/>
      <c r="AE233" s="88"/>
      <c r="AF233" s="88"/>
      <c r="AG233" s="88"/>
      <c r="AH233" s="88"/>
      <c r="AI233" s="88"/>
      <c r="AJ233" s="88"/>
    </row>
    <row r="234" spans="1:36" ht="15">
      <c r="A234" s="88" t="s">
        <v>328</v>
      </c>
      <c r="B234" s="88" t="s">
        <v>1133</v>
      </c>
      <c r="C234" s="88" t="s">
        <v>7</v>
      </c>
      <c r="D234" s="88" t="s">
        <v>1843</v>
      </c>
      <c r="E234" s="88" t="s">
        <v>1844</v>
      </c>
      <c r="F234" s="88"/>
      <c r="G234" s="88"/>
      <c r="H234" s="88"/>
      <c r="I234" s="88"/>
      <c r="J234" s="88"/>
      <c r="K234" s="88"/>
      <c r="L234" s="88"/>
      <c r="M234" s="88"/>
      <c r="N234" s="88"/>
      <c r="O234" s="88"/>
      <c r="P234" s="88"/>
      <c r="Q234" s="88"/>
      <c r="R234" s="88"/>
      <c r="S234" s="88"/>
      <c r="T234" s="88"/>
      <c r="U234" s="88"/>
      <c r="V234" s="88"/>
      <c r="W234" s="88"/>
      <c r="X234" s="88"/>
      <c r="Y234" s="88"/>
      <c r="Z234" s="88"/>
      <c r="AA234" s="88"/>
      <c r="AB234" s="88"/>
      <c r="AC234" s="88"/>
      <c r="AD234" s="88"/>
      <c r="AE234" s="88"/>
      <c r="AF234" s="88"/>
      <c r="AG234" s="88"/>
      <c r="AH234" s="88"/>
      <c r="AI234" s="88"/>
      <c r="AJ234" s="88"/>
    </row>
    <row r="235" spans="1:36" ht="15">
      <c r="A235" s="88" t="s">
        <v>328</v>
      </c>
      <c r="B235" s="88" t="s">
        <v>1143</v>
      </c>
      <c r="C235" s="88" t="s">
        <v>7</v>
      </c>
      <c r="D235" s="88" t="s">
        <v>1845</v>
      </c>
      <c r="E235" s="88" t="s">
        <v>1846</v>
      </c>
      <c r="F235" s="88"/>
      <c r="G235" s="88"/>
      <c r="H235" s="88"/>
      <c r="I235" s="88"/>
      <c r="J235" s="88"/>
      <c r="K235" s="88"/>
      <c r="L235" s="88"/>
      <c r="M235" s="88"/>
      <c r="N235" s="88"/>
      <c r="O235" s="88"/>
      <c r="P235" s="88"/>
      <c r="Q235" s="88"/>
      <c r="R235" s="88"/>
      <c r="S235" s="88"/>
      <c r="T235" s="88"/>
      <c r="U235" s="88"/>
      <c r="V235" s="88"/>
      <c r="W235" s="88"/>
      <c r="X235" s="88"/>
      <c r="Y235" s="88"/>
      <c r="Z235" s="88"/>
      <c r="AA235" s="88"/>
      <c r="AB235" s="88"/>
      <c r="AC235" s="88"/>
      <c r="AD235" s="88"/>
      <c r="AE235" s="88"/>
      <c r="AF235" s="88"/>
      <c r="AG235" s="88"/>
      <c r="AH235" s="88"/>
      <c r="AI235" s="88"/>
      <c r="AJ235" s="88"/>
    </row>
    <row r="236" spans="1:36" ht="15">
      <c r="A236" s="88" t="s">
        <v>328</v>
      </c>
      <c r="B236" s="88" t="s">
        <v>1155</v>
      </c>
      <c r="C236" s="88" t="s">
        <v>7</v>
      </c>
      <c r="D236" s="88" t="s">
        <v>1847</v>
      </c>
      <c r="E236" s="88" t="s">
        <v>1848</v>
      </c>
      <c r="F236" s="88"/>
      <c r="G236" s="88"/>
      <c r="H236" s="88"/>
      <c r="I236" s="88"/>
      <c r="J236" s="88"/>
      <c r="K236" s="88"/>
      <c r="L236" s="88"/>
      <c r="M236" s="88"/>
      <c r="N236" s="88"/>
      <c r="O236" s="88"/>
      <c r="P236" s="88"/>
      <c r="Q236" s="88"/>
      <c r="R236" s="88"/>
      <c r="S236" s="88"/>
      <c r="T236" s="88"/>
      <c r="U236" s="88"/>
      <c r="V236" s="88"/>
      <c r="W236" s="88"/>
      <c r="X236" s="88"/>
      <c r="Y236" s="88"/>
      <c r="Z236" s="88"/>
      <c r="AA236" s="88"/>
      <c r="AB236" s="88"/>
      <c r="AC236" s="88"/>
      <c r="AD236" s="88"/>
      <c r="AE236" s="88"/>
      <c r="AF236" s="88"/>
      <c r="AG236" s="88"/>
      <c r="AH236" s="88"/>
      <c r="AI236" s="88"/>
      <c r="AJ236" s="88"/>
    </row>
    <row r="237" spans="1:36" ht="15">
      <c r="A237" s="88" t="s">
        <v>328</v>
      </c>
      <c r="B237" s="88" t="s">
        <v>1166</v>
      </c>
      <c r="C237" s="88" t="s">
        <v>7</v>
      </c>
      <c r="D237" s="88" t="s">
        <v>1849</v>
      </c>
      <c r="E237" s="88" t="s">
        <v>1850</v>
      </c>
      <c r="F237" s="88"/>
      <c r="G237" s="88"/>
      <c r="H237" s="88"/>
      <c r="I237" s="88"/>
      <c r="J237" s="88"/>
      <c r="K237" s="88"/>
      <c r="L237" s="88"/>
      <c r="M237" s="88"/>
      <c r="N237" s="88"/>
      <c r="O237" s="88"/>
      <c r="P237" s="88"/>
      <c r="Q237" s="88"/>
      <c r="R237" s="88"/>
      <c r="S237" s="88"/>
      <c r="T237" s="88"/>
      <c r="U237" s="88"/>
      <c r="V237" s="88"/>
      <c r="W237" s="88"/>
      <c r="X237" s="88"/>
      <c r="Y237" s="88"/>
      <c r="Z237" s="88"/>
      <c r="AA237" s="88"/>
      <c r="AB237" s="88"/>
      <c r="AC237" s="88"/>
      <c r="AD237" s="88"/>
      <c r="AE237" s="88"/>
      <c r="AF237" s="88"/>
      <c r="AG237" s="88"/>
      <c r="AH237" s="88"/>
      <c r="AI237" s="88"/>
      <c r="AJ237" s="88"/>
    </row>
    <row r="238" spans="1:36" ht="15">
      <c r="A238" s="88" t="s">
        <v>328</v>
      </c>
      <c r="B238" s="88" t="s">
        <v>1177</v>
      </c>
      <c r="C238" s="88" t="s">
        <v>7</v>
      </c>
      <c r="D238" s="88" t="s">
        <v>1851</v>
      </c>
      <c r="E238" s="88" t="s">
        <v>1852</v>
      </c>
      <c r="F238" s="88"/>
      <c r="G238" s="88"/>
      <c r="H238" s="88"/>
      <c r="I238" s="88"/>
      <c r="J238" s="88"/>
      <c r="K238" s="88"/>
      <c r="L238" s="88"/>
      <c r="M238" s="88"/>
      <c r="N238" s="88"/>
      <c r="O238" s="88"/>
      <c r="P238" s="88"/>
      <c r="Q238" s="88"/>
      <c r="R238" s="88"/>
      <c r="S238" s="88"/>
      <c r="T238" s="88"/>
      <c r="U238" s="88"/>
      <c r="V238" s="88"/>
      <c r="W238" s="88"/>
      <c r="X238" s="88"/>
      <c r="Y238" s="88"/>
      <c r="Z238" s="88"/>
      <c r="AA238" s="88"/>
      <c r="AB238" s="88"/>
      <c r="AC238" s="88"/>
      <c r="AD238" s="88"/>
      <c r="AE238" s="88"/>
      <c r="AF238" s="88"/>
      <c r="AG238" s="88"/>
      <c r="AH238" s="88"/>
      <c r="AI238" s="88"/>
      <c r="AJ238" s="88"/>
    </row>
    <row r="239" spans="1:36" ht="15">
      <c r="A239" s="88" t="s">
        <v>328</v>
      </c>
      <c r="B239" s="88" t="s">
        <v>1188</v>
      </c>
      <c r="C239" s="88" t="s">
        <v>7</v>
      </c>
      <c r="D239" s="88" t="s">
        <v>1853</v>
      </c>
      <c r="E239" s="88" t="s">
        <v>1854</v>
      </c>
      <c r="F239" s="88"/>
      <c r="G239" s="88"/>
      <c r="H239" s="88"/>
      <c r="I239" s="88"/>
      <c r="J239" s="88"/>
      <c r="K239" s="88"/>
      <c r="L239" s="88"/>
      <c r="M239" s="88"/>
      <c r="N239" s="88"/>
      <c r="O239" s="88"/>
      <c r="P239" s="88"/>
      <c r="Q239" s="88"/>
      <c r="R239" s="88"/>
      <c r="S239" s="88"/>
      <c r="T239" s="88"/>
      <c r="U239" s="88"/>
      <c r="V239" s="88"/>
      <c r="W239" s="88"/>
      <c r="X239" s="88"/>
      <c r="Y239" s="88"/>
      <c r="Z239" s="88"/>
      <c r="AA239" s="88"/>
      <c r="AB239" s="88"/>
      <c r="AC239" s="88"/>
      <c r="AD239" s="88"/>
      <c r="AE239" s="88"/>
      <c r="AF239" s="88"/>
      <c r="AG239" s="88"/>
      <c r="AH239" s="88"/>
      <c r="AI239" s="88"/>
      <c r="AJ239" s="88"/>
    </row>
    <row r="240" spans="1:36" ht="15">
      <c r="A240" s="88" t="s">
        <v>328</v>
      </c>
      <c r="B240" s="88" t="s">
        <v>1196</v>
      </c>
      <c r="C240" s="88" t="s">
        <v>7</v>
      </c>
      <c r="D240" s="88" t="s">
        <v>1855</v>
      </c>
      <c r="E240" s="88" t="s">
        <v>1856</v>
      </c>
      <c r="F240" s="88"/>
      <c r="G240" s="88"/>
      <c r="H240" s="88"/>
      <c r="I240" s="88"/>
      <c r="J240" s="88"/>
      <c r="K240" s="88"/>
      <c r="L240" s="88"/>
      <c r="M240" s="88"/>
      <c r="N240" s="88"/>
      <c r="O240" s="88"/>
      <c r="P240" s="88"/>
      <c r="Q240" s="88"/>
      <c r="R240" s="88"/>
      <c r="S240" s="88"/>
      <c r="T240" s="88"/>
      <c r="U240" s="88"/>
      <c r="V240" s="88"/>
      <c r="W240" s="88"/>
      <c r="X240" s="88"/>
      <c r="Y240" s="88"/>
      <c r="Z240" s="88"/>
      <c r="AA240" s="88"/>
      <c r="AB240" s="88"/>
      <c r="AC240" s="88"/>
      <c r="AD240" s="88"/>
      <c r="AE240" s="88"/>
      <c r="AF240" s="88"/>
      <c r="AG240" s="88"/>
      <c r="AH240" s="88"/>
      <c r="AI240" s="88"/>
      <c r="AJ240" s="88"/>
    </row>
    <row r="241" spans="1:36" ht="15">
      <c r="A241" s="88" t="s">
        <v>328</v>
      </c>
      <c r="B241" s="88" t="s">
        <v>1204</v>
      </c>
      <c r="C241" s="88" t="s">
        <v>7</v>
      </c>
      <c r="D241" s="88" t="s">
        <v>1857</v>
      </c>
      <c r="E241" s="88" t="s">
        <v>1858</v>
      </c>
      <c r="F241" s="88"/>
      <c r="G241" s="88"/>
      <c r="H241" s="88"/>
      <c r="I241" s="88"/>
      <c r="J241" s="88"/>
      <c r="K241" s="88"/>
      <c r="L241" s="88"/>
      <c r="M241" s="88"/>
      <c r="N241" s="88"/>
      <c r="O241" s="88"/>
      <c r="P241" s="88"/>
      <c r="Q241" s="88"/>
      <c r="R241" s="88"/>
      <c r="S241" s="88"/>
      <c r="T241" s="88"/>
      <c r="U241" s="88"/>
      <c r="V241" s="88"/>
      <c r="W241" s="88"/>
      <c r="X241" s="88"/>
      <c r="Y241" s="88"/>
      <c r="Z241" s="88"/>
      <c r="AA241" s="88"/>
      <c r="AB241" s="88"/>
      <c r="AC241" s="88"/>
      <c r="AD241" s="88"/>
      <c r="AE241" s="88"/>
      <c r="AF241" s="88"/>
      <c r="AG241" s="88"/>
      <c r="AH241" s="88"/>
      <c r="AI241" s="88"/>
      <c r="AJ241" s="88"/>
    </row>
    <row r="242" spans="1:36" ht="15">
      <c r="A242" s="88" t="s">
        <v>328</v>
      </c>
      <c r="B242" s="88" t="s">
        <v>1213</v>
      </c>
      <c r="C242" s="88" t="s">
        <v>7</v>
      </c>
      <c r="D242" s="88" t="s">
        <v>1859</v>
      </c>
      <c r="E242" s="88" t="s">
        <v>1860</v>
      </c>
      <c r="F242" s="88"/>
      <c r="G242" s="88"/>
      <c r="H242" s="88"/>
      <c r="I242" s="88"/>
      <c r="J242" s="88"/>
      <c r="K242" s="88"/>
      <c r="L242" s="88"/>
      <c r="M242" s="88"/>
      <c r="N242" s="88"/>
      <c r="O242" s="88"/>
      <c r="P242" s="88"/>
      <c r="Q242" s="88"/>
      <c r="R242" s="88"/>
      <c r="S242" s="88"/>
      <c r="T242" s="88"/>
      <c r="U242" s="88"/>
      <c r="V242" s="88"/>
      <c r="W242" s="88"/>
      <c r="X242" s="88"/>
      <c r="Y242" s="88"/>
      <c r="Z242" s="88"/>
      <c r="AA242" s="88"/>
      <c r="AB242" s="88"/>
      <c r="AC242" s="88"/>
      <c r="AD242" s="88"/>
      <c r="AE242" s="88"/>
      <c r="AF242" s="88"/>
      <c r="AG242" s="88"/>
      <c r="AH242" s="88"/>
      <c r="AI242" s="88"/>
      <c r="AJ242" s="88"/>
    </row>
    <row r="243" spans="1:36" ht="15">
      <c r="A243" s="88" t="s">
        <v>328</v>
      </c>
      <c r="B243" s="88" t="s">
        <v>1221</v>
      </c>
      <c r="C243" s="88" t="s">
        <v>7</v>
      </c>
      <c r="D243" s="88" t="s">
        <v>1861</v>
      </c>
      <c r="E243" s="88" t="s">
        <v>1862</v>
      </c>
      <c r="F243" s="88"/>
      <c r="G243" s="88"/>
      <c r="H243" s="88"/>
      <c r="I243" s="88"/>
      <c r="J243" s="88"/>
      <c r="K243" s="88"/>
      <c r="L243" s="88"/>
      <c r="M243" s="88"/>
      <c r="N243" s="88"/>
      <c r="O243" s="88"/>
      <c r="P243" s="88"/>
      <c r="Q243" s="88"/>
      <c r="R243" s="88"/>
      <c r="S243" s="88"/>
      <c r="T243" s="88"/>
      <c r="U243" s="88"/>
      <c r="V243" s="88"/>
      <c r="W243" s="88"/>
      <c r="X243" s="88"/>
      <c r="Y243" s="88"/>
      <c r="Z243" s="88"/>
      <c r="AA243" s="88"/>
      <c r="AB243" s="88"/>
      <c r="AC243" s="88"/>
      <c r="AD243" s="88"/>
      <c r="AE243" s="88"/>
      <c r="AF243" s="88"/>
      <c r="AG243" s="88"/>
      <c r="AH243" s="88"/>
      <c r="AI243" s="88"/>
      <c r="AJ243" s="88"/>
    </row>
    <row r="244" spans="1:36" ht="15">
      <c r="A244" s="88" t="s">
        <v>328</v>
      </c>
      <c r="B244" s="88" t="s">
        <v>1228</v>
      </c>
      <c r="C244" s="88" t="s">
        <v>7</v>
      </c>
      <c r="D244" s="88" t="s">
        <v>1863</v>
      </c>
      <c r="E244" s="88" t="s">
        <v>1864</v>
      </c>
      <c r="F244" s="88"/>
      <c r="G244" s="88"/>
      <c r="H244" s="88"/>
      <c r="I244" s="88"/>
      <c r="J244" s="88"/>
      <c r="K244" s="88"/>
      <c r="L244" s="88"/>
      <c r="M244" s="88"/>
      <c r="N244" s="88"/>
      <c r="O244" s="88"/>
      <c r="P244" s="88"/>
      <c r="Q244" s="88"/>
      <c r="R244" s="88"/>
      <c r="S244" s="88"/>
      <c r="T244" s="88"/>
      <c r="U244" s="88"/>
      <c r="V244" s="88"/>
      <c r="W244" s="88"/>
      <c r="X244" s="88"/>
      <c r="Y244" s="88"/>
      <c r="Z244" s="88"/>
      <c r="AA244" s="88"/>
      <c r="AB244" s="88"/>
      <c r="AC244" s="88"/>
      <c r="AD244" s="88"/>
      <c r="AE244" s="88"/>
      <c r="AF244" s="88"/>
      <c r="AG244" s="88"/>
      <c r="AH244" s="88"/>
      <c r="AI244" s="88"/>
      <c r="AJ244" s="88"/>
    </row>
    <row r="245" spans="1:36" ht="15">
      <c r="A245" s="88" t="s">
        <v>328</v>
      </c>
      <c r="B245" s="88" t="s">
        <v>481</v>
      </c>
      <c r="C245" s="88" t="s">
        <v>7</v>
      </c>
      <c r="D245" s="88" t="s">
        <v>1865</v>
      </c>
      <c r="E245" s="88" t="s">
        <v>1866</v>
      </c>
      <c r="F245" s="88"/>
      <c r="G245" s="88"/>
      <c r="H245" s="88"/>
      <c r="I245" s="88"/>
      <c r="J245" s="88"/>
      <c r="K245" s="88"/>
      <c r="L245" s="88"/>
      <c r="M245" s="88"/>
      <c r="N245" s="88"/>
      <c r="O245" s="88"/>
      <c r="P245" s="88"/>
      <c r="Q245" s="88"/>
      <c r="R245" s="88"/>
      <c r="S245" s="88"/>
      <c r="T245" s="88"/>
      <c r="U245" s="88"/>
      <c r="V245" s="88"/>
      <c r="W245" s="88"/>
      <c r="X245" s="88"/>
      <c r="Y245" s="88"/>
      <c r="Z245" s="88"/>
      <c r="AA245" s="88"/>
      <c r="AB245" s="88"/>
      <c r="AC245" s="88"/>
      <c r="AD245" s="88"/>
      <c r="AE245" s="88"/>
      <c r="AF245" s="88"/>
      <c r="AG245" s="88"/>
      <c r="AH245" s="88"/>
      <c r="AI245" s="88"/>
      <c r="AJ245" s="88"/>
    </row>
    <row r="246" spans="1:36" ht="15">
      <c r="A246" s="88" t="s">
        <v>328</v>
      </c>
      <c r="B246" s="88" t="s">
        <v>1241</v>
      </c>
      <c r="C246" s="88" t="s">
        <v>7</v>
      </c>
      <c r="D246" s="88" t="s">
        <v>1867</v>
      </c>
      <c r="E246" s="88" t="s">
        <v>1868</v>
      </c>
      <c r="F246" s="88"/>
      <c r="G246" s="88"/>
      <c r="H246" s="88"/>
      <c r="I246" s="88"/>
      <c r="J246" s="88"/>
      <c r="K246" s="88"/>
      <c r="L246" s="88"/>
      <c r="M246" s="88"/>
      <c r="N246" s="88"/>
      <c r="O246" s="88"/>
      <c r="P246" s="88"/>
      <c r="Q246" s="88"/>
      <c r="R246" s="88"/>
      <c r="S246" s="88"/>
      <c r="T246" s="88"/>
      <c r="U246" s="88"/>
      <c r="V246" s="88"/>
      <c r="W246" s="88"/>
      <c r="X246" s="88"/>
      <c r="Y246" s="88"/>
      <c r="Z246" s="88"/>
      <c r="AA246" s="88"/>
      <c r="AB246" s="88"/>
      <c r="AC246" s="88"/>
      <c r="AD246" s="88"/>
      <c r="AE246" s="88"/>
      <c r="AF246" s="88"/>
      <c r="AG246" s="88"/>
      <c r="AH246" s="88"/>
      <c r="AI246" s="88"/>
      <c r="AJ246" s="88"/>
    </row>
    <row r="247" spans="1:36" ht="15">
      <c r="A247" s="88" t="s">
        <v>328</v>
      </c>
      <c r="B247" s="88" t="s">
        <v>1248</v>
      </c>
      <c r="C247" s="88" t="s">
        <v>7</v>
      </c>
      <c r="D247" s="88" t="s">
        <v>1869</v>
      </c>
      <c r="E247" s="88" t="s">
        <v>1870</v>
      </c>
      <c r="F247" s="88"/>
      <c r="G247" s="88"/>
      <c r="H247" s="88"/>
      <c r="I247" s="88"/>
      <c r="J247" s="88"/>
      <c r="K247" s="88"/>
      <c r="L247" s="88"/>
      <c r="M247" s="88"/>
      <c r="N247" s="88"/>
      <c r="O247" s="88"/>
      <c r="P247" s="88"/>
      <c r="Q247" s="88"/>
      <c r="R247" s="88"/>
      <c r="S247" s="88"/>
      <c r="T247" s="88"/>
      <c r="U247" s="88"/>
      <c r="V247" s="88"/>
      <c r="W247" s="88"/>
      <c r="X247" s="88"/>
      <c r="Y247" s="88"/>
      <c r="Z247" s="88"/>
      <c r="AA247" s="88"/>
      <c r="AB247" s="88"/>
      <c r="AC247" s="88"/>
      <c r="AD247" s="88"/>
      <c r="AE247" s="88"/>
      <c r="AF247" s="88"/>
      <c r="AG247" s="88"/>
      <c r="AH247" s="88"/>
      <c r="AI247" s="88"/>
      <c r="AJ247" s="88"/>
    </row>
    <row r="248" spans="1:36" ht="15">
      <c r="A248" s="88" t="s">
        <v>328</v>
      </c>
      <c r="B248" s="88" t="s">
        <v>1254</v>
      </c>
      <c r="C248" s="88" t="s">
        <v>7</v>
      </c>
      <c r="D248" s="88" t="s">
        <v>1871</v>
      </c>
      <c r="E248" s="88" t="s">
        <v>1872</v>
      </c>
      <c r="F248" s="88"/>
      <c r="G248" s="88"/>
      <c r="H248" s="88"/>
      <c r="I248" s="88"/>
      <c r="J248" s="88"/>
      <c r="K248" s="88"/>
      <c r="L248" s="88"/>
      <c r="M248" s="88"/>
      <c r="N248" s="88"/>
      <c r="O248" s="88"/>
      <c r="P248" s="88"/>
      <c r="Q248" s="88"/>
      <c r="R248" s="88"/>
      <c r="S248" s="88"/>
      <c r="T248" s="88"/>
      <c r="U248" s="88"/>
      <c r="V248" s="88"/>
      <c r="W248" s="88"/>
      <c r="X248" s="88"/>
      <c r="Y248" s="88"/>
      <c r="Z248" s="88"/>
      <c r="AA248" s="88"/>
      <c r="AB248" s="88"/>
      <c r="AC248" s="88"/>
      <c r="AD248" s="88"/>
      <c r="AE248" s="88"/>
      <c r="AF248" s="88"/>
      <c r="AG248" s="88"/>
      <c r="AH248" s="88"/>
      <c r="AI248" s="88"/>
      <c r="AJ248" s="88"/>
    </row>
    <row r="249" spans="1:36" ht="15">
      <c r="A249" s="88" t="s">
        <v>328</v>
      </c>
      <c r="B249" s="88" t="s">
        <v>1259</v>
      </c>
      <c r="C249" s="88" t="s">
        <v>7</v>
      </c>
      <c r="D249" s="88" t="s">
        <v>1873</v>
      </c>
      <c r="E249" s="88" t="s">
        <v>1874</v>
      </c>
      <c r="F249" s="88"/>
      <c r="G249" s="88"/>
      <c r="H249" s="88"/>
      <c r="I249" s="88"/>
      <c r="J249" s="88"/>
      <c r="K249" s="88"/>
      <c r="L249" s="88"/>
      <c r="M249" s="88"/>
      <c r="N249" s="88"/>
      <c r="O249" s="88"/>
      <c r="P249" s="88"/>
      <c r="Q249" s="88"/>
      <c r="R249" s="88"/>
      <c r="S249" s="88"/>
      <c r="T249" s="88"/>
      <c r="U249" s="88"/>
      <c r="V249" s="88"/>
      <c r="W249" s="88"/>
      <c r="X249" s="88"/>
      <c r="Y249" s="88"/>
      <c r="Z249" s="88"/>
      <c r="AA249" s="88"/>
      <c r="AB249" s="88"/>
      <c r="AC249" s="88"/>
      <c r="AD249" s="88"/>
      <c r="AE249" s="88"/>
      <c r="AF249" s="88"/>
      <c r="AG249" s="88"/>
      <c r="AH249" s="88"/>
      <c r="AI249" s="88"/>
      <c r="AJ249" s="88"/>
    </row>
    <row r="250" spans="1:36" ht="15">
      <c r="A250" s="88" t="s">
        <v>328</v>
      </c>
      <c r="B250" s="88" t="s">
        <v>462</v>
      </c>
      <c r="C250" s="88" t="s">
        <v>7</v>
      </c>
      <c r="D250" s="88" t="s">
        <v>1875</v>
      </c>
      <c r="E250" s="88" t="s">
        <v>1876</v>
      </c>
      <c r="F250" s="88"/>
      <c r="G250" s="88"/>
      <c r="H250" s="88"/>
      <c r="I250" s="88"/>
      <c r="J250" s="88"/>
      <c r="K250" s="88"/>
      <c r="L250" s="88"/>
      <c r="M250" s="88"/>
      <c r="N250" s="88"/>
      <c r="O250" s="88"/>
      <c r="P250" s="88"/>
      <c r="Q250" s="88"/>
      <c r="R250" s="88"/>
      <c r="S250" s="88"/>
      <c r="T250" s="88"/>
      <c r="U250" s="88"/>
      <c r="V250" s="88"/>
      <c r="W250" s="88"/>
      <c r="X250" s="88"/>
      <c r="Y250" s="88"/>
      <c r="Z250" s="88"/>
      <c r="AA250" s="88"/>
      <c r="AB250" s="88"/>
      <c r="AC250" s="88"/>
      <c r="AD250" s="88"/>
      <c r="AE250" s="88"/>
      <c r="AF250" s="88"/>
      <c r="AG250" s="88"/>
      <c r="AH250" s="88"/>
      <c r="AI250" s="88"/>
      <c r="AJ250" s="88"/>
    </row>
    <row r="251" spans="1:36" ht="15">
      <c r="A251" s="88" t="s">
        <v>328</v>
      </c>
      <c r="B251" s="88" t="s">
        <v>1272</v>
      </c>
      <c r="C251" s="88" t="s">
        <v>7</v>
      </c>
      <c r="D251" s="88" t="s">
        <v>1877</v>
      </c>
      <c r="E251" s="88" t="s">
        <v>1878</v>
      </c>
      <c r="F251" s="88"/>
      <c r="G251" s="88"/>
      <c r="H251" s="88"/>
      <c r="I251" s="88"/>
      <c r="J251" s="88"/>
      <c r="K251" s="88"/>
      <c r="L251" s="88"/>
      <c r="M251" s="88"/>
      <c r="N251" s="88"/>
      <c r="O251" s="88"/>
      <c r="P251" s="88"/>
      <c r="Q251" s="88"/>
      <c r="R251" s="88"/>
      <c r="S251" s="88"/>
      <c r="T251" s="88"/>
      <c r="U251" s="88"/>
      <c r="V251" s="88"/>
      <c r="W251" s="88"/>
      <c r="X251" s="88"/>
      <c r="Y251" s="88"/>
      <c r="Z251" s="88"/>
      <c r="AA251" s="88"/>
      <c r="AB251" s="88"/>
      <c r="AC251" s="88"/>
      <c r="AD251" s="88"/>
      <c r="AE251" s="88"/>
      <c r="AF251" s="88"/>
      <c r="AG251" s="88"/>
      <c r="AH251" s="88"/>
      <c r="AI251" s="88"/>
      <c r="AJ251" s="88"/>
    </row>
    <row r="252" spans="1:36" ht="15">
      <c r="A252" s="88" t="s">
        <v>328</v>
      </c>
      <c r="B252" s="88" t="s">
        <v>1278</v>
      </c>
      <c r="C252" s="88" t="s">
        <v>7</v>
      </c>
      <c r="D252" s="88" t="s">
        <v>1879</v>
      </c>
      <c r="E252" s="88" t="s">
        <v>1880</v>
      </c>
      <c r="F252" s="88"/>
      <c r="G252" s="88"/>
      <c r="H252" s="88"/>
      <c r="I252" s="88"/>
      <c r="J252" s="88"/>
      <c r="K252" s="88"/>
      <c r="L252" s="88"/>
      <c r="M252" s="88"/>
      <c r="N252" s="88"/>
      <c r="O252" s="88"/>
      <c r="P252" s="88"/>
      <c r="Q252" s="88"/>
      <c r="R252" s="88"/>
      <c r="S252" s="88"/>
      <c r="T252" s="88"/>
      <c r="U252" s="88"/>
      <c r="V252" s="88"/>
      <c r="W252" s="88"/>
      <c r="X252" s="88"/>
      <c r="Y252" s="88"/>
      <c r="Z252" s="88"/>
      <c r="AA252" s="88"/>
      <c r="AB252" s="88"/>
      <c r="AC252" s="88"/>
      <c r="AD252" s="88"/>
      <c r="AE252" s="88"/>
      <c r="AF252" s="88"/>
      <c r="AG252" s="88"/>
      <c r="AH252" s="88"/>
      <c r="AI252" s="88"/>
      <c r="AJ252" s="88"/>
    </row>
    <row r="253" spans="1:36" ht="15">
      <c r="A253" s="88" t="s">
        <v>328</v>
      </c>
      <c r="B253" s="88" t="s">
        <v>1285</v>
      </c>
      <c r="C253" s="88" t="s">
        <v>7</v>
      </c>
      <c r="D253" s="88" t="s">
        <v>1881</v>
      </c>
      <c r="E253" s="88" t="s">
        <v>1882</v>
      </c>
      <c r="F253" s="88"/>
      <c r="G253" s="88"/>
      <c r="H253" s="88"/>
      <c r="I253" s="88"/>
      <c r="J253" s="88"/>
      <c r="K253" s="88"/>
      <c r="L253" s="88"/>
      <c r="M253" s="88"/>
      <c r="N253" s="88"/>
      <c r="O253" s="88"/>
      <c r="P253" s="88"/>
      <c r="Q253" s="88"/>
      <c r="R253" s="88"/>
      <c r="S253" s="88"/>
      <c r="T253" s="88"/>
      <c r="U253" s="88"/>
      <c r="V253" s="88"/>
      <c r="W253" s="88"/>
      <c r="X253" s="88"/>
      <c r="Y253" s="88"/>
      <c r="Z253" s="88"/>
      <c r="AA253" s="88"/>
      <c r="AB253" s="88"/>
      <c r="AC253" s="88"/>
      <c r="AD253" s="88"/>
      <c r="AE253" s="88"/>
      <c r="AF253" s="88"/>
      <c r="AG253" s="88"/>
      <c r="AH253" s="88"/>
      <c r="AI253" s="88"/>
      <c r="AJ253" s="88"/>
    </row>
    <row r="254" spans="1:36" ht="15">
      <c r="A254" s="88" t="s">
        <v>328</v>
      </c>
      <c r="B254" s="88" t="s">
        <v>1292</v>
      </c>
      <c r="C254" s="88" t="s">
        <v>7</v>
      </c>
      <c r="D254" s="88" t="s">
        <v>1883</v>
      </c>
      <c r="E254" s="88" t="s">
        <v>1884</v>
      </c>
      <c r="F254" s="88"/>
      <c r="G254" s="88"/>
      <c r="H254" s="88"/>
      <c r="I254" s="88"/>
      <c r="J254" s="88"/>
      <c r="K254" s="88"/>
      <c r="L254" s="88"/>
      <c r="M254" s="88"/>
      <c r="N254" s="88"/>
      <c r="O254" s="88"/>
      <c r="P254" s="88"/>
      <c r="Q254" s="88"/>
      <c r="R254" s="88"/>
      <c r="S254" s="88"/>
      <c r="T254" s="88"/>
      <c r="U254" s="88"/>
      <c r="V254" s="88"/>
      <c r="W254" s="88"/>
      <c r="X254" s="88"/>
      <c r="Y254" s="88"/>
      <c r="Z254" s="88"/>
      <c r="AA254" s="88"/>
      <c r="AB254" s="88"/>
      <c r="AC254" s="88"/>
      <c r="AD254" s="88"/>
      <c r="AE254" s="88"/>
      <c r="AF254" s="88"/>
      <c r="AG254" s="88"/>
      <c r="AH254" s="88"/>
      <c r="AI254" s="88"/>
      <c r="AJ254" s="88"/>
    </row>
    <row r="255" spans="1:36" ht="15">
      <c r="A255" s="88" t="s">
        <v>328</v>
      </c>
      <c r="B255" s="88" t="s">
        <v>1298</v>
      </c>
      <c r="C255" s="88" t="s">
        <v>7</v>
      </c>
      <c r="D255" s="88" t="s">
        <v>1885</v>
      </c>
      <c r="E255" s="88" t="s">
        <v>1886</v>
      </c>
      <c r="F255" s="88"/>
      <c r="G255" s="88"/>
      <c r="H255" s="88"/>
      <c r="I255" s="88"/>
      <c r="J255" s="88"/>
      <c r="K255" s="88"/>
      <c r="L255" s="88"/>
      <c r="M255" s="88"/>
      <c r="N255" s="88"/>
      <c r="O255" s="88"/>
      <c r="P255" s="88"/>
      <c r="Q255" s="88"/>
      <c r="R255" s="88"/>
      <c r="S255" s="88"/>
      <c r="T255" s="88"/>
      <c r="U255" s="88"/>
      <c r="V255" s="88"/>
      <c r="W255" s="88"/>
      <c r="X255" s="88"/>
      <c r="Y255" s="88"/>
      <c r="Z255" s="88"/>
      <c r="AA255" s="88"/>
      <c r="AB255" s="88"/>
      <c r="AC255" s="88"/>
      <c r="AD255" s="88"/>
      <c r="AE255" s="88"/>
      <c r="AF255" s="88"/>
      <c r="AG255" s="88"/>
      <c r="AH255" s="88"/>
      <c r="AI255" s="88"/>
      <c r="AJ255" s="88"/>
    </row>
    <row r="256" spans="1:36" ht="15">
      <c r="A256" s="88" t="s">
        <v>328</v>
      </c>
      <c r="B256" s="88" t="s">
        <v>1304</v>
      </c>
      <c r="C256" s="88" t="s">
        <v>7</v>
      </c>
      <c r="D256" s="88" t="s">
        <v>1887</v>
      </c>
      <c r="E256" s="88" t="s">
        <v>1888</v>
      </c>
      <c r="F256" s="88"/>
      <c r="G256" s="88"/>
      <c r="H256" s="88"/>
      <c r="I256" s="88"/>
      <c r="J256" s="88"/>
      <c r="K256" s="88"/>
      <c r="L256" s="88"/>
      <c r="M256" s="88"/>
      <c r="N256" s="88"/>
      <c r="O256" s="88"/>
      <c r="P256" s="88"/>
      <c r="Q256" s="88"/>
      <c r="R256" s="88"/>
      <c r="S256" s="88"/>
      <c r="T256" s="88"/>
      <c r="U256" s="88"/>
      <c r="V256" s="88"/>
      <c r="W256" s="88"/>
      <c r="X256" s="88"/>
      <c r="Y256" s="88"/>
      <c r="Z256" s="88"/>
      <c r="AA256" s="88"/>
      <c r="AB256" s="88"/>
      <c r="AC256" s="88"/>
      <c r="AD256" s="88"/>
      <c r="AE256" s="88"/>
      <c r="AF256" s="88"/>
      <c r="AG256" s="88"/>
      <c r="AH256" s="88"/>
      <c r="AI256" s="88"/>
      <c r="AJ256" s="88"/>
    </row>
    <row r="257" spans="1:36" ht="15">
      <c r="A257" s="88" t="s">
        <v>328</v>
      </c>
      <c r="B257" s="88" t="s">
        <v>1310</v>
      </c>
      <c r="C257" s="88" t="s">
        <v>7</v>
      </c>
      <c r="D257" s="88" t="s">
        <v>1889</v>
      </c>
      <c r="E257" s="88" t="s">
        <v>1890</v>
      </c>
      <c r="F257" s="88"/>
      <c r="G257" s="88"/>
      <c r="H257" s="88"/>
      <c r="I257" s="88"/>
      <c r="J257" s="88"/>
      <c r="K257" s="88"/>
      <c r="L257" s="88"/>
      <c r="M257" s="88"/>
      <c r="N257" s="88"/>
      <c r="O257" s="88"/>
      <c r="P257" s="88"/>
      <c r="Q257" s="88"/>
      <c r="R257" s="88"/>
      <c r="S257" s="88"/>
      <c r="T257" s="88"/>
      <c r="U257" s="88"/>
      <c r="V257" s="88"/>
      <c r="W257" s="88"/>
      <c r="X257" s="88"/>
      <c r="Y257" s="88"/>
      <c r="Z257" s="88"/>
      <c r="AA257" s="88"/>
      <c r="AB257" s="88"/>
      <c r="AC257" s="88"/>
      <c r="AD257" s="88"/>
      <c r="AE257" s="88"/>
      <c r="AF257" s="88"/>
      <c r="AG257" s="88"/>
      <c r="AH257" s="88"/>
      <c r="AI257" s="88"/>
      <c r="AJ257" s="88"/>
    </row>
    <row r="258" spans="1:36" ht="15">
      <c r="A258" s="88" t="s">
        <v>328</v>
      </c>
      <c r="B258" s="88" t="s">
        <v>1317</v>
      </c>
      <c r="C258" s="88" t="s">
        <v>7</v>
      </c>
      <c r="D258" s="88" t="s">
        <v>1891</v>
      </c>
      <c r="E258" s="88" t="s">
        <v>1892</v>
      </c>
      <c r="F258" s="88"/>
      <c r="G258" s="88"/>
      <c r="H258" s="88"/>
      <c r="I258" s="88"/>
      <c r="J258" s="88"/>
      <c r="K258" s="88"/>
      <c r="L258" s="88"/>
      <c r="M258" s="88"/>
      <c r="N258" s="88"/>
      <c r="O258" s="88"/>
      <c r="P258" s="88"/>
      <c r="Q258" s="88"/>
      <c r="R258" s="88"/>
      <c r="S258" s="88"/>
      <c r="T258" s="88"/>
      <c r="U258" s="88"/>
      <c r="V258" s="88"/>
      <c r="W258" s="88"/>
      <c r="X258" s="88"/>
      <c r="Y258" s="88"/>
      <c r="Z258" s="88"/>
      <c r="AA258" s="88"/>
      <c r="AB258" s="88"/>
      <c r="AC258" s="88"/>
      <c r="AD258" s="88"/>
      <c r="AE258" s="88"/>
      <c r="AF258" s="88"/>
      <c r="AG258" s="88"/>
      <c r="AH258" s="88"/>
      <c r="AI258" s="88"/>
      <c r="AJ258" s="88"/>
    </row>
    <row r="259" spans="1:36" ht="15">
      <c r="A259" s="88" t="s">
        <v>328</v>
      </c>
      <c r="B259" s="88" t="s">
        <v>1324</v>
      </c>
      <c r="C259" s="88" t="s">
        <v>7</v>
      </c>
      <c r="D259" s="88" t="s">
        <v>1893</v>
      </c>
      <c r="E259" s="88" t="s">
        <v>1894</v>
      </c>
      <c r="F259" s="88"/>
      <c r="G259" s="88"/>
      <c r="H259" s="88"/>
      <c r="I259" s="88"/>
      <c r="J259" s="88"/>
      <c r="K259" s="88"/>
      <c r="L259" s="88"/>
      <c r="M259" s="88"/>
      <c r="N259" s="88"/>
      <c r="O259" s="88"/>
      <c r="P259" s="88"/>
      <c r="Q259" s="88"/>
      <c r="R259" s="88"/>
      <c r="S259" s="88"/>
      <c r="T259" s="88"/>
      <c r="U259" s="88"/>
      <c r="V259" s="88"/>
      <c r="W259" s="88"/>
      <c r="X259" s="88"/>
      <c r="Y259" s="88"/>
      <c r="Z259" s="88"/>
      <c r="AA259" s="88"/>
      <c r="AB259" s="88"/>
      <c r="AC259" s="88"/>
      <c r="AD259" s="88"/>
      <c r="AE259" s="88"/>
      <c r="AF259" s="88"/>
      <c r="AG259" s="88"/>
      <c r="AH259" s="88"/>
      <c r="AI259" s="88"/>
      <c r="AJ259" s="88"/>
    </row>
    <row r="260" spans="1:36" ht="15">
      <c r="A260" s="88" t="s">
        <v>328</v>
      </c>
      <c r="B260" s="88" t="s">
        <v>1331</v>
      </c>
      <c r="C260" s="88" t="s">
        <v>7</v>
      </c>
      <c r="D260" s="88" t="s">
        <v>1895</v>
      </c>
      <c r="E260" s="88" t="s">
        <v>1896</v>
      </c>
      <c r="F260" s="88"/>
      <c r="G260" s="88"/>
      <c r="H260" s="88"/>
      <c r="I260" s="88"/>
      <c r="J260" s="88"/>
      <c r="K260" s="88"/>
      <c r="L260" s="88"/>
      <c r="M260" s="88"/>
      <c r="N260" s="88"/>
      <c r="O260" s="88"/>
      <c r="P260" s="88"/>
      <c r="Q260" s="88"/>
      <c r="R260" s="88"/>
      <c r="S260" s="88"/>
      <c r="T260" s="88"/>
      <c r="U260" s="88"/>
      <c r="V260" s="88"/>
      <c r="W260" s="88"/>
      <c r="X260" s="88"/>
      <c r="Y260" s="88"/>
      <c r="Z260" s="88"/>
      <c r="AA260" s="88"/>
      <c r="AB260" s="88"/>
      <c r="AC260" s="88"/>
      <c r="AD260" s="88"/>
      <c r="AE260" s="88"/>
      <c r="AF260" s="88"/>
      <c r="AG260" s="88"/>
      <c r="AH260" s="88"/>
      <c r="AI260" s="88"/>
      <c r="AJ260" s="88"/>
    </row>
    <row r="261" spans="1:36" ht="15">
      <c r="A261" s="88" t="s">
        <v>328</v>
      </c>
      <c r="B261" s="88" t="s">
        <v>933</v>
      </c>
      <c r="C261" s="88" t="s">
        <v>7</v>
      </c>
      <c r="D261" s="88" t="s">
        <v>1897</v>
      </c>
      <c r="E261" s="88" t="s">
        <v>1898</v>
      </c>
      <c r="F261" s="88"/>
      <c r="G261" s="88"/>
      <c r="H261" s="88"/>
      <c r="I261" s="88"/>
      <c r="J261" s="88"/>
      <c r="K261" s="88"/>
      <c r="L261" s="88"/>
      <c r="M261" s="88"/>
      <c r="N261" s="88"/>
      <c r="O261" s="88"/>
      <c r="P261" s="88"/>
      <c r="Q261" s="88"/>
      <c r="R261" s="88"/>
      <c r="S261" s="88"/>
      <c r="T261" s="88"/>
      <c r="U261" s="88"/>
      <c r="V261" s="88"/>
      <c r="W261" s="88"/>
      <c r="X261" s="88"/>
      <c r="Y261" s="88"/>
      <c r="Z261" s="88"/>
      <c r="AA261" s="88"/>
      <c r="AB261" s="88"/>
      <c r="AC261" s="88"/>
      <c r="AD261" s="88"/>
      <c r="AE261" s="88"/>
      <c r="AF261" s="88"/>
      <c r="AG261" s="88"/>
      <c r="AH261" s="88"/>
      <c r="AI261" s="88"/>
      <c r="AJ261" s="88"/>
    </row>
    <row r="262" spans="1:36" ht="15">
      <c r="A262" s="88" t="s">
        <v>328</v>
      </c>
      <c r="B262" s="88" t="s">
        <v>1342</v>
      </c>
      <c r="C262" s="88" t="s">
        <v>7</v>
      </c>
      <c r="D262" s="88" t="s">
        <v>1899</v>
      </c>
      <c r="E262" s="88" t="s">
        <v>1900</v>
      </c>
      <c r="F262" s="88"/>
      <c r="G262" s="88"/>
      <c r="H262" s="88"/>
      <c r="I262" s="88"/>
      <c r="J262" s="88"/>
      <c r="K262" s="88"/>
      <c r="L262" s="88"/>
      <c r="M262" s="88"/>
      <c r="N262" s="88"/>
      <c r="O262" s="88"/>
      <c r="P262" s="88"/>
      <c r="Q262" s="88"/>
      <c r="R262" s="88"/>
      <c r="S262" s="88"/>
      <c r="T262" s="88"/>
      <c r="U262" s="88"/>
      <c r="V262" s="88"/>
      <c r="W262" s="88"/>
      <c r="X262" s="88"/>
      <c r="Y262" s="88"/>
      <c r="Z262" s="88"/>
      <c r="AA262" s="88"/>
      <c r="AB262" s="88"/>
      <c r="AC262" s="88"/>
      <c r="AD262" s="88"/>
      <c r="AE262" s="88"/>
      <c r="AF262" s="88"/>
      <c r="AG262" s="88"/>
      <c r="AH262" s="88"/>
      <c r="AI262" s="88"/>
      <c r="AJ262" s="88"/>
    </row>
    <row r="263" spans="1:36" ht="15">
      <c r="A263" s="88" t="s">
        <v>328</v>
      </c>
      <c r="B263" s="88" t="s">
        <v>1348</v>
      </c>
      <c r="C263" s="88" t="s">
        <v>7</v>
      </c>
      <c r="D263" s="88" t="s">
        <v>1901</v>
      </c>
      <c r="E263" s="88" t="s">
        <v>1902</v>
      </c>
      <c r="F263" s="88"/>
      <c r="G263" s="88"/>
      <c r="H263" s="88"/>
      <c r="I263" s="88"/>
      <c r="J263" s="88"/>
      <c r="K263" s="88"/>
      <c r="L263" s="88"/>
      <c r="M263" s="88"/>
      <c r="N263" s="88"/>
      <c r="O263" s="88"/>
      <c r="P263" s="88"/>
      <c r="Q263" s="88"/>
      <c r="R263" s="88"/>
      <c r="S263" s="88"/>
      <c r="T263" s="88"/>
      <c r="U263" s="88"/>
      <c r="V263" s="88"/>
      <c r="W263" s="88"/>
      <c r="X263" s="88"/>
      <c r="Y263" s="88"/>
      <c r="Z263" s="88"/>
      <c r="AA263" s="88"/>
      <c r="AB263" s="88"/>
      <c r="AC263" s="88"/>
      <c r="AD263" s="88"/>
      <c r="AE263" s="88"/>
      <c r="AF263" s="88"/>
      <c r="AG263" s="88"/>
      <c r="AH263" s="88"/>
      <c r="AI263" s="88"/>
      <c r="AJ263" s="88"/>
    </row>
    <row r="264" spans="1:36" ht="15">
      <c r="A264" s="88" t="s">
        <v>328</v>
      </c>
      <c r="B264" s="88" t="s">
        <v>1354</v>
      </c>
      <c r="C264" s="88" t="s">
        <v>7</v>
      </c>
      <c r="D264" s="88" t="s">
        <v>1903</v>
      </c>
      <c r="E264" s="88" t="s">
        <v>1904</v>
      </c>
      <c r="F264" s="88"/>
      <c r="G264" s="88"/>
      <c r="H264" s="88"/>
      <c r="I264" s="88"/>
      <c r="J264" s="88"/>
      <c r="K264" s="88"/>
      <c r="L264" s="88"/>
      <c r="M264" s="88"/>
      <c r="N264" s="88"/>
      <c r="O264" s="88"/>
      <c r="P264" s="88"/>
      <c r="Q264" s="88"/>
      <c r="R264" s="88"/>
      <c r="S264" s="88"/>
      <c r="T264" s="88"/>
      <c r="U264" s="88"/>
      <c r="V264" s="88"/>
      <c r="W264" s="88"/>
      <c r="X264" s="88"/>
      <c r="Y264" s="88"/>
      <c r="Z264" s="88"/>
      <c r="AA264" s="88"/>
      <c r="AB264" s="88"/>
      <c r="AC264" s="88"/>
      <c r="AD264" s="88"/>
      <c r="AE264" s="88"/>
      <c r="AF264" s="88"/>
      <c r="AG264" s="88"/>
      <c r="AH264" s="88"/>
      <c r="AI264" s="88"/>
      <c r="AJ264" s="88"/>
    </row>
    <row r="265" spans="1:36" ht="15">
      <c r="A265" s="88" t="s">
        <v>328</v>
      </c>
      <c r="B265" s="88" t="s">
        <v>1360</v>
      </c>
      <c r="C265" s="88" t="s">
        <v>7</v>
      </c>
      <c r="D265" s="88" t="s">
        <v>1905</v>
      </c>
      <c r="E265" s="88" t="s">
        <v>1906</v>
      </c>
      <c r="F265" s="88"/>
      <c r="G265" s="88"/>
      <c r="H265" s="88"/>
      <c r="I265" s="88"/>
      <c r="J265" s="88"/>
      <c r="K265" s="88"/>
      <c r="L265" s="88"/>
      <c r="M265" s="88"/>
      <c r="N265" s="88"/>
      <c r="O265" s="88"/>
      <c r="P265" s="88"/>
      <c r="Q265" s="88"/>
      <c r="R265" s="88"/>
      <c r="S265" s="88"/>
      <c r="T265" s="88"/>
      <c r="U265" s="88"/>
      <c r="V265" s="88"/>
      <c r="W265" s="88"/>
      <c r="X265" s="88"/>
      <c r="Y265" s="88"/>
      <c r="Z265" s="88"/>
      <c r="AA265" s="88"/>
      <c r="AB265" s="88"/>
      <c r="AC265" s="88"/>
      <c r="AD265" s="88"/>
      <c r="AE265" s="88"/>
      <c r="AF265" s="88"/>
      <c r="AG265" s="88"/>
      <c r="AH265" s="88"/>
      <c r="AI265" s="88"/>
      <c r="AJ265" s="88"/>
    </row>
    <row r="266" spans="1:36" ht="15">
      <c r="A266" s="88" t="s">
        <v>328</v>
      </c>
      <c r="B266" s="88" t="s">
        <v>1366</v>
      </c>
      <c r="C266" s="88" t="s">
        <v>7</v>
      </c>
      <c r="D266" s="88" t="s">
        <v>1907</v>
      </c>
      <c r="E266" s="88" t="s">
        <v>1908</v>
      </c>
      <c r="F266" s="88"/>
      <c r="G266" s="88"/>
      <c r="H266" s="88"/>
      <c r="I266" s="88"/>
      <c r="J266" s="88"/>
      <c r="K266" s="88"/>
      <c r="L266" s="88"/>
      <c r="M266" s="88"/>
      <c r="N266" s="88"/>
      <c r="O266" s="88"/>
      <c r="P266" s="88"/>
      <c r="Q266" s="88"/>
      <c r="R266" s="88"/>
      <c r="S266" s="88"/>
      <c r="T266" s="88"/>
      <c r="U266" s="88"/>
      <c r="V266" s="88"/>
      <c r="W266" s="88"/>
      <c r="X266" s="88"/>
      <c r="Y266" s="88"/>
      <c r="Z266" s="88"/>
      <c r="AA266" s="88"/>
      <c r="AB266" s="88"/>
      <c r="AC266" s="88"/>
      <c r="AD266" s="88"/>
      <c r="AE266" s="88"/>
      <c r="AF266" s="88"/>
      <c r="AG266" s="88"/>
      <c r="AH266" s="88"/>
      <c r="AI266" s="88"/>
      <c r="AJ266" s="88"/>
    </row>
    <row r="267" spans="1:36" ht="15">
      <c r="A267" s="88" t="s">
        <v>328</v>
      </c>
      <c r="B267" s="88" t="s">
        <v>1372</v>
      </c>
      <c r="C267" s="88" t="s">
        <v>7</v>
      </c>
      <c r="D267" s="88" t="s">
        <v>1909</v>
      </c>
      <c r="E267" s="88" t="s">
        <v>1910</v>
      </c>
      <c r="F267" s="88"/>
      <c r="G267" s="88"/>
      <c r="H267" s="88"/>
      <c r="I267" s="88"/>
      <c r="J267" s="88"/>
      <c r="K267" s="88"/>
      <c r="L267" s="88"/>
      <c r="M267" s="88"/>
      <c r="N267" s="88"/>
      <c r="O267" s="88"/>
      <c r="P267" s="88"/>
      <c r="Q267" s="88"/>
      <c r="R267" s="88"/>
      <c r="S267" s="88"/>
      <c r="T267" s="88"/>
      <c r="U267" s="88"/>
      <c r="V267" s="88"/>
      <c r="W267" s="88"/>
      <c r="X267" s="88"/>
      <c r="Y267" s="88"/>
      <c r="Z267" s="88"/>
      <c r="AA267" s="88"/>
      <c r="AB267" s="88"/>
      <c r="AC267" s="88"/>
      <c r="AD267" s="88"/>
      <c r="AE267" s="88"/>
      <c r="AF267" s="88"/>
      <c r="AG267" s="88"/>
      <c r="AH267" s="88"/>
      <c r="AI267" s="88"/>
      <c r="AJ267" s="88"/>
    </row>
    <row r="268" spans="1:36" ht="15">
      <c r="A268" s="88" t="s">
        <v>328</v>
      </c>
      <c r="B268" s="88" t="s">
        <v>1377</v>
      </c>
      <c r="C268" s="88" t="s">
        <v>7</v>
      </c>
      <c r="D268" s="88" t="s">
        <v>1911</v>
      </c>
      <c r="E268" s="88" t="s">
        <v>1912</v>
      </c>
      <c r="F268" s="88"/>
      <c r="G268" s="88"/>
      <c r="H268" s="88"/>
      <c r="I268" s="88"/>
      <c r="J268" s="88"/>
      <c r="K268" s="88"/>
      <c r="L268" s="88"/>
      <c r="M268" s="88"/>
      <c r="N268" s="88"/>
      <c r="O268" s="88"/>
      <c r="P268" s="88"/>
      <c r="Q268" s="88"/>
      <c r="R268" s="88"/>
      <c r="S268" s="88"/>
      <c r="T268" s="88"/>
      <c r="U268" s="88"/>
      <c r="V268" s="88"/>
      <c r="W268" s="88"/>
      <c r="X268" s="88"/>
      <c r="Y268" s="88"/>
      <c r="Z268" s="88"/>
      <c r="AA268" s="88"/>
      <c r="AB268" s="88"/>
      <c r="AC268" s="88"/>
      <c r="AD268" s="88"/>
      <c r="AE268" s="88"/>
      <c r="AF268" s="88"/>
      <c r="AG268" s="88"/>
      <c r="AH268" s="88"/>
      <c r="AI268" s="88"/>
      <c r="AJ268" s="88"/>
    </row>
    <row r="269" spans="1:36" ht="15">
      <c r="A269" s="88" t="s">
        <v>328</v>
      </c>
      <c r="B269" s="88" t="s">
        <v>1383</v>
      </c>
      <c r="C269" s="88" t="s">
        <v>7</v>
      </c>
      <c r="D269" s="88" t="s">
        <v>1913</v>
      </c>
      <c r="E269" s="88" t="s">
        <v>1914</v>
      </c>
      <c r="F269" s="88"/>
      <c r="G269" s="88"/>
      <c r="H269" s="88"/>
      <c r="I269" s="88"/>
      <c r="J269" s="88"/>
      <c r="K269" s="88"/>
      <c r="L269" s="88"/>
      <c r="M269" s="88"/>
      <c r="N269" s="88"/>
      <c r="O269" s="88"/>
      <c r="P269" s="88"/>
      <c r="Q269" s="88"/>
      <c r="R269" s="88"/>
      <c r="S269" s="88"/>
      <c r="T269" s="88"/>
      <c r="U269" s="88"/>
      <c r="V269" s="88"/>
      <c r="W269" s="88"/>
      <c r="X269" s="88"/>
      <c r="Y269" s="88"/>
      <c r="Z269" s="88"/>
      <c r="AA269" s="88"/>
      <c r="AB269" s="88"/>
      <c r="AC269" s="88"/>
      <c r="AD269" s="88"/>
      <c r="AE269" s="88"/>
      <c r="AF269" s="88"/>
      <c r="AG269" s="88"/>
      <c r="AH269" s="88"/>
      <c r="AI269" s="88"/>
      <c r="AJ269" s="88"/>
    </row>
    <row r="270" spans="1:36" ht="15">
      <c r="A270" s="88" t="s">
        <v>328</v>
      </c>
      <c r="B270" s="88" t="s">
        <v>1388</v>
      </c>
      <c r="C270" s="88" t="s">
        <v>7</v>
      </c>
      <c r="D270" s="88" t="s">
        <v>1915</v>
      </c>
      <c r="E270" s="88" t="s">
        <v>1916</v>
      </c>
      <c r="F270" s="88"/>
      <c r="G270" s="88"/>
      <c r="H270" s="88"/>
      <c r="I270" s="88"/>
      <c r="J270" s="88"/>
      <c r="K270" s="88"/>
      <c r="L270" s="88"/>
      <c r="M270" s="88"/>
      <c r="N270" s="88"/>
      <c r="O270" s="88"/>
      <c r="P270" s="88"/>
      <c r="Q270" s="88"/>
      <c r="R270" s="88"/>
      <c r="S270" s="88"/>
      <c r="T270" s="88"/>
      <c r="U270" s="88"/>
      <c r="V270" s="88"/>
      <c r="W270" s="88"/>
      <c r="X270" s="88"/>
      <c r="Y270" s="88"/>
      <c r="Z270" s="88"/>
      <c r="AA270" s="88"/>
      <c r="AB270" s="88"/>
      <c r="AC270" s="88"/>
      <c r="AD270" s="88"/>
      <c r="AE270" s="88"/>
      <c r="AF270" s="88"/>
      <c r="AG270" s="88"/>
      <c r="AH270" s="88"/>
      <c r="AI270" s="88"/>
      <c r="AJ270" s="88"/>
    </row>
    <row r="271" spans="1:36" ht="15">
      <c r="A271" s="88" t="s">
        <v>328</v>
      </c>
      <c r="B271" s="88" t="s">
        <v>1394</v>
      </c>
      <c r="C271" s="88" t="s">
        <v>7</v>
      </c>
      <c r="D271" s="88" t="s">
        <v>1917</v>
      </c>
      <c r="E271" s="88" t="s">
        <v>1918</v>
      </c>
      <c r="F271" s="88"/>
      <c r="G271" s="88"/>
      <c r="H271" s="88"/>
      <c r="I271" s="88"/>
      <c r="J271" s="88"/>
      <c r="K271" s="88"/>
      <c r="L271" s="88"/>
      <c r="M271" s="88"/>
      <c r="N271" s="88"/>
      <c r="O271" s="88"/>
      <c r="P271" s="88"/>
      <c r="Q271" s="88"/>
      <c r="R271" s="88"/>
      <c r="S271" s="88"/>
      <c r="T271" s="88"/>
      <c r="U271" s="88"/>
      <c r="V271" s="88"/>
      <c r="W271" s="88"/>
      <c r="X271" s="88"/>
      <c r="Y271" s="88"/>
      <c r="Z271" s="88"/>
      <c r="AA271" s="88"/>
      <c r="AB271" s="88"/>
      <c r="AC271" s="88"/>
      <c r="AD271" s="88"/>
      <c r="AE271" s="88"/>
      <c r="AF271" s="88"/>
      <c r="AG271" s="88"/>
      <c r="AH271" s="88"/>
      <c r="AI271" s="88"/>
      <c r="AJ271" s="88"/>
    </row>
    <row r="272" spans="1:36" ht="15">
      <c r="A272" s="88" t="s">
        <v>328</v>
      </c>
      <c r="B272" s="88" t="s">
        <v>1399</v>
      </c>
      <c r="C272" s="88" t="s">
        <v>7</v>
      </c>
      <c r="D272" s="88" t="s">
        <v>1919</v>
      </c>
      <c r="E272" s="88" t="s">
        <v>1920</v>
      </c>
      <c r="F272" s="88"/>
      <c r="G272" s="88"/>
      <c r="H272" s="88"/>
      <c r="I272" s="88"/>
      <c r="J272" s="88"/>
      <c r="K272" s="88"/>
      <c r="L272" s="88"/>
      <c r="M272" s="88"/>
      <c r="N272" s="88"/>
      <c r="O272" s="88"/>
      <c r="P272" s="88"/>
      <c r="Q272" s="88"/>
      <c r="R272" s="88"/>
      <c r="S272" s="88"/>
      <c r="T272" s="88"/>
      <c r="U272" s="88"/>
      <c r="V272" s="88"/>
      <c r="W272" s="88"/>
      <c r="X272" s="88"/>
      <c r="Y272" s="88"/>
      <c r="Z272" s="88"/>
      <c r="AA272" s="88"/>
      <c r="AB272" s="88"/>
      <c r="AC272" s="88"/>
      <c r="AD272" s="88"/>
      <c r="AE272" s="88"/>
      <c r="AF272" s="88"/>
      <c r="AG272" s="88"/>
      <c r="AH272" s="88"/>
      <c r="AI272" s="88"/>
      <c r="AJ272" s="88"/>
    </row>
    <row r="273" spans="1:36" ht="15">
      <c r="A273" s="88" t="s">
        <v>328</v>
      </c>
      <c r="B273" s="88" t="s">
        <v>1404</v>
      </c>
      <c r="C273" s="88" t="s">
        <v>7</v>
      </c>
      <c r="D273" s="88" t="s">
        <v>1921</v>
      </c>
      <c r="E273" s="88" t="s">
        <v>1922</v>
      </c>
      <c r="F273" s="88"/>
      <c r="G273" s="88"/>
      <c r="H273" s="88"/>
      <c r="I273" s="88"/>
      <c r="J273" s="88"/>
      <c r="K273" s="88"/>
      <c r="L273" s="88"/>
      <c r="M273" s="88"/>
      <c r="N273" s="88"/>
      <c r="O273" s="88"/>
      <c r="P273" s="88"/>
      <c r="Q273" s="88"/>
      <c r="R273" s="88"/>
      <c r="S273" s="88"/>
      <c r="T273" s="88"/>
      <c r="U273" s="88"/>
      <c r="V273" s="88"/>
      <c r="W273" s="88"/>
      <c r="X273" s="88"/>
      <c r="Y273" s="88"/>
      <c r="Z273" s="88"/>
      <c r="AA273" s="88"/>
      <c r="AB273" s="88"/>
      <c r="AC273" s="88"/>
      <c r="AD273" s="88"/>
      <c r="AE273" s="88"/>
      <c r="AF273" s="88"/>
      <c r="AG273" s="88"/>
      <c r="AH273" s="88"/>
      <c r="AI273" s="88"/>
      <c r="AJ273" s="88"/>
    </row>
    <row r="274" spans="1:36" ht="15">
      <c r="A274" s="88" t="s">
        <v>328</v>
      </c>
      <c r="B274" s="88" t="s">
        <v>1410</v>
      </c>
      <c r="C274" s="88" t="s">
        <v>7</v>
      </c>
      <c r="D274" s="88" t="s">
        <v>1923</v>
      </c>
      <c r="E274" s="88" t="s">
        <v>1924</v>
      </c>
      <c r="F274" s="88"/>
      <c r="G274" s="88"/>
      <c r="H274" s="88"/>
      <c r="I274" s="88"/>
      <c r="J274" s="88"/>
      <c r="K274" s="88"/>
      <c r="L274" s="88"/>
      <c r="M274" s="88"/>
      <c r="N274" s="88"/>
      <c r="O274" s="88"/>
      <c r="P274" s="88"/>
      <c r="Q274" s="88"/>
      <c r="R274" s="88"/>
      <c r="S274" s="88"/>
      <c r="T274" s="88"/>
      <c r="U274" s="88"/>
      <c r="V274" s="88"/>
      <c r="W274" s="88"/>
      <c r="X274" s="88"/>
      <c r="Y274" s="88"/>
      <c r="Z274" s="88"/>
      <c r="AA274" s="88"/>
      <c r="AB274" s="88"/>
      <c r="AC274" s="88"/>
      <c r="AD274" s="88"/>
      <c r="AE274" s="88"/>
      <c r="AF274" s="88"/>
      <c r="AG274" s="88"/>
      <c r="AH274" s="88"/>
      <c r="AI274" s="88"/>
      <c r="AJ274" s="88"/>
    </row>
    <row r="275" spans="1:36" ht="15">
      <c r="A275" s="88" t="s">
        <v>328</v>
      </c>
      <c r="B275" s="88" t="s">
        <v>1415</v>
      </c>
      <c r="C275" s="88" t="s">
        <v>7</v>
      </c>
      <c r="D275" s="88" t="s">
        <v>1925</v>
      </c>
      <c r="E275" s="88" t="s">
        <v>1926</v>
      </c>
      <c r="F275" s="88"/>
      <c r="G275" s="88"/>
      <c r="H275" s="88"/>
      <c r="I275" s="88"/>
      <c r="J275" s="88"/>
      <c r="K275" s="88"/>
      <c r="L275" s="88"/>
      <c r="M275" s="88"/>
      <c r="N275" s="88"/>
      <c r="O275" s="88"/>
      <c r="P275" s="88"/>
      <c r="Q275" s="88"/>
      <c r="R275" s="88"/>
      <c r="S275" s="88"/>
      <c r="T275" s="88"/>
      <c r="U275" s="88"/>
      <c r="V275" s="88"/>
      <c r="W275" s="88"/>
      <c r="X275" s="88"/>
      <c r="Y275" s="88"/>
      <c r="Z275" s="88"/>
      <c r="AA275" s="88"/>
      <c r="AB275" s="88"/>
      <c r="AC275" s="88"/>
      <c r="AD275" s="88"/>
      <c r="AE275" s="88"/>
      <c r="AF275" s="88"/>
      <c r="AG275" s="88"/>
      <c r="AH275" s="88"/>
      <c r="AI275" s="88"/>
      <c r="AJ275" s="88"/>
    </row>
    <row r="276" spans="1:36" ht="15">
      <c r="A276" s="88" t="s">
        <v>328</v>
      </c>
      <c r="B276" s="88" t="s">
        <v>1420</v>
      </c>
      <c r="C276" s="88" t="s">
        <v>7</v>
      </c>
      <c r="D276" s="88" t="s">
        <v>1927</v>
      </c>
      <c r="E276" s="88" t="s">
        <v>1928</v>
      </c>
      <c r="F276" s="88"/>
      <c r="G276" s="88"/>
      <c r="H276" s="88"/>
      <c r="I276" s="88"/>
      <c r="J276" s="88"/>
      <c r="K276" s="88"/>
      <c r="L276" s="88"/>
      <c r="M276" s="88"/>
      <c r="N276" s="88"/>
      <c r="O276" s="88"/>
      <c r="P276" s="88"/>
      <c r="Q276" s="88"/>
      <c r="R276" s="88"/>
      <c r="S276" s="88"/>
      <c r="T276" s="88"/>
      <c r="U276" s="88"/>
      <c r="V276" s="88"/>
      <c r="W276" s="88"/>
      <c r="X276" s="88"/>
      <c r="Y276" s="88"/>
      <c r="Z276" s="88"/>
      <c r="AA276" s="88"/>
      <c r="AB276" s="88"/>
      <c r="AC276" s="88"/>
      <c r="AD276" s="88"/>
      <c r="AE276" s="88"/>
      <c r="AF276" s="88"/>
      <c r="AG276" s="88"/>
      <c r="AH276" s="88"/>
      <c r="AI276" s="88"/>
      <c r="AJ276" s="88"/>
    </row>
    <row r="277" spans="1:36" ht="15">
      <c r="A277" s="88" t="s">
        <v>328</v>
      </c>
      <c r="B277" s="88" t="s">
        <v>1424</v>
      </c>
      <c r="C277" s="88" t="s">
        <v>7</v>
      </c>
      <c r="D277" s="88" t="s">
        <v>1929</v>
      </c>
      <c r="E277" s="88" t="s">
        <v>1930</v>
      </c>
      <c r="F277" s="88"/>
      <c r="G277" s="88"/>
      <c r="H277" s="88"/>
      <c r="I277" s="88"/>
      <c r="J277" s="88"/>
      <c r="K277" s="88"/>
      <c r="L277" s="88"/>
      <c r="M277" s="88"/>
      <c r="N277" s="88"/>
      <c r="O277" s="88"/>
      <c r="P277" s="88"/>
      <c r="Q277" s="88"/>
      <c r="R277" s="88"/>
      <c r="S277" s="88"/>
      <c r="T277" s="88"/>
      <c r="U277" s="88"/>
      <c r="V277" s="88"/>
      <c r="W277" s="88"/>
      <c r="X277" s="88"/>
      <c r="Y277" s="88"/>
      <c r="Z277" s="88"/>
      <c r="AA277" s="88"/>
      <c r="AB277" s="88"/>
      <c r="AC277" s="88"/>
      <c r="AD277" s="88"/>
      <c r="AE277" s="88"/>
      <c r="AF277" s="88"/>
      <c r="AG277" s="88"/>
      <c r="AH277" s="88"/>
      <c r="AI277" s="88"/>
      <c r="AJ277" s="88"/>
    </row>
    <row r="278" spans="1:36" ht="15">
      <c r="A278" s="88" t="s">
        <v>328</v>
      </c>
      <c r="B278" s="88" t="s">
        <v>1430</v>
      </c>
      <c r="C278" s="88" t="s">
        <v>7</v>
      </c>
      <c r="D278" s="88" t="s">
        <v>1931</v>
      </c>
      <c r="E278" s="88" t="s">
        <v>1932</v>
      </c>
      <c r="F278" s="88"/>
      <c r="G278" s="88"/>
      <c r="H278" s="88"/>
      <c r="I278" s="88"/>
      <c r="J278" s="88"/>
      <c r="K278" s="88"/>
      <c r="L278" s="88"/>
      <c r="M278" s="88"/>
      <c r="N278" s="88"/>
      <c r="O278" s="88"/>
      <c r="P278" s="88"/>
      <c r="Q278" s="88"/>
      <c r="R278" s="88"/>
      <c r="S278" s="88"/>
      <c r="T278" s="88"/>
      <c r="U278" s="88"/>
      <c r="V278" s="88"/>
      <c r="W278" s="88"/>
      <c r="X278" s="88"/>
      <c r="Y278" s="88"/>
      <c r="Z278" s="88"/>
      <c r="AA278" s="88"/>
      <c r="AB278" s="88"/>
      <c r="AC278" s="88"/>
      <c r="AD278" s="88"/>
      <c r="AE278" s="88"/>
      <c r="AF278" s="88"/>
      <c r="AG278" s="88"/>
      <c r="AH278" s="88"/>
      <c r="AI278" s="88"/>
      <c r="AJ278" s="88"/>
    </row>
    <row r="279" spans="1:36" ht="15">
      <c r="A279" s="88" t="s">
        <v>328</v>
      </c>
      <c r="B279" s="88" t="s">
        <v>1436</v>
      </c>
      <c r="C279" s="88" t="s">
        <v>7</v>
      </c>
      <c r="D279" s="88" t="s">
        <v>1933</v>
      </c>
      <c r="E279" s="88" t="s">
        <v>1934</v>
      </c>
      <c r="F279" s="88"/>
      <c r="G279" s="88"/>
      <c r="H279" s="88"/>
      <c r="I279" s="88"/>
      <c r="J279" s="88"/>
      <c r="K279" s="88"/>
      <c r="L279" s="88"/>
      <c r="M279" s="88"/>
      <c r="N279" s="88"/>
      <c r="O279" s="88"/>
      <c r="P279" s="88"/>
      <c r="Q279" s="88"/>
      <c r="R279" s="88"/>
      <c r="S279" s="88"/>
      <c r="T279" s="88"/>
      <c r="U279" s="88"/>
      <c r="V279" s="88"/>
      <c r="W279" s="88"/>
      <c r="X279" s="88"/>
      <c r="Y279" s="88"/>
      <c r="Z279" s="88"/>
      <c r="AA279" s="88"/>
      <c r="AB279" s="88"/>
      <c r="AC279" s="88"/>
      <c r="AD279" s="88"/>
      <c r="AE279" s="88"/>
      <c r="AF279" s="88"/>
      <c r="AG279" s="88"/>
      <c r="AH279" s="88"/>
      <c r="AI279" s="88"/>
      <c r="AJ279" s="88"/>
    </row>
    <row r="280" spans="1:36" ht="15">
      <c r="A280" s="88" t="s">
        <v>328</v>
      </c>
      <c r="B280" s="88" t="s">
        <v>1441</v>
      </c>
      <c r="C280" s="88" t="s">
        <v>7</v>
      </c>
      <c r="D280" s="88" t="s">
        <v>1935</v>
      </c>
      <c r="E280" s="88" t="s">
        <v>1936</v>
      </c>
      <c r="F280" s="88"/>
      <c r="G280" s="88"/>
      <c r="H280" s="88"/>
      <c r="I280" s="88"/>
      <c r="J280" s="88"/>
      <c r="K280" s="88"/>
      <c r="L280" s="88"/>
      <c r="M280" s="88"/>
      <c r="N280" s="88"/>
      <c r="O280" s="88"/>
      <c r="P280" s="88"/>
      <c r="Q280" s="88"/>
      <c r="R280" s="88"/>
      <c r="S280" s="88"/>
      <c r="T280" s="88"/>
      <c r="U280" s="88"/>
      <c r="V280" s="88"/>
      <c r="W280" s="88"/>
      <c r="X280" s="88"/>
      <c r="Y280" s="88"/>
      <c r="Z280" s="88"/>
      <c r="AA280" s="88"/>
      <c r="AB280" s="88"/>
      <c r="AC280" s="88"/>
      <c r="AD280" s="88"/>
      <c r="AE280" s="88"/>
      <c r="AF280" s="88"/>
      <c r="AG280" s="88"/>
      <c r="AH280" s="88"/>
      <c r="AI280" s="88"/>
      <c r="AJ280" s="88"/>
    </row>
    <row r="281" spans="1:36" ht="15">
      <c r="A281" s="88" t="s">
        <v>328</v>
      </c>
      <c r="B281" s="88" t="s">
        <v>1446</v>
      </c>
      <c r="C281" s="88" t="s">
        <v>7</v>
      </c>
      <c r="D281" s="88" t="s">
        <v>1937</v>
      </c>
      <c r="E281" s="88" t="s">
        <v>1938</v>
      </c>
      <c r="F281" s="88"/>
      <c r="G281" s="88"/>
      <c r="H281" s="88"/>
      <c r="I281" s="88"/>
      <c r="J281" s="88"/>
      <c r="K281" s="88"/>
      <c r="L281" s="88"/>
      <c r="M281" s="88"/>
      <c r="N281" s="88"/>
      <c r="O281" s="88"/>
      <c r="P281" s="88"/>
      <c r="Q281" s="88"/>
      <c r="R281" s="88"/>
      <c r="S281" s="88"/>
      <c r="T281" s="88"/>
      <c r="U281" s="88"/>
      <c r="V281" s="88"/>
      <c r="W281" s="88"/>
      <c r="X281" s="88"/>
      <c r="Y281" s="88"/>
      <c r="Z281" s="88"/>
      <c r="AA281" s="88"/>
      <c r="AB281" s="88"/>
      <c r="AC281" s="88"/>
      <c r="AD281" s="88"/>
      <c r="AE281" s="88"/>
      <c r="AF281" s="88"/>
      <c r="AG281" s="88"/>
      <c r="AH281" s="88"/>
      <c r="AI281" s="88"/>
      <c r="AJ281" s="88"/>
    </row>
    <row r="282" spans="1:36" ht="15">
      <c r="A282" s="88" t="s">
        <v>328</v>
      </c>
      <c r="B282" s="88" t="s">
        <v>1452</v>
      </c>
      <c r="C282" s="88" t="s">
        <v>7</v>
      </c>
      <c r="D282" s="88" t="s">
        <v>1939</v>
      </c>
      <c r="E282" s="88" t="s">
        <v>1940</v>
      </c>
      <c r="F282" s="88"/>
      <c r="G282" s="88"/>
      <c r="H282" s="88"/>
      <c r="I282" s="88"/>
      <c r="J282" s="88"/>
      <c r="K282" s="88"/>
      <c r="L282" s="88"/>
      <c r="M282" s="88"/>
      <c r="N282" s="88"/>
      <c r="O282" s="88"/>
      <c r="P282" s="88"/>
      <c r="Q282" s="88"/>
      <c r="R282" s="88"/>
      <c r="S282" s="88"/>
      <c r="T282" s="88"/>
      <c r="U282" s="88"/>
      <c r="V282" s="88"/>
      <c r="W282" s="88"/>
      <c r="X282" s="88"/>
      <c r="Y282" s="88"/>
      <c r="Z282" s="88"/>
      <c r="AA282" s="88"/>
      <c r="AB282" s="88"/>
      <c r="AC282" s="88"/>
      <c r="AD282" s="88"/>
      <c r="AE282" s="88"/>
      <c r="AF282" s="88"/>
      <c r="AG282" s="88"/>
      <c r="AH282" s="88"/>
      <c r="AI282" s="88"/>
      <c r="AJ282" s="88"/>
    </row>
    <row r="283" spans="1:36" ht="15">
      <c r="A283" s="88" t="s">
        <v>328</v>
      </c>
      <c r="B283" s="88" t="s">
        <v>1457</v>
      </c>
      <c r="C283" s="88" t="s">
        <v>7</v>
      </c>
      <c r="D283" s="88" t="s">
        <v>1941</v>
      </c>
      <c r="E283" s="88" t="s">
        <v>1942</v>
      </c>
      <c r="F283" s="88"/>
      <c r="G283" s="88"/>
      <c r="H283" s="88"/>
      <c r="I283" s="88"/>
      <c r="J283" s="88"/>
      <c r="K283" s="88"/>
      <c r="L283" s="88"/>
      <c r="M283" s="88"/>
      <c r="N283" s="88"/>
      <c r="O283" s="88"/>
      <c r="P283" s="88"/>
      <c r="Q283" s="88"/>
      <c r="R283" s="88"/>
      <c r="S283" s="88"/>
      <c r="T283" s="88"/>
      <c r="U283" s="88"/>
      <c r="V283" s="88"/>
      <c r="W283" s="88"/>
      <c r="X283" s="88"/>
      <c r="Y283" s="88"/>
      <c r="Z283" s="88"/>
      <c r="AA283" s="88"/>
      <c r="AB283" s="88"/>
      <c r="AC283" s="88"/>
      <c r="AD283" s="88"/>
      <c r="AE283" s="88"/>
      <c r="AF283" s="88"/>
      <c r="AG283" s="88"/>
      <c r="AH283" s="88"/>
      <c r="AI283" s="88"/>
      <c r="AJ283" s="88"/>
    </row>
    <row r="284" spans="1:36" ht="15">
      <c r="A284" s="88" t="s">
        <v>328</v>
      </c>
      <c r="B284" s="88" t="s">
        <v>1463</v>
      </c>
      <c r="C284" s="88" t="s">
        <v>7</v>
      </c>
      <c r="D284" s="88" t="s">
        <v>1943</v>
      </c>
      <c r="E284" s="88" t="s">
        <v>1944</v>
      </c>
      <c r="F284" s="88"/>
      <c r="G284" s="88"/>
      <c r="H284" s="88"/>
      <c r="I284" s="88"/>
      <c r="J284" s="88"/>
      <c r="K284" s="88"/>
      <c r="L284" s="88"/>
      <c r="M284" s="88"/>
      <c r="N284" s="88"/>
      <c r="O284" s="88"/>
      <c r="P284" s="88"/>
      <c r="Q284" s="88"/>
      <c r="R284" s="88"/>
      <c r="S284" s="88"/>
      <c r="T284" s="88"/>
      <c r="U284" s="88"/>
      <c r="V284" s="88"/>
      <c r="W284" s="88"/>
      <c r="X284" s="88"/>
      <c r="Y284" s="88"/>
      <c r="Z284" s="88"/>
      <c r="AA284" s="88"/>
      <c r="AB284" s="88"/>
      <c r="AC284" s="88"/>
      <c r="AD284" s="88"/>
      <c r="AE284" s="88"/>
      <c r="AF284" s="88"/>
      <c r="AG284" s="88"/>
      <c r="AH284" s="88"/>
      <c r="AI284" s="88"/>
      <c r="AJ284" s="88"/>
    </row>
    <row r="285" spans="1:36" ht="15">
      <c r="A285" s="88" t="s">
        <v>328</v>
      </c>
      <c r="B285" s="88" t="s">
        <v>1021</v>
      </c>
      <c r="C285" s="88" t="s">
        <v>7</v>
      </c>
      <c r="D285" s="88" t="s">
        <v>1945</v>
      </c>
      <c r="E285" s="88" t="s">
        <v>1946</v>
      </c>
      <c r="F285" s="88"/>
      <c r="G285" s="88"/>
      <c r="H285" s="88"/>
      <c r="I285" s="88"/>
      <c r="J285" s="88"/>
      <c r="K285" s="88"/>
      <c r="L285" s="88"/>
      <c r="M285" s="88"/>
      <c r="N285" s="88"/>
      <c r="O285" s="88"/>
      <c r="P285" s="88"/>
      <c r="Q285" s="88"/>
      <c r="R285" s="88"/>
      <c r="S285" s="88"/>
      <c r="T285" s="88"/>
      <c r="U285" s="88"/>
      <c r="V285" s="88"/>
      <c r="W285" s="88"/>
      <c r="X285" s="88"/>
      <c r="Y285" s="88"/>
      <c r="Z285" s="88"/>
      <c r="AA285" s="88"/>
      <c r="AB285" s="88"/>
      <c r="AC285" s="88"/>
      <c r="AD285" s="88"/>
      <c r="AE285" s="88"/>
      <c r="AF285" s="88"/>
      <c r="AG285" s="88"/>
      <c r="AH285" s="88"/>
      <c r="AI285" s="88"/>
      <c r="AJ285" s="88"/>
    </row>
    <row r="286" spans="1:36" ht="15">
      <c r="A286" s="88" t="s">
        <v>328</v>
      </c>
      <c r="B286" s="88" t="s">
        <v>1470</v>
      </c>
      <c r="C286" s="88" t="s">
        <v>7</v>
      </c>
      <c r="D286" s="88" t="s">
        <v>1947</v>
      </c>
      <c r="E286" s="88" t="s">
        <v>1948</v>
      </c>
      <c r="F286" s="88"/>
      <c r="G286" s="88"/>
      <c r="H286" s="88"/>
      <c r="I286" s="88"/>
      <c r="J286" s="88"/>
      <c r="K286" s="88"/>
      <c r="L286" s="88"/>
      <c r="M286" s="88"/>
      <c r="N286" s="88"/>
      <c r="O286" s="88"/>
      <c r="P286" s="88"/>
      <c r="Q286" s="88"/>
      <c r="R286" s="88"/>
      <c r="S286" s="88"/>
      <c r="T286" s="88"/>
      <c r="U286" s="88"/>
      <c r="V286" s="88"/>
      <c r="W286" s="88"/>
      <c r="X286" s="88"/>
      <c r="Y286" s="88"/>
      <c r="Z286" s="88"/>
      <c r="AA286" s="88"/>
      <c r="AB286" s="88"/>
      <c r="AC286" s="88"/>
      <c r="AD286" s="88"/>
      <c r="AE286" s="88"/>
      <c r="AF286" s="88"/>
      <c r="AG286" s="88"/>
      <c r="AH286" s="88"/>
      <c r="AI286" s="88"/>
      <c r="AJ286" s="88"/>
    </row>
    <row r="287" spans="1:36" ht="15">
      <c r="A287" s="88" t="s">
        <v>328</v>
      </c>
      <c r="B287" s="88" t="s">
        <v>1475</v>
      </c>
      <c r="C287" s="88" t="s">
        <v>7</v>
      </c>
      <c r="D287" s="88" t="s">
        <v>1949</v>
      </c>
      <c r="E287" s="88" t="s">
        <v>1950</v>
      </c>
      <c r="F287" s="88"/>
      <c r="G287" s="88"/>
      <c r="H287" s="88"/>
      <c r="I287" s="88"/>
      <c r="J287" s="88"/>
      <c r="K287" s="88"/>
      <c r="L287" s="88"/>
      <c r="M287" s="88"/>
      <c r="N287" s="88"/>
      <c r="O287" s="88"/>
      <c r="P287" s="88"/>
      <c r="Q287" s="88"/>
      <c r="R287" s="88"/>
      <c r="S287" s="88"/>
      <c r="T287" s="88"/>
      <c r="U287" s="88"/>
      <c r="V287" s="88"/>
      <c r="W287" s="88"/>
      <c r="X287" s="88"/>
      <c r="Y287" s="88"/>
      <c r="Z287" s="88"/>
      <c r="AA287" s="88"/>
      <c r="AB287" s="88"/>
      <c r="AC287" s="88"/>
      <c r="AD287" s="88"/>
      <c r="AE287" s="88"/>
      <c r="AF287" s="88"/>
      <c r="AG287" s="88"/>
      <c r="AH287" s="88"/>
      <c r="AI287" s="88"/>
      <c r="AJ287" s="88"/>
    </row>
    <row r="288" spans="1:36" ht="15">
      <c r="A288" s="88" t="s">
        <v>328</v>
      </c>
      <c r="B288" s="88" t="s">
        <v>1480</v>
      </c>
      <c r="C288" s="88" t="s">
        <v>7</v>
      </c>
      <c r="D288" s="88" t="s">
        <v>1951</v>
      </c>
      <c r="E288" s="88" t="s">
        <v>1952</v>
      </c>
      <c r="F288" s="88"/>
      <c r="G288" s="88"/>
      <c r="H288" s="88"/>
      <c r="I288" s="88"/>
      <c r="J288" s="88"/>
      <c r="K288" s="88"/>
      <c r="L288" s="88"/>
      <c r="M288" s="88"/>
      <c r="N288" s="88"/>
      <c r="O288" s="88"/>
      <c r="P288" s="88"/>
      <c r="Q288" s="88"/>
      <c r="R288" s="88"/>
      <c r="S288" s="88"/>
      <c r="T288" s="88"/>
      <c r="U288" s="88"/>
      <c r="V288" s="88"/>
      <c r="W288" s="88"/>
      <c r="X288" s="88"/>
      <c r="Y288" s="88"/>
      <c r="Z288" s="88"/>
      <c r="AA288" s="88"/>
      <c r="AB288" s="88"/>
      <c r="AC288" s="88"/>
      <c r="AD288" s="88"/>
      <c r="AE288" s="88"/>
      <c r="AF288" s="88"/>
      <c r="AG288" s="88"/>
      <c r="AH288" s="88"/>
      <c r="AI288" s="88"/>
      <c r="AJ288" s="88"/>
    </row>
    <row r="289" spans="1:36" ht="15">
      <c r="A289" s="88" t="s">
        <v>328</v>
      </c>
      <c r="B289" s="88" t="s">
        <v>1485</v>
      </c>
      <c r="C289" s="88" t="s">
        <v>7</v>
      </c>
      <c r="D289" s="88" t="s">
        <v>1953</v>
      </c>
      <c r="E289" s="88" t="s">
        <v>1954</v>
      </c>
      <c r="F289" s="88"/>
      <c r="G289" s="88"/>
      <c r="H289" s="88"/>
      <c r="I289" s="88"/>
      <c r="J289" s="88"/>
      <c r="K289" s="88"/>
      <c r="L289" s="88"/>
      <c r="M289" s="88"/>
      <c r="N289" s="88"/>
      <c r="O289" s="88"/>
      <c r="P289" s="88"/>
      <c r="Q289" s="88"/>
      <c r="R289" s="88"/>
      <c r="S289" s="88"/>
      <c r="T289" s="88"/>
      <c r="U289" s="88"/>
      <c r="V289" s="88"/>
      <c r="W289" s="88"/>
      <c r="X289" s="88"/>
      <c r="Y289" s="88"/>
      <c r="Z289" s="88"/>
      <c r="AA289" s="88"/>
      <c r="AB289" s="88"/>
      <c r="AC289" s="88"/>
      <c r="AD289" s="88"/>
      <c r="AE289" s="88"/>
      <c r="AF289" s="88"/>
      <c r="AG289" s="88"/>
      <c r="AH289" s="88"/>
      <c r="AI289" s="88"/>
      <c r="AJ289" s="88"/>
    </row>
    <row r="290" spans="1:36" ht="15">
      <c r="A290" s="88" t="s">
        <v>328</v>
      </c>
      <c r="B290" s="88" t="s">
        <v>1489</v>
      </c>
      <c r="C290" s="88" t="s">
        <v>7</v>
      </c>
      <c r="D290" s="88" t="s">
        <v>1955</v>
      </c>
      <c r="E290" s="88" t="s">
        <v>1956</v>
      </c>
      <c r="F290" s="88"/>
      <c r="G290" s="88"/>
      <c r="H290" s="88"/>
      <c r="I290" s="88"/>
      <c r="J290" s="88"/>
      <c r="K290" s="88"/>
      <c r="L290" s="88"/>
      <c r="M290" s="88"/>
      <c r="N290" s="88"/>
      <c r="O290" s="88"/>
      <c r="P290" s="88"/>
      <c r="Q290" s="88"/>
      <c r="R290" s="88"/>
      <c r="S290" s="88"/>
      <c r="T290" s="88"/>
      <c r="U290" s="88"/>
      <c r="V290" s="88"/>
      <c r="W290" s="88"/>
      <c r="X290" s="88"/>
      <c r="Y290" s="88"/>
      <c r="Z290" s="88"/>
      <c r="AA290" s="88"/>
      <c r="AB290" s="88"/>
      <c r="AC290" s="88"/>
      <c r="AD290" s="88"/>
      <c r="AE290" s="88"/>
      <c r="AF290" s="88"/>
      <c r="AG290" s="88"/>
      <c r="AH290" s="88"/>
      <c r="AI290" s="88"/>
      <c r="AJ290" s="88"/>
    </row>
    <row r="291" spans="1:36" ht="15">
      <c r="A291" s="88" t="s">
        <v>328</v>
      </c>
      <c r="B291" s="88" t="s">
        <v>1494</v>
      </c>
      <c r="C291" s="88" t="s">
        <v>7</v>
      </c>
      <c r="D291" s="88" t="s">
        <v>1957</v>
      </c>
      <c r="E291" s="88" t="s">
        <v>1958</v>
      </c>
      <c r="F291" s="88"/>
      <c r="G291" s="88"/>
      <c r="H291" s="88"/>
      <c r="I291" s="88"/>
      <c r="J291" s="88"/>
      <c r="K291" s="88"/>
      <c r="L291" s="88"/>
      <c r="M291" s="88"/>
      <c r="N291" s="88"/>
      <c r="O291" s="88"/>
      <c r="P291" s="88"/>
      <c r="Q291" s="88"/>
      <c r="R291" s="88"/>
      <c r="S291" s="88"/>
      <c r="T291" s="88"/>
      <c r="U291" s="88"/>
      <c r="V291" s="88"/>
      <c r="W291" s="88"/>
      <c r="X291" s="88"/>
      <c r="Y291" s="88"/>
      <c r="Z291" s="88"/>
      <c r="AA291" s="88"/>
      <c r="AB291" s="88"/>
      <c r="AC291" s="88"/>
      <c r="AD291" s="88"/>
      <c r="AE291" s="88"/>
      <c r="AF291" s="88"/>
      <c r="AG291" s="88"/>
      <c r="AH291" s="88"/>
      <c r="AI291" s="88"/>
      <c r="AJ291" s="88"/>
    </row>
    <row r="292" spans="1:36" ht="15">
      <c r="A292" s="88" t="s">
        <v>328</v>
      </c>
      <c r="B292" s="88" t="s">
        <v>1499</v>
      </c>
      <c r="C292" s="88" t="s">
        <v>7</v>
      </c>
      <c r="D292" s="88" t="s">
        <v>1959</v>
      </c>
      <c r="E292" s="88" t="s">
        <v>1960</v>
      </c>
      <c r="F292" s="88"/>
      <c r="G292" s="88"/>
      <c r="H292" s="88"/>
      <c r="I292" s="88"/>
      <c r="J292" s="88"/>
      <c r="K292" s="88"/>
      <c r="L292" s="88"/>
      <c r="M292" s="88"/>
      <c r="N292" s="88"/>
      <c r="O292" s="88"/>
      <c r="P292" s="88"/>
      <c r="Q292" s="88"/>
      <c r="R292" s="88"/>
      <c r="S292" s="88"/>
      <c r="T292" s="88"/>
      <c r="U292" s="88"/>
      <c r="V292" s="88"/>
      <c r="W292" s="88"/>
      <c r="X292" s="88"/>
      <c r="Y292" s="88"/>
      <c r="Z292" s="88"/>
      <c r="AA292" s="88"/>
      <c r="AB292" s="88"/>
      <c r="AC292" s="88"/>
      <c r="AD292" s="88"/>
      <c r="AE292" s="88"/>
      <c r="AF292" s="88"/>
      <c r="AG292" s="88"/>
      <c r="AH292" s="88"/>
      <c r="AI292" s="88"/>
      <c r="AJ292" s="88"/>
    </row>
    <row r="293" spans="1:36" ht="15">
      <c r="A293" s="88" t="s">
        <v>328</v>
      </c>
      <c r="B293" s="88" t="s">
        <v>1504</v>
      </c>
      <c r="C293" s="88" t="s">
        <v>7</v>
      </c>
      <c r="D293" s="88" t="s">
        <v>1961</v>
      </c>
      <c r="E293" s="88" t="s">
        <v>1962</v>
      </c>
      <c r="F293" s="88"/>
      <c r="G293" s="88"/>
      <c r="H293" s="88"/>
      <c r="I293" s="88"/>
      <c r="J293" s="88"/>
      <c r="K293" s="88"/>
      <c r="L293" s="88"/>
      <c r="M293" s="88"/>
      <c r="N293" s="88"/>
      <c r="O293" s="88"/>
      <c r="P293" s="88"/>
      <c r="Q293" s="88"/>
      <c r="R293" s="88"/>
      <c r="S293" s="88"/>
      <c r="T293" s="88"/>
      <c r="U293" s="88"/>
      <c r="V293" s="88"/>
      <c r="W293" s="88"/>
      <c r="X293" s="88"/>
      <c r="Y293" s="88"/>
      <c r="Z293" s="88"/>
      <c r="AA293" s="88"/>
      <c r="AB293" s="88"/>
      <c r="AC293" s="88"/>
      <c r="AD293" s="88"/>
      <c r="AE293" s="88"/>
      <c r="AF293" s="88"/>
      <c r="AG293" s="88"/>
      <c r="AH293" s="88"/>
      <c r="AI293" s="88"/>
      <c r="AJ293" s="88"/>
    </row>
    <row r="294" spans="1:36" ht="15">
      <c r="A294" s="88" t="s">
        <v>328</v>
      </c>
      <c r="B294" s="88" t="s">
        <v>1509</v>
      </c>
      <c r="C294" s="88" t="s">
        <v>7</v>
      </c>
      <c r="D294" s="88" t="s">
        <v>1963</v>
      </c>
      <c r="E294" s="88" t="s">
        <v>1964</v>
      </c>
      <c r="F294" s="88"/>
      <c r="G294" s="88"/>
      <c r="H294" s="88"/>
      <c r="I294" s="88"/>
      <c r="J294" s="88"/>
      <c r="K294" s="88"/>
      <c r="L294" s="88"/>
      <c r="M294" s="88"/>
      <c r="N294" s="88"/>
      <c r="O294" s="88"/>
      <c r="P294" s="88"/>
      <c r="Q294" s="88"/>
      <c r="R294" s="88"/>
      <c r="S294" s="88"/>
      <c r="T294" s="88"/>
      <c r="U294" s="88"/>
      <c r="V294" s="88"/>
      <c r="W294" s="88"/>
      <c r="X294" s="88"/>
      <c r="Y294" s="88"/>
      <c r="Z294" s="88"/>
      <c r="AA294" s="88"/>
      <c r="AB294" s="88"/>
      <c r="AC294" s="88"/>
      <c r="AD294" s="88"/>
      <c r="AE294" s="88"/>
      <c r="AF294" s="88"/>
      <c r="AG294" s="88"/>
      <c r="AH294" s="88"/>
      <c r="AI294" s="88"/>
      <c r="AJ294" s="88"/>
    </row>
    <row r="295" spans="1:36" ht="15">
      <c r="A295" s="88" t="s">
        <v>328</v>
      </c>
      <c r="B295" s="88" t="s">
        <v>1514</v>
      </c>
      <c r="C295" s="88" t="s">
        <v>7</v>
      </c>
      <c r="D295" s="88" t="s">
        <v>1965</v>
      </c>
      <c r="E295" s="88" t="s">
        <v>1966</v>
      </c>
      <c r="F295" s="88"/>
      <c r="G295" s="88"/>
      <c r="H295" s="88"/>
      <c r="I295" s="88"/>
      <c r="J295" s="88"/>
      <c r="K295" s="88"/>
      <c r="L295" s="88"/>
      <c r="M295" s="88"/>
      <c r="N295" s="88"/>
      <c r="O295" s="88"/>
      <c r="P295" s="88"/>
      <c r="Q295" s="88"/>
      <c r="R295" s="88"/>
      <c r="S295" s="88"/>
      <c r="T295" s="88"/>
      <c r="U295" s="88"/>
      <c r="V295" s="88"/>
      <c r="W295" s="88"/>
      <c r="X295" s="88"/>
      <c r="Y295" s="88"/>
      <c r="Z295" s="88"/>
      <c r="AA295" s="88"/>
      <c r="AB295" s="88"/>
      <c r="AC295" s="88"/>
      <c r="AD295" s="88"/>
      <c r="AE295" s="88"/>
      <c r="AF295" s="88"/>
      <c r="AG295" s="88"/>
      <c r="AH295" s="88"/>
      <c r="AI295" s="88"/>
      <c r="AJ295" s="88"/>
    </row>
    <row r="296" spans="1:36" ht="15">
      <c r="A296" s="88" t="s">
        <v>328</v>
      </c>
      <c r="B296" s="88" t="s">
        <v>1518</v>
      </c>
      <c r="C296" s="88" t="s">
        <v>7</v>
      </c>
      <c r="D296" s="88" t="s">
        <v>1967</v>
      </c>
      <c r="E296" s="88" t="s">
        <v>1968</v>
      </c>
      <c r="F296" s="88"/>
      <c r="G296" s="88"/>
      <c r="H296" s="88"/>
      <c r="I296" s="88"/>
      <c r="J296" s="88"/>
      <c r="K296" s="88"/>
      <c r="L296" s="88"/>
      <c r="M296" s="88"/>
      <c r="N296" s="88"/>
      <c r="O296" s="88"/>
      <c r="P296" s="88"/>
      <c r="Q296" s="88"/>
      <c r="R296" s="88"/>
      <c r="S296" s="88"/>
      <c r="T296" s="88"/>
      <c r="U296" s="88"/>
      <c r="V296" s="88"/>
      <c r="W296" s="88"/>
      <c r="X296" s="88"/>
      <c r="Y296" s="88"/>
      <c r="Z296" s="88"/>
      <c r="AA296" s="88"/>
      <c r="AB296" s="88"/>
      <c r="AC296" s="88"/>
      <c r="AD296" s="88"/>
      <c r="AE296" s="88"/>
      <c r="AF296" s="88"/>
      <c r="AG296" s="88"/>
      <c r="AH296" s="88"/>
      <c r="AI296" s="88"/>
      <c r="AJ296" s="88"/>
    </row>
    <row r="297" spans="1:36" ht="15">
      <c r="A297" s="88" t="s">
        <v>328</v>
      </c>
      <c r="B297" s="88" t="s">
        <v>1523</v>
      </c>
      <c r="C297" s="88" t="s">
        <v>7</v>
      </c>
      <c r="D297" s="88" t="s">
        <v>1969</v>
      </c>
      <c r="E297" s="88" t="s">
        <v>1970</v>
      </c>
      <c r="F297" s="88"/>
      <c r="G297" s="88"/>
      <c r="H297" s="88"/>
      <c r="I297" s="88"/>
      <c r="J297" s="88"/>
      <c r="K297" s="88"/>
      <c r="L297" s="88"/>
      <c r="M297" s="88"/>
      <c r="N297" s="88"/>
      <c r="O297" s="88"/>
      <c r="P297" s="88"/>
      <c r="Q297" s="88"/>
      <c r="R297" s="88"/>
      <c r="S297" s="88"/>
      <c r="T297" s="88"/>
      <c r="U297" s="88"/>
      <c r="V297" s="88"/>
      <c r="W297" s="88"/>
      <c r="X297" s="88"/>
      <c r="Y297" s="88"/>
      <c r="Z297" s="88"/>
      <c r="AA297" s="88"/>
      <c r="AB297" s="88"/>
      <c r="AC297" s="88"/>
      <c r="AD297" s="88"/>
      <c r="AE297" s="88"/>
      <c r="AF297" s="88"/>
      <c r="AG297" s="88"/>
      <c r="AH297" s="88"/>
      <c r="AI297" s="88"/>
      <c r="AJ297" s="88"/>
    </row>
    <row r="298" spans="1:36" ht="15">
      <c r="A298" s="88" t="s">
        <v>328</v>
      </c>
      <c r="B298" s="88" t="s">
        <v>1528</v>
      </c>
      <c r="C298" s="88" t="s">
        <v>7</v>
      </c>
      <c r="D298" s="88" t="s">
        <v>1971</v>
      </c>
      <c r="E298" s="88" t="s">
        <v>1972</v>
      </c>
      <c r="F298" s="88"/>
      <c r="G298" s="88"/>
      <c r="H298" s="88"/>
      <c r="I298" s="88"/>
      <c r="J298" s="88"/>
      <c r="K298" s="88"/>
      <c r="L298" s="88"/>
      <c r="M298" s="88"/>
      <c r="N298" s="88"/>
      <c r="O298" s="88"/>
      <c r="P298" s="88"/>
      <c r="Q298" s="88"/>
      <c r="R298" s="88"/>
      <c r="S298" s="88"/>
      <c r="T298" s="88"/>
      <c r="U298" s="88"/>
      <c r="V298" s="88"/>
      <c r="W298" s="88"/>
      <c r="X298" s="88"/>
      <c r="Y298" s="88"/>
      <c r="Z298" s="88"/>
      <c r="AA298" s="88"/>
      <c r="AB298" s="88"/>
      <c r="AC298" s="88"/>
      <c r="AD298" s="88"/>
      <c r="AE298" s="88"/>
      <c r="AF298" s="88"/>
      <c r="AG298" s="88"/>
      <c r="AH298" s="88"/>
      <c r="AI298" s="88"/>
      <c r="AJ298" s="88"/>
    </row>
    <row r="299" spans="1:36" ht="15">
      <c r="A299" s="88" t="s">
        <v>328</v>
      </c>
      <c r="B299" s="88" t="s">
        <v>1533</v>
      </c>
      <c r="C299" s="88" t="s">
        <v>7</v>
      </c>
      <c r="D299" s="88" t="s">
        <v>1973</v>
      </c>
      <c r="E299" s="88" t="s">
        <v>1974</v>
      </c>
      <c r="F299" s="88"/>
      <c r="G299" s="88"/>
      <c r="H299" s="88"/>
      <c r="I299" s="88"/>
      <c r="J299" s="88"/>
      <c r="K299" s="88"/>
      <c r="L299" s="88"/>
      <c r="M299" s="88"/>
      <c r="N299" s="88"/>
      <c r="O299" s="88"/>
      <c r="P299" s="88"/>
      <c r="Q299" s="88"/>
      <c r="R299" s="88"/>
      <c r="S299" s="88"/>
      <c r="T299" s="88"/>
      <c r="U299" s="88"/>
      <c r="V299" s="88"/>
      <c r="W299" s="88"/>
      <c r="X299" s="88"/>
      <c r="Y299" s="88"/>
      <c r="Z299" s="88"/>
      <c r="AA299" s="88"/>
      <c r="AB299" s="88"/>
      <c r="AC299" s="88"/>
      <c r="AD299" s="88"/>
      <c r="AE299" s="88"/>
      <c r="AF299" s="88"/>
      <c r="AG299" s="88"/>
      <c r="AH299" s="88"/>
      <c r="AI299" s="88"/>
      <c r="AJ299" s="88"/>
    </row>
    <row r="300" spans="1:36" ht="15">
      <c r="A300" s="88" t="s">
        <v>328</v>
      </c>
      <c r="B300" s="88" t="s">
        <v>1538</v>
      </c>
      <c r="C300" s="88" t="s">
        <v>7</v>
      </c>
      <c r="D300" s="88" t="s">
        <v>1975</v>
      </c>
      <c r="E300" s="88" t="s">
        <v>1976</v>
      </c>
      <c r="F300" s="88"/>
      <c r="G300" s="88"/>
      <c r="H300" s="88"/>
      <c r="I300" s="88"/>
      <c r="J300" s="88"/>
      <c r="K300" s="88"/>
      <c r="L300" s="88"/>
      <c r="M300" s="88"/>
      <c r="N300" s="88"/>
      <c r="O300" s="88"/>
      <c r="P300" s="88"/>
      <c r="Q300" s="88"/>
      <c r="R300" s="88"/>
      <c r="S300" s="88"/>
      <c r="T300" s="88"/>
      <c r="U300" s="88"/>
      <c r="V300" s="88"/>
      <c r="W300" s="88"/>
      <c r="X300" s="88"/>
      <c r="Y300" s="88"/>
      <c r="Z300" s="88"/>
      <c r="AA300" s="88"/>
      <c r="AB300" s="88"/>
      <c r="AC300" s="88"/>
      <c r="AD300" s="88"/>
      <c r="AE300" s="88"/>
      <c r="AF300" s="88"/>
      <c r="AG300" s="88"/>
      <c r="AH300" s="88"/>
      <c r="AI300" s="88"/>
      <c r="AJ300" s="88"/>
    </row>
    <row r="301" spans="1:36" ht="15">
      <c r="A301" s="88" t="s">
        <v>328</v>
      </c>
      <c r="B301" s="88" t="s">
        <v>1543</v>
      </c>
      <c r="C301" s="88" t="s">
        <v>7</v>
      </c>
      <c r="D301" s="88" t="s">
        <v>1977</v>
      </c>
      <c r="E301" s="88" t="s">
        <v>1978</v>
      </c>
      <c r="F301" s="88"/>
      <c r="G301" s="88"/>
      <c r="H301" s="88"/>
      <c r="I301" s="88"/>
      <c r="J301" s="88"/>
      <c r="K301" s="88"/>
      <c r="L301" s="88"/>
      <c r="M301" s="88"/>
      <c r="N301" s="88"/>
      <c r="O301" s="88"/>
      <c r="P301" s="88"/>
      <c r="Q301" s="88"/>
      <c r="R301" s="88"/>
      <c r="S301" s="88"/>
      <c r="T301" s="88"/>
      <c r="U301" s="88"/>
      <c r="V301" s="88"/>
      <c r="W301" s="88"/>
      <c r="X301" s="88"/>
      <c r="Y301" s="88"/>
      <c r="Z301" s="88"/>
      <c r="AA301" s="88"/>
      <c r="AB301" s="88"/>
      <c r="AC301" s="88"/>
      <c r="AD301" s="88"/>
      <c r="AE301" s="88"/>
      <c r="AF301" s="88"/>
      <c r="AG301" s="88"/>
      <c r="AH301" s="88"/>
      <c r="AI301" s="88"/>
      <c r="AJ301" s="88"/>
    </row>
    <row r="302" spans="1:36" ht="15">
      <c r="A302" s="88" t="s">
        <v>328</v>
      </c>
      <c r="B302" s="88" t="s">
        <v>1548</v>
      </c>
      <c r="C302" s="88" t="s">
        <v>7</v>
      </c>
      <c r="D302" s="88" t="s">
        <v>1979</v>
      </c>
      <c r="E302" s="88" t="s">
        <v>1980</v>
      </c>
      <c r="F302" s="88"/>
      <c r="G302" s="88"/>
      <c r="H302" s="88"/>
      <c r="I302" s="88"/>
      <c r="J302" s="88"/>
      <c r="K302" s="88"/>
      <c r="L302" s="88"/>
      <c r="M302" s="88"/>
      <c r="N302" s="88"/>
      <c r="O302" s="88"/>
      <c r="P302" s="88"/>
      <c r="Q302" s="88"/>
      <c r="R302" s="88"/>
      <c r="S302" s="88"/>
      <c r="T302" s="88"/>
      <c r="U302" s="88"/>
      <c r="V302" s="88"/>
      <c r="W302" s="88"/>
      <c r="X302" s="88"/>
      <c r="Y302" s="88"/>
      <c r="Z302" s="88"/>
      <c r="AA302" s="88"/>
      <c r="AB302" s="88"/>
      <c r="AC302" s="88"/>
      <c r="AD302" s="88"/>
      <c r="AE302" s="88"/>
      <c r="AF302" s="88"/>
      <c r="AG302" s="88"/>
      <c r="AH302" s="88"/>
      <c r="AI302" s="88"/>
      <c r="AJ302" s="88"/>
    </row>
    <row r="303" spans="1:36" ht="15">
      <c r="A303" s="88" t="s">
        <v>328</v>
      </c>
      <c r="B303" s="88" t="s">
        <v>1553</v>
      </c>
      <c r="C303" s="88" t="s">
        <v>7</v>
      </c>
      <c r="D303" s="88" t="s">
        <v>1981</v>
      </c>
      <c r="E303" s="88" t="s">
        <v>1982</v>
      </c>
      <c r="F303" s="88"/>
      <c r="G303" s="88"/>
      <c r="H303" s="88"/>
      <c r="I303" s="88"/>
      <c r="J303" s="88"/>
      <c r="K303" s="88"/>
      <c r="L303" s="88"/>
      <c r="M303" s="88"/>
      <c r="N303" s="88"/>
      <c r="O303" s="88"/>
      <c r="P303" s="88"/>
      <c r="Q303" s="88"/>
      <c r="R303" s="88"/>
      <c r="S303" s="88"/>
      <c r="T303" s="88"/>
      <c r="U303" s="88"/>
      <c r="V303" s="88"/>
      <c r="W303" s="88"/>
      <c r="X303" s="88"/>
      <c r="Y303" s="88"/>
      <c r="Z303" s="88"/>
      <c r="AA303" s="88"/>
      <c r="AB303" s="88"/>
      <c r="AC303" s="88"/>
      <c r="AD303" s="88"/>
      <c r="AE303" s="88"/>
      <c r="AF303" s="88"/>
      <c r="AG303" s="88"/>
      <c r="AH303" s="88"/>
      <c r="AI303" s="88"/>
      <c r="AJ303" s="88"/>
    </row>
    <row r="304" spans="1:36" ht="15">
      <c r="A304" s="88" t="s">
        <v>328</v>
      </c>
      <c r="B304" s="88" t="s">
        <v>1558</v>
      </c>
      <c r="C304" s="88" t="s">
        <v>7</v>
      </c>
      <c r="D304" s="88" t="s">
        <v>1983</v>
      </c>
      <c r="E304" s="88" t="s">
        <v>1984</v>
      </c>
      <c r="F304" s="88"/>
      <c r="G304" s="88"/>
      <c r="H304" s="88"/>
      <c r="I304" s="88"/>
      <c r="J304" s="88"/>
      <c r="K304" s="88"/>
      <c r="L304" s="88"/>
      <c r="M304" s="88"/>
      <c r="N304" s="88"/>
      <c r="O304" s="88"/>
      <c r="P304" s="88"/>
      <c r="Q304" s="88"/>
      <c r="R304" s="88"/>
      <c r="S304" s="88"/>
      <c r="T304" s="88"/>
      <c r="U304" s="88"/>
      <c r="V304" s="88"/>
      <c r="W304" s="88"/>
      <c r="X304" s="88"/>
      <c r="Y304" s="88"/>
      <c r="Z304" s="88"/>
      <c r="AA304" s="88"/>
      <c r="AB304" s="88"/>
      <c r="AC304" s="88"/>
      <c r="AD304" s="88"/>
      <c r="AE304" s="88"/>
      <c r="AF304" s="88"/>
      <c r="AG304" s="88"/>
      <c r="AH304" s="88"/>
      <c r="AI304" s="88"/>
      <c r="AJ304" s="88"/>
    </row>
    <row r="305" spans="1:36" ht="15">
      <c r="A305" s="88" t="s">
        <v>328</v>
      </c>
      <c r="B305" s="88" t="s">
        <v>1563</v>
      </c>
      <c r="C305" s="88" t="s">
        <v>7</v>
      </c>
      <c r="D305" s="88" t="s">
        <v>1985</v>
      </c>
      <c r="E305" s="88" t="s">
        <v>1986</v>
      </c>
      <c r="F305" s="88"/>
      <c r="G305" s="88"/>
      <c r="H305" s="88"/>
      <c r="I305" s="88"/>
      <c r="J305" s="88"/>
      <c r="K305" s="88"/>
      <c r="L305" s="88"/>
      <c r="M305" s="88"/>
      <c r="N305" s="88"/>
      <c r="O305" s="88"/>
      <c r="P305" s="88"/>
      <c r="Q305" s="88"/>
      <c r="R305" s="88"/>
      <c r="S305" s="88"/>
      <c r="T305" s="88"/>
      <c r="U305" s="88"/>
      <c r="V305" s="88"/>
      <c r="W305" s="88"/>
      <c r="X305" s="88"/>
      <c r="Y305" s="88"/>
      <c r="Z305" s="88"/>
      <c r="AA305" s="88"/>
      <c r="AB305" s="88"/>
      <c r="AC305" s="88"/>
      <c r="AD305" s="88"/>
      <c r="AE305" s="88"/>
      <c r="AF305" s="88"/>
      <c r="AG305" s="88"/>
      <c r="AH305" s="88"/>
      <c r="AI305" s="88"/>
      <c r="AJ305" s="88"/>
    </row>
    <row r="306" spans="1:36" ht="15">
      <c r="A306" s="88" t="s">
        <v>328</v>
      </c>
      <c r="B306" s="88" t="s">
        <v>1568</v>
      </c>
      <c r="C306" s="88" t="s">
        <v>7</v>
      </c>
      <c r="D306" s="88" t="s">
        <v>1987</v>
      </c>
      <c r="E306" s="88" t="s">
        <v>1988</v>
      </c>
      <c r="F306" s="88"/>
      <c r="G306" s="88"/>
      <c r="H306" s="88"/>
      <c r="I306" s="88"/>
      <c r="J306" s="88"/>
      <c r="K306" s="88"/>
      <c r="L306" s="88"/>
      <c r="M306" s="88"/>
      <c r="N306" s="88"/>
      <c r="O306" s="88"/>
      <c r="P306" s="88"/>
      <c r="Q306" s="88"/>
      <c r="R306" s="88"/>
      <c r="S306" s="88"/>
      <c r="T306" s="88"/>
      <c r="U306" s="88"/>
      <c r="V306" s="88"/>
      <c r="W306" s="88"/>
      <c r="X306" s="88"/>
      <c r="Y306" s="88"/>
      <c r="Z306" s="88"/>
      <c r="AA306" s="88"/>
      <c r="AB306" s="88"/>
      <c r="AC306" s="88"/>
      <c r="AD306" s="88"/>
      <c r="AE306" s="88"/>
      <c r="AF306" s="88"/>
      <c r="AG306" s="88"/>
      <c r="AH306" s="88"/>
      <c r="AI306" s="88"/>
      <c r="AJ306" s="88"/>
    </row>
    <row r="307" spans="1:36" ht="15">
      <c r="A307" s="88" t="s">
        <v>328</v>
      </c>
      <c r="B307" s="88" t="s">
        <v>1572</v>
      </c>
      <c r="C307" s="88" t="s">
        <v>7</v>
      </c>
      <c r="D307" s="88" t="s">
        <v>1989</v>
      </c>
      <c r="E307" s="88" t="s">
        <v>1990</v>
      </c>
      <c r="F307" s="88"/>
      <c r="G307" s="88"/>
      <c r="H307" s="88"/>
      <c r="I307" s="88"/>
      <c r="J307" s="88"/>
      <c r="K307" s="88"/>
      <c r="L307" s="88"/>
      <c r="M307" s="88"/>
      <c r="N307" s="88"/>
      <c r="O307" s="88"/>
      <c r="P307" s="88"/>
      <c r="Q307" s="88"/>
      <c r="R307" s="88"/>
      <c r="S307" s="88"/>
      <c r="T307" s="88"/>
      <c r="U307" s="88"/>
      <c r="V307" s="88"/>
      <c r="W307" s="88"/>
      <c r="X307" s="88"/>
      <c r="Y307" s="88"/>
      <c r="Z307" s="88"/>
      <c r="AA307" s="88"/>
      <c r="AB307" s="88"/>
      <c r="AC307" s="88"/>
      <c r="AD307" s="88"/>
      <c r="AE307" s="88"/>
      <c r="AF307" s="88"/>
      <c r="AG307" s="88"/>
      <c r="AH307" s="88"/>
      <c r="AI307" s="88"/>
      <c r="AJ307" s="88"/>
    </row>
    <row r="308" spans="1:36" ht="15">
      <c r="A308" s="88" t="s">
        <v>328</v>
      </c>
      <c r="B308" s="88" t="s">
        <v>1577</v>
      </c>
      <c r="C308" s="88" t="s">
        <v>7</v>
      </c>
      <c r="D308" s="88" t="s">
        <v>1991</v>
      </c>
      <c r="E308" s="88" t="s">
        <v>1992</v>
      </c>
      <c r="F308" s="88"/>
      <c r="G308" s="88"/>
      <c r="H308" s="88"/>
      <c r="I308" s="88"/>
      <c r="J308" s="88"/>
      <c r="K308" s="88"/>
      <c r="L308" s="88"/>
      <c r="M308" s="88"/>
      <c r="N308" s="88"/>
      <c r="O308" s="88"/>
      <c r="P308" s="88"/>
      <c r="Q308" s="88"/>
      <c r="R308" s="88"/>
      <c r="S308" s="88"/>
      <c r="T308" s="88"/>
      <c r="U308" s="88"/>
      <c r="V308" s="88"/>
      <c r="W308" s="88"/>
      <c r="X308" s="88"/>
      <c r="Y308" s="88"/>
      <c r="Z308" s="88"/>
      <c r="AA308" s="88"/>
      <c r="AB308" s="88"/>
      <c r="AC308" s="88"/>
      <c r="AD308" s="88"/>
      <c r="AE308" s="88"/>
      <c r="AF308" s="88"/>
      <c r="AG308" s="88"/>
      <c r="AH308" s="88"/>
      <c r="AI308" s="88"/>
      <c r="AJ308" s="88"/>
    </row>
    <row r="309" spans="1:36" ht="15">
      <c r="A309" s="88" t="s">
        <v>328</v>
      </c>
      <c r="B309" s="88" t="s">
        <v>1582</v>
      </c>
      <c r="C309" s="88" t="s">
        <v>7</v>
      </c>
      <c r="D309" s="88" t="s">
        <v>1993</v>
      </c>
      <c r="E309" s="88" t="s">
        <v>1994</v>
      </c>
      <c r="F309" s="88"/>
      <c r="G309" s="88"/>
      <c r="H309" s="88"/>
      <c r="I309" s="88"/>
      <c r="J309" s="88"/>
      <c r="K309" s="88"/>
      <c r="L309" s="88"/>
      <c r="M309" s="88"/>
      <c r="N309" s="88"/>
      <c r="O309" s="88"/>
      <c r="P309" s="88"/>
      <c r="Q309" s="88"/>
      <c r="R309" s="88"/>
      <c r="S309" s="88"/>
      <c r="T309" s="88"/>
      <c r="U309" s="88"/>
      <c r="V309" s="88"/>
      <c r="W309" s="88"/>
      <c r="X309" s="88"/>
      <c r="Y309" s="88"/>
      <c r="Z309" s="88"/>
      <c r="AA309" s="88"/>
      <c r="AB309" s="88"/>
      <c r="AC309" s="88"/>
      <c r="AD309" s="88"/>
      <c r="AE309" s="88"/>
      <c r="AF309" s="88"/>
      <c r="AG309" s="88"/>
      <c r="AH309" s="88"/>
      <c r="AI309" s="88"/>
      <c r="AJ309" s="88"/>
    </row>
    <row r="310" spans="1:36" ht="15">
      <c r="A310" s="88" t="s">
        <v>328</v>
      </c>
      <c r="B310" s="88" t="s">
        <v>1587</v>
      </c>
      <c r="C310" s="88" t="s">
        <v>7</v>
      </c>
      <c r="D310" s="88" t="s">
        <v>1995</v>
      </c>
      <c r="E310" s="88" t="s">
        <v>1996</v>
      </c>
      <c r="F310" s="88"/>
      <c r="G310" s="88"/>
      <c r="H310" s="88"/>
      <c r="I310" s="88"/>
      <c r="J310" s="88"/>
      <c r="K310" s="88"/>
      <c r="L310" s="88"/>
      <c r="M310" s="88"/>
      <c r="N310" s="88"/>
      <c r="O310" s="88"/>
      <c r="P310" s="88"/>
      <c r="Q310" s="88"/>
      <c r="R310" s="88"/>
      <c r="S310" s="88"/>
      <c r="T310" s="88"/>
      <c r="U310" s="88"/>
      <c r="V310" s="88"/>
      <c r="W310" s="88"/>
      <c r="X310" s="88"/>
      <c r="Y310" s="88"/>
      <c r="Z310" s="88"/>
      <c r="AA310" s="88"/>
      <c r="AB310" s="88"/>
      <c r="AC310" s="88"/>
      <c r="AD310" s="88"/>
      <c r="AE310" s="88"/>
      <c r="AF310" s="88"/>
      <c r="AG310" s="88"/>
      <c r="AH310" s="88"/>
      <c r="AI310" s="88"/>
      <c r="AJ310" s="88"/>
    </row>
    <row r="311" spans="1:36" ht="15">
      <c r="A311" s="88" t="s">
        <v>328</v>
      </c>
      <c r="B311" s="88" t="s">
        <v>1592</v>
      </c>
      <c r="C311" s="88" t="s">
        <v>7</v>
      </c>
      <c r="D311" s="88" t="s">
        <v>1997</v>
      </c>
      <c r="E311" s="88" t="s">
        <v>1998</v>
      </c>
      <c r="F311" s="88"/>
      <c r="G311" s="88"/>
      <c r="H311" s="88"/>
      <c r="I311" s="88"/>
      <c r="J311" s="88"/>
      <c r="K311" s="88"/>
      <c r="L311" s="88"/>
      <c r="M311" s="88"/>
      <c r="N311" s="88"/>
      <c r="O311" s="88"/>
      <c r="P311" s="88"/>
      <c r="Q311" s="88"/>
      <c r="R311" s="88"/>
      <c r="S311" s="88"/>
      <c r="T311" s="88"/>
      <c r="U311" s="88"/>
      <c r="V311" s="88"/>
      <c r="W311" s="88"/>
      <c r="X311" s="88"/>
      <c r="Y311" s="88"/>
      <c r="Z311" s="88"/>
      <c r="AA311" s="88"/>
      <c r="AB311" s="88"/>
      <c r="AC311" s="88"/>
      <c r="AD311" s="88"/>
      <c r="AE311" s="88"/>
      <c r="AF311" s="88"/>
      <c r="AG311" s="88"/>
      <c r="AH311" s="88"/>
      <c r="AI311" s="88"/>
      <c r="AJ311" s="88"/>
    </row>
    <row r="312" spans="1:36" ht="15">
      <c r="A312" s="88" t="s">
        <v>328</v>
      </c>
      <c r="B312" s="88" t="s">
        <v>1596</v>
      </c>
      <c r="C312" s="88" t="s">
        <v>7</v>
      </c>
      <c r="D312" s="88" t="s">
        <v>1999</v>
      </c>
      <c r="E312" s="88" t="s">
        <v>2000</v>
      </c>
      <c r="F312" s="88"/>
      <c r="G312" s="88"/>
      <c r="H312" s="88"/>
      <c r="I312" s="88"/>
      <c r="J312" s="88"/>
      <c r="K312" s="88"/>
      <c r="L312" s="88"/>
      <c r="M312" s="88"/>
      <c r="N312" s="88"/>
      <c r="O312" s="88"/>
      <c r="P312" s="88"/>
      <c r="Q312" s="88"/>
      <c r="R312" s="88"/>
      <c r="S312" s="88"/>
      <c r="T312" s="88"/>
      <c r="U312" s="88"/>
      <c r="V312" s="88"/>
      <c r="W312" s="88"/>
      <c r="X312" s="88"/>
      <c r="Y312" s="88"/>
      <c r="Z312" s="88"/>
      <c r="AA312" s="88"/>
      <c r="AB312" s="88"/>
      <c r="AC312" s="88"/>
      <c r="AD312" s="88"/>
      <c r="AE312" s="88"/>
      <c r="AF312" s="88"/>
      <c r="AG312" s="88"/>
      <c r="AH312" s="88"/>
      <c r="AI312" s="88"/>
      <c r="AJ312" s="88"/>
    </row>
    <row r="313" spans="1:36" ht="15">
      <c r="A313" s="88" t="s">
        <v>328</v>
      </c>
      <c r="B313" s="88" t="s">
        <v>1601</v>
      </c>
      <c r="C313" s="88" t="s">
        <v>7</v>
      </c>
      <c r="D313" s="88" t="s">
        <v>2001</v>
      </c>
      <c r="E313" s="88" t="s">
        <v>2002</v>
      </c>
      <c r="F313" s="88"/>
      <c r="G313" s="88"/>
      <c r="H313" s="88"/>
      <c r="I313" s="88"/>
      <c r="J313" s="88"/>
      <c r="K313" s="88"/>
      <c r="L313" s="88"/>
      <c r="M313" s="88"/>
      <c r="N313" s="88"/>
      <c r="O313" s="88"/>
      <c r="P313" s="88"/>
      <c r="Q313" s="88"/>
      <c r="R313" s="88"/>
      <c r="S313" s="88"/>
      <c r="T313" s="88"/>
      <c r="U313" s="88"/>
      <c r="V313" s="88"/>
      <c r="W313" s="88"/>
      <c r="X313" s="88"/>
      <c r="Y313" s="88"/>
      <c r="Z313" s="88"/>
      <c r="AA313" s="88"/>
      <c r="AB313" s="88"/>
      <c r="AC313" s="88"/>
      <c r="AD313" s="88"/>
      <c r="AE313" s="88"/>
      <c r="AF313" s="88"/>
      <c r="AG313" s="88"/>
      <c r="AH313" s="88"/>
      <c r="AI313" s="88"/>
      <c r="AJ313" s="88"/>
    </row>
    <row r="314" spans="1:36" ht="15">
      <c r="A314" s="88" t="s">
        <v>328</v>
      </c>
      <c r="B314" s="88" t="s">
        <v>1604</v>
      </c>
      <c r="C314" s="88" t="s">
        <v>7</v>
      </c>
      <c r="D314" s="88" t="s">
        <v>2003</v>
      </c>
      <c r="E314" s="88" t="s">
        <v>2004</v>
      </c>
      <c r="F314" s="88"/>
      <c r="G314" s="88"/>
      <c r="H314" s="88"/>
      <c r="I314" s="88"/>
      <c r="J314" s="88"/>
      <c r="K314" s="88"/>
      <c r="L314" s="88"/>
      <c r="M314" s="88"/>
      <c r="N314" s="88"/>
      <c r="O314" s="88"/>
      <c r="P314" s="88"/>
      <c r="Q314" s="88"/>
      <c r="R314" s="88"/>
      <c r="S314" s="88"/>
      <c r="T314" s="88"/>
      <c r="U314" s="88"/>
      <c r="V314" s="88"/>
      <c r="W314" s="88"/>
      <c r="X314" s="88"/>
      <c r="Y314" s="88"/>
      <c r="Z314" s="88"/>
      <c r="AA314" s="88"/>
      <c r="AB314" s="88"/>
      <c r="AC314" s="88"/>
      <c r="AD314" s="88"/>
      <c r="AE314" s="88"/>
      <c r="AF314" s="88"/>
      <c r="AG314" s="88"/>
      <c r="AH314" s="88"/>
      <c r="AI314" s="88"/>
      <c r="AJ314" s="88"/>
    </row>
    <row r="315" spans="1:36" ht="15">
      <c r="A315" s="88" t="s">
        <v>328</v>
      </c>
      <c r="B315" s="88" t="s">
        <v>1608</v>
      </c>
      <c r="C315" s="88" t="s">
        <v>7</v>
      </c>
      <c r="D315" s="88" t="s">
        <v>2005</v>
      </c>
      <c r="E315" s="88" t="s">
        <v>2006</v>
      </c>
      <c r="F315" s="88"/>
      <c r="G315" s="88"/>
      <c r="H315" s="88"/>
      <c r="I315" s="88"/>
      <c r="J315" s="88"/>
      <c r="K315" s="88"/>
      <c r="L315" s="88"/>
      <c r="M315" s="88"/>
      <c r="N315" s="88"/>
      <c r="O315" s="88"/>
      <c r="P315" s="88"/>
      <c r="Q315" s="88"/>
      <c r="R315" s="88"/>
      <c r="S315" s="88"/>
      <c r="T315" s="88"/>
      <c r="U315" s="88"/>
      <c r="V315" s="88"/>
      <c r="W315" s="88"/>
      <c r="X315" s="88"/>
      <c r="Y315" s="88"/>
      <c r="Z315" s="88"/>
      <c r="AA315" s="88"/>
      <c r="AB315" s="88"/>
      <c r="AC315" s="88"/>
      <c r="AD315" s="88"/>
      <c r="AE315" s="88"/>
      <c r="AF315" s="88"/>
      <c r="AG315" s="88"/>
      <c r="AH315" s="88"/>
      <c r="AI315" s="88"/>
      <c r="AJ315" s="88"/>
    </row>
    <row r="316" spans="1:36" ht="15">
      <c r="A316" s="88" t="s">
        <v>328</v>
      </c>
      <c r="B316" s="88" t="s">
        <v>1612</v>
      </c>
      <c r="C316" s="88" t="s">
        <v>7</v>
      </c>
      <c r="D316" s="88" t="s">
        <v>2007</v>
      </c>
      <c r="E316" s="88" t="s">
        <v>2008</v>
      </c>
      <c r="F316" s="88"/>
      <c r="G316" s="88"/>
      <c r="H316" s="88"/>
      <c r="I316" s="88"/>
      <c r="J316" s="88"/>
      <c r="K316" s="88"/>
      <c r="L316" s="88"/>
      <c r="M316" s="88"/>
      <c r="N316" s="88"/>
      <c r="O316" s="88"/>
      <c r="P316" s="88"/>
      <c r="Q316" s="88"/>
      <c r="R316" s="88"/>
      <c r="S316" s="88"/>
      <c r="T316" s="88"/>
      <c r="U316" s="88"/>
      <c r="V316" s="88"/>
      <c r="W316" s="88"/>
      <c r="X316" s="88"/>
      <c r="Y316" s="88"/>
      <c r="Z316" s="88"/>
      <c r="AA316" s="88"/>
      <c r="AB316" s="88"/>
      <c r="AC316" s="88"/>
      <c r="AD316" s="88"/>
      <c r="AE316" s="88"/>
      <c r="AF316" s="88"/>
      <c r="AG316" s="88"/>
      <c r="AH316" s="88"/>
      <c r="AI316" s="88"/>
      <c r="AJ316" s="88"/>
    </row>
    <row r="317" spans="1:36" ht="15">
      <c r="A317" s="88" t="s">
        <v>328</v>
      </c>
      <c r="B317" s="88" t="s">
        <v>1616</v>
      </c>
      <c r="C317" s="88" t="s">
        <v>7</v>
      </c>
      <c r="D317" s="88" t="s">
        <v>2009</v>
      </c>
      <c r="E317" s="88" t="s">
        <v>2010</v>
      </c>
      <c r="F317" s="88"/>
      <c r="G317" s="88"/>
      <c r="H317" s="88"/>
      <c r="I317" s="88"/>
      <c r="J317" s="88"/>
      <c r="K317" s="88"/>
      <c r="L317" s="88"/>
      <c r="M317" s="88"/>
      <c r="N317" s="88"/>
      <c r="O317" s="88"/>
      <c r="P317" s="88"/>
      <c r="Q317" s="88"/>
      <c r="R317" s="88"/>
      <c r="S317" s="88"/>
      <c r="T317" s="88"/>
      <c r="U317" s="88"/>
      <c r="V317" s="88"/>
      <c r="W317" s="88"/>
      <c r="X317" s="88"/>
      <c r="Y317" s="88"/>
      <c r="Z317" s="88"/>
      <c r="AA317" s="88"/>
      <c r="AB317" s="88"/>
      <c r="AC317" s="88"/>
      <c r="AD317" s="88"/>
      <c r="AE317" s="88"/>
      <c r="AF317" s="88"/>
      <c r="AG317" s="88"/>
      <c r="AH317" s="88"/>
      <c r="AI317" s="88"/>
      <c r="AJ317" s="88"/>
    </row>
    <row r="318" spans="1:36" ht="15">
      <c r="A318" s="88" t="s">
        <v>328</v>
      </c>
      <c r="B318" s="88" t="s">
        <v>1620</v>
      </c>
      <c r="C318" s="88" t="s">
        <v>7</v>
      </c>
      <c r="D318" s="88" t="s">
        <v>2011</v>
      </c>
      <c r="E318" s="88" t="s">
        <v>2012</v>
      </c>
      <c r="F318" s="88"/>
      <c r="G318" s="88"/>
      <c r="H318" s="88"/>
      <c r="I318" s="88"/>
      <c r="J318" s="88"/>
      <c r="K318" s="88"/>
      <c r="L318" s="88"/>
      <c r="M318" s="88"/>
      <c r="N318" s="88"/>
      <c r="O318" s="88"/>
      <c r="P318" s="88"/>
      <c r="Q318" s="88"/>
      <c r="R318" s="88"/>
      <c r="S318" s="88"/>
      <c r="T318" s="88"/>
      <c r="U318" s="88"/>
      <c r="V318" s="88"/>
      <c r="W318" s="88"/>
      <c r="X318" s="88"/>
      <c r="Y318" s="88"/>
      <c r="Z318" s="88"/>
      <c r="AA318" s="88"/>
      <c r="AB318" s="88"/>
      <c r="AC318" s="88"/>
      <c r="AD318" s="88"/>
      <c r="AE318" s="88"/>
      <c r="AF318" s="88"/>
      <c r="AG318" s="88"/>
      <c r="AH318" s="88"/>
      <c r="AI318" s="88"/>
      <c r="AJ318" s="88"/>
    </row>
    <row r="319" spans="1:36" ht="15">
      <c r="A319" s="88" t="s">
        <v>328</v>
      </c>
      <c r="B319" s="88" t="s">
        <v>1624</v>
      </c>
      <c r="C319" s="88" t="s">
        <v>7</v>
      </c>
      <c r="D319" s="88" t="s">
        <v>2013</v>
      </c>
      <c r="E319" s="88" t="s">
        <v>2014</v>
      </c>
      <c r="F319" s="88"/>
      <c r="G319" s="88"/>
      <c r="H319" s="88"/>
      <c r="I319" s="88"/>
      <c r="J319" s="88"/>
      <c r="K319" s="88"/>
      <c r="L319" s="88"/>
      <c r="M319" s="88"/>
      <c r="N319" s="88"/>
      <c r="O319" s="88"/>
      <c r="P319" s="88"/>
      <c r="Q319" s="88"/>
      <c r="R319" s="88"/>
      <c r="S319" s="88"/>
      <c r="T319" s="88"/>
      <c r="U319" s="88"/>
      <c r="V319" s="88"/>
      <c r="W319" s="88"/>
      <c r="X319" s="88"/>
      <c r="Y319" s="88"/>
      <c r="Z319" s="88"/>
      <c r="AA319" s="88"/>
      <c r="AB319" s="88"/>
      <c r="AC319" s="88"/>
      <c r="AD319" s="88"/>
      <c r="AE319" s="88"/>
      <c r="AF319" s="88"/>
      <c r="AG319" s="88"/>
      <c r="AH319" s="88"/>
      <c r="AI319" s="88"/>
      <c r="AJ319" s="88"/>
    </row>
    <row r="320" spans="1:36" ht="15">
      <c r="A320" s="88" t="s">
        <v>329</v>
      </c>
      <c r="B320" s="88" t="s">
        <v>361</v>
      </c>
      <c r="C320" s="88" t="s">
        <v>7</v>
      </c>
      <c r="D320" s="88" t="s">
        <v>2015</v>
      </c>
      <c r="E320" s="88" t="s">
        <v>2016</v>
      </c>
      <c r="F320" s="88"/>
      <c r="G320" s="88"/>
      <c r="H320" s="88"/>
      <c r="I320" s="88"/>
      <c r="J320" s="88"/>
      <c r="K320" s="88"/>
      <c r="L320" s="88"/>
      <c r="M320" s="88"/>
      <c r="N320" s="88"/>
      <c r="O320" s="88"/>
      <c r="P320" s="88"/>
      <c r="Q320" s="88"/>
      <c r="R320" s="88"/>
      <c r="S320" s="88"/>
      <c r="T320" s="88"/>
      <c r="U320" s="88"/>
      <c r="V320" s="88"/>
      <c r="W320" s="88"/>
      <c r="X320" s="88"/>
      <c r="Y320" s="88"/>
      <c r="Z320" s="88"/>
      <c r="AA320" s="88"/>
      <c r="AB320" s="88"/>
      <c r="AC320" s="88"/>
      <c r="AD320" s="88"/>
      <c r="AE320" s="88"/>
      <c r="AF320" s="88"/>
      <c r="AG320" s="88"/>
      <c r="AH320" s="88"/>
      <c r="AI320" s="88"/>
      <c r="AJ320" s="88"/>
    </row>
    <row r="321" spans="1:36" ht="15">
      <c r="A321" s="88" t="s">
        <v>329</v>
      </c>
      <c r="B321" s="88" t="s">
        <v>393</v>
      </c>
      <c r="C321" s="88" t="s">
        <v>7</v>
      </c>
      <c r="D321" s="88" t="s">
        <v>2017</v>
      </c>
      <c r="E321" s="88" t="s">
        <v>2018</v>
      </c>
      <c r="F321" s="88"/>
      <c r="G321" s="88"/>
      <c r="H321" s="88"/>
      <c r="I321" s="88"/>
      <c r="J321" s="88"/>
      <c r="K321" s="88"/>
      <c r="L321" s="88"/>
      <c r="M321" s="88"/>
      <c r="N321" s="88"/>
      <c r="O321" s="88"/>
      <c r="P321" s="88"/>
      <c r="Q321" s="88"/>
      <c r="R321" s="88"/>
      <c r="S321" s="88"/>
      <c r="T321" s="88"/>
      <c r="U321" s="88"/>
      <c r="V321" s="88"/>
      <c r="W321" s="88"/>
      <c r="X321" s="88"/>
      <c r="Y321" s="88"/>
      <c r="Z321" s="88"/>
      <c r="AA321" s="88"/>
      <c r="AB321" s="88"/>
      <c r="AC321" s="88"/>
      <c r="AD321" s="88"/>
      <c r="AE321" s="88"/>
      <c r="AF321" s="88"/>
      <c r="AG321" s="88"/>
      <c r="AH321" s="88"/>
      <c r="AI321" s="88"/>
      <c r="AJ321" s="88"/>
    </row>
    <row r="322" spans="1:36" ht="15">
      <c r="A322" s="88" t="s">
        <v>329</v>
      </c>
      <c r="B322" s="88" t="s">
        <v>423</v>
      </c>
      <c r="C322" s="88" t="s">
        <v>7</v>
      </c>
      <c r="D322" s="88" t="s">
        <v>2019</v>
      </c>
      <c r="E322" s="88" t="s">
        <v>2020</v>
      </c>
      <c r="F322" s="88"/>
      <c r="G322" s="88"/>
      <c r="H322" s="88"/>
      <c r="I322" s="88"/>
      <c r="J322" s="88"/>
      <c r="K322" s="88"/>
      <c r="L322" s="88"/>
      <c r="M322" s="88"/>
      <c r="N322" s="88"/>
      <c r="O322" s="88"/>
      <c r="P322" s="88"/>
      <c r="Q322" s="88"/>
      <c r="R322" s="88"/>
      <c r="S322" s="88"/>
      <c r="T322" s="88"/>
      <c r="U322" s="88"/>
      <c r="V322" s="88"/>
      <c r="W322" s="88"/>
      <c r="X322" s="88"/>
      <c r="Y322" s="88"/>
      <c r="Z322" s="88"/>
      <c r="AA322" s="88"/>
      <c r="AB322" s="88"/>
      <c r="AC322" s="88"/>
      <c r="AD322" s="88"/>
      <c r="AE322" s="88"/>
      <c r="AF322" s="88"/>
      <c r="AG322" s="88"/>
      <c r="AH322" s="88"/>
      <c r="AI322" s="88"/>
      <c r="AJ322" s="88"/>
    </row>
    <row r="323" spans="1:36" ht="15">
      <c r="A323" s="88" t="s">
        <v>329</v>
      </c>
      <c r="B323" s="88" t="s">
        <v>454</v>
      </c>
      <c r="C323" s="88" t="s">
        <v>7</v>
      </c>
      <c r="D323" s="88" t="s">
        <v>2021</v>
      </c>
      <c r="E323" s="88" t="s">
        <v>2022</v>
      </c>
      <c r="F323" s="88"/>
      <c r="G323" s="88"/>
      <c r="H323" s="88"/>
      <c r="I323" s="88"/>
      <c r="J323" s="88"/>
      <c r="K323" s="88"/>
      <c r="L323" s="88"/>
      <c r="M323" s="88"/>
      <c r="N323" s="88"/>
      <c r="O323" s="88"/>
      <c r="P323" s="88"/>
      <c r="Q323" s="88"/>
      <c r="R323" s="88"/>
      <c r="S323" s="88"/>
      <c r="T323" s="88"/>
      <c r="U323" s="88"/>
      <c r="V323" s="88"/>
      <c r="W323" s="88"/>
      <c r="X323" s="88"/>
      <c r="Y323" s="88"/>
      <c r="Z323" s="88"/>
      <c r="AA323" s="88"/>
      <c r="AB323" s="88"/>
      <c r="AC323" s="88"/>
      <c r="AD323" s="88"/>
      <c r="AE323" s="88"/>
      <c r="AF323" s="88"/>
      <c r="AG323" s="88"/>
      <c r="AH323" s="88"/>
      <c r="AI323" s="88"/>
      <c r="AJ323" s="88"/>
    </row>
    <row r="324" spans="1:36" ht="15">
      <c r="A324" s="88" t="s">
        <v>329</v>
      </c>
      <c r="B324" s="88" t="s">
        <v>486</v>
      </c>
      <c r="C324" s="88" t="s">
        <v>7</v>
      </c>
      <c r="D324" s="88" t="s">
        <v>2023</v>
      </c>
      <c r="E324" s="88" t="s">
        <v>2024</v>
      </c>
      <c r="F324" s="88"/>
      <c r="G324" s="88"/>
      <c r="H324" s="88"/>
      <c r="I324" s="88"/>
      <c r="J324" s="88"/>
      <c r="K324" s="88"/>
      <c r="L324" s="88"/>
      <c r="M324" s="88"/>
      <c r="N324" s="88"/>
      <c r="O324" s="88"/>
      <c r="P324" s="88"/>
      <c r="Q324" s="88"/>
      <c r="R324" s="88"/>
      <c r="S324" s="88"/>
      <c r="T324" s="88"/>
      <c r="U324" s="88"/>
      <c r="V324" s="88"/>
      <c r="W324" s="88"/>
      <c r="X324" s="88"/>
      <c r="Y324" s="88"/>
      <c r="Z324" s="88"/>
      <c r="AA324" s="88"/>
      <c r="AB324" s="88"/>
      <c r="AC324" s="88"/>
      <c r="AD324" s="88"/>
      <c r="AE324" s="88"/>
      <c r="AF324" s="88"/>
      <c r="AG324" s="88"/>
      <c r="AH324" s="88"/>
      <c r="AI324" s="88"/>
      <c r="AJ324" s="88"/>
    </row>
    <row r="325" spans="1:36" ht="15">
      <c r="A325" s="88" t="s">
        <v>329</v>
      </c>
      <c r="B325" s="88" t="s">
        <v>514</v>
      </c>
      <c r="C325" s="88" t="s">
        <v>7</v>
      </c>
      <c r="D325" s="88" t="s">
        <v>2025</v>
      </c>
      <c r="E325" s="88" t="s">
        <v>2026</v>
      </c>
      <c r="F325" s="88"/>
      <c r="G325" s="88"/>
      <c r="H325" s="88"/>
      <c r="I325" s="88"/>
      <c r="J325" s="88"/>
      <c r="K325" s="88"/>
      <c r="L325" s="88"/>
      <c r="M325" s="88"/>
      <c r="N325" s="88"/>
      <c r="O325" s="88"/>
      <c r="P325" s="88"/>
      <c r="Q325" s="88"/>
      <c r="R325" s="88"/>
      <c r="S325" s="88"/>
      <c r="T325" s="88"/>
      <c r="U325" s="88"/>
      <c r="V325" s="88"/>
      <c r="W325" s="88"/>
      <c r="X325" s="88"/>
      <c r="Y325" s="88"/>
      <c r="Z325" s="88"/>
      <c r="AA325" s="88"/>
      <c r="AB325" s="88"/>
      <c r="AC325" s="88"/>
      <c r="AD325" s="88"/>
      <c r="AE325" s="88"/>
      <c r="AF325" s="88"/>
      <c r="AG325" s="88"/>
      <c r="AH325" s="88"/>
      <c r="AI325" s="88"/>
      <c r="AJ325" s="88"/>
    </row>
    <row r="326" spans="1:36" ht="15">
      <c r="A326" s="88" t="s">
        <v>329</v>
      </c>
      <c r="B326" s="88" t="s">
        <v>544</v>
      </c>
      <c r="C326" s="88" t="s">
        <v>7</v>
      </c>
      <c r="D326" s="88" t="s">
        <v>2027</v>
      </c>
      <c r="E326" s="88" t="s">
        <v>2028</v>
      </c>
      <c r="F326" s="88"/>
      <c r="G326" s="88"/>
      <c r="H326" s="88"/>
      <c r="I326" s="88"/>
      <c r="J326" s="88"/>
      <c r="K326" s="88"/>
      <c r="L326" s="88"/>
      <c r="M326" s="88"/>
      <c r="N326" s="88"/>
      <c r="O326" s="88"/>
      <c r="P326" s="88"/>
      <c r="Q326" s="88"/>
      <c r="R326" s="88"/>
      <c r="S326" s="88"/>
      <c r="T326" s="88"/>
      <c r="U326" s="88"/>
      <c r="V326" s="88"/>
      <c r="W326" s="88"/>
      <c r="X326" s="88"/>
      <c r="Y326" s="88"/>
      <c r="Z326" s="88"/>
      <c r="AA326" s="88"/>
      <c r="AB326" s="88"/>
      <c r="AC326" s="88"/>
      <c r="AD326" s="88"/>
      <c r="AE326" s="88"/>
      <c r="AF326" s="88"/>
      <c r="AG326" s="88"/>
      <c r="AH326" s="88"/>
      <c r="AI326" s="88"/>
      <c r="AJ326" s="88"/>
    </row>
    <row r="327" spans="1:36" ht="15">
      <c r="A327" s="88" t="s">
        <v>329</v>
      </c>
      <c r="B327" s="88" t="s">
        <v>571</v>
      </c>
      <c r="C327" s="88" t="s">
        <v>7</v>
      </c>
      <c r="D327" s="88" t="s">
        <v>2029</v>
      </c>
      <c r="E327" s="88" t="s">
        <v>2030</v>
      </c>
      <c r="F327" s="88"/>
      <c r="G327" s="88"/>
      <c r="H327" s="88"/>
      <c r="I327" s="88"/>
      <c r="J327" s="88"/>
      <c r="K327" s="88"/>
      <c r="L327" s="88"/>
      <c r="M327" s="88"/>
      <c r="N327" s="88"/>
      <c r="O327" s="88"/>
      <c r="P327" s="88"/>
      <c r="Q327" s="88"/>
      <c r="R327" s="88"/>
      <c r="S327" s="88"/>
      <c r="T327" s="88"/>
      <c r="U327" s="88"/>
      <c r="V327" s="88"/>
      <c r="W327" s="88"/>
      <c r="X327" s="88"/>
      <c r="Y327" s="88"/>
      <c r="Z327" s="88"/>
      <c r="AA327" s="88"/>
      <c r="AB327" s="88"/>
      <c r="AC327" s="88"/>
      <c r="AD327" s="88"/>
      <c r="AE327" s="88"/>
      <c r="AF327" s="88"/>
      <c r="AG327" s="88"/>
      <c r="AH327" s="88"/>
      <c r="AI327" s="88"/>
      <c r="AJ327" s="88"/>
    </row>
    <row r="328" spans="1:36" ht="15">
      <c r="A328" s="88" t="s">
        <v>329</v>
      </c>
      <c r="B328" s="88" t="s">
        <v>599</v>
      </c>
      <c r="C328" s="88" t="s">
        <v>7</v>
      </c>
      <c r="D328" s="88" t="s">
        <v>2031</v>
      </c>
      <c r="E328" s="88" t="s">
        <v>2032</v>
      </c>
      <c r="F328" s="88"/>
      <c r="G328" s="88"/>
      <c r="H328" s="88"/>
      <c r="I328" s="88"/>
      <c r="J328" s="88"/>
      <c r="K328" s="88"/>
      <c r="L328" s="88"/>
      <c r="M328" s="88"/>
      <c r="N328" s="88"/>
      <c r="O328" s="88"/>
      <c r="P328" s="88"/>
      <c r="Q328" s="88"/>
      <c r="R328" s="88"/>
      <c r="S328" s="88"/>
      <c r="T328" s="88"/>
      <c r="U328" s="88"/>
      <c r="V328" s="88"/>
      <c r="W328" s="88"/>
      <c r="X328" s="88"/>
      <c r="Y328" s="88"/>
      <c r="Z328" s="88"/>
      <c r="AA328" s="88"/>
      <c r="AB328" s="88"/>
      <c r="AC328" s="88"/>
      <c r="AD328" s="88"/>
      <c r="AE328" s="88"/>
      <c r="AF328" s="88"/>
      <c r="AG328" s="88"/>
      <c r="AH328" s="88"/>
      <c r="AI328" s="88"/>
      <c r="AJ328" s="88"/>
    </row>
    <row r="329" spans="1:36" ht="15">
      <c r="A329" s="88" t="s">
        <v>329</v>
      </c>
      <c r="B329" s="88" t="s">
        <v>625</v>
      </c>
      <c r="C329" s="88" t="s">
        <v>7</v>
      </c>
      <c r="D329" s="88" t="s">
        <v>2033</v>
      </c>
      <c r="E329" s="88" t="s">
        <v>2034</v>
      </c>
      <c r="F329" s="88"/>
      <c r="G329" s="88"/>
      <c r="H329" s="88"/>
      <c r="I329" s="88"/>
      <c r="J329" s="88"/>
      <c r="K329" s="88"/>
      <c r="L329" s="88"/>
      <c r="M329" s="88"/>
      <c r="N329" s="88"/>
      <c r="O329" s="88"/>
      <c r="P329" s="88"/>
      <c r="Q329" s="88"/>
      <c r="R329" s="88"/>
      <c r="S329" s="88"/>
      <c r="T329" s="88"/>
      <c r="U329" s="88"/>
      <c r="V329" s="88"/>
      <c r="W329" s="88"/>
      <c r="X329" s="88"/>
      <c r="Y329" s="88"/>
      <c r="Z329" s="88"/>
      <c r="AA329" s="88"/>
      <c r="AB329" s="88"/>
      <c r="AC329" s="88"/>
      <c r="AD329" s="88"/>
      <c r="AE329" s="88"/>
      <c r="AF329" s="88"/>
      <c r="AG329" s="88"/>
      <c r="AH329" s="88"/>
      <c r="AI329" s="88"/>
      <c r="AJ329" s="88"/>
    </row>
    <row r="330" spans="1:36" ht="15">
      <c r="A330" s="88" t="s">
        <v>329</v>
      </c>
      <c r="B330" s="88" t="s">
        <v>650</v>
      </c>
      <c r="C330" s="88" t="s">
        <v>7</v>
      </c>
      <c r="D330" s="88" t="s">
        <v>2035</v>
      </c>
      <c r="E330" s="88" t="s">
        <v>2036</v>
      </c>
      <c r="F330" s="88"/>
      <c r="G330" s="88"/>
      <c r="H330" s="88"/>
      <c r="I330" s="88"/>
      <c r="J330" s="88"/>
      <c r="K330" s="88"/>
      <c r="L330" s="88"/>
      <c r="M330" s="88"/>
      <c r="N330" s="88"/>
      <c r="O330" s="88"/>
      <c r="P330" s="88"/>
      <c r="Q330" s="88"/>
      <c r="R330" s="88"/>
      <c r="S330" s="88"/>
      <c r="T330" s="88"/>
      <c r="U330" s="88"/>
      <c r="V330" s="88"/>
      <c r="W330" s="88"/>
      <c r="X330" s="88"/>
      <c r="Y330" s="88"/>
      <c r="Z330" s="88"/>
      <c r="AA330" s="88"/>
      <c r="AB330" s="88"/>
      <c r="AC330" s="88"/>
      <c r="AD330" s="88"/>
      <c r="AE330" s="88"/>
      <c r="AF330" s="88"/>
      <c r="AG330" s="88"/>
      <c r="AH330" s="88"/>
      <c r="AI330" s="88"/>
      <c r="AJ330" s="88"/>
    </row>
    <row r="331" spans="1:36" ht="15">
      <c r="A331" s="88" t="s">
        <v>329</v>
      </c>
      <c r="B331" s="88" t="s">
        <v>677</v>
      </c>
      <c r="C331" s="88" t="s">
        <v>7</v>
      </c>
      <c r="D331" s="88" t="s">
        <v>2037</v>
      </c>
      <c r="E331" s="88" t="s">
        <v>2038</v>
      </c>
      <c r="F331" s="88"/>
      <c r="G331" s="88"/>
      <c r="H331" s="88"/>
      <c r="I331" s="88"/>
      <c r="J331" s="88"/>
      <c r="K331" s="88"/>
      <c r="L331" s="88"/>
      <c r="M331" s="88"/>
      <c r="N331" s="88"/>
      <c r="O331" s="88"/>
      <c r="P331" s="88"/>
      <c r="Q331" s="88"/>
      <c r="R331" s="88"/>
      <c r="S331" s="88"/>
      <c r="T331" s="88"/>
      <c r="U331" s="88"/>
      <c r="V331" s="88"/>
      <c r="W331" s="88"/>
      <c r="X331" s="88"/>
      <c r="Y331" s="88"/>
      <c r="Z331" s="88"/>
      <c r="AA331" s="88"/>
      <c r="AB331" s="88"/>
      <c r="AC331" s="88"/>
      <c r="AD331" s="88"/>
      <c r="AE331" s="88"/>
      <c r="AF331" s="88"/>
      <c r="AG331" s="88"/>
      <c r="AH331" s="88"/>
      <c r="AI331" s="88"/>
      <c r="AJ331" s="88"/>
    </row>
    <row r="332" spans="1:36" ht="15">
      <c r="A332" s="88" t="s">
        <v>329</v>
      </c>
      <c r="B332" s="88" t="s">
        <v>700</v>
      </c>
      <c r="C332" s="88" t="s">
        <v>7</v>
      </c>
      <c r="D332" s="88" t="s">
        <v>2039</v>
      </c>
      <c r="E332" s="88" t="s">
        <v>2040</v>
      </c>
      <c r="F332" s="88"/>
      <c r="G332" s="88"/>
      <c r="H332" s="88"/>
      <c r="I332" s="88"/>
      <c r="J332" s="88"/>
      <c r="K332" s="88"/>
      <c r="L332" s="88"/>
      <c r="M332" s="88"/>
      <c r="N332" s="88"/>
      <c r="O332" s="88"/>
      <c r="P332" s="88"/>
      <c r="Q332" s="88"/>
      <c r="R332" s="88"/>
      <c r="S332" s="88"/>
      <c r="T332" s="88"/>
      <c r="U332" s="88"/>
      <c r="V332" s="88"/>
      <c r="W332" s="88"/>
      <c r="X332" s="88"/>
      <c r="Y332" s="88"/>
      <c r="Z332" s="88"/>
      <c r="AA332" s="88"/>
      <c r="AB332" s="88"/>
      <c r="AC332" s="88"/>
      <c r="AD332" s="88"/>
      <c r="AE332" s="88"/>
      <c r="AF332" s="88"/>
      <c r="AG332" s="88"/>
      <c r="AH332" s="88"/>
      <c r="AI332" s="88"/>
      <c r="AJ332" s="88"/>
    </row>
    <row r="333" spans="1:36" ht="15">
      <c r="A333" s="88" t="s">
        <v>329</v>
      </c>
      <c r="B333" s="88" t="s">
        <v>723</v>
      </c>
      <c r="C333" s="88" t="s">
        <v>7</v>
      </c>
      <c r="D333" s="88" t="s">
        <v>2041</v>
      </c>
      <c r="E333" s="88" t="s">
        <v>2042</v>
      </c>
      <c r="F333" s="88"/>
      <c r="G333" s="88"/>
      <c r="H333" s="88"/>
      <c r="I333" s="88"/>
      <c r="J333" s="88"/>
      <c r="K333" s="88"/>
      <c r="L333" s="88"/>
      <c r="M333" s="88"/>
      <c r="N333" s="88"/>
      <c r="O333" s="88"/>
      <c r="P333" s="88"/>
      <c r="Q333" s="88"/>
      <c r="R333" s="88"/>
      <c r="S333" s="88"/>
      <c r="T333" s="88"/>
      <c r="U333" s="88"/>
      <c r="V333" s="88"/>
      <c r="W333" s="88"/>
      <c r="X333" s="88"/>
      <c r="Y333" s="88"/>
      <c r="Z333" s="88"/>
      <c r="AA333" s="88"/>
      <c r="AB333" s="88"/>
      <c r="AC333" s="88"/>
      <c r="AD333" s="88"/>
      <c r="AE333" s="88"/>
      <c r="AF333" s="88"/>
      <c r="AG333" s="88"/>
      <c r="AH333" s="88"/>
      <c r="AI333" s="88"/>
      <c r="AJ333" s="88"/>
    </row>
    <row r="334" spans="1:36" ht="15">
      <c r="A334" s="88" t="s">
        <v>329</v>
      </c>
      <c r="B334" s="88" t="s">
        <v>747</v>
      </c>
      <c r="C334" s="88" t="s">
        <v>7</v>
      </c>
      <c r="D334" s="88" t="s">
        <v>2043</v>
      </c>
      <c r="E334" s="88" t="s">
        <v>2044</v>
      </c>
      <c r="F334" s="88"/>
      <c r="G334" s="88"/>
      <c r="H334" s="88"/>
      <c r="I334" s="88"/>
      <c r="J334" s="88"/>
      <c r="K334" s="88"/>
      <c r="L334" s="88"/>
      <c r="M334" s="88"/>
      <c r="N334" s="88"/>
      <c r="O334" s="88"/>
      <c r="P334" s="88"/>
      <c r="Q334" s="88"/>
      <c r="R334" s="88"/>
      <c r="S334" s="88"/>
      <c r="T334" s="88"/>
      <c r="U334" s="88"/>
      <c r="V334" s="88"/>
      <c r="W334" s="88"/>
      <c r="X334" s="88"/>
      <c r="Y334" s="88"/>
      <c r="Z334" s="88"/>
      <c r="AA334" s="88"/>
      <c r="AB334" s="88"/>
      <c r="AC334" s="88"/>
      <c r="AD334" s="88"/>
      <c r="AE334" s="88"/>
      <c r="AF334" s="88"/>
      <c r="AG334" s="88"/>
      <c r="AH334" s="88"/>
      <c r="AI334" s="88"/>
      <c r="AJ334" s="88"/>
    </row>
    <row r="335" spans="1:36" ht="15">
      <c r="A335" s="88" t="s">
        <v>329</v>
      </c>
      <c r="B335" s="88" t="s">
        <v>770</v>
      </c>
      <c r="C335" s="88" t="s">
        <v>7</v>
      </c>
      <c r="D335" s="88" t="s">
        <v>2045</v>
      </c>
      <c r="E335" s="88" t="s">
        <v>2046</v>
      </c>
      <c r="F335" s="88"/>
      <c r="G335" s="88"/>
      <c r="H335" s="88"/>
      <c r="I335" s="88"/>
      <c r="J335" s="88"/>
      <c r="K335" s="88"/>
      <c r="L335" s="88"/>
      <c r="M335" s="88"/>
      <c r="N335" s="88"/>
      <c r="O335" s="88"/>
      <c r="P335" s="88"/>
      <c r="Q335" s="88"/>
      <c r="R335" s="88"/>
      <c r="S335" s="88"/>
      <c r="T335" s="88"/>
      <c r="U335" s="88"/>
      <c r="V335" s="88"/>
      <c r="W335" s="88"/>
      <c r="X335" s="88"/>
      <c r="Y335" s="88"/>
      <c r="Z335" s="88"/>
      <c r="AA335" s="88"/>
      <c r="AB335" s="88"/>
      <c r="AC335" s="88"/>
      <c r="AD335" s="88"/>
      <c r="AE335" s="88"/>
      <c r="AF335" s="88"/>
      <c r="AG335" s="88"/>
      <c r="AH335" s="88"/>
      <c r="AI335" s="88"/>
      <c r="AJ335" s="88"/>
    </row>
    <row r="336" spans="1:36" ht="15">
      <c r="A336" s="88" t="s">
        <v>329</v>
      </c>
      <c r="B336" s="88" t="s">
        <v>792</v>
      </c>
      <c r="C336" s="88" t="s">
        <v>7</v>
      </c>
      <c r="D336" s="88" t="s">
        <v>2047</v>
      </c>
      <c r="E336" s="88" t="s">
        <v>2048</v>
      </c>
      <c r="F336" s="88"/>
      <c r="G336" s="88"/>
      <c r="H336" s="88"/>
      <c r="I336" s="88"/>
      <c r="J336" s="88"/>
      <c r="K336" s="88"/>
      <c r="L336" s="88"/>
      <c r="M336" s="88"/>
      <c r="N336" s="88"/>
      <c r="O336" s="88"/>
      <c r="P336" s="88"/>
      <c r="Q336" s="88"/>
      <c r="R336" s="88"/>
      <c r="S336" s="88"/>
      <c r="T336" s="88"/>
      <c r="U336" s="88"/>
      <c r="V336" s="88"/>
      <c r="W336" s="88"/>
      <c r="X336" s="88"/>
      <c r="Y336" s="88"/>
      <c r="Z336" s="88"/>
      <c r="AA336" s="88"/>
      <c r="AB336" s="88"/>
      <c r="AC336" s="88"/>
      <c r="AD336" s="88"/>
      <c r="AE336" s="88"/>
      <c r="AF336" s="88"/>
      <c r="AG336" s="88"/>
      <c r="AH336" s="88"/>
      <c r="AI336" s="88"/>
      <c r="AJ336" s="88"/>
    </row>
    <row r="337" spans="1:36" ht="15">
      <c r="A337" s="88" t="s">
        <v>329</v>
      </c>
      <c r="B337" s="88" t="s">
        <v>814</v>
      </c>
      <c r="C337" s="88" t="s">
        <v>7</v>
      </c>
      <c r="D337" s="88" t="s">
        <v>2049</v>
      </c>
      <c r="E337" s="88" t="s">
        <v>2050</v>
      </c>
      <c r="F337" s="88"/>
      <c r="G337" s="88"/>
      <c r="H337" s="88"/>
      <c r="I337" s="88"/>
      <c r="J337" s="88"/>
      <c r="K337" s="88"/>
      <c r="L337" s="88"/>
      <c r="M337" s="88"/>
      <c r="N337" s="88"/>
      <c r="O337" s="88"/>
      <c r="P337" s="88"/>
      <c r="Q337" s="88"/>
      <c r="R337" s="88"/>
      <c r="S337" s="88"/>
      <c r="T337" s="88"/>
      <c r="U337" s="88"/>
      <c r="V337" s="88"/>
      <c r="W337" s="88"/>
      <c r="X337" s="88"/>
      <c r="Y337" s="88"/>
      <c r="Z337" s="88"/>
      <c r="AA337" s="88"/>
      <c r="AB337" s="88"/>
      <c r="AC337" s="88"/>
      <c r="AD337" s="88"/>
      <c r="AE337" s="88"/>
      <c r="AF337" s="88"/>
      <c r="AG337" s="88"/>
      <c r="AH337" s="88"/>
      <c r="AI337" s="88"/>
      <c r="AJ337" s="88"/>
    </row>
    <row r="338" spans="1:36" ht="15">
      <c r="A338" s="88" t="s">
        <v>329</v>
      </c>
      <c r="B338" s="88" t="s">
        <v>836</v>
      </c>
      <c r="C338" s="88" t="s">
        <v>7</v>
      </c>
      <c r="D338" s="88" t="s">
        <v>2051</v>
      </c>
      <c r="E338" s="88" t="s">
        <v>2052</v>
      </c>
      <c r="F338" s="88"/>
      <c r="G338" s="88"/>
      <c r="H338" s="88"/>
      <c r="I338" s="88"/>
      <c r="J338" s="88"/>
      <c r="K338" s="88"/>
      <c r="L338" s="88"/>
      <c r="M338" s="88"/>
      <c r="N338" s="88"/>
      <c r="O338" s="88"/>
      <c r="P338" s="88"/>
      <c r="Q338" s="88"/>
      <c r="R338" s="88"/>
      <c r="S338" s="88"/>
      <c r="T338" s="88"/>
      <c r="U338" s="88"/>
      <c r="V338" s="88"/>
      <c r="W338" s="88"/>
      <c r="X338" s="88"/>
      <c r="Y338" s="88"/>
      <c r="Z338" s="88"/>
      <c r="AA338" s="88"/>
      <c r="AB338" s="88"/>
      <c r="AC338" s="88"/>
      <c r="AD338" s="88"/>
      <c r="AE338" s="88"/>
      <c r="AF338" s="88"/>
      <c r="AG338" s="88"/>
      <c r="AH338" s="88"/>
      <c r="AI338" s="88"/>
      <c r="AJ338" s="88"/>
    </row>
    <row r="339" spans="1:36" ht="15">
      <c r="A339" s="88" t="s">
        <v>329</v>
      </c>
      <c r="B339" s="88" t="s">
        <v>347</v>
      </c>
      <c r="C339" s="88" t="s">
        <v>7</v>
      </c>
      <c r="D339" s="88" t="s">
        <v>2053</v>
      </c>
      <c r="E339" s="88" t="s">
        <v>2054</v>
      </c>
      <c r="F339" s="88"/>
      <c r="G339" s="88"/>
      <c r="H339" s="88"/>
      <c r="I339" s="88"/>
      <c r="J339" s="88"/>
      <c r="K339" s="88"/>
      <c r="L339" s="88"/>
      <c r="M339" s="88"/>
      <c r="N339" s="88"/>
      <c r="O339" s="88"/>
      <c r="P339" s="88"/>
      <c r="Q339" s="88"/>
      <c r="R339" s="88"/>
      <c r="S339" s="88"/>
      <c r="T339" s="88"/>
      <c r="U339" s="88"/>
      <c r="V339" s="88"/>
      <c r="W339" s="88"/>
      <c r="X339" s="88"/>
      <c r="Y339" s="88"/>
      <c r="Z339" s="88"/>
      <c r="AA339" s="88"/>
      <c r="AB339" s="88"/>
      <c r="AC339" s="88"/>
      <c r="AD339" s="88"/>
      <c r="AE339" s="88"/>
      <c r="AF339" s="88"/>
      <c r="AG339" s="88"/>
      <c r="AH339" s="88"/>
      <c r="AI339" s="88"/>
      <c r="AJ339" s="88"/>
    </row>
    <row r="340" spans="1:36" ht="15">
      <c r="A340" s="88" t="s">
        <v>329</v>
      </c>
      <c r="B340" s="88" t="s">
        <v>876</v>
      </c>
      <c r="C340" s="88" t="s">
        <v>7</v>
      </c>
      <c r="D340" s="88" t="s">
        <v>2055</v>
      </c>
      <c r="E340" s="88" t="s">
        <v>2056</v>
      </c>
      <c r="F340" s="88"/>
      <c r="G340" s="88"/>
      <c r="H340" s="88"/>
      <c r="I340" s="88"/>
      <c r="J340" s="88"/>
      <c r="K340" s="88"/>
      <c r="L340" s="88"/>
      <c r="M340" s="88"/>
      <c r="N340" s="88"/>
      <c r="O340" s="88"/>
      <c r="P340" s="88"/>
      <c r="Q340" s="88"/>
      <c r="R340" s="88"/>
      <c r="S340" s="88"/>
      <c r="T340" s="88"/>
      <c r="U340" s="88"/>
      <c r="V340" s="88"/>
      <c r="W340" s="88"/>
      <c r="X340" s="88"/>
      <c r="Y340" s="88"/>
      <c r="Z340" s="88"/>
      <c r="AA340" s="88"/>
      <c r="AB340" s="88"/>
      <c r="AC340" s="88"/>
      <c r="AD340" s="88"/>
      <c r="AE340" s="88"/>
      <c r="AF340" s="88"/>
      <c r="AG340" s="88"/>
      <c r="AH340" s="88"/>
      <c r="AI340" s="88"/>
      <c r="AJ340" s="88"/>
    </row>
    <row r="341" spans="1:36" ht="15">
      <c r="A341" s="88" t="s">
        <v>329</v>
      </c>
      <c r="B341" s="88" t="s">
        <v>895</v>
      </c>
      <c r="C341" s="88" t="s">
        <v>7</v>
      </c>
      <c r="D341" s="88" t="s">
        <v>2057</v>
      </c>
      <c r="E341" s="88" t="s">
        <v>2058</v>
      </c>
      <c r="F341" s="88"/>
      <c r="G341" s="88"/>
      <c r="H341" s="88"/>
      <c r="I341" s="88"/>
      <c r="J341" s="88"/>
      <c r="K341" s="88"/>
      <c r="L341" s="88"/>
      <c r="M341" s="88"/>
      <c r="N341" s="88"/>
      <c r="O341" s="88"/>
      <c r="P341" s="88"/>
      <c r="Q341" s="88"/>
      <c r="R341" s="88"/>
      <c r="S341" s="88"/>
      <c r="T341" s="88"/>
      <c r="U341" s="88"/>
      <c r="V341" s="88"/>
      <c r="W341" s="88"/>
      <c r="X341" s="88"/>
      <c r="Y341" s="88"/>
      <c r="Z341" s="88"/>
      <c r="AA341" s="88"/>
      <c r="AB341" s="88"/>
      <c r="AC341" s="88"/>
      <c r="AD341" s="88"/>
      <c r="AE341" s="88"/>
      <c r="AF341" s="88"/>
      <c r="AG341" s="88"/>
      <c r="AH341" s="88"/>
      <c r="AI341" s="88"/>
      <c r="AJ341" s="88"/>
    </row>
    <row r="342" spans="1:36" ht="15">
      <c r="A342" s="88" t="s">
        <v>329</v>
      </c>
      <c r="B342" s="88" t="s">
        <v>914</v>
      </c>
      <c r="C342" s="88" t="s">
        <v>7</v>
      </c>
      <c r="D342" s="88" t="s">
        <v>2059</v>
      </c>
      <c r="E342" s="88" t="s">
        <v>2060</v>
      </c>
      <c r="F342" s="88"/>
      <c r="G342" s="88"/>
      <c r="H342" s="88"/>
      <c r="I342" s="88"/>
      <c r="J342" s="88"/>
      <c r="K342" s="88"/>
      <c r="L342" s="88"/>
      <c r="M342" s="88"/>
      <c r="N342" s="88"/>
      <c r="O342" s="88"/>
      <c r="P342" s="88"/>
      <c r="Q342" s="88"/>
      <c r="R342" s="88"/>
      <c r="S342" s="88"/>
      <c r="T342" s="88"/>
      <c r="U342" s="88"/>
      <c r="V342" s="88"/>
      <c r="W342" s="88"/>
      <c r="X342" s="88"/>
      <c r="Y342" s="88"/>
      <c r="Z342" s="88"/>
      <c r="AA342" s="88"/>
      <c r="AB342" s="88"/>
      <c r="AC342" s="88"/>
      <c r="AD342" s="88"/>
      <c r="AE342" s="88"/>
      <c r="AF342" s="88"/>
      <c r="AG342" s="88"/>
      <c r="AH342" s="88"/>
      <c r="AI342" s="88"/>
      <c r="AJ342" s="88"/>
    </row>
    <row r="343" spans="1:36" ht="15">
      <c r="A343" s="88" t="s">
        <v>329</v>
      </c>
      <c r="B343" s="88" t="s">
        <v>932</v>
      </c>
      <c r="C343" s="88" t="s">
        <v>7</v>
      </c>
      <c r="D343" s="88" t="s">
        <v>2061</v>
      </c>
      <c r="E343" s="88" t="s">
        <v>2062</v>
      </c>
      <c r="F343" s="88"/>
      <c r="G343" s="88"/>
      <c r="H343" s="88"/>
      <c r="I343" s="88"/>
      <c r="J343" s="88"/>
      <c r="K343" s="88"/>
      <c r="L343" s="88"/>
      <c r="M343" s="88"/>
      <c r="N343" s="88"/>
      <c r="O343" s="88"/>
      <c r="P343" s="88"/>
      <c r="Q343" s="88"/>
      <c r="R343" s="88"/>
      <c r="S343" s="88"/>
      <c r="T343" s="88"/>
      <c r="U343" s="88"/>
      <c r="V343" s="88"/>
      <c r="W343" s="88"/>
      <c r="X343" s="88"/>
      <c r="Y343" s="88"/>
      <c r="Z343" s="88"/>
      <c r="AA343" s="88"/>
      <c r="AB343" s="88"/>
      <c r="AC343" s="88"/>
      <c r="AD343" s="88"/>
      <c r="AE343" s="88"/>
      <c r="AF343" s="88"/>
      <c r="AG343" s="88"/>
      <c r="AH343" s="88"/>
      <c r="AI343" s="88"/>
      <c r="AJ343" s="88"/>
    </row>
    <row r="344" spans="1:36" ht="15">
      <c r="A344" s="88" t="s">
        <v>329</v>
      </c>
      <c r="B344" s="88" t="s">
        <v>949</v>
      </c>
      <c r="C344" s="88" t="s">
        <v>7</v>
      </c>
      <c r="D344" s="88" t="s">
        <v>2063</v>
      </c>
      <c r="E344" s="88" t="s">
        <v>2064</v>
      </c>
      <c r="F344" s="88"/>
      <c r="G344" s="88"/>
      <c r="H344" s="88"/>
      <c r="I344" s="88"/>
      <c r="J344" s="88"/>
      <c r="K344" s="88"/>
      <c r="L344" s="88"/>
      <c r="M344" s="88"/>
      <c r="N344" s="88"/>
      <c r="O344" s="88"/>
      <c r="P344" s="88"/>
      <c r="Q344" s="88"/>
      <c r="R344" s="88"/>
      <c r="S344" s="88"/>
      <c r="T344" s="88"/>
      <c r="U344" s="88"/>
      <c r="V344" s="88"/>
      <c r="W344" s="88"/>
      <c r="X344" s="88"/>
      <c r="Y344" s="88"/>
      <c r="Z344" s="88"/>
      <c r="AA344" s="88"/>
      <c r="AB344" s="88"/>
      <c r="AC344" s="88"/>
      <c r="AD344" s="88"/>
      <c r="AE344" s="88"/>
      <c r="AF344" s="88"/>
      <c r="AG344" s="88"/>
      <c r="AH344" s="88"/>
      <c r="AI344" s="88"/>
      <c r="AJ344" s="88"/>
    </row>
    <row r="345" spans="1:36" ht="15">
      <c r="A345" s="88" t="s">
        <v>329</v>
      </c>
      <c r="B345" s="88" t="s">
        <v>967</v>
      </c>
      <c r="C345" s="88" t="s">
        <v>7</v>
      </c>
      <c r="D345" s="88" t="s">
        <v>2065</v>
      </c>
      <c r="E345" s="88" t="s">
        <v>2066</v>
      </c>
      <c r="F345" s="88"/>
      <c r="G345" s="88"/>
      <c r="H345" s="88"/>
      <c r="I345" s="88"/>
      <c r="J345" s="88"/>
      <c r="K345" s="88"/>
      <c r="L345" s="88"/>
      <c r="M345" s="88"/>
      <c r="N345" s="88"/>
      <c r="O345" s="88"/>
      <c r="P345" s="88"/>
      <c r="Q345" s="88"/>
      <c r="R345" s="88"/>
      <c r="S345" s="88"/>
      <c r="T345" s="88"/>
      <c r="U345" s="88"/>
      <c r="V345" s="88"/>
      <c r="W345" s="88"/>
      <c r="X345" s="88"/>
      <c r="Y345" s="88"/>
      <c r="Z345" s="88"/>
      <c r="AA345" s="88"/>
      <c r="AB345" s="88"/>
      <c r="AC345" s="88"/>
      <c r="AD345" s="88"/>
      <c r="AE345" s="88"/>
      <c r="AF345" s="88"/>
      <c r="AG345" s="88"/>
      <c r="AH345" s="88"/>
      <c r="AI345" s="88"/>
      <c r="AJ345" s="88"/>
    </row>
    <row r="346" spans="1:36" ht="15">
      <c r="A346" s="88" t="s">
        <v>329</v>
      </c>
      <c r="B346" s="88" t="s">
        <v>985</v>
      </c>
      <c r="C346" s="88" t="s">
        <v>7</v>
      </c>
      <c r="D346" s="88" t="s">
        <v>2067</v>
      </c>
      <c r="E346" s="88" t="s">
        <v>2068</v>
      </c>
      <c r="F346" s="88"/>
      <c r="G346" s="88"/>
      <c r="H346" s="88"/>
      <c r="I346" s="88"/>
      <c r="J346" s="88"/>
      <c r="K346" s="88"/>
      <c r="L346" s="88"/>
      <c r="M346" s="88"/>
      <c r="N346" s="88"/>
      <c r="O346" s="88"/>
      <c r="P346" s="88"/>
      <c r="Q346" s="88"/>
      <c r="R346" s="88"/>
      <c r="S346" s="88"/>
      <c r="T346" s="88"/>
      <c r="U346" s="88"/>
      <c r="V346" s="88"/>
      <c r="W346" s="88"/>
      <c r="X346" s="88"/>
      <c r="Y346" s="88"/>
      <c r="Z346" s="88"/>
      <c r="AA346" s="88"/>
      <c r="AB346" s="88"/>
      <c r="AC346" s="88"/>
      <c r="AD346" s="88"/>
      <c r="AE346" s="88"/>
      <c r="AF346" s="88"/>
      <c r="AG346" s="88"/>
      <c r="AH346" s="88"/>
      <c r="AI346" s="88"/>
      <c r="AJ346" s="88"/>
    </row>
    <row r="347" spans="1:36" ht="15">
      <c r="A347" s="88" t="s">
        <v>330</v>
      </c>
      <c r="B347" s="88" t="s">
        <v>362</v>
      </c>
      <c r="C347" s="88" t="s">
        <v>7</v>
      </c>
      <c r="D347" s="88" t="s">
        <v>2069</v>
      </c>
      <c r="E347" s="88" t="s">
        <v>2070</v>
      </c>
      <c r="F347" s="88"/>
      <c r="G347" s="88"/>
      <c r="H347" s="88"/>
      <c r="I347" s="88"/>
      <c r="J347" s="88"/>
      <c r="K347" s="88"/>
      <c r="L347" s="88"/>
      <c r="M347" s="88"/>
      <c r="N347" s="88"/>
      <c r="O347" s="88"/>
      <c r="P347" s="88"/>
      <c r="Q347" s="88"/>
      <c r="R347" s="88"/>
      <c r="S347" s="88"/>
      <c r="T347" s="88"/>
      <c r="U347" s="88"/>
      <c r="V347" s="88"/>
      <c r="W347" s="88"/>
      <c r="X347" s="88"/>
      <c r="Y347" s="88"/>
      <c r="Z347" s="88"/>
      <c r="AA347" s="88"/>
      <c r="AB347" s="88"/>
      <c r="AC347" s="88"/>
      <c r="AD347" s="88"/>
      <c r="AE347" s="88"/>
      <c r="AF347" s="88"/>
      <c r="AG347" s="88"/>
      <c r="AH347" s="88"/>
      <c r="AI347" s="88"/>
      <c r="AJ347" s="88"/>
    </row>
    <row r="348" spans="1:36" ht="15">
      <c r="A348" s="88" t="s">
        <v>330</v>
      </c>
      <c r="B348" s="88" t="s">
        <v>394</v>
      </c>
      <c r="C348" s="88" t="s">
        <v>7</v>
      </c>
      <c r="D348" s="88" t="s">
        <v>2071</v>
      </c>
      <c r="E348" s="88" t="s">
        <v>2072</v>
      </c>
      <c r="F348" s="88"/>
      <c r="G348" s="88"/>
      <c r="H348" s="88"/>
      <c r="I348" s="88"/>
      <c r="J348" s="88"/>
      <c r="K348" s="88"/>
      <c r="L348" s="88"/>
      <c r="M348" s="88"/>
      <c r="N348" s="88"/>
      <c r="O348" s="88"/>
      <c r="P348" s="88"/>
      <c r="Q348" s="88"/>
      <c r="R348" s="88"/>
      <c r="S348" s="88"/>
      <c r="T348" s="88"/>
      <c r="U348" s="88"/>
      <c r="V348" s="88"/>
      <c r="W348" s="88"/>
      <c r="X348" s="88"/>
      <c r="Y348" s="88"/>
      <c r="Z348" s="88"/>
      <c r="AA348" s="88"/>
      <c r="AB348" s="88"/>
      <c r="AC348" s="88"/>
      <c r="AD348" s="88"/>
      <c r="AE348" s="88"/>
      <c r="AF348" s="88"/>
      <c r="AG348" s="88"/>
      <c r="AH348" s="88"/>
      <c r="AI348" s="88"/>
      <c r="AJ348" s="88"/>
    </row>
    <row r="349" spans="1:36" ht="15">
      <c r="A349" s="88" t="s">
        <v>330</v>
      </c>
      <c r="B349" s="88" t="s">
        <v>424</v>
      </c>
      <c r="C349" s="88" t="s">
        <v>7</v>
      </c>
      <c r="D349" s="88" t="s">
        <v>2073</v>
      </c>
      <c r="E349" s="88" t="s">
        <v>2074</v>
      </c>
      <c r="F349" s="88"/>
      <c r="G349" s="88"/>
      <c r="H349" s="88"/>
      <c r="I349" s="88"/>
      <c r="J349" s="88"/>
      <c r="K349" s="88"/>
      <c r="L349" s="88"/>
      <c r="M349" s="88"/>
      <c r="N349" s="88"/>
      <c r="O349" s="88"/>
      <c r="P349" s="88"/>
      <c r="Q349" s="88"/>
      <c r="R349" s="88"/>
      <c r="S349" s="88"/>
      <c r="T349" s="88"/>
      <c r="U349" s="88"/>
      <c r="V349" s="88"/>
      <c r="W349" s="88"/>
      <c r="X349" s="88"/>
      <c r="Y349" s="88"/>
      <c r="Z349" s="88"/>
      <c r="AA349" s="88"/>
      <c r="AB349" s="88"/>
      <c r="AC349" s="88"/>
      <c r="AD349" s="88"/>
      <c r="AE349" s="88"/>
      <c r="AF349" s="88"/>
      <c r="AG349" s="88"/>
      <c r="AH349" s="88"/>
      <c r="AI349" s="88"/>
      <c r="AJ349" s="88"/>
    </row>
    <row r="350" spans="1:36" ht="15">
      <c r="A350" s="88" t="s">
        <v>330</v>
      </c>
      <c r="B350" s="88" t="s">
        <v>455</v>
      </c>
      <c r="C350" s="88" t="s">
        <v>7</v>
      </c>
      <c r="D350" s="88" t="s">
        <v>2075</v>
      </c>
      <c r="E350" s="88" t="s">
        <v>2076</v>
      </c>
      <c r="F350" s="88"/>
      <c r="G350" s="88"/>
      <c r="H350" s="88"/>
      <c r="I350" s="88"/>
      <c r="J350" s="88"/>
      <c r="K350" s="88"/>
      <c r="L350" s="88"/>
      <c r="M350" s="88"/>
      <c r="N350" s="88"/>
      <c r="O350" s="88"/>
      <c r="P350" s="88"/>
      <c r="Q350" s="88"/>
      <c r="R350" s="88"/>
      <c r="S350" s="88"/>
      <c r="T350" s="88"/>
      <c r="U350" s="88"/>
      <c r="V350" s="88"/>
      <c r="W350" s="88"/>
      <c r="X350" s="88"/>
      <c r="Y350" s="88"/>
      <c r="Z350" s="88"/>
      <c r="AA350" s="88"/>
      <c r="AB350" s="88"/>
      <c r="AC350" s="88"/>
      <c r="AD350" s="88"/>
      <c r="AE350" s="88"/>
      <c r="AF350" s="88"/>
      <c r="AG350" s="88"/>
      <c r="AH350" s="88"/>
      <c r="AI350" s="88"/>
      <c r="AJ350" s="88"/>
    </row>
    <row r="351" spans="1:36" ht="15">
      <c r="A351" s="88" t="s">
        <v>330</v>
      </c>
      <c r="B351" s="88" t="s">
        <v>487</v>
      </c>
      <c r="C351" s="88" t="s">
        <v>7</v>
      </c>
      <c r="D351" s="88" t="s">
        <v>2077</v>
      </c>
      <c r="E351" s="88" t="s">
        <v>2078</v>
      </c>
      <c r="F351" s="88"/>
      <c r="G351" s="88"/>
      <c r="H351" s="88"/>
      <c r="I351" s="88"/>
      <c r="J351" s="88"/>
      <c r="K351" s="88"/>
      <c r="L351" s="88"/>
      <c r="M351" s="88"/>
      <c r="N351" s="88"/>
      <c r="O351" s="88"/>
      <c r="P351" s="88"/>
      <c r="Q351" s="88"/>
      <c r="R351" s="88"/>
      <c r="S351" s="88"/>
      <c r="T351" s="88"/>
      <c r="U351" s="88"/>
      <c r="V351" s="88"/>
      <c r="W351" s="88"/>
      <c r="X351" s="88"/>
      <c r="Y351" s="88"/>
      <c r="Z351" s="88"/>
      <c r="AA351" s="88"/>
      <c r="AB351" s="88"/>
      <c r="AC351" s="88"/>
      <c r="AD351" s="88"/>
      <c r="AE351" s="88"/>
      <c r="AF351" s="88"/>
      <c r="AG351" s="88"/>
      <c r="AH351" s="88"/>
      <c r="AI351" s="88"/>
      <c r="AJ351" s="88"/>
    </row>
    <row r="352" spans="1:36" ht="15">
      <c r="A352" s="88" t="s">
        <v>330</v>
      </c>
      <c r="B352" s="88" t="s">
        <v>515</v>
      </c>
      <c r="C352" s="88" t="s">
        <v>7</v>
      </c>
      <c r="D352" s="88" t="s">
        <v>2079</v>
      </c>
      <c r="E352" s="88" t="s">
        <v>2080</v>
      </c>
      <c r="F352" s="88"/>
      <c r="G352" s="88"/>
      <c r="H352" s="88"/>
      <c r="I352" s="88"/>
      <c r="J352" s="88"/>
      <c r="K352" s="88"/>
      <c r="L352" s="88"/>
      <c r="M352" s="88"/>
      <c r="N352" s="88"/>
      <c r="O352" s="88"/>
      <c r="P352" s="88"/>
      <c r="Q352" s="88"/>
      <c r="R352" s="88"/>
      <c r="S352" s="88"/>
      <c r="T352" s="88"/>
      <c r="U352" s="88"/>
      <c r="V352" s="88"/>
      <c r="W352" s="88"/>
      <c r="X352" s="88"/>
      <c r="Y352" s="88"/>
      <c r="Z352" s="88"/>
      <c r="AA352" s="88"/>
      <c r="AB352" s="88"/>
      <c r="AC352" s="88"/>
      <c r="AD352" s="88"/>
      <c r="AE352" s="88"/>
      <c r="AF352" s="88"/>
      <c r="AG352" s="88"/>
      <c r="AH352" s="88"/>
      <c r="AI352" s="88"/>
      <c r="AJ352" s="88"/>
    </row>
    <row r="353" spans="1:36" ht="15">
      <c r="A353" s="88" t="s">
        <v>330</v>
      </c>
      <c r="B353" s="88" t="s">
        <v>545</v>
      </c>
      <c r="C353" s="88" t="s">
        <v>7</v>
      </c>
      <c r="D353" s="88" t="s">
        <v>2081</v>
      </c>
      <c r="E353" s="88" t="s">
        <v>2082</v>
      </c>
      <c r="F353" s="88"/>
      <c r="G353" s="88"/>
      <c r="H353" s="88"/>
      <c r="I353" s="88"/>
      <c r="J353" s="88"/>
      <c r="K353" s="88"/>
      <c r="L353" s="88"/>
      <c r="M353" s="88"/>
      <c r="N353" s="88"/>
      <c r="O353" s="88"/>
      <c r="P353" s="88"/>
      <c r="Q353" s="88"/>
      <c r="R353" s="88"/>
      <c r="S353" s="88"/>
      <c r="T353" s="88"/>
      <c r="U353" s="88"/>
      <c r="V353" s="88"/>
      <c r="W353" s="88"/>
      <c r="X353" s="88"/>
      <c r="Y353" s="88"/>
      <c r="Z353" s="88"/>
      <c r="AA353" s="88"/>
      <c r="AB353" s="88"/>
      <c r="AC353" s="88"/>
      <c r="AD353" s="88"/>
      <c r="AE353" s="88"/>
      <c r="AF353" s="88"/>
      <c r="AG353" s="88"/>
      <c r="AH353" s="88"/>
      <c r="AI353" s="88"/>
      <c r="AJ353" s="88"/>
    </row>
    <row r="354" spans="1:36" ht="15">
      <c r="A354" s="88" t="s">
        <v>330</v>
      </c>
      <c r="B354" s="88" t="s">
        <v>572</v>
      </c>
      <c r="C354" s="88" t="s">
        <v>7</v>
      </c>
      <c r="D354" s="88" t="s">
        <v>2083</v>
      </c>
      <c r="E354" s="88" t="s">
        <v>2084</v>
      </c>
      <c r="F354" s="88"/>
      <c r="G354" s="88"/>
      <c r="H354" s="88"/>
      <c r="I354" s="88"/>
      <c r="J354" s="88"/>
      <c r="K354" s="88"/>
      <c r="L354" s="88"/>
      <c r="M354" s="88"/>
      <c r="N354" s="88"/>
      <c r="O354" s="88"/>
      <c r="P354" s="88"/>
      <c r="Q354" s="88"/>
      <c r="R354" s="88"/>
      <c r="S354" s="88"/>
      <c r="T354" s="88"/>
      <c r="U354" s="88"/>
      <c r="V354" s="88"/>
      <c r="W354" s="88"/>
      <c r="X354" s="88"/>
      <c r="Y354" s="88"/>
      <c r="Z354" s="88"/>
      <c r="AA354" s="88"/>
      <c r="AB354" s="88"/>
      <c r="AC354" s="88"/>
      <c r="AD354" s="88"/>
      <c r="AE354" s="88"/>
      <c r="AF354" s="88"/>
      <c r="AG354" s="88"/>
      <c r="AH354" s="88"/>
      <c r="AI354" s="88"/>
      <c r="AJ354" s="88"/>
    </row>
    <row r="355" spans="1:36" ht="15">
      <c r="A355" s="88" t="s">
        <v>330</v>
      </c>
      <c r="B355" s="88" t="s">
        <v>600</v>
      </c>
      <c r="C355" s="88" t="s">
        <v>7</v>
      </c>
      <c r="D355" s="88" t="s">
        <v>2085</v>
      </c>
      <c r="E355" s="88" t="s">
        <v>2086</v>
      </c>
      <c r="F355" s="88"/>
      <c r="G355" s="88"/>
      <c r="H355" s="88"/>
      <c r="I355" s="88"/>
      <c r="J355" s="88"/>
      <c r="K355" s="88"/>
      <c r="L355" s="88"/>
      <c r="M355" s="88"/>
      <c r="N355" s="88"/>
      <c r="O355" s="88"/>
      <c r="P355" s="88"/>
      <c r="Q355" s="88"/>
      <c r="R355" s="88"/>
      <c r="S355" s="88"/>
      <c r="T355" s="88"/>
      <c r="U355" s="88"/>
      <c r="V355" s="88"/>
      <c r="W355" s="88"/>
      <c r="X355" s="88"/>
      <c r="Y355" s="88"/>
      <c r="Z355" s="88"/>
      <c r="AA355" s="88"/>
      <c r="AB355" s="88"/>
      <c r="AC355" s="88"/>
      <c r="AD355" s="88"/>
      <c r="AE355" s="88"/>
      <c r="AF355" s="88"/>
      <c r="AG355" s="88"/>
      <c r="AH355" s="88"/>
      <c r="AI355" s="88"/>
      <c r="AJ355" s="88"/>
    </row>
    <row r="356" spans="1:36" ht="15">
      <c r="A356" s="88" t="s">
        <v>330</v>
      </c>
      <c r="B356" s="88" t="s">
        <v>626</v>
      </c>
      <c r="C356" s="88" t="s">
        <v>7</v>
      </c>
      <c r="D356" s="88" t="s">
        <v>2087</v>
      </c>
      <c r="E356" s="88" t="s">
        <v>2088</v>
      </c>
      <c r="F356" s="88"/>
      <c r="G356" s="88"/>
      <c r="H356" s="88"/>
      <c r="I356" s="88"/>
      <c r="J356" s="88"/>
      <c r="K356" s="88"/>
      <c r="L356" s="88"/>
      <c r="M356" s="88"/>
      <c r="N356" s="88"/>
      <c r="O356" s="88"/>
      <c r="P356" s="88"/>
      <c r="Q356" s="88"/>
      <c r="R356" s="88"/>
      <c r="S356" s="88"/>
      <c r="T356" s="88"/>
      <c r="U356" s="88"/>
      <c r="V356" s="88"/>
      <c r="W356" s="88"/>
      <c r="X356" s="88"/>
      <c r="Y356" s="88"/>
      <c r="Z356" s="88"/>
      <c r="AA356" s="88"/>
      <c r="AB356" s="88"/>
      <c r="AC356" s="88"/>
      <c r="AD356" s="88"/>
      <c r="AE356" s="88"/>
      <c r="AF356" s="88"/>
      <c r="AG356" s="88"/>
      <c r="AH356" s="88"/>
      <c r="AI356" s="88"/>
      <c r="AJ356" s="88"/>
    </row>
    <row r="357" spans="1:36" ht="15">
      <c r="A357" s="88" t="s">
        <v>330</v>
      </c>
      <c r="B357" s="88" t="s">
        <v>651</v>
      </c>
      <c r="C357" s="88" t="s">
        <v>7</v>
      </c>
      <c r="D357" s="88" t="s">
        <v>2089</v>
      </c>
      <c r="E357" s="88" t="s">
        <v>2090</v>
      </c>
      <c r="F357" s="88"/>
      <c r="G357" s="88"/>
      <c r="H357" s="88"/>
      <c r="I357" s="88"/>
      <c r="J357" s="88"/>
      <c r="K357" s="88"/>
      <c r="L357" s="88"/>
      <c r="M357" s="88"/>
      <c r="N357" s="88"/>
      <c r="O357" s="88"/>
      <c r="P357" s="88"/>
      <c r="Q357" s="88"/>
      <c r="R357" s="88"/>
      <c r="S357" s="88"/>
      <c r="T357" s="88"/>
      <c r="U357" s="88"/>
      <c r="V357" s="88"/>
      <c r="W357" s="88"/>
      <c r="X357" s="88"/>
      <c r="Y357" s="88"/>
      <c r="Z357" s="88"/>
      <c r="AA357" s="88"/>
      <c r="AB357" s="88"/>
      <c r="AC357" s="88"/>
      <c r="AD357" s="88"/>
      <c r="AE357" s="88"/>
      <c r="AF357" s="88"/>
      <c r="AG357" s="88"/>
      <c r="AH357" s="88"/>
      <c r="AI357" s="88"/>
      <c r="AJ357" s="88"/>
    </row>
    <row r="358" spans="1:36" ht="15">
      <c r="A358" s="88" t="s">
        <v>330</v>
      </c>
      <c r="B358" s="88" t="s">
        <v>678</v>
      </c>
      <c r="C358" s="88" t="s">
        <v>7</v>
      </c>
      <c r="D358" s="88" t="s">
        <v>2091</v>
      </c>
      <c r="E358" s="88" t="s">
        <v>2092</v>
      </c>
      <c r="F358" s="88"/>
      <c r="G358" s="88"/>
      <c r="H358" s="88"/>
      <c r="I358" s="88"/>
      <c r="J358" s="88"/>
      <c r="K358" s="88"/>
      <c r="L358" s="88"/>
      <c r="M358" s="88"/>
      <c r="N358" s="88"/>
      <c r="O358" s="88"/>
      <c r="P358" s="88"/>
      <c r="Q358" s="88"/>
      <c r="R358" s="88"/>
      <c r="S358" s="88"/>
      <c r="T358" s="88"/>
      <c r="U358" s="88"/>
      <c r="V358" s="88"/>
      <c r="W358" s="88"/>
      <c r="X358" s="88"/>
      <c r="Y358" s="88"/>
      <c r="Z358" s="88"/>
      <c r="AA358" s="88"/>
      <c r="AB358" s="88"/>
      <c r="AC358" s="88"/>
      <c r="AD358" s="88"/>
      <c r="AE358" s="88"/>
      <c r="AF358" s="88"/>
      <c r="AG358" s="88"/>
      <c r="AH358" s="88"/>
      <c r="AI358" s="88"/>
      <c r="AJ358" s="88"/>
    </row>
    <row r="359" spans="1:36" ht="15">
      <c r="A359" s="88" t="s">
        <v>330</v>
      </c>
      <c r="B359" s="88" t="s">
        <v>701</v>
      </c>
      <c r="C359" s="88" t="s">
        <v>7</v>
      </c>
      <c r="D359" s="88" t="s">
        <v>2093</v>
      </c>
      <c r="E359" s="88" t="s">
        <v>2094</v>
      </c>
      <c r="F359" s="88"/>
      <c r="G359" s="88"/>
      <c r="H359" s="88"/>
      <c r="I359" s="88"/>
      <c r="J359" s="88"/>
      <c r="K359" s="88"/>
      <c r="L359" s="88"/>
      <c r="M359" s="88"/>
      <c r="N359" s="88"/>
      <c r="O359" s="88"/>
      <c r="P359" s="88"/>
      <c r="Q359" s="88"/>
      <c r="R359" s="88"/>
      <c r="S359" s="88"/>
      <c r="T359" s="88"/>
      <c r="U359" s="88"/>
      <c r="V359" s="88"/>
      <c r="W359" s="88"/>
      <c r="X359" s="88"/>
      <c r="Y359" s="88"/>
      <c r="Z359" s="88"/>
      <c r="AA359" s="88"/>
      <c r="AB359" s="88"/>
      <c r="AC359" s="88"/>
      <c r="AD359" s="88"/>
      <c r="AE359" s="88"/>
      <c r="AF359" s="88"/>
      <c r="AG359" s="88"/>
      <c r="AH359" s="88"/>
      <c r="AI359" s="88"/>
      <c r="AJ359" s="88"/>
    </row>
    <row r="360" spans="1:36" ht="15">
      <c r="A360" s="88" t="s">
        <v>330</v>
      </c>
      <c r="B360" s="88" t="s">
        <v>724</v>
      </c>
      <c r="C360" s="88" t="s">
        <v>7</v>
      </c>
      <c r="D360" s="88" t="s">
        <v>2095</v>
      </c>
      <c r="E360" s="88" t="s">
        <v>2096</v>
      </c>
      <c r="F360" s="88"/>
      <c r="G360" s="88"/>
      <c r="H360" s="88"/>
      <c r="I360" s="88"/>
      <c r="J360" s="88"/>
      <c r="K360" s="88"/>
      <c r="L360" s="88"/>
      <c r="M360" s="88"/>
      <c r="N360" s="88"/>
      <c r="O360" s="88"/>
      <c r="P360" s="88"/>
      <c r="Q360" s="88"/>
      <c r="R360" s="88"/>
      <c r="S360" s="88"/>
      <c r="T360" s="88"/>
      <c r="U360" s="88"/>
      <c r="V360" s="88"/>
      <c r="W360" s="88"/>
      <c r="X360" s="88"/>
      <c r="Y360" s="88"/>
      <c r="Z360" s="88"/>
      <c r="AA360" s="88"/>
      <c r="AB360" s="88"/>
      <c r="AC360" s="88"/>
      <c r="AD360" s="88"/>
      <c r="AE360" s="88"/>
      <c r="AF360" s="88"/>
      <c r="AG360" s="88"/>
      <c r="AH360" s="88"/>
      <c r="AI360" s="88"/>
      <c r="AJ360" s="88"/>
    </row>
    <row r="361" spans="1:36" ht="15">
      <c r="A361" s="88" t="s">
        <v>330</v>
      </c>
      <c r="B361" s="88" t="s">
        <v>748</v>
      </c>
      <c r="C361" s="88" t="s">
        <v>7</v>
      </c>
      <c r="D361" s="88" t="s">
        <v>2097</v>
      </c>
      <c r="E361" s="88" t="s">
        <v>2098</v>
      </c>
      <c r="F361" s="88"/>
      <c r="G361" s="88"/>
      <c r="H361" s="88"/>
      <c r="I361" s="88"/>
      <c r="J361" s="88"/>
      <c r="K361" s="88"/>
      <c r="L361" s="88"/>
      <c r="M361" s="88"/>
      <c r="N361" s="88"/>
      <c r="O361" s="88"/>
      <c r="P361" s="88"/>
      <c r="Q361" s="88"/>
      <c r="R361" s="88"/>
      <c r="S361" s="88"/>
      <c r="T361" s="88"/>
      <c r="U361" s="88"/>
      <c r="V361" s="88"/>
      <c r="W361" s="88"/>
      <c r="X361" s="88"/>
      <c r="Y361" s="88"/>
      <c r="Z361" s="88"/>
      <c r="AA361" s="88"/>
      <c r="AB361" s="88"/>
      <c r="AC361" s="88"/>
      <c r="AD361" s="88"/>
      <c r="AE361" s="88"/>
      <c r="AF361" s="88"/>
      <c r="AG361" s="88"/>
      <c r="AH361" s="88"/>
      <c r="AI361" s="88"/>
      <c r="AJ361" s="88"/>
    </row>
    <row r="362" spans="1:36" ht="15">
      <c r="A362" s="88" t="s">
        <v>330</v>
      </c>
      <c r="B362" s="88" t="s">
        <v>771</v>
      </c>
      <c r="C362" s="88" t="s">
        <v>7</v>
      </c>
      <c r="D362" s="88" t="s">
        <v>2099</v>
      </c>
      <c r="E362" s="88" t="s">
        <v>2100</v>
      </c>
      <c r="F362" s="88"/>
      <c r="G362" s="88"/>
      <c r="H362" s="88"/>
      <c r="I362" s="88"/>
      <c r="J362" s="88"/>
      <c r="K362" s="88"/>
      <c r="L362" s="88"/>
      <c r="M362" s="88"/>
      <c r="N362" s="88"/>
      <c r="O362" s="88"/>
      <c r="P362" s="88"/>
      <c r="Q362" s="88"/>
      <c r="R362" s="88"/>
      <c r="S362" s="88"/>
      <c r="T362" s="88"/>
      <c r="U362" s="88"/>
      <c r="V362" s="88"/>
      <c r="W362" s="88"/>
      <c r="X362" s="88"/>
      <c r="Y362" s="88"/>
      <c r="Z362" s="88"/>
      <c r="AA362" s="88"/>
      <c r="AB362" s="88"/>
      <c r="AC362" s="88"/>
      <c r="AD362" s="88"/>
      <c r="AE362" s="88"/>
      <c r="AF362" s="88"/>
      <c r="AG362" s="88"/>
      <c r="AH362" s="88"/>
      <c r="AI362" s="88"/>
      <c r="AJ362" s="88"/>
    </row>
    <row r="363" spans="1:36" ht="15">
      <c r="A363" s="88" t="s">
        <v>332</v>
      </c>
      <c r="B363" s="88" t="s">
        <v>364</v>
      </c>
      <c r="C363" s="88" t="s">
        <v>7</v>
      </c>
      <c r="D363" s="88" t="s">
        <v>2101</v>
      </c>
      <c r="E363" s="88" t="s">
        <v>2102</v>
      </c>
      <c r="F363" s="88"/>
      <c r="G363" s="88"/>
      <c r="H363" s="88"/>
      <c r="I363" s="88"/>
      <c r="J363" s="88"/>
      <c r="K363" s="88"/>
      <c r="L363" s="88"/>
      <c r="M363" s="88"/>
      <c r="N363" s="88"/>
      <c r="O363" s="88"/>
      <c r="P363" s="88"/>
      <c r="Q363" s="88"/>
      <c r="R363" s="88"/>
      <c r="S363" s="88"/>
      <c r="T363" s="88"/>
      <c r="U363" s="88"/>
      <c r="V363" s="88"/>
      <c r="W363" s="88"/>
      <c r="X363" s="88"/>
      <c r="Y363" s="88"/>
      <c r="Z363" s="88"/>
      <c r="AA363" s="88"/>
      <c r="AB363" s="88"/>
      <c r="AC363" s="88"/>
      <c r="AD363" s="88"/>
      <c r="AE363" s="88"/>
      <c r="AF363" s="88"/>
      <c r="AG363" s="88"/>
      <c r="AH363" s="88"/>
      <c r="AI363" s="88"/>
      <c r="AJ363" s="88"/>
    </row>
    <row r="364" spans="1:36" ht="15">
      <c r="A364" s="88" t="s">
        <v>332</v>
      </c>
      <c r="B364" s="88" t="s">
        <v>396</v>
      </c>
      <c r="C364" s="88" t="s">
        <v>7</v>
      </c>
      <c r="D364" s="88" t="s">
        <v>2103</v>
      </c>
      <c r="E364" s="88" t="s">
        <v>2104</v>
      </c>
      <c r="F364" s="88"/>
      <c r="G364" s="88"/>
      <c r="H364" s="88"/>
      <c r="I364" s="88"/>
      <c r="J364" s="88"/>
      <c r="K364" s="88"/>
      <c r="L364" s="88"/>
      <c r="M364" s="88"/>
      <c r="N364" s="88"/>
      <c r="O364" s="88"/>
      <c r="P364" s="88"/>
      <c r="Q364" s="88"/>
      <c r="R364" s="88"/>
      <c r="S364" s="88"/>
      <c r="T364" s="88"/>
      <c r="U364" s="88"/>
      <c r="V364" s="88"/>
      <c r="W364" s="88"/>
      <c r="X364" s="88"/>
      <c r="Y364" s="88"/>
      <c r="Z364" s="88"/>
      <c r="AA364" s="88"/>
      <c r="AB364" s="88"/>
      <c r="AC364" s="88"/>
      <c r="AD364" s="88"/>
      <c r="AE364" s="88"/>
      <c r="AF364" s="88"/>
      <c r="AG364" s="88"/>
      <c r="AH364" s="88"/>
      <c r="AI364" s="88"/>
      <c r="AJ364" s="88"/>
    </row>
    <row r="365" spans="1:36" ht="15">
      <c r="A365" s="88" t="s">
        <v>332</v>
      </c>
      <c r="B365" s="88" t="s">
        <v>426</v>
      </c>
      <c r="C365" s="88" t="s">
        <v>7</v>
      </c>
      <c r="D365" s="88" t="s">
        <v>2105</v>
      </c>
      <c r="E365" s="88" t="s">
        <v>2106</v>
      </c>
      <c r="F365" s="88"/>
      <c r="G365" s="88"/>
      <c r="H365" s="88"/>
      <c r="I365" s="88"/>
      <c r="J365" s="88"/>
      <c r="K365" s="88"/>
      <c r="L365" s="88"/>
      <c r="M365" s="88"/>
      <c r="N365" s="88"/>
      <c r="O365" s="88"/>
      <c r="P365" s="88"/>
      <c r="Q365" s="88"/>
      <c r="R365" s="88"/>
      <c r="S365" s="88"/>
      <c r="T365" s="88"/>
      <c r="U365" s="88"/>
      <c r="V365" s="88"/>
      <c r="W365" s="88"/>
      <c r="X365" s="88"/>
      <c r="Y365" s="88"/>
      <c r="Z365" s="88"/>
      <c r="AA365" s="88"/>
      <c r="AB365" s="88"/>
      <c r="AC365" s="88"/>
      <c r="AD365" s="88"/>
      <c r="AE365" s="88"/>
      <c r="AF365" s="88"/>
      <c r="AG365" s="88"/>
      <c r="AH365" s="88"/>
      <c r="AI365" s="88"/>
      <c r="AJ365" s="88"/>
    </row>
    <row r="366" spans="1:36" ht="15">
      <c r="A366" s="88" t="s">
        <v>332</v>
      </c>
      <c r="B366" s="88" t="s">
        <v>440</v>
      </c>
      <c r="C366" s="88" t="s">
        <v>7</v>
      </c>
      <c r="D366" s="88" t="s">
        <v>2107</v>
      </c>
      <c r="E366" s="88" t="s">
        <v>2108</v>
      </c>
      <c r="F366" s="88"/>
      <c r="G366" s="88"/>
      <c r="H366" s="88"/>
      <c r="I366" s="88"/>
      <c r="J366" s="88"/>
      <c r="K366" s="88"/>
      <c r="L366" s="88"/>
      <c r="M366" s="88"/>
      <c r="N366" s="88"/>
      <c r="O366" s="88"/>
      <c r="P366" s="88"/>
      <c r="Q366" s="88"/>
      <c r="R366" s="88"/>
      <c r="S366" s="88"/>
      <c r="T366" s="88"/>
      <c r="U366" s="88"/>
      <c r="V366" s="88"/>
      <c r="W366" s="88"/>
      <c r="X366" s="88"/>
      <c r="Y366" s="88"/>
      <c r="Z366" s="88"/>
      <c r="AA366" s="88"/>
      <c r="AB366" s="88"/>
      <c r="AC366" s="88"/>
      <c r="AD366" s="88"/>
      <c r="AE366" s="88"/>
      <c r="AF366" s="88"/>
      <c r="AG366" s="88"/>
      <c r="AH366" s="88"/>
      <c r="AI366" s="88"/>
      <c r="AJ366" s="88"/>
    </row>
    <row r="367" spans="1:36" ht="15">
      <c r="A367" s="88" t="s">
        <v>332</v>
      </c>
      <c r="B367" s="88" t="s">
        <v>327</v>
      </c>
      <c r="C367" s="88" t="s">
        <v>7</v>
      </c>
      <c r="D367" s="88" t="s">
        <v>2109</v>
      </c>
      <c r="E367" s="88" t="s">
        <v>2110</v>
      </c>
      <c r="F367" s="88"/>
      <c r="G367" s="88"/>
      <c r="H367" s="88"/>
      <c r="I367" s="88"/>
      <c r="J367" s="88"/>
      <c r="K367" s="88"/>
      <c r="L367" s="88"/>
      <c r="M367" s="88"/>
      <c r="N367" s="88"/>
      <c r="O367" s="88"/>
      <c r="P367" s="88"/>
      <c r="Q367" s="88"/>
      <c r="R367" s="88"/>
      <c r="S367" s="88"/>
      <c r="T367" s="88"/>
      <c r="U367" s="88"/>
      <c r="V367" s="88"/>
      <c r="W367" s="88"/>
      <c r="X367" s="88"/>
      <c r="Y367" s="88"/>
      <c r="Z367" s="88"/>
      <c r="AA367" s="88"/>
      <c r="AB367" s="88"/>
      <c r="AC367" s="88"/>
      <c r="AD367" s="88"/>
      <c r="AE367" s="88"/>
      <c r="AF367" s="88"/>
      <c r="AG367" s="88"/>
      <c r="AH367" s="88"/>
      <c r="AI367" s="88"/>
      <c r="AJ367" s="88"/>
    </row>
    <row r="368" spans="1:36" ht="15">
      <c r="A368" s="88" t="s">
        <v>332</v>
      </c>
      <c r="B368" s="88" t="s">
        <v>517</v>
      </c>
      <c r="C368" s="88" t="s">
        <v>7</v>
      </c>
      <c r="D368" s="88" t="s">
        <v>2111</v>
      </c>
      <c r="E368" s="88" t="s">
        <v>2112</v>
      </c>
      <c r="F368" s="88"/>
      <c r="G368" s="88"/>
      <c r="H368" s="88"/>
      <c r="I368" s="88"/>
      <c r="J368" s="88"/>
      <c r="K368" s="88"/>
      <c r="L368" s="88"/>
      <c r="M368" s="88"/>
      <c r="N368" s="88"/>
      <c r="O368" s="88"/>
      <c r="P368" s="88"/>
      <c r="Q368" s="88"/>
      <c r="R368" s="88"/>
      <c r="S368" s="88"/>
      <c r="T368" s="88"/>
      <c r="U368" s="88"/>
      <c r="V368" s="88"/>
      <c r="W368" s="88"/>
      <c r="X368" s="88"/>
      <c r="Y368" s="88"/>
      <c r="Z368" s="88"/>
      <c r="AA368" s="88"/>
      <c r="AB368" s="88"/>
      <c r="AC368" s="88"/>
      <c r="AD368" s="88"/>
      <c r="AE368" s="88"/>
      <c r="AF368" s="88"/>
      <c r="AG368" s="88"/>
      <c r="AH368" s="88"/>
      <c r="AI368" s="88"/>
      <c r="AJ368" s="88"/>
    </row>
    <row r="369" spans="1:36" ht="15">
      <c r="A369" s="88" t="s">
        <v>332</v>
      </c>
      <c r="B369" s="88" t="s">
        <v>547</v>
      </c>
      <c r="C369" s="88" t="s">
        <v>7</v>
      </c>
      <c r="D369" s="88" t="s">
        <v>2113</v>
      </c>
      <c r="E369" s="88" t="s">
        <v>2114</v>
      </c>
      <c r="F369" s="88"/>
      <c r="G369" s="88"/>
      <c r="H369" s="88"/>
      <c r="I369" s="88"/>
      <c r="J369" s="88"/>
      <c r="K369" s="88"/>
      <c r="L369" s="88"/>
      <c r="M369" s="88"/>
      <c r="N369" s="88"/>
      <c r="O369" s="88"/>
      <c r="P369" s="88"/>
      <c r="Q369" s="88"/>
      <c r="R369" s="88"/>
      <c r="S369" s="88"/>
      <c r="T369" s="88"/>
      <c r="U369" s="88"/>
      <c r="V369" s="88"/>
      <c r="W369" s="88"/>
      <c r="X369" s="88"/>
      <c r="Y369" s="88"/>
      <c r="Z369" s="88"/>
      <c r="AA369" s="88"/>
      <c r="AB369" s="88"/>
      <c r="AC369" s="88"/>
      <c r="AD369" s="88"/>
      <c r="AE369" s="88"/>
      <c r="AF369" s="88"/>
      <c r="AG369" s="88"/>
      <c r="AH369" s="88"/>
      <c r="AI369" s="88"/>
      <c r="AJ369" s="88"/>
    </row>
    <row r="370" spans="1:36" ht="15">
      <c r="A370" s="88" t="s">
        <v>332</v>
      </c>
      <c r="B370" s="88" t="s">
        <v>574</v>
      </c>
      <c r="C370" s="88" t="s">
        <v>7</v>
      </c>
      <c r="D370" s="88" t="s">
        <v>2115</v>
      </c>
      <c r="E370" s="88" t="s">
        <v>2116</v>
      </c>
      <c r="F370" s="88"/>
      <c r="G370" s="88"/>
      <c r="H370" s="88"/>
      <c r="I370" s="88"/>
      <c r="J370" s="88"/>
      <c r="K370" s="88"/>
      <c r="L370" s="88"/>
      <c r="M370" s="88"/>
      <c r="N370" s="88"/>
      <c r="O370" s="88"/>
      <c r="P370" s="88"/>
      <c r="Q370" s="88"/>
      <c r="R370" s="88"/>
      <c r="S370" s="88"/>
      <c r="T370" s="88"/>
      <c r="U370" s="88"/>
      <c r="V370" s="88"/>
      <c r="W370" s="88"/>
      <c r="X370" s="88"/>
      <c r="Y370" s="88"/>
      <c r="Z370" s="88"/>
      <c r="AA370" s="88"/>
      <c r="AB370" s="88"/>
      <c r="AC370" s="88"/>
      <c r="AD370" s="88"/>
      <c r="AE370" s="88"/>
      <c r="AF370" s="88"/>
      <c r="AG370" s="88"/>
      <c r="AH370" s="88"/>
      <c r="AI370" s="88"/>
      <c r="AJ370" s="88"/>
    </row>
    <row r="371" spans="1:36" ht="15">
      <c r="A371" s="88" t="s">
        <v>332</v>
      </c>
      <c r="B371" s="88" t="s">
        <v>602</v>
      </c>
      <c r="C371" s="88" t="s">
        <v>7</v>
      </c>
      <c r="D371" s="88" t="s">
        <v>2117</v>
      </c>
      <c r="E371" s="88" t="s">
        <v>2118</v>
      </c>
      <c r="F371" s="88"/>
      <c r="G371" s="88"/>
      <c r="H371" s="88"/>
      <c r="I371" s="88"/>
      <c r="J371" s="88"/>
      <c r="K371" s="88"/>
      <c r="L371" s="88"/>
      <c r="M371" s="88"/>
      <c r="N371" s="88"/>
      <c r="O371" s="88"/>
      <c r="P371" s="88"/>
      <c r="Q371" s="88"/>
      <c r="R371" s="88"/>
      <c r="S371" s="88"/>
      <c r="T371" s="88"/>
      <c r="U371" s="88"/>
      <c r="V371" s="88"/>
      <c r="W371" s="88"/>
      <c r="X371" s="88"/>
      <c r="Y371" s="88"/>
      <c r="Z371" s="88"/>
      <c r="AA371" s="88"/>
      <c r="AB371" s="88"/>
      <c r="AC371" s="88"/>
      <c r="AD371" s="88"/>
      <c r="AE371" s="88"/>
      <c r="AF371" s="88"/>
      <c r="AG371" s="88"/>
      <c r="AH371" s="88"/>
      <c r="AI371" s="88"/>
      <c r="AJ371" s="88"/>
    </row>
    <row r="372" spans="1:36" ht="15">
      <c r="A372" s="88" t="s">
        <v>332</v>
      </c>
      <c r="B372" s="88" t="s">
        <v>628</v>
      </c>
      <c r="C372" s="88" t="s">
        <v>7</v>
      </c>
      <c r="D372" s="88" t="s">
        <v>2119</v>
      </c>
      <c r="E372" s="88" t="s">
        <v>2120</v>
      </c>
      <c r="F372" s="88"/>
      <c r="G372" s="88"/>
      <c r="H372" s="88"/>
      <c r="I372" s="88"/>
      <c r="J372" s="88"/>
      <c r="K372" s="88"/>
      <c r="L372" s="88"/>
      <c r="M372" s="88"/>
      <c r="N372" s="88"/>
      <c r="O372" s="88"/>
      <c r="P372" s="88"/>
      <c r="Q372" s="88"/>
      <c r="R372" s="88"/>
      <c r="S372" s="88"/>
      <c r="T372" s="88"/>
      <c r="U372" s="88"/>
      <c r="V372" s="88"/>
      <c r="W372" s="88"/>
      <c r="X372" s="88"/>
      <c r="Y372" s="88"/>
      <c r="Z372" s="88"/>
      <c r="AA372" s="88"/>
      <c r="AB372" s="88"/>
      <c r="AC372" s="88"/>
      <c r="AD372" s="88"/>
      <c r="AE372" s="88"/>
      <c r="AF372" s="88"/>
      <c r="AG372" s="88"/>
      <c r="AH372" s="88"/>
      <c r="AI372" s="88"/>
      <c r="AJ372" s="88"/>
    </row>
    <row r="373" spans="1:36" ht="15">
      <c r="A373" s="88" t="s">
        <v>332</v>
      </c>
      <c r="B373" s="88" t="s">
        <v>653</v>
      </c>
      <c r="C373" s="88" t="s">
        <v>7</v>
      </c>
      <c r="D373" s="88" t="s">
        <v>2121</v>
      </c>
      <c r="E373" s="88" t="s">
        <v>2122</v>
      </c>
      <c r="F373" s="88"/>
      <c r="G373" s="88"/>
      <c r="H373" s="88"/>
      <c r="I373" s="88"/>
      <c r="J373" s="88"/>
      <c r="K373" s="88"/>
      <c r="L373" s="88"/>
      <c r="M373" s="88"/>
      <c r="N373" s="88"/>
      <c r="O373" s="88"/>
      <c r="P373" s="88"/>
      <c r="Q373" s="88"/>
      <c r="R373" s="88"/>
      <c r="S373" s="88"/>
      <c r="T373" s="88"/>
      <c r="U373" s="88"/>
      <c r="V373" s="88"/>
      <c r="W373" s="88"/>
      <c r="X373" s="88"/>
      <c r="Y373" s="88"/>
      <c r="Z373" s="88"/>
      <c r="AA373" s="88"/>
      <c r="AB373" s="88"/>
      <c r="AC373" s="88"/>
      <c r="AD373" s="88"/>
      <c r="AE373" s="88"/>
      <c r="AF373" s="88"/>
      <c r="AG373" s="88"/>
      <c r="AH373" s="88"/>
      <c r="AI373" s="88"/>
      <c r="AJ373" s="88"/>
    </row>
    <row r="374" spans="1:36" ht="15">
      <c r="A374" s="88" t="s">
        <v>332</v>
      </c>
      <c r="B374" s="88" t="s">
        <v>362</v>
      </c>
      <c r="C374" s="88" t="s">
        <v>7</v>
      </c>
      <c r="D374" s="88" t="s">
        <v>2123</v>
      </c>
      <c r="E374" s="88" t="s">
        <v>2124</v>
      </c>
      <c r="F374" s="88"/>
      <c r="G374" s="88"/>
      <c r="H374" s="88"/>
      <c r="I374" s="88"/>
      <c r="J374" s="88"/>
      <c r="K374" s="88"/>
      <c r="L374" s="88"/>
      <c r="M374" s="88"/>
      <c r="N374" s="88"/>
      <c r="O374" s="88"/>
      <c r="P374" s="88"/>
      <c r="Q374" s="88"/>
      <c r="R374" s="88"/>
      <c r="S374" s="88"/>
      <c r="T374" s="88"/>
      <c r="U374" s="88"/>
      <c r="V374" s="88"/>
      <c r="W374" s="88"/>
      <c r="X374" s="88"/>
      <c r="Y374" s="88"/>
      <c r="Z374" s="88"/>
      <c r="AA374" s="88"/>
      <c r="AB374" s="88"/>
      <c r="AC374" s="88"/>
      <c r="AD374" s="88"/>
      <c r="AE374" s="88"/>
      <c r="AF374" s="88"/>
      <c r="AG374" s="88"/>
      <c r="AH374" s="88"/>
      <c r="AI374" s="88"/>
      <c r="AJ374" s="88"/>
    </row>
    <row r="375" spans="1:36" ht="15">
      <c r="A375" s="88" t="s">
        <v>332</v>
      </c>
      <c r="B375" s="88" t="s">
        <v>703</v>
      </c>
      <c r="C375" s="88" t="s">
        <v>7</v>
      </c>
      <c r="D375" s="88" t="s">
        <v>2125</v>
      </c>
      <c r="E375" s="88" t="s">
        <v>2126</v>
      </c>
      <c r="F375" s="88"/>
      <c r="G375" s="88"/>
      <c r="H375" s="88"/>
      <c r="I375" s="88"/>
      <c r="J375" s="88"/>
      <c r="K375" s="88"/>
      <c r="L375" s="88"/>
      <c r="M375" s="88"/>
      <c r="N375" s="88"/>
      <c r="O375" s="88"/>
      <c r="P375" s="88"/>
      <c r="Q375" s="88"/>
      <c r="R375" s="88"/>
      <c r="S375" s="88"/>
      <c r="T375" s="88"/>
      <c r="U375" s="88"/>
      <c r="V375" s="88"/>
      <c r="W375" s="88"/>
      <c r="X375" s="88"/>
      <c r="Y375" s="88"/>
      <c r="Z375" s="88"/>
      <c r="AA375" s="88"/>
      <c r="AB375" s="88"/>
      <c r="AC375" s="88"/>
      <c r="AD375" s="88"/>
      <c r="AE375" s="88"/>
      <c r="AF375" s="88"/>
      <c r="AG375" s="88"/>
      <c r="AH375" s="88"/>
      <c r="AI375" s="88"/>
      <c r="AJ375" s="88"/>
    </row>
    <row r="376" spans="1:36" ht="15">
      <c r="A376" s="88" t="s">
        <v>332</v>
      </c>
      <c r="B376" s="88" t="s">
        <v>726</v>
      </c>
      <c r="C376" s="88" t="s">
        <v>7</v>
      </c>
      <c r="D376" s="88" t="s">
        <v>2127</v>
      </c>
      <c r="E376" s="88" t="s">
        <v>2128</v>
      </c>
      <c r="F376" s="88"/>
      <c r="G376" s="88"/>
      <c r="H376" s="88"/>
      <c r="I376" s="88"/>
      <c r="J376" s="88"/>
      <c r="K376" s="88"/>
      <c r="L376" s="88"/>
      <c r="M376" s="88"/>
      <c r="N376" s="88"/>
      <c r="O376" s="88"/>
      <c r="P376" s="88"/>
      <c r="Q376" s="88"/>
      <c r="R376" s="88"/>
      <c r="S376" s="88"/>
      <c r="T376" s="88"/>
      <c r="U376" s="88"/>
      <c r="V376" s="88"/>
      <c r="W376" s="88"/>
      <c r="X376" s="88"/>
      <c r="Y376" s="88"/>
      <c r="Z376" s="88"/>
      <c r="AA376" s="88"/>
      <c r="AB376" s="88"/>
      <c r="AC376" s="88"/>
      <c r="AD376" s="88"/>
      <c r="AE376" s="88"/>
      <c r="AF376" s="88"/>
      <c r="AG376" s="88"/>
      <c r="AH376" s="88"/>
      <c r="AI376" s="88"/>
      <c r="AJ376" s="88"/>
    </row>
    <row r="377" spans="1:36" ht="15">
      <c r="A377" s="88" t="s">
        <v>332</v>
      </c>
      <c r="B377" s="88" t="s">
        <v>750</v>
      </c>
      <c r="C377" s="88" t="s">
        <v>7</v>
      </c>
      <c r="D377" s="88" t="s">
        <v>2129</v>
      </c>
      <c r="E377" s="88" t="s">
        <v>2130</v>
      </c>
      <c r="F377" s="88"/>
      <c r="G377" s="88"/>
      <c r="H377" s="88"/>
      <c r="I377" s="88"/>
      <c r="J377" s="88"/>
      <c r="K377" s="88"/>
      <c r="L377" s="88"/>
      <c r="M377" s="88"/>
      <c r="N377" s="88"/>
      <c r="O377" s="88"/>
      <c r="P377" s="88"/>
      <c r="Q377" s="88"/>
      <c r="R377" s="88"/>
      <c r="S377" s="88"/>
      <c r="T377" s="88"/>
      <c r="U377" s="88"/>
      <c r="V377" s="88"/>
      <c r="W377" s="88"/>
      <c r="X377" s="88"/>
      <c r="Y377" s="88"/>
      <c r="Z377" s="88"/>
      <c r="AA377" s="88"/>
      <c r="AB377" s="88"/>
      <c r="AC377" s="88"/>
      <c r="AD377" s="88"/>
      <c r="AE377" s="88"/>
      <c r="AF377" s="88"/>
      <c r="AG377" s="88"/>
      <c r="AH377" s="88"/>
      <c r="AI377" s="88"/>
      <c r="AJ377" s="88"/>
    </row>
    <row r="378" spans="1:36" ht="15">
      <c r="A378" s="88" t="s">
        <v>332</v>
      </c>
      <c r="B378" s="88" t="s">
        <v>773</v>
      </c>
      <c r="C378" s="88" t="s">
        <v>7</v>
      </c>
      <c r="D378" s="88" t="s">
        <v>2131</v>
      </c>
      <c r="E378" s="88" t="s">
        <v>2132</v>
      </c>
      <c r="F378" s="88"/>
      <c r="G378" s="88"/>
      <c r="H378" s="88"/>
      <c r="I378" s="88"/>
      <c r="J378" s="88"/>
      <c r="K378" s="88"/>
      <c r="L378" s="88"/>
      <c r="M378" s="88"/>
      <c r="N378" s="88"/>
      <c r="O378" s="88"/>
      <c r="P378" s="88"/>
      <c r="Q378" s="88"/>
      <c r="R378" s="88"/>
      <c r="S378" s="88"/>
      <c r="T378" s="88"/>
      <c r="U378" s="88"/>
      <c r="V378" s="88"/>
      <c r="W378" s="88"/>
      <c r="X378" s="88"/>
      <c r="Y378" s="88"/>
      <c r="Z378" s="88"/>
      <c r="AA378" s="88"/>
      <c r="AB378" s="88"/>
      <c r="AC378" s="88"/>
      <c r="AD378" s="88"/>
      <c r="AE378" s="88"/>
      <c r="AF378" s="88"/>
      <c r="AG378" s="88"/>
      <c r="AH378" s="88"/>
      <c r="AI378" s="88"/>
      <c r="AJ378" s="88"/>
    </row>
    <row r="379" spans="1:36" ht="15">
      <c r="A379" s="88" t="s">
        <v>332</v>
      </c>
      <c r="B379" s="88" t="s">
        <v>794</v>
      </c>
      <c r="C379" s="88" t="s">
        <v>7</v>
      </c>
      <c r="D379" s="88" t="s">
        <v>2133</v>
      </c>
      <c r="E379" s="88" t="s">
        <v>2134</v>
      </c>
      <c r="F379" s="88"/>
      <c r="G379" s="88"/>
      <c r="H379" s="88"/>
      <c r="I379" s="88"/>
      <c r="J379" s="88"/>
      <c r="K379" s="88"/>
      <c r="L379" s="88"/>
      <c r="M379" s="88"/>
      <c r="N379" s="88"/>
      <c r="O379" s="88"/>
      <c r="P379" s="88"/>
      <c r="Q379" s="88"/>
      <c r="R379" s="88"/>
      <c r="S379" s="88"/>
      <c r="T379" s="88"/>
      <c r="U379" s="88"/>
      <c r="V379" s="88"/>
      <c r="W379" s="88"/>
      <c r="X379" s="88"/>
      <c r="Y379" s="88"/>
      <c r="Z379" s="88"/>
      <c r="AA379" s="88"/>
      <c r="AB379" s="88"/>
      <c r="AC379" s="88"/>
      <c r="AD379" s="88"/>
      <c r="AE379" s="88"/>
      <c r="AF379" s="88"/>
      <c r="AG379" s="88"/>
      <c r="AH379" s="88"/>
      <c r="AI379" s="88"/>
      <c r="AJ379" s="88"/>
    </row>
    <row r="380" spans="1:36" ht="15">
      <c r="A380" s="88" t="s">
        <v>332</v>
      </c>
      <c r="B380" s="88" t="s">
        <v>816</v>
      </c>
      <c r="C380" s="88" t="s">
        <v>7</v>
      </c>
      <c r="D380" s="88" t="s">
        <v>2135</v>
      </c>
      <c r="E380" s="88" t="s">
        <v>2136</v>
      </c>
      <c r="F380" s="88"/>
      <c r="G380" s="88"/>
      <c r="H380" s="88"/>
      <c r="I380" s="88"/>
      <c r="J380" s="88"/>
      <c r="K380" s="88"/>
      <c r="L380" s="88"/>
      <c r="M380" s="88"/>
      <c r="N380" s="88"/>
      <c r="O380" s="88"/>
      <c r="P380" s="88"/>
      <c r="Q380" s="88"/>
      <c r="R380" s="88"/>
      <c r="S380" s="88"/>
      <c r="T380" s="88"/>
      <c r="U380" s="88"/>
      <c r="V380" s="88"/>
      <c r="W380" s="88"/>
      <c r="X380" s="88"/>
      <c r="Y380" s="88"/>
      <c r="Z380" s="88"/>
      <c r="AA380" s="88"/>
      <c r="AB380" s="88"/>
      <c r="AC380" s="88"/>
      <c r="AD380" s="88"/>
      <c r="AE380" s="88"/>
      <c r="AF380" s="88"/>
      <c r="AG380" s="88"/>
      <c r="AH380" s="88"/>
      <c r="AI380" s="88"/>
      <c r="AJ380" s="88"/>
    </row>
    <row r="381" spans="1:36" ht="15">
      <c r="A381" s="88" t="s">
        <v>332</v>
      </c>
      <c r="B381" s="88" t="s">
        <v>837</v>
      </c>
      <c r="C381" s="88" t="s">
        <v>7</v>
      </c>
      <c r="D381" s="88" t="s">
        <v>2137</v>
      </c>
      <c r="E381" s="88" t="s">
        <v>2138</v>
      </c>
      <c r="F381" s="88"/>
      <c r="G381" s="88"/>
      <c r="H381" s="88"/>
      <c r="I381" s="88"/>
      <c r="J381" s="88"/>
      <c r="K381" s="88"/>
      <c r="L381" s="88"/>
      <c r="M381" s="88"/>
      <c r="N381" s="88"/>
      <c r="O381" s="88"/>
      <c r="P381" s="88"/>
      <c r="Q381" s="88"/>
      <c r="R381" s="88"/>
      <c r="S381" s="88"/>
      <c r="T381" s="88"/>
      <c r="U381" s="88"/>
      <c r="V381" s="88"/>
      <c r="W381" s="88"/>
      <c r="X381" s="88"/>
      <c r="Y381" s="88"/>
      <c r="Z381" s="88"/>
      <c r="AA381" s="88"/>
      <c r="AB381" s="88"/>
      <c r="AC381" s="88"/>
      <c r="AD381" s="88"/>
      <c r="AE381" s="88"/>
      <c r="AF381" s="88"/>
      <c r="AG381" s="88"/>
      <c r="AH381" s="88"/>
      <c r="AI381" s="88"/>
      <c r="AJ381" s="88"/>
    </row>
    <row r="382" spans="1:36" ht="15">
      <c r="A382" s="88" t="s">
        <v>332</v>
      </c>
      <c r="B382" s="88" t="s">
        <v>856</v>
      </c>
      <c r="C382" s="88" t="s">
        <v>7</v>
      </c>
      <c r="D382" s="88" t="s">
        <v>2139</v>
      </c>
      <c r="E382" s="88" t="s">
        <v>2140</v>
      </c>
      <c r="F382" s="88"/>
      <c r="G382" s="88"/>
      <c r="H382" s="88"/>
      <c r="I382" s="88"/>
      <c r="J382" s="88"/>
      <c r="K382" s="88"/>
      <c r="L382" s="88"/>
      <c r="M382" s="88"/>
      <c r="N382" s="88"/>
      <c r="O382" s="88"/>
      <c r="P382" s="88"/>
      <c r="Q382" s="88"/>
      <c r="R382" s="88"/>
      <c r="S382" s="88"/>
      <c r="T382" s="88"/>
      <c r="U382" s="88"/>
      <c r="V382" s="88"/>
      <c r="W382" s="88"/>
      <c r="X382" s="88"/>
      <c r="Y382" s="88"/>
      <c r="Z382" s="88"/>
      <c r="AA382" s="88"/>
      <c r="AB382" s="88"/>
      <c r="AC382" s="88"/>
      <c r="AD382" s="88"/>
      <c r="AE382" s="88"/>
      <c r="AF382" s="88"/>
      <c r="AG382" s="88"/>
      <c r="AH382" s="88"/>
      <c r="AI382" s="88"/>
      <c r="AJ382" s="88"/>
    </row>
    <row r="383" spans="1:36" ht="15">
      <c r="A383" s="88" t="s">
        <v>332</v>
      </c>
      <c r="B383" s="88" t="s">
        <v>877</v>
      </c>
      <c r="C383" s="88" t="s">
        <v>7</v>
      </c>
      <c r="D383" s="88" t="s">
        <v>2141</v>
      </c>
      <c r="E383" s="88" t="s">
        <v>2142</v>
      </c>
      <c r="F383" s="88"/>
      <c r="G383" s="88"/>
      <c r="H383" s="88"/>
      <c r="I383" s="88"/>
      <c r="J383" s="88"/>
      <c r="K383" s="88"/>
      <c r="L383" s="88"/>
      <c r="M383" s="88"/>
      <c r="N383" s="88"/>
      <c r="O383" s="88"/>
      <c r="P383" s="88"/>
      <c r="Q383" s="88"/>
      <c r="R383" s="88"/>
      <c r="S383" s="88"/>
      <c r="T383" s="88"/>
      <c r="U383" s="88"/>
      <c r="V383" s="88"/>
      <c r="W383" s="88"/>
      <c r="X383" s="88"/>
      <c r="Y383" s="88"/>
      <c r="Z383" s="88"/>
      <c r="AA383" s="88"/>
      <c r="AB383" s="88"/>
      <c r="AC383" s="88"/>
      <c r="AD383" s="88"/>
      <c r="AE383" s="88"/>
      <c r="AF383" s="88"/>
      <c r="AG383" s="88"/>
      <c r="AH383" s="88"/>
      <c r="AI383" s="88"/>
      <c r="AJ383" s="88"/>
    </row>
    <row r="384" spans="1:36" ht="15">
      <c r="A384" s="88" t="s">
        <v>332</v>
      </c>
      <c r="B384" s="88" t="s">
        <v>896</v>
      </c>
      <c r="C384" s="88" t="s">
        <v>7</v>
      </c>
      <c r="D384" s="88" t="s">
        <v>2143</v>
      </c>
      <c r="E384" s="88" t="s">
        <v>2144</v>
      </c>
      <c r="F384" s="88"/>
      <c r="G384" s="88"/>
      <c r="H384" s="88"/>
      <c r="I384" s="88"/>
      <c r="J384" s="88"/>
      <c r="K384" s="88"/>
      <c r="L384" s="88"/>
      <c r="M384" s="88"/>
      <c r="N384" s="88"/>
      <c r="O384" s="88"/>
      <c r="P384" s="88"/>
      <c r="Q384" s="88"/>
      <c r="R384" s="88"/>
      <c r="S384" s="88"/>
      <c r="T384" s="88"/>
      <c r="U384" s="88"/>
      <c r="V384" s="88"/>
      <c r="W384" s="88"/>
      <c r="X384" s="88"/>
      <c r="Y384" s="88"/>
      <c r="Z384" s="88"/>
      <c r="AA384" s="88"/>
      <c r="AB384" s="88"/>
      <c r="AC384" s="88"/>
      <c r="AD384" s="88"/>
      <c r="AE384" s="88"/>
      <c r="AF384" s="88"/>
      <c r="AG384" s="88"/>
      <c r="AH384" s="88"/>
      <c r="AI384" s="88"/>
      <c r="AJ384" s="88"/>
    </row>
    <row r="385" spans="1:36" ht="15">
      <c r="A385" s="88" t="s">
        <v>332</v>
      </c>
      <c r="B385" s="88" t="s">
        <v>915</v>
      </c>
      <c r="C385" s="88" t="s">
        <v>7</v>
      </c>
      <c r="D385" s="88" t="s">
        <v>2145</v>
      </c>
      <c r="E385" s="88" t="s">
        <v>2146</v>
      </c>
      <c r="F385" s="88"/>
      <c r="G385" s="88"/>
      <c r="H385" s="88"/>
      <c r="I385" s="88"/>
      <c r="J385" s="88"/>
      <c r="K385" s="88"/>
      <c r="L385" s="88"/>
      <c r="M385" s="88"/>
      <c r="N385" s="88"/>
      <c r="O385" s="88"/>
      <c r="P385" s="88"/>
      <c r="Q385" s="88"/>
      <c r="R385" s="88"/>
      <c r="S385" s="88"/>
      <c r="T385" s="88"/>
      <c r="U385" s="88"/>
      <c r="V385" s="88"/>
      <c r="W385" s="88"/>
      <c r="X385" s="88"/>
      <c r="Y385" s="88"/>
      <c r="Z385" s="88"/>
      <c r="AA385" s="88"/>
      <c r="AB385" s="88"/>
      <c r="AC385" s="88"/>
      <c r="AD385" s="88"/>
      <c r="AE385" s="88"/>
      <c r="AF385" s="88"/>
      <c r="AG385" s="88"/>
      <c r="AH385" s="88"/>
      <c r="AI385" s="88"/>
      <c r="AJ385" s="88"/>
    </row>
    <row r="386" spans="1:36" ht="15">
      <c r="A386" s="88" t="s">
        <v>332</v>
      </c>
      <c r="B386" s="88" t="s">
        <v>933</v>
      </c>
      <c r="C386" s="88" t="s">
        <v>7</v>
      </c>
      <c r="D386" s="88" t="s">
        <v>2147</v>
      </c>
      <c r="E386" s="88" t="s">
        <v>2148</v>
      </c>
      <c r="F386" s="88"/>
      <c r="G386" s="88"/>
      <c r="H386" s="88"/>
      <c r="I386" s="88"/>
      <c r="J386" s="88"/>
      <c r="K386" s="88"/>
      <c r="L386" s="88"/>
      <c r="M386" s="88"/>
      <c r="N386" s="88"/>
      <c r="O386" s="88"/>
      <c r="P386" s="88"/>
      <c r="Q386" s="88"/>
      <c r="R386" s="88"/>
      <c r="S386" s="88"/>
      <c r="T386" s="88"/>
      <c r="U386" s="88"/>
      <c r="V386" s="88"/>
      <c r="W386" s="88"/>
      <c r="X386" s="88"/>
      <c r="Y386" s="88"/>
      <c r="Z386" s="88"/>
      <c r="AA386" s="88"/>
      <c r="AB386" s="88"/>
      <c r="AC386" s="88"/>
      <c r="AD386" s="88"/>
      <c r="AE386" s="88"/>
      <c r="AF386" s="88"/>
      <c r="AG386" s="88"/>
      <c r="AH386" s="88"/>
      <c r="AI386" s="88"/>
      <c r="AJ386" s="88"/>
    </row>
    <row r="387" spans="1:36" ht="15">
      <c r="A387" s="88" t="s">
        <v>332</v>
      </c>
      <c r="B387" s="88" t="s">
        <v>950</v>
      </c>
      <c r="C387" s="88" t="s">
        <v>7</v>
      </c>
      <c r="D387" s="88" t="s">
        <v>2149</v>
      </c>
      <c r="E387" s="88" t="s">
        <v>2150</v>
      </c>
      <c r="F387" s="88"/>
      <c r="G387" s="88"/>
      <c r="H387" s="88"/>
      <c r="I387" s="88"/>
      <c r="J387" s="88"/>
      <c r="K387" s="88"/>
      <c r="L387" s="88"/>
      <c r="M387" s="88"/>
      <c r="N387" s="88"/>
      <c r="O387" s="88"/>
      <c r="P387" s="88"/>
      <c r="Q387" s="88"/>
      <c r="R387" s="88"/>
      <c r="S387" s="88"/>
      <c r="T387" s="88"/>
      <c r="U387" s="88"/>
      <c r="V387" s="88"/>
      <c r="W387" s="88"/>
      <c r="X387" s="88"/>
      <c r="Y387" s="88"/>
      <c r="Z387" s="88"/>
      <c r="AA387" s="88"/>
      <c r="AB387" s="88"/>
      <c r="AC387" s="88"/>
      <c r="AD387" s="88"/>
      <c r="AE387" s="88"/>
      <c r="AF387" s="88"/>
      <c r="AG387" s="88"/>
      <c r="AH387" s="88"/>
      <c r="AI387" s="88"/>
      <c r="AJ387" s="88"/>
    </row>
    <row r="388" spans="1:36" ht="15">
      <c r="A388" s="88" t="s">
        <v>332</v>
      </c>
      <c r="B388" s="88" t="s">
        <v>968</v>
      </c>
      <c r="C388" s="88" t="s">
        <v>7</v>
      </c>
      <c r="D388" s="88" t="s">
        <v>2151</v>
      </c>
      <c r="E388" s="88" t="s">
        <v>2152</v>
      </c>
      <c r="F388" s="88"/>
      <c r="G388" s="88"/>
      <c r="H388" s="88"/>
      <c r="I388" s="88"/>
      <c r="J388" s="88"/>
      <c r="K388" s="88"/>
      <c r="L388" s="88"/>
      <c r="M388" s="88"/>
      <c r="N388" s="88"/>
      <c r="O388" s="88"/>
      <c r="P388" s="88"/>
      <c r="Q388" s="88"/>
      <c r="R388" s="88"/>
      <c r="S388" s="88"/>
      <c r="T388" s="88"/>
      <c r="U388" s="88"/>
      <c r="V388" s="88"/>
      <c r="W388" s="88"/>
      <c r="X388" s="88"/>
      <c r="Y388" s="88"/>
      <c r="Z388" s="88"/>
      <c r="AA388" s="88"/>
      <c r="AB388" s="88"/>
      <c r="AC388" s="88"/>
      <c r="AD388" s="88"/>
      <c r="AE388" s="88"/>
      <c r="AF388" s="88"/>
      <c r="AG388" s="88"/>
      <c r="AH388" s="88"/>
      <c r="AI388" s="88"/>
      <c r="AJ388" s="88"/>
    </row>
    <row r="389" spans="1:36" ht="15">
      <c r="A389" s="88" t="s">
        <v>332</v>
      </c>
      <c r="B389" s="88" t="s">
        <v>986</v>
      </c>
      <c r="C389" s="88" t="s">
        <v>7</v>
      </c>
      <c r="D389" s="88" t="s">
        <v>2153</v>
      </c>
      <c r="E389" s="88" t="s">
        <v>2154</v>
      </c>
      <c r="F389" s="88"/>
      <c r="G389" s="88"/>
      <c r="H389" s="88"/>
      <c r="I389" s="88"/>
      <c r="J389" s="88"/>
      <c r="K389" s="88"/>
      <c r="L389" s="88"/>
      <c r="M389" s="88"/>
      <c r="N389" s="88"/>
      <c r="O389" s="88"/>
      <c r="P389" s="88"/>
      <c r="Q389" s="88"/>
      <c r="R389" s="88"/>
      <c r="S389" s="88"/>
      <c r="T389" s="88"/>
      <c r="U389" s="88"/>
      <c r="V389" s="88"/>
      <c r="W389" s="88"/>
      <c r="X389" s="88"/>
      <c r="Y389" s="88"/>
      <c r="Z389" s="88"/>
      <c r="AA389" s="88"/>
      <c r="AB389" s="88"/>
      <c r="AC389" s="88"/>
      <c r="AD389" s="88"/>
      <c r="AE389" s="88"/>
      <c r="AF389" s="88"/>
      <c r="AG389" s="88"/>
      <c r="AH389" s="88"/>
      <c r="AI389" s="88"/>
      <c r="AJ389" s="88"/>
    </row>
    <row r="390" spans="1:36" ht="15">
      <c r="A390" s="88" t="s">
        <v>332</v>
      </c>
      <c r="B390" s="88" t="s">
        <v>1003</v>
      </c>
      <c r="C390" s="88" t="s">
        <v>7</v>
      </c>
      <c r="D390" s="88" t="s">
        <v>2155</v>
      </c>
      <c r="E390" s="88" t="s">
        <v>2156</v>
      </c>
      <c r="F390" s="88"/>
      <c r="G390" s="88"/>
      <c r="H390" s="88"/>
      <c r="I390" s="88"/>
      <c r="J390" s="88"/>
      <c r="K390" s="88"/>
      <c r="L390" s="88"/>
      <c r="M390" s="88"/>
      <c r="N390" s="88"/>
      <c r="O390" s="88"/>
      <c r="P390" s="88"/>
      <c r="Q390" s="88"/>
      <c r="R390" s="88"/>
      <c r="S390" s="88"/>
      <c r="T390" s="88"/>
      <c r="U390" s="88"/>
      <c r="V390" s="88"/>
      <c r="W390" s="88"/>
      <c r="X390" s="88"/>
      <c r="Y390" s="88"/>
      <c r="Z390" s="88"/>
      <c r="AA390" s="88"/>
      <c r="AB390" s="88"/>
      <c r="AC390" s="88"/>
      <c r="AD390" s="88"/>
      <c r="AE390" s="88"/>
      <c r="AF390" s="88"/>
      <c r="AG390" s="88"/>
      <c r="AH390" s="88"/>
      <c r="AI390" s="88"/>
      <c r="AJ390" s="88"/>
    </row>
    <row r="391" spans="1:36" ht="15">
      <c r="A391" s="88" t="s">
        <v>332</v>
      </c>
      <c r="B391" s="88" t="s">
        <v>1017</v>
      </c>
      <c r="C391" s="88" t="s">
        <v>7</v>
      </c>
      <c r="D391" s="88" t="s">
        <v>2157</v>
      </c>
      <c r="E391" s="88" t="s">
        <v>2158</v>
      </c>
      <c r="F391" s="88"/>
      <c r="G391" s="88"/>
      <c r="H391" s="88"/>
      <c r="I391" s="88"/>
      <c r="J391" s="88"/>
      <c r="K391" s="88"/>
      <c r="L391" s="88"/>
      <c r="M391" s="88"/>
      <c r="N391" s="88"/>
      <c r="O391" s="88"/>
      <c r="P391" s="88"/>
      <c r="Q391" s="88"/>
      <c r="R391" s="88"/>
      <c r="S391" s="88"/>
      <c r="T391" s="88"/>
      <c r="U391" s="88"/>
      <c r="V391" s="88"/>
      <c r="W391" s="88"/>
      <c r="X391" s="88"/>
      <c r="Y391" s="88"/>
      <c r="Z391" s="88"/>
      <c r="AA391" s="88"/>
      <c r="AB391" s="88"/>
      <c r="AC391" s="88"/>
      <c r="AD391" s="88"/>
      <c r="AE391" s="88"/>
      <c r="AF391" s="88"/>
      <c r="AG391" s="88"/>
      <c r="AH391" s="88"/>
      <c r="AI391" s="88"/>
      <c r="AJ391" s="88"/>
    </row>
    <row r="392" spans="1:36" ht="15">
      <c r="A392" s="88" t="s">
        <v>332</v>
      </c>
      <c r="B392" s="88" t="s">
        <v>1033</v>
      </c>
      <c r="C392" s="88" t="s">
        <v>7</v>
      </c>
      <c r="D392" s="88" t="s">
        <v>2159</v>
      </c>
      <c r="E392" s="88" t="s">
        <v>2160</v>
      </c>
      <c r="F392" s="88"/>
      <c r="G392" s="88"/>
      <c r="H392" s="88"/>
      <c r="I392" s="88"/>
      <c r="J392" s="88"/>
      <c r="K392" s="88"/>
      <c r="L392" s="88"/>
      <c r="M392" s="88"/>
      <c r="N392" s="88"/>
      <c r="O392" s="88"/>
      <c r="P392" s="88"/>
      <c r="Q392" s="88"/>
      <c r="R392" s="88"/>
      <c r="S392" s="88"/>
      <c r="T392" s="88"/>
      <c r="U392" s="88"/>
      <c r="V392" s="88"/>
      <c r="W392" s="88"/>
      <c r="X392" s="88"/>
      <c r="Y392" s="88"/>
      <c r="Z392" s="88"/>
      <c r="AA392" s="88"/>
      <c r="AB392" s="88"/>
      <c r="AC392" s="88"/>
      <c r="AD392" s="88"/>
      <c r="AE392" s="88"/>
      <c r="AF392" s="88"/>
      <c r="AG392" s="88"/>
      <c r="AH392" s="88"/>
      <c r="AI392" s="88"/>
      <c r="AJ392" s="88"/>
    </row>
    <row r="393" spans="1:36" ht="15">
      <c r="A393" s="88" t="s">
        <v>332</v>
      </c>
      <c r="B393" s="88" t="s">
        <v>1049</v>
      </c>
      <c r="C393" s="88" t="s">
        <v>7</v>
      </c>
      <c r="D393" s="88" t="s">
        <v>2161</v>
      </c>
      <c r="E393" s="88" t="s">
        <v>2162</v>
      </c>
      <c r="F393" s="88"/>
      <c r="G393" s="88"/>
      <c r="H393" s="88"/>
      <c r="I393" s="88"/>
      <c r="J393" s="88"/>
      <c r="K393" s="88"/>
      <c r="L393" s="88"/>
      <c r="M393" s="88"/>
      <c r="N393" s="88"/>
      <c r="O393" s="88"/>
      <c r="P393" s="88"/>
      <c r="Q393" s="88"/>
      <c r="R393" s="88"/>
      <c r="S393" s="88"/>
      <c r="T393" s="88"/>
      <c r="U393" s="88"/>
      <c r="V393" s="88"/>
      <c r="W393" s="88"/>
      <c r="X393" s="88"/>
      <c r="Y393" s="88"/>
      <c r="Z393" s="88"/>
      <c r="AA393" s="88"/>
      <c r="AB393" s="88"/>
      <c r="AC393" s="88"/>
      <c r="AD393" s="88"/>
      <c r="AE393" s="88"/>
      <c r="AF393" s="88"/>
      <c r="AG393" s="88"/>
      <c r="AH393" s="88"/>
      <c r="AI393" s="88"/>
      <c r="AJ393" s="88"/>
    </row>
    <row r="394" spans="1:36" ht="15">
      <c r="A394" s="88" t="s">
        <v>332</v>
      </c>
      <c r="B394" s="88" t="s">
        <v>1063</v>
      </c>
      <c r="C394" s="88" t="s">
        <v>7</v>
      </c>
      <c r="D394" s="88" t="s">
        <v>2163</v>
      </c>
      <c r="E394" s="88" t="s">
        <v>2164</v>
      </c>
      <c r="F394" s="88"/>
      <c r="G394" s="88"/>
      <c r="H394" s="88"/>
      <c r="I394" s="88"/>
      <c r="J394" s="88"/>
      <c r="K394" s="88"/>
      <c r="L394" s="88"/>
      <c r="M394" s="88"/>
      <c r="N394" s="88"/>
      <c r="O394" s="88"/>
      <c r="P394" s="88"/>
      <c r="Q394" s="88"/>
      <c r="R394" s="88"/>
      <c r="S394" s="88"/>
      <c r="T394" s="88"/>
      <c r="U394" s="88"/>
      <c r="V394" s="88"/>
      <c r="W394" s="88"/>
      <c r="X394" s="88"/>
      <c r="Y394" s="88"/>
      <c r="Z394" s="88"/>
      <c r="AA394" s="88"/>
      <c r="AB394" s="88"/>
      <c r="AC394" s="88"/>
      <c r="AD394" s="88"/>
      <c r="AE394" s="88"/>
      <c r="AF394" s="88"/>
      <c r="AG394" s="88"/>
      <c r="AH394" s="88"/>
      <c r="AI394" s="88"/>
      <c r="AJ394" s="88"/>
    </row>
    <row r="395" spans="1:36" ht="15">
      <c r="A395" s="88" t="s">
        <v>332</v>
      </c>
      <c r="B395" s="88" t="s">
        <v>1075</v>
      </c>
      <c r="C395" s="88" t="s">
        <v>7</v>
      </c>
      <c r="D395" s="88" t="s">
        <v>2165</v>
      </c>
      <c r="E395" s="88" t="s">
        <v>2166</v>
      </c>
      <c r="F395" s="88"/>
      <c r="G395" s="88"/>
      <c r="H395" s="88"/>
      <c r="I395" s="88"/>
      <c r="J395" s="88"/>
      <c r="K395" s="88"/>
      <c r="L395" s="88"/>
      <c r="M395" s="88"/>
      <c r="N395" s="88"/>
      <c r="O395" s="88"/>
      <c r="P395" s="88"/>
      <c r="Q395" s="88"/>
      <c r="R395" s="88"/>
      <c r="S395" s="88"/>
      <c r="T395" s="88"/>
      <c r="U395" s="88"/>
      <c r="V395" s="88"/>
      <c r="W395" s="88"/>
      <c r="X395" s="88"/>
      <c r="Y395" s="88"/>
      <c r="Z395" s="88"/>
      <c r="AA395" s="88"/>
      <c r="AB395" s="88"/>
      <c r="AC395" s="88"/>
      <c r="AD395" s="88"/>
      <c r="AE395" s="88"/>
      <c r="AF395" s="88"/>
      <c r="AG395" s="88"/>
      <c r="AH395" s="88"/>
      <c r="AI395" s="88"/>
      <c r="AJ395" s="88"/>
    </row>
    <row r="396" spans="1:36" ht="15">
      <c r="A396" s="88" t="s">
        <v>332</v>
      </c>
      <c r="B396" s="88" t="s">
        <v>1086</v>
      </c>
      <c r="C396" s="88" t="s">
        <v>7</v>
      </c>
      <c r="D396" s="88" t="s">
        <v>2167</v>
      </c>
      <c r="E396" s="88" t="s">
        <v>2168</v>
      </c>
      <c r="F396" s="88"/>
      <c r="G396" s="88"/>
      <c r="H396" s="88"/>
      <c r="I396" s="88"/>
      <c r="J396" s="88"/>
      <c r="K396" s="88"/>
      <c r="L396" s="88"/>
      <c r="M396" s="88"/>
      <c r="N396" s="88"/>
      <c r="O396" s="88"/>
      <c r="P396" s="88"/>
      <c r="Q396" s="88"/>
      <c r="R396" s="88"/>
      <c r="S396" s="88"/>
      <c r="T396" s="88"/>
      <c r="U396" s="88"/>
      <c r="V396" s="88"/>
      <c r="W396" s="88"/>
      <c r="X396" s="88"/>
      <c r="Y396" s="88"/>
      <c r="Z396" s="88"/>
      <c r="AA396" s="88"/>
      <c r="AB396" s="88"/>
      <c r="AC396" s="88"/>
      <c r="AD396" s="88"/>
      <c r="AE396" s="88"/>
      <c r="AF396" s="88"/>
      <c r="AG396" s="88"/>
      <c r="AH396" s="88"/>
      <c r="AI396" s="88"/>
      <c r="AJ396" s="88"/>
    </row>
    <row r="397" spans="1:36" ht="15">
      <c r="A397" s="88" t="s">
        <v>332</v>
      </c>
      <c r="B397" s="88" t="s">
        <v>1099</v>
      </c>
      <c r="C397" s="88" t="s">
        <v>7</v>
      </c>
      <c r="D397" s="88" t="s">
        <v>2169</v>
      </c>
      <c r="E397" s="88" t="s">
        <v>2170</v>
      </c>
      <c r="F397" s="88"/>
      <c r="G397" s="88"/>
      <c r="H397" s="88"/>
      <c r="I397" s="88"/>
      <c r="J397" s="88"/>
      <c r="K397" s="88"/>
      <c r="L397" s="88"/>
      <c r="M397" s="88"/>
      <c r="N397" s="88"/>
      <c r="O397" s="88"/>
      <c r="P397" s="88"/>
      <c r="Q397" s="88"/>
      <c r="R397" s="88"/>
      <c r="S397" s="88"/>
      <c r="T397" s="88"/>
      <c r="U397" s="88"/>
      <c r="V397" s="88"/>
      <c r="W397" s="88"/>
      <c r="X397" s="88"/>
      <c r="Y397" s="88"/>
      <c r="Z397" s="88"/>
      <c r="AA397" s="88"/>
      <c r="AB397" s="88"/>
      <c r="AC397" s="88"/>
      <c r="AD397" s="88"/>
      <c r="AE397" s="88"/>
      <c r="AF397" s="88"/>
      <c r="AG397" s="88"/>
      <c r="AH397" s="88"/>
      <c r="AI397" s="88"/>
      <c r="AJ397" s="88"/>
    </row>
    <row r="398" spans="1:36" ht="15">
      <c r="A398" s="88" t="s">
        <v>332</v>
      </c>
      <c r="B398" s="88" t="s">
        <v>1112</v>
      </c>
      <c r="C398" s="88" t="s">
        <v>7</v>
      </c>
      <c r="D398" s="88" t="s">
        <v>2171</v>
      </c>
      <c r="E398" s="88" t="s">
        <v>2172</v>
      </c>
      <c r="F398" s="88"/>
      <c r="G398" s="88"/>
      <c r="H398" s="88"/>
      <c r="I398" s="88"/>
      <c r="J398" s="88"/>
      <c r="K398" s="88"/>
      <c r="L398" s="88"/>
      <c r="M398" s="88"/>
      <c r="N398" s="88"/>
      <c r="O398" s="88"/>
      <c r="P398" s="88"/>
      <c r="Q398" s="88"/>
      <c r="R398" s="88"/>
      <c r="S398" s="88"/>
      <c r="T398" s="88"/>
      <c r="U398" s="88"/>
      <c r="V398" s="88"/>
      <c r="W398" s="88"/>
      <c r="X398" s="88"/>
      <c r="Y398" s="88"/>
      <c r="Z398" s="88"/>
      <c r="AA398" s="88"/>
      <c r="AB398" s="88"/>
      <c r="AC398" s="88"/>
      <c r="AD398" s="88"/>
      <c r="AE398" s="88"/>
      <c r="AF398" s="88"/>
      <c r="AG398" s="88"/>
      <c r="AH398" s="88"/>
      <c r="AI398" s="88"/>
      <c r="AJ398" s="88"/>
    </row>
    <row r="399" spans="1:36" ht="15">
      <c r="A399" s="88" t="s">
        <v>332</v>
      </c>
      <c r="B399" s="88" t="s">
        <v>349</v>
      </c>
      <c r="C399" s="88" t="s">
        <v>7</v>
      </c>
      <c r="D399" s="88" t="s">
        <v>2173</v>
      </c>
      <c r="E399" s="88" t="s">
        <v>2174</v>
      </c>
      <c r="F399" s="88"/>
      <c r="G399" s="88"/>
      <c r="H399" s="88"/>
      <c r="I399" s="88"/>
      <c r="J399" s="88"/>
      <c r="K399" s="88"/>
      <c r="L399" s="88"/>
      <c r="M399" s="88"/>
      <c r="N399" s="88"/>
      <c r="O399" s="88"/>
      <c r="P399" s="88"/>
      <c r="Q399" s="88"/>
      <c r="R399" s="88"/>
      <c r="S399" s="88"/>
      <c r="T399" s="88"/>
      <c r="U399" s="88"/>
      <c r="V399" s="88"/>
      <c r="W399" s="88"/>
      <c r="X399" s="88"/>
      <c r="Y399" s="88"/>
      <c r="Z399" s="88"/>
      <c r="AA399" s="88"/>
      <c r="AB399" s="88"/>
      <c r="AC399" s="88"/>
      <c r="AD399" s="88"/>
      <c r="AE399" s="88"/>
      <c r="AF399" s="88"/>
      <c r="AG399" s="88"/>
      <c r="AH399" s="88"/>
      <c r="AI399" s="88"/>
      <c r="AJ399" s="88"/>
    </row>
    <row r="400" spans="1:36" ht="15">
      <c r="A400" s="88" t="s">
        <v>332</v>
      </c>
      <c r="B400" s="88" t="s">
        <v>1134</v>
      </c>
      <c r="C400" s="88" t="s">
        <v>7</v>
      </c>
      <c r="D400" s="88" t="s">
        <v>2175</v>
      </c>
      <c r="E400" s="88" t="s">
        <v>2176</v>
      </c>
      <c r="F400" s="88"/>
      <c r="G400" s="88"/>
      <c r="H400" s="88"/>
      <c r="I400" s="88"/>
      <c r="J400" s="88"/>
      <c r="K400" s="88"/>
      <c r="L400" s="88"/>
      <c r="M400" s="88"/>
      <c r="N400" s="88"/>
      <c r="O400" s="88"/>
      <c r="P400" s="88"/>
      <c r="Q400" s="88"/>
      <c r="R400" s="88"/>
      <c r="S400" s="88"/>
      <c r="T400" s="88"/>
      <c r="U400" s="88"/>
      <c r="V400" s="88"/>
      <c r="W400" s="88"/>
      <c r="X400" s="88"/>
      <c r="Y400" s="88"/>
      <c r="Z400" s="88"/>
      <c r="AA400" s="88"/>
      <c r="AB400" s="88"/>
      <c r="AC400" s="88"/>
      <c r="AD400" s="88"/>
      <c r="AE400" s="88"/>
      <c r="AF400" s="88"/>
      <c r="AG400" s="88"/>
      <c r="AH400" s="88"/>
      <c r="AI400" s="88"/>
      <c r="AJ400" s="88"/>
    </row>
    <row r="401" spans="1:36" ht="15">
      <c r="A401" s="88" t="s">
        <v>332</v>
      </c>
      <c r="B401" s="88" t="s">
        <v>1144</v>
      </c>
      <c r="C401" s="88" t="s">
        <v>7</v>
      </c>
      <c r="D401" s="88" t="s">
        <v>2177</v>
      </c>
      <c r="E401" s="88" t="s">
        <v>2178</v>
      </c>
      <c r="F401" s="88"/>
      <c r="G401" s="88"/>
      <c r="H401" s="88"/>
      <c r="I401" s="88"/>
      <c r="J401" s="88"/>
      <c r="K401" s="88"/>
      <c r="L401" s="88"/>
      <c r="M401" s="88"/>
      <c r="N401" s="88"/>
      <c r="O401" s="88"/>
      <c r="P401" s="88"/>
      <c r="Q401" s="88"/>
      <c r="R401" s="88"/>
      <c r="S401" s="88"/>
      <c r="T401" s="88"/>
      <c r="U401" s="88"/>
      <c r="V401" s="88"/>
      <c r="W401" s="88"/>
      <c r="X401" s="88"/>
      <c r="Y401" s="88"/>
      <c r="Z401" s="88"/>
      <c r="AA401" s="88"/>
      <c r="AB401" s="88"/>
      <c r="AC401" s="88"/>
      <c r="AD401" s="88"/>
      <c r="AE401" s="88"/>
      <c r="AF401" s="88"/>
      <c r="AG401" s="88"/>
      <c r="AH401" s="88"/>
      <c r="AI401" s="88"/>
      <c r="AJ401" s="88"/>
    </row>
    <row r="402" spans="1:36" ht="15">
      <c r="A402" s="88" t="s">
        <v>332</v>
      </c>
      <c r="B402" s="88" t="s">
        <v>1156</v>
      </c>
      <c r="C402" s="88" t="s">
        <v>7</v>
      </c>
      <c r="D402" s="88" t="s">
        <v>2179</v>
      </c>
      <c r="E402" s="88" t="s">
        <v>2180</v>
      </c>
      <c r="F402" s="88"/>
      <c r="G402" s="88"/>
      <c r="H402" s="88"/>
      <c r="I402" s="88"/>
      <c r="J402" s="88"/>
      <c r="K402" s="88"/>
      <c r="L402" s="88"/>
      <c r="M402" s="88"/>
      <c r="N402" s="88"/>
      <c r="O402" s="88"/>
      <c r="P402" s="88"/>
      <c r="Q402" s="88"/>
      <c r="R402" s="88"/>
      <c r="S402" s="88"/>
      <c r="T402" s="88"/>
      <c r="U402" s="88"/>
      <c r="V402" s="88"/>
      <c r="W402" s="88"/>
      <c r="X402" s="88"/>
      <c r="Y402" s="88"/>
      <c r="Z402" s="88"/>
      <c r="AA402" s="88"/>
      <c r="AB402" s="88"/>
      <c r="AC402" s="88"/>
      <c r="AD402" s="88"/>
      <c r="AE402" s="88"/>
      <c r="AF402" s="88"/>
      <c r="AG402" s="88"/>
      <c r="AH402" s="88"/>
      <c r="AI402" s="88"/>
      <c r="AJ402" s="88"/>
    </row>
    <row r="403" spans="1:36" ht="15">
      <c r="A403" s="88" t="s">
        <v>332</v>
      </c>
      <c r="B403" s="88" t="s">
        <v>1167</v>
      </c>
      <c r="C403" s="88" t="s">
        <v>7</v>
      </c>
      <c r="D403" s="88" t="s">
        <v>2181</v>
      </c>
      <c r="E403" s="88" t="s">
        <v>2182</v>
      </c>
      <c r="F403" s="88"/>
      <c r="G403" s="88"/>
      <c r="H403" s="88"/>
      <c r="I403" s="88"/>
      <c r="J403" s="88"/>
      <c r="K403" s="88"/>
      <c r="L403" s="88"/>
      <c r="M403" s="88"/>
      <c r="N403" s="88"/>
      <c r="O403" s="88"/>
      <c r="P403" s="88"/>
      <c r="Q403" s="88"/>
      <c r="R403" s="88"/>
      <c r="S403" s="88"/>
      <c r="T403" s="88"/>
      <c r="U403" s="88"/>
      <c r="V403" s="88"/>
      <c r="W403" s="88"/>
      <c r="X403" s="88"/>
      <c r="Y403" s="88"/>
      <c r="Z403" s="88"/>
      <c r="AA403" s="88"/>
      <c r="AB403" s="88"/>
      <c r="AC403" s="88"/>
      <c r="AD403" s="88"/>
      <c r="AE403" s="88"/>
      <c r="AF403" s="88"/>
      <c r="AG403" s="88"/>
      <c r="AH403" s="88"/>
      <c r="AI403" s="88"/>
      <c r="AJ403" s="88"/>
    </row>
    <row r="404" spans="1:36" ht="15">
      <c r="A404" s="88" t="s">
        <v>332</v>
      </c>
      <c r="B404" s="88" t="s">
        <v>1178</v>
      </c>
      <c r="C404" s="88" t="s">
        <v>7</v>
      </c>
      <c r="D404" s="88" t="s">
        <v>2183</v>
      </c>
      <c r="E404" s="88" t="s">
        <v>2184</v>
      </c>
      <c r="F404" s="88"/>
      <c r="G404" s="88"/>
      <c r="H404" s="88"/>
      <c r="I404" s="88"/>
      <c r="J404" s="88"/>
      <c r="K404" s="88"/>
      <c r="L404" s="88"/>
      <c r="M404" s="88"/>
      <c r="N404" s="88"/>
      <c r="O404" s="88"/>
      <c r="P404" s="88"/>
      <c r="Q404" s="88"/>
      <c r="R404" s="88"/>
      <c r="S404" s="88"/>
      <c r="T404" s="88"/>
      <c r="U404" s="88"/>
      <c r="V404" s="88"/>
      <c r="W404" s="88"/>
      <c r="X404" s="88"/>
      <c r="Y404" s="88"/>
      <c r="Z404" s="88"/>
      <c r="AA404" s="88"/>
      <c r="AB404" s="88"/>
      <c r="AC404" s="88"/>
      <c r="AD404" s="88"/>
      <c r="AE404" s="88"/>
      <c r="AF404" s="88"/>
      <c r="AG404" s="88"/>
      <c r="AH404" s="88"/>
      <c r="AI404" s="88"/>
      <c r="AJ404" s="88"/>
    </row>
    <row r="405" spans="1:36" ht="15">
      <c r="A405" s="88" t="s">
        <v>333</v>
      </c>
      <c r="B405" s="88" t="s">
        <v>365</v>
      </c>
      <c r="C405" s="88" t="s">
        <v>7</v>
      </c>
      <c r="D405" s="88" t="s">
        <v>2185</v>
      </c>
      <c r="E405" s="88" t="s">
        <v>2186</v>
      </c>
      <c r="F405" s="88"/>
      <c r="G405" s="88"/>
      <c r="H405" s="88"/>
      <c r="I405" s="88"/>
      <c r="J405" s="88"/>
      <c r="K405" s="88"/>
      <c r="L405" s="88"/>
      <c r="M405" s="88"/>
      <c r="N405" s="88"/>
      <c r="O405" s="88"/>
      <c r="P405" s="88"/>
      <c r="Q405" s="88"/>
      <c r="R405" s="88"/>
      <c r="S405" s="88"/>
      <c r="T405" s="88"/>
      <c r="U405" s="88"/>
      <c r="V405" s="88"/>
      <c r="W405" s="88"/>
      <c r="X405" s="88"/>
      <c r="Y405" s="88"/>
      <c r="Z405" s="88"/>
      <c r="AA405" s="88"/>
      <c r="AB405" s="88"/>
      <c r="AC405" s="88"/>
      <c r="AD405" s="88"/>
      <c r="AE405" s="88"/>
      <c r="AF405" s="88"/>
      <c r="AG405" s="88"/>
      <c r="AH405" s="88"/>
      <c r="AI405" s="88"/>
      <c r="AJ405" s="88"/>
    </row>
    <row r="406" spans="1:36" ht="15">
      <c r="A406" s="88" t="s">
        <v>333</v>
      </c>
      <c r="B406" s="88" t="s">
        <v>397</v>
      </c>
      <c r="C406" s="88" t="s">
        <v>7</v>
      </c>
      <c r="D406" s="88" t="s">
        <v>2187</v>
      </c>
      <c r="E406" s="88" t="s">
        <v>2188</v>
      </c>
      <c r="F406" s="88"/>
      <c r="G406" s="88"/>
      <c r="H406" s="88"/>
      <c r="I406" s="88"/>
      <c r="J406" s="88"/>
      <c r="K406" s="88"/>
      <c r="L406" s="88"/>
      <c r="M406" s="88"/>
      <c r="N406" s="88"/>
      <c r="O406" s="88"/>
      <c r="P406" s="88"/>
      <c r="Q406" s="88"/>
      <c r="R406" s="88"/>
      <c r="S406" s="88"/>
      <c r="T406" s="88"/>
      <c r="U406" s="88"/>
      <c r="V406" s="88"/>
      <c r="W406" s="88"/>
      <c r="X406" s="88"/>
      <c r="Y406" s="88"/>
      <c r="Z406" s="88"/>
      <c r="AA406" s="88"/>
      <c r="AB406" s="88"/>
      <c r="AC406" s="88"/>
      <c r="AD406" s="88"/>
      <c r="AE406" s="88"/>
      <c r="AF406" s="88"/>
      <c r="AG406" s="88"/>
      <c r="AH406" s="88"/>
      <c r="AI406" s="88"/>
      <c r="AJ406" s="88"/>
    </row>
    <row r="407" spans="1:36" ht="15">
      <c r="A407" s="88" t="s">
        <v>333</v>
      </c>
      <c r="B407" s="88" t="s">
        <v>427</v>
      </c>
      <c r="C407" s="88" t="s">
        <v>7</v>
      </c>
      <c r="D407" s="88" t="s">
        <v>2189</v>
      </c>
      <c r="E407" s="88" t="s">
        <v>2190</v>
      </c>
      <c r="F407" s="88"/>
      <c r="G407" s="88"/>
      <c r="H407" s="88"/>
      <c r="I407" s="88"/>
      <c r="J407" s="88"/>
      <c r="K407" s="88"/>
      <c r="L407" s="88"/>
      <c r="M407" s="88"/>
      <c r="N407" s="88"/>
      <c r="O407" s="88"/>
      <c r="P407" s="88"/>
      <c r="Q407" s="88"/>
      <c r="R407" s="88"/>
      <c r="S407" s="88"/>
      <c r="T407" s="88"/>
      <c r="U407" s="88"/>
      <c r="V407" s="88"/>
      <c r="W407" s="88"/>
      <c r="X407" s="88"/>
      <c r="Y407" s="88"/>
      <c r="Z407" s="88"/>
      <c r="AA407" s="88"/>
      <c r="AB407" s="88"/>
      <c r="AC407" s="88"/>
      <c r="AD407" s="88"/>
      <c r="AE407" s="88"/>
      <c r="AF407" s="88"/>
      <c r="AG407" s="88"/>
      <c r="AH407" s="88"/>
      <c r="AI407" s="88"/>
      <c r="AJ407" s="88"/>
    </row>
    <row r="408" spans="1:36" ht="15">
      <c r="A408" s="88" t="s">
        <v>333</v>
      </c>
      <c r="B408" s="88" t="s">
        <v>457</v>
      </c>
      <c r="C408" s="88" t="s">
        <v>7</v>
      </c>
      <c r="D408" s="88" t="s">
        <v>2191</v>
      </c>
      <c r="E408" s="88" t="s">
        <v>2192</v>
      </c>
      <c r="F408" s="88"/>
      <c r="G408" s="88"/>
      <c r="H408" s="88"/>
      <c r="I408" s="88"/>
      <c r="J408" s="88"/>
      <c r="K408" s="88"/>
      <c r="L408" s="88"/>
      <c r="M408" s="88"/>
      <c r="N408" s="88"/>
      <c r="O408" s="88"/>
      <c r="P408" s="88"/>
      <c r="Q408" s="88"/>
      <c r="R408" s="88"/>
      <c r="S408" s="88"/>
      <c r="T408" s="88"/>
      <c r="U408" s="88"/>
      <c r="V408" s="88"/>
      <c r="W408" s="88"/>
      <c r="X408" s="88"/>
      <c r="Y408" s="88"/>
      <c r="Z408" s="88"/>
      <c r="AA408" s="88"/>
      <c r="AB408" s="88"/>
      <c r="AC408" s="88"/>
      <c r="AD408" s="88"/>
      <c r="AE408" s="88"/>
      <c r="AF408" s="88"/>
      <c r="AG408" s="88"/>
      <c r="AH408" s="88"/>
      <c r="AI408" s="88"/>
      <c r="AJ408" s="88"/>
    </row>
    <row r="409" spans="1:36" ht="15">
      <c r="A409" s="88" t="s">
        <v>333</v>
      </c>
      <c r="B409" s="88" t="s">
        <v>489</v>
      </c>
      <c r="C409" s="88" t="s">
        <v>7</v>
      </c>
      <c r="D409" s="88" t="s">
        <v>2193</v>
      </c>
      <c r="E409" s="88" t="s">
        <v>2194</v>
      </c>
      <c r="F409" s="88"/>
      <c r="G409" s="88"/>
      <c r="H409" s="88"/>
      <c r="I409" s="88"/>
      <c r="J409" s="88"/>
      <c r="K409" s="88"/>
      <c r="L409" s="88"/>
      <c r="M409" s="88"/>
      <c r="N409" s="88"/>
      <c r="O409" s="88"/>
      <c r="P409" s="88"/>
      <c r="Q409" s="88"/>
      <c r="R409" s="88"/>
      <c r="S409" s="88"/>
      <c r="T409" s="88"/>
      <c r="U409" s="88"/>
      <c r="V409" s="88"/>
      <c r="W409" s="88"/>
      <c r="X409" s="88"/>
      <c r="Y409" s="88"/>
      <c r="Z409" s="88"/>
      <c r="AA409" s="88"/>
      <c r="AB409" s="88"/>
      <c r="AC409" s="88"/>
      <c r="AD409" s="88"/>
      <c r="AE409" s="88"/>
      <c r="AF409" s="88"/>
      <c r="AG409" s="88"/>
      <c r="AH409" s="88"/>
      <c r="AI409" s="88"/>
      <c r="AJ409" s="88"/>
    </row>
    <row r="410" spans="1:36" ht="15">
      <c r="A410" s="88" t="s">
        <v>333</v>
      </c>
      <c r="B410" s="88" t="s">
        <v>518</v>
      </c>
      <c r="C410" s="88" t="s">
        <v>7</v>
      </c>
      <c r="D410" s="88" t="s">
        <v>2195</v>
      </c>
      <c r="E410" s="88" t="s">
        <v>2196</v>
      </c>
      <c r="F410" s="88"/>
      <c r="G410" s="88"/>
      <c r="H410" s="88"/>
      <c r="I410" s="88"/>
      <c r="J410" s="88"/>
      <c r="K410" s="88"/>
      <c r="L410" s="88"/>
      <c r="M410" s="88"/>
      <c r="N410" s="88"/>
      <c r="O410" s="88"/>
      <c r="P410" s="88"/>
      <c r="Q410" s="88"/>
      <c r="R410" s="88"/>
      <c r="S410" s="88"/>
      <c r="T410" s="88"/>
      <c r="U410" s="88"/>
      <c r="V410" s="88"/>
      <c r="W410" s="88"/>
      <c r="X410" s="88"/>
      <c r="Y410" s="88"/>
      <c r="Z410" s="88"/>
      <c r="AA410" s="88"/>
      <c r="AB410" s="88"/>
      <c r="AC410" s="88"/>
      <c r="AD410" s="88"/>
      <c r="AE410" s="88"/>
      <c r="AF410" s="88"/>
      <c r="AG410" s="88"/>
      <c r="AH410" s="88"/>
      <c r="AI410" s="88"/>
      <c r="AJ410" s="88"/>
    </row>
    <row r="411" spans="1:36" ht="15">
      <c r="A411" s="88" t="s">
        <v>333</v>
      </c>
      <c r="B411" s="88" t="s">
        <v>548</v>
      </c>
      <c r="C411" s="88" t="s">
        <v>7</v>
      </c>
      <c r="D411" s="88" t="s">
        <v>2197</v>
      </c>
      <c r="E411" s="88" t="s">
        <v>2198</v>
      </c>
      <c r="F411" s="88"/>
      <c r="G411" s="88"/>
      <c r="H411" s="88"/>
      <c r="I411" s="88"/>
      <c r="J411" s="88"/>
      <c r="K411" s="88"/>
      <c r="L411" s="88"/>
      <c r="M411" s="88"/>
      <c r="N411" s="88"/>
      <c r="O411" s="88"/>
      <c r="P411" s="88"/>
      <c r="Q411" s="88"/>
      <c r="R411" s="88"/>
      <c r="S411" s="88"/>
      <c r="T411" s="88"/>
      <c r="U411" s="88"/>
      <c r="V411" s="88"/>
      <c r="W411" s="88"/>
      <c r="X411" s="88"/>
      <c r="Y411" s="88"/>
      <c r="Z411" s="88"/>
      <c r="AA411" s="88"/>
      <c r="AB411" s="88"/>
      <c r="AC411" s="88"/>
      <c r="AD411" s="88"/>
      <c r="AE411" s="88"/>
      <c r="AF411" s="88"/>
      <c r="AG411" s="88"/>
      <c r="AH411" s="88"/>
      <c r="AI411" s="88"/>
      <c r="AJ411" s="88"/>
    </row>
    <row r="412" spans="1:36" ht="15">
      <c r="A412" s="88" t="s">
        <v>333</v>
      </c>
      <c r="B412" s="88" t="s">
        <v>575</v>
      </c>
      <c r="C412" s="88" t="s">
        <v>7</v>
      </c>
      <c r="D412" s="88" t="s">
        <v>2199</v>
      </c>
      <c r="E412" s="88" t="s">
        <v>2200</v>
      </c>
      <c r="F412" s="88"/>
      <c r="G412" s="88"/>
      <c r="H412" s="88"/>
      <c r="I412" s="88"/>
      <c r="J412" s="88"/>
      <c r="K412" s="88"/>
      <c r="L412" s="88"/>
      <c r="M412" s="88"/>
      <c r="N412" s="88"/>
      <c r="O412" s="88"/>
      <c r="P412" s="88"/>
      <c r="Q412" s="88"/>
      <c r="R412" s="88"/>
      <c r="S412" s="88"/>
      <c r="T412" s="88"/>
      <c r="U412" s="88"/>
      <c r="V412" s="88"/>
      <c r="W412" s="88"/>
      <c r="X412" s="88"/>
      <c r="Y412" s="88"/>
      <c r="Z412" s="88"/>
      <c r="AA412" s="88"/>
      <c r="AB412" s="88"/>
      <c r="AC412" s="88"/>
      <c r="AD412" s="88"/>
      <c r="AE412" s="88"/>
      <c r="AF412" s="88"/>
      <c r="AG412" s="88"/>
      <c r="AH412" s="88"/>
      <c r="AI412" s="88"/>
      <c r="AJ412" s="88"/>
    </row>
    <row r="413" spans="1:36" ht="15">
      <c r="A413" s="88" t="s">
        <v>333</v>
      </c>
      <c r="B413" s="88" t="s">
        <v>603</v>
      </c>
      <c r="C413" s="88" t="s">
        <v>7</v>
      </c>
      <c r="D413" s="88" t="s">
        <v>2201</v>
      </c>
      <c r="E413" s="88" t="s">
        <v>2202</v>
      </c>
      <c r="F413" s="88"/>
      <c r="G413" s="88"/>
      <c r="H413" s="88"/>
      <c r="I413" s="88"/>
      <c r="J413" s="88"/>
      <c r="K413" s="88"/>
      <c r="L413" s="88"/>
      <c r="M413" s="88"/>
      <c r="N413" s="88"/>
      <c r="O413" s="88"/>
      <c r="P413" s="88"/>
      <c r="Q413" s="88"/>
      <c r="R413" s="88"/>
      <c r="S413" s="88"/>
      <c r="T413" s="88"/>
      <c r="U413" s="88"/>
      <c r="V413" s="88"/>
      <c r="W413" s="88"/>
      <c r="X413" s="88"/>
      <c r="Y413" s="88"/>
      <c r="Z413" s="88"/>
      <c r="AA413" s="88"/>
      <c r="AB413" s="88"/>
      <c r="AC413" s="88"/>
      <c r="AD413" s="88"/>
      <c r="AE413" s="88"/>
      <c r="AF413" s="88"/>
      <c r="AG413" s="88"/>
      <c r="AH413" s="88"/>
      <c r="AI413" s="88"/>
      <c r="AJ413" s="88"/>
    </row>
    <row r="414" spans="1:36" ht="15">
      <c r="A414" s="88" t="s">
        <v>333</v>
      </c>
      <c r="B414" s="88" t="s">
        <v>629</v>
      </c>
      <c r="C414" s="88" t="s">
        <v>7</v>
      </c>
      <c r="D414" s="88" t="s">
        <v>2203</v>
      </c>
      <c r="E414" s="88" t="s">
        <v>2204</v>
      </c>
      <c r="F414" s="88"/>
      <c r="G414" s="88"/>
      <c r="H414" s="88"/>
      <c r="I414" s="88"/>
      <c r="J414" s="88"/>
      <c r="K414" s="88"/>
      <c r="L414" s="88"/>
      <c r="M414" s="88"/>
      <c r="N414" s="88"/>
      <c r="O414" s="88"/>
      <c r="P414" s="88"/>
      <c r="Q414" s="88"/>
      <c r="R414" s="88"/>
      <c r="S414" s="88"/>
      <c r="T414" s="88"/>
      <c r="U414" s="88"/>
      <c r="V414" s="88"/>
      <c r="W414" s="88"/>
      <c r="X414" s="88"/>
      <c r="Y414" s="88"/>
      <c r="Z414" s="88"/>
      <c r="AA414" s="88"/>
      <c r="AB414" s="88"/>
      <c r="AC414" s="88"/>
      <c r="AD414" s="88"/>
      <c r="AE414" s="88"/>
      <c r="AF414" s="88"/>
      <c r="AG414" s="88"/>
      <c r="AH414" s="88"/>
      <c r="AI414" s="88"/>
      <c r="AJ414" s="88"/>
    </row>
    <row r="415" spans="1:36" ht="15">
      <c r="A415" s="88" t="s">
        <v>333</v>
      </c>
      <c r="B415" s="88" t="s">
        <v>654</v>
      </c>
      <c r="C415" s="88" t="s">
        <v>7</v>
      </c>
      <c r="D415" s="88" t="s">
        <v>2205</v>
      </c>
      <c r="E415" s="88" t="s">
        <v>2206</v>
      </c>
      <c r="F415" s="88"/>
      <c r="G415" s="88"/>
      <c r="H415" s="88"/>
      <c r="I415" s="88"/>
      <c r="J415" s="88"/>
      <c r="K415" s="88"/>
      <c r="L415" s="88"/>
      <c r="M415" s="88"/>
      <c r="N415" s="88"/>
      <c r="O415" s="88"/>
      <c r="P415" s="88"/>
      <c r="Q415" s="88"/>
      <c r="R415" s="88"/>
      <c r="S415" s="88"/>
      <c r="T415" s="88"/>
      <c r="U415" s="88"/>
      <c r="V415" s="88"/>
      <c r="W415" s="88"/>
      <c r="X415" s="88"/>
      <c r="Y415" s="88"/>
      <c r="Z415" s="88"/>
      <c r="AA415" s="88"/>
      <c r="AB415" s="88"/>
      <c r="AC415" s="88"/>
      <c r="AD415" s="88"/>
      <c r="AE415" s="88"/>
      <c r="AF415" s="88"/>
      <c r="AG415" s="88"/>
      <c r="AH415" s="88"/>
      <c r="AI415" s="88"/>
      <c r="AJ415" s="88"/>
    </row>
    <row r="416" spans="1:36" ht="15">
      <c r="A416" s="88" t="s">
        <v>333</v>
      </c>
      <c r="B416" s="88" t="s">
        <v>680</v>
      </c>
      <c r="C416" s="88" t="s">
        <v>7</v>
      </c>
      <c r="D416" s="88" t="s">
        <v>2207</v>
      </c>
      <c r="E416" s="88" t="s">
        <v>2208</v>
      </c>
      <c r="F416" s="88"/>
      <c r="G416" s="88"/>
      <c r="H416" s="88"/>
      <c r="I416" s="88"/>
      <c r="J416" s="88"/>
      <c r="K416" s="88"/>
      <c r="L416" s="88"/>
      <c r="M416" s="88"/>
      <c r="N416" s="88"/>
      <c r="O416" s="88"/>
      <c r="P416" s="88"/>
      <c r="Q416" s="88"/>
      <c r="R416" s="88"/>
      <c r="S416" s="88"/>
      <c r="T416" s="88"/>
      <c r="U416" s="88"/>
      <c r="V416" s="88"/>
      <c r="W416" s="88"/>
      <c r="X416" s="88"/>
      <c r="Y416" s="88"/>
      <c r="Z416" s="88"/>
      <c r="AA416" s="88"/>
      <c r="AB416" s="88"/>
      <c r="AC416" s="88"/>
      <c r="AD416" s="88"/>
      <c r="AE416" s="88"/>
      <c r="AF416" s="88"/>
      <c r="AG416" s="88"/>
      <c r="AH416" s="88"/>
      <c r="AI416" s="88"/>
      <c r="AJ416" s="88"/>
    </row>
    <row r="417" spans="1:36" ht="15">
      <c r="A417" s="88" t="s">
        <v>333</v>
      </c>
      <c r="B417" s="88" t="s">
        <v>704</v>
      </c>
      <c r="C417" s="88" t="s">
        <v>7</v>
      </c>
      <c r="D417" s="88" t="s">
        <v>2209</v>
      </c>
      <c r="E417" s="88" t="s">
        <v>2210</v>
      </c>
      <c r="F417" s="88"/>
      <c r="G417" s="88"/>
      <c r="H417" s="88"/>
      <c r="I417" s="88"/>
      <c r="J417" s="88"/>
      <c r="K417" s="88"/>
      <c r="L417" s="88"/>
      <c r="M417" s="88"/>
      <c r="N417" s="88"/>
      <c r="O417" s="88"/>
      <c r="P417" s="88"/>
      <c r="Q417" s="88"/>
      <c r="R417" s="88"/>
      <c r="S417" s="88"/>
      <c r="T417" s="88"/>
      <c r="U417" s="88"/>
      <c r="V417" s="88"/>
      <c r="W417" s="88"/>
      <c r="X417" s="88"/>
      <c r="Y417" s="88"/>
      <c r="Z417" s="88"/>
      <c r="AA417" s="88"/>
      <c r="AB417" s="88"/>
      <c r="AC417" s="88"/>
      <c r="AD417" s="88"/>
      <c r="AE417" s="88"/>
      <c r="AF417" s="88"/>
      <c r="AG417" s="88"/>
      <c r="AH417" s="88"/>
      <c r="AI417" s="88"/>
      <c r="AJ417" s="88"/>
    </row>
    <row r="418" spans="1:36" ht="15">
      <c r="A418" s="88" t="s">
        <v>333</v>
      </c>
      <c r="B418" s="88" t="s">
        <v>727</v>
      </c>
      <c r="C418" s="88" t="s">
        <v>7</v>
      </c>
      <c r="D418" s="88" t="s">
        <v>2211</v>
      </c>
      <c r="E418" s="88" t="s">
        <v>2212</v>
      </c>
      <c r="F418" s="88"/>
      <c r="G418" s="88"/>
      <c r="H418" s="88"/>
      <c r="I418" s="88"/>
      <c r="J418" s="88"/>
      <c r="K418" s="88"/>
      <c r="L418" s="88"/>
      <c r="M418" s="88"/>
      <c r="N418" s="88"/>
      <c r="O418" s="88"/>
      <c r="P418" s="88"/>
      <c r="Q418" s="88"/>
      <c r="R418" s="88"/>
      <c r="S418" s="88"/>
      <c r="T418" s="88"/>
      <c r="U418" s="88"/>
      <c r="V418" s="88"/>
      <c r="W418" s="88"/>
      <c r="X418" s="88"/>
      <c r="Y418" s="88"/>
      <c r="Z418" s="88"/>
      <c r="AA418" s="88"/>
      <c r="AB418" s="88"/>
      <c r="AC418" s="88"/>
      <c r="AD418" s="88"/>
      <c r="AE418" s="88"/>
      <c r="AF418" s="88"/>
      <c r="AG418" s="88"/>
      <c r="AH418" s="88"/>
      <c r="AI418" s="88"/>
      <c r="AJ418" s="88"/>
    </row>
    <row r="419" spans="1:36" ht="15">
      <c r="A419" s="88" t="s">
        <v>333</v>
      </c>
      <c r="B419" s="88" t="s">
        <v>751</v>
      </c>
      <c r="C419" s="88" t="s">
        <v>7</v>
      </c>
      <c r="D419" s="88" t="s">
        <v>2213</v>
      </c>
      <c r="E419" s="88" t="s">
        <v>2214</v>
      </c>
      <c r="F419" s="88"/>
      <c r="G419" s="88"/>
      <c r="H419" s="88"/>
      <c r="I419" s="88"/>
      <c r="J419" s="88"/>
      <c r="K419" s="88"/>
      <c r="L419" s="88"/>
      <c r="M419" s="88"/>
      <c r="N419" s="88"/>
      <c r="O419" s="88"/>
      <c r="P419" s="88"/>
      <c r="Q419" s="88"/>
      <c r="R419" s="88"/>
      <c r="S419" s="88"/>
      <c r="T419" s="88"/>
      <c r="U419" s="88"/>
      <c r="V419" s="88"/>
      <c r="W419" s="88"/>
      <c r="X419" s="88"/>
      <c r="Y419" s="88"/>
      <c r="Z419" s="88"/>
      <c r="AA419" s="88"/>
      <c r="AB419" s="88"/>
      <c r="AC419" s="88"/>
      <c r="AD419" s="88"/>
      <c r="AE419" s="88"/>
      <c r="AF419" s="88"/>
      <c r="AG419" s="88"/>
      <c r="AH419" s="88"/>
      <c r="AI419" s="88"/>
      <c r="AJ419" s="88"/>
    </row>
    <row r="420" spans="1:36" ht="15">
      <c r="A420" s="88" t="s">
        <v>333</v>
      </c>
      <c r="B420" s="88" t="s">
        <v>774</v>
      </c>
      <c r="C420" s="88" t="s">
        <v>7</v>
      </c>
      <c r="D420" s="88" t="s">
        <v>2215</v>
      </c>
      <c r="E420" s="88" t="s">
        <v>2216</v>
      </c>
      <c r="F420" s="88"/>
      <c r="G420" s="88"/>
      <c r="H420" s="88"/>
      <c r="I420" s="88"/>
      <c r="J420" s="88"/>
      <c r="K420" s="88"/>
      <c r="L420" s="88"/>
      <c r="M420" s="88"/>
      <c r="N420" s="88"/>
      <c r="O420" s="88"/>
      <c r="P420" s="88"/>
      <c r="Q420" s="88"/>
      <c r="R420" s="88"/>
      <c r="S420" s="88"/>
      <c r="T420" s="88"/>
      <c r="U420" s="88"/>
      <c r="V420" s="88"/>
      <c r="W420" s="88"/>
      <c r="X420" s="88"/>
      <c r="Y420" s="88"/>
      <c r="Z420" s="88"/>
      <c r="AA420" s="88"/>
      <c r="AB420" s="88"/>
      <c r="AC420" s="88"/>
      <c r="AD420" s="88"/>
      <c r="AE420" s="88"/>
      <c r="AF420" s="88"/>
      <c r="AG420" s="88"/>
      <c r="AH420" s="88"/>
      <c r="AI420" s="88"/>
      <c r="AJ420" s="88"/>
    </row>
    <row r="421" spans="1:36" ht="15">
      <c r="A421" s="88" t="s">
        <v>333</v>
      </c>
      <c r="B421" s="88" t="s">
        <v>795</v>
      </c>
      <c r="C421" s="88" t="s">
        <v>7</v>
      </c>
      <c r="D421" s="88" t="s">
        <v>2217</v>
      </c>
      <c r="E421" s="88" t="s">
        <v>2218</v>
      </c>
      <c r="F421" s="88"/>
      <c r="G421" s="88"/>
      <c r="H421" s="88"/>
      <c r="I421" s="88"/>
      <c r="J421" s="88"/>
      <c r="K421" s="88"/>
      <c r="L421" s="88"/>
      <c r="M421" s="88"/>
      <c r="N421" s="88"/>
      <c r="O421" s="88"/>
      <c r="P421" s="88"/>
      <c r="Q421" s="88"/>
      <c r="R421" s="88"/>
      <c r="S421" s="88"/>
      <c r="T421" s="88"/>
      <c r="U421" s="88"/>
      <c r="V421" s="88"/>
      <c r="W421" s="88"/>
      <c r="X421" s="88"/>
      <c r="Y421" s="88"/>
      <c r="Z421" s="88"/>
      <c r="AA421" s="88"/>
      <c r="AB421" s="88"/>
      <c r="AC421" s="88"/>
      <c r="AD421" s="88"/>
      <c r="AE421" s="88"/>
      <c r="AF421" s="88"/>
      <c r="AG421" s="88"/>
      <c r="AH421" s="88"/>
      <c r="AI421" s="88"/>
      <c r="AJ421" s="88"/>
    </row>
    <row r="422" spans="1:36" ht="15">
      <c r="A422" s="88" t="s">
        <v>333</v>
      </c>
      <c r="B422" s="88" t="s">
        <v>817</v>
      </c>
      <c r="C422" s="88" t="s">
        <v>7</v>
      </c>
      <c r="D422" s="88" t="s">
        <v>2219</v>
      </c>
      <c r="E422" s="88" t="s">
        <v>2220</v>
      </c>
      <c r="F422" s="88"/>
      <c r="G422" s="88"/>
      <c r="H422" s="88"/>
      <c r="I422" s="88"/>
      <c r="J422" s="88"/>
      <c r="K422" s="88"/>
      <c r="L422" s="88"/>
      <c r="M422" s="88"/>
      <c r="N422" s="88"/>
      <c r="O422" s="88"/>
      <c r="P422" s="88"/>
      <c r="Q422" s="88"/>
      <c r="R422" s="88"/>
      <c r="S422" s="88"/>
      <c r="T422" s="88"/>
      <c r="U422" s="88"/>
      <c r="V422" s="88"/>
      <c r="W422" s="88"/>
      <c r="X422" s="88"/>
      <c r="Y422" s="88"/>
      <c r="Z422" s="88"/>
      <c r="AA422" s="88"/>
      <c r="AB422" s="88"/>
      <c r="AC422" s="88"/>
      <c r="AD422" s="88"/>
      <c r="AE422" s="88"/>
      <c r="AF422" s="88"/>
      <c r="AG422" s="88"/>
      <c r="AH422" s="88"/>
      <c r="AI422" s="88"/>
      <c r="AJ422" s="88"/>
    </row>
    <row r="423" spans="1:36" ht="15">
      <c r="A423" s="88" t="s">
        <v>333</v>
      </c>
      <c r="B423" s="88" t="s">
        <v>838</v>
      </c>
      <c r="C423" s="88" t="s">
        <v>7</v>
      </c>
      <c r="D423" s="88" t="s">
        <v>2221</v>
      </c>
      <c r="E423" s="88" t="s">
        <v>2222</v>
      </c>
      <c r="F423" s="88"/>
      <c r="G423" s="88"/>
      <c r="H423" s="88"/>
      <c r="I423" s="88"/>
      <c r="J423" s="88"/>
      <c r="K423" s="88"/>
      <c r="L423" s="88"/>
      <c r="M423" s="88"/>
      <c r="N423" s="88"/>
      <c r="O423" s="88"/>
      <c r="P423" s="88"/>
      <c r="Q423" s="88"/>
      <c r="R423" s="88"/>
      <c r="S423" s="88"/>
      <c r="T423" s="88"/>
      <c r="U423" s="88"/>
      <c r="V423" s="88"/>
      <c r="W423" s="88"/>
      <c r="X423" s="88"/>
      <c r="Y423" s="88"/>
      <c r="Z423" s="88"/>
      <c r="AA423" s="88"/>
      <c r="AB423" s="88"/>
      <c r="AC423" s="88"/>
      <c r="AD423" s="88"/>
      <c r="AE423" s="88"/>
      <c r="AF423" s="88"/>
      <c r="AG423" s="88"/>
      <c r="AH423" s="88"/>
      <c r="AI423" s="88"/>
      <c r="AJ423" s="88"/>
    </row>
    <row r="424" spans="1:36" ht="15">
      <c r="A424" s="88" t="s">
        <v>333</v>
      </c>
      <c r="B424" s="88" t="s">
        <v>857</v>
      </c>
      <c r="C424" s="88" t="s">
        <v>7</v>
      </c>
      <c r="D424" s="88" t="s">
        <v>2223</v>
      </c>
      <c r="E424" s="88" t="s">
        <v>2224</v>
      </c>
      <c r="F424" s="88"/>
      <c r="G424" s="88"/>
      <c r="H424" s="88"/>
      <c r="I424" s="88"/>
      <c r="J424" s="88"/>
      <c r="K424" s="88"/>
      <c r="L424" s="88"/>
      <c r="M424" s="88"/>
      <c r="N424" s="88"/>
      <c r="O424" s="88"/>
      <c r="P424" s="88"/>
      <c r="Q424" s="88"/>
      <c r="R424" s="88"/>
      <c r="S424" s="88"/>
      <c r="T424" s="88"/>
      <c r="U424" s="88"/>
      <c r="V424" s="88"/>
      <c r="W424" s="88"/>
      <c r="X424" s="88"/>
      <c r="Y424" s="88"/>
      <c r="Z424" s="88"/>
      <c r="AA424" s="88"/>
      <c r="AB424" s="88"/>
      <c r="AC424" s="88"/>
      <c r="AD424" s="88"/>
      <c r="AE424" s="88"/>
      <c r="AF424" s="88"/>
      <c r="AG424" s="88"/>
      <c r="AH424" s="88"/>
      <c r="AI424" s="88"/>
      <c r="AJ424" s="88"/>
    </row>
    <row r="425" spans="1:36" ht="15">
      <c r="A425" s="88" t="s">
        <v>333</v>
      </c>
      <c r="B425" s="88" t="s">
        <v>878</v>
      </c>
      <c r="C425" s="88" t="s">
        <v>7</v>
      </c>
      <c r="D425" s="88" t="s">
        <v>2225</v>
      </c>
      <c r="E425" s="88" t="s">
        <v>2226</v>
      </c>
      <c r="F425" s="88"/>
      <c r="G425" s="88"/>
      <c r="H425" s="88"/>
      <c r="I425" s="88"/>
      <c r="J425" s="88"/>
      <c r="K425" s="88"/>
      <c r="L425" s="88"/>
      <c r="M425" s="88"/>
      <c r="N425" s="88"/>
      <c r="O425" s="88"/>
      <c r="P425" s="88"/>
      <c r="Q425" s="88"/>
      <c r="R425" s="88"/>
      <c r="S425" s="88"/>
      <c r="T425" s="88"/>
      <c r="U425" s="88"/>
      <c r="V425" s="88"/>
      <c r="W425" s="88"/>
      <c r="X425" s="88"/>
      <c r="Y425" s="88"/>
      <c r="Z425" s="88"/>
      <c r="AA425" s="88"/>
      <c r="AB425" s="88"/>
      <c r="AC425" s="88"/>
      <c r="AD425" s="88"/>
      <c r="AE425" s="88"/>
      <c r="AF425" s="88"/>
      <c r="AG425" s="88"/>
      <c r="AH425" s="88"/>
      <c r="AI425" s="88"/>
      <c r="AJ425" s="88"/>
    </row>
    <row r="426" spans="1:36" ht="15">
      <c r="A426" s="88" t="s">
        <v>333</v>
      </c>
      <c r="B426" s="88" t="s">
        <v>897</v>
      </c>
      <c r="C426" s="88" t="s">
        <v>7</v>
      </c>
      <c r="D426" s="88" t="s">
        <v>2227</v>
      </c>
      <c r="E426" s="88" t="s">
        <v>2228</v>
      </c>
      <c r="F426" s="88"/>
      <c r="G426" s="88"/>
      <c r="H426" s="88"/>
      <c r="I426" s="88"/>
      <c r="J426" s="88"/>
      <c r="K426" s="88"/>
      <c r="L426" s="88"/>
      <c r="M426" s="88"/>
      <c r="N426" s="88"/>
      <c r="O426" s="88"/>
      <c r="P426" s="88"/>
      <c r="Q426" s="88"/>
      <c r="R426" s="88"/>
      <c r="S426" s="88"/>
      <c r="T426" s="88"/>
      <c r="U426" s="88"/>
      <c r="V426" s="88"/>
      <c r="W426" s="88"/>
      <c r="X426" s="88"/>
      <c r="Y426" s="88"/>
      <c r="Z426" s="88"/>
      <c r="AA426" s="88"/>
      <c r="AB426" s="88"/>
      <c r="AC426" s="88"/>
      <c r="AD426" s="88"/>
      <c r="AE426" s="88"/>
      <c r="AF426" s="88"/>
      <c r="AG426" s="88"/>
      <c r="AH426" s="88"/>
      <c r="AI426" s="88"/>
      <c r="AJ426" s="88"/>
    </row>
    <row r="427" spans="1:36" ht="15">
      <c r="A427" s="88" t="s">
        <v>333</v>
      </c>
      <c r="B427" s="88" t="s">
        <v>916</v>
      </c>
      <c r="C427" s="88" t="s">
        <v>7</v>
      </c>
      <c r="D427" s="88" t="s">
        <v>2229</v>
      </c>
      <c r="E427" s="88" t="s">
        <v>2230</v>
      </c>
      <c r="F427" s="88"/>
      <c r="G427" s="88"/>
      <c r="H427" s="88"/>
      <c r="I427" s="88"/>
      <c r="J427" s="88"/>
      <c r="K427" s="88"/>
      <c r="L427" s="88"/>
      <c r="M427" s="88"/>
      <c r="N427" s="88"/>
      <c r="O427" s="88"/>
      <c r="P427" s="88"/>
      <c r="Q427" s="88"/>
      <c r="R427" s="88"/>
      <c r="S427" s="88"/>
      <c r="T427" s="88"/>
      <c r="U427" s="88"/>
      <c r="V427" s="88"/>
      <c r="W427" s="88"/>
      <c r="X427" s="88"/>
      <c r="Y427" s="88"/>
      <c r="Z427" s="88"/>
      <c r="AA427" s="88"/>
      <c r="AB427" s="88"/>
      <c r="AC427" s="88"/>
      <c r="AD427" s="88"/>
      <c r="AE427" s="88"/>
      <c r="AF427" s="88"/>
      <c r="AG427" s="88"/>
      <c r="AH427" s="88"/>
      <c r="AI427" s="88"/>
      <c r="AJ427" s="88"/>
    </row>
    <row r="428" spans="1:36" ht="15">
      <c r="A428" s="88" t="s">
        <v>333</v>
      </c>
      <c r="B428" s="88" t="s">
        <v>934</v>
      </c>
      <c r="C428" s="88" t="s">
        <v>7</v>
      </c>
      <c r="D428" s="88" t="s">
        <v>2231</v>
      </c>
      <c r="E428" s="88" t="s">
        <v>2232</v>
      </c>
      <c r="F428" s="88"/>
      <c r="G428" s="88"/>
      <c r="H428" s="88"/>
      <c r="I428" s="88"/>
      <c r="J428" s="88"/>
      <c r="K428" s="88"/>
      <c r="L428" s="88"/>
      <c r="M428" s="88"/>
      <c r="N428" s="88"/>
      <c r="O428" s="88"/>
      <c r="P428" s="88"/>
      <c r="Q428" s="88"/>
      <c r="R428" s="88"/>
      <c r="S428" s="88"/>
      <c r="T428" s="88"/>
      <c r="U428" s="88"/>
      <c r="V428" s="88"/>
      <c r="W428" s="88"/>
      <c r="X428" s="88"/>
      <c r="Y428" s="88"/>
      <c r="Z428" s="88"/>
      <c r="AA428" s="88"/>
      <c r="AB428" s="88"/>
      <c r="AC428" s="88"/>
      <c r="AD428" s="88"/>
      <c r="AE428" s="88"/>
      <c r="AF428" s="88"/>
      <c r="AG428" s="88"/>
      <c r="AH428" s="88"/>
      <c r="AI428" s="88"/>
      <c r="AJ428" s="88"/>
    </row>
    <row r="429" spans="1:36" ht="15">
      <c r="A429" s="88" t="s">
        <v>333</v>
      </c>
      <c r="B429" s="88" t="s">
        <v>951</v>
      </c>
      <c r="C429" s="88" t="s">
        <v>7</v>
      </c>
      <c r="D429" s="88" t="s">
        <v>2233</v>
      </c>
      <c r="E429" s="88" t="s">
        <v>2234</v>
      </c>
      <c r="F429" s="88"/>
      <c r="G429" s="88"/>
      <c r="H429" s="88"/>
      <c r="I429" s="88"/>
      <c r="J429" s="88"/>
      <c r="K429" s="88"/>
      <c r="L429" s="88"/>
      <c r="M429" s="88"/>
      <c r="N429" s="88"/>
      <c r="O429" s="88"/>
      <c r="P429" s="88"/>
      <c r="Q429" s="88"/>
      <c r="R429" s="88"/>
      <c r="S429" s="88"/>
      <c r="T429" s="88"/>
      <c r="U429" s="88"/>
      <c r="V429" s="88"/>
      <c r="W429" s="88"/>
      <c r="X429" s="88"/>
      <c r="Y429" s="88"/>
      <c r="Z429" s="88"/>
      <c r="AA429" s="88"/>
      <c r="AB429" s="88"/>
      <c r="AC429" s="88"/>
      <c r="AD429" s="88"/>
      <c r="AE429" s="88"/>
      <c r="AF429" s="88"/>
      <c r="AG429" s="88"/>
      <c r="AH429" s="88"/>
      <c r="AI429" s="88"/>
      <c r="AJ429" s="88"/>
    </row>
    <row r="430" spans="1:36" ht="15">
      <c r="A430" s="88" t="s">
        <v>335</v>
      </c>
      <c r="B430" s="88" t="s">
        <v>367</v>
      </c>
      <c r="C430" s="88" t="s">
        <v>7</v>
      </c>
      <c r="D430" s="88" t="s">
        <v>2235</v>
      </c>
      <c r="E430" s="88" t="s">
        <v>2236</v>
      </c>
      <c r="F430" s="88"/>
      <c r="G430" s="88"/>
      <c r="H430" s="88"/>
      <c r="I430" s="88"/>
      <c r="J430" s="88"/>
      <c r="K430" s="88"/>
      <c r="L430" s="88"/>
      <c r="M430" s="88"/>
      <c r="N430" s="88"/>
      <c r="O430" s="88"/>
      <c r="P430" s="88"/>
      <c r="Q430" s="88"/>
      <c r="R430" s="88"/>
      <c r="S430" s="88"/>
      <c r="T430" s="88"/>
      <c r="U430" s="88"/>
      <c r="V430" s="88"/>
      <c r="W430" s="88"/>
      <c r="X430" s="88"/>
      <c r="Y430" s="88"/>
      <c r="Z430" s="88"/>
      <c r="AA430" s="88"/>
      <c r="AB430" s="88"/>
      <c r="AC430" s="88"/>
      <c r="AD430" s="88"/>
      <c r="AE430" s="88"/>
      <c r="AF430" s="88"/>
      <c r="AG430" s="88"/>
      <c r="AH430" s="88"/>
      <c r="AI430" s="88"/>
      <c r="AJ430" s="88"/>
    </row>
    <row r="431" spans="1:36" ht="15">
      <c r="A431" s="88" t="s">
        <v>335</v>
      </c>
      <c r="B431" s="88" t="s">
        <v>399</v>
      </c>
      <c r="C431" s="88" t="s">
        <v>7</v>
      </c>
      <c r="D431" s="88" t="s">
        <v>2237</v>
      </c>
      <c r="E431" s="88" t="s">
        <v>2238</v>
      </c>
      <c r="F431" s="88"/>
      <c r="G431" s="88"/>
      <c r="H431" s="88"/>
      <c r="I431" s="88"/>
      <c r="J431" s="88"/>
      <c r="K431" s="88"/>
      <c r="L431" s="88"/>
      <c r="M431" s="88"/>
      <c r="N431" s="88"/>
      <c r="O431" s="88"/>
      <c r="P431" s="88"/>
      <c r="Q431" s="88"/>
      <c r="R431" s="88"/>
      <c r="S431" s="88"/>
      <c r="T431" s="88"/>
      <c r="U431" s="88"/>
      <c r="V431" s="88"/>
      <c r="W431" s="88"/>
      <c r="X431" s="88"/>
      <c r="Y431" s="88"/>
      <c r="Z431" s="88"/>
      <c r="AA431" s="88"/>
      <c r="AB431" s="88"/>
      <c r="AC431" s="88"/>
      <c r="AD431" s="88"/>
      <c r="AE431" s="88"/>
      <c r="AF431" s="88"/>
      <c r="AG431" s="88"/>
      <c r="AH431" s="88"/>
      <c r="AI431" s="88"/>
      <c r="AJ431" s="88"/>
    </row>
    <row r="432" spans="1:36" ht="15">
      <c r="A432" s="88" t="s">
        <v>335</v>
      </c>
      <c r="B432" s="88" t="s">
        <v>408</v>
      </c>
      <c r="C432" s="88" t="s">
        <v>7</v>
      </c>
      <c r="D432" s="88" t="s">
        <v>2239</v>
      </c>
      <c r="E432" s="88" t="s">
        <v>2240</v>
      </c>
      <c r="F432" s="88"/>
      <c r="G432" s="88"/>
      <c r="H432" s="88"/>
      <c r="I432" s="88"/>
      <c r="J432" s="88"/>
      <c r="K432" s="88"/>
      <c r="L432" s="88"/>
      <c r="M432" s="88"/>
      <c r="N432" s="88"/>
      <c r="O432" s="88"/>
      <c r="P432" s="88"/>
      <c r="Q432" s="88"/>
      <c r="R432" s="88"/>
      <c r="S432" s="88"/>
      <c r="T432" s="88"/>
      <c r="U432" s="88"/>
      <c r="V432" s="88"/>
      <c r="W432" s="88"/>
      <c r="X432" s="88"/>
      <c r="Y432" s="88"/>
      <c r="Z432" s="88"/>
      <c r="AA432" s="88"/>
      <c r="AB432" s="88"/>
      <c r="AC432" s="88"/>
      <c r="AD432" s="88"/>
      <c r="AE432" s="88"/>
      <c r="AF432" s="88"/>
      <c r="AG432" s="88"/>
      <c r="AH432" s="88"/>
      <c r="AI432" s="88"/>
      <c r="AJ432" s="88"/>
    </row>
    <row r="433" spans="1:36" ht="15">
      <c r="A433" s="88" t="s">
        <v>335</v>
      </c>
      <c r="B433" s="88" t="s">
        <v>459</v>
      </c>
      <c r="C433" s="88" t="s">
        <v>7</v>
      </c>
      <c r="D433" s="88" t="s">
        <v>2241</v>
      </c>
      <c r="E433" s="88" t="s">
        <v>2242</v>
      </c>
      <c r="F433" s="88"/>
      <c r="G433" s="88"/>
      <c r="H433" s="88"/>
      <c r="I433" s="88"/>
      <c r="J433" s="88"/>
      <c r="K433" s="88"/>
      <c r="L433" s="88"/>
      <c r="M433" s="88"/>
      <c r="N433" s="88"/>
      <c r="O433" s="88"/>
      <c r="P433" s="88"/>
      <c r="Q433" s="88"/>
      <c r="R433" s="88"/>
      <c r="S433" s="88"/>
      <c r="T433" s="88"/>
      <c r="U433" s="88"/>
      <c r="V433" s="88"/>
      <c r="W433" s="88"/>
      <c r="X433" s="88"/>
      <c r="Y433" s="88"/>
      <c r="Z433" s="88"/>
      <c r="AA433" s="88"/>
      <c r="AB433" s="88"/>
      <c r="AC433" s="88"/>
      <c r="AD433" s="88"/>
      <c r="AE433" s="88"/>
      <c r="AF433" s="88"/>
      <c r="AG433" s="88"/>
      <c r="AH433" s="88"/>
      <c r="AI433" s="88"/>
      <c r="AJ433" s="88"/>
    </row>
    <row r="434" spans="1:36" ht="15">
      <c r="A434" s="88" t="s">
        <v>335</v>
      </c>
      <c r="B434" s="88" t="s">
        <v>491</v>
      </c>
      <c r="C434" s="88" t="s">
        <v>7</v>
      </c>
      <c r="D434" s="88" t="s">
        <v>2243</v>
      </c>
      <c r="E434" s="88" t="s">
        <v>2244</v>
      </c>
      <c r="F434" s="88"/>
      <c r="G434" s="88"/>
      <c r="H434" s="88"/>
      <c r="I434" s="88"/>
      <c r="J434" s="88"/>
      <c r="K434" s="88"/>
      <c r="L434" s="88"/>
      <c r="M434" s="88"/>
      <c r="N434" s="88"/>
      <c r="O434" s="88"/>
      <c r="P434" s="88"/>
      <c r="Q434" s="88"/>
      <c r="R434" s="88"/>
      <c r="S434" s="88"/>
      <c r="T434" s="88"/>
      <c r="U434" s="88"/>
      <c r="V434" s="88"/>
      <c r="W434" s="88"/>
      <c r="X434" s="88"/>
      <c r="Y434" s="88"/>
      <c r="Z434" s="88"/>
      <c r="AA434" s="88"/>
      <c r="AB434" s="88"/>
      <c r="AC434" s="88"/>
      <c r="AD434" s="88"/>
      <c r="AE434" s="88"/>
      <c r="AF434" s="88"/>
      <c r="AG434" s="88"/>
      <c r="AH434" s="88"/>
      <c r="AI434" s="88"/>
      <c r="AJ434" s="88"/>
    </row>
    <row r="435" spans="1:36" ht="15">
      <c r="A435" s="88" t="s">
        <v>335</v>
      </c>
      <c r="B435" s="88" t="s">
        <v>520</v>
      </c>
      <c r="C435" s="88" t="s">
        <v>7</v>
      </c>
      <c r="D435" s="88" t="s">
        <v>2245</v>
      </c>
      <c r="E435" s="88" t="s">
        <v>2246</v>
      </c>
      <c r="F435" s="88"/>
      <c r="G435" s="88"/>
      <c r="H435" s="88"/>
      <c r="I435" s="88"/>
      <c r="J435" s="88"/>
      <c r="K435" s="88"/>
      <c r="L435" s="88"/>
      <c r="M435" s="88"/>
      <c r="N435" s="88"/>
      <c r="O435" s="88"/>
      <c r="P435" s="88"/>
      <c r="Q435" s="88"/>
      <c r="R435" s="88"/>
      <c r="S435" s="88"/>
      <c r="T435" s="88"/>
      <c r="U435" s="88"/>
      <c r="V435" s="88"/>
      <c r="W435" s="88"/>
      <c r="X435" s="88"/>
      <c r="Y435" s="88"/>
      <c r="Z435" s="88"/>
      <c r="AA435" s="88"/>
      <c r="AB435" s="88"/>
      <c r="AC435" s="88"/>
      <c r="AD435" s="88"/>
      <c r="AE435" s="88"/>
      <c r="AF435" s="88"/>
      <c r="AG435" s="88"/>
      <c r="AH435" s="88"/>
      <c r="AI435" s="88"/>
      <c r="AJ435" s="88"/>
    </row>
    <row r="436" spans="1:36" ht="15">
      <c r="A436" s="88" t="s">
        <v>335</v>
      </c>
      <c r="B436" s="88" t="s">
        <v>550</v>
      </c>
      <c r="C436" s="88" t="s">
        <v>7</v>
      </c>
      <c r="D436" s="88" t="s">
        <v>2247</v>
      </c>
      <c r="E436" s="88" t="s">
        <v>2248</v>
      </c>
      <c r="F436" s="88"/>
      <c r="G436" s="88"/>
      <c r="H436" s="88"/>
      <c r="I436" s="88"/>
      <c r="J436" s="88"/>
      <c r="K436" s="88"/>
      <c r="L436" s="88"/>
      <c r="M436" s="88"/>
      <c r="N436" s="88"/>
      <c r="O436" s="88"/>
      <c r="P436" s="88"/>
      <c r="Q436" s="88"/>
      <c r="R436" s="88"/>
      <c r="S436" s="88"/>
      <c r="T436" s="88"/>
      <c r="U436" s="88"/>
      <c r="V436" s="88"/>
      <c r="W436" s="88"/>
      <c r="X436" s="88"/>
      <c r="Y436" s="88"/>
      <c r="Z436" s="88"/>
      <c r="AA436" s="88"/>
      <c r="AB436" s="88"/>
      <c r="AC436" s="88"/>
      <c r="AD436" s="88"/>
      <c r="AE436" s="88"/>
      <c r="AF436" s="88"/>
      <c r="AG436" s="88"/>
      <c r="AH436" s="88"/>
      <c r="AI436" s="88"/>
      <c r="AJ436" s="88"/>
    </row>
    <row r="437" spans="1:36" ht="15">
      <c r="A437" s="88" t="s">
        <v>335</v>
      </c>
      <c r="B437" s="88" t="s">
        <v>577</v>
      </c>
      <c r="C437" s="88" t="s">
        <v>7</v>
      </c>
      <c r="D437" s="88" t="s">
        <v>2249</v>
      </c>
      <c r="E437" s="88" t="s">
        <v>2250</v>
      </c>
      <c r="F437" s="88"/>
      <c r="G437" s="88"/>
      <c r="H437" s="88"/>
      <c r="I437" s="88"/>
      <c r="J437" s="88"/>
      <c r="K437" s="88"/>
      <c r="L437" s="88"/>
      <c r="M437" s="88"/>
      <c r="N437" s="88"/>
      <c r="O437" s="88"/>
      <c r="P437" s="88"/>
      <c r="Q437" s="88"/>
      <c r="R437" s="88"/>
      <c r="S437" s="88"/>
      <c r="T437" s="88"/>
      <c r="U437" s="88"/>
      <c r="V437" s="88"/>
      <c r="W437" s="88"/>
      <c r="X437" s="88"/>
      <c r="Y437" s="88"/>
      <c r="Z437" s="88"/>
      <c r="AA437" s="88"/>
      <c r="AB437" s="88"/>
      <c r="AC437" s="88"/>
      <c r="AD437" s="88"/>
      <c r="AE437" s="88"/>
      <c r="AF437" s="88"/>
      <c r="AG437" s="88"/>
      <c r="AH437" s="88"/>
      <c r="AI437" s="88"/>
      <c r="AJ437" s="88"/>
    </row>
    <row r="438" spans="1:36" ht="15">
      <c r="A438" s="88" t="s">
        <v>335</v>
      </c>
      <c r="B438" s="88" t="s">
        <v>605</v>
      </c>
      <c r="C438" s="88" t="s">
        <v>7</v>
      </c>
      <c r="D438" s="88" t="s">
        <v>2251</v>
      </c>
      <c r="E438" s="88" t="s">
        <v>2252</v>
      </c>
      <c r="F438" s="88"/>
      <c r="G438" s="88"/>
      <c r="H438" s="88"/>
      <c r="I438" s="88"/>
      <c r="J438" s="88"/>
      <c r="K438" s="88"/>
      <c r="L438" s="88"/>
      <c r="M438" s="88"/>
      <c r="N438" s="88"/>
      <c r="O438" s="88"/>
      <c r="P438" s="88"/>
      <c r="Q438" s="88"/>
      <c r="R438" s="88"/>
      <c r="S438" s="88"/>
      <c r="T438" s="88"/>
      <c r="U438" s="88"/>
      <c r="V438" s="88"/>
      <c r="W438" s="88"/>
      <c r="X438" s="88"/>
      <c r="Y438" s="88"/>
      <c r="Z438" s="88"/>
      <c r="AA438" s="88"/>
      <c r="AB438" s="88"/>
      <c r="AC438" s="88"/>
      <c r="AD438" s="88"/>
      <c r="AE438" s="88"/>
      <c r="AF438" s="88"/>
      <c r="AG438" s="88"/>
      <c r="AH438" s="88"/>
      <c r="AI438" s="88"/>
      <c r="AJ438" s="88"/>
    </row>
    <row r="439" spans="1:36" ht="15">
      <c r="A439" s="88" t="s">
        <v>335</v>
      </c>
      <c r="B439" s="88" t="s">
        <v>631</v>
      </c>
      <c r="C439" s="88" t="s">
        <v>7</v>
      </c>
      <c r="D439" s="88" t="s">
        <v>2253</v>
      </c>
      <c r="E439" s="88" t="s">
        <v>2254</v>
      </c>
      <c r="F439" s="88"/>
      <c r="G439" s="88"/>
      <c r="H439" s="88"/>
      <c r="I439" s="88"/>
      <c r="J439" s="88"/>
      <c r="K439" s="88"/>
      <c r="L439" s="88"/>
      <c r="M439" s="88"/>
      <c r="N439" s="88"/>
      <c r="O439" s="88"/>
      <c r="P439" s="88"/>
      <c r="Q439" s="88"/>
      <c r="R439" s="88"/>
      <c r="S439" s="88"/>
      <c r="T439" s="88"/>
      <c r="U439" s="88"/>
      <c r="V439" s="88"/>
      <c r="W439" s="88"/>
      <c r="X439" s="88"/>
      <c r="Y439" s="88"/>
      <c r="Z439" s="88"/>
      <c r="AA439" s="88"/>
      <c r="AB439" s="88"/>
      <c r="AC439" s="88"/>
      <c r="AD439" s="88"/>
      <c r="AE439" s="88"/>
      <c r="AF439" s="88"/>
      <c r="AG439" s="88"/>
      <c r="AH439" s="88"/>
      <c r="AI439" s="88"/>
      <c r="AJ439" s="88"/>
    </row>
    <row r="440" spans="1:36" ht="15">
      <c r="A440" s="88" t="s">
        <v>335</v>
      </c>
      <c r="B440" s="88" t="s">
        <v>656</v>
      </c>
      <c r="C440" s="88" t="s">
        <v>7</v>
      </c>
      <c r="D440" s="88" t="s">
        <v>2255</v>
      </c>
      <c r="E440" s="88" t="s">
        <v>2256</v>
      </c>
      <c r="F440" s="88"/>
      <c r="G440" s="88"/>
      <c r="H440" s="88"/>
      <c r="I440" s="88"/>
      <c r="J440" s="88"/>
      <c r="K440" s="88"/>
      <c r="L440" s="88"/>
      <c r="M440" s="88"/>
      <c r="N440" s="88"/>
      <c r="O440" s="88"/>
      <c r="P440" s="88"/>
      <c r="Q440" s="88"/>
      <c r="R440" s="88"/>
      <c r="S440" s="88"/>
      <c r="T440" s="88"/>
      <c r="U440" s="88"/>
      <c r="V440" s="88"/>
      <c r="W440" s="88"/>
      <c r="X440" s="88"/>
      <c r="Y440" s="88"/>
      <c r="Z440" s="88"/>
      <c r="AA440" s="88"/>
      <c r="AB440" s="88"/>
      <c r="AC440" s="88"/>
      <c r="AD440" s="88"/>
      <c r="AE440" s="88"/>
      <c r="AF440" s="88"/>
      <c r="AG440" s="88"/>
      <c r="AH440" s="88"/>
      <c r="AI440" s="88"/>
      <c r="AJ440" s="88"/>
    </row>
    <row r="441" spans="1:36" ht="15">
      <c r="A441" s="88" t="s">
        <v>335</v>
      </c>
      <c r="B441" s="88" t="s">
        <v>682</v>
      </c>
      <c r="C441" s="88" t="s">
        <v>7</v>
      </c>
      <c r="D441" s="88" t="s">
        <v>2257</v>
      </c>
      <c r="E441" s="88" t="s">
        <v>2258</v>
      </c>
      <c r="F441" s="88"/>
      <c r="G441" s="88"/>
      <c r="H441" s="88"/>
      <c r="I441" s="88"/>
      <c r="J441" s="88"/>
      <c r="K441" s="88"/>
      <c r="L441" s="88"/>
      <c r="M441" s="88"/>
      <c r="N441" s="88"/>
      <c r="O441" s="88"/>
      <c r="P441" s="88"/>
      <c r="Q441" s="88"/>
      <c r="R441" s="88"/>
      <c r="S441" s="88"/>
      <c r="T441" s="88"/>
      <c r="U441" s="88"/>
      <c r="V441" s="88"/>
      <c r="W441" s="88"/>
      <c r="X441" s="88"/>
      <c r="Y441" s="88"/>
      <c r="Z441" s="88"/>
      <c r="AA441" s="88"/>
      <c r="AB441" s="88"/>
      <c r="AC441" s="88"/>
      <c r="AD441" s="88"/>
      <c r="AE441" s="88"/>
      <c r="AF441" s="88"/>
      <c r="AG441" s="88"/>
      <c r="AH441" s="88"/>
      <c r="AI441" s="88"/>
      <c r="AJ441" s="88"/>
    </row>
    <row r="442" spans="1:36" ht="15">
      <c r="A442" s="88" t="s">
        <v>335</v>
      </c>
      <c r="B442" s="88" t="s">
        <v>706</v>
      </c>
      <c r="C442" s="88" t="s">
        <v>7</v>
      </c>
      <c r="D442" s="88" t="s">
        <v>2259</v>
      </c>
      <c r="E442" s="88" t="s">
        <v>2260</v>
      </c>
      <c r="F442" s="88"/>
      <c r="G442" s="88"/>
      <c r="H442" s="88"/>
      <c r="I442" s="88"/>
      <c r="J442" s="88"/>
      <c r="K442" s="88"/>
      <c r="L442" s="88"/>
      <c r="M442" s="88"/>
      <c r="N442" s="88"/>
      <c r="O442" s="88"/>
      <c r="P442" s="88"/>
      <c r="Q442" s="88"/>
      <c r="R442" s="88"/>
      <c r="S442" s="88"/>
      <c r="T442" s="88"/>
      <c r="U442" s="88"/>
      <c r="V442" s="88"/>
      <c r="W442" s="88"/>
      <c r="X442" s="88"/>
      <c r="Y442" s="88"/>
      <c r="Z442" s="88"/>
      <c r="AA442" s="88"/>
      <c r="AB442" s="88"/>
      <c r="AC442" s="88"/>
      <c r="AD442" s="88"/>
      <c r="AE442" s="88"/>
      <c r="AF442" s="88"/>
      <c r="AG442" s="88"/>
      <c r="AH442" s="88"/>
      <c r="AI442" s="88"/>
      <c r="AJ442" s="88"/>
    </row>
    <row r="443" spans="1:36" ht="15">
      <c r="A443" s="88" t="s">
        <v>335</v>
      </c>
      <c r="B443" s="88" t="s">
        <v>729</v>
      </c>
      <c r="C443" s="88" t="s">
        <v>7</v>
      </c>
      <c r="D443" s="88" t="s">
        <v>2261</v>
      </c>
      <c r="E443" s="88" t="s">
        <v>2262</v>
      </c>
      <c r="F443" s="88"/>
      <c r="G443" s="88"/>
      <c r="H443" s="88"/>
      <c r="I443" s="88"/>
      <c r="J443" s="88"/>
      <c r="K443" s="88"/>
      <c r="L443" s="88"/>
      <c r="M443" s="88"/>
      <c r="N443" s="88"/>
      <c r="O443" s="88"/>
      <c r="P443" s="88"/>
      <c r="Q443" s="88"/>
      <c r="R443" s="88"/>
      <c r="S443" s="88"/>
      <c r="T443" s="88"/>
      <c r="U443" s="88"/>
      <c r="V443" s="88"/>
      <c r="W443" s="88"/>
      <c r="X443" s="88"/>
      <c r="Y443" s="88"/>
      <c r="Z443" s="88"/>
      <c r="AA443" s="88"/>
      <c r="AB443" s="88"/>
      <c r="AC443" s="88"/>
      <c r="AD443" s="88"/>
      <c r="AE443" s="88"/>
      <c r="AF443" s="88"/>
      <c r="AG443" s="88"/>
      <c r="AH443" s="88"/>
      <c r="AI443" s="88"/>
      <c r="AJ443" s="88"/>
    </row>
    <row r="444" spans="1:36" ht="15">
      <c r="A444" s="88" t="s">
        <v>335</v>
      </c>
      <c r="B444" s="88" t="s">
        <v>753</v>
      </c>
      <c r="C444" s="88" t="s">
        <v>7</v>
      </c>
      <c r="D444" s="88" t="s">
        <v>2263</v>
      </c>
      <c r="E444" s="88" t="s">
        <v>2264</v>
      </c>
      <c r="F444" s="88"/>
      <c r="G444" s="88"/>
      <c r="H444" s="88"/>
      <c r="I444" s="88"/>
      <c r="J444" s="88"/>
      <c r="K444" s="88"/>
      <c r="L444" s="88"/>
      <c r="M444" s="88"/>
      <c r="N444" s="88"/>
      <c r="O444" s="88"/>
      <c r="P444" s="88"/>
      <c r="Q444" s="88"/>
      <c r="R444" s="88"/>
      <c r="S444" s="88"/>
      <c r="T444" s="88"/>
      <c r="U444" s="88"/>
      <c r="V444" s="88"/>
      <c r="W444" s="88"/>
      <c r="X444" s="88"/>
      <c r="Y444" s="88"/>
      <c r="Z444" s="88"/>
      <c r="AA444" s="88"/>
      <c r="AB444" s="88"/>
      <c r="AC444" s="88"/>
      <c r="AD444" s="88"/>
      <c r="AE444" s="88"/>
      <c r="AF444" s="88"/>
      <c r="AG444" s="88"/>
      <c r="AH444" s="88"/>
      <c r="AI444" s="88"/>
      <c r="AJ444" s="88"/>
    </row>
    <row r="445" spans="1:36" ht="15">
      <c r="A445" s="88" t="s">
        <v>335</v>
      </c>
      <c r="B445" s="88" t="s">
        <v>776</v>
      </c>
      <c r="C445" s="88" t="s">
        <v>7</v>
      </c>
      <c r="D445" s="88" t="s">
        <v>2265</v>
      </c>
      <c r="E445" s="88" t="s">
        <v>2266</v>
      </c>
      <c r="F445" s="88"/>
      <c r="G445" s="88"/>
      <c r="H445" s="88"/>
      <c r="I445" s="88"/>
      <c r="J445" s="88"/>
      <c r="K445" s="88"/>
      <c r="L445" s="88"/>
      <c r="M445" s="88"/>
      <c r="N445" s="88"/>
      <c r="O445" s="88"/>
      <c r="P445" s="88"/>
      <c r="Q445" s="88"/>
      <c r="R445" s="88"/>
      <c r="S445" s="88"/>
      <c r="T445" s="88"/>
      <c r="U445" s="88"/>
      <c r="V445" s="88"/>
      <c r="W445" s="88"/>
      <c r="X445" s="88"/>
      <c r="Y445" s="88"/>
      <c r="Z445" s="88"/>
      <c r="AA445" s="88"/>
      <c r="AB445" s="88"/>
      <c r="AC445" s="88"/>
      <c r="AD445" s="88"/>
      <c r="AE445" s="88"/>
      <c r="AF445" s="88"/>
      <c r="AG445" s="88"/>
      <c r="AH445" s="88"/>
      <c r="AI445" s="88"/>
      <c r="AJ445" s="88"/>
    </row>
    <row r="446" spans="1:36" ht="15">
      <c r="A446" s="88" t="s">
        <v>335</v>
      </c>
      <c r="B446" s="88" t="s">
        <v>797</v>
      </c>
      <c r="C446" s="88" t="s">
        <v>7</v>
      </c>
      <c r="D446" s="88" t="s">
        <v>2267</v>
      </c>
      <c r="E446" s="88" t="s">
        <v>2268</v>
      </c>
      <c r="F446" s="88"/>
      <c r="G446" s="88"/>
      <c r="H446" s="88"/>
      <c r="I446" s="88"/>
      <c r="J446" s="88"/>
      <c r="K446" s="88"/>
      <c r="L446" s="88"/>
      <c r="M446" s="88"/>
      <c r="N446" s="88"/>
      <c r="O446" s="88"/>
      <c r="P446" s="88"/>
      <c r="Q446" s="88"/>
      <c r="R446" s="88"/>
      <c r="S446" s="88"/>
      <c r="T446" s="88"/>
      <c r="U446" s="88"/>
      <c r="V446" s="88"/>
      <c r="W446" s="88"/>
      <c r="X446" s="88"/>
      <c r="Y446" s="88"/>
      <c r="Z446" s="88"/>
      <c r="AA446" s="88"/>
      <c r="AB446" s="88"/>
      <c r="AC446" s="88"/>
      <c r="AD446" s="88"/>
      <c r="AE446" s="88"/>
      <c r="AF446" s="88"/>
      <c r="AG446" s="88"/>
      <c r="AH446" s="88"/>
      <c r="AI446" s="88"/>
      <c r="AJ446" s="88"/>
    </row>
    <row r="447" spans="1:36" ht="15">
      <c r="A447" s="88" t="s">
        <v>335</v>
      </c>
      <c r="B447" s="88" t="s">
        <v>819</v>
      </c>
      <c r="C447" s="88" t="s">
        <v>7</v>
      </c>
      <c r="D447" s="88" t="s">
        <v>2269</v>
      </c>
      <c r="E447" s="88" t="s">
        <v>2270</v>
      </c>
      <c r="F447" s="88"/>
      <c r="G447" s="88"/>
      <c r="H447" s="88"/>
      <c r="I447" s="88"/>
      <c r="J447" s="88"/>
      <c r="K447" s="88"/>
      <c r="L447" s="88"/>
      <c r="M447" s="88"/>
      <c r="N447" s="88"/>
      <c r="O447" s="88"/>
      <c r="P447" s="88"/>
      <c r="Q447" s="88"/>
      <c r="R447" s="88"/>
      <c r="S447" s="88"/>
      <c r="T447" s="88"/>
      <c r="U447" s="88"/>
      <c r="V447" s="88"/>
      <c r="W447" s="88"/>
      <c r="X447" s="88"/>
      <c r="Y447" s="88"/>
      <c r="Z447" s="88"/>
      <c r="AA447" s="88"/>
      <c r="AB447" s="88"/>
      <c r="AC447" s="88"/>
      <c r="AD447" s="88"/>
      <c r="AE447" s="88"/>
      <c r="AF447" s="88"/>
      <c r="AG447" s="88"/>
      <c r="AH447" s="88"/>
      <c r="AI447" s="88"/>
      <c r="AJ447" s="88"/>
    </row>
    <row r="448" spans="1:36" ht="15">
      <c r="A448" s="88" t="s">
        <v>335</v>
      </c>
      <c r="B448" s="88" t="s">
        <v>840</v>
      </c>
      <c r="C448" s="88" t="s">
        <v>7</v>
      </c>
      <c r="D448" s="88" t="s">
        <v>2271</v>
      </c>
      <c r="E448" s="88" t="s">
        <v>2272</v>
      </c>
      <c r="F448" s="88"/>
      <c r="G448" s="88"/>
      <c r="H448" s="88"/>
      <c r="I448" s="88"/>
      <c r="J448" s="88"/>
      <c r="K448" s="88"/>
      <c r="L448" s="88"/>
      <c r="M448" s="88"/>
      <c r="N448" s="88"/>
      <c r="O448" s="88"/>
      <c r="P448" s="88"/>
      <c r="Q448" s="88"/>
      <c r="R448" s="88"/>
      <c r="S448" s="88"/>
      <c r="T448" s="88"/>
      <c r="U448" s="88"/>
      <c r="V448" s="88"/>
      <c r="W448" s="88"/>
      <c r="X448" s="88"/>
      <c r="Y448" s="88"/>
      <c r="Z448" s="88"/>
      <c r="AA448" s="88"/>
      <c r="AB448" s="88"/>
      <c r="AC448" s="88"/>
      <c r="AD448" s="88"/>
      <c r="AE448" s="88"/>
      <c r="AF448" s="88"/>
      <c r="AG448" s="88"/>
      <c r="AH448" s="88"/>
      <c r="AI448" s="88"/>
      <c r="AJ448" s="88"/>
    </row>
    <row r="449" spans="1:36" ht="15">
      <c r="A449" s="88" t="s">
        <v>335</v>
      </c>
      <c r="B449" s="88" t="s">
        <v>859</v>
      </c>
      <c r="C449" s="88" t="s">
        <v>7</v>
      </c>
      <c r="D449" s="88" t="s">
        <v>2273</v>
      </c>
      <c r="E449" s="88" t="s">
        <v>2274</v>
      </c>
      <c r="F449" s="88"/>
      <c r="G449" s="88"/>
      <c r="H449" s="88"/>
      <c r="I449" s="88"/>
      <c r="J449" s="88"/>
      <c r="K449" s="88"/>
      <c r="L449" s="88"/>
      <c r="M449" s="88"/>
      <c r="N449" s="88"/>
      <c r="O449" s="88"/>
      <c r="P449" s="88"/>
      <c r="Q449" s="88"/>
      <c r="R449" s="88"/>
      <c r="S449" s="88"/>
      <c r="T449" s="88"/>
      <c r="U449" s="88"/>
      <c r="V449" s="88"/>
      <c r="W449" s="88"/>
      <c r="X449" s="88"/>
      <c r="Y449" s="88"/>
      <c r="Z449" s="88"/>
      <c r="AA449" s="88"/>
      <c r="AB449" s="88"/>
      <c r="AC449" s="88"/>
      <c r="AD449" s="88"/>
      <c r="AE449" s="88"/>
      <c r="AF449" s="88"/>
      <c r="AG449" s="88"/>
      <c r="AH449" s="88"/>
      <c r="AI449" s="88"/>
      <c r="AJ449" s="88"/>
    </row>
    <row r="450" spans="1:36" ht="15">
      <c r="A450" s="88" t="s">
        <v>335</v>
      </c>
      <c r="B450" s="88" t="s">
        <v>880</v>
      </c>
      <c r="C450" s="88" t="s">
        <v>7</v>
      </c>
      <c r="D450" s="88" t="s">
        <v>2275</v>
      </c>
      <c r="E450" s="88" t="s">
        <v>2276</v>
      </c>
      <c r="F450" s="88"/>
      <c r="G450" s="88"/>
      <c r="H450" s="88"/>
      <c r="I450" s="88"/>
      <c r="J450" s="88"/>
      <c r="K450" s="88"/>
      <c r="L450" s="88"/>
      <c r="M450" s="88"/>
      <c r="N450" s="88"/>
      <c r="O450" s="88"/>
      <c r="P450" s="88"/>
      <c r="Q450" s="88"/>
      <c r="R450" s="88"/>
      <c r="S450" s="88"/>
      <c r="T450" s="88"/>
      <c r="U450" s="88"/>
      <c r="V450" s="88"/>
      <c r="W450" s="88"/>
      <c r="X450" s="88"/>
      <c r="Y450" s="88"/>
      <c r="Z450" s="88"/>
      <c r="AA450" s="88"/>
      <c r="AB450" s="88"/>
      <c r="AC450" s="88"/>
      <c r="AD450" s="88"/>
      <c r="AE450" s="88"/>
      <c r="AF450" s="88"/>
      <c r="AG450" s="88"/>
      <c r="AH450" s="88"/>
      <c r="AI450" s="88"/>
      <c r="AJ450" s="88"/>
    </row>
    <row r="451" spans="1:36" ht="15">
      <c r="A451" s="88" t="s">
        <v>335</v>
      </c>
      <c r="B451" s="88" t="s">
        <v>899</v>
      </c>
      <c r="C451" s="88" t="s">
        <v>7</v>
      </c>
      <c r="D451" s="88" t="s">
        <v>2277</v>
      </c>
      <c r="E451" s="88" t="s">
        <v>2278</v>
      </c>
      <c r="F451" s="88"/>
      <c r="G451" s="88"/>
      <c r="H451" s="88"/>
      <c r="I451" s="88"/>
      <c r="J451" s="88"/>
      <c r="K451" s="88"/>
      <c r="L451" s="88"/>
      <c r="M451" s="88"/>
      <c r="N451" s="88"/>
      <c r="O451" s="88"/>
      <c r="P451" s="88"/>
      <c r="Q451" s="88"/>
      <c r="R451" s="88"/>
      <c r="S451" s="88"/>
      <c r="T451" s="88"/>
      <c r="U451" s="88"/>
      <c r="V451" s="88"/>
      <c r="W451" s="88"/>
      <c r="X451" s="88"/>
      <c r="Y451" s="88"/>
      <c r="Z451" s="88"/>
      <c r="AA451" s="88"/>
      <c r="AB451" s="88"/>
      <c r="AC451" s="88"/>
      <c r="AD451" s="88"/>
      <c r="AE451" s="88"/>
      <c r="AF451" s="88"/>
      <c r="AG451" s="88"/>
      <c r="AH451" s="88"/>
      <c r="AI451" s="88"/>
      <c r="AJ451" s="88"/>
    </row>
    <row r="452" spans="1:36" ht="15">
      <c r="A452" s="88" t="s">
        <v>335</v>
      </c>
      <c r="B452" s="88" t="s">
        <v>918</v>
      </c>
      <c r="C452" s="88" t="s">
        <v>7</v>
      </c>
      <c r="D452" s="88" t="s">
        <v>2279</v>
      </c>
      <c r="E452" s="88" t="s">
        <v>2280</v>
      </c>
      <c r="F452" s="88"/>
      <c r="G452" s="88"/>
      <c r="H452" s="88"/>
      <c r="I452" s="88"/>
      <c r="J452" s="88"/>
      <c r="K452" s="88"/>
      <c r="L452" s="88"/>
      <c r="M452" s="88"/>
      <c r="N452" s="88"/>
      <c r="O452" s="88"/>
      <c r="P452" s="88"/>
      <c r="Q452" s="88"/>
      <c r="R452" s="88"/>
      <c r="S452" s="88"/>
      <c r="T452" s="88"/>
      <c r="U452" s="88"/>
      <c r="V452" s="88"/>
      <c r="W452" s="88"/>
      <c r="X452" s="88"/>
      <c r="Y452" s="88"/>
      <c r="Z452" s="88"/>
      <c r="AA452" s="88"/>
      <c r="AB452" s="88"/>
      <c r="AC452" s="88"/>
      <c r="AD452" s="88"/>
      <c r="AE452" s="88"/>
      <c r="AF452" s="88"/>
      <c r="AG452" s="88"/>
      <c r="AH452" s="88"/>
      <c r="AI452" s="88"/>
      <c r="AJ452" s="88"/>
    </row>
    <row r="453" spans="1:36" ht="15">
      <c r="A453" s="88" t="s">
        <v>335</v>
      </c>
      <c r="B453" s="88" t="s">
        <v>936</v>
      </c>
      <c r="C453" s="88" t="s">
        <v>7</v>
      </c>
      <c r="D453" s="88" t="s">
        <v>2281</v>
      </c>
      <c r="E453" s="88" t="s">
        <v>2282</v>
      </c>
      <c r="F453" s="88"/>
      <c r="G453" s="88"/>
      <c r="H453" s="88"/>
      <c r="I453" s="88"/>
      <c r="J453" s="88"/>
      <c r="K453" s="88"/>
      <c r="L453" s="88"/>
      <c r="M453" s="88"/>
      <c r="N453" s="88"/>
      <c r="O453" s="88"/>
      <c r="P453" s="88"/>
      <c r="Q453" s="88"/>
      <c r="R453" s="88"/>
      <c r="S453" s="88"/>
      <c r="T453" s="88"/>
      <c r="U453" s="88"/>
      <c r="V453" s="88"/>
      <c r="W453" s="88"/>
      <c r="X453" s="88"/>
      <c r="Y453" s="88"/>
      <c r="Z453" s="88"/>
      <c r="AA453" s="88"/>
      <c r="AB453" s="88"/>
      <c r="AC453" s="88"/>
      <c r="AD453" s="88"/>
      <c r="AE453" s="88"/>
      <c r="AF453" s="88"/>
      <c r="AG453" s="88"/>
      <c r="AH453" s="88"/>
      <c r="AI453" s="88"/>
      <c r="AJ453" s="88"/>
    </row>
    <row r="454" spans="1:36" ht="15">
      <c r="A454" s="88" t="s">
        <v>335</v>
      </c>
      <c r="B454" s="88" t="s">
        <v>953</v>
      </c>
      <c r="C454" s="88" t="s">
        <v>7</v>
      </c>
      <c r="D454" s="88" t="s">
        <v>2283</v>
      </c>
      <c r="E454" s="88" t="s">
        <v>2284</v>
      </c>
      <c r="F454" s="88"/>
      <c r="G454" s="88"/>
      <c r="H454" s="88"/>
      <c r="I454" s="88"/>
      <c r="J454" s="88"/>
      <c r="K454" s="88"/>
      <c r="L454" s="88"/>
      <c r="M454" s="88"/>
      <c r="N454" s="88"/>
      <c r="O454" s="88"/>
      <c r="P454" s="88"/>
      <c r="Q454" s="88"/>
      <c r="R454" s="88"/>
      <c r="S454" s="88"/>
      <c r="T454" s="88"/>
      <c r="U454" s="88"/>
      <c r="V454" s="88"/>
      <c r="W454" s="88"/>
      <c r="X454" s="88"/>
      <c r="Y454" s="88"/>
      <c r="Z454" s="88"/>
      <c r="AA454" s="88"/>
      <c r="AB454" s="88"/>
      <c r="AC454" s="88"/>
      <c r="AD454" s="88"/>
      <c r="AE454" s="88"/>
      <c r="AF454" s="88"/>
      <c r="AG454" s="88"/>
      <c r="AH454" s="88"/>
      <c r="AI454" s="88"/>
      <c r="AJ454" s="88"/>
    </row>
    <row r="455" spans="1:36" ht="15">
      <c r="A455" s="88" t="s">
        <v>335</v>
      </c>
      <c r="B455" s="88" t="s">
        <v>969</v>
      </c>
      <c r="C455" s="88" t="s">
        <v>7</v>
      </c>
      <c r="D455" s="88" t="s">
        <v>2285</v>
      </c>
      <c r="E455" s="88" t="s">
        <v>2286</v>
      </c>
      <c r="F455" s="88"/>
      <c r="G455" s="88"/>
      <c r="H455" s="88"/>
      <c r="I455" s="88"/>
      <c r="J455" s="88"/>
      <c r="K455" s="88"/>
      <c r="L455" s="88"/>
      <c r="M455" s="88"/>
      <c r="N455" s="88"/>
      <c r="O455" s="88"/>
      <c r="P455" s="88"/>
      <c r="Q455" s="88"/>
      <c r="R455" s="88"/>
      <c r="S455" s="88"/>
      <c r="T455" s="88"/>
      <c r="U455" s="88"/>
      <c r="V455" s="88"/>
      <c r="W455" s="88"/>
      <c r="X455" s="88"/>
      <c r="Y455" s="88"/>
      <c r="Z455" s="88"/>
      <c r="AA455" s="88"/>
      <c r="AB455" s="88"/>
      <c r="AC455" s="88"/>
      <c r="AD455" s="88"/>
      <c r="AE455" s="88"/>
      <c r="AF455" s="88"/>
      <c r="AG455" s="88"/>
      <c r="AH455" s="88"/>
      <c r="AI455" s="88"/>
      <c r="AJ455" s="88"/>
    </row>
    <row r="456" spans="1:36" ht="15">
      <c r="A456" s="88" t="s">
        <v>335</v>
      </c>
      <c r="B456" s="88" t="s">
        <v>988</v>
      </c>
      <c r="C456" s="88" t="s">
        <v>7</v>
      </c>
      <c r="D456" s="88" t="s">
        <v>2287</v>
      </c>
      <c r="E456" s="88" t="s">
        <v>2288</v>
      </c>
      <c r="F456" s="88"/>
      <c r="G456" s="88"/>
      <c r="H456" s="88"/>
      <c r="I456" s="88"/>
      <c r="J456" s="88"/>
      <c r="K456" s="88"/>
      <c r="L456" s="88"/>
      <c r="M456" s="88"/>
      <c r="N456" s="88"/>
      <c r="O456" s="88"/>
      <c r="P456" s="88"/>
      <c r="Q456" s="88"/>
      <c r="R456" s="88"/>
      <c r="S456" s="88"/>
      <c r="T456" s="88"/>
      <c r="U456" s="88"/>
      <c r="V456" s="88"/>
      <c r="W456" s="88"/>
      <c r="X456" s="88"/>
      <c r="Y456" s="88"/>
      <c r="Z456" s="88"/>
      <c r="AA456" s="88"/>
      <c r="AB456" s="88"/>
      <c r="AC456" s="88"/>
      <c r="AD456" s="88"/>
      <c r="AE456" s="88"/>
      <c r="AF456" s="88"/>
      <c r="AG456" s="88"/>
      <c r="AH456" s="88"/>
      <c r="AI456" s="88"/>
      <c r="AJ456" s="88"/>
    </row>
    <row r="457" spans="1:36" ht="15">
      <c r="A457" s="88" t="s">
        <v>335</v>
      </c>
      <c r="B457" s="88" t="s">
        <v>1005</v>
      </c>
      <c r="C457" s="88" t="s">
        <v>7</v>
      </c>
      <c r="D457" s="88" t="s">
        <v>2289</v>
      </c>
      <c r="E457" s="88" t="s">
        <v>2290</v>
      </c>
      <c r="F457" s="88"/>
      <c r="G457" s="88"/>
      <c r="H457" s="88"/>
      <c r="I457" s="88"/>
      <c r="J457" s="88"/>
      <c r="K457" s="88"/>
      <c r="L457" s="88"/>
      <c r="M457" s="88"/>
      <c r="N457" s="88"/>
      <c r="O457" s="88"/>
      <c r="P457" s="88"/>
      <c r="Q457" s="88"/>
      <c r="R457" s="88"/>
      <c r="S457" s="88"/>
      <c r="T457" s="88"/>
      <c r="U457" s="88"/>
      <c r="V457" s="88"/>
      <c r="W457" s="88"/>
      <c r="X457" s="88"/>
      <c r="Y457" s="88"/>
      <c r="Z457" s="88"/>
      <c r="AA457" s="88"/>
      <c r="AB457" s="88"/>
      <c r="AC457" s="88"/>
      <c r="AD457" s="88"/>
      <c r="AE457" s="88"/>
      <c r="AF457" s="88"/>
      <c r="AG457" s="88"/>
      <c r="AH457" s="88"/>
      <c r="AI457" s="88"/>
      <c r="AJ457" s="88"/>
    </row>
    <row r="458" spans="1:36" ht="15">
      <c r="A458" s="88" t="s">
        <v>335</v>
      </c>
      <c r="B458" s="88" t="s">
        <v>1019</v>
      </c>
      <c r="C458" s="88" t="s">
        <v>7</v>
      </c>
      <c r="D458" s="88" t="s">
        <v>2291</v>
      </c>
      <c r="E458" s="88" t="s">
        <v>2292</v>
      </c>
      <c r="F458" s="88"/>
      <c r="G458" s="88"/>
      <c r="H458" s="88"/>
      <c r="I458" s="88"/>
      <c r="J458" s="88"/>
      <c r="K458" s="88"/>
      <c r="L458" s="88"/>
      <c r="M458" s="88"/>
      <c r="N458" s="88"/>
      <c r="O458" s="88"/>
      <c r="P458" s="88"/>
      <c r="Q458" s="88"/>
      <c r="R458" s="88"/>
      <c r="S458" s="88"/>
      <c r="T458" s="88"/>
      <c r="U458" s="88"/>
      <c r="V458" s="88"/>
      <c r="W458" s="88"/>
      <c r="X458" s="88"/>
      <c r="Y458" s="88"/>
      <c r="Z458" s="88"/>
      <c r="AA458" s="88"/>
      <c r="AB458" s="88"/>
      <c r="AC458" s="88"/>
      <c r="AD458" s="88"/>
      <c r="AE458" s="88"/>
      <c r="AF458" s="88"/>
      <c r="AG458" s="88"/>
      <c r="AH458" s="88"/>
      <c r="AI458" s="88"/>
      <c r="AJ458" s="88"/>
    </row>
    <row r="459" spans="1:36" ht="15">
      <c r="A459" s="88" t="s">
        <v>335</v>
      </c>
      <c r="B459" s="88" t="s">
        <v>1035</v>
      </c>
      <c r="C459" s="88" t="s">
        <v>7</v>
      </c>
      <c r="D459" s="88" t="s">
        <v>2293</v>
      </c>
      <c r="E459" s="88" t="s">
        <v>2294</v>
      </c>
      <c r="F459" s="88"/>
      <c r="G459" s="88"/>
      <c r="H459" s="88"/>
      <c r="I459" s="88"/>
      <c r="J459" s="88"/>
      <c r="K459" s="88"/>
      <c r="L459" s="88"/>
      <c r="M459" s="88"/>
      <c r="N459" s="88"/>
      <c r="O459" s="88"/>
      <c r="P459" s="88"/>
      <c r="Q459" s="88"/>
      <c r="R459" s="88"/>
      <c r="S459" s="88"/>
      <c r="T459" s="88"/>
      <c r="U459" s="88"/>
      <c r="V459" s="88"/>
      <c r="W459" s="88"/>
      <c r="X459" s="88"/>
      <c r="Y459" s="88"/>
      <c r="Z459" s="88"/>
      <c r="AA459" s="88"/>
      <c r="AB459" s="88"/>
      <c r="AC459" s="88"/>
      <c r="AD459" s="88"/>
      <c r="AE459" s="88"/>
      <c r="AF459" s="88"/>
      <c r="AG459" s="88"/>
      <c r="AH459" s="88"/>
      <c r="AI459" s="88"/>
      <c r="AJ459" s="88"/>
    </row>
    <row r="460" spans="1:36" ht="15">
      <c r="A460" s="88" t="s">
        <v>336</v>
      </c>
      <c r="B460" s="88" t="s">
        <v>368</v>
      </c>
      <c r="C460" s="88" t="s">
        <v>7</v>
      </c>
      <c r="D460" s="88" t="s">
        <v>2295</v>
      </c>
      <c r="E460" s="88" t="s">
        <v>2296</v>
      </c>
      <c r="F460" s="88"/>
      <c r="G460" s="88"/>
      <c r="H460" s="88"/>
      <c r="I460" s="88"/>
      <c r="J460" s="88"/>
      <c r="K460" s="88"/>
      <c r="L460" s="88"/>
      <c r="M460" s="88"/>
      <c r="N460" s="88"/>
      <c r="O460" s="88"/>
      <c r="P460" s="88"/>
      <c r="Q460" s="88"/>
      <c r="R460" s="88"/>
      <c r="S460" s="88"/>
      <c r="T460" s="88"/>
      <c r="U460" s="88"/>
      <c r="V460" s="88"/>
      <c r="W460" s="88"/>
      <c r="X460" s="88"/>
      <c r="Y460" s="88"/>
      <c r="Z460" s="88"/>
      <c r="AA460" s="88"/>
      <c r="AB460" s="88"/>
      <c r="AC460" s="88"/>
      <c r="AD460" s="88"/>
      <c r="AE460" s="88"/>
      <c r="AF460" s="88"/>
      <c r="AG460" s="88"/>
      <c r="AH460" s="88"/>
      <c r="AI460" s="88"/>
      <c r="AJ460" s="88"/>
    </row>
    <row r="461" spans="1:36" ht="15">
      <c r="A461" s="88" t="s">
        <v>336</v>
      </c>
      <c r="B461" s="88" t="s">
        <v>400</v>
      </c>
      <c r="C461" s="88" t="s">
        <v>7</v>
      </c>
      <c r="D461" s="88" t="s">
        <v>2297</v>
      </c>
      <c r="E461" s="88" t="s">
        <v>2298</v>
      </c>
      <c r="F461" s="88"/>
      <c r="G461" s="88"/>
      <c r="H461" s="88"/>
      <c r="I461" s="88"/>
      <c r="J461" s="88"/>
      <c r="K461" s="88"/>
      <c r="L461" s="88"/>
      <c r="M461" s="88"/>
      <c r="N461" s="88"/>
      <c r="O461" s="88"/>
      <c r="P461" s="88"/>
      <c r="Q461" s="88"/>
      <c r="R461" s="88"/>
      <c r="S461" s="88"/>
      <c r="T461" s="88"/>
      <c r="U461" s="88"/>
      <c r="V461" s="88"/>
      <c r="W461" s="88"/>
      <c r="X461" s="88"/>
      <c r="Y461" s="88"/>
      <c r="Z461" s="88"/>
      <c r="AA461" s="88"/>
      <c r="AB461" s="88"/>
      <c r="AC461" s="88"/>
      <c r="AD461" s="88"/>
      <c r="AE461" s="88"/>
      <c r="AF461" s="88"/>
      <c r="AG461" s="88"/>
      <c r="AH461" s="88"/>
      <c r="AI461" s="88"/>
      <c r="AJ461" s="88"/>
    </row>
    <row r="462" spans="1:36" ht="15">
      <c r="A462" s="88" t="s">
        <v>336</v>
      </c>
      <c r="B462" s="88" t="s">
        <v>429</v>
      </c>
      <c r="C462" s="88" t="s">
        <v>7</v>
      </c>
      <c r="D462" s="88" t="s">
        <v>2299</v>
      </c>
      <c r="E462" s="88" t="s">
        <v>2300</v>
      </c>
      <c r="F462" s="88"/>
      <c r="G462" s="88"/>
      <c r="H462" s="88"/>
      <c r="I462" s="88"/>
      <c r="J462" s="88"/>
      <c r="K462" s="88"/>
      <c r="L462" s="88"/>
      <c r="M462" s="88"/>
      <c r="N462" s="88"/>
      <c r="O462" s="88"/>
      <c r="P462" s="88"/>
      <c r="Q462" s="88"/>
      <c r="R462" s="88"/>
      <c r="S462" s="88"/>
      <c r="T462" s="88"/>
      <c r="U462" s="88"/>
      <c r="V462" s="88"/>
      <c r="W462" s="88"/>
      <c r="X462" s="88"/>
      <c r="Y462" s="88"/>
      <c r="Z462" s="88"/>
      <c r="AA462" s="88"/>
      <c r="AB462" s="88"/>
      <c r="AC462" s="88"/>
      <c r="AD462" s="88"/>
      <c r="AE462" s="88"/>
      <c r="AF462" s="88"/>
      <c r="AG462" s="88"/>
      <c r="AH462" s="88"/>
      <c r="AI462" s="88"/>
      <c r="AJ462" s="88"/>
    </row>
    <row r="463" spans="1:36" ht="15">
      <c r="A463" s="88" t="s">
        <v>336</v>
      </c>
      <c r="B463" s="88" t="s">
        <v>460</v>
      </c>
      <c r="C463" s="88" t="s">
        <v>7</v>
      </c>
      <c r="D463" s="88" t="s">
        <v>2301</v>
      </c>
      <c r="E463" s="88" t="s">
        <v>2302</v>
      </c>
      <c r="F463" s="88"/>
      <c r="G463" s="88"/>
      <c r="H463" s="88"/>
      <c r="I463" s="88"/>
      <c r="J463" s="88"/>
      <c r="K463" s="88"/>
      <c r="L463" s="88"/>
      <c r="M463" s="88"/>
      <c r="N463" s="88"/>
      <c r="O463" s="88"/>
      <c r="P463" s="88"/>
      <c r="Q463" s="88"/>
      <c r="R463" s="88"/>
      <c r="S463" s="88"/>
      <c r="T463" s="88"/>
      <c r="U463" s="88"/>
      <c r="V463" s="88"/>
      <c r="W463" s="88"/>
      <c r="X463" s="88"/>
      <c r="Y463" s="88"/>
      <c r="Z463" s="88"/>
      <c r="AA463" s="88"/>
      <c r="AB463" s="88"/>
      <c r="AC463" s="88"/>
      <c r="AD463" s="88"/>
      <c r="AE463" s="88"/>
      <c r="AF463" s="88"/>
      <c r="AG463" s="88"/>
      <c r="AH463" s="88"/>
      <c r="AI463" s="88"/>
      <c r="AJ463" s="88"/>
    </row>
    <row r="464" spans="1:36" ht="15">
      <c r="A464" s="88" t="s">
        <v>336</v>
      </c>
      <c r="B464" s="88" t="s">
        <v>492</v>
      </c>
      <c r="C464" s="88" t="s">
        <v>7</v>
      </c>
      <c r="D464" s="88" t="s">
        <v>2303</v>
      </c>
      <c r="E464" s="88" t="s">
        <v>2304</v>
      </c>
      <c r="F464" s="88"/>
      <c r="G464" s="88"/>
      <c r="H464" s="88"/>
      <c r="I464" s="88"/>
      <c r="J464" s="88"/>
      <c r="K464" s="88"/>
      <c r="L464" s="88"/>
      <c r="M464" s="88"/>
      <c r="N464" s="88"/>
      <c r="O464" s="88"/>
      <c r="P464" s="88"/>
      <c r="Q464" s="88"/>
      <c r="R464" s="88"/>
      <c r="S464" s="88"/>
      <c r="T464" s="88"/>
      <c r="U464" s="88"/>
      <c r="V464" s="88"/>
      <c r="W464" s="88"/>
      <c r="X464" s="88"/>
      <c r="Y464" s="88"/>
      <c r="Z464" s="88"/>
      <c r="AA464" s="88"/>
      <c r="AB464" s="88"/>
      <c r="AC464" s="88"/>
      <c r="AD464" s="88"/>
      <c r="AE464" s="88"/>
      <c r="AF464" s="88"/>
      <c r="AG464" s="88"/>
      <c r="AH464" s="88"/>
      <c r="AI464" s="88"/>
      <c r="AJ464" s="88"/>
    </row>
    <row r="465" spans="1:36" ht="15">
      <c r="A465" s="88" t="s">
        <v>336</v>
      </c>
      <c r="B465" s="88" t="s">
        <v>521</v>
      </c>
      <c r="C465" s="88" t="s">
        <v>7</v>
      </c>
      <c r="D465" s="88" t="s">
        <v>2305</v>
      </c>
      <c r="E465" s="88" t="s">
        <v>2306</v>
      </c>
      <c r="F465" s="88"/>
      <c r="G465" s="88"/>
      <c r="H465" s="88"/>
      <c r="I465" s="88"/>
      <c r="J465" s="88"/>
      <c r="K465" s="88"/>
      <c r="L465" s="88"/>
      <c r="M465" s="88"/>
      <c r="N465" s="88"/>
      <c r="O465" s="88"/>
      <c r="P465" s="88"/>
      <c r="Q465" s="88"/>
      <c r="R465" s="88"/>
      <c r="S465" s="88"/>
      <c r="T465" s="88"/>
      <c r="U465" s="88"/>
      <c r="V465" s="88"/>
      <c r="W465" s="88"/>
      <c r="X465" s="88"/>
      <c r="Y465" s="88"/>
      <c r="Z465" s="88"/>
      <c r="AA465" s="88"/>
      <c r="AB465" s="88"/>
      <c r="AC465" s="88"/>
      <c r="AD465" s="88"/>
      <c r="AE465" s="88"/>
      <c r="AF465" s="88"/>
      <c r="AG465" s="88"/>
      <c r="AH465" s="88"/>
      <c r="AI465" s="88"/>
      <c r="AJ465" s="88"/>
    </row>
    <row r="466" spans="1:36" ht="15">
      <c r="A466" s="88" t="s">
        <v>336</v>
      </c>
      <c r="B466" s="88" t="s">
        <v>551</v>
      </c>
      <c r="C466" s="88" t="s">
        <v>7</v>
      </c>
      <c r="D466" s="88" t="s">
        <v>2307</v>
      </c>
      <c r="E466" s="88" t="s">
        <v>2308</v>
      </c>
      <c r="F466" s="88"/>
      <c r="G466" s="88"/>
      <c r="H466" s="88"/>
      <c r="I466" s="88"/>
      <c r="J466" s="88"/>
      <c r="K466" s="88"/>
      <c r="L466" s="88"/>
      <c r="M466" s="88"/>
      <c r="N466" s="88"/>
      <c r="O466" s="88"/>
      <c r="P466" s="88"/>
      <c r="Q466" s="88"/>
      <c r="R466" s="88"/>
      <c r="S466" s="88"/>
      <c r="T466" s="88"/>
      <c r="U466" s="88"/>
      <c r="V466" s="88"/>
      <c r="W466" s="88"/>
      <c r="X466" s="88"/>
      <c r="Y466" s="88"/>
      <c r="Z466" s="88"/>
      <c r="AA466" s="88"/>
      <c r="AB466" s="88"/>
      <c r="AC466" s="88"/>
      <c r="AD466" s="88"/>
      <c r="AE466" s="88"/>
      <c r="AF466" s="88"/>
      <c r="AG466" s="88"/>
      <c r="AH466" s="88"/>
      <c r="AI466" s="88"/>
      <c r="AJ466" s="88"/>
    </row>
    <row r="467" spans="1:36" ht="15">
      <c r="A467" s="88" t="s">
        <v>336</v>
      </c>
      <c r="B467" s="88" t="s">
        <v>578</v>
      </c>
      <c r="C467" s="88" t="s">
        <v>7</v>
      </c>
      <c r="D467" s="88" t="s">
        <v>2309</v>
      </c>
      <c r="E467" s="88" t="s">
        <v>2310</v>
      </c>
      <c r="F467" s="88"/>
      <c r="G467" s="88"/>
      <c r="H467" s="88"/>
      <c r="I467" s="88"/>
      <c r="J467" s="88"/>
      <c r="K467" s="88"/>
      <c r="L467" s="88"/>
      <c r="M467" s="88"/>
      <c r="N467" s="88"/>
      <c r="O467" s="88"/>
      <c r="P467" s="88"/>
      <c r="Q467" s="88"/>
      <c r="R467" s="88"/>
      <c r="S467" s="88"/>
      <c r="T467" s="88"/>
      <c r="U467" s="88"/>
      <c r="V467" s="88"/>
      <c r="W467" s="88"/>
      <c r="X467" s="88"/>
      <c r="Y467" s="88"/>
      <c r="Z467" s="88"/>
      <c r="AA467" s="88"/>
      <c r="AB467" s="88"/>
      <c r="AC467" s="88"/>
      <c r="AD467" s="88"/>
      <c r="AE467" s="88"/>
      <c r="AF467" s="88"/>
      <c r="AG467" s="88"/>
      <c r="AH467" s="88"/>
      <c r="AI467" s="88"/>
      <c r="AJ467" s="88"/>
    </row>
    <row r="468" spans="1:36" ht="15">
      <c r="A468" s="88" t="s">
        <v>336</v>
      </c>
      <c r="B468" s="88" t="s">
        <v>606</v>
      </c>
      <c r="C468" s="88" t="s">
        <v>7</v>
      </c>
      <c r="D468" s="88" t="s">
        <v>2311</v>
      </c>
      <c r="E468" s="88" t="s">
        <v>2312</v>
      </c>
      <c r="F468" s="88"/>
      <c r="G468" s="88"/>
      <c r="H468" s="88"/>
      <c r="I468" s="88"/>
      <c r="J468" s="88"/>
      <c r="K468" s="88"/>
      <c r="L468" s="88"/>
      <c r="M468" s="88"/>
      <c r="N468" s="88"/>
      <c r="O468" s="88"/>
      <c r="P468" s="88"/>
      <c r="Q468" s="88"/>
      <c r="R468" s="88"/>
      <c r="S468" s="88"/>
      <c r="T468" s="88"/>
      <c r="U468" s="88"/>
      <c r="V468" s="88"/>
      <c r="W468" s="88"/>
      <c r="X468" s="88"/>
      <c r="Y468" s="88"/>
      <c r="Z468" s="88"/>
      <c r="AA468" s="88"/>
      <c r="AB468" s="88"/>
      <c r="AC468" s="88"/>
      <c r="AD468" s="88"/>
      <c r="AE468" s="88"/>
      <c r="AF468" s="88"/>
      <c r="AG468" s="88"/>
      <c r="AH468" s="88"/>
      <c r="AI468" s="88"/>
      <c r="AJ468" s="88"/>
    </row>
    <row r="469" spans="1:36" ht="15">
      <c r="A469" s="88" t="s">
        <v>336</v>
      </c>
      <c r="B469" s="88" t="s">
        <v>632</v>
      </c>
      <c r="C469" s="88" t="s">
        <v>7</v>
      </c>
      <c r="D469" s="88" t="s">
        <v>2313</v>
      </c>
      <c r="E469" s="88" t="s">
        <v>2314</v>
      </c>
      <c r="F469" s="88"/>
      <c r="G469" s="88"/>
      <c r="H469" s="88"/>
      <c r="I469" s="88"/>
      <c r="J469" s="88"/>
      <c r="K469" s="88"/>
      <c r="L469" s="88"/>
      <c r="M469" s="88"/>
      <c r="N469" s="88"/>
      <c r="O469" s="88"/>
      <c r="P469" s="88"/>
      <c r="Q469" s="88"/>
      <c r="R469" s="88"/>
      <c r="S469" s="88"/>
      <c r="T469" s="88"/>
      <c r="U469" s="88"/>
      <c r="V469" s="88"/>
      <c r="W469" s="88"/>
      <c r="X469" s="88"/>
      <c r="Y469" s="88"/>
      <c r="Z469" s="88"/>
      <c r="AA469" s="88"/>
      <c r="AB469" s="88"/>
      <c r="AC469" s="88"/>
      <c r="AD469" s="88"/>
      <c r="AE469" s="88"/>
      <c r="AF469" s="88"/>
      <c r="AG469" s="88"/>
      <c r="AH469" s="88"/>
      <c r="AI469" s="88"/>
      <c r="AJ469" s="88"/>
    </row>
    <row r="470" spans="1:36" ht="15">
      <c r="A470" s="88" t="s">
        <v>336</v>
      </c>
      <c r="B470" s="88" t="s">
        <v>657</v>
      </c>
      <c r="C470" s="88" t="s">
        <v>7</v>
      </c>
      <c r="D470" s="88" t="s">
        <v>2315</v>
      </c>
      <c r="E470" s="88" t="s">
        <v>2316</v>
      </c>
      <c r="F470" s="88"/>
      <c r="G470" s="88"/>
      <c r="H470" s="88"/>
      <c r="I470" s="88"/>
      <c r="J470" s="88"/>
      <c r="K470" s="88"/>
      <c r="L470" s="88"/>
      <c r="M470" s="88"/>
      <c r="N470" s="88"/>
      <c r="O470" s="88"/>
      <c r="P470" s="88"/>
      <c r="Q470" s="88"/>
      <c r="R470" s="88"/>
      <c r="S470" s="88"/>
      <c r="T470" s="88"/>
      <c r="U470" s="88"/>
      <c r="V470" s="88"/>
      <c r="W470" s="88"/>
      <c r="X470" s="88"/>
      <c r="Y470" s="88"/>
      <c r="Z470" s="88"/>
      <c r="AA470" s="88"/>
      <c r="AB470" s="88"/>
      <c r="AC470" s="88"/>
      <c r="AD470" s="88"/>
      <c r="AE470" s="88"/>
      <c r="AF470" s="88"/>
      <c r="AG470" s="88"/>
      <c r="AH470" s="88"/>
      <c r="AI470" s="88"/>
      <c r="AJ470" s="88"/>
    </row>
    <row r="471" spans="1:36" ht="15">
      <c r="A471" s="88" t="s">
        <v>336</v>
      </c>
      <c r="B471" s="88" t="s">
        <v>683</v>
      </c>
      <c r="C471" s="88" t="s">
        <v>7</v>
      </c>
      <c r="D471" s="88" t="s">
        <v>2317</v>
      </c>
      <c r="E471" s="88" t="s">
        <v>2318</v>
      </c>
      <c r="F471" s="88"/>
      <c r="G471" s="88"/>
      <c r="H471" s="88"/>
      <c r="I471" s="88"/>
      <c r="J471" s="88"/>
      <c r="K471" s="88"/>
      <c r="L471" s="88"/>
      <c r="M471" s="88"/>
      <c r="N471" s="88"/>
      <c r="O471" s="88"/>
      <c r="P471" s="88"/>
      <c r="Q471" s="88"/>
      <c r="R471" s="88"/>
      <c r="S471" s="88"/>
      <c r="T471" s="88"/>
      <c r="U471" s="88"/>
      <c r="V471" s="88"/>
      <c r="W471" s="88"/>
      <c r="X471" s="88"/>
      <c r="Y471" s="88"/>
      <c r="Z471" s="88"/>
      <c r="AA471" s="88"/>
      <c r="AB471" s="88"/>
      <c r="AC471" s="88"/>
      <c r="AD471" s="88"/>
      <c r="AE471" s="88"/>
      <c r="AF471" s="88"/>
      <c r="AG471" s="88"/>
      <c r="AH471" s="88"/>
      <c r="AI471" s="88"/>
      <c r="AJ471" s="88"/>
    </row>
    <row r="472" spans="1:36" ht="15">
      <c r="A472" s="88" t="s">
        <v>336</v>
      </c>
      <c r="B472" s="88" t="s">
        <v>707</v>
      </c>
      <c r="C472" s="88" t="s">
        <v>7</v>
      </c>
      <c r="D472" s="88" t="s">
        <v>2319</v>
      </c>
      <c r="E472" s="88" t="s">
        <v>2320</v>
      </c>
      <c r="F472" s="88"/>
      <c r="G472" s="88"/>
      <c r="H472" s="88"/>
      <c r="I472" s="88"/>
      <c r="J472" s="88"/>
      <c r="K472" s="88"/>
      <c r="L472" s="88"/>
      <c r="M472" s="88"/>
      <c r="N472" s="88"/>
      <c r="O472" s="88"/>
      <c r="P472" s="88"/>
      <c r="Q472" s="88"/>
      <c r="R472" s="88"/>
      <c r="S472" s="88"/>
      <c r="T472" s="88"/>
      <c r="U472" s="88"/>
      <c r="V472" s="88"/>
      <c r="W472" s="88"/>
      <c r="X472" s="88"/>
      <c r="Y472" s="88"/>
      <c r="Z472" s="88"/>
      <c r="AA472" s="88"/>
      <c r="AB472" s="88"/>
      <c r="AC472" s="88"/>
      <c r="AD472" s="88"/>
      <c r="AE472" s="88"/>
      <c r="AF472" s="88"/>
      <c r="AG472" s="88"/>
      <c r="AH472" s="88"/>
      <c r="AI472" s="88"/>
      <c r="AJ472" s="88"/>
    </row>
    <row r="473" spans="1:36" ht="15">
      <c r="A473" s="88" t="s">
        <v>336</v>
      </c>
      <c r="B473" s="88" t="s">
        <v>730</v>
      </c>
      <c r="C473" s="88" t="s">
        <v>7</v>
      </c>
      <c r="D473" s="88" t="s">
        <v>2321</v>
      </c>
      <c r="E473" s="88" t="s">
        <v>2322</v>
      </c>
      <c r="F473" s="88"/>
      <c r="G473" s="88"/>
      <c r="H473" s="88"/>
      <c r="I473" s="88"/>
      <c r="J473" s="88"/>
      <c r="K473" s="88"/>
      <c r="L473" s="88"/>
      <c r="M473" s="88"/>
      <c r="N473" s="88"/>
      <c r="O473" s="88"/>
      <c r="P473" s="88"/>
      <c r="Q473" s="88"/>
      <c r="R473" s="88"/>
      <c r="S473" s="88"/>
      <c r="T473" s="88"/>
      <c r="U473" s="88"/>
      <c r="V473" s="88"/>
      <c r="W473" s="88"/>
      <c r="X473" s="88"/>
      <c r="Y473" s="88"/>
      <c r="Z473" s="88"/>
      <c r="AA473" s="88"/>
      <c r="AB473" s="88"/>
      <c r="AC473" s="88"/>
      <c r="AD473" s="88"/>
      <c r="AE473" s="88"/>
      <c r="AF473" s="88"/>
      <c r="AG473" s="88"/>
      <c r="AH473" s="88"/>
      <c r="AI473" s="88"/>
      <c r="AJ473" s="88"/>
    </row>
    <row r="474" spans="1:36" ht="15">
      <c r="A474" s="88" t="s">
        <v>336</v>
      </c>
      <c r="B474" s="88" t="s">
        <v>754</v>
      </c>
      <c r="C474" s="88" t="s">
        <v>7</v>
      </c>
      <c r="D474" s="88" t="s">
        <v>2323</v>
      </c>
      <c r="E474" s="88" t="s">
        <v>2324</v>
      </c>
      <c r="F474" s="88"/>
      <c r="G474" s="88"/>
      <c r="H474" s="88"/>
      <c r="I474" s="88"/>
      <c r="J474" s="88"/>
      <c r="K474" s="88"/>
      <c r="L474" s="88"/>
      <c r="M474" s="88"/>
      <c r="N474" s="88"/>
      <c r="O474" s="88"/>
      <c r="P474" s="88"/>
      <c r="Q474" s="88"/>
      <c r="R474" s="88"/>
      <c r="S474" s="88"/>
      <c r="T474" s="88"/>
      <c r="U474" s="88"/>
      <c r="V474" s="88"/>
      <c r="W474" s="88"/>
      <c r="X474" s="88"/>
      <c r="Y474" s="88"/>
      <c r="Z474" s="88"/>
      <c r="AA474" s="88"/>
      <c r="AB474" s="88"/>
      <c r="AC474" s="88"/>
      <c r="AD474" s="88"/>
      <c r="AE474" s="88"/>
      <c r="AF474" s="88"/>
      <c r="AG474" s="88"/>
      <c r="AH474" s="88"/>
      <c r="AI474" s="88"/>
      <c r="AJ474" s="88"/>
    </row>
    <row r="475" spans="1:36" ht="15">
      <c r="A475" s="88" t="s">
        <v>336</v>
      </c>
      <c r="B475" s="88" t="s">
        <v>777</v>
      </c>
      <c r="C475" s="88" t="s">
        <v>7</v>
      </c>
      <c r="D475" s="88" t="s">
        <v>2325</v>
      </c>
      <c r="E475" s="88" t="s">
        <v>2326</v>
      </c>
      <c r="F475" s="88"/>
      <c r="G475" s="88"/>
      <c r="H475" s="88"/>
      <c r="I475" s="88"/>
      <c r="J475" s="88"/>
      <c r="K475" s="88"/>
      <c r="L475" s="88"/>
      <c r="M475" s="88"/>
      <c r="N475" s="88"/>
      <c r="O475" s="88"/>
      <c r="P475" s="88"/>
      <c r="Q475" s="88"/>
      <c r="R475" s="88"/>
      <c r="S475" s="88"/>
      <c r="T475" s="88"/>
      <c r="U475" s="88"/>
      <c r="V475" s="88"/>
      <c r="W475" s="88"/>
      <c r="X475" s="88"/>
      <c r="Y475" s="88"/>
      <c r="Z475" s="88"/>
      <c r="AA475" s="88"/>
      <c r="AB475" s="88"/>
      <c r="AC475" s="88"/>
      <c r="AD475" s="88"/>
      <c r="AE475" s="88"/>
      <c r="AF475" s="88"/>
      <c r="AG475" s="88"/>
      <c r="AH475" s="88"/>
      <c r="AI475" s="88"/>
      <c r="AJ475" s="88"/>
    </row>
    <row r="476" spans="1:36" ht="15">
      <c r="A476" s="88" t="s">
        <v>336</v>
      </c>
      <c r="B476" s="88" t="s">
        <v>798</v>
      </c>
      <c r="C476" s="88" t="s">
        <v>7</v>
      </c>
      <c r="D476" s="88" t="s">
        <v>2327</v>
      </c>
      <c r="E476" s="88" t="s">
        <v>2328</v>
      </c>
      <c r="F476" s="88"/>
      <c r="G476" s="88"/>
      <c r="H476" s="88"/>
      <c r="I476" s="88"/>
      <c r="J476" s="88"/>
      <c r="K476" s="88"/>
      <c r="L476" s="88"/>
      <c r="M476" s="88"/>
      <c r="N476" s="88"/>
      <c r="O476" s="88"/>
      <c r="P476" s="88"/>
      <c r="Q476" s="88"/>
      <c r="R476" s="88"/>
      <c r="S476" s="88"/>
      <c r="T476" s="88"/>
      <c r="U476" s="88"/>
      <c r="V476" s="88"/>
      <c r="W476" s="88"/>
      <c r="X476" s="88"/>
      <c r="Y476" s="88"/>
      <c r="Z476" s="88"/>
      <c r="AA476" s="88"/>
      <c r="AB476" s="88"/>
      <c r="AC476" s="88"/>
      <c r="AD476" s="88"/>
      <c r="AE476" s="88"/>
      <c r="AF476" s="88"/>
      <c r="AG476" s="88"/>
      <c r="AH476" s="88"/>
      <c r="AI476" s="88"/>
      <c r="AJ476" s="88"/>
    </row>
    <row r="477" spans="1:36" ht="15">
      <c r="A477" s="88" t="s">
        <v>336</v>
      </c>
      <c r="B477" s="88" t="s">
        <v>820</v>
      </c>
      <c r="C477" s="88" t="s">
        <v>7</v>
      </c>
      <c r="D477" s="88" t="s">
        <v>2329</v>
      </c>
      <c r="E477" s="88" t="s">
        <v>2330</v>
      </c>
      <c r="F477" s="88"/>
      <c r="G477" s="88"/>
      <c r="H477" s="88"/>
      <c r="I477" s="88"/>
      <c r="J477" s="88"/>
      <c r="K477" s="88"/>
      <c r="L477" s="88"/>
      <c r="M477" s="88"/>
      <c r="N477" s="88"/>
      <c r="O477" s="88"/>
      <c r="P477" s="88"/>
      <c r="Q477" s="88"/>
      <c r="R477" s="88"/>
      <c r="S477" s="88"/>
      <c r="T477" s="88"/>
      <c r="U477" s="88"/>
      <c r="V477" s="88"/>
      <c r="W477" s="88"/>
      <c r="X477" s="88"/>
      <c r="Y477" s="88"/>
      <c r="Z477" s="88"/>
      <c r="AA477" s="88"/>
      <c r="AB477" s="88"/>
      <c r="AC477" s="88"/>
      <c r="AD477" s="88"/>
      <c r="AE477" s="88"/>
      <c r="AF477" s="88"/>
      <c r="AG477" s="88"/>
      <c r="AH477" s="88"/>
      <c r="AI477" s="88"/>
      <c r="AJ477" s="88"/>
    </row>
    <row r="478" spans="1:36" ht="15">
      <c r="A478" s="88" t="s">
        <v>336</v>
      </c>
      <c r="B478" s="88" t="s">
        <v>841</v>
      </c>
      <c r="C478" s="88" t="s">
        <v>7</v>
      </c>
      <c r="D478" s="88" t="s">
        <v>2331</v>
      </c>
      <c r="E478" s="88" t="s">
        <v>2332</v>
      </c>
      <c r="F478" s="88"/>
      <c r="G478" s="88"/>
      <c r="H478" s="88"/>
      <c r="I478" s="88"/>
      <c r="J478" s="88"/>
      <c r="K478" s="88"/>
      <c r="L478" s="88"/>
      <c r="M478" s="88"/>
      <c r="N478" s="88"/>
      <c r="O478" s="88"/>
      <c r="P478" s="88"/>
      <c r="Q478" s="88"/>
      <c r="R478" s="88"/>
      <c r="S478" s="88"/>
      <c r="T478" s="88"/>
      <c r="U478" s="88"/>
      <c r="V478" s="88"/>
      <c r="W478" s="88"/>
      <c r="X478" s="88"/>
      <c r="Y478" s="88"/>
      <c r="Z478" s="88"/>
      <c r="AA478" s="88"/>
      <c r="AB478" s="88"/>
      <c r="AC478" s="88"/>
      <c r="AD478" s="88"/>
      <c r="AE478" s="88"/>
      <c r="AF478" s="88"/>
      <c r="AG478" s="88"/>
      <c r="AH478" s="88"/>
      <c r="AI478" s="88"/>
      <c r="AJ478" s="88"/>
    </row>
    <row r="479" spans="1:36" ht="15">
      <c r="A479" s="88" t="s">
        <v>336</v>
      </c>
      <c r="B479" s="88" t="s">
        <v>860</v>
      </c>
      <c r="C479" s="88" t="s">
        <v>7</v>
      </c>
      <c r="D479" s="88" t="s">
        <v>2333</v>
      </c>
      <c r="E479" s="88" t="s">
        <v>2334</v>
      </c>
      <c r="F479" s="88"/>
      <c r="G479" s="88"/>
      <c r="H479" s="88"/>
      <c r="I479" s="88"/>
      <c r="J479" s="88"/>
      <c r="K479" s="88"/>
      <c r="L479" s="88"/>
      <c r="M479" s="88"/>
      <c r="N479" s="88"/>
      <c r="O479" s="88"/>
      <c r="P479" s="88"/>
      <c r="Q479" s="88"/>
      <c r="R479" s="88"/>
      <c r="S479" s="88"/>
      <c r="T479" s="88"/>
      <c r="U479" s="88"/>
      <c r="V479" s="88"/>
      <c r="W479" s="88"/>
      <c r="X479" s="88"/>
      <c r="Y479" s="88"/>
      <c r="Z479" s="88"/>
      <c r="AA479" s="88"/>
      <c r="AB479" s="88"/>
      <c r="AC479" s="88"/>
      <c r="AD479" s="88"/>
      <c r="AE479" s="88"/>
      <c r="AF479" s="88"/>
      <c r="AG479" s="88"/>
      <c r="AH479" s="88"/>
      <c r="AI479" s="88"/>
      <c r="AJ479" s="88"/>
    </row>
    <row r="480" spans="1:36" ht="15">
      <c r="A480" s="88" t="s">
        <v>336</v>
      </c>
      <c r="B480" s="88" t="s">
        <v>881</v>
      </c>
      <c r="C480" s="88" t="s">
        <v>7</v>
      </c>
      <c r="D480" s="88" t="s">
        <v>2335</v>
      </c>
      <c r="E480" s="88" t="s">
        <v>2336</v>
      </c>
      <c r="F480" s="88"/>
      <c r="G480" s="88"/>
      <c r="H480" s="88"/>
      <c r="I480" s="88"/>
      <c r="J480" s="88"/>
      <c r="K480" s="88"/>
      <c r="L480" s="88"/>
      <c r="M480" s="88"/>
      <c r="N480" s="88"/>
      <c r="O480" s="88"/>
      <c r="P480" s="88"/>
      <c r="Q480" s="88"/>
      <c r="R480" s="88"/>
      <c r="S480" s="88"/>
      <c r="T480" s="88"/>
      <c r="U480" s="88"/>
      <c r="V480" s="88"/>
      <c r="W480" s="88"/>
      <c r="X480" s="88"/>
      <c r="Y480" s="88"/>
      <c r="Z480" s="88"/>
      <c r="AA480" s="88"/>
      <c r="AB480" s="88"/>
      <c r="AC480" s="88"/>
      <c r="AD480" s="88"/>
      <c r="AE480" s="88"/>
      <c r="AF480" s="88"/>
      <c r="AG480" s="88"/>
      <c r="AH480" s="88"/>
      <c r="AI480" s="88"/>
      <c r="AJ480" s="88"/>
    </row>
    <row r="481" spans="1:36" ht="15">
      <c r="A481" s="88" t="s">
        <v>336</v>
      </c>
      <c r="B481" s="88" t="s">
        <v>900</v>
      </c>
      <c r="C481" s="88" t="s">
        <v>7</v>
      </c>
      <c r="D481" s="88" t="s">
        <v>2337</v>
      </c>
      <c r="E481" s="88" t="s">
        <v>2338</v>
      </c>
      <c r="F481" s="88"/>
      <c r="G481" s="88"/>
      <c r="H481" s="88"/>
      <c r="I481" s="88"/>
      <c r="J481" s="88"/>
      <c r="K481" s="88"/>
      <c r="L481" s="88"/>
      <c r="M481" s="88"/>
      <c r="N481" s="88"/>
      <c r="O481" s="88"/>
      <c r="P481" s="88"/>
      <c r="Q481" s="88"/>
      <c r="R481" s="88"/>
      <c r="S481" s="88"/>
      <c r="T481" s="88"/>
      <c r="U481" s="88"/>
      <c r="V481" s="88"/>
      <c r="W481" s="88"/>
      <c r="X481" s="88"/>
      <c r="Y481" s="88"/>
      <c r="Z481" s="88"/>
      <c r="AA481" s="88"/>
      <c r="AB481" s="88"/>
      <c r="AC481" s="88"/>
      <c r="AD481" s="88"/>
      <c r="AE481" s="88"/>
      <c r="AF481" s="88"/>
      <c r="AG481" s="88"/>
      <c r="AH481" s="88"/>
      <c r="AI481" s="88"/>
      <c r="AJ481" s="88"/>
    </row>
    <row r="482" spans="1:36" ht="15">
      <c r="A482" s="88" t="s">
        <v>336</v>
      </c>
      <c r="B482" s="88" t="s">
        <v>919</v>
      </c>
      <c r="C482" s="88" t="s">
        <v>7</v>
      </c>
      <c r="D482" s="88" t="s">
        <v>2339</v>
      </c>
      <c r="E482" s="88" t="s">
        <v>2340</v>
      </c>
      <c r="F482" s="88"/>
      <c r="G482" s="88"/>
      <c r="H482" s="88"/>
      <c r="I482" s="88"/>
      <c r="J482" s="88"/>
      <c r="K482" s="88"/>
      <c r="L482" s="88"/>
      <c r="M482" s="88"/>
      <c r="N482" s="88"/>
      <c r="O482" s="88"/>
      <c r="P482" s="88"/>
      <c r="Q482" s="88"/>
      <c r="R482" s="88"/>
      <c r="S482" s="88"/>
      <c r="T482" s="88"/>
      <c r="U482" s="88"/>
      <c r="V482" s="88"/>
      <c r="W482" s="88"/>
      <c r="X482" s="88"/>
      <c r="Y482" s="88"/>
      <c r="Z482" s="88"/>
      <c r="AA482" s="88"/>
      <c r="AB482" s="88"/>
      <c r="AC482" s="88"/>
      <c r="AD482" s="88"/>
      <c r="AE482" s="88"/>
      <c r="AF482" s="88"/>
      <c r="AG482" s="88"/>
      <c r="AH482" s="88"/>
      <c r="AI482" s="88"/>
      <c r="AJ482" s="88"/>
    </row>
    <row r="483" spans="1:36" ht="15">
      <c r="A483" s="88" t="s">
        <v>336</v>
      </c>
      <c r="B483" s="88" t="s">
        <v>745</v>
      </c>
      <c r="C483" s="88" t="s">
        <v>7</v>
      </c>
      <c r="D483" s="88" t="s">
        <v>2341</v>
      </c>
      <c r="E483" s="88" t="s">
        <v>2342</v>
      </c>
      <c r="F483" s="88"/>
      <c r="G483" s="88"/>
      <c r="H483" s="88"/>
      <c r="I483" s="88"/>
      <c r="J483" s="88"/>
      <c r="K483" s="88"/>
      <c r="L483" s="88"/>
      <c r="M483" s="88"/>
      <c r="N483" s="88"/>
      <c r="O483" s="88"/>
      <c r="P483" s="88"/>
      <c r="Q483" s="88"/>
      <c r="R483" s="88"/>
      <c r="S483" s="88"/>
      <c r="T483" s="88"/>
      <c r="U483" s="88"/>
      <c r="V483" s="88"/>
      <c r="W483" s="88"/>
      <c r="X483" s="88"/>
      <c r="Y483" s="88"/>
      <c r="Z483" s="88"/>
      <c r="AA483" s="88"/>
      <c r="AB483" s="88"/>
      <c r="AC483" s="88"/>
      <c r="AD483" s="88"/>
      <c r="AE483" s="88"/>
      <c r="AF483" s="88"/>
      <c r="AG483" s="88"/>
      <c r="AH483" s="88"/>
      <c r="AI483" s="88"/>
      <c r="AJ483" s="88"/>
    </row>
    <row r="484" spans="1:36" ht="15">
      <c r="A484" s="88" t="s">
        <v>336</v>
      </c>
      <c r="B484" s="88" t="s">
        <v>954</v>
      </c>
      <c r="C484" s="88" t="s">
        <v>7</v>
      </c>
      <c r="D484" s="88" t="s">
        <v>2343</v>
      </c>
      <c r="E484" s="88" t="s">
        <v>2344</v>
      </c>
      <c r="F484" s="88"/>
      <c r="G484" s="88"/>
      <c r="H484" s="88"/>
      <c r="I484" s="88"/>
      <c r="J484" s="88"/>
      <c r="K484" s="88"/>
      <c r="L484" s="88"/>
      <c r="M484" s="88"/>
      <c r="N484" s="88"/>
      <c r="O484" s="88"/>
      <c r="P484" s="88"/>
      <c r="Q484" s="88"/>
      <c r="R484" s="88"/>
      <c r="S484" s="88"/>
      <c r="T484" s="88"/>
      <c r="U484" s="88"/>
      <c r="V484" s="88"/>
      <c r="W484" s="88"/>
      <c r="X484" s="88"/>
      <c r="Y484" s="88"/>
      <c r="Z484" s="88"/>
      <c r="AA484" s="88"/>
      <c r="AB484" s="88"/>
      <c r="AC484" s="88"/>
      <c r="AD484" s="88"/>
      <c r="AE484" s="88"/>
      <c r="AF484" s="88"/>
      <c r="AG484" s="88"/>
      <c r="AH484" s="88"/>
      <c r="AI484" s="88"/>
      <c r="AJ484" s="88"/>
    </row>
    <row r="485" spans="1:36" ht="15">
      <c r="A485" s="88" t="s">
        <v>336</v>
      </c>
      <c r="B485" s="88" t="s">
        <v>970</v>
      </c>
      <c r="C485" s="88" t="s">
        <v>7</v>
      </c>
      <c r="D485" s="88" t="s">
        <v>2345</v>
      </c>
      <c r="E485" s="88" t="s">
        <v>2346</v>
      </c>
      <c r="F485" s="88"/>
      <c r="G485" s="88"/>
      <c r="H485" s="88"/>
      <c r="I485" s="88"/>
      <c r="J485" s="88"/>
      <c r="K485" s="88"/>
      <c r="L485" s="88"/>
      <c r="M485" s="88"/>
      <c r="N485" s="88"/>
      <c r="O485" s="88"/>
      <c r="P485" s="88"/>
      <c r="Q485" s="88"/>
      <c r="R485" s="88"/>
      <c r="S485" s="88"/>
      <c r="T485" s="88"/>
      <c r="U485" s="88"/>
      <c r="V485" s="88"/>
      <c r="W485" s="88"/>
      <c r="X485" s="88"/>
      <c r="Y485" s="88"/>
      <c r="Z485" s="88"/>
      <c r="AA485" s="88"/>
      <c r="AB485" s="88"/>
      <c r="AC485" s="88"/>
      <c r="AD485" s="88"/>
      <c r="AE485" s="88"/>
      <c r="AF485" s="88"/>
      <c r="AG485" s="88"/>
      <c r="AH485" s="88"/>
      <c r="AI485" s="88"/>
      <c r="AJ485" s="88"/>
    </row>
    <row r="486" spans="1:36" ht="15">
      <c r="A486" s="88" t="s">
        <v>336</v>
      </c>
      <c r="B486" s="88" t="s">
        <v>989</v>
      </c>
      <c r="C486" s="88" t="s">
        <v>7</v>
      </c>
      <c r="D486" s="88" t="s">
        <v>2347</v>
      </c>
      <c r="E486" s="88" t="s">
        <v>2348</v>
      </c>
      <c r="F486" s="88"/>
      <c r="G486" s="88"/>
      <c r="H486" s="88"/>
      <c r="I486" s="88"/>
      <c r="J486" s="88"/>
      <c r="K486" s="88"/>
      <c r="L486" s="88"/>
      <c r="M486" s="88"/>
      <c r="N486" s="88"/>
      <c r="O486" s="88"/>
      <c r="P486" s="88"/>
      <c r="Q486" s="88"/>
      <c r="R486" s="88"/>
      <c r="S486" s="88"/>
      <c r="T486" s="88"/>
      <c r="U486" s="88"/>
      <c r="V486" s="88"/>
      <c r="W486" s="88"/>
      <c r="X486" s="88"/>
      <c r="Y486" s="88"/>
      <c r="Z486" s="88"/>
      <c r="AA486" s="88"/>
      <c r="AB486" s="88"/>
      <c r="AC486" s="88"/>
      <c r="AD486" s="88"/>
      <c r="AE486" s="88"/>
      <c r="AF486" s="88"/>
      <c r="AG486" s="88"/>
      <c r="AH486" s="88"/>
      <c r="AI486" s="88"/>
      <c r="AJ486" s="88"/>
    </row>
    <row r="487" spans="1:36" ht="15">
      <c r="A487" s="88" t="s">
        <v>336</v>
      </c>
      <c r="B487" s="88" t="s">
        <v>1006</v>
      </c>
      <c r="C487" s="88" t="s">
        <v>7</v>
      </c>
      <c r="D487" s="88" t="s">
        <v>2349</v>
      </c>
      <c r="E487" s="88" t="s">
        <v>2350</v>
      </c>
      <c r="F487" s="88"/>
      <c r="G487" s="88"/>
      <c r="H487" s="88"/>
      <c r="I487" s="88"/>
      <c r="J487" s="88"/>
      <c r="K487" s="88"/>
      <c r="L487" s="88"/>
      <c r="M487" s="88"/>
      <c r="N487" s="88"/>
      <c r="O487" s="88"/>
      <c r="P487" s="88"/>
      <c r="Q487" s="88"/>
      <c r="R487" s="88"/>
      <c r="S487" s="88"/>
      <c r="T487" s="88"/>
      <c r="U487" s="88"/>
      <c r="V487" s="88"/>
      <c r="W487" s="88"/>
      <c r="X487" s="88"/>
      <c r="Y487" s="88"/>
      <c r="Z487" s="88"/>
      <c r="AA487" s="88"/>
      <c r="AB487" s="88"/>
      <c r="AC487" s="88"/>
      <c r="AD487" s="88"/>
      <c r="AE487" s="88"/>
      <c r="AF487" s="88"/>
      <c r="AG487" s="88"/>
      <c r="AH487" s="88"/>
      <c r="AI487" s="88"/>
      <c r="AJ487" s="88"/>
    </row>
    <row r="488" spans="1:36" ht="15">
      <c r="A488" s="88" t="s">
        <v>336</v>
      </c>
      <c r="B488" s="88" t="s">
        <v>1020</v>
      </c>
      <c r="C488" s="88" t="s">
        <v>7</v>
      </c>
      <c r="D488" s="88" t="s">
        <v>2351</v>
      </c>
      <c r="E488" s="88" t="s">
        <v>2352</v>
      </c>
      <c r="F488" s="88"/>
      <c r="G488" s="88"/>
      <c r="H488" s="88"/>
      <c r="I488" s="88"/>
      <c r="J488" s="88"/>
      <c r="K488" s="88"/>
      <c r="L488" s="88"/>
      <c r="M488" s="88"/>
      <c r="N488" s="88"/>
      <c r="O488" s="88"/>
      <c r="P488" s="88"/>
      <c r="Q488" s="88"/>
      <c r="R488" s="88"/>
      <c r="S488" s="88"/>
      <c r="T488" s="88"/>
      <c r="U488" s="88"/>
      <c r="V488" s="88"/>
      <c r="W488" s="88"/>
      <c r="X488" s="88"/>
      <c r="Y488" s="88"/>
      <c r="Z488" s="88"/>
      <c r="AA488" s="88"/>
      <c r="AB488" s="88"/>
      <c r="AC488" s="88"/>
      <c r="AD488" s="88"/>
      <c r="AE488" s="88"/>
      <c r="AF488" s="88"/>
      <c r="AG488" s="88"/>
      <c r="AH488" s="88"/>
      <c r="AI488" s="88"/>
      <c r="AJ488" s="88"/>
    </row>
    <row r="489" spans="1:36" ht="15">
      <c r="A489" s="88" t="s">
        <v>336</v>
      </c>
      <c r="B489" s="88" t="s">
        <v>1036</v>
      </c>
      <c r="C489" s="88" t="s">
        <v>7</v>
      </c>
      <c r="D489" s="88" t="s">
        <v>2353</v>
      </c>
      <c r="E489" s="88" t="s">
        <v>2354</v>
      </c>
      <c r="F489" s="88"/>
      <c r="G489" s="88"/>
      <c r="H489" s="88"/>
      <c r="I489" s="88"/>
      <c r="J489" s="88"/>
      <c r="K489" s="88"/>
      <c r="L489" s="88"/>
      <c r="M489" s="88"/>
      <c r="N489" s="88"/>
      <c r="O489" s="88"/>
      <c r="P489" s="88"/>
      <c r="Q489" s="88"/>
      <c r="R489" s="88"/>
      <c r="S489" s="88"/>
      <c r="T489" s="88"/>
      <c r="U489" s="88"/>
      <c r="V489" s="88"/>
      <c r="W489" s="88"/>
      <c r="X489" s="88"/>
      <c r="Y489" s="88"/>
      <c r="Z489" s="88"/>
      <c r="AA489" s="88"/>
      <c r="AB489" s="88"/>
      <c r="AC489" s="88"/>
      <c r="AD489" s="88"/>
      <c r="AE489" s="88"/>
      <c r="AF489" s="88"/>
      <c r="AG489" s="88"/>
      <c r="AH489" s="88"/>
      <c r="AI489" s="88"/>
      <c r="AJ489" s="88"/>
    </row>
    <row r="490" spans="1:36" ht="15">
      <c r="A490" s="88" t="s">
        <v>336</v>
      </c>
      <c r="B490" s="88" t="s">
        <v>1051</v>
      </c>
      <c r="C490" s="88" t="s">
        <v>7</v>
      </c>
      <c r="D490" s="88" t="s">
        <v>2355</v>
      </c>
      <c r="E490" s="88" t="s">
        <v>2356</v>
      </c>
      <c r="F490" s="88"/>
      <c r="G490" s="88"/>
      <c r="H490" s="88"/>
      <c r="I490" s="88"/>
      <c r="J490" s="88"/>
      <c r="K490" s="88"/>
      <c r="L490" s="88"/>
      <c r="M490" s="88"/>
      <c r="N490" s="88"/>
      <c r="O490" s="88"/>
      <c r="P490" s="88"/>
      <c r="Q490" s="88"/>
      <c r="R490" s="88"/>
      <c r="S490" s="88"/>
      <c r="T490" s="88"/>
      <c r="U490" s="88"/>
      <c r="V490" s="88"/>
      <c r="W490" s="88"/>
      <c r="X490" s="88"/>
      <c r="Y490" s="88"/>
      <c r="Z490" s="88"/>
      <c r="AA490" s="88"/>
      <c r="AB490" s="88"/>
      <c r="AC490" s="88"/>
      <c r="AD490" s="88"/>
      <c r="AE490" s="88"/>
      <c r="AF490" s="88"/>
      <c r="AG490" s="88"/>
      <c r="AH490" s="88"/>
      <c r="AI490" s="88"/>
      <c r="AJ490" s="88"/>
    </row>
    <row r="491" spans="1:36" ht="15">
      <c r="A491" s="88" t="s">
        <v>336</v>
      </c>
      <c r="B491" s="88" t="s">
        <v>1064</v>
      </c>
      <c r="C491" s="88" t="s">
        <v>7</v>
      </c>
      <c r="D491" s="88" t="s">
        <v>2357</v>
      </c>
      <c r="E491" s="88" t="s">
        <v>2358</v>
      </c>
      <c r="F491" s="88"/>
      <c r="G491" s="88"/>
      <c r="H491" s="88"/>
      <c r="I491" s="88"/>
      <c r="J491" s="88"/>
      <c r="K491" s="88"/>
      <c r="L491" s="88"/>
      <c r="M491" s="88"/>
      <c r="N491" s="88"/>
      <c r="O491" s="88"/>
      <c r="P491" s="88"/>
      <c r="Q491" s="88"/>
      <c r="R491" s="88"/>
      <c r="S491" s="88"/>
      <c r="T491" s="88"/>
      <c r="U491" s="88"/>
      <c r="V491" s="88"/>
      <c r="W491" s="88"/>
      <c r="X491" s="88"/>
      <c r="Y491" s="88"/>
      <c r="Z491" s="88"/>
      <c r="AA491" s="88"/>
      <c r="AB491" s="88"/>
      <c r="AC491" s="88"/>
      <c r="AD491" s="88"/>
      <c r="AE491" s="88"/>
      <c r="AF491" s="88"/>
      <c r="AG491" s="88"/>
      <c r="AH491" s="88"/>
      <c r="AI491" s="88"/>
      <c r="AJ491" s="88"/>
    </row>
    <row r="492" spans="1:36" ht="15">
      <c r="A492" s="88" t="s">
        <v>336</v>
      </c>
      <c r="B492" s="88" t="s">
        <v>1076</v>
      </c>
      <c r="C492" s="88" t="s">
        <v>7</v>
      </c>
      <c r="D492" s="88" t="s">
        <v>2359</v>
      </c>
      <c r="E492" s="88" t="s">
        <v>2360</v>
      </c>
      <c r="F492" s="88"/>
      <c r="G492" s="88"/>
      <c r="H492" s="88"/>
      <c r="I492" s="88"/>
      <c r="J492" s="88"/>
      <c r="K492" s="88"/>
      <c r="L492" s="88"/>
      <c r="M492" s="88"/>
      <c r="N492" s="88"/>
      <c r="O492" s="88"/>
      <c r="P492" s="88"/>
      <c r="Q492" s="88"/>
      <c r="R492" s="88"/>
      <c r="S492" s="88"/>
      <c r="T492" s="88"/>
      <c r="U492" s="88"/>
      <c r="V492" s="88"/>
      <c r="W492" s="88"/>
      <c r="X492" s="88"/>
      <c r="Y492" s="88"/>
      <c r="Z492" s="88"/>
      <c r="AA492" s="88"/>
      <c r="AB492" s="88"/>
      <c r="AC492" s="88"/>
      <c r="AD492" s="88"/>
      <c r="AE492" s="88"/>
      <c r="AF492" s="88"/>
      <c r="AG492" s="88"/>
      <c r="AH492" s="88"/>
      <c r="AI492" s="88"/>
      <c r="AJ492" s="88"/>
    </row>
    <row r="493" spans="1:36" ht="15">
      <c r="A493" s="88" t="s">
        <v>336</v>
      </c>
      <c r="B493" s="88" t="s">
        <v>1087</v>
      </c>
      <c r="C493" s="88" t="s">
        <v>7</v>
      </c>
      <c r="D493" s="88" t="s">
        <v>2361</v>
      </c>
      <c r="E493" s="88" t="s">
        <v>2362</v>
      </c>
      <c r="F493" s="88"/>
      <c r="G493" s="88"/>
      <c r="H493" s="88"/>
      <c r="I493" s="88"/>
      <c r="J493" s="88"/>
      <c r="K493" s="88"/>
      <c r="L493" s="88"/>
      <c r="M493" s="88"/>
      <c r="N493" s="88"/>
      <c r="O493" s="88"/>
      <c r="P493" s="88"/>
      <c r="Q493" s="88"/>
      <c r="R493" s="88"/>
      <c r="S493" s="88"/>
      <c r="T493" s="88"/>
      <c r="U493" s="88"/>
      <c r="V493" s="88"/>
      <c r="W493" s="88"/>
      <c r="X493" s="88"/>
      <c r="Y493" s="88"/>
      <c r="Z493" s="88"/>
      <c r="AA493" s="88"/>
      <c r="AB493" s="88"/>
      <c r="AC493" s="88"/>
      <c r="AD493" s="88"/>
      <c r="AE493" s="88"/>
      <c r="AF493" s="88"/>
      <c r="AG493" s="88"/>
      <c r="AH493" s="88"/>
      <c r="AI493" s="88"/>
      <c r="AJ493" s="88"/>
    </row>
    <row r="494" spans="1:36" ht="15">
      <c r="A494" s="88" t="s">
        <v>336</v>
      </c>
      <c r="B494" s="88" t="s">
        <v>1100</v>
      </c>
      <c r="C494" s="88" t="s">
        <v>7</v>
      </c>
      <c r="D494" s="88" t="s">
        <v>2363</v>
      </c>
      <c r="E494" s="88" t="s">
        <v>2364</v>
      </c>
      <c r="F494" s="88"/>
      <c r="G494" s="88"/>
      <c r="H494" s="88"/>
      <c r="I494" s="88"/>
      <c r="J494" s="88"/>
      <c r="K494" s="88"/>
      <c r="L494" s="88"/>
      <c r="M494" s="88"/>
      <c r="N494" s="88"/>
      <c r="O494" s="88"/>
      <c r="P494" s="88"/>
      <c r="Q494" s="88"/>
      <c r="R494" s="88"/>
      <c r="S494" s="88"/>
      <c r="T494" s="88"/>
      <c r="U494" s="88"/>
      <c r="V494" s="88"/>
      <c r="W494" s="88"/>
      <c r="X494" s="88"/>
      <c r="Y494" s="88"/>
      <c r="Z494" s="88"/>
      <c r="AA494" s="88"/>
      <c r="AB494" s="88"/>
      <c r="AC494" s="88"/>
      <c r="AD494" s="88"/>
      <c r="AE494" s="88"/>
      <c r="AF494" s="88"/>
      <c r="AG494" s="88"/>
      <c r="AH494" s="88"/>
      <c r="AI494" s="88"/>
      <c r="AJ494" s="88"/>
    </row>
    <row r="495" spans="1:36" ht="15">
      <c r="A495" s="88" t="s">
        <v>336</v>
      </c>
      <c r="B495" s="88" t="s">
        <v>1113</v>
      </c>
      <c r="C495" s="88" t="s">
        <v>7</v>
      </c>
      <c r="D495" s="88" t="s">
        <v>2365</v>
      </c>
      <c r="E495" s="88" t="s">
        <v>2366</v>
      </c>
      <c r="F495" s="88"/>
      <c r="G495" s="88"/>
      <c r="H495" s="88"/>
      <c r="I495" s="88"/>
      <c r="J495" s="88"/>
      <c r="K495" s="88"/>
      <c r="L495" s="88"/>
      <c r="M495" s="88"/>
      <c r="N495" s="88"/>
      <c r="O495" s="88"/>
      <c r="P495" s="88"/>
      <c r="Q495" s="88"/>
      <c r="R495" s="88"/>
      <c r="S495" s="88"/>
      <c r="T495" s="88"/>
      <c r="U495" s="88"/>
      <c r="V495" s="88"/>
      <c r="W495" s="88"/>
      <c r="X495" s="88"/>
      <c r="Y495" s="88"/>
      <c r="Z495" s="88"/>
      <c r="AA495" s="88"/>
      <c r="AB495" s="88"/>
      <c r="AC495" s="88"/>
      <c r="AD495" s="88"/>
      <c r="AE495" s="88"/>
      <c r="AF495" s="88"/>
      <c r="AG495" s="88"/>
      <c r="AH495" s="88"/>
      <c r="AI495" s="88"/>
      <c r="AJ495" s="88"/>
    </row>
    <row r="496" spans="1:36" ht="15">
      <c r="A496" s="88" t="s">
        <v>336</v>
      </c>
      <c r="B496" s="88" t="s">
        <v>687</v>
      </c>
      <c r="C496" s="88" t="s">
        <v>7</v>
      </c>
      <c r="D496" s="88" t="s">
        <v>2367</v>
      </c>
      <c r="E496" s="88" t="s">
        <v>2368</v>
      </c>
      <c r="F496" s="88"/>
      <c r="G496" s="88"/>
      <c r="H496" s="88"/>
      <c r="I496" s="88"/>
      <c r="J496" s="88"/>
      <c r="K496" s="88"/>
      <c r="L496" s="88"/>
      <c r="M496" s="88"/>
      <c r="N496" s="88"/>
      <c r="O496" s="88"/>
      <c r="P496" s="88"/>
      <c r="Q496" s="88"/>
      <c r="R496" s="88"/>
      <c r="S496" s="88"/>
      <c r="T496" s="88"/>
      <c r="U496" s="88"/>
      <c r="V496" s="88"/>
      <c r="W496" s="88"/>
      <c r="X496" s="88"/>
      <c r="Y496" s="88"/>
      <c r="Z496" s="88"/>
      <c r="AA496" s="88"/>
      <c r="AB496" s="88"/>
      <c r="AC496" s="88"/>
      <c r="AD496" s="88"/>
      <c r="AE496" s="88"/>
      <c r="AF496" s="88"/>
      <c r="AG496" s="88"/>
      <c r="AH496" s="88"/>
      <c r="AI496" s="88"/>
      <c r="AJ496" s="88"/>
    </row>
    <row r="497" spans="1:36" ht="15">
      <c r="A497" s="88" t="s">
        <v>336</v>
      </c>
      <c r="B497" s="88" t="s">
        <v>1135</v>
      </c>
      <c r="C497" s="88" t="s">
        <v>7</v>
      </c>
      <c r="D497" s="88" t="s">
        <v>2369</v>
      </c>
      <c r="E497" s="88" t="s">
        <v>2370</v>
      </c>
      <c r="F497" s="88"/>
      <c r="G497" s="88"/>
      <c r="H497" s="88"/>
      <c r="I497" s="88"/>
      <c r="J497" s="88"/>
      <c r="K497" s="88"/>
      <c r="L497" s="88"/>
      <c r="M497" s="88"/>
      <c r="N497" s="88"/>
      <c r="O497" s="88"/>
      <c r="P497" s="88"/>
      <c r="Q497" s="88"/>
      <c r="R497" s="88"/>
      <c r="S497" s="88"/>
      <c r="T497" s="88"/>
      <c r="U497" s="88"/>
      <c r="V497" s="88"/>
      <c r="W497" s="88"/>
      <c r="X497" s="88"/>
      <c r="Y497" s="88"/>
      <c r="Z497" s="88"/>
      <c r="AA497" s="88"/>
      <c r="AB497" s="88"/>
      <c r="AC497" s="88"/>
      <c r="AD497" s="88"/>
      <c r="AE497" s="88"/>
      <c r="AF497" s="88"/>
      <c r="AG497" s="88"/>
      <c r="AH497" s="88"/>
      <c r="AI497" s="88"/>
      <c r="AJ497" s="88"/>
    </row>
    <row r="498" spans="1:36" ht="15">
      <c r="A498" s="88" t="s">
        <v>336</v>
      </c>
      <c r="B498" s="88" t="s">
        <v>1145</v>
      </c>
      <c r="C498" s="88" t="s">
        <v>7</v>
      </c>
      <c r="D498" s="88" t="s">
        <v>2371</v>
      </c>
      <c r="E498" s="88" t="s">
        <v>2372</v>
      </c>
      <c r="F498" s="88"/>
      <c r="G498" s="88"/>
      <c r="H498" s="88"/>
      <c r="I498" s="88"/>
      <c r="J498" s="88"/>
      <c r="K498" s="88"/>
      <c r="L498" s="88"/>
      <c r="M498" s="88"/>
      <c r="N498" s="88"/>
      <c r="O498" s="88"/>
      <c r="P498" s="88"/>
      <c r="Q498" s="88"/>
      <c r="R498" s="88"/>
      <c r="S498" s="88"/>
      <c r="T498" s="88"/>
      <c r="U498" s="88"/>
      <c r="V498" s="88"/>
      <c r="W498" s="88"/>
      <c r="X498" s="88"/>
      <c r="Y498" s="88"/>
      <c r="Z498" s="88"/>
      <c r="AA498" s="88"/>
      <c r="AB498" s="88"/>
      <c r="AC498" s="88"/>
      <c r="AD498" s="88"/>
      <c r="AE498" s="88"/>
      <c r="AF498" s="88"/>
      <c r="AG498" s="88"/>
      <c r="AH498" s="88"/>
      <c r="AI498" s="88"/>
      <c r="AJ498" s="88"/>
    </row>
    <row r="499" spans="1:36" ht="15">
      <c r="A499" s="88" t="s">
        <v>336</v>
      </c>
      <c r="B499" s="88" t="s">
        <v>1157</v>
      </c>
      <c r="C499" s="88" t="s">
        <v>7</v>
      </c>
      <c r="D499" s="88" t="s">
        <v>2373</v>
      </c>
      <c r="E499" s="88" t="s">
        <v>2374</v>
      </c>
      <c r="F499" s="88"/>
      <c r="G499" s="88"/>
      <c r="H499" s="88"/>
      <c r="I499" s="88"/>
      <c r="J499" s="88"/>
      <c r="K499" s="88"/>
      <c r="L499" s="88"/>
      <c r="M499" s="88"/>
      <c r="N499" s="88"/>
      <c r="O499" s="88"/>
      <c r="P499" s="88"/>
      <c r="Q499" s="88"/>
      <c r="R499" s="88"/>
      <c r="S499" s="88"/>
      <c r="T499" s="88"/>
      <c r="U499" s="88"/>
      <c r="V499" s="88"/>
      <c r="W499" s="88"/>
      <c r="X499" s="88"/>
      <c r="Y499" s="88"/>
      <c r="Z499" s="88"/>
      <c r="AA499" s="88"/>
      <c r="AB499" s="88"/>
      <c r="AC499" s="88"/>
      <c r="AD499" s="88"/>
      <c r="AE499" s="88"/>
      <c r="AF499" s="88"/>
      <c r="AG499" s="88"/>
      <c r="AH499" s="88"/>
      <c r="AI499" s="88"/>
      <c r="AJ499" s="88"/>
    </row>
    <row r="500" spans="1:36" ht="15">
      <c r="A500" s="88" t="s">
        <v>336</v>
      </c>
      <c r="B500" s="88" t="s">
        <v>1168</v>
      </c>
      <c r="C500" s="88" t="s">
        <v>7</v>
      </c>
      <c r="D500" s="88" t="s">
        <v>2375</v>
      </c>
      <c r="E500" s="88" t="s">
        <v>2376</v>
      </c>
      <c r="F500" s="88"/>
      <c r="G500" s="88"/>
      <c r="H500" s="88"/>
      <c r="I500" s="88"/>
      <c r="J500" s="88"/>
      <c r="K500" s="88"/>
      <c r="L500" s="88"/>
      <c r="M500" s="88"/>
      <c r="N500" s="88"/>
      <c r="O500" s="88"/>
      <c r="P500" s="88"/>
      <c r="Q500" s="88"/>
      <c r="R500" s="88"/>
      <c r="S500" s="88"/>
      <c r="T500" s="88"/>
      <c r="U500" s="88"/>
      <c r="V500" s="88"/>
      <c r="W500" s="88"/>
      <c r="X500" s="88"/>
      <c r="Y500" s="88"/>
      <c r="Z500" s="88"/>
      <c r="AA500" s="88"/>
      <c r="AB500" s="88"/>
      <c r="AC500" s="88"/>
      <c r="AD500" s="88"/>
      <c r="AE500" s="88"/>
      <c r="AF500" s="88"/>
      <c r="AG500" s="88"/>
      <c r="AH500" s="88"/>
      <c r="AI500" s="88"/>
      <c r="AJ500" s="88"/>
    </row>
    <row r="501" spans="1:36" ht="15">
      <c r="A501" s="88" t="s">
        <v>336</v>
      </c>
      <c r="B501" s="88" t="s">
        <v>1179</v>
      </c>
      <c r="C501" s="88" t="s">
        <v>7</v>
      </c>
      <c r="D501" s="88" t="s">
        <v>2377</v>
      </c>
      <c r="E501" s="88" t="s">
        <v>2378</v>
      </c>
      <c r="F501" s="88"/>
      <c r="G501" s="88"/>
      <c r="H501" s="88"/>
      <c r="I501" s="88"/>
      <c r="J501" s="88"/>
      <c r="K501" s="88"/>
      <c r="L501" s="88"/>
      <c r="M501" s="88"/>
      <c r="N501" s="88"/>
      <c r="O501" s="88"/>
      <c r="P501" s="88"/>
      <c r="Q501" s="88"/>
      <c r="R501" s="88"/>
      <c r="S501" s="88"/>
      <c r="T501" s="88"/>
      <c r="U501" s="88"/>
      <c r="V501" s="88"/>
      <c r="W501" s="88"/>
      <c r="X501" s="88"/>
      <c r="Y501" s="88"/>
      <c r="Z501" s="88"/>
      <c r="AA501" s="88"/>
      <c r="AB501" s="88"/>
      <c r="AC501" s="88"/>
      <c r="AD501" s="88"/>
      <c r="AE501" s="88"/>
      <c r="AF501" s="88"/>
      <c r="AG501" s="88"/>
      <c r="AH501" s="88"/>
      <c r="AI501" s="88"/>
      <c r="AJ501" s="88"/>
    </row>
    <row r="502" spans="1:36" ht="15">
      <c r="A502" s="88" t="s">
        <v>336</v>
      </c>
      <c r="B502" s="88" t="s">
        <v>1189</v>
      </c>
      <c r="C502" s="88" t="s">
        <v>7</v>
      </c>
      <c r="D502" s="88" t="s">
        <v>2379</v>
      </c>
      <c r="E502" s="88" t="s">
        <v>2380</v>
      </c>
      <c r="F502" s="88"/>
      <c r="G502" s="88"/>
      <c r="H502" s="88"/>
      <c r="I502" s="88"/>
      <c r="J502" s="88"/>
      <c r="K502" s="88"/>
      <c r="L502" s="88"/>
      <c r="M502" s="88"/>
      <c r="N502" s="88"/>
      <c r="O502" s="88"/>
      <c r="P502" s="88"/>
      <c r="Q502" s="88"/>
      <c r="R502" s="88"/>
      <c r="S502" s="88"/>
      <c r="T502" s="88"/>
      <c r="U502" s="88"/>
      <c r="V502" s="88"/>
      <c r="W502" s="88"/>
      <c r="X502" s="88"/>
      <c r="Y502" s="88"/>
      <c r="Z502" s="88"/>
      <c r="AA502" s="88"/>
      <c r="AB502" s="88"/>
      <c r="AC502" s="88"/>
      <c r="AD502" s="88"/>
      <c r="AE502" s="88"/>
      <c r="AF502" s="88"/>
      <c r="AG502" s="88"/>
      <c r="AH502" s="88"/>
      <c r="AI502" s="88"/>
      <c r="AJ502" s="88"/>
    </row>
    <row r="503" spans="1:36" ht="15">
      <c r="A503" s="88" t="s">
        <v>336</v>
      </c>
      <c r="B503" s="88" t="s">
        <v>1197</v>
      </c>
      <c r="C503" s="88" t="s">
        <v>7</v>
      </c>
      <c r="D503" s="88" t="s">
        <v>2381</v>
      </c>
      <c r="E503" s="88" t="s">
        <v>2382</v>
      </c>
      <c r="F503" s="88"/>
      <c r="G503" s="88"/>
      <c r="H503" s="88"/>
      <c r="I503" s="88"/>
      <c r="J503" s="88"/>
      <c r="K503" s="88"/>
      <c r="L503" s="88"/>
      <c r="M503" s="88"/>
      <c r="N503" s="88"/>
      <c r="O503" s="88"/>
      <c r="P503" s="88"/>
      <c r="Q503" s="88"/>
      <c r="R503" s="88"/>
      <c r="S503" s="88"/>
      <c r="T503" s="88"/>
      <c r="U503" s="88"/>
      <c r="V503" s="88"/>
      <c r="W503" s="88"/>
      <c r="X503" s="88"/>
      <c r="Y503" s="88"/>
      <c r="Z503" s="88"/>
      <c r="AA503" s="88"/>
      <c r="AB503" s="88"/>
      <c r="AC503" s="88"/>
      <c r="AD503" s="88"/>
      <c r="AE503" s="88"/>
      <c r="AF503" s="88"/>
      <c r="AG503" s="88"/>
      <c r="AH503" s="88"/>
      <c r="AI503" s="88"/>
      <c r="AJ503" s="88"/>
    </row>
    <row r="504" spans="1:36" ht="15">
      <c r="A504" s="88" t="s">
        <v>336</v>
      </c>
      <c r="B504" s="88" t="s">
        <v>1205</v>
      </c>
      <c r="C504" s="88" t="s">
        <v>7</v>
      </c>
      <c r="D504" s="88" t="s">
        <v>2383</v>
      </c>
      <c r="E504" s="88" t="s">
        <v>2384</v>
      </c>
      <c r="F504" s="88"/>
      <c r="G504" s="88"/>
      <c r="H504" s="88"/>
      <c r="I504" s="88"/>
      <c r="J504" s="88"/>
      <c r="K504" s="88"/>
      <c r="L504" s="88"/>
      <c r="M504" s="88"/>
      <c r="N504" s="88"/>
      <c r="O504" s="88"/>
      <c r="P504" s="88"/>
      <c r="Q504" s="88"/>
      <c r="R504" s="88"/>
      <c r="S504" s="88"/>
      <c r="T504" s="88"/>
      <c r="U504" s="88"/>
      <c r="V504" s="88"/>
      <c r="W504" s="88"/>
      <c r="X504" s="88"/>
      <c r="Y504" s="88"/>
      <c r="Z504" s="88"/>
      <c r="AA504" s="88"/>
      <c r="AB504" s="88"/>
      <c r="AC504" s="88"/>
      <c r="AD504" s="88"/>
      <c r="AE504" s="88"/>
      <c r="AF504" s="88"/>
      <c r="AG504" s="88"/>
      <c r="AH504" s="88"/>
      <c r="AI504" s="88"/>
      <c r="AJ504" s="88"/>
    </row>
    <row r="505" spans="1:36" ht="15">
      <c r="A505" s="88" t="s">
        <v>336</v>
      </c>
      <c r="B505" s="88" t="s">
        <v>1214</v>
      </c>
      <c r="C505" s="88" t="s">
        <v>7</v>
      </c>
      <c r="D505" s="88" t="s">
        <v>2385</v>
      </c>
      <c r="E505" s="88" t="s">
        <v>2386</v>
      </c>
      <c r="F505" s="88"/>
      <c r="G505" s="88"/>
      <c r="H505" s="88"/>
      <c r="I505" s="88"/>
      <c r="J505" s="88"/>
      <c r="K505" s="88"/>
      <c r="L505" s="88"/>
      <c r="M505" s="88"/>
      <c r="N505" s="88"/>
      <c r="O505" s="88"/>
      <c r="P505" s="88"/>
      <c r="Q505" s="88"/>
      <c r="R505" s="88"/>
      <c r="S505" s="88"/>
      <c r="T505" s="88"/>
      <c r="U505" s="88"/>
      <c r="V505" s="88"/>
      <c r="W505" s="88"/>
      <c r="X505" s="88"/>
      <c r="Y505" s="88"/>
      <c r="Z505" s="88"/>
      <c r="AA505" s="88"/>
      <c r="AB505" s="88"/>
      <c r="AC505" s="88"/>
      <c r="AD505" s="88"/>
      <c r="AE505" s="88"/>
      <c r="AF505" s="88"/>
      <c r="AG505" s="88"/>
      <c r="AH505" s="88"/>
      <c r="AI505" s="88"/>
      <c r="AJ505" s="88"/>
    </row>
    <row r="506" spans="1:36" ht="15">
      <c r="A506" s="88" t="s">
        <v>336</v>
      </c>
      <c r="B506" s="88" t="s">
        <v>1222</v>
      </c>
      <c r="C506" s="88" t="s">
        <v>7</v>
      </c>
      <c r="D506" s="88" t="s">
        <v>2387</v>
      </c>
      <c r="E506" s="88" t="s">
        <v>2388</v>
      </c>
      <c r="F506" s="88"/>
      <c r="G506" s="88"/>
      <c r="H506" s="88"/>
      <c r="I506" s="88"/>
      <c r="J506" s="88"/>
      <c r="K506" s="88"/>
      <c r="L506" s="88"/>
      <c r="M506" s="88"/>
      <c r="N506" s="88"/>
      <c r="O506" s="88"/>
      <c r="P506" s="88"/>
      <c r="Q506" s="88"/>
      <c r="R506" s="88"/>
      <c r="S506" s="88"/>
      <c r="T506" s="88"/>
      <c r="U506" s="88"/>
      <c r="V506" s="88"/>
      <c r="W506" s="88"/>
      <c r="X506" s="88"/>
      <c r="Y506" s="88"/>
      <c r="Z506" s="88"/>
      <c r="AA506" s="88"/>
      <c r="AB506" s="88"/>
      <c r="AC506" s="88"/>
      <c r="AD506" s="88"/>
      <c r="AE506" s="88"/>
      <c r="AF506" s="88"/>
      <c r="AG506" s="88"/>
      <c r="AH506" s="88"/>
      <c r="AI506" s="88"/>
      <c r="AJ506" s="88"/>
    </row>
    <row r="507" spans="1:36" ht="15">
      <c r="A507" s="88" t="s">
        <v>336</v>
      </c>
      <c r="B507" s="88" t="s">
        <v>1229</v>
      </c>
      <c r="C507" s="88" t="s">
        <v>7</v>
      </c>
      <c r="D507" s="88" t="s">
        <v>2389</v>
      </c>
      <c r="E507" s="88" t="s">
        <v>2390</v>
      </c>
      <c r="F507" s="88"/>
      <c r="G507" s="88"/>
      <c r="H507" s="88"/>
      <c r="I507" s="88"/>
      <c r="J507" s="88"/>
      <c r="K507" s="88"/>
      <c r="L507" s="88"/>
      <c r="M507" s="88"/>
      <c r="N507" s="88"/>
      <c r="O507" s="88"/>
      <c r="P507" s="88"/>
      <c r="Q507" s="88"/>
      <c r="R507" s="88"/>
      <c r="S507" s="88"/>
      <c r="T507" s="88"/>
      <c r="U507" s="88"/>
      <c r="V507" s="88"/>
      <c r="W507" s="88"/>
      <c r="X507" s="88"/>
      <c r="Y507" s="88"/>
      <c r="Z507" s="88"/>
      <c r="AA507" s="88"/>
      <c r="AB507" s="88"/>
      <c r="AC507" s="88"/>
      <c r="AD507" s="88"/>
      <c r="AE507" s="88"/>
      <c r="AF507" s="88"/>
      <c r="AG507" s="88"/>
      <c r="AH507" s="88"/>
      <c r="AI507" s="88"/>
      <c r="AJ507" s="88"/>
    </row>
    <row r="508" spans="1:36" ht="15">
      <c r="A508" s="88" t="s">
        <v>336</v>
      </c>
      <c r="B508" s="88" t="s">
        <v>1235</v>
      </c>
      <c r="C508" s="88" t="s">
        <v>7</v>
      </c>
      <c r="D508" s="88" t="s">
        <v>2391</v>
      </c>
      <c r="E508" s="88" t="s">
        <v>2392</v>
      </c>
      <c r="F508" s="88"/>
      <c r="G508" s="88"/>
      <c r="H508" s="88"/>
      <c r="I508" s="88"/>
      <c r="J508" s="88"/>
      <c r="K508" s="88"/>
      <c r="L508" s="88"/>
      <c r="M508" s="88"/>
      <c r="N508" s="88"/>
      <c r="O508" s="88"/>
      <c r="P508" s="88"/>
      <c r="Q508" s="88"/>
      <c r="R508" s="88"/>
      <c r="S508" s="88"/>
      <c r="T508" s="88"/>
      <c r="U508" s="88"/>
      <c r="V508" s="88"/>
      <c r="W508" s="88"/>
      <c r="X508" s="88"/>
      <c r="Y508" s="88"/>
      <c r="Z508" s="88"/>
      <c r="AA508" s="88"/>
      <c r="AB508" s="88"/>
      <c r="AC508" s="88"/>
      <c r="AD508" s="88"/>
      <c r="AE508" s="88"/>
      <c r="AF508" s="88"/>
      <c r="AG508" s="88"/>
      <c r="AH508" s="88"/>
      <c r="AI508" s="88"/>
      <c r="AJ508" s="88"/>
    </row>
    <row r="509" spans="1:36" ht="15">
      <c r="A509" s="88" t="s">
        <v>336</v>
      </c>
      <c r="B509" s="88" t="s">
        <v>1242</v>
      </c>
      <c r="C509" s="88" t="s">
        <v>7</v>
      </c>
      <c r="D509" s="88" t="s">
        <v>2393</v>
      </c>
      <c r="E509" s="88" t="s">
        <v>2394</v>
      </c>
      <c r="F509" s="88"/>
      <c r="G509" s="88"/>
      <c r="H509" s="88"/>
      <c r="I509" s="88"/>
      <c r="J509" s="88"/>
      <c r="K509" s="88"/>
      <c r="L509" s="88"/>
      <c r="M509" s="88"/>
      <c r="N509" s="88"/>
      <c r="O509" s="88"/>
      <c r="P509" s="88"/>
      <c r="Q509" s="88"/>
      <c r="R509" s="88"/>
      <c r="S509" s="88"/>
      <c r="T509" s="88"/>
      <c r="U509" s="88"/>
      <c r="V509" s="88"/>
      <c r="W509" s="88"/>
      <c r="X509" s="88"/>
      <c r="Y509" s="88"/>
      <c r="Z509" s="88"/>
      <c r="AA509" s="88"/>
      <c r="AB509" s="88"/>
      <c r="AC509" s="88"/>
      <c r="AD509" s="88"/>
      <c r="AE509" s="88"/>
      <c r="AF509" s="88"/>
      <c r="AG509" s="88"/>
      <c r="AH509" s="88"/>
      <c r="AI509" s="88"/>
      <c r="AJ509" s="88"/>
    </row>
    <row r="510" spans="1:36" ht="15">
      <c r="A510" s="88" t="s">
        <v>336</v>
      </c>
      <c r="B510" s="88" t="s">
        <v>1249</v>
      </c>
      <c r="C510" s="88" t="s">
        <v>7</v>
      </c>
      <c r="D510" s="88" t="s">
        <v>2395</v>
      </c>
      <c r="E510" s="88" t="s">
        <v>2396</v>
      </c>
      <c r="F510" s="88"/>
      <c r="G510" s="88"/>
      <c r="H510" s="88"/>
      <c r="I510" s="88"/>
      <c r="J510" s="88"/>
      <c r="K510" s="88"/>
      <c r="L510" s="88"/>
      <c r="M510" s="88"/>
      <c r="N510" s="88"/>
      <c r="O510" s="88"/>
      <c r="P510" s="88"/>
      <c r="Q510" s="88"/>
      <c r="R510" s="88"/>
      <c r="S510" s="88"/>
      <c r="T510" s="88"/>
      <c r="U510" s="88"/>
      <c r="V510" s="88"/>
      <c r="W510" s="88"/>
      <c r="X510" s="88"/>
      <c r="Y510" s="88"/>
      <c r="Z510" s="88"/>
      <c r="AA510" s="88"/>
      <c r="AB510" s="88"/>
      <c r="AC510" s="88"/>
      <c r="AD510" s="88"/>
      <c r="AE510" s="88"/>
      <c r="AF510" s="88"/>
      <c r="AG510" s="88"/>
      <c r="AH510" s="88"/>
      <c r="AI510" s="88"/>
      <c r="AJ510" s="88"/>
    </row>
    <row r="511" spans="1:36" ht="15">
      <c r="A511" s="88" t="s">
        <v>336</v>
      </c>
      <c r="B511" s="88" t="s">
        <v>816</v>
      </c>
      <c r="C511" s="88" t="s">
        <v>7</v>
      </c>
      <c r="D511" s="88" t="s">
        <v>2397</v>
      </c>
      <c r="E511" s="88" t="s">
        <v>2398</v>
      </c>
      <c r="F511" s="88"/>
      <c r="G511" s="88"/>
      <c r="H511" s="88"/>
      <c r="I511" s="88"/>
      <c r="J511" s="88"/>
      <c r="K511" s="88"/>
      <c r="L511" s="88"/>
      <c r="M511" s="88"/>
      <c r="N511" s="88"/>
      <c r="O511" s="88"/>
      <c r="P511" s="88"/>
      <c r="Q511" s="88"/>
      <c r="R511" s="88"/>
      <c r="S511" s="88"/>
      <c r="T511" s="88"/>
      <c r="U511" s="88"/>
      <c r="V511" s="88"/>
      <c r="W511" s="88"/>
      <c r="X511" s="88"/>
      <c r="Y511" s="88"/>
      <c r="Z511" s="88"/>
      <c r="AA511" s="88"/>
      <c r="AB511" s="88"/>
      <c r="AC511" s="88"/>
      <c r="AD511" s="88"/>
      <c r="AE511" s="88"/>
      <c r="AF511" s="88"/>
      <c r="AG511" s="88"/>
      <c r="AH511" s="88"/>
      <c r="AI511" s="88"/>
      <c r="AJ511" s="88"/>
    </row>
    <row r="512" spans="1:36" ht="15">
      <c r="A512" s="88" t="s">
        <v>336</v>
      </c>
      <c r="B512" s="88" t="s">
        <v>1260</v>
      </c>
      <c r="C512" s="88" t="s">
        <v>7</v>
      </c>
      <c r="D512" s="88" t="s">
        <v>2399</v>
      </c>
      <c r="E512" s="88" t="s">
        <v>2400</v>
      </c>
      <c r="F512" s="88"/>
      <c r="G512" s="88"/>
      <c r="H512" s="88"/>
      <c r="I512" s="88"/>
      <c r="J512" s="88"/>
      <c r="K512" s="88"/>
      <c r="L512" s="88"/>
      <c r="M512" s="88"/>
      <c r="N512" s="88"/>
      <c r="O512" s="88"/>
      <c r="P512" s="88"/>
      <c r="Q512" s="88"/>
      <c r="R512" s="88"/>
      <c r="S512" s="88"/>
      <c r="T512" s="88"/>
      <c r="U512" s="88"/>
      <c r="V512" s="88"/>
      <c r="W512" s="88"/>
      <c r="X512" s="88"/>
      <c r="Y512" s="88"/>
      <c r="Z512" s="88"/>
      <c r="AA512" s="88"/>
      <c r="AB512" s="88"/>
      <c r="AC512" s="88"/>
      <c r="AD512" s="88"/>
      <c r="AE512" s="88"/>
      <c r="AF512" s="88"/>
      <c r="AG512" s="88"/>
      <c r="AH512" s="88"/>
      <c r="AI512" s="88"/>
      <c r="AJ512" s="88"/>
    </row>
    <row r="513" spans="1:36" ht="15">
      <c r="A513" s="88" t="s">
        <v>336</v>
      </c>
      <c r="B513" s="88" t="s">
        <v>1266</v>
      </c>
      <c r="C513" s="88" t="s">
        <v>7</v>
      </c>
      <c r="D513" s="88" t="s">
        <v>2401</v>
      </c>
      <c r="E513" s="88" t="s">
        <v>2402</v>
      </c>
      <c r="F513" s="88"/>
      <c r="G513" s="88"/>
      <c r="H513" s="88"/>
      <c r="I513" s="88"/>
      <c r="J513" s="88"/>
      <c r="K513" s="88"/>
      <c r="L513" s="88"/>
      <c r="M513" s="88"/>
      <c r="N513" s="88"/>
      <c r="O513" s="88"/>
      <c r="P513" s="88"/>
      <c r="Q513" s="88"/>
      <c r="R513" s="88"/>
      <c r="S513" s="88"/>
      <c r="T513" s="88"/>
      <c r="U513" s="88"/>
      <c r="V513" s="88"/>
      <c r="W513" s="88"/>
      <c r="X513" s="88"/>
      <c r="Y513" s="88"/>
      <c r="Z513" s="88"/>
      <c r="AA513" s="88"/>
      <c r="AB513" s="88"/>
      <c r="AC513" s="88"/>
      <c r="AD513" s="88"/>
      <c r="AE513" s="88"/>
      <c r="AF513" s="88"/>
      <c r="AG513" s="88"/>
      <c r="AH513" s="88"/>
      <c r="AI513" s="88"/>
      <c r="AJ513" s="88"/>
    </row>
    <row r="514" spans="1:36" ht="15">
      <c r="A514" s="88" t="s">
        <v>336</v>
      </c>
      <c r="B514" s="88" t="s">
        <v>1273</v>
      </c>
      <c r="C514" s="88" t="s">
        <v>7</v>
      </c>
      <c r="D514" s="88" t="s">
        <v>2403</v>
      </c>
      <c r="E514" s="88" t="s">
        <v>2404</v>
      </c>
      <c r="F514" s="88"/>
      <c r="G514" s="88"/>
      <c r="H514" s="88"/>
      <c r="I514" s="88"/>
      <c r="J514" s="88"/>
      <c r="K514" s="88"/>
      <c r="L514" s="88"/>
      <c r="M514" s="88"/>
      <c r="N514" s="88"/>
      <c r="O514" s="88"/>
      <c r="P514" s="88"/>
      <c r="Q514" s="88"/>
      <c r="R514" s="88"/>
      <c r="S514" s="88"/>
      <c r="T514" s="88"/>
      <c r="U514" s="88"/>
      <c r="V514" s="88"/>
      <c r="W514" s="88"/>
      <c r="X514" s="88"/>
      <c r="Y514" s="88"/>
      <c r="Z514" s="88"/>
      <c r="AA514" s="88"/>
      <c r="AB514" s="88"/>
      <c r="AC514" s="88"/>
      <c r="AD514" s="88"/>
      <c r="AE514" s="88"/>
      <c r="AF514" s="88"/>
      <c r="AG514" s="88"/>
      <c r="AH514" s="88"/>
      <c r="AI514" s="88"/>
      <c r="AJ514" s="88"/>
    </row>
    <row r="515" spans="1:36" ht="15">
      <c r="A515" s="88" t="s">
        <v>336</v>
      </c>
      <c r="B515" s="88" t="s">
        <v>1279</v>
      </c>
      <c r="C515" s="88" t="s">
        <v>7</v>
      </c>
      <c r="D515" s="88" t="s">
        <v>2405</v>
      </c>
      <c r="E515" s="88" t="s">
        <v>2406</v>
      </c>
      <c r="F515" s="88"/>
      <c r="G515" s="88"/>
      <c r="H515" s="88"/>
      <c r="I515" s="88"/>
      <c r="J515" s="88"/>
      <c r="K515" s="88"/>
      <c r="L515" s="88"/>
      <c r="M515" s="88"/>
      <c r="N515" s="88"/>
      <c r="O515" s="88"/>
      <c r="P515" s="88"/>
      <c r="Q515" s="88"/>
      <c r="R515" s="88"/>
      <c r="S515" s="88"/>
      <c r="T515" s="88"/>
      <c r="U515" s="88"/>
      <c r="V515" s="88"/>
      <c r="W515" s="88"/>
      <c r="X515" s="88"/>
      <c r="Y515" s="88"/>
      <c r="Z515" s="88"/>
      <c r="AA515" s="88"/>
      <c r="AB515" s="88"/>
      <c r="AC515" s="88"/>
      <c r="AD515" s="88"/>
      <c r="AE515" s="88"/>
      <c r="AF515" s="88"/>
      <c r="AG515" s="88"/>
      <c r="AH515" s="88"/>
      <c r="AI515" s="88"/>
      <c r="AJ515" s="88"/>
    </row>
    <row r="516" spans="1:36" ht="15">
      <c r="A516" s="88" t="s">
        <v>336</v>
      </c>
      <c r="B516" s="88" t="s">
        <v>1286</v>
      </c>
      <c r="C516" s="88" t="s">
        <v>7</v>
      </c>
      <c r="D516" s="88" t="s">
        <v>2407</v>
      </c>
      <c r="E516" s="88" t="s">
        <v>2408</v>
      </c>
      <c r="F516" s="88"/>
      <c r="G516" s="88"/>
      <c r="H516" s="88"/>
      <c r="I516" s="88"/>
      <c r="J516" s="88"/>
      <c r="K516" s="88"/>
      <c r="L516" s="88"/>
      <c r="M516" s="88"/>
      <c r="N516" s="88"/>
      <c r="O516" s="88"/>
      <c r="P516" s="88"/>
      <c r="Q516" s="88"/>
      <c r="R516" s="88"/>
      <c r="S516" s="88"/>
      <c r="T516" s="88"/>
      <c r="U516" s="88"/>
      <c r="V516" s="88"/>
      <c r="W516" s="88"/>
      <c r="X516" s="88"/>
      <c r="Y516" s="88"/>
      <c r="Z516" s="88"/>
      <c r="AA516" s="88"/>
      <c r="AB516" s="88"/>
      <c r="AC516" s="88"/>
      <c r="AD516" s="88"/>
      <c r="AE516" s="88"/>
      <c r="AF516" s="88"/>
      <c r="AG516" s="88"/>
      <c r="AH516" s="88"/>
      <c r="AI516" s="88"/>
      <c r="AJ516" s="88"/>
    </row>
    <row r="517" spans="1:36" ht="15">
      <c r="A517" s="88" t="s">
        <v>336</v>
      </c>
      <c r="B517" s="88" t="s">
        <v>1146</v>
      </c>
      <c r="C517" s="88" t="s">
        <v>7</v>
      </c>
      <c r="D517" s="88" t="s">
        <v>2409</v>
      </c>
      <c r="E517" s="88" t="s">
        <v>2410</v>
      </c>
      <c r="F517" s="88"/>
      <c r="G517" s="88"/>
      <c r="H517" s="88"/>
      <c r="I517" s="88"/>
      <c r="J517" s="88"/>
      <c r="K517" s="88"/>
      <c r="L517" s="88"/>
      <c r="M517" s="88"/>
      <c r="N517" s="88"/>
      <c r="O517" s="88"/>
      <c r="P517" s="88"/>
      <c r="Q517" s="88"/>
      <c r="R517" s="88"/>
      <c r="S517" s="88"/>
      <c r="T517" s="88"/>
      <c r="U517" s="88"/>
      <c r="V517" s="88"/>
      <c r="W517" s="88"/>
      <c r="X517" s="88"/>
      <c r="Y517" s="88"/>
      <c r="Z517" s="88"/>
      <c r="AA517" s="88"/>
      <c r="AB517" s="88"/>
      <c r="AC517" s="88"/>
      <c r="AD517" s="88"/>
      <c r="AE517" s="88"/>
      <c r="AF517" s="88"/>
      <c r="AG517" s="88"/>
      <c r="AH517" s="88"/>
      <c r="AI517" s="88"/>
      <c r="AJ517" s="88"/>
    </row>
    <row r="518" spans="1:36" ht="15">
      <c r="A518" s="88" t="s">
        <v>336</v>
      </c>
      <c r="B518" s="88" t="s">
        <v>343</v>
      </c>
      <c r="C518" s="88" t="s">
        <v>7</v>
      </c>
      <c r="D518" s="88" t="s">
        <v>2411</v>
      </c>
      <c r="E518" s="88" t="s">
        <v>2412</v>
      </c>
      <c r="F518" s="88"/>
      <c r="G518" s="88"/>
      <c r="H518" s="88"/>
      <c r="I518" s="88"/>
      <c r="J518" s="88"/>
      <c r="K518" s="88"/>
      <c r="L518" s="88"/>
      <c r="M518" s="88"/>
      <c r="N518" s="88"/>
      <c r="O518" s="88"/>
      <c r="P518" s="88"/>
      <c r="Q518" s="88"/>
      <c r="R518" s="88"/>
      <c r="S518" s="88"/>
      <c r="T518" s="88"/>
      <c r="U518" s="88"/>
      <c r="V518" s="88"/>
      <c r="W518" s="88"/>
      <c r="X518" s="88"/>
      <c r="Y518" s="88"/>
      <c r="Z518" s="88"/>
      <c r="AA518" s="88"/>
      <c r="AB518" s="88"/>
      <c r="AC518" s="88"/>
      <c r="AD518" s="88"/>
      <c r="AE518" s="88"/>
      <c r="AF518" s="88"/>
      <c r="AG518" s="88"/>
      <c r="AH518" s="88"/>
      <c r="AI518" s="88"/>
      <c r="AJ518" s="88"/>
    </row>
    <row r="519" spans="1:36" ht="15">
      <c r="A519" s="88" t="s">
        <v>336</v>
      </c>
      <c r="B519" s="88" t="s">
        <v>1305</v>
      </c>
      <c r="C519" s="88" t="s">
        <v>7</v>
      </c>
      <c r="D519" s="88" t="s">
        <v>2413</v>
      </c>
      <c r="E519" s="88" t="s">
        <v>2414</v>
      </c>
      <c r="F519" s="88"/>
      <c r="G519" s="88"/>
      <c r="H519" s="88"/>
      <c r="I519" s="88"/>
      <c r="J519" s="88"/>
      <c r="K519" s="88"/>
      <c r="L519" s="88"/>
      <c r="M519" s="88"/>
      <c r="N519" s="88"/>
      <c r="O519" s="88"/>
      <c r="P519" s="88"/>
      <c r="Q519" s="88"/>
      <c r="R519" s="88"/>
      <c r="S519" s="88"/>
      <c r="T519" s="88"/>
      <c r="U519" s="88"/>
      <c r="V519" s="88"/>
      <c r="W519" s="88"/>
      <c r="X519" s="88"/>
      <c r="Y519" s="88"/>
      <c r="Z519" s="88"/>
      <c r="AA519" s="88"/>
      <c r="AB519" s="88"/>
      <c r="AC519" s="88"/>
      <c r="AD519" s="88"/>
      <c r="AE519" s="88"/>
      <c r="AF519" s="88"/>
      <c r="AG519" s="88"/>
      <c r="AH519" s="88"/>
      <c r="AI519" s="88"/>
      <c r="AJ519" s="88"/>
    </row>
    <row r="520" spans="1:36" ht="15">
      <c r="A520" s="88" t="s">
        <v>336</v>
      </c>
      <c r="B520" s="88" t="s">
        <v>1311</v>
      </c>
      <c r="C520" s="88" t="s">
        <v>7</v>
      </c>
      <c r="D520" s="88" t="s">
        <v>2415</v>
      </c>
      <c r="E520" s="88" t="s">
        <v>2416</v>
      </c>
      <c r="F520" s="88"/>
      <c r="G520" s="88"/>
      <c r="H520" s="88"/>
      <c r="I520" s="88"/>
      <c r="J520" s="88"/>
      <c r="K520" s="88"/>
      <c r="L520" s="88"/>
      <c r="M520" s="88"/>
      <c r="N520" s="88"/>
      <c r="O520" s="88"/>
      <c r="P520" s="88"/>
      <c r="Q520" s="88"/>
      <c r="R520" s="88"/>
      <c r="S520" s="88"/>
      <c r="T520" s="88"/>
      <c r="U520" s="88"/>
      <c r="V520" s="88"/>
      <c r="W520" s="88"/>
      <c r="X520" s="88"/>
      <c r="Y520" s="88"/>
      <c r="Z520" s="88"/>
      <c r="AA520" s="88"/>
      <c r="AB520" s="88"/>
      <c r="AC520" s="88"/>
      <c r="AD520" s="88"/>
      <c r="AE520" s="88"/>
      <c r="AF520" s="88"/>
      <c r="AG520" s="88"/>
      <c r="AH520" s="88"/>
      <c r="AI520" s="88"/>
      <c r="AJ520" s="88"/>
    </row>
    <row r="521" spans="1:36" ht="15">
      <c r="A521" s="88" t="s">
        <v>336</v>
      </c>
      <c r="B521" s="88" t="s">
        <v>1318</v>
      </c>
      <c r="C521" s="88" t="s">
        <v>7</v>
      </c>
      <c r="D521" s="88" t="s">
        <v>2417</v>
      </c>
      <c r="E521" s="88" t="s">
        <v>2418</v>
      </c>
      <c r="F521" s="88"/>
      <c r="G521" s="88"/>
      <c r="H521" s="88"/>
      <c r="I521" s="88"/>
      <c r="J521" s="88"/>
      <c r="K521" s="88"/>
      <c r="L521" s="88"/>
      <c r="M521" s="88"/>
      <c r="N521" s="88"/>
      <c r="O521" s="88"/>
      <c r="P521" s="88"/>
      <c r="Q521" s="88"/>
      <c r="R521" s="88"/>
      <c r="S521" s="88"/>
      <c r="T521" s="88"/>
      <c r="U521" s="88"/>
      <c r="V521" s="88"/>
      <c r="W521" s="88"/>
      <c r="X521" s="88"/>
      <c r="Y521" s="88"/>
      <c r="Z521" s="88"/>
      <c r="AA521" s="88"/>
      <c r="AB521" s="88"/>
      <c r="AC521" s="88"/>
      <c r="AD521" s="88"/>
      <c r="AE521" s="88"/>
      <c r="AF521" s="88"/>
      <c r="AG521" s="88"/>
      <c r="AH521" s="88"/>
      <c r="AI521" s="88"/>
      <c r="AJ521" s="88"/>
    </row>
    <row r="522" spans="1:36" ht="15">
      <c r="A522" s="88" t="s">
        <v>336</v>
      </c>
      <c r="B522" s="88" t="s">
        <v>1325</v>
      </c>
      <c r="C522" s="88" t="s">
        <v>7</v>
      </c>
      <c r="D522" s="88" t="s">
        <v>2419</v>
      </c>
      <c r="E522" s="88" t="s">
        <v>2420</v>
      </c>
      <c r="F522" s="88"/>
      <c r="G522" s="88"/>
      <c r="H522" s="88"/>
      <c r="I522" s="88"/>
      <c r="J522" s="88"/>
      <c r="K522" s="88"/>
      <c r="L522" s="88"/>
      <c r="M522" s="88"/>
      <c r="N522" s="88"/>
      <c r="O522" s="88"/>
      <c r="P522" s="88"/>
      <c r="Q522" s="88"/>
      <c r="R522" s="88"/>
      <c r="S522" s="88"/>
      <c r="T522" s="88"/>
      <c r="U522" s="88"/>
      <c r="V522" s="88"/>
      <c r="W522" s="88"/>
      <c r="X522" s="88"/>
      <c r="Y522" s="88"/>
      <c r="Z522" s="88"/>
      <c r="AA522" s="88"/>
      <c r="AB522" s="88"/>
      <c r="AC522" s="88"/>
      <c r="AD522" s="88"/>
      <c r="AE522" s="88"/>
      <c r="AF522" s="88"/>
      <c r="AG522" s="88"/>
      <c r="AH522" s="88"/>
      <c r="AI522" s="88"/>
      <c r="AJ522" s="88"/>
    </row>
    <row r="523" spans="1:36" ht="15">
      <c r="A523" s="88" t="s">
        <v>336</v>
      </c>
      <c r="B523" s="88" t="s">
        <v>1332</v>
      </c>
      <c r="C523" s="88" t="s">
        <v>7</v>
      </c>
      <c r="D523" s="88" t="s">
        <v>2421</v>
      </c>
      <c r="E523" s="88" t="s">
        <v>2422</v>
      </c>
      <c r="F523" s="88"/>
      <c r="G523" s="88"/>
      <c r="H523" s="88"/>
      <c r="I523" s="88"/>
      <c r="J523" s="88"/>
      <c r="K523" s="88"/>
      <c r="L523" s="88"/>
      <c r="M523" s="88"/>
      <c r="N523" s="88"/>
      <c r="O523" s="88"/>
      <c r="P523" s="88"/>
      <c r="Q523" s="88"/>
      <c r="R523" s="88"/>
      <c r="S523" s="88"/>
      <c r="T523" s="88"/>
      <c r="U523" s="88"/>
      <c r="V523" s="88"/>
      <c r="W523" s="88"/>
      <c r="X523" s="88"/>
      <c r="Y523" s="88"/>
      <c r="Z523" s="88"/>
      <c r="AA523" s="88"/>
      <c r="AB523" s="88"/>
      <c r="AC523" s="88"/>
      <c r="AD523" s="88"/>
      <c r="AE523" s="88"/>
      <c r="AF523" s="88"/>
      <c r="AG523" s="88"/>
      <c r="AH523" s="88"/>
      <c r="AI523" s="88"/>
      <c r="AJ523" s="88"/>
    </row>
    <row r="524" spans="1:36" ht="15">
      <c r="A524" s="88" t="s">
        <v>336</v>
      </c>
      <c r="B524" s="88" t="s">
        <v>1337</v>
      </c>
      <c r="C524" s="88" t="s">
        <v>7</v>
      </c>
      <c r="D524" s="88" t="s">
        <v>2423</v>
      </c>
      <c r="E524" s="88" t="s">
        <v>2424</v>
      </c>
      <c r="F524" s="88"/>
      <c r="G524" s="88"/>
      <c r="H524" s="88"/>
      <c r="I524" s="88"/>
      <c r="J524" s="88"/>
      <c r="K524" s="88"/>
      <c r="L524" s="88"/>
      <c r="M524" s="88"/>
      <c r="N524" s="88"/>
      <c r="O524" s="88"/>
      <c r="P524" s="88"/>
      <c r="Q524" s="88"/>
      <c r="R524" s="88"/>
      <c r="S524" s="88"/>
      <c r="T524" s="88"/>
      <c r="U524" s="88"/>
      <c r="V524" s="88"/>
      <c r="W524" s="88"/>
      <c r="X524" s="88"/>
      <c r="Y524" s="88"/>
      <c r="Z524" s="88"/>
      <c r="AA524" s="88"/>
      <c r="AB524" s="88"/>
      <c r="AC524" s="88"/>
      <c r="AD524" s="88"/>
      <c r="AE524" s="88"/>
      <c r="AF524" s="88"/>
      <c r="AG524" s="88"/>
      <c r="AH524" s="88"/>
      <c r="AI524" s="88"/>
      <c r="AJ524" s="88"/>
    </row>
    <row r="525" spans="1:36" ht="15">
      <c r="A525" s="88" t="s">
        <v>336</v>
      </c>
      <c r="B525" s="88" t="s">
        <v>1343</v>
      </c>
      <c r="C525" s="88" t="s">
        <v>7</v>
      </c>
      <c r="D525" s="88" t="s">
        <v>2425</v>
      </c>
      <c r="E525" s="88" t="s">
        <v>2426</v>
      </c>
      <c r="F525" s="88"/>
      <c r="G525" s="88"/>
      <c r="H525" s="88"/>
      <c r="I525" s="88"/>
      <c r="J525" s="88"/>
      <c r="K525" s="88"/>
      <c r="L525" s="88"/>
      <c r="M525" s="88"/>
      <c r="N525" s="88"/>
      <c r="O525" s="88"/>
      <c r="P525" s="88"/>
      <c r="Q525" s="88"/>
      <c r="R525" s="88"/>
      <c r="S525" s="88"/>
      <c r="T525" s="88"/>
      <c r="U525" s="88"/>
      <c r="V525" s="88"/>
      <c r="W525" s="88"/>
      <c r="X525" s="88"/>
      <c r="Y525" s="88"/>
      <c r="Z525" s="88"/>
      <c r="AA525" s="88"/>
      <c r="AB525" s="88"/>
      <c r="AC525" s="88"/>
      <c r="AD525" s="88"/>
      <c r="AE525" s="88"/>
      <c r="AF525" s="88"/>
      <c r="AG525" s="88"/>
      <c r="AH525" s="88"/>
      <c r="AI525" s="88"/>
      <c r="AJ525" s="88"/>
    </row>
    <row r="526" spans="1:36" ht="15">
      <c r="A526" s="88" t="s">
        <v>336</v>
      </c>
      <c r="B526" s="88" t="s">
        <v>1349</v>
      </c>
      <c r="C526" s="88" t="s">
        <v>7</v>
      </c>
      <c r="D526" s="88" t="s">
        <v>2427</v>
      </c>
      <c r="E526" s="88" t="s">
        <v>2428</v>
      </c>
      <c r="F526" s="88"/>
      <c r="G526" s="88"/>
      <c r="H526" s="88"/>
      <c r="I526" s="88"/>
      <c r="J526" s="88"/>
      <c r="K526" s="88"/>
      <c r="L526" s="88"/>
      <c r="M526" s="88"/>
      <c r="N526" s="88"/>
      <c r="O526" s="88"/>
      <c r="P526" s="88"/>
      <c r="Q526" s="88"/>
      <c r="R526" s="88"/>
      <c r="S526" s="88"/>
      <c r="T526" s="88"/>
      <c r="U526" s="88"/>
      <c r="V526" s="88"/>
      <c r="W526" s="88"/>
      <c r="X526" s="88"/>
      <c r="Y526" s="88"/>
      <c r="Z526" s="88"/>
      <c r="AA526" s="88"/>
      <c r="AB526" s="88"/>
      <c r="AC526" s="88"/>
      <c r="AD526" s="88"/>
      <c r="AE526" s="88"/>
      <c r="AF526" s="88"/>
      <c r="AG526" s="88"/>
      <c r="AH526" s="88"/>
      <c r="AI526" s="88"/>
      <c r="AJ526" s="88"/>
    </row>
    <row r="527" spans="1:36" ht="15">
      <c r="A527" s="88" t="s">
        <v>336</v>
      </c>
      <c r="B527" s="88" t="s">
        <v>1355</v>
      </c>
      <c r="C527" s="88" t="s">
        <v>7</v>
      </c>
      <c r="D527" s="88" t="s">
        <v>2429</v>
      </c>
      <c r="E527" s="88" t="s">
        <v>2430</v>
      </c>
      <c r="F527" s="88"/>
      <c r="G527" s="88"/>
      <c r="H527" s="88"/>
      <c r="I527" s="88"/>
      <c r="J527" s="88"/>
      <c r="K527" s="88"/>
      <c r="L527" s="88"/>
      <c r="M527" s="88"/>
      <c r="N527" s="88"/>
      <c r="O527" s="88"/>
      <c r="P527" s="88"/>
      <c r="Q527" s="88"/>
      <c r="R527" s="88"/>
      <c r="S527" s="88"/>
      <c r="T527" s="88"/>
      <c r="U527" s="88"/>
      <c r="V527" s="88"/>
      <c r="W527" s="88"/>
      <c r="X527" s="88"/>
      <c r="Y527" s="88"/>
      <c r="Z527" s="88"/>
      <c r="AA527" s="88"/>
      <c r="AB527" s="88"/>
      <c r="AC527" s="88"/>
      <c r="AD527" s="88"/>
      <c r="AE527" s="88"/>
      <c r="AF527" s="88"/>
      <c r="AG527" s="88"/>
      <c r="AH527" s="88"/>
      <c r="AI527" s="88"/>
      <c r="AJ527" s="88"/>
    </row>
    <row r="528" spans="1:36" ht="15">
      <c r="A528" s="88" t="s">
        <v>336</v>
      </c>
      <c r="B528" s="88" t="s">
        <v>1361</v>
      </c>
      <c r="C528" s="88" t="s">
        <v>7</v>
      </c>
      <c r="D528" s="88" t="s">
        <v>2431</v>
      </c>
      <c r="E528" s="88" t="s">
        <v>2432</v>
      </c>
      <c r="F528" s="88"/>
      <c r="G528" s="88"/>
      <c r="H528" s="88"/>
      <c r="I528" s="88"/>
      <c r="J528" s="88"/>
      <c r="K528" s="88"/>
      <c r="L528" s="88"/>
      <c r="M528" s="88"/>
      <c r="N528" s="88"/>
      <c r="O528" s="88"/>
      <c r="P528" s="88"/>
      <c r="Q528" s="88"/>
      <c r="R528" s="88"/>
      <c r="S528" s="88"/>
      <c r="T528" s="88"/>
      <c r="U528" s="88"/>
      <c r="V528" s="88"/>
      <c r="W528" s="88"/>
      <c r="X528" s="88"/>
      <c r="Y528" s="88"/>
      <c r="Z528" s="88"/>
      <c r="AA528" s="88"/>
      <c r="AB528" s="88"/>
      <c r="AC528" s="88"/>
      <c r="AD528" s="88"/>
      <c r="AE528" s="88"/>
      <c r="AF528" s="88"/>
      <c r="AG528" s="88"/>
      <c r="AH528" s="88"/>
      <c r="AI528" s="88"/>
      <c r="AJ528" s="88"/>
    </row>
    <row r="529" spans="1:36" ht="15">
      <c r="A529" s="88" t="s">
        <v>336</v>
      </c>
      <c r="B529" s="88" t="s">
        <v>1367</v>
      </c>
      <c r="C529" s="88" t="s">
        <v>7</v>
      </c>
      <c r="D529" s="88" t="s">
        <v>2433</v>
      </c>
      <c r="E529" s="88" t="s">
        <v>2434</v>
      </c>
      <c r="F529" s="88"/>
      <c r="G529" s="88"/>
      <c r="H529" s="88"/>
      <c r="I529" s="88"/>
      <c r="J529" s="88"/>
      <c r="K529" s="88"/>
      <c r="L529" s="88"/>
      <c r="M529" s="88"/>
      <c r="N529" s="88"/>
      <c r="O529" s="88"/>
      <c r="P529" s="88"/>
      <c r="Q529" s="88"/>
      <c r="R529" s="88"/>
      <c r="S529" s="88"/>
      <c r="T529" s="88"/>
      <c r="U529" s="88"/>
      <c r="V529" s="88"/>
      <c r="W529" s="88"/>
      <c r="X529" s="88"/>
      <c r="Y529" s="88"/>
      <c r="Z529" s="88"/>
      <c r="AA529" s="88"/>
      <c r="AB529" s="88"/>
      <c r="AC529" s="88"/>
      <c r="AD529" s="88"/>
      <c r="AE529" s="88"/>
      <c r="AF529" s="88"/>
      <c r="AG529" s="88"/>
      <c r="AH529" s="88"/>
      <c r="AI529" s="88"/>
      <c r="AJ529" s="88"/>
    </row>
    <row r="530" spans="1:36" ht="15">
      <c r="A530" s="88" t="s">
        <v>336</v>
      </c>
      <c r="B530" s="88" t="s">
        <v>1373</v>
      </c>
      <c r="C530" s="88" t="s">
        <v>7</v>
      </c>
      <c r="D530" s="88" t="s">
        <v>2435</v>
      </c>
      <c r="E530" s="88" t="s">
        <v>2436</v>
      </c>
      <c r="F530" s="88"/>
      <c r="G530" s="88"/>
      <c r="H530" s="88"/>
      <c r="I530" s="88"/>
      <c r="J530" s="88"/>
      <c r="K530" s="88"/>
      <c r="L530" s="88"/>
      <c r="M530" s="88"/>
      <c r="N530" s="88"/>
      <c r="O530" s="88"/>
      <c r="P530" s="88"/>
      <c r="Q530" s="88"/>
      <c r="R530" s="88"/>
      <c r="S530" s="88"/>
      <c r="T530" s="88"/>
      <c r="U530" s="88"/>
      <c r="V530" s="88"/>
      <c r="W530" s="88"/>
      <c r="X530" s="88"/>
      <c r="Y530" s="88"/>
      <c r="Z530" s="88"/>
      <c r="AA530" s="88"/>
      <c r="AB530" s="88"/>
      <c r="AC530" s="88"/>
      <c r="AD530" s="88"/>
      <c r="AE530" s="88"/>
      <c r="AF530" s="88"/>
      <c r="AG530" s="88"/>
      <c r="AH530" s="88"/>
      <c r="AI530" s="88"/>
      <c r="AJ530" s="88"/>
    </row>
    <row r="531" spans="1:36" ht="15">
      <c r="A531" s="88" t="s">
        <v>336</v>
      </c>
      <c r="B531" s="88" t="s">
        <v>1378</v>
      </c>
      <c r="C531" s="88" t="s">
        <v>7</v>
      </c>
      <c r="D531" s="88" t="s">
        <v>2437</v>
      </c>
      <c r="E531" s="88" t="s">
        <v>2438</v>
      </c>
      <c r="F531" s="88"/>
      <c r="G531" s="88"/>
      <c r="H531" s="88"/>
      <c r="I531" s="88"/>
      <c r="J531" s="88"/>
      <c r="K531" s="88"/>
      <c r="L531" s="88"/>
      <c r="M531" s="88"/>
      <c r="N531" s="88"/>
      <c r="O531" s="88"/>
      <c r="P531" s="88"/>
      <c r="Q531" s="88"/>
      <c r="R531" s="88"/>
      <c r="S531" s="88"/>
      <c r="T531" s="88"/>
      <c r="U531" s="88"/>
      <c r="V531" s="88"/>
      <c r="W531" s="88"/>
      <c r="X531" s="88"/>
      <c r="Y531" s="88"/>
      <c r="Z531" s="88"/>
      <c r="AA531" s="88"/>
      <c r="AB531" s="88"/>
      <c r="AC531" s="88"/>
      <c r="AD531" s="88"/>
      <c r="AE531" s="88"/>
      <c r="AF531" s="88"/>
      <c r="AG531" s="88"/>
      <c r="AH531" s="88"/>
      <c r="AI531" s="88"/>
      <c r="AJ531" s="88"/>
    </row>
    <row r="532" spans="1:36" ht="15">
      <c r="A532" s="88" t="s">
        <v>336</v>
      </c>
      <c r="B532" s="88" t="s">
        <v>1384</v>
      </c>
      <c r="C532" s="88" t="s">
        <v>7</v>
      </c>
      <c r="D532" s="88" t="s">
        <v>2439</v>
      </c>
      <c r="E532" s="88" t="s">
        <v>2440</v>
      </c>
      <c r="F532" s="88"/>
      <c r="G532" s="88"/>
      <c r="H532" s="88"/>
      <c r="I532" s="88"/>
      <c r="J532" s="88"/>
      <c r="K532" s="88"/>
      <c r="L532" s="88"/>
      <c r="M532" s="88"/>
      <c r="N532" s="88"/>
      <c r="O532" s="88"/>
      <c r="P532" s="88"/>
      <c r="Q532" s="88"/>
      <c r="R532" s="88"/>
      <c r="S532" s="88"/>
      <c r="T532" s="88"/>
      <c r="U532" s="88"/>
      <c r="V532" s="88"/>
      <c r="W532" s="88"/>
      <c r="X532" s="88"/>
      <c r="Y532" s="88"/>
      <c r="Z532" s="88"/>
      <c r="AA532" s="88"/>
      <c r="AB532" s="88"/>
      <c r="AC532" s="88"/>
      <c r="AD532" s="88"/>
      <c r="AE532" s="88"/>
      <c r="AF532" s="88"/>
      <c r="AG532" s="88"/>
      <c r="AH532" s="88"/>
      <c r="AI532" s="88"/>
      <c r="AJ532" s="88"/>
    </row>
    <row r="533" spans="1:36" ht="15">
      <c r="A533" s="88" t="s">
        <v>336</v>
      </c>
      <c r="B533" s="88" t="s">
        <v>1389</v>
      </c>
      <c r="C533" s="88" t="s">
        <v>7</v>
      </c>
      <c r="D533" s="88" t="s">
        <v>2441</v>
      </c>
      <c r="E533" s="88" t="s">
        <v>2442</v>
      </c>
      <c r="F533" s="88"/>
      <c r="G533" s="88"/>
      <c r="H533" s="88"/>
      <c r="I533" s="88"/>
      <c r="J533" s="88"/>
      <c r="K533" s="88"/>
      <c r="L533" s="88"/>
      <c r="M533" s="88"/>
      <c r="N533" s="88"/>
      <c r="O533" s="88"/>
      <c r="P533" s="88"/>
      <c r="Q533" s="88"/>
      <c r="R533" s="88"/>
      <c r="S533" s="88"/>
      <c r="T533" s="88"/>
      <c r="U533" s="88"/>
      <c r="V533" s="88"/>
      <c r="W533" s="88"/>
      <c r="X533" s="88"/>
      <c r="Y533" s="88"/>
      <c r="Z533" s="88"/>
      <c r="AA533" s="88"/>
      <c r="AB533" s="88"/>
      <c r="AC533" s="88"/>
      <c r="AD533" s="88"/>
      <c r="AE533" s="88"/>
      <c r="AF533" s="88"/>
      <c r="AG533" s="88"/>
      <c r="AH533" s="88"/>
      <c r="AI533" s="88"/>
      <c r="AJ533" s="88"/>
    </row>
    <row r="534" spans="1:36" ht="15">
      <c r="A534" s="88" t="s">
        <v>336</v>
      </c>
      <c r="B534" s="88" t="s">
        <v>1395</v>
      </c>
      <c r="C534" s="88" t="s">
        <v>7</v>
      </c>
      <c r="D534" s="88" t="s">
        <v>2443</v>
      </c>
      <c r="E534" s="88" t="s">
        <v>2444</v>
      </c>
      <c r="F534" s="88"/>
      <c r="G534" s="88"/>
      <c r="H534" s="88"/>
      <c r="I534" s="88"/>
      <c r="J534" s="88"/>
      <c r="K534" s="88"/>
      <c r="L534" s="88"/>
      <c r="M534" s="88"/>
      <c r="N534" s="88"/>
      <c r="O534" s="88"/>
      <c r="P534" s="88"/>
      <c r="Q534" s="88"/>
      <c r="R534" s="88"/>
      <c r="S534" s="88"/>
      <c r="T534" s="88"/>
      <c r="U534" s="88"/>
      <c r="V534" s="88"/>
      <c r="W534" s="88"/>
      <c r="X534" s="88"/>
      <c r="Y534" s="88"/>
      <c r="Z534" s="88"/>
      <c r="AA534" s="88"/>
      <c r="AB534" s="88"/>
      <c r="AC534" s="88"/>
      <c r="AD534" s="88"/>
      <c r="AE534" s="88"/>
      <c r="AF534" s="88"/>
      <c r="AG534" s="88"/>
      <c r="AH534" s="88"/>
      <c r="AI534" s="88"/>
      <c r="AJ534" s="88"/>
    </row>
    <row r="535" spans="1:36" ht="15">
      <c r="A535" s="88" t="s">
        <v>336</v>
      </c>
      <c r="B535" s="88" t="s">
        <v>1236</v>
      </c>
      <c r="C535" s="88" t="s">
        <v>7</v>
      </c>
      <c r="D535" s="88" t="s">
        <v>2445</v>
      </c>
      <c r="E535" s="88" t="s">
        <v>2446</v>
      </c>
      <c r="F535" s="88"/>
      <c r="G535" s="88"/>
      <c r="H535" s="88"/>
      <c r="I535" s="88"/>
      <c r="J535" s="88"/>
      <c r="K535" s="88"/>
      <c r="L535" s="88"/>
      <c r="M535" s="88"/>
      <c r="N535" s="88"/>
      <c r="O535" s="88"/>
      <c r="P535" s="88"/>
      <c r="Q535" s="88"/>
      <c r="R535" s="88"/>
      <c r="S535" s="88"/>
      <c r="T535" s="88"/>
      <c r="U535" s="88"/>
      <c r="V535" s="88"/>
      <c r="W535" s="88"/>
      <c r="X535" s="88"/>
      <c r="Y535" s="88"/>
      <c r="Z535" s="88"/>
      <c r="AA535" s="88"/>
      <c r="AB535" s="88"/>
      <c r="AC535" s="88"/>
      <c r="AD535" s="88"/>
      <c r="AE535" s="88"/>
      <c r="AF535" s="88"/>
      <c r="AG535" s="88"/>
      <c r="AH535" s="88"/>
      <c r="AI535" s="88"/>
      <c r="AJ535" s="88"/>
    </row>
    <row r="536" spans="1:36" ht="15">
      <c r="A536" s="88" t="s">
        <v>336</v>
      </c>
      <c r="B536" s="88" t="s">
        <v>1405</v>
      </c>
      <c r="C536" s="88" t="s">
        <v>7</v>
      </c>
      <c r="D536" s="88" t="s">
        <v>2447</v>
      </c>
      <c r="E536" s="88" t="s">
        <v>2448</v>
      </c>
      <c r="F536" s="88"/>
      <c r="G536" s="88"/>
      <c r="H536" s="88"/>
      <c r="I536" s="88"/>
      <c r="J536" s="88"/>
      <c r="K536" s="88"/>
      <c r="L536" s="88"/>
      <c r="M536" s="88"/>
      <c r="N536" s="88"/>
      <c r="O536" s="88"/>
      <c r="P536" s="88"/>
      <c r="Q536" s="88"/>
      <c r="R536" s="88"/>
      <c r="S536" s="88"/>
      <c r="T536" s="88"/>
      <c r="U536" s="88"/>
      <c r="V536" s="88"/>
      <c r="W536" s="88"/>
      <c r="X536" s="88"/>
      <c r="Y536" s="88"/>
      <c r="Z536" s="88"/>
      <c r="AA536" s="88"/>
      <c r="AB536" s="88"/>
      <c r="AC536" s="88"/>
      <c r="AD536" s="88"/>
      <c r="AE536" s="88"/>
      <c r="AF536" s="88"/>
      <c r="AG536" s="88"/>
      <c r="AH536" s="88"/>
      <c r="AI536" s="88"/>
      <c r="AJ536" s="88"/>
    </row>
    <row r="537" spans="1:36" ht="15">
      <c r="A537" s="88" t="s">
        <v>336</v>
      </c>
      <c r="B537" s="88" t="s">
        <v>1261</v>
      </c>
      <c r="C537" s="88" t="s">
        <v>7</v>
      </c>
      <c r="D537" s="88" t="s">
        <v>2449</v>
      </c>
      <c r="E537" s="88" t="s">
        <v>2450</v>
      </c>
      <c r="F537" s="88"/>
      <c r="G537" s="88"/>
      <c r="H537" s="88"/>
      <c r="I537" s="88"/>
      <c r="J537" s="88"/>
      <c r="K537" s="88"/>
      <c r="L537" s="88"/>
      <c r="M537" s="88"/>
      <c r="N537" s="88"/>
      <c r="O537" s="88"/>
      <c r="P537" s="88"/>
      <c r="Q537" s="88"/>
      <c r="R537" s="88"/>
      <c r="S537" s="88"/>
      <c r="T537" s="88"/>
      <c r="U537" s="88"/>
      <c r="V537" s="88"/>
      <c r="W537" s="88"/>
      <c r="X537" s="88"/>
      <c r="Y537" s="88"/>
      <c r="Z537" s="88"/>
      <c r="AA537" s="88"/>
      <c r="AB537" s="88"/>
      <c r="AC537" s="88"/>
      <c r="AD537" s="88"/>
      <c r="AE537" s="88"/>
      <c r="AF537" s="88"/>
      <c r="AG537" s="88"/>
      <c r="AH537" s="88"/>
      <c r="AI537" s="88"/>
      <c r="AJ537" s="88"/>
    </row>
    <row r="538" spans="1:36" ht="15">
      <c r="A538" s="88" t="s">
        <v>336</v>
      </c>
      <c r="B538" s="88" t="s">
        <v>1067</v>
      </c>
      <c r="C538" s="88" t="s">
        <v>7</v>
      </c>
      <c r="D538" s="88" t="s">
        <v>2451</v>
      </c>
      <c r="E538" s="88" t="s">
        <v>2452</v>
      </c>
      <c r="F538" s="88"/>
      <c r="G538" s="88"/>
      <c r="H538" s="88"/>
      <c r="I538" s="88"/>
      <c r="J538" s="88"/>
      <c r="K538" s="88"/>
      <c r="L538" s="88"/>
      <c r="M538" s="88"/>
      <c r="N538" s="88"/>
      <c r="O538" s="88"/>
      <c r="P538" s="88"/>
      <c r="Q538" s="88"/>
      <c r="R538" s="88"/>
      <c r="S538" s="88"/>
      <c r="T538" s="88"/>
      <c r="U538" s="88"/>
      <c r="V538" s="88"/>
      <c r="W538" s="88"/>
      <c r="X538" s="88"/>
      <c r="Y538" s="88"/>
      <c r="Z538" s="88"/>
      <c r="AA538" s="88"/>
      <c r="AB538" s="88"/>
      <c r="AC538" s="88"/>
      <c r="AD538" s="88"/>
      <c r="AE538" s="88"/>
      <c r="AF538" s="88"/>
      <c r="AG538" s="88"/>
      <c r="AH538" s="88"/>
      <c r="AI538" s="88"/>
      <c r="AJ538" s="88"/>
    </row>
    <row r="539" spans="1:36" ht="15">
      <c r="A539" s="88" t="s">
        <v>336</v>
      </c>
      <c r="B539" s="88" t="s">
        <v>612</v>
      </c>
      <c r="C539" s="88" t="s">
        <v>7</v>
      </c>
      <c r="D539" s="88" t="s">
        <v>2453</v>
      </c>
      <c r="E539" s="88" t="s">
        <v>2454</v>
      </c>
      <c r="F539" s="88"/>
      <c r="G539" s="88"/>
      <c r="H539" s="88"/>
      <c r="I539" s="88"/>
      <c r="J539" s="88"/>
      <c r="K539" s="88"/>
      <c r="L539" s="88"/>
      <c r="M539" s="88"/>
      <c r="N539" s="88"/>
      <c r="O539" s="88"/>
      <c r="P539" s="88"/>
      <c r="Q539" s="88"/>
      <c r="R539" s="88"/>
      <c r="S539" s="88"/>
      <c r="T539" s="88"/>
      <c r="U539" s="88"/>
      <c r="V539" s="88"/>
      <c r="W539" s="88"/>
      <c r="X539" s="88"/>
      <c r="Y539" s="88"/>
      <c r="Z539" s="88"/>
      <c r="AA539" s="88"/>
      <c r="AB539" s="88"/>
      <c r="AC539" s="88"/>
      <c r="AD539" s="88"/>
      <c r="AE539" s="88"/>
      <c r="AF539" s="88"/>
      <c r="AG539" s="88"/>
      <c r="AH539" s="88"/>
      <c r="AI539" s="88"/>
      <c r="AJ539" s="88"/>
    </row>
    <row r="540" spans="1:36" ht="15">
      <c r="A540" s="88" t="s">
        <v>336</v>
      </c>
      <c r="B540" s="88" t="s">
        <v>1425</v>
      </c>
      <c r="C540" s="88" t="s">
        <v>7</v>
      </c>
      <c r="D540" s="88" t="s">
        <v>2455</v>
      </c>
      <c r="E540" s="88" t="s">
        <v>2456</v>
      </c>
      <c r="F540" s="88"/>
      <c r="G540" s="88"/>
      <c r="H540" s="88"/>
      <c r="I540" s="88"/>
      <c r="J540" s="88"/>
      <c r="K540" s="88"/>
      <c r="L540" s="88"/>
      <c r="M540" s="88"/>
      <c r="N540" s="88"/>
      <c r="O540" s="88"/>
      <c r="P540" s="88"/>
      <c r="Q540" s="88"/>
      <c r="R540" s="88"/>
      <c r="S540" s="88"/>
      <c r="T540" s="88"/>
      <c r="U540" s="88"/>
      <c r="V540" s="88"/>
      <c r="W540" s="88"/>
      <c r="X540" s="88"/>
      <c r="Y540" s="88"/>
      <c r="Z540" s="88"/>
      <c r="AA540" s="88"/>
      <c r="AB540" s="88"/>
      <c r="AC540" s="88"/>
      <c r="AD540" s="88"/>
      <c r="AE540" s="88"/>
      <c r="AF540" s="88"/>
      <c r="AG540" s="88"/>
      <c r="AH540" s="88"/>
      <c r="AI540" s="88"/>
      <c r="AJ540" s="88"/>
    </row>
    <row r="541" spans="1:36" ht="15">
      <c r="A541" s="88" t="s">
        <v>336</v>
      </c>
      <c r="B541" s="88" t="s">
        <v>1431</v>
      </c>
      <c r="C541" s="88" t="s">
        <v>7</v>
      </c>
      <c r="D541" s="88" t="s">
        <v>2457</v>
      </c>
      <c r="E541" s="88" t="s">
        <v>2458</v>
      </c>
      <c r="F541" s="88"/>
      <c r="G541" s="88"/>
      <c r="H541" s="88"/>
      <c r="I541" s="88"/>
      <c r="J541" s="88"/>
      <c r="K541" s="88"/>
      <c r="L541" s="88"/>
      <c r="M541" s="88"/>
      <c r="N541" s="88"/>
      <c r="O541" s="88"/>
      <c r="P541" s="88"/>
      <c r="Q541" s="88"/>
      <c r="R541" s="88"/>
      <c r="S541" s="88"/>
      <c r="T541" s="88"/>
      <c r="U541" s="88"/>
      <c r="V541" s="88"/>
      <c r="W541" s="88"/>
      <c r="X541" s="88"/>
      <c r="Y541" s="88"/>
      <c r="Z541" s="88"/>
      <c r="AA541" s="88"/>
      <c r="AB541" s="88"/>
      <c r="AC541" s="88"/>
      <c r="AD541" s="88"/>
      <c r="AE541" s="88"/>
      <c r="AF541" s="88"/>
      <c r="AG541" s="88"/>
      <c r="AH541" s="88"/>
      <c r="AI541" s="88"/>
      <c r="AJ541" s="88"/>
    </row>
    <row r="542" spans="1:36" ht="15">
      <c r="A542" s="88" t="s">
        <v>336</v>
      </c>
      <c r="B542" s="88" t="s">
        <v>1437</v>
      </c>
      <c r="C542" s="88" t="s">
        <v>7</v>
      </c>
      <c r="D542" s="88" t="s">
        <v>2459</v>
      </c>
      <c r="E542" s="88" t="s">
        <v>2460</v>
      </c>
      <c r="F542" s="88"/>
      <c r="G542" s="88"/>
      <c r="H542" s="88"/>
      <c r="I542" s="88"/>
      <c r="J542" s="88"/>
      <c r="K542" s="88"/>
      <c r="L542" s="88"/>
      <c r="M542" s="88"/>
      <c r="N542" s="88"/>
      <c r="O542" s="88"/>
      <c r="P542" s="88"/>
      <c r="Q542" s="88"/>
      <c r="R542" s="88"/>
      <c r="S542" s="88"/>
      <c r="T542" s="88"/>
      <c r="U542" s="88"/>
      <c r="V542" s="88"/>
      <c r="W542" s="88"/>
      <c r="X542" s="88"/>
      <c r="Y542" s="88"/>
      <c r="Z542" s="88"/>
      <c r="AA542" s="88"/>
      <c r="AB542" s="88"/>
      <c r="AC542" s="88"/>
      <c r="AD542" s="88"/>
      <c r="AE542" s="88"/>
      <c r="AF542" s="88"/>
      <c r="AG542" s="88"/>
      <c r="AH542" s="88"/>
      <c r="AI542" s="88"/>
      <c r="AJ542" s="88"/>
    </row>
    <row r="543" spans="1:36" ht="15">
      <c r="A543" s="88" t="s">
        <v>336</v>
      </c>
      <c r="B543" s="88" t="s">
        <v>1442</v>
      </c>
      <c r="C543" s="88" t="s">
        <v>7</v>
      </c>
      <c r="D543" s="88" t="s">
        <v>2461</v>
      </c>
      <c r="E543" s="88" t="s">
        <v>2462</v>
      </c>
      <c r="F543" s="88"/>
      <c r="G543" s="88"/>
      <c r="H543" s="88"/>
      <c r="I543" s="88"/>
      <c r="J543" s="88"/>
      <c r="K543" s="88"/>
      <c r="L543" s="88"/>
      <c r="M543" s="88"/>
      <c r="N543" s="88"/>
      <c r="O543" s="88"/>
      <c r="P543" s="88"/>
      <c r="Q543" s="88"/>
      <c r="R543" s="88"/>
      <c r="S543" s="88"/>
      <c r="T543" s="88"/>
      <c r="U543" s="88"/>
      <c r="V543" s="88"/>
      <c r="W543" s="88"/>
      <c r="X543" s="88"/>
      <c r="Y543" s="88"/>
      <c r="Z543" s="88"/>
      <c r="AA543" s="88"/>
      <c r="AB543" s="88"/>
      <c r="AC543" s="88"/>
      <c r="AD543" s="88"/>
      <c r="AE543" s="88"/>
      <c r="AF543" s="88"/>
      <c r="AG543" s="88"/>
      <c r="AH543" s="88"/>
      <c r="AI543" s="88"/>
      <c r="AJ543" s="88"/>
    </row>
    <row r="544" spans="1:36" ht="15">
      <c r="A544" s="88" t="s">
        <v>336</v>
      </c>
      <c r="B544" s="88" t="s">
        <v>1447</v>
      </c>
      <c r="C544" s="88" t="s">
        <v>7</v>
      </c>
      <c r="D544" s="88" t="s">
        <v>2463</v>
      </c>
      <c r="E544" s="88" t="s">
        <v>2464</v>
      </c>
      <c r="F544" s="88"/>
      <c r="G544" s="88"/>
      <c r="H544" s="88"/>
      <c r="I544" s="88"/>
      <c r="J544" s="88"/>
      <c r="K544" s="88"/>
      <c r="L544" s="88"/>
      <c r="M544" s="88"/>
      <c r="N544" s="88"/>
      <c r="O544" s="88"/>
      <c r="P544" s="88"/>
      <c r="Q544" s="88"/>
      <c r="R544" s="88"/>
      <c r="S544" s="88"/>
      <c r="T544" s="88"/>
      <c r="U544" s="88"/>
      <c r="V544" s="88"/>
      <c r="W544" s="88"/>
      <c r="X544" s="88"/>
      <c r="Y544" s="88"/>
      <c r="Z544" s="88"/>
      <c r="AA544" s="88"/>
      <c r="AB544" s="88"/>
      <c r="AC544" s="88"/>
      <c r="AD544" s="88"/>
      <c r="AE544" s="88"/>
      <c r="AF544" s="88"/>
      <c r="AG544" s="88"/>
      <c r="AH544" s="88"/>
      <c r="AI544" s="88"/>
      <c r="AJ544" s="88"/>
    </row>
    <row r="545" spans="1:36" ht="15">
      <c r="A545" s="88" t="s">
        <v>336</v>
      </c>
      <c r="B545" s="88" t="s">
        <v>1453</v>
      </c>
      <c r="C545" s="88" t="s">
        <v>7</v>
      </c>
      <c r="D545" s="88" t="s">
        <v>2465</v>
      </c>
      <c r="E545" s="88" t="s">
        <v>2466</v>
      </c>
      <c r="F545" s="88"/>
      <c r="G545" s="88"/>
      <c r="H545" s="88"/>
      <c r="I545" s="88"/>
      <c r="J545" s="88"/>
      <c r="K545" s="88"/>
      <c r="L545" s="88"/>
      <c r="M545" s="88"/>
      <c r="N545" s="88"/>
      <c r="O545" s="88"/>
      <c r="P545" s="88"/>
      <c r="Q545" s="88"/>
      <c r="R545" s="88"/>
      <c r="S545" s="88"/>
      <c r="T545" s="88"/>
      <c r="U545" s="88"/>
      <c r="V545" s="88"/>
      <c r="W545" s="88"/>
      <c r="X545" s="88"/>
      <c r="Y545" s="88"/>
      <c r="Z545" s="88"/>
      <c r="AA545" s="88"/>
      <c r="AB545" s="88"/>
      <c r="AC545" s="88"/>
      <c r="AD545" s="88"/>
      <c r="AE545" s="88"/>
      <c r="AF545" s="88"/>
      <c r="AG545" s="88"/>
      <c r="AH545" s="88"/>
      <c r="AI545" s="88"/>
      <c r="AJ545" s="88"/>
    </row>
    <row r="546" spans="1:36" ht="15">
      <c r="A546" s="88" t="s">
        <v>336</v>
      </c>
      <c r="B546" s="88" t="s">
        <v>1458</v>
      </c>
      <c r="C546" s="88" t="s">
        <v>7</v>
      </c>
      <c r="D546" s="88" t="s">
        <v>2467</v>
      </c>
      <c r="E546" s="88" t="s">
        <v>2468</v>
      </c>
      <c r="F546" s="88"/>
      <c r="G546" s="88"/>
      <c r="H546" s="88"/>
      <c r="I546" s="88"/>
      <c r="J546" s="88"/>
      <c r="K546" s="88"/>
      <c r="L546" s="88"/>
      <c r="M546" s="88"/>
      <c r="N546" s="88"/>
      <c r="O546" s="88"/>
      <c r="P546" s="88"/>
      <c r="Q546" s="88"/>
      <c r="R546" s="88"/>
      <c r="S546" s="88"/>
      <c r="T546" s="88"/>
      <c r="U546" s="88"/>
      <c r="V546" s="88"/>
      <c r="W546" s="88"/>
      <c r="X546" s="88"/>
      <c r="Y546" s="88"/>
      <c r="Z546" s="88"/>
      <c r="AA546" s="88"/>
      <c r="AB546" s="88"/>
      <c r="AC546" s="88"/>
      <c r="AD546" s="88"/>
      <c r="AE546" s="88"/>
      <c r="AF546" s="88"/>
      <c r="AG546" s="88"/>
      <c r="AH546" s="88"/>
      <c r="AI546" s="88"/>
      <c r="AJ546" s="88"/>
    </row>
    <row r="547" spans="1:36" ht="15">
      <c r="A547" s="88" t="s">
        <v>336</v>
      </c>
      <c r="B547" s="88" t="s">
        <v>1464</v>
      </c>
      <c r="C547" s="88" t="s">
        <v>7</v>
      </c>
      <c r="D547" s="88" t="s">
        <v>2469</v>
      </c>
      <c r="E547" s="88" t="s">
        <v>2470</v>
      </c>
      <c r="F547" s="88"/>
      <c r="G547" s="88"/>
      <c r="H547" s="88"/>
      <c r="I547" s="88"/>
      <c r="J547" s="88"/>
      <c r="K547" s="88"/>
      <c r="L547" s="88"/>
      <c r="M547" s="88"/>
      <c r="N547" s="88"/>
      <c r="O547" s="88"/>
      <c r="P547" s="88"/>
      <c r="Q547" s="88"/>
      <c r="R547" s="88"/>
      <c r="S547" s="88"/>
      <c r="T547" s="88"/>
      <c r="U547" s="88"/>
      <c r="V547" s="88"/>
      <c r="W547" s="88"/>
      <c r="X547" s="88"/>
      <c r="Y547" s="88"/>
      <c r="Z547" s="88"/>
      <c r="AA547" s="88"/>
      <c r="AB547" s="88"/>
      <c r="AC547" s="88"/>
      <c r="AD547" s="88"/>
      <c r="AE547" s="88"/>
      <c r="AF547" s="88"/>
      <c r="AG547" s="88"/>
      <c r="AH547" s="88"/>
      <c r="AI547" s="88"/>
      <c r="AJ547" s="88"/>
    </row>
    <row r="548" spans="1:36" ht="15">
      <c r="A548" s="88" t="s">
        <v>336</v>
      </c>
      <c r="B548" s="88" t="s">
        <v>1467</v>
      </c>
      <c r="C548" s="88" t="s">
        <v>7</v>
      </c>
      <c r="D548" s="88" t="s">
        <v>2471</v>
      </c>
      <c r="E548" s="88" t="s">
        <v>2472</v>
      </c>
      <c r="F548" s="88"/>
      <c r="G548" s="88"/>
      <c r="H548" s="88"/>
      <c r="I548" s="88"/>
      <c r="J548" s="88"/>
      <c r="K548" s="88"/>
      <c r="L548" s="88"/>
      <c r="M548" s="88"/>
      <c r="N548" s="88"/>
      <c r="O548" s="88"/>
      <c r="P548" s="88"/>
      <c r="Q548" s="88"/>
      <c r="R548" s="88"/>
      <c r="S548" s="88"/>
      <c r="T548" s="88"/>
      <c r="U548" s="88"/>
      <c r="V548" s="88"/>
      <c r="W548" s="88"/>
      <c r="X548" s="88"/>
      <c r="Y548" s="88"/>
      <c r="Z548" s="88"/>
      <c r="AA548" s="88"/>
      <c r="AB548" s="88"/>
      <c r="AC548" s="88"/>
      <c r="AD548" s="88"/>
      <c r="AE548" s="88"/>
      <c r="AF548" s="88"/>
      <c r="AG548" s="88"/>
      <c r="AH548" s="88"/>
      <c r="AI548" s="88"/>
      <c r="AJ548" s="88"/>
    </row>
    <row r="549" spans="1:36" ht="15">
      <c r="A549" s="88" t="s">
        <v>336</v>
      </c>
      <c r="B549" s="88" t="s">
        <v>1471</v>
      </c>
      <c r="C549" s="88" t="s">
        <v>7</v>
      </c>
      <c r="D549" s="88" t="s">
        <v>2473</v>
      </c>
      <c r="E549" s="88" t="s">
        <v>2474</v>
      </c>
      <c r="F549" s="88"/>
      <c r="G549" s="88"/>
      <c r="H549" s="88"/>
      <c r="I549" s="88"/>
      <c r="J549" s="88"/>
      <c r="K549" s="88"/>
      <c r="L549" s="88"/>
      <c r="M549" s="88"/>
      <c r="N549" s="88"/>
      <c r="O549" s="88"/>
      <c r="P549" s="88"/>
      <c r="Q549" s="88"/>
      <c r="R549" s="88"/>
      <c r="S549" s="88"/>
      <c r="T549" s="88"/>
      <c r="U549" s="88"/>
      <c r="V549" s="88"/>
      <c r="W549" s="88"/>
      <c r="X549" s="88"/>
      <c r="Y549" s="88"/>
      <c r="Z549" s="88"/>
      <c r="AA549" s="88"/>
      <c r="AB549" s="88"/>
      <c r="AC549" s="88"/>
      <c r="AD549" s="88"/>
      <c r="AE549" s="88"/>
      <c r="AF549" s="88"/>
      <c r="AG549" s="88"/>
      <c r="AH549" s="88"/>
      <c r="AI549" s="88"/>
      <c r="AJ549" s="88"/>
    </row>
    <row r="550" spans="1:36" ht="15">
      <c r="A550" s="88" t="s">
        <v>336</v>
      </c>
      <c r="B550" s="88" t="s">
        <v>1476</v>
      </c>
      <c r="C550" s="88" t="s">
        <v>7</v>
      </c>
      <c r="D550" s="88" t="s">
        <v>2475</v>
      </c>
      <c r="E550" s="88" t="s">
        <v>2476</v>
      </c>
      <c r="F550" s="88"/>
      <c r="G550" s="88"/>
      <c r="H550" s="88"/>
      <c r="I550" s="88"/>
      <c r="J550" s="88"/>
      <c r="K550" s="88"/>
      <c r="L550" s="88"/>
      <c r="M550" s="88"/>
      <c r="N550" s="88"/>
      <c r="O550" s="88"/>
      <c r="P550" s="88"/>
      <c r="Q550" s="88"/>
      <c r="R550" s="88"/>
      <c r="S550" s="88"/>
      <c r="T550" s="88"/>
      <c r="U550" s="88"/>
      <c r="V550" s="88"/>
      <c r="W550" s="88"/>
      <c r="X550" s="88"/>
      <c r="Y550" s="88"/>
      <c r="Z550" s="88"/>
      <c r="AA550" s="88"/>
      <c r="AB550" s="88"/>
      <c r="AC550" s="88"/>
      <c r="AD550" s="88"/>
      <c r="AE550" s="88"/>
      <c r="AF550" s="88"/>
      <c r="AG550" s="88"/>
      <c r="AH550" s="88"/>
      <c r="AI550" s="88"/>
      <c r="AJ550" s="88"/>
    </row>
    <row r="551" spans="1:36" ht="15">
      <c r="A551" s="88" t="s">
        <v>336</v>
      </c>
      <c r="B551" s="88" t="s">
        <v>1481</v>
      </c>
      <c r="C551" s="88" t="s">
        <v>7</v>
      </c>
      <c r="D551" s="88" t="s">
        <v>2477</v>
      </c>
      <c r="E551" s="88" t="s">
        <v>2478</v>
      </c>
      <c r="F551" s="88"/>
      <c r="G551" s="88"/>
      <c r="H551" s="88"/>
      <c r="I551" s="88"/>
      <c r="J551" s="88"/>
      <c r="K551" s="88"/>
      <c r="L551" s="88"/>
      <c r="M551" s="88"/>
      <c r="N551" s="88"/>
      <c r="O551" s="88"/>
      <c r="P551" s="88"/>
      <c r="Q551" s="88"/>
      <c r="R551" s="88"/>
      <c r="S551" s="88"/>
      <c r="T551" s="88"/>
      <c r="U551" s="88"/>
      <c r="V551" s="88"/>
      <c r="W551" s="88"/>
      <c r="X551" s="88"/>
      <c r="Y551" s="88"/>
      <c r="Z551" s="88"/>
      <c r="AA551" s="88"/>
      <c r="AB551" s="88"/>
      <c r="AC551" s="88"/>
      <c r="AD551" s="88"/>
      <c r="AE551" s="88"/>
      <c r="AF551" s="88"/>
      <c r="AG551" s="88"/>
      <c r="AH551" s="88"/>
      <c r="AI551" s="88"/>
      <c r="AJ551" s="88"/>
    </row>
    <row r="552" spans="1:36" ht="15">
      <c r="A552" s="88" t="s">
        <v>336</v>
      </c>
      <c r="B552" s="88" t="s">
        <v>1486</v>
      </c>
      <c r="C552" s="88" t="s">
        <v>7</v>
      </c>
      <c r="D552" s="88" t="s">
        <v>2479</v>
      </c>
      <c r="E552" s="88" t="s">
        <v>2480</v>
      </c>
      <c r="F552" s="88"/>
      <c r="G552" s="88"/>
      <c r="H552" s="88"/>
      <c r="I552" s="88"/>
      <c r="J552" s="88"/>
      <c r="K552" s="88"/>
      <c r="L552" s="88"/>
      <c r="M552" s="88"/>
      <c r="N552" s="88"/>
      <c r="O552" s="88"/>
      <c r="P552" s="88"/>
      <c r="Q552" s="88"/>
      <c r="R552" s="88"/>
      <c r="S552" s="88"/>
      <c r="T552" s="88"/>
      <c r="U552" s="88"/>
      <c r="V552" s="88"/>
      <c r="W552" s="88"/>
      <c r="X552" s="88"/>
      <c r="Y552" s="88"/>
      <c r="Z552" s="88"/>
      <c r="AA552" s="88"/>
      <c r="AB552" s="88"/>
      <c r="AC552" s="88"/>
      <c r="AD552" s="88"/>
      <c r="AE552" s="88"/>
      <c r="AF552" s="88"/>
      <c r="AG552" s="88"/>
      <c r="AH552" s="88"/>
      <c r="AI552" s="88"/>
      <c r="AJ552" s="88"/>
    </row>
    <row r="553" spans="1:36" ht="15">
      <c r="A553" s="88" t="s">
        <v>336</v>
      </c>
      <c r="B553" s="88" t="s">
        <v>1490</v>
      </c>
      <c r="C553" s="88" t="s">
        <v>7</v>
      </c>
      <c r="D553" s="88" t="s">
        <v>2481</v>
      </c>
      <c r="E553" s="88" t="s">
        <v>2482</v>
      </c>
      <c r="F553" s="88"/>
      <c r="G553" s="88"/>
      <c r="H553" s="88"/>
      <c r="I553" s="88"/>
      <c r="J553" s="88"/>
      <c r="K553" s="88"/>
      <c r="L553" s="88"/>
      <c r="M553" s="88"/>
      <c r="N553" s="88"/>
      <c r="O553" s="88"/>
      <c r="P553" s="88"/>
      <c r="Q553" s="88"/>
      <c r="R553" s="88"/>
      <c r="S553" s="88"/>
      <c r="T553" s="88"/>
      <c r="U553" s="88"/>
      <c r="V553" s="88"/>
      <c r="W553" s="88"/>
      <c r="X553" s="88"/>
      <c r="Y553" s="88"/>
      <c r="Z553" s="88"/>
      <c r="AA553" s="88"/>
      <c r="AB553" s="88"/>
      <c r="AC553" s="88"/>
      <c r="AD553" s="88"/>
      <c r="AE553" s="88"/>
      <c r="AF553" s="88"/>
      <c r="AG553" s="88"/>
      <c r="AH553" s="88"/>
      <c r="AI553" s="88"/>
      <c r="AJ553" s="88"/>
    </row>
    <row r="554" spans="1:36" ht="15">
      <c r="A554" s="88" t="s">
        <v>336</v>
      </c>
      <c r="B554" s="88" t="s">
        <v>1495</v>
      </c>
      <c r="C554" s="88" t="s">
        <v>7</v>
      </c>
      <c r="D554" s="88" t="s">
        <v>2483</v>
      </c>
      <c r="E554" s="88" t="s">
        <v>2484</v>
      </c>
      <c r="F554" s="88"/>
      <c r="G554" s="88"/>
      <c r="H554" s="88"/>
      <c r="I554" s="88"/>
      <c r="J554" s="88"/>
      <c r="K554" s="88"/>
      <c r="L554" s="88"/>
      <c r="M554" s="88"/>
      <c r="N554" s="88"/>
      <c r="O554" s="88"/>
      <c r="P554" s="88"/>
      <c r="Q554" s="88"/>
      <c r="R554" s="88"/>
      <c r="S554" s="88"/>
      <c r="T554" s="88"/>
      <c r="U554" s="88"/>
      <c r="V554" s="88"/>
      <c r="W554" s="88"/>
      <c r="X554" s="88"/>
      <c r="Y554" s="88"/>
      <c r="Z554" s="88"/>
      <c r="AA554" s="88"/>
      <c r="AB554" s="88"/>
      <c r="AC554" s="88"/>
      <c r="AD554" s="88"/>
      <c r="AE554" s="88"/>
      <c r="AF554" s="88"/>
      <c r="AG554" s="88"/>
      <c r="AH554" s="88"/>
      <c r="AI554" s="88"/>
      <c r="AJ554" s="88"/>
    </row>
    <row r="555" spans="1:36" ht="15">
      <c r="A555" s="88" t="s">
        <v>336</v>
      </c>
      <c r="B555" s="88" t="s">
        <v>1500</v>
      </c>
      <c r="C555" s="88" t="s">
        <v>7</v>
      </c>
      <c r="D555" s="88" t="s">
        <v>2485</v>
      </c>
      <c r="E555" s="88" t="s">
        <v>2486</v>
      </c>
      <c r="F555" s="88"/>
      <c r="G555" s="88"/>
      <c r="H555" s="88"/>
      <c r="I555" s="88"/>
      <c r="J555" s="88"/>
      <c r="K555" s="88"/>
      <c r="L555" s="88"/>
      <c r="M555" s="88"/>
      <c r="N555" s="88"/>
      <c r="O555" s="88"/>
      <c r="P555" s="88"/>
      <c r="Q555" s="88"/>
      <c r="R555" s="88"/>
      <c r="S555" s="88"/>
      <c r="T555" s="88"/>
      <c r="U555" s="88"/>
      <c r="V555" s="88"/>
      <c r="W555" s="88"/>
      <c r="X555" s="88"/>
      <c r="Y555" s="88"/>
      <c r="Z555" s="88"/>
      <c r="AA555" s="88"/>
      <c r="AB555" s="88"/>
      <c r="AC555" s="88"/>
      <c r="AD555" s="88"/>
      <c r="AE555" s="88"/>
      <c r="AF555" s="88"/>
      <c r="AG555" s="88"/>
      <c r="AH555" s="88"/>
      <c r="AI555" s="88"/>
      <c r="AJ555" s="88"/>
    </row>
    <row r="556" spans="1:36" ht="15">
      <c r="A556" s="88" t="s">
        <v>336</v>
      </c>
      <c r="B556" s="88" t="s">
        <v>1505</v>
      </c>
      <c r="C556" s="88" t="s">
        <v>7</v>
      </c>
      <c r="D556" s="88" t="s">
        <v>2487</v>
      </c>
      <c r="E556" s="88" t="s">
        <v>2488</v>
      </c>
      <c r="F556" s="88"/>
      <c r="G556" s="88"/>
      <c r="H556" s="88"/>
      <c r="I556" s="88"/>
      <c r="J556" s="88"/>
      <c r="K556" s="88"/>
      <c r="L556" s="88"/>
      <c r="M556" s="88"/>
      <c r="N556" s="88"/>
      <c r="O556" s="88"/>
      <c r="P556" s="88"/>
      <c r="Q556" s="88"/>
      <c r="R556" s="88"/>
      <c r="S556" s="88"/>
      <c r="T556" s="88"/>
      <c r="U556" s="88"/>
      <c r="V556" s="88"/>
      <c r="W556" s="88"/>
      <c r="X556" s="88"/>
      <c r="Y556" s="88"/>
      <c r="Z556" s="88"/>
      <c r="AA556" s="88"/>
      <c r="AB556" s="88"/>
      <c r="AC556" s="88"/>
      <c r="AD556" s="88"/>
      <c r="AE556" s="88"/>
      <c r="AF556" s="88"/>
      <c r="AG556" s="88"/>
      <c r="AH556" s="88"/>
      <c r="AI556" s="88"/>
      <c r="AJ556" s="88"/>
    </row>
    <row r="557" spans="1:36" ht="15">
      <c r="A557" s="88" t="s">
        <v>336</v>
      </c>
      <c r="B557" s="88" t="s">
        <v>1510</v>
      </c>
      <c r="C557" s="88" t="s">
        <v>7</v>
      </c>
      <c r="D557" s="88" t="s">
        <v>2489</v>
      </c>
      <c r="E557" s="88" t="s">
        <v>2490</v>
      </c>
      <c r="F557" s="88"/>
      <c r="G557" s="88"/>
      <c r="H557" s="88"/>
      <c r="I557" s="88"/>
      <c r="J557" s="88"/>
      <c r="K557" s="88"/>
      <c r="L557" s="88"/>
      <c r="M557" s="88"/>
      <c r="N557" s="88"/>
      <c r="O557" s="88"/>
      <c r="P557" s="88"/>
      <c r="Q557" s="88"/>
      <c r="R557" s="88"/>
      <c r="S557" s="88"/>
      <c r="T557" s="88"/>
      <c r="U557" s="88"/>
      <c r="V557" s="88"/>
      <c r="W557" s="88"/>
      <c r="X557" s="88"/>
      <c r="Y557" s="88"/>
      <c r="Z557" s="88"/>
      <c r="AA557" s="88"/>
      <c r="AB557" s="88"/>
      <c r="AC557" s="88"/>
      <c r="AD557" s="88"/>
      <c r="AE557" s="88"/>
      <c r="AF557" s="88"/>
      <c r="AG557" s="88"/>
      <c r="AH557" s="88"/>
      <c r="AI557" s="88"/>
      <c r="AJ557" s="88"/>
    </row>
    <row r="558" spans="1:36" ht="15">
      <c r="A558" s="88" t="s">
        <v>336</v>
      </c>
      <c r="B558" s="88" t="s">
        <v>1515</v>
      </c>
      <c r="C558" s="88" t="s">
        <v>7</v>
      </c>
      <c r="D558" s="88" t="s">
        <v>2491</v>
      </c>
      <c r="E558" s="88" t="s">
        <v>2492</v>
      </c>
      <c r="F558" s="88"/>
      <c r="G558" s="88"/>
      <c r="H558" s="88"/>
      <c r="I558" s="88"/>
      <c r="J558" s="88"/>
      <c r="K558" s="88"/>
      <c r="L558" s="88"/>
      <c r="M558" s="88"/>
      <c r="N558" s="88"/>
      <c r="O558" s="88"/>
      <c r="P558" s="88"/>
      <c r="Q558" s="88"/>
      <c r="R558" s="88"/>
      <c r="S558" s="88"/>
      <c r="T558" s="88"/>
      <c r="U558" s="88"/>
      <c r="V558" s="88"/>
      <c r="W558" s="88"/>
      <c r="X558" s="88"/>
      <c r="Y558" s="88"/>
      <c r="Z558" s="88"/>
      <c r="AA558" s="88"/>
      <c r="AB558" s="88"/>
      <c r="AC558" s="88"/>
      <c r="AD558" s="88"/>
      <c r="AE558" s="88"/>
      <c r="AF558" s="88"/>
      <c r="AG558" s="88"/>
      <c r="AH558" s="88"/>
      <c r="AI558" s="88"/>
      <c r="AJ558" s="88"/>
    </row>
    <row r="559" spans="1:36" ht="15">
      <c r="A559" s="88" t="s">
        <v>336</v>
      </c>
      <c r="B559" s="88" t="s">
        <v>1519</v>
      </c>
      <c r="C559" s="88" t="s">
        <v>7</v>
      </c>
      <c r="D559" s="88" t="s">
        <v>2493</v>
      </c>
      <c r="E559" s="88" t="s">
        <v>2494</v>
      </c>
      <c r="F559" s="88"/>
      <c r="G559" s="88"/>
      <c r="H559" s="88"/>
      <c r="I559" s="88"/>
      <c r="J559" s="88"/>
      <c r="K559" s="88"/>
      <c r="L559" s="88"/>
      <c r="M559" s="88"/>
      <c r="N559" s="88"/>
      <c r="O559" s="88"/>
      <c r="P559" s="88"/>
      <c r="Q559" s="88"/>
      <c r="R559" s="88"/>
      <c r="S559" s="88"/>
      <c r="T559" s="88"/>
      <c r="U559" s="88"/>
      <c r="V559" s="88"/>
      <c r="W559" s="88"/>
      <c r="X559" s="88"/>
      <c r="Y559" s="88"/>
      <c r="Z559" s="88"/>
      <c r="AA559" s="88"/>
      <c r="AB559" s="88"/>
      <c r="AC559" s="88"/>
      <c r="AD559" s="88"/>
      <c r="AE559" s="88"/>
      <c r="AF559" s="88"/>
      <c r="AG559" s="88"/>
      <c r="AH559" s="88"/>
      <c r="AI559" s="88"/>
      <c r="AJ559" s="88"/>
    </row>
    <row r="560" spans="1:36" ht="15">
      <c r="A560" s="88" t="s">
        <v>336</v>
      </c>
      <c r="B560" s="88" t="s">
        <v>1524</v>
      </c>
      <c r="C560" s="88" t="s">
        <v>7</v>
      </c>
      <c r="D560" s="88" t="s">
        <v>2495</v>
      </c>
      <c r="E560" s="88" t="s">
        <v>2496</v>
      </c>
      <c r="F560" s="88"/>
      <c r="G560" s="88"/>
      <c r="H560" s="88"/>
      <c r="I560" s="88"/>
      <c r="J560" s="88"/>
      <c r="K560" s="88"/>
      <c r="L560" s="88"/>
      <c r="M560" s="88"/>
      <c r="N560" s="88"/>
      <c r="O560" s="88"/>
      <c r="P560" s="88"/>
      <c r="Q560" s="88"/>
      <c r="R560" s="88"/>
      <c r="S560" s="88"/>
      <c r="T560" s="88"/>
      <c r="U560" s="88"/>
      <c r="V560" s="88"/>
      <c r="W560" s="88"/>
      <c r="X560" s="88"/>
      <c r="Y560" s="88"/>
      <c r="Z560" s="88"/>
      <c r="AA560" s="88"/>
      <c r="AB560" s="88"/>
      <c r="AC560" s="88"/>
      <c r="AD560" s="88"/>
      <c r="AE560" s="88"/>
      <c r="AF560" s="88"/>
      <c r="AG560" s="88"/>
      <c r="AH560" s="88"/>
      <c r="AI560" s="88"/>
      <c r="AJ560" s="88"/>
    </row>
    <row r="561" spans="1:36" ht="15">
      <c r="A561" s="88" t="s">
        <v>336</v>
      </c>
      <c r="B561" s="88" t="s">
        <v>1529</v>
      </c>
      <c r="C561" s="88" t="s">
        <v>7</v>
      </c>
      <c r="D561" s="88" t="s">
        <v>2497</v>
      </c>
      <c r="E561" s="88" t="s">
        <v>2498</v>
      </c>
      <c r="F561" s="88"/>
      <c r="G561" s="88"/>
      <c r="H561" s="88"/>
      <c r="I561" s="88"/>
      <c r="J561" s="88"/>
      <c r="K561" s="88"/>
      <c r="L561" s="88"/>
      <c r="M561" s="88"/>
      <c r="N561" s="88"/>
      <c r="O561" s="88"/>
      <c r="P561" s="88"/>
      <c r="Q561" s="88"/>
      <c r="R561" s="88"/>
      <c r="S561" s="88"/>
      <c r="T561" s="88"/>
      <c r="U561" s="88"/>
      <c r="V561" s="88"/>
      <c r="W561" s="88"/>
      <c r="X561" s="88"/>
      <c r="Y561" s="88"/>
      <c r="Z561" s="88"/>
      <c r="AA561" s="88"/>
      <c r="AB561" s="88"/>
      <c r="AC561" s="88"/>
      <c r="AD561" s="88"/>
      <c r="AE561" s="88"/>
      <c r="AF561" s="88"/>
      <c r="AG561" s="88"/>
      <c r="AH561" s="88"/>
      <c r="AI561" s="88"/>
      <c r="AJ561" s="88"/>
    </row>
    <row r="562" spans="1:36" ht="15">
      <c r="A562" s="88" t="s">
        <v>336</v>
      </c>
      <c r="B562" s="88" t="s">
        <v>1534</v>
      </c>
      <c r="C562" s="88" t="s">
        <v>7</v>
      </c>
      <c r="D562" s="88" t="s">
        <v>2499</v>
      </c>
      <c r="E562" s="88" t="s">
        <v>2500</v>
      </c>
      <c r="F562" s="88"/>
      <c r="G562" s="88"/>
      <c r="H562" s="88"/>
      <c r="I562" s="88"/>
      <c r="J562" s="88"/>
      <c r="K562" s="88"/>
      <c r="L562" s="88"/>
      <c r="M562" s="88"/>
      <c r="N562" s="88"/>
      <c r="O562" s="88"/>
      <c r="P562" s="88"/>
      <c r="Q562" s="88"/>
      <c r="R562" s="88"/>
      <c r="S562" s="88"/>
      <c r="T562" s="88"/>
      <c r="U562" s="88"/>
      <c r="V562" s="88"/>
      <c r="W562" s="88"/>
      <c r="X562" s="88"/>
      <c r="Y562" s="88"/>
      <c r="Z562" s="88"/>
      <c r="AA562" s="88"/>
      <c r="AB562" s="88"/>
      <c r="AC562" s="88"/>
      <c r="AD562" s="88"/>
      <c r="AE562" s="88"/>
      <c r="AF562" s="88"/>
      <c r="AG562" s="88"/>
      <c r="AH562" s="88"/>
      <c r="AI562" s="88"/>
      <c r="AJ562" s="88"/>
    </row>
    <row r="563" spans="1:36" ht="15">
      <c r="A563" s="88" t="s">
        <v>336</v>
      </c>
      <c r="B563" s="88" t="s">
        <v>1539</v>
      </c>
      <c r="C563" s="88" t="s">
        <v>7</v>
      </c>
      <c r="D563" s="88" t="s">
        <v>2501</v>
      </c>
      <c r="E563" s="88" t="s">
        <v>2502</v>
      </c>
      <c r="F563" s="88"/>
      <c r="G563" s="88"/>
      <c r="H563" s="88"/>
      <c r="I563" s="88"/>
      <c r="J563" s="88"/>
      <c r="K563" s="88"/>
      <c r="L563" s="88"/>
      <c r="M563" s="88"/>
      <c r="N563" s="88"/>
      <c r="O563" s="88"/>
      <c r="P563" s="88"/>
      <c r="Q563" s="88"/>
      <c r="R563" s="88"/>
      <c r="S563" s="88"/>
      <c r="T563" s="88"/>
      <c r="U563" s="88"/>
      <c r="V563" s="88"/>
      <c r="W563" s="88"/>
      <c r="X563" s="88"/>
      <c r="Y563" s="88"/>
      <c r="Z563" s="88"/>
      <c r="AA563" s="88"/>
      <c r="AB563" s="88"/>
      <c r="AC563" s="88"/>
      <c r="AD563" s="88"/>
      <c r="AE563" s="88"/>
      <c r="AF563" s="88"/>
      <c r="AG563" s="88"/>
      <c r="AH563" s="88"/>
      <c r="AI563" s="88"/>
      <c r="AJ563" s="88"/>
    </row>
    <row r="564" spans="1:36" ht="15">
      <c r="A564" s="88" t="s">
        <v>336</v>
      </c>
      <c r="B564" s="88" t="s">
        <v>1544</v>
      </c>
      <c r="C564" s="88" t="s">
        <v>7</v>
      </c>
      <c r="D564" s="88" t="s">
        <v>2503</v>
      </c>
      <c r="E564" s="88" t="s">
        <v>2504</v>
      </c>
      <c r="F564" s="88"/>
      <c r="G564" s="88"/>
      <c r="H564" s="88"/>
      <c r="I564" s="88"/>
      <c r="J564" s="88"/>
      <c r="K564" s="88"/>
      <c r="L564" s="88"/>
      <c r="M564" s="88"/>
      <c r="N564" s="88"/>
      <c r="O564" s="88"/>
      <c r="P564" s="88"/>
      <c r="Q564" s="88"/>
      <c r="R564" s="88"/>
      <c r="S564" s="88"/>
      <c r="T564" s="88"/>
      <c r="U564" s="88"/>
      <c r="V564" s="88"/>
      <c r="W564" s="88"/>
      <c r="X564" s="88"/>
      <c r="Y564" s="88"/>
      <c r="Z564" s="88"/>
      <c r="AA564" s="88"/>
      <c r="AB564" s="88"/>
      <c r="AC564" s="88"/>
      <c r="AD564" s="88"/>
      <c r="AE564" s="88"/>
      <c r="AF564" s="88"/>
      <c r="AG564" s="88"/>
      <c r="AH564" s="88"/>
      <c r="AI564" s="88"/>
      <c r="AJ564" s="88"/>
    </row>
    <row r="565" spans="1:36" ht="15">
      <c r="A565" s="88" t="s">
        <v>336</v>
      </c>
      <c r="B565" s="88" t="s">
        <v>1549</v>
      </c>
      <c r="C565" s="88" t="s">
        <v>7</v>
      </c>
      <c r="D565" s="88" t="s">
        <v>2505</v>
      </c>
      <c r="E565" s="88" t="s">
        <v>2506</v>
      </c>
      <c r="F565" s="88"/>
      <c r="G565" s="88"/>
      <c r="H565" s="88"/>
      <c r="I565" s="88"/>
      <c r="J565" s="88"/>
      <c r="K565" s="88"/>
      <c r="L565" s="88"/>
      <c r="M565" s="88"/>
      <c r="N565" s="88"/>
      <c r="O565" s="88"/>
      <c r="P565" s="88"/>
      <c r="Q565" s="88"/>
      <c r="R565" s="88"/>
      <c r="S565" s="88"/>
      <c r="T565" s="88"/>
      <c r="U565" s="88"/>
      <c r="V565" s="88"/>
      <c r="W565" s="88"/>
      <c r="X565" s="88"/>
      <c r="Y565" s="88"/>
      <c r="Z565" s="88"/>
      <c r="AA565" s="88"/>
      <c r="AB565" s="88"/>
      <c r="AC565" s="88"/>
      <c r="AD565" s="88"/>
      <c r="AE565" s="88"/>
      <c r="AF565" s="88"/>
      <c r="AG565" s="88"/>
      <c r="AH565" s="88"/>
      <c r="AI565" s="88"/>
      <c r="AJ565" s="88"/>
    </row>
    <row r="566" spans="1:36" ht="15">
      <c r="A566" s="88" t="s">
        <v>336</v>
      </c>
      <c r="B566" s="88" t="s">
        <v>1554</v>
      </c>
      <c r="C566" s="88" t="s">
        <v>7</v>
      </c>
      <c r="D566" s="88" t="s">
        <v>2507</v>
      </c>
      <c r="E566" s="88" t="s">
        <v>2508</v>
      </c>
      <c r="F566" s="88"/>
      <c r="G566" s="88"/>
      <c r="H566" s="88"/>
      <c r="I566" s="88"/>
      <c r="J566" s="88"/>
      <c r="K566" s="88"/>
      <c r="L566" s="88"/>
      <c r="M566" s="88"/>
      <c r="N566" s="88"/>
      <c r="O566" s="88"/>
      <c r="P566" s="88"/>
      <c r="Q566" s="88"/>
      <c r="R566" s="88"/>
      <c r="S566" s="88"/>
      <c r="T566" s="88"/>
      <c r="U566" s="88"/>
      <c r="V566" s="88"/>
      <c r="W566" s="88"/>
      <c r="X566" s="88"/>
      <c r="Y566" s="88"/>
      <c r="Z566" s="88"/>
      <c r="AA566" s="88"/>
      <c r="AB566" s="88"/>
      <c r="AC566" s="88"/>
      <c r="AD566" s="88"/>
      <c r="AE566" s="88"/>
      <c r="AF566" s="88"/>
      <c r="AG566" s="88"/>
      <c r="AH566" s="88"/>
      <c r="AI566" s="88"/>
      <c r="AJ566" s="88"/>
    </row>
    <row r="567" spans="1:36" ht="15">
      <c r="A567" s="88" t="s">
        <v>336</v>
      </c>
      <c r="B567" s="88" t="s">
        <v>1559</v>
      </c>
      <c r="C567" s="88" t="s">
        <v>7</v>
      </c>
      <c r="D567" s="88" t="s">
        <v>2509</v>
      </c>
      <c r="E567" s="88" t="s">
        <v>2510</v>
      </c>
      <c r="F567" s="88"/>
      <c r="G567" s="88"/>
      <c r="H567" s="88"/>
      <c r="I567" s="88"/>
      <c r="J567" s="88"/>
      <c r="K567" s="88"/>
      <c r="L567" s="88"/>
      <c r="M567" s="88"/>
      <c r="N567" s="88"/>
      <c r="O567" s="88"/>
      <c r="P567" s="88"/>
      <c r="Q567" s="88"/>
      <c r="R567" s="88"/>
      <c r="S567" s="88"/>
      <c r="T567" s="88"/>
      <c r="U567" s="88"/>
      <c r="V567" s="88"/>
      <c r="W567" s="88"/>
      <c r="X567" s="88"/>
      <c r="Y567" s="88"/>
      <c r="Z567" s="88"/>
      <c r="AA567" s="88"/>
      <c r="AB567" s="88"/>
      <c r="AC567" s="88"/>
      <c r="AD567" s="88"/>
      <c r="AE567" s="88"/>
      <c r="AF567" s="88"/>
      <c r="AG567" s="88"/>
      <c r="AH567" s="88"/>
      <c r="AI567" s="88"/>
      <c r="AJ567" s="88"/>
    </row>
    <row r="568" spans="1:36" ht="15">
      <c r="A568" s="88" t="s">
        <v>336</v>
      </c>
      <c r="B568" s="88" t="s">
        <v>1564</v>
      </c>
      <c r="C568" s="88" t="s">
        <v>7</v>
      </c>
      <c r="D568" s="88" t="s">
        <v>2511</v>
      </c>
      <c r="E568" s="88" t="s">
        <v>2512</v>
      </c>
      <c r="F568" s="88"/>
      <c r="G568" s="88"/>
      <c r="H568" s="88"/>
      <c r="I568" s="88"/>
      <c r="J568" s="88"/>
      <c r="K568" s="88"/>
      <c r="L568" s="88"/>
      <c r="M568" s="88"/>
      <c r="N568" s="88"/>
      <c r="O568" s="88"/>
      <c r="P568" s="88"/>
      <c r="Q568" s="88"/>
      <c r="R568" s="88"/>
      <c r="S568" s="88"/>
      <c r="T568" s="88"/>
      <c r="U568" s="88"/>
      <c r="V568" s="88"/>
      <c r="W568" s="88"/>
      <c r="X568" s="88"/>
      <c r="Y568" s="88"/>
      <c r="Z568" s="88"/>
      <c r="AA568" s="88"/>
      <c r="AB568" s="88"/>
      <c r="AC568" s="88"/>
      <c r="AD568" s="88"/>
      <c r="AE568" s="88"/>
      <c r="AF568" s="88"/>
      <c r="AG568" s="88"/>
      <c r="AH568" s="88"/>
      <c r="AI568" s="88"/>
      <c r="AJ568" s="88"/>
    </row>
    <row r="569" spans="1:36" ht="15">
      <c r="A569" s="88" t="s">
        <v>336</v>
      </c>
      <c r="B569" s="88" t="s">
        <v>1569</v>
      </c>
      <c r="C569" s="88" t="s">
        <v>7</v>
      </c>
      <c r="D569" s="88" t="s">
        <v>2513</v>
      </c>
      <c r="E569" s="88" t="s">
        <v>2514</v>
      </c>
      <c r="F569" s="88"/>
      <c r="G569" s="88"/>
      <c r="H569" s="88"/>
      <c r="I569" s="88"/>
      <c r="J569" s="88"/>
      <c r="K569" s="88"/>
      <c r="L569" s="88"/>
      <c r="M569" s="88"/>
      <c r="N569" s="88"/>
      <c r="O569" s="88"/>
      <c r="P569" s="88"/>
      <c r="Q569" s="88"/>
      <c r="R569" s="88"/>
      <c r="S569" s="88"/>
      <c r="T569" s="88"/>
      <c r="U569" s="88"/>
      <c r="V569" s="88"/>
      <c r="W569" s="88"/>
      <c r="X569" s="88"/>
      <c r="Y569" s="88"/>
      <c r="Z569" s="88"/>
      <c r="AA569" s="88"/>
      <c r="AB569" s="88"/>
      <c r="AC569" s="88"/>
      <c r="AD569" s="88"/>
      <c r="AE569" s="88"/>
      <c r="AF569" s="88"/>
      <c r="AG569" s="88"/>
      <c r="AH569" s="88"/>
      <c r="AI569" s="88"/>
      <c r="AJ569" s="88"/>
    </row>
    <row r="570" spans="1:36" ht="15">
      <c r="A570" s="88" t="s">
        <v>336</v>
      </c>
      <c r="B570" s="88" t="s">
        <v>1573</v>
      </c>
      <c r="C570" s="88" t="s">
        <v>7</v>
      </c>
      <c r="D570" s="88" t="s">
        <v>2515</v>
      </c>
      <c r="E570" s="88" t="s">
        <v>2516</v>
      </c>
      <c r="F570" s="88"/>
      <c r="G570" s="88"/>
      <c r="H570" s="88"/>
      <c r="I570" s="88"/>
      <c r="J570" s="88"/>
      <c r="K570" s="88"/>
      <c r="L570" s="88"/>
      <c r="M570" s="88"/>
      <c r="N570" s="88"/>
      <c r="O570" s="88"/>
      <c r="P570" s="88"/>
      <c r="Q570" s="88"/>
      <c r="R570" s="88"/>
      <c r="S570" s="88"/>
      <c r="T570" s="88"/>
      <c r="U570" s="88"/>
      <c r="V570" s="88"/>
      <c r="W570" s="88"/>
      <c r="X570" s="88"/>
      <c r="Y570" s="88"/>
      <c r="Z570" s="88"/>
      <c r="AA570" s="88"/>
      <c r="AB570" s="88"/>
      <c r="AC570" s="88"/>
      <c r="AD570" s="88"/>
      <c r="AE570" s="88"/>
      <c r="AF570" s="88"/>
      <c r="AG570" s="88"/>
      <c r="AH570" s="88"/>
      <c r="AI570" s="88"/>
      <c r="AJ570" s="88"/>
    </row>
    <row r="571" spans="1:36" ht="15">
      <c r="A571" s="88" t="s">
        <v>336</v>
      </c>
      <c r="B571" s="88" t="s">
        <v>1578</v>
      </c>
      <c r="C571" s="88" t="s">
        <v>7</v>
      </c>
      <c r="D571" s="88" t="s">
        <v>2517</v>
      </c>
      <c r="E571" s="88" t="s">
        <v>2518</v>
      </c>
      <c r="F571" s="88"/>
      <c r="G571" s="88"/>
      <c r="H571" s="88"/>
      <c r="I571" s="88"/>
      <c r="J571" s="88"/>
      <c r="K571" s="88"/>
      <c r="L571" s="88"/>
      <c r="M571" s="88"/>
      <c r="N571" s="88"/>
      <c r="O571" s="88"/>
      <c r="P571" s="88"/>
      <c r="Q571" s="88"/>
      <c r="R571" s="88"/>
      <c r="S571" s="88"/>
      <c r="T571" s="88"/>
      <c r="U571" s="88"/>
      <c r="V571" s="88"/>
      <c r="W571" s="88"/>
      <c r="X571" s="88"/>
      <c r="Y571" s="88"/>
      <c r="Z571" s="88"/>
      <c r="AA571" s="88"/>
      <c r="AB571" s="88"/>
      <c r="AC571" s="88"/>
      <c r="AD571" s="88"/>
      <c r="AE571" s="88"/>
      <c r="AF571" s="88"/>
      <c r="AG571" s="88"/>
      <c r="AH571" s="88"/>
      <c r="AI571" s="88"/>
      <c r="AJ571" s="88"/>
    </row>
    <row r="572" spans="1:36" ht="15">
      <c r="A572" s="88" t="s">
        <v>336</v>
      </c>
      <c r="B572" s="88" t="s">
        <v>1583</v>
      </c>
      <c r="C572" s="88" t="s">
        <v>7</v>
      </c>
      <c r="D572" s="88" t="s">
        <v>2519</v>
      </c>
      <c r="E572" s="88" t="s">
        <v>2520</v>
      </c>
      <c r="F572" s="88"/>
      <c r="G572" s="88"/>
      <c r="H572" s="88"/>
      <c r="I572" s="88"/>
      <c r="J572" s="88"/>
      <c r="K572" s="88"/>
      <c r="L572" s="88"/>
      <c r="M572" s="88"/>
      <c r="N572" s="88"/>
      <c r="O572" s="88"/>
      <c r="P572" s="88"/>
      <c r="Q572" s="88"/>
      <c r="R572" s="88"/>
      <c r="S572" s="88"/>
      <c r="T572" s="88"/>
      <c r="U572" s="88"/>
      <c r="V572" s="88"/>
      <c r="W572" s="88"/>
      <c r="X572" s="88"/>
      <c r="Y572" s="88"/>
      <c r="Z572" s="88"/>
      <c r="AA572" s="88"/>
      <c r="AB572" s="88"/>
      <c r="AC572" s="88"/>
      <c r="AD572" s="88"/>
      <c r="AE572" s="88"/>
      <c r="AF572" s="88"/>
      <c r="AG572" s="88"/>
      <c r="AH572" s="88"/>
      <c r="AI572" s="88"/>
      <c r="AJ572" s="88"/>
    </row>
    <row r="573" spans="1:36" ht="15">
      <c r="A573" s="88" t="s">
        <v>336</v>
      </c>
      <c r="B573" s="88" t="s">
        <v>1588</v>
      </c>
      <c r="C573" s="88" t="s">
        <v>7</v>
      </c>
      <c r="D573" s="88" t="s">
        <v>2521</v>
      </c>
      <c r="E573" s="88" t="s">
        <v>2522</v>
      </c>
      <c r="F573" s="88"/>
      <c r="G573" s="88"/>
      <c r="H573" s="88"/>
      <c r="I573" s="88"/>
      <c r="J573" s="88"/>
      <c r="K573" s="88"/>
      <c r="L573" s="88"/>
      <c r="M573" s="88"/>
      <c r="N573" s="88"/>
      <c r="O573" s="88"/>
      <c r="P573" s="88"/>
      <c r="Q573" s="88"/>
      <c r="R573" s="88"/>
      <c r="S573" s="88"/>
      <c r="T573" s="88"/>
      <c r="U573" s="88"/>
      <c r="V573" s="88"/>
      <c r="W573" s="88"/>
      <c r="X573" s="88"/>
      <c r="Y573" s="88"/>
      <c r="Z573" s="88"/>
      <c r="AA573" s="88"/>
      <c r="AB573" s="88"/>
      <c r="AC573" s="88"/>
      <c r="AD573" s="88"/>
      <c r="AE573" s="88"/>
      <c r="AF573" s="88"/>
      <c r="AG573" s="88"/>
      <c r="AH573" s="88"/>
      <c r="AI573" s="88"/>
      <c r="AJ573" s="88"/>
    </row>
    <row r="574" spans="1:36" ht="15">
      <c r="A574" s="88" t="s">
        <v>336</v>
      </c>
      <c r="B574" s="88" t="s">
        <v>1593</v>
      </c>
      <c r="C574" s="88" t="s">
        <v>7</v>
      </c>
      <c r="D574" s="88" t="s">
        <v>2523</v>
      </c>
      <c r="E574" s="88" t="s">
        <v>2524</v>
      </c>
      <c r="F574" s="88"/>
      <c r="G574" s="88"/>
      <c r="H574" s="88"/>
      <c r="I574" s="88"/>
      <c r="J574" s="88"/>
      <c r="K574" s="88"/>
      <c r="L574" s="88"/>
      <c r="M574" s="88"/>
      <c r="N574" s="88"/>
      <c r="O574" s="88"/>
      <c r="P574" s="88"/>
      <c r="Q574" s="88"/>
      <c r="R574" s="88"/>
      <c r="S574" s="88"/>
      <c r="T574" s="88"/>
      <c r="U574" s="88"/>
      <c r="V574" s="88"/>
      <c r="W574" s="88"/>
      <c r="X574" s="88"/>
      <c r="Y574" s="88"/>
      <c r="Z574" s="88"/>
      <c r="AA574" s="88"/>
      <c r="AB574" s="88"/>
      <c r="AC574" s="88"/>
      <c r="AD574" s="88"/>
      <c r="AE574" s="88"/>
      <c r="AF574" s="88"/>
      <c r="AG574" s="88"/>
      <c r="AH574" s="88"/>
      <c r="AI574" s="88"/>
      <c r="AJ574" s="88"/>
    </row>
    <row r="575" spans="1:36" ht="15">
      <c r="A575" s="88" t="s">
        <v>336</v>
      </c>
      <c r="B575" s="88" t="s">
        <v>1597</v>
      </c>
      <c r="C575" s="88" t="s">
        <v>7</v>
      </c>
      <c r="D575" s="88" t="s">
        <v>2525</v>
      </c>
      <c r="E575" s="88" t="s">
        <v>2526</v>
      </c>
      <c r="F575" s="88"/>
      <c r="G575" s="88"/>
      <c r="H575" s="88"/>
      <c r="I575" s="88"/>
      <c r="J575" s="88"/>
      <c r="K575" s="88"/>
      <c r="L575" s="88"/>
      <c r="M575" s="88"/>
      <c r="N575" s="88"/>
      <c r="O575" s="88"/>
      <c r="P575" s="88"/>
      <c r="Q575" s="88"/>
      <c r="R575" s="88"/>
      <c r="S575" s="88"/>
      <c r="T575" s="88"/>
      <c r="U575" s="88"/>
      <c r="V575" s="88"/>
      <c r="W575" s="88"/>
      <c r="X575" s="88"/>
      <c r="Y575" s="88"/>
      <c r="Z575" s="88"/>
      <c r="AA575" s="88"/>
      <c r="AB575" s="88"/>
      <c r="AC575" s="88"/>
      <c r="AD575" s="88"/>
      <c r="AE575" s="88"/>
      <c r="AF575" s="88"/>
      <c r="AG575" s="88"/>
      <c r="AH575" s="88"/>
      <c r="AI575" s="88"/>
      <c r="AJ575" s="88"/>
    </row>
    <row r="576" spans="1:36" ht="15">
      <c r="A576" s="88" t="s">
        <v>334</v>
      </c>
      <c r="B576" s="88" t="s">
        <v>366</v>
      </c>
      <c r="C576" s="88" t="s">
        <v>7</v>
      </c>
      <c r="D576" s="88" t="s">
        <v>2527</v>
      </c>
      <c r="E576" s="88" t="s">
        <v>2528</v>
      </c>
      <c r="F576" s="88"/>
      <c r="G576" s="88"/>
      <c r="H576" s="88"/>
      <c r="I576" s="88"/>
      <c r="J576" s="88"/>
      <c r="K576" s="88"/>
      <c r="L576" s="88"/>
      <c r="M576" s="88"/>
      <c r="N576" s="88"/>
      <c r="O576" s="88"/>
      <c r="P576" s="88"/>
      <c r="Q576" s="88"/>
      <c r="R576" s="88"/>
      <c r="S576" s="88"/>
      <c r="T576" s="88"/>
      <c r="U576" s="88"/>
      <c r="V576" s="88"/>
      <c r="W576" s="88"/>
      <c r="X576" s="88"/>
      <c r="Y576" s="88"/>
      <c r="Z576" s="88"/>
      <c r="AA576" s="88"/>
      <c r="AB576" s="88"/>
      <c r="AC576" s="88"/>
      <c r="AD576" s="88"/>
      <c r="AE576" s="88"/>
      <c r="AF576" s="88"/>
      <c r="AG576" s="88"/>
      <c r="AH576" s="88"/>
      <c r="AI576" s="88"/>
      <c r="AJ576" s="88"/>
    </row>
    <row r="577" spans="1:36" ht="15">
      <c r="A577" s="88" t="s">
        <v>334</v>
      </c>
      <c r="B577" s="88" t="s">
        <v>398</v>
      </c>
      <c r="C577" s="88" t="s">
        <v>7</v>
      </c>
      <c r="D577" s="88" t="s">
        <v>2529</v>
      </c>
      <c r="E577" s="88" t="s">
        <v>2530</v>
      </c>
      <c r="F577" s="88"/>
      <c r="G577" s="88"/>
      <c r="H577" s="88"/>
      <c r="I577" s="88"/>
      <c r="J577" s="88"/>
      <c r="K577" s="88"/>
      <c r="L577" s="88"/>
      <c r="M577" s="88"/>
      <c r="N577" s="88"/>
      <c r="O577" s="88"/>
      <c r="P577" s="88"/>
      <c r="Q577" s="88"/>
      <c r="R577" s="88"/>
      <c r="S577" s="88"/>
      <c r="T577" s="88"/>
      <c r="U577" s="88"/>
      <c r="V577" s="88"/>
      <c r="W577" s="88"/>
      <c r="X577" s="88"/>
      <c r="Y577" s="88"/>
      <c r="Z577" s="88"/>
      <c r="AA577" s="88"/>
      <c r="AB577" s="88"/>
      <c r="AC577" s="88"/>
      <c r="AD577" s="88"/>
      <c r="AE577" s="88"/>
      <c r="AF577" s="88"/>
      <c r="AG577" s="88"/>
      <c r="AH577" s="88"/>
      <c r="AI577" s="88"/>
      <c r="AJ577" s="88"/>
    </row>
    <row r="578" spans="1:36" ht="15">
      <c r="A578" s="88" t="s">
        <v>334</v>
      </c>
      <c r="B578" s="88" t="s">
        <v>428</v>
      </c>
      <c r="C578" s="88" t="s">
        <v>7</v>
      </c>
      <c r="D578" s="88" t="s">
        <v>2531</v>
      </c>
      <c r="E578" s="88" t="s">
        <v>2532</v>
      </c>
      <c r="F578" s="88"/>
      <c r="G578" s="88"/>
      <c r="H578" s="88"/>
      <c r="I578" s="88"/>
      <c r="J578" s="88"/>
      <c r="K578" s="88"/>
      <c r="L578" s="88"/>
      <c r="M578" s="88"/>
      <c r="N578" s="88"/>
      <c r="O578" s="88"/>
      <c r="P578" s="88"/>
      <c r="Q578" s="88"/>
      <c r="R578" s="88"/>
      <c r="S578" s="88"/>
      <c r="T578" s="88"/>
      <c r="U578" s="88"/>
      <c r="V578" s="88"/>
      <c r="W578" s="88"/>
      <c r="X578" s="88"/>
      <c r="Y578" s="88"/>
      <c r="Z578" s="88"/>
      <c r="AA578" s="88"/>
      <c r="AB578" s="88"/>
      <c r="AC578" s="88"/>
      <c r="AD578" s="88"/>
      <c r="AE578" s="88"/>
      <c r="AF578" s="88"/>
      <c r="AG578" s="88"/>
      <c r="AH578" s="88"/>
      <c r="AI578" s="88"/>
      <c r="AJ578" s="88"/>
    </row>
    <row r="579" spans="1:36" ht="15">
      <c r="A579" s="88" t="s">
        <v>334</v>
      </c>
      <c r="B579" s="88" t="s">
        <v>458</v>
      </c>
      <c r="C579" s="88" t="s">
        <v>7</v>
      </c>
      <c r="D579" s="88" t="s">
        <v>2533</v>
      </c>
      <c r="E579" s="88" t="s">
        <v>2534</v>
      </c>
      <c r="F579" s="88"/>
      <c r="G579" s="88"/>
      <c r="H579" s="88"/>
      <c r="I579" s="88"/>
      <c r="J579" s="88"/>
      <c r="K579" s="88"/>
      <c r="L579" s="88"/>
      <c r="M579" s="88"/>
      <c r="N579" s="88"/>
      <c r="O579" s="88"/>
      <c r="P579" s="88"/>
      <c r="Q579" s="88"/>
      <c r="R579" s="88"/>
      <c r="S579" s="88"/>
      <c r="T579" s="88"/>
      <c r="U579" s="88"/>
      <c r="V579" s="88"/>
      <c r="W579" s="88"/>
      <c r="X579" s="88"/>
      <c r="Y579" s="88"/>
      <c r="Z579" s="88"/>
      <c r="AA579" s="88"/>
      <c r="AB579" s="88"/>
      <c r="AC579" s="88"/>
      <c r="AD579" s="88"/>
      <c r="AE579" s="88"/>
      <c r="AF579" s="88"/>
      <c r="AG579" s="88"/>
      <c r="AH579" s="88"/>
      <c r="AI579" s="88"/>
      <c r="AJ579" s="88"/>
    </row>
    <row r="580" spans="1:36" ht="15">
      <c r="A580" s="88" t="s">
        <v>334</v>
      </c>
      <c r="B580" s="88" t="s">
        <v>490</v>
      </c>
      <c r="C580" s="88" t="s">
        <v>7</v>
      </c>
      <c r="D580" s="88" t="s">
        <v>2535</v>
      </c>
      <c r="E580" s="88" t="s">
        <v>2536</v>
      </c>
      <c r="F580" s="88"/>
      <c r="G580" s="88"/>
      <c r="H580" s="88"/>
      <c r="I580" s="88"/>
      <c r="J580" s="88"/>
      <c r="K580" s="88"/>
      <c r="L580" s="88"/>
      <c r="M580" s="88"/>
      <c r="N580" s="88"/>
      <c r="O580" s="88"/>
      <c r="P580" s="88"/>
      <c r="Q580" s="88"/>
      <c r="R580" s="88"/>
      <c r="S580" s="88"/>
      <c r="T580" s="88"/>
      <c r="U580" s="88"/>
      <c r="V580" s="88"/>
      <c r="W580" s="88"/>
      <c r="X580" s="88"/>
      <c r="Y580" s="88"/>
      <c r="Z580" s="88"/>
      <c r="AA580" s="88"/>
      <c r="AB580" s="88"/>
      <c r="AC580" s="88"/>
      <c r="AD580" s="88"/>
      <c r="AE580" s="88"/>
      <c r="AF580" s="88"/>
      <c r="AG580" s="88"/>
      <c r="AH580" s="88"/>
      <c r="AI580" s="88"/>
      <c r="AJ580" s="88"/>
    </row>
    <row r="581" spans="1:36" ht="15">
      <c r="A581" s="88" t="s">
        <v>334</v>
      </c>
      <c r="B581" s="88" t="s">
        <v>519</v>
      </c>
      <c r="C581" s="88" t="s">
        <v>7</v>
      </c>
      <c r="D581" s="88" t="s">
        <v>2537</v>
      </c>
      <c r="E581" s="88" t="s">
        <v>2538</v>
      </c>
      <c r="F581" s="88"/>
      <c r="G581" s="88"/>
      <c r="H581" s="88"/>
      <c r="I581" s="88"/>
      <c r="J581" s="88"/>
      <c r="K581" s="88"/>
      <c r="L581" s="88"/>
      <c r="M581" s="88"/>
      <c r="N581" s="88"/>
      <c r="O581" s="88"/>
      <c r="P581" s="88"/>
      <c r="Q581" s="88"/>
      <c r="R581" s="88"/>
      <c r="S581" s="88"/>
      <c r="T581" s="88"/>
      <c r="U581" s="88"/>
      <c r="V581" s="88"/>
      <c r="W581" s="88"/>
      <c r="X581" s="88"/>
      <c r="Y581" s="88"/>
      <c r="Z581" s="88"/>
      <c r="AA581" s="88"/>
      <c r="AB581" s="88"/>
      <c r="AC581" s="88"/>
      <c r="AD581" s="88"/>
      <c r="AE581" s="88"/>
      <c r="AF581" s="88"/>
      <c r="AG581" s="88"/>
      <c r="AH581" s="88"/>
      <c r="AI581" s="88"/>
      <c r="AJ581" s="88"/>
    </row>
    <row r="582" spans="1:36" ht="15">
      <c r="A582" s="88" t="s">
        <v>334</v>
      </c>
      <c r="B582" s="88" t="s">
        <v>549</v>
      </c>
      <c r="C582" s="88" t="s">
        <v>7</v>
      </c>
      <c r="D582" s="88" t="s">
        <v>2539</v>
      </c>
      <c r="E582" s="88" t="s">
        <v>2540</v>
      </c>
      <c r="F582" s="88"/>
      <c r="G582" s="88"/>
      <c r="H582" s="88"/>
      <c r="I582" s="88"/>
      <c r="J582" s="88"/>
      <c r="K582" s="88"/>
      <c r="L582" s="88"/>
      <c r="M582" s="88"/>
      <c r="N582" s="88"/>
      <c r="O582" s="88"/>
      <c r="P582" s="88"/>
      <c r="Q582" s="88"/>
      <c r="R582" s="88"/>
      <c r="S582" s="88"/>
      <c r="T582" s="88"/>
      <c r="U582" s="88"/>
      <c r="V582" s="88"/>
      <c r="W582" s="88"/>
      <c r="X582" s="88"/>
      <c r="Y582" s="88"/>
      <c r="Z582" s="88"/>
      <c r="AA582" s="88"/>
      <c r="AB582" s="88"/>
      <c r="AC582" s="88"/>
      <c r="AD582" s="88"/>
      <c r="AE582" s="88"/>
      <c r="AF582" s="88"/>
      <c r="AG582" s="88"/>
      <c r="AH582" s="88"/>
      <c r="AI582" s="88"/>
      <c r="AJ582" s="88"/>
    </row>
    <row r="583" spans="1:36" ht="15">
      <c r="A583" s="88" t="s">
        <v>334</v>
      </c>
      <c r="B583" s="88" t="s">
        <v>576</v>
      </c>
      <c r="C583" s="88" t="s">
        <v>7</v>
      </c>
      <c r="D583" s="88" t="s">
        <v>2541</v>
      </c>
      <c r="E583" s="88" t="s">
        <v>2542</v>
      </c>
      <c r="F583" s="88"/>
      <c r="G583" s="88"/>
      <c r="H583" s="88"/>
      <c r="I583" s="88"/>
      <c r="J583" s="88"/>
      <c r="K583" s="88"/>
      <c r="L583" s="88"/>
      <c r="M583" s="88"/>
      <c r="N583" s="88"/>
      <c r="O583" s="88"/>
      <c r="P583" s="88"/>
      <c r="Q583" s="88"/>
      <c r="R583" s="88"/>
      <c r="S583" s="88"/>
      <c r="T583" s="88"/>
      <c r="U583" s="88"/>
      <c r="V583" s="88"/>
      <c r="W583" s="88"/>
      <c r="X583" s="88"/>
      <c r="Y583" s="88"/>
      <c r="Z583" s="88"/>
      <c r="AA583" s="88"/>
      <c r="AB583" s="88"/>
      <c r="AC583" s="88"/>
      <c r="AD583" s="88"/>
      <c r="AE583" s="88"/>
      <c r="AF583" s="88"/>
      <c r="AG583" s="88"/>
      <c r="AH583" s="88"/>
      <c r="AI583" s="88"/>
      <c r="AJ583" s="88"/>
    </row>
    <row r="584" spans="1:36" ht="15">
      <c r="A584" s="88" t="s">
        <v>334</v>
      </c>
      <c r="B584" s="88" t="s">
        <v>604</v>
      </c>
      <c r="C584" s="88" t="s">
        <v>7</v>
      </c>
      <c r="D584" s="88" t="s">
        <v>2543</v>
      </c>
      <c r="E584" s="88" t="s">
        <v>2544</v>
      </c>
      <c r="F584" s="88"/>
      <c r="G584" s="88"/>
      <c r="H584" s="88"/>
      <c r="I584" s="88"/>
      <c r="J584" s="88"/>
      <c r="K584" s="88"/>
      <c r="L584" s="88"/>
      <c r="M584" s="88"/>
      <c r="N584" s="88"/>
      <c r="O584" s="88"/>
      <c r="P584" s="88"/>
      <c r="Q584" s="88"/>
      <c r="R584" s="88"/>
      <c r="S584" s="88"/>
      <c r="T584" s="88"/>
      <c r="U584" s="88"/>
      <c r="V584" s="88"/>
      <c r="W584" s="88"/>
      <c r="X584" s="88"/>
      <c r="Y584" s="88"/>
      <c r="Z584" s="88"/>
      <c r="AA584" s="88"/>
      <c r="AB584" s="88"/>
      <c r="AC584" s="88"/>
      <c r="AD584" s="88"/>
      <c r="AE584" s="88"/>
      <c r="AF584" s="88"/>
      <c r="AG584" s="88"/>
      <c r="AH584" s="88"/>
      <c r="AI584" s="88"/>
      <c r="AJ584" s="88"/>
    </row>
    <row r="585" spans="1:36" ht="15">
      <c r="A585" s="88" t="s">
        <v>334</v>
      </c>
      <c r="B585" s="88" t="s">
        <v>630</v>
      </c>
      <c r="C585" s="88" t="s">
        <v>7</v>
      </c>
      <c r="D585" s="88" t="s">
        <v>2545</v>
      </c>
      <c r="E585" s="88" t="s">
        <v>2546</v>
      </c>
      <c r="F585" s="88"/>
      <c r="G585" s="88"/>
      <c r="H585" s="88"/>
      <c r="I585" s="88"/>
      <c r="J585" s="88"/>
      <c r="K585" s="88"/>
      <c r="L585" s="88"/>
      <c r="M585" s="88"/>
      <c r="N585" s="88"/>
      <c r="O585" s="88"/>
      <c r="P585" s="88"/>
      <c r="Q585" s="88"/>
      <c r="R585" s="88"/>
      <c r="S585" s="88"/>
      <c r="T585" s="88"/>
      <c r="U585" s="88"/>
      <c r="V585" s="88"/>
      <c r="W585" s="88"/>
      <c r="X585" s="88"/>
      <c r="Y585" s="88"/>
      <c r="Z585" s="88"/>
      <c r="AA585" s="88"/>
      <c r="AB585" s="88"/>
      <c r="AC585" s="88"/>
      <c r="AD585" s="88"/>
      <c r="AE585" s="88"/>
      <c r="AF585" s="88"/>
      <c r="AG585" s="88"/>
      <c r="AH585" s="88"/>
      <c r="AI585" s="88"/>
      <c r="AJ585" s="88"/>
    </row>
    <row r="586" spans="1:36" ht="15">
      <c r="A586" s="88" t="s">
        <v>334</v>
      </c>
      <c r="B586" s="88" t="s">
        <v>655</v>
      </c>
      <c r="C586" s="88" t="s">
        <v>7</v>
      </c>
      <c r="D586" s="88" t="s">
        <v>2547</v>
      </c>
      <c r="E586" s="88" t="s">
        <v>2548</v>
      </c>
      <c r="F586" s="88"/>
      <c r="G586" s="88"/>
      <c r="H586" s="88"/>
      <c r="I586" s="88"/>
      <c r="J586" s="88"/>
      <c r="K586" s="88"/>
      <c r="L586" s="88"/>
      <c r="M586" s="88"/>
      <c r="N586" s="88"/>
      <c r="O586" s="88"/>
      <c r="P586" s="88"/>
      <c r="Q586" s="88"/>
      <c r="R586" s="88"/>
      <c r="S586" s="88"/>
      <c r="T586" s="88"/>
      <c r="U586" s="88"/>
      <c r="V586" s="88"/>
      <c r="W586" s="88"/>
      <c r="X586" s="88"/>
      <c r="Y586" s="88"/>
      <c r="Z586" s="88"/>
      <c r="AA586" s="88"/>
      <c r="AB586" s="88"/>
      <c r="AC586" s="88"/>
      <c r="AD586" s="88"/>
      <c r="AE586" s="88"/>
      <c r="AF586" s="88"/>
      <c r="AG586" s="88"/>
      <c r="AH586" s="88"/>
      <c r="AI586" s="88"/>
      <c r="AJ586" s="88"/>
    </row>
    <row r="587" spans="1:36" ht="15">
      <c r="A587" s="88" t="s">
        <v>334</v>
      </c>
      <c r="B587" s="88" t="s">
        <v>681</v>
      </c>
      <c r="C587" s="88" t="s">
        <v>7</v>
      </c>
      <c r="D587" s="88" t="s">
        <v>2549</v>
      </c>
      <c r="E587" s="88" t="s">
        <v>2550</v>
      </c>
      <c r="F587" s="88"/>
      <c r="G587" s="88"/>
      <c r="H587" s="88"/>
      <c r="I587" s="88"/>
      <c r="J587" s="88"/>
      <c r="K587" s="88"/>
      <c r="L587" s="88"/>
      <c r="M587" s="88"/>
      <c r="N587" s="88"/>
      <c r="O587" s="88"/>
      <c r="P587" s="88"/>
      <c r="Q587" s="88"/>
      <c r="R587" s="88"/>
      <c r="S587" s="88"/>
      <c r="T587" s="88"/>
      <c r="U587" s="88"/>
      <c r="V587" s="88"/>
      <c r="W587" s="88"/>
      <c r="X587" s="88"/>
      <c r="Y587" s="88"/>
      <c r="Z587" s="88"/>
      <c r="AA587" s="88"/>
      <c r="AB587" s="88"/>
      <c r="AC587" s="88"/>
      <c r="AD587" s="88"/>
      <c r="AE587" s="88"/>
      <c r="AF587" s="88"/>
      <c r="AG587" s="88"/>
      <c r="AH587" s="88"/>
      <c r="AI587" s="88"/>
      <c r="AJ587" s="88"/>
    </row>
    <row r="588" spans="1:36" ht="15">
      <c r="A588" s="88" t="s">
        <v>334</v>
      </c>
      <c r="B588" s="88" t="s">
        <v>705</v>
      </c>
      <c r="C588" s="88" t="s">
        <v>7</v>
      </c>
      <c r="D588" s="88" t="s">
        <v>2551</v>
      </c>
      <c r="E588" s="88" t="s">
        <v>2552</v>
      </c>
      <c r="F588" s="88"/>
      <c r="G588" s="88"/>
      <c r="H588" s="88"/>
      <c r="I588" s="88"/>
      <c r="J588" s="88"/>
      <c r="K588" s="88"/>
      <c r="L588" s="88"/>
      <c r="M588" s="88"/>
      <c r="N588" s="88"/>
      <c r="O588" s="88"/>
      <c r="P588" s="88"/>
      <c r="Q588" s="88"/>
      <c r="R588" s="88"/>
      <c r="S588" s="88"/>
      <c r="T588" s="88"/>
      <c r="U588" s="88"/>
      <c r="V588" s="88"/>
      <c r="W588" s="88"/>
      <c r="X588" s="88"/>
      <c r="Y588" s="88"/>
      <c r="Z588" s="88"/>
      <c r="AA588" s="88"/>
      <c r="AB588" s="88"/>
      <c r="AC588" s="88"/>
      <c r="AD588" s="88"/>
      <c r="AE588" s="88"/>
      <c r="AF588" s="88"/>
      <c r="AG588" s="88"/>
      <c r="AH588" s="88"/>
      <c r="AI588" s="88"/>
      <c r="AJ588" s="88"/>
    </row>
    <row r="589" spans="1:36" ht="15">
      <c r="A589" s="88" t="s">
        <v>334</v>
      </c>
      <c r="B589" s="88" t="s">
        <v>728</v>
      </c>
      <c r="C589" s="88" t="s">
        <v>7</v>
      </c>
      <c r="D589" s="88" t="s">
        <v>2553</v>
      </c>
      <c r="E589" s="88" t="s">
        <v>2554</v>
      </c>
      <c r="F589" s="88"/>
      <c r="G589" s="88"/>
      <c r="H589" s="88"/>
      <c r="I589" s="88"/>
      <c r="J589" s="88"/>
      <c r="K589" s="88"/>
      <c r="L589" s="88"/>
      <c r="M589" s="88"/>
      <c r="N589" s="88"/>
      <c r="O589" s="88"/>
      <c r="P589" s="88"/>
      <c r="Q589" s="88"/>
      <c r="R589" s="88"/>
      <c r="S589" s="88"/>
      <c r="T589" s="88"/>
      <c r="U589" s="88"/>
      <c r="V589" s="88"/>
      <c r="W589" s="88"/>
      <c r="X589" s="88"/>
      <c r="Y589" s="88"/>
      <c r="Z589" s="88"/>
      <c r="AA589" s="88"/>
      <c r="AB589" s="88"/>
      <c r="AC589" s="88"/>
      <c r="AD589" s="88"/>
      <c r="AE589" s="88"/>
      <c r="AF589" s="88"/>
      <c r="AG589" s="88"/>
      <c r="AH589" s="88"/>
      <c r="AI589" s="88"/>
      <c r="AJ589" s="88"/>
    </row>
    <row r="590" spans="1:36" ht="15">
      <c r="A590" s="88" t="s">
        <v>334</v>
      </c>
      <c r="B590" s="88" t="s">
        <v>752</v>
      </c>
      <c r="C590" s="88" t="s">
        <v>7</v>
      </c>
      <c r="D590" s="88" t="s">
        <v>2555</v>
      </c>
      <c r="E590" s="88" t="s">
        <v>2556</v>
      </c>
      <c r="F590" s="88"/>
      <c r="G590" s="88"/>
      <c r="H590" s="88"/>
      <c r="I590" s="88"/>
      <c r="J590" s="88"/>
      <c r="K590" s="88"/>
      <c r="L590" s="88"/>
      <c r="M590" s="88"/>
      <c r="N590" s="88"/>
      <c r="O590" s="88"/>
      <c r="P590" s="88"/>
      <c r="Q590" s="88"/>
      <c r="R590" s="88"/>
      <c r="S590" s="88"/>
      <c r="T590" s="88"/>
      <c r="U590" s="88"/>
      <c r="V590" s="88"/>
      <c r="W590" s="88"/>
      <c r="X590" s="88"/>
      <c r="Y590" s="88"/>
      <c r="Z590" s="88"/>
      <c r="AA590" s="88"/>
      <c r="AB590" s="88"/>
      <c r="AC590" s="88"/>
      <c r="AD590" s="88"/>
      <c r="AE590" s="88"/>
      <c r="AF590" s="88"/>
      <c r="AG590" s="88"/>
      <c r="AH590" s="88"/>
      <c r="AI590" s="88"/>
      <c r="AJ590" s="88"/>
    </row>
    <row r="591" spans="1:36" ht="15">
      <c r="A591" s="88" t="s">
        <v>334</v>
      </c>
      <c r="B591" s="88" t="s">
        <v>775</v>
      </c>
      <c r="C591" s="88" t="s">
        <v>7</v>
      </c>
      <c r="D591" s="88" t="s">
        <v>2557</v>
      </c>
      <c r="E591" s="88" t="s">
        <v>2558</v>
      </c>
      <c r="F591" s="88"/>
      <c r="G591" s="88"/>
      <c r="H591" s="88"/>
      <c r="I591" s="88"/>
      <c r="J591" s="88"/>
      <c r="K591" s="88"/>
      <c r="L591" s="88"/>
      <c r="M591" s="88"/>
      <c r="N591" s="88"/>
      <c r="O591" s="88"/>
      <c r="P591" s="88"/>
      <c r="Q591" s="88"/>
      <c r="R591" s="88"/>
      <c r="S591" s="88"/>
      <c r="T591" s="88"/>
      <c r="U591" s="88"/>
      <c r="V591" s="88"/>
      <c r="W591" s="88"/>
      <c r="X591" s="88"/>
      <c r="Y591" s="88"/>
      <c r="Z591" s="88"/>
      <c r="AA591" s="88"/>
      <c r="AB591" s="88"/>
      <c r="AC591" s="88"/>
      <c r="AD591" s="88"/>
      <c r="AE591" s="88"/>
      <c r="AF591" s="88"/>
      <c r="AG591" s="88"/>
      <c r="AH591" s="88"/>
      <c r="AI591" s="88"/>
      <c r="AJ591" s="88"/>
    </row>
    <row r="592" spans="1:36" ht="15">
      <c r="A592" s="88" t="s">
        <v>334</v>
      </c>
      <c r="B592" s="88" t="s">
        <v>796</v>
      </c>
      <c r="C592" s="88" t="s">
        <v>7</v>
      </c>
      <c r="D592" s="88" t="s">
        <v>2559</v>
      </c>
      <c r="E592" s="88" t="s">
        <v>2560</v>
      </c>
      <c r="F592" s="88"/>
      <c r="G592" s="88"/>
      <c r="H592" s="88"/>
      <c r="I592" s="88"/>
      <c r="J592" s="88"/>
      <c r="K592" s="88"/>
      <c r="L592" s="88"/>
      <c r="M592" s="88"/>
      <c r="N592" s="88"/>
      <c r="O592" s="88"/>
      <c r="P592" s="88"/>
      <c r="Q592" s="88"/>
      <c r="R592" s="88"/>
      <c r="S592" s="88"/>
      <c r="T592" s="88"/>
      <c r="U592" s="88"/>
      <c r="V592" s="88"/>
      <c r="W592" s="88"/>
      <c r="X592" s="88"/>
      <c r="Y592" s="88"/>
      <c r="Z592" s="88"/>
      <c r="AA592" s="88"/>
      <c r="AB592" s="88"/>
      <c r="AC592" s="88"/>
      <c r="AD592" s="88"/>
      <c r="AE592" s="88"/>
      <c r="AF592" s="88"/>
      <c r="AG592" s="88"/>
      <c r="AH592" s="88"/>
      <c r="AI592" s="88"/>
      <c r="AJ592" s="88"/>
    </row>
    <row r="593" spans="1:36" ht="15">
      <c r="A593" s="88" t="s">
        <v>334</v>
      </c>
      <c r="B593" s="88" t="s">
        <v>818</v>
      </c>
      <c r="C593" s="88" t="s">
        <v>7</v>
      </c>
      <c r="D593" s="88" t="s">
        <v>2561</v>
      </c>
      <c r="E593" s="88" t="s">
        <v>2562</v>
      </c>
      <c r="F593" s="88"/>
      <c r="G593" s="88"/>
      <c r="H593" s="88"/>
      <c r="I593" s="88"/>
      <c r="J593" s="88"/>
      <c r="K593" s="88"/>
      <c r="L593" s="88"/>
      <c r="M593" s="88"/>
      <c r="N593" s="88"/>
      <c r="O593" s="88"/>
      <c r="P593" s="88"/>
      <c r="Q593" s="88"/>
      <c r="R593" s="88"/>
      <c r="S593" s="88"/>
      <c r="T593" s="88"/>
      <c r="U593" s="88"/>
      <c r="V593" s="88"/>
      <c r="W593" s="88"/>
      <c r="X593" s="88"/>
      <c r="Y593" s="88"/>
      <c r="Z593" s="88"/>
      <c r="AA593" s="88"/>
      <c r="AB593" s="88"/>
      <c r="AC593" s="88"/>
      <c r="AD593" s="88"/>
      <c r="AE593" s="88"/>
      <c r="AF593" s="88"/>
      <c r="AG593" s="88"/>
      <c r="AH593" s="88"/>
      <c r="AI593" s="88"/>
      <c r="AJ593" s="88"/>
    </row>
    <row r="594" spans="1:36" ht="15">
      <c r="A594" s="88" t="s">
        <v>334</v>
      </c>
      <c r="B594" s="88" t="s">
        <v>839</v>
      </c>
      <c r="C594" s="88" t="s">
        <v>7</v>
      </c>
      <c r="D594" s="88" t="s">
        <v>2563</v>
      </c>
      <c r="E594" s="88" t="s">
        <v>2564</v>
      </c>
      <c r="F594" s="88"/>
      <c r="G594" s="88"/>
      <c r="H594" s="88"/>
      <c r="I594" s="88"/>
      <c r="J594" s="88"/>
      <c r="K594" s="88"/>
      <c r="L594" s="88"/>
      <c r="M594" s="88"/>
      <c r="N594" s="88"/>
      <c r="O594" s="88"/>
      <c r="P594" s="88"/>
      <c r="Q594" s="88"/>
      <c r="R594" s="88"/>
      <c r="S594" s="88"/>
      <c r="T594" s="88"/>
      <c r="U594" s="88"/>
      <c r="V594" s="88"/>
      <c r="W594" s="88"/>
      <c r="X594" s="88"/>
      <c r="Y594" s="88"/>
      <c r="Z594" s="88"/>
      <c r="AA594" s="88"/>
      <c r="AB594" s="88"/>
      <c r="AC594" s="88"/>
      <c r="AD594" s="88"/>
      <c r="AE594" s="88"/>
      <c r="AF594" s="88"/>
      <c r="AG594" s="88"/>
      <c r="AH594" s="88"/>
      <c r="AI594" s="88"/>
      <c r="AJ594" s="88"/>
    </row>
    <row r="595" spans="1:36" ht="15">
      <c r="A595" s="88" t="s">
        <v>334</v>
      </c>
      <c r="B595" s="88" t="s">
        <v>858</v>
      </c>
      <c r="C595" s="88" t="s">
        <v>7</v>
      </c>
      <c r="D595" s="88" t="s">
        <v>2565</v>
      </c>
      <c r="E595" s="88" t="s">
        <v>2566</v>
      </c>
      <c r="F595" s="88"/>
      <c r="G595" s="88"/>
      <c r="H595" s="88"/>
      <c r="I595" s="88"/>
      <c r="J595" s="88"/>
      <c r="K595" s="88"/>
      <c r="L595" s="88"/>
      <c r="M595" s="88"/>
      <c r="N595" s="88"/>
      <c r="O595" s="88"/>
      <c r="P595" s="88"/>
      <c r="Q595" s="88"/>
      <c r="R595" s="88"/>
      <c r="S595" s="88"/>
      <c r="T595" s="88"/>
      <c r="U595" s="88"/>
      <c r="V595" s="88"/>
      <c r="W595" s="88"/>
      <c r="X595" s="88"/>
      <c r="Y595" s="88"/>
      <c r="Z595" s="88"/>
      <c r="AA595" s="88"/>
      <c r="AB595" s="88"/>
      <c r="AC595" s="88"/>
      <c r="AD595" s="88"/>
      <c r="AE595" s="88"/>
      <c r="AF595" s="88"/>
      <c r="AG595" s="88"/>
      <c r="AH595" s="88"/>
      <c r="AI595" s="88"/>
      <c r="AJ595" s="88"/>
    </row>
    <row r="596" spans="1:36" ht="15">
      <c r="A596" s="88" t="s">
        <v>334</v>
      </c>
      <c r="B596" s="88" t="s">
        <v>879</v>
      </c>
      <c r="C596" s="88" t="s">
        <v>7</v>
      </c>
      <c r="D596" s="88" t="s">
        <v>2567</v>
      </c>
      <c r="E596" s="88" t="s">
        <v>2568</v>
      </c>
      <c r="F596" s="88"/>
      <c r="G596" s="88"/>
      <c r="H596" s="88"/>
      <c r="I596" s="88"/>
      <c r="J596" s="88"/>
      <c r="K596" s="88"/>
      <c r="L596" s="88"/>
      <c r="M596" s="88"/>
      <c r="N596" s="88"/>
      <c r="O596" s="88"/>
      <c r="P596" s="88"/>
      <c r="Q596" s="88"/>
      <c r="R596" s="88"/>
      <c r="S596" s="88"/>
      <c r="T596" s="88"/>
      <c r="U596" s="88"/>
      <c r="V596" s="88"/>
      <c r="W596" s="88"/>
      <c r="X596" s="88"/>
      <c r="Y596" s="88"/>
      <c r="Z596" s="88"/>
      <c r="AA596" s="88"/>
      <c r="AB596" s="88"/>
      <c r="AC596" s="88"/>
      <c r="AD596" s="88"/>
      <c r="AE596" s="88"/>
      <c r="AF596" s="88"/>
      <c r="AG596" s="88"/>
      <c r="AH596" s="88"/>
      <c r="AI596" s="88"/>
      <c r="AJ596" s="88"/>
    </row>
    <row r="597" spans="1:36" ht="15">
      <c r="A597" s="88" t="s">
        <v>334</v>
      </c>
      <c r="B597" s="88" t="s">
        <v>898</v>
      </c>
      <c r="C597" s="88" t="s">
        <v>7</v>
      </c>
      <c r="D597" s="88" t="s">
        <v>2569</v>
      </c>
      <c r="E597" s="88" t="s">
        <v>2570</v>
      </c>
      <c r="F597" s="88"/>
      <c r="G597" s="88"/>
      <c r="H597" s="88"/>
      <c r="I597" s="88"/>
      <c r="J597" s="88"/>
      <c r="K597" s="88"/>
      <c r="L597" s="88"/>
      <c r="M597" s="88"/>
      <c r="N597" s="88"/>
      <c r="O597" s="88"/>
      <c r="P597" s="88"/>
      <c r="Q597" s="88"/>
      <c r="R597" s="88"/>
      <c r="S597" s="88"/>
      <c r="T597" s="88"/>
      <c r="U597" s="88"/>
      <c r="V597" s="88"/>
      <c r="W597" s="88"/>
      <c r="X597" s="88"/>
      <c r="Y597" s="88"/>
      <c r="Z597" s="88"/>
      <c r="AA597" s="88"/>
      <c r="AB597" s="88"/>
      <c r="AC597" s="88"/>
      <c r="AD597" s="88"/>
      <c r="AE597" s="88"/>
      <c r="AF597" s="88"/>
      <c r="AG597" s="88"/>
      <c r="AH597" s="88"/>
      <c r="AI597" s="88"/>
      <c r="AJ597" s="88"/>
    </row>
    <row r="598" spans="1:36" ht="15">
      <c r="A598" s="88" t="s">
        <v>334</v>
      </c>
      <c r="B598" s="88" t="s">
        <v>917</v>
      </c>
      <c r="C598" s="88" t="s">
        <v>7</v>
      </c>
      <c r="D598" s="88" t="s">
        <v>2571</v>
      </c>
      <c r="E598" s="88" t="s">
        <v>2572</v>
      </c>
      <c r="F598" s="88"/>
      <c r="G598" s="88"/>
      <c r="H598" s="88"/>
      <c r="I598" s="88"/>
      <c r="J598" s="88"/>
      <c r="K598" s="88"/>
      <c r="L598" s="88"/>
      <c r="M598" s="88"/>
      <c r="N598" s="88"/>
      <c r="O598" s="88"/>
      <c r="P598" s="88"/>
      <c r="Q598" s="88"/>
      <c r="R598" s="88"/>
      <c r="S598" s="88"/>
      <c r="T598" s="88"/>
      <c r="U598" s="88"/>
      <c r="V598" s="88"/>
      <c r="W598" s="88"/>
      <c r="X598" s="88"/>
      <c r="Y598" s="88"/>
      <c r="Z598" s="88"/>
      <c r="AA598" s="88"/>
      <c r="AB598" s="88"/>
      <c r="AC598" s="88"/>
      <c r="AD598" s="88"/>
      <c r="AE598" s="88"/>
      <c r="AF598" s="88"/>
      <c r="AG598" s="88"/>
      <c r="AH598" s="88"/>
      <c r="AI598" s="88"/>
      <c r="AJ598" s="88"/>
    </row>
    <row r="599" spans="1:36" ht="15">
      <c r="A599" s="88" t="s">
        <v>334</v>
      </c>
      <c r="B599" s="88" t="s">
        <v>935</v>
      </c>
      <c r="C599" s="88" t="s">
        <v>7</v>
      </c>
      <c r="D599" s="88" t="s">
        <v>2573</v>
      </c>
      <c r="E599" s="88" t="s">
        <v>2574</v>
      </c>
      <c r="F599" s="88"/>
      <c r="G599" s="88"/>
      <c r="H599" s="88"/>
      <c r="I599" s="88"/>
      <c r="J599" s="88"/>
      <c r="K599" s="88"/>
      <c r="L599" s="88"/>
      <c r="M599" s="88"/>
      <c r="N599" s="88"/>
      <c r="O599" s="88"/>
      <c r="P599" s="88"/>
      <c r="Q599" s="88"/>
      <c r="R599" s="88"/>
      <c r="S599" s="88"/>
      <c r="T599" s="88"/>
      <c r="U599" s="88"/>
      <c r="V599" s="88"/>
      <c r="W599" s="88"/>
      <c r="X599" s="88"/>
      <c r="Y599" s="88"/>
      <c r="Z599" s="88"/>
      <c r="AA599" s="88"/>
      <c r="AB599" s="88"/>
      <c r="AC599" s="88"/>
      <c r="AD599" s="88"/>
      <c r="AE599" s="88"/>
      <c r="AF599" s="88"/>
      <c r="AG599" s="88"/>
      <c r="AH599" s="88"/>
      <c r="AI599" s="88"/>
      <c r="AJ599" s="88"/>
    </row>
    <row r="600" spans="1:36" ht="15">
      <c r="A600" s="88" t="s">
        <v>334</v>
      </c>
      <c r="B600" s="88" t="s">
        <v>952</v>
      </c>
      <c r="C600" s="88" t="s">
        <v>7</v>
      </c>
      <c r="D600" s="88" t="s">
        <v>2575</v>
      </c>
      <c r="E600" s="88" t="s">
        <v>2576</v>
      </c>
      <c r="F600" s="88"/>
      <c r="G600" s="88"/>
      <c r="H600" s="88"/>
      <c r="I600" s="88"/>
      <c r="J600" s="88"/>
      <c r="K600" s="88"/>
      <c r="L600" s="88"/>
      <c r="M600" s="88"/>
      <c r="N600" s="88"/>
      <c r="O600" s="88"/>
      <c r="P600" s="88"/>
      <c r="Q600" s="88"/>
      <c r="R600" s="88"/>
      <c r="S600" s="88"/>
      <c r="T600" s="88"/>
      <c r="U600" s="88"/>
      <c r="V600" s="88"/>
      <c r="W600" s="88"/>
      <c r="X600" s="88"/>
      <c r="Y600" s="88"/>
      <c r="Z600" s="88"/>
      <c r="AA600" s="88"/>
      <c r="AB600" s="88"/>
      <c r="AC600" s="88"/>
      <c r="AD600" s="88"/>
      <c r="AE600" s="88"/>
      <c r="AF600" s="88"/>
      <c r="AG600" s="88"/>
      <c r="AH600" s="88"/>
      <c r="AI600" s="88"/>
      <c r="AJ600" s="88"/>
    </row>
    <row r="601" spans="1:36" ht="15">
      <c r="A601" s="88" t="s">
        <v>334</v>
      </c>
      <c r="B601" s="88" t="s">
        <v>836</v>
      </c>
      <c r="C601" s="88" t="s">
        <v>7</v>
      </c>
      <c r="D601" s="88" t="s">
        <v>2577</v>
      </c>
      <c r="E601" s="88" t="s">
        <v>2578</v>
      </c>
      <c r="F601" s="88"/>
      <c r="G601" s="88"/>
      <c r="H601" s="88"/>
      <c r="I601" s="88"/>
      <c r="J601" s="88"/>
      <c r="K601" s="88"/>
      <c r="L601" s="88"/>
      <c r="M601" s="88"/>
      <c r="N601" s="88"/>
      <c r="O601" s="88"/>
      <c r="P601" s="88"/>
      <c r="Q601" s="88"/>
      <c r="R601" s="88"/>
      <c r="S601" s="88"/>
      <c r="T601" s="88"/>
      <c r="U601" s="88"/>
      <c r="V601" s="88"/>
      <c r="W601" s="88"/>
      <c r="X601" s="88"/>
      <c r="Y601" s="88"/>
      <c r="Z601" s="88"/>
      <c r="AA601" s="88"/>
      <c r="AB601" s="88"/>
      <c r="AC601" s="88"/>
      <c r="AD601" s="88"/>
      <c r="AE601" s="88"/>
      <c r="AF601" s="88"/>
      <c r="AG601" s="88"/>
      <c r="AH601" s="88"/>
      <c r="AI601" s="88"/>
      <c r="AJ601" s="88"/>
    </row>
    <row r="602" spans="1:36" ht="15">
      <c r="A602" s="88" t="s">
        <v>334</v>
      </c>
      <c r="B602" s="88" t="s">
        <v>987</v>
      </c>
      <c r="C602" s="88" t="s">
        <v>7</v>
      </c>
      <c r="D602" s="88" t="s">
        <v>2579</v>
      </c>
      <c r="E602" s="88" t="s">
        <v>2580</v>
      </c>
      <c r="F602" s="88"/>
      <c r="G602" s="88"/>
      <c r="H602" s="88"/>
      <c r="I602" s="88"/>
      <c r="J602" s="88"/>
      <c r="K602" s="88"/>
      <c r="L602" s="88"/>
      <c r="M602" s="88"/>
      <c r="N602" s="88"/>
      <c r="O602" s="88"/>
      <c r="P602" s="88"/>
      <c r="Q602" s="88"/>
      <c r="R602" s="88"/>
      <c r="S602" s="88"/>
      <c r="T602" s="88"/>
      <c r="U602" s="88"/>
      <c r="V602" s="88"/>
      <c r="W602" s="88"/>
      <c r="X602" s="88"/>
      <c r="Y602" s="88"/>
      <c r="Z602" s="88"/>
      <c r="AA602" s="88"/>
      <c r="AB602" s="88"/>
      <c r="AC602" s="88"/>
      <c r="AD602" s="88"/>
      <c r="AE602" s="88"/>
      <c r="AF602" s="88"/>
      <c r="AG602" s="88"/>
      <c r="AH602" s="88"/>
      <c r="AI602" s="88"/>
      <c r="AJ602" s="88"/>
    </row>
    <row r="603" spans="1:36" ht="15">
      <c r="A603" s="88" t="s">
        <v>334</v>
      </c>
      <c r="B603" s="88" t="s">
        <v>1004</v>
      </c>
      <c r="C603" s="88" t="s">
        <v>7</v>
      </c>
      <c r="D603" s="88" t="s">
        <v>2581</v>
      </c>
      <c r="E603" s="88" t="s">
        <v>2582</v>
      </c>
      <c r="F603" s="88"/>
      <c r="G603" s="88"/>
      <c r="H603" s="88"/>
      <c r="I603" s="88"/>
      <c r="J603" s="88"/>
      <c r="K603" s="88"/>
      <c r="L603" s="88"/>
      <c r="M603" s="88"/>
      <c r="N603" s="88"/>
      <c r="O603" s="88"/>
      <c r="P603" s="88"/>
      <c r="Q603" s="88"/>
      <c r="R603" s="88"/>
      <c r="S603" s="88"/>
      <c r="T603" s="88"/>
      <c r="U603" s="88"/>
      <c r="V603" s="88"/>
      <c r="W603" s="88"/>
      <c r="X603" s="88"/>
      <c r="Y603" s="88"/>
      <c r="Z603" s="88"/>
      <c r="AA603" s="88"/>
      <c r="AB603" s="88"/>
      <c r="AC603" s="88"/>
      <c r="AD603" s="88"/>
      <c r="AE603" s="88"/>
      <c r="AF603" s="88"/>
      <c r="AG603" s="88"/>
      <c r="AH603" s="88"/>
      <c r="AI603" s="88"/>
      <c r="AJ603" s="88"/>
    </row>
    <row r="604" spans="1:36" ht="15">
      <c r="A604" s="88" t="s">
        <v>334</v>
      </c>
      <c r="B604" s="88" t="s">
        <v>1018</v>
      </c>
      <c r="C604" s="88" t="s">
        <v>7</v>
      </c>
      <c r="D604" s="88" t="s">
        <v>2583</v>
      </c>
      <c r="E604" s="88" t="s">
        <v>2584</v>
      </c>
      <c r="F604" s="88"/>
      <c r="G604" s="88"/>
      <c r="H604" s="88"/>
      <c r="I604" s="88"/>
      <c r="J604" s="88"/>
      <c r="K604" s="88"/>
      <c r="L604" s="88"/>
      <c r="M604" s="88"/>
      <c r="N604" s="88"/>
      <c r="O604" s="88"/>
      <c r="P604" s="88"/>
      <c r="Q604" s="88"/>
      <c r="R604" s="88"/>
      <c r="S604" s="88"/>
      <c r="T604" s="88"/>
      <c r="U604" s="88"/>
      <c r="V604" s="88"/>
      <c r="W604" s="88"/>
      <c r="X604" s="88"/>
      <c r="Y604" s="88"/>
      <c r="Z604" s="88"/>
      <c r="AA604" s="88"/>
      <c r="AB604" s="88"/>
      <c r="AC604" s="88"/>
      <c r="AD604" s="88"/>
      <c r="AE604" s="88"/>
      <c r="AF604" s="88"/>
      <c r="AG604" s="88"/>
      <c r="AH604" s="88"/>
      <c r="AI604" s="88"/>
      <c r="AJ604" s="88"/>
    </row>
    <row r="605" spans="1:36" ht="15">
      <c r="A605" s="88" t="s">
        <v>334</v>
      </c>
      <c r="B605" s="88" t="s">
        <v>1034</v>
      </c>
      <c r="C605" s="88" t="s">
        <v>7</v>
      </c>
      <c r="D605" s="88" t="s">
        <v>2585</v>
      </c>
      <c r="E605" s="88" t="s">
        <v>2586</v>
      </c>
      <c r="F605" s="88"/>
      <c r="G605" s="88"/>
      <c r="H605" s="88"/>
      <c r="I605" s="88"/>
      <c r="J605" s="88"/>
      <c r="K605" s="88"/>
      <c r="L605" s="88"/>
      <c r="M605" s="88"/>
      <c r="N605" s="88"/>
      <c r="O605" s="88"/>
      <c r="P605" s="88"/>
      <c r="Q605" s="88"/>
      <c r="R605" s="88"/>
      <c r="S605" s="88"/>
      <c r="T605" s="88"/>
      <c r="U605" s="88"/>
      <c r="V605" s="88"/>
      <c r="W605" s="88"/>
      <c r="X605" s="88"/>
      <c r="Y605" s="88"/>
      <c r="Z605" s="88"/>
      <c r="AA605" s="88"/>
      <c r="AB605" s="88"/>
      <c r="AC605" s="88"/>
      <c r="AD605" s="88"/>
      <c r="AE605" s="88"/>
      <c r="AF605" s="88"/>
      <c r="AG605" s="88"/>
      <c r="AH605" s="88"/>
      <c r="AI605" s="88"/>
      <c r="AJ605" s="88"/>
    </row>
    <row r="606" spans="1:36" ht="15">
      <c r="A606" s="88" t="s">
        <v>334</v>
      </c>
      <c r="B606" s="88" t="s">
        <v>1050</v>
      </c>
      <c r="C606" s="88" t="s">
        <v>7</v>
      </c>
      <c r="D606" s="88" t="s">
        <v>2587</v>
      </c>
      <c r="E606" s="88" t="s">
        <v>2588</v>
      </c>
      <c r="F606" s="88"/>
      <c r="G606" s="88"/>
      <c r="H606" s="88"/>
      <c r="I606" s="88"/>
      <c r="J606" s="88"/>
      <c r="K606" s="88"/>
      <c r="L606" s="88"/>
      <c r="M606" s="88"/>
      <c r="N606" s="88"/>
      <c r="O606" s="88"/>
      <c r="P606" s="88"/>
      <c r="Q606" s="88"/>
      <c r="R606" s="88"/>
      <c r="S606" s="88"/>
      <c r="T606" s="88"/>
      <c r="U606" s="88"/>
      <c r="V606" s="88"/>
      <c r="W606" s="88"/>
      <c r="X606" s="88"/>
      <c r="Y606" s="88"/>
      <c r="Z606" s="88"/>
      <c r="AA606" s="88"/>
      <c r="AB606" s="88"/>
      <c r="AC606" s="88"/>
      <c r="AD606" s="88"/>
      <c r="AE606" s="88"/>
      <c r="AF606" s="88"/>
      <c r="AG606" s="88"/>
      <c r="AH606" s="88"/>
      <c r="AI606" s="88"/>
      <c r="AJ606" s="88"/>
    </row>
    <row r="607" spans="1:36" ht="15">
      <c r="A607" s="88" t="s">
        <v>339</v>
      </c>
      <c r="B607" s="88" t="s">
        <v>371</v>
      </c>
      <c r="C607" s="88" t="s">
        <v>7</v>
      </c>
      <c r="D607" s="88" t="s">
        <v>2589</v>
      </c>
      <c r="E607" s="88" t="s">
        <v>2590</v>
      </c>
      <c r="F607" s="88"/>
      <c r="G607" s="88"/>
      <c r="H607" s="88"/>
      <c r="I607" s="88"/>
      <c r="J607" s="88"/>
      <c r="K607" s="88"/>
      <c r="L607" s="88"/>
      <c r="M607" s="88"/>
      <c r="N607" s="88"/>
      <c r="O607" s="88"/>
      <c r="P607" s="88"/>
      <c r="Q607" s="88"/>
      <c r="R607" s="88"/>
      <c r="S607" s="88"/>
      <c r="T607" s="88"/>
      <c r="U607" s="88"/>
      <c r="V607" s="88"/>
      <c r="W607" s="88"/>
      <c r="X607" s="88"/>
      <c r="Y607" s="88"/>
      <c r="Z607" s="88"/>
      <c r="AA607" s="88"/>
      <c r="AB607" s="88"/>
      <c r="AC607" s="88"/>
      <c r="AD607" s="88"/>
      <c r="AE607" s="88"/>
      <c r="AF607" s="88"/>
      <c r="AG607" s="88"/>
      <c r="AH607" s="88"/>
      <c r="AI607" s="88"/>
      <c r="AJ607" s="88"/>
    </row>
    <row r="608" spans="1:36" ht="15">
      <c r="A608" s="88" t="s">
        <v>339</v>
      </c>
      <c r="B608" s="88" t="s">
        <v>403</v>
      </c>
      <c r="C608" s="88" t="s">
        <v>7</v>
      </c>
      <c r="D608" s="88" t="s">
        <v>2591</v>
      </c>
      <c r="E608" s="88" t="s">
        <v>2592</v>
      </c>
      <c r="F608" s="88"/>
      <c r="G608" s="88"/>
      <c r="H608" s="88"/>
      <c r="I608" s="88"/>
      <c r="J608" s="88"/>
      <c r="K608" s="88"/>
      <c r="L608" s="88"/>
      <c r="M608" s="88"/>
      <c r="N608" s="88"/>
      <c r="O608" s="88"/>
      <c r="P608" s="88"/>
      <c r="Q608" s="88"/>
      <c r="R608" s="88"/>
      <c r="S608" s="88"/>
      <c r="T608" s="88"/>
      <c r="U608" s="88"/>
      <c r="V608" s="88"/>
      <c r="W608" s="88"/>
      <c r="X608" s="88"/>
      <c r="Y608" s="88"/>
      <c r="Z608" s="88"/>
      <c r="AA608" s="88"/>
      <c r="AB608" s="88"/>
      <c r="AC608" s="88"/>
      <c r="AD608" s="88"/>
      <c r="AE608" s="88"/>
      <c r="AF608" s="88"/>
      <c r="AG608" s="88"/>
      <c r="AH608" s="88"/>
      <c r="AI608" s="88"/>
      <c r="AJ608" s="88"/>
    </row>
    <row r="609" spans="1:36" ht="15">
      <c r="A609" s="88" t="s">
        <v>339</v>
      </c>
      <c r="B609" s="88" t="s">
        <v>432</v>
      </c>
      <c r="C609" s="88" t="s">
        <v>7</v>
      </c>
      <c r="D609" s="88" t="s">
        <v>2593</v>
      </c>
      <c r="E609" s="88" t="s">
        <v>2594</v>
      </c>
      <c r="F609" s="88"/>
      <c r="G609" s="88"/>
      <c r="H609" s="88"/>
      <c r="I609" s="88"/>
      <c r="J609" s="88"/>
      <c r="K609" s="88"/>
      <c r="L609" s="88"/>
      <c r="M609" s="88"/>
      <c r="N609" s="88"/>
      <c r="O609" s="88"/>
      <c r="P609" s="88"/>
      <c r="Q609" s="88"/>
      <c r="R609" s="88"/>
      <c r="S609" s="88"/>
      <c r="T609" s="88"/>
      <c r="U609" s="88"/>
      <c r="V609" s="88"/>
      <c r="W609" s="88"/>
      <c r="X609" s="88"/>
      <c r="Y609" s="88"/>
      <c r="Z609" s="88"/>
      <c r="AA609" s="88"/>
      <c r="AB609" s="88"/>
      <c r="AC609" s="88"/>
      <c r="AD609" s="88"/>
      <c r="AE609" s="88"/>
      <c r="AF609" s="88"/>
      <c r="AG609" s="88"/>
      <c r="AH609" s="88"/>
      <c r="AI609" s="88"/>
      <c r="AJ609" s="88"/>
    </row>
    <row r="610" spans="1:36" ht="15">
      <c r="A610" s="88" t="s">
        <v>339</v>
      </c>
      <c r="B610" s="88" t="s">
        <v>463</v>
      </c>
      <c r="C610" s="88" t="s">
        <v>7</v>
      </c>
      <c r="D610" s="88" t="s">
        <v>2595</v>
      </c>
      <c r="E610" s="88" t="s">
        <v>2596</v>
      </c>
      <c r="F610" s="88"/>
      <c r="G610" s="88"/>
      <c r="H610" s="88"/>
      <c r="I610" s="88"/>
      <c r="J610" s="88"/>
      <c r="K610" s="88"/>
      <c r="L610" s="88"/>
      <c r="M610" s="88"/>
      <c r="N610" s="88"/>
      <c r="O610" s="88"/>
      <c r="P610" s="88"/>
      <c r="Q610" s="88"/>
      <c r="R610" s="88"/>
      <c r="S610" s="88"/>
      <c r="T610" s="88"/>
      <c r="U610" s="88"/>
      <c r="V610" s="88"/>
      <c r="W610" s="88"/>
      <c r="X610" s="88"/>
      <c r="Y610" s="88"/>
      <c r="Z610" s="88"/>
      <c r="AA610" s="88"/>
      <c r="AB610" s="88"/>
      <c r="AC610" s="88"/>
      <c r="AD610" s="88"/>
      <c r="AE610" s="88"/>
      <c r="AF610" s="88"/>
      <c r="AG610" s="88"/>
      <c r="AH610" s="88"/>
      <c r="AI610" s="88"/>
      <c r="AJ610" s="88"/>
    </row>
    <row r="611" spans="1:36" ht="15">
      <c r="A611" s="88" t="s">
        <v>339</v>
      </c>
      <c r="B611" s="88" t="s">
        <v>494</v>
      </c>
      <c r="C611" s="88" t="s">
        <v>7</v>
      </c>
      <c r="D611" s="88" t="s">
        <v>2597</v>
      </c>
      <c r="E611" s="88" t="s">
        <v>2598</v>
      </c>
      <c r="F611" s="88"/>
      <c r="G611" s="88"/>
      <c r="H611" s="88"/>
      <c r="I611" s="88"/>
      <c r="J611" s="88"/>
      <c r="K611" s="88"/>
      <c r="L611" s="88"/>
      <c r="M611" s="88"/>
      <c r="N611" s="88"/>
      <c r="O611" s="88"/>
      <c r="P611" s="88"/>
      <c r="Q611" s="88"/>
      <c r="R611" s="88"/>
      <c r="S611" s="88"/>
      <c r="T611" s="88"/>
      <c r="U611" s="88"/>
      <c r="V611" s="88"/>
      <c r="W611" s="88"/>
      <c r="X611" s="88"/>
      <c r="Y611" s="88"/>
      <c r="Z611" s="88"/>
      <c r="AA611" s="88"/>
      <c r="AB611" s="88"/>
      <c r="AC611" s="88"/>
      <c r="AD611" s="88"/>
      <c r="AE611" s="88"/>
      <c r="AF611" s="88"/>
      <c r="AG611" s="88"/>
      <c r="AH611" s="88"/>
      <c r="AI611" s="88"/>
      <c r="AJ611" s="88"/>
    </row>
    <row r="612" spans="1:36" ht="15">
      <c r="A612" s="88" t="s">
        <v>339</v>
      </c>
      <c r="B612" s="88" t="s">
        <v>523</v>
      </c>
      <c r="C612" s="88" t="s">
        <v>7</v>
      </c>
      <c r="D612" s="88" t="s">
        <v>2599</v>
      </c>
      <c r="E612" s="88" t="s">
        <v>2600</v>
      </c>
      <c r="F612" s="88"/>
      <c r="G612" s="88"/>
      <c r="H612" s="88"/>
      <c r="I612" s="88"/>
      <c r="J612" s="88"/>
      <c r="K612" s="88"/>
      <c r="L612" s="88"/>
      <c r="M612" s="88"/>
      <c r="N612" s="88"/>
      <c r="O612" s="88"/>
      <c r="P612" s="88"/>
      <c r="Q612" s="88"/>
      <c r="R612" s="88"/>
      <c r="S612" s="88"/>
      <c r="T612" s="88"/>
      <c r="U612" s="88"/>
      <c r="V612" s="88"/>
      <c r="W612" s="88"/>
      <c r="X612" s="88"/>
      <c r="Y612" s="88"/>
      <c r="Z612" s="88"/>
      <c r="AA612" s="88"/>
      <c r="AB612" s="88"/>
      <c r="AC612" s="88"/>
      <c r="AD612" s="88"/>
      <c r="AE612" s="88"/>
      <c r="AF612" s="88"/>
      <c r="AG612" s="88"/>
      <c r="AH612" s="88"/>
      <c r="AI612" s="88"/>
      <c r="AJ612" s="88"/>
    </row>
    <row r="613" spans="1:36" ht="15">
      <c r="A613" s="88" t="s">
        <v>339</v>
      </c>
      <c r="B613" s="88" t="s">
        <v>553</v>
      </c>
      <c r="C613" s="88" t="s">
        <v>7</v>
      </c>
      <c r="D613" s="88" t="s">
        <v>2601</v>
      </c>
      <c r="E613" s="88" t="s">
        <v>2602</v>
      </c>
      <c r="F613" s="88"/>
      <c r="G613" s="88"/>
      <c r="H613" s="88"/>
      <c r="I613" s="88"/>
      <c r="J613" s="88"/>
      <c r="K613" s="88"/>
      <c r="L613" s="88"/>
      <c r="M613" s="88"/>
      <c r="N613" s="88"/>
      <c r="O613" s="88"/>
      <c r="P613" s="88"/>
      <c r="Q613" s="88"/>
      <c r="R613" s="88"/>
      <c r="S613" s="88"/>
      <c r="T613" s="88"/>
      <c r="U613" s="88"/>
      <c r="V613" s="88"/>
      <c r="W613" s="88"/>
      <c r="X613" s="88"/>
      <c r="Y613" s="88"/>
      <c r="Z613" s="88"/>
      <c r="AA613" s="88"/>
      <c r="AB613" s="88"/>
      <c r="AC613" s="88"/>
      <c r="AD613" s="88"/>
      <c r="AE613" s="88"/>
      <c r="AF613" s="88"/>
      <c r="AG613" s="88"/>
      <c r="AH613" s="88"/>
      <c r="AI613" s="88"/>
      <c r="AJ613" s="88"/>
    </row>
    <row r="614" spans="1:36" ht="15">
      <c r="A614" s="88" t="s">
        <v>339</v>
      </c>
      <c r="B614" s="88" t="s">
        <v>580</v>
      </c>
      <c r="C614" s="88" t="s">
        <v>7</v>
      </c>
      <c r="D614" s="88" t="s">
        <v>2603</v>
      </c>
      <c r="E614" s="88" t="s">
        <v>2604</v>
      </c>
      <c r="F614" s="88"/>
      <c r="G614" s="88"/>
      <c r="H614" s="88"/>
      <c r="I614" s="88"/>
      <c r="J614" s="88"/>
      <c r="K614" s="88"/>
      <c r="L614" s="88"/>
      <c r="M614" s="88"/>
      <c r="N614" s="88"/>
      <c r="O614" s="88"/>
      <c r="P614" s="88"/>
      <c r="Q614" s="88"/>
      <c r="R614" s="88"/>
      <c r="S614" s="88"/>
      <c r="T614" s="88"/>
      <c r="U614" s="88"/>
      <c r="V614" s="88"/>
      <c r="W614" s="88"/>
      <c r="X614" s="88"/>
      <c r="Y614" s="88"/>
      <c r="Z614" s="88"/>
      <c r="AA614" s="88"/>
      <c r="AB614" s="88"/>
      <c r="AC614" s="88"/>
      <c r="AD614" s="88"/>
      <c r="AE614" s="88"/>
      <c r="AF614" s="88"/>
      <c r="AG614" s="88"/>
      <c r="AH614" s="88"/>
      <c r="AI614" s="88"/>
      <c r="AJ614" s="88"/>
    </row>
    <row r="615" spans="1:36" ht="15">
      <c r="A615" s="88" t="s">
        <v>339</v>
      </c>
      <c r="B615" s="88" t="s">
        <v>607</v>
      </c>
      <c r="C615" s="88" t="s">
        <v>7</v>
      </c>
      <c r="D615" s="88" t="s">
        <v>2605</v>
      </c>
      <c r="E615" s="88" t="s">
        <v>2606</v>
      </c>
      <c r="F615" s="88"/>
      <c r="G615" s="88"/>
      <c r="H615" s="88"/>
      <c r="I615" s="88"/>
      <c r="J615" s="88"/>
      <c r="K615" s="88"/>
      <c r="L615" s="88"/>
      <c r="M615" s="88"/>
      <c r="N615" s="88"/>
      <c r="O615" s="88"/>
      <c r="P615" s="88"/>
      <c r="Q615" s="88"/>
      <c r="R615" s="88"/>
      <c r="S615" s="88"/>
      <c r="T615" s="88"/>
      <c r="U615" s="88"/>
      <c r="V615" s="88"/>
      <c r="W615" s="88"/>
      <c r="X615" s="88"/>
      <c r="Y615" s="88"/>
      <c r="Z615" s="88"/>
      <c r="AA615" s="88"/>
      <c r="AB615" s="88"/>
      <c r="AC615" s="88"/>
      <c r="AD615" s="88"/>
      <c r="AE615" s="88"/>
      <c r="AF615" s="88"/>
      <c r="AG615" s="88"/>
      <c r="AH615" s="88"/>
      <c r="AI615" s="88"/>
      <c r="AJ615" s="88"/>
    </row>
    <row r="616" spans="1:36" ht="15">
      <c r="A616" s="88" t="s">
        <v>339</v>
      </c>
      <c r="B616" s="88" t="s">
        <v>633</v>
      </c>
      <c r="C616" s="88" t="s">
        <v>7</v>
      </c>
      <c r="D616" s="88" t="s">
        <v>2607</v>
      </c>
      <c r="E616" s="88" t="s">
        <v>2608</v>
      </c>
      <c r="F616" s="88"/>
      <c r="G616" s="88"/>
      <c r="H616" s="88"/>
      <c r="I616" s="88"/>
      <c r="J616" s="88"/>
      <c r="K616" s="88"/>
      <c r="L616" s="88"/>
      <c r="M616" s="88"/>
      <c r="N616" s="88"/>
      <c r="O616" s="88"/>
      <c r="P616" s="88"/>
      <c r="Q616" s="88"/>
      <c r="R616" s="88"/>
      <c r="S616" s="88"/>
      <c r="T616" s="88"/>
      <c r="U616" s="88"/>
      <c r="V616" s="88"/>
      <c r="W616" s="88"/>
      <c r="X616" s="88"/>
      <c r="Y616" s="88"/>
      <c r="Z616" s="88"/>
      <c r="AA616" s="88"/>
      <c r="AB616" s="88"/>
      <c r="AC616" s="88"/>
      <c r="AD616" s="88"/>
      <c r="AE616" s="88"/>
      <c r="AF616" s="88"/>
      <c r="AG616" s="88"/>
      <c r="AH616" s="88"/>
      <c r="AI616" s="88"/>
      <c r="AJ616" s="88"/>
    </row>
    <row r="617" spans="1:36" ht="15">
      <c r="A617" s="88" t="s">
        <v>339</v>
      </c>
      <c r="B617" s="88" t="s">
        <v>658</v>
      </c>
      <c r="C617" s="88" t="s">
        <v>7</v>
      </c>
      <c r="D617" s="88" t="s">
        <v>2609</v>
      </c>
      <c r="E617" s="88" t="s">
        <v>2610</v>
      </c>
      <c r="F617" s="88"/>
      <c r="G617" s="88"/>
      <c r="H617" s="88"/>
      <c r="I617" s="88"/>
      <c r="J617" s="88"/>
      <c r="K617" s="88"/>
      <c r="L617" s="88"/>
      <c r="M617" s="88"/>
      <c r="N617" s="88"/>
      <c r="O617" s="88"/>
      <c r="P617" s="88"/>
      <c r="Q617" s="88"/>
      <c r="R617" s="88"/>
      <c r="S617" s="88"/>
      <c r="T617" s="88"/>
      <c r="U617" s="88"/>
      <c r="V617" s="88"/>
      <c r="W617" s="88"/>
      <c r="X617" s="88"/>
      <c r="Y617" s="88"/>
      <c r="Z617" s="88"/>
      <c r="AA617" s="88"/>
      <c r="AB617" s="88"/>
      <c r="AC617" s="88"/>
      <c r="AD617" s="88"/>
      <c r="AE617" s="88"/>
      <c r="AF617" s="88"/>
      <c r="AG617" s="88"/>
      <c r="AH617" s="88"/>
      <c r="AI617" s="88"/>
      <c r="AJ617" s="88"/>
    </row>
    <row r="618" spans="1:36" ht="15">
      <c r="A618" s="88" t="s">
        <v>339</v>
      </c>
      <c r="B618" s="88" t="s">
        <v>684</v>
      </c>
      <c r="C618" s="88" t="s">
        <v>7</v>
      </c>
      <c r="D618" s="88" t="s">
        <v>2611</v>
      </c>
      <c r="E618" s="88" t="s">
        <v>2612</v>
      </c>
      <c r="F618" s="88"/>
      <c r="G618" s="88"/>
      <c r="H618" s="88"/>
      <c r="I618" s="88"/>
      <c r="J618" s="88"/>
      <c r="K618" s="88"/>
      <c r="L618" s="88"/>
      <c r="M618" s="88"/>
      <c r="N618" s="88"/>
      <c r="O618" s="88"/>
      <c r="P618" s="88"/>
      <c r="Q618" s="88"/>
      <c r="R618" s="88"/>
      <c r="S618" s="88"/>
      <c r="T618" s="88"/>
      <c r="U618" s="88"/>
      <c r="V618" s="88"/>
      <c r="W618" s="88"/>
      <c r="X618" s="88"/>
      <c r="Y618" s="88"/>
      <c r="Z618" s="88"/>
      <c r="AA618" s="88"/>
      <c r="AB618" s="88"/>
      <c r="AC618" s="88"/>
      <c r="AD618" s="88"/>
      <c r="AE618" s="88"/>
      <c r="AF618" s="88"/>
      <c r="AG618" s="88"/>
      <c r="AH618" s="88"/>
      <c r="AI618" s="88"/>
      <c r="AJ618" s="88"/>
    </row>
    <row r="619" spans="1:36" ht="15">
      <c r="A619" s="88" t="s">
        <v>339</v>
      </c>
      <c r="B619" s="88" t="s">
        <v>708</v>
      </c>
      <c r="C619" s="88" t="s">
        <v>7</v>
      </c>
      <c r="D619" s="88" t="s">
        <v>2613</v>
      </c>
      <c r="E619" s="88" t="s">
        <v>2614</v>
      </c>
      <c r="F619" s="88"/>
      <c r="G619" s="88"/>
      <c r="H619" s="88"/>
      <c r="I619" s="88"/>
      <c r="J619" s="88"/>
      <c r="K619" s="88"/>
      <c r="L619" s="88"/>
      <c r="M619" s="88"/>
      <c r="N619" s="88"/>
      <c r="O619" s="88"/>
      <c r="P619" s="88"/>
      <c r="Q619" s="88"/>
      <c r="R619" s="88"/>
      <c r="S619" s="88"/>
      <c r="T619" s="88"/>
      <c r="U619" s="88"/>
      <c r="V619" s="88"/>
      <c r="W619" s="88"/>
      <c r="X619" s="88"/>
      <c r="Y619" s="88"/>
      <c r="Z619" s="88"/>
      <c r="AA619" s="88"/>
      <c r="AB619" s="88"/>
      <c r="AC619" s="88"/>
      <c r="AD619" s="88"/>
      <c r="AE619" s="88"/>
      <c r="AF619" s="88"/>
      <c r="AG619" s="88"/>
      <c r="AH619" s="88"/>
      <c r="AI619" s="88"/>
      <c r="AJ619" s="88"/>
    </row>
    <row r="620" spans="1:36" ht="15">
      <c r="A620" s="88" t="s">
        <v>339</v>
      </c>
      <c r="B620" s="88" t="s">
        <v>731</v>
      </c>
      <c r="C620" s="88" t="s">
        <v>7</v>
      </c>
      <c r="D620" s="88" t="s">
        <v>2615</v>
      </c>
      <c r="E620" s="88" t="s">
        <v>2616</v>
      </c>
      <c r="F620" s="88"/>
      <c r="G620" s="88"/>
      <c r="H620" s="88"/>
      <c r="I620" s="88"/>
      <c r="J620" s="88"/>
      <c r="K620" s="88"/>
      <c r="L620" s="88"/>
      <c r="M620" s="88"/>
      <c r="N620" s="88"/>
      <c r="O620" s="88"/>
      <c r="P620" s="88"/>
      <c r="Q620" s="88"/>
      <c r="R620" s="88"/>
      <c r="S620" s="88"/>
      <c r="T620" s="88"/>
      <c r="U620" s="88"/>
      <c r="V620" s="88"/>
      <c r="W620" s="88"/>
      <c r="X620" s="88"/>
      <c r="Y620" s="88"/>
      <c r="Z620" s="88"/>
      <c r="AA620" s="88"/>
      <c r="AB620" s="88"/>
      <c r="AC620" s="88"/>
      <c r="AD620" s="88"/>
      <c r="AE620" s="88"/>
      <c r="AF620" s="88"/>
      <c r="AG620" s="88"/>
      <c r="AH620" s="88"/>
      <c r="AI620" s="88"/>
      <c r="AJ620" s="88"/>
    </row>
    <row r="621" spans="1:36" ht="15">
      <c r="A621" s="88" t="s">
        <v>339</v>
      </c>
      <c r="B621" s="88" t="s">
        <v>755</v>
      </c>
      <c r="C621" s="88" t="s">
        <v>7</v>
      </c>
      <c r="D621" s="88" t="s">
        <v>2617</v>
      </c>
      <c r="E621" s="88" t="s">
        <v>2618</v>
      </c>
      <c r="F621" s="88"/>
      <c r="G621" s="88"/>
      <c r="H621" s="88"/>
      <c r="I621" s="88"/>
      <c r="J621" s="88"/>
      <c r="K621" s="88"/>
      <c r="L621" s="88"/>
      <c r="M621" s="88"/>
      <c r="N621" s="88"/>
      <c r="O621" s="88"/>
      <c r="P621" s="88"/>
      <c r="Q621" s="88"/>
      <c r="R621" s="88"/>
      <c r="S621" s="88"/>
      <c r="T621" s="88"/>
      <c r="U621" s="88"/>
      <c r="V621" s="88"/>
      <c r="W621" s="88"/>
      <c r="X621" s="88"/>
      <c r="Y621" s="88"/>
      <c r="Z621" s="88"/>
      <c r="AA621" s="88"/>
      <c r="AB621" s="88"/>
      <c r="AC621" s="88"/>
      <c r="AD621" s="88"/>
      <c r="AE621" s="88"/>
      <c r="AF621" s="88"/>
      <c r="AG621" s="88"/>
      <c r="AH621" s="88"/>
      <c r="AI621" s="88"/>
      <c r="AJ621" s="88"/>
    </row>
    <row r="622" spans="1:36" ht="15">
      <c r="A622" s="88" t="s">
        <v>339</v>
      </c>
      <c r="B622" s="88" t="s">
        <v>778</v>
      </c>
      <c r="C622" s="88" t="s">
        <v>7</v>
      </c>
      <c r="D622" s="88" t="s">
        <v>2619</v>
      </c>
      <c r="E622" s="88" t="s">
        <v>2620</v>
      </c>
      <c r="F622" s="88"/>
      <c r="G622" s="88"/>
      <c r="H622" s="88"/>
      <c r="I622" s="88"/>
      <c r="J622" s="88"/>
      <c r="K622" s="88"/>
      <c r="L622" s="88"/>
      <c r="M622" s="88"/>
      <c r="N622" s="88"/>
      <c r="O622" s="88"/>
      <c r="P622" s="88"/>
      <c r="Q622" s="88"/>
      <c r="R622" s="88"/>
      <c r="S622" s="88"/>
      <c r="T622" s="88"/>
      <c r="U622" s="88"/>
      <c r="V622" s="88"/>
      <c r="W622" s="88"/>
      <c r="X622" s="88"/>
      <c r="Y622" s="88"/>
      <c r="Z622" s="88"/>
      <c r="AA622" s="88"/>
      <c r="AB622" s="88"/>
      <c r="AC622" s="88"/>
      <c r="AD622" s="88"/>
      <c r="AE622" s="88"/>
      <c r="AF622" s="88"/>
      <c r="AG622" s="88"/>
      <c r="AH622" s="88"/>
      <c r="AI622" s="88"/>
      <c r="AJ622" s="88"/>
    </row>
    <row r="623" spans="1:36" ht="15">
      <c r="A623" s="88" t="s">
        <v>339</v>
      </c>
      <c r="B623" s="88" t="s">
        <v>799</v>
      </c>
      <c r="C623" s="88" t="s">
        <v>7</v>
      </c>
      <c r="D623" s="88" t="s">
        <v>2621</v>
      </c>
      <c r="E623" s="88" t="s">
        <v>2622</v>
      </c>
      <c r="F623" s="88"/>
      <c r="G623" s="88"/>
      <c r="H623" s="88"/>
      <c r="I623" s="88"/>
      <c r="J623" s="88"/>
      <c r="K623" s="88"/>
      <c r="L623" s="88"/>
      <c r="M623" s="88"/>
      <c r="N623" s="88"/>
      <c r="O623" s="88"/>
      <c r="P623" s="88"/>
      <c r="Q623" s="88"/>
      <c r="R623" s="88"/>
      <c r="S623" s="88"/>
      <c r="T623" s="88"/>
      <c r="U623" s="88"/>
      <c r="V623" s="88"/>
      <c r="W623" s="88"/>
      <c r="X623" s="88"/>
      <c r="Y623" s="88"/>
      <c r="Z623" s="88"/>
      <c r="AA623" s="88"/>
      <c r="AB623" s="88"/>
      <c r="AC623" s="88"/>
      <c r="AD623" s="88"/>
      <c r="AE623" s="88"/>
      <c r="AF623" s="88"/>
      <c r="AG623" s="88"/>
      <c r="AH623" s="88"/>
      <c r="AI623" s="88"/>
      <c r="AJ623" s="88"/>
    </row>
    <row r="624" spans="1:36" ht="15">
      <c r="A624" s="88" t="s">
        <v>339</v>
      </c>
      <c r="B624" s="88" t="s">
        <v>821</v>
      </c>
      <c r="C624" s="88" t="s">
        <v>7</v>
      </c>
      <c r="D624" s="88" t="s">
        <v>2623</v>
      </c>
      <c r="E624" s="88" t="s">
        <v>2624</v>
      </c>
      <c r="F624" s="88"/>
      <c r="G624" s="88"/>
      <c r="H624" s="88"/>
      <c r="I624" s="88"/>
      <c r="J624" s="88"/>
      <c r="K624" s="88"/>
      <c r="L624" s="88"/>
      <c r="M624" s="88"/>
      <c r="N624" s="88"/>
      <c r="O624" s="88"/>
      <c r="P624" s="88"/>
      <c r="Q624" s="88"/>
      <c r="R624" s="88"/>
      <c r="S624" s="88"/>
      <c r="T624" s="88"/>
      <c r="U624" s="88"/>
      <c r="V624" s="88"/>
      <c r="W624" s="88"/>
      <c r="X624" s="88"/>
      <c r="Y624" s="88"/>
      <c r="Z624" s="88"/>
      <c r="AA624" s="88"/>
      <c r="AB624" s="88"/>
      <c r="AC624" s="88"/>
      <c r="AD624" s="88"/>
      <c r="AE624" s="88"/>
      <c r="AF624" s="88"/>
      <c r="AG624" s="88"/>
      <c r="AH624" s="88"/>
      <c r="AI624" s="88"/>
      <c r="AJ624" s="88"/>
    </row>
    <row r="625" spans="1:36" ht="15">
      <c r="A625" s="88" t="s">
        <v>339</v>
      </c>
      <c r="B625" s="88" t="s">
        <v>842</v>
      </c>
      <c r="C625" s="88" t="s">
        <v>7</v>
      </c>
      <c r="D625" s="88" t="s">
        <v>2625</v>
      </c>
      <c r="E625" s="88" t="s">
        <v>2626</v>
      </c>
      <c r="F625" s="88"/>
      <c r="G625" s="88"/>
      <c r="H625" s="88"/>
      <c r="I625" s="88"/>
      <c r="J625" s="88"/>
      <c r="K625" s="88"/>
      <c r="L625" s="88"/>
      <c r="M625" s="88"/>
      <c r="N625" s="88"/>
      <c r="O625" s="88"/>
      <c r="P625" s="88"/>
      <c r="Q625" s="88"/>
      <c r="R625" s="88"/>
      <c r="S625" s="88"/>
      <c r="T625" s="88"/>
      <c r="U625" s="88"/>
      <c r="V625" s="88"/>
      <c r="W625" s="88"/>
      <c r="X625" s="88"/>
      <c r="Y625" s="88"/>
      <c r="Z625" s="88"/>
      <c r="AA625" s="88"/>
      <c r="AB625" s="88"/>
      <c r="AC625" s="88"/>
      <c r="AD625" s="88"/>
      <c r="AE625" s="88"/>
      <c r="AF625" s="88"/>
      <c r="AG625" s="88"/>
      <c r="AH625" s="88"/>
      <c r="AI625" s="88"/>
      <c r="AJ625" s="88"/>
    </row>
    <row r="626" spans="1:36" ht="15">
      <c r="A626" s="88" t="s">
        <v>339</v>
      </c>
      <c r="B626" s="88" t="s">
        <v>861</v>
      </c>
      <c r="C626" s="88" t="s">
        <v>7</v>
      </c>
      <c r="D626" s="88" t="s">
        <v>2627</v>
      </c>
      <c r="E626" s="88" t="s">
        <v>2628</v>
      </c>
      <c r="F626" s="88"/>
      <c r="G626" s="88"/>
      <c r="H626" s="88"/>
      <c r="I626" s="88"/>
      <c r="J626" s="88"/>
      <c r="K626" s="88"/>
      <c r="L626" s="88"/>
      <c r="M626" s="88"/>
      <c r="N626" s="88"/>
      <c r="O626" s="88"/>
      <c r="P626" s="88"/>
      <c r="Q626" s="88"/>
      <c r="R626" s="88"/>
      <c r="S626" s="88"/>
      <c r="T626" s="88"/>
      <c r="U626" s="88"/>
      <c r="V626" s="88"/>
      <c r="W626" s="88"/>
      <c r="X626" s="88"/>
      <c r="Y626" s="88"/>
      <c r="Z626" s="88"/>
      <c r="AA626" s="88"/>
      <c r="AB626" s="88"/>
      <c r="AC626" s="88"/>
      <c r="AD626" s="88"/>
      <c r="AE626" s="88"/>
      <c r="AF626" s="88"/>
      <c r="AG626" s="88"/>
      <c r="AH626" s="88"/>
      <c r="AI626" s="88"/>
      <c r="AJ626" s="88"/>
    </row>
    <row r="627" spans="1:36" ht="15">
      <c r="A627" s="88" t="s">
        <v>339</v>
      </c>
      <c r="B627" s="88" t="s">
        <v>882</v>
      </c>
      <c r="C627" s="88" t="s">
        <v>7</v>
      </c>
      <c r="D627" s="88" t="s">
        <v>2629</v>
      </c>
      <c r="E627" s="88" t="s">
        <v>2630</v>
      </c>
      <c r="F627" s="88"/>
      <c r="G627" s="88"/>
      <c r="H627" s="88"/>
      <c r="I627" s="88"/>
      <c r="J627" s="88"/>
      <c r="K627" s="88"/>
      <c r="L627" s="88"/>
      <c r="M627" s="88"/>
      <c r="N627" s="88"/>
      <c r="O627" s="88"/>
      <c r="P627" s="88"/>
      <c r="Q627" s="88"/>
      <c r="R627" s="88"/>
      <c r="S627" s="88"/>
      <c r="T627" s="88"/>
      <c r="U627" s="88"/>
      <c r="V627" s="88"/>
      <c r="W627" s="88"/>
      <c r="X627" s="88"/>
      <c r="Y627" s="88"/>
      <c r="Z627" s="88"/>
      <c r="AA627" s="88"/>
      <c r="AB627" s="88"/>
      <c r="AC627" s="88"/>
      <c r="AD627" s="88"/>
      <c r="AE627" s="88"/>
      <c r="AF627" s="88"/>
      <c r="AG627" s="88"/>
      <c r="AH627" s="88"/>
      <c r="AI627" s="88"/>
      <c r="AJ627" s="88"/>
    </row>
    <row r="628" spans="1:36" ht="15">
      <c r="A628" s="88" t="s">
        <v>339</v>
      </c>
      <c r="B628" s="88" t="s">
        <v>901</v>
      </c>
      <c r="C628" s="88" t="s">
        <v>7</v>
      </c>
      <c r="D628" s="88" t="s">
        <v>2631</v>
      </c>
      <c r="E628" s="88" t="s">
        <v>2632</v>
      </c>
      <c r="F628" s="88"/>
      <c r="G628" s="88"/>
      <c r="H628" s="88"/>
      <c r="I628" s="88"/>
      <c r="J628" s="88"/>
      <c r="K628" s="88"/>
      <c r="L628" s="88"/>
      <c r="M628" s="88"/>
      <c r="N628" s="88"/>
      <c r="O628" s="88"/>
      <c r="P628" s="88"/>
      <c r="Q628" s="88"/>
      <c r="R628" s="88"/>
      <c r="S628" s="88"/>
      <c r="T628" s="88"/>
      <c r="U628" s="88"/>
      <c r="V628" s="88"/>
      <c r="W628" s="88"/>
      <c r="X628" s="88"/>
      <c r="Y628" s="88"/>
      <c r="Z628" s="88"/>
      <c r="AA628" s="88"/>
      <c r="AB628" s="88"/>
      <c r="AC628" s="88"/>
      <c r="AD628" s="88"/>
      <c r="AE628" s="88"/>
      <c r="AF628" s="88"/>
      <c r="AG628" s="88"/>
      <c r="AH628" s="88"/>
      <c r="AI628" s="88"/>
      <c r="AJ628" s="88"/>
    </row>
    <row r="629" spans="1:36" ht="15">
      <c r="A629" s="88" t="s">
        <v>339</v>
      </c>
      <c r="B629" s="88" t="s">
        <v>792</v>
      </c>
      <c r="C629" s="88" t="s">
        <v>7</v>
      </c>
      <c r="D629" s="88" t="s">
        <v>2633</v>
      </c>
      <c r="E629" s="88" t="s">
        <v>2634</v>
      </c>
      <c r="F629" s="88"/>
      <c r="G629" s="88"/>
      <c r="H629" s="88"/>
      <c r="I629" s="88"/>
      <c r="J629" s="88"/>
      <c r="K629" s="88"/>
      <c r="L629" s="88"/>
      <c r="M629" s="88"/>
      <c r="N629" s="88"/>
      <c r="O629" s="88"/>
      <c r="P629" s="88"/>
      <c r="Q629" s="88"/>
      <c r="R629" s="88"/>
      <c r="S629" s="88"/>
      <c r="T629" s="88"/>
      <c r="U629" s="88"/>
      <c r="V629" s="88"/>
      <c r="W629" s="88"/>
      <c r="X629" s="88"/>
      <c r="Y629" s="88"/>
      <c r="Z629" s="88"/>
      <c r="AA629" s="88"/>
      <c r="AB629" s="88"/>
      <c r="AC629" s="88"/>
      <c r="AD629" s="88"/>
      <c r="AE629" s="88"/>
      <c r="AF629" s="88"/>
      <c r="AG629" s="88"/>
      <c r="AH629" s="88"/>
      <c r="AI629" s="88"/>
      <c r="AJ629" s="88"/>
    </row>
    <row r="630" spans="1:36" ht="15">
      <c r="A630" s="88" t="s">
        <v>339</v>
      </c>
      <c r="B630" s="88" t="s">
        <v>937</v>
      </c>
      <c r="C630" s="88" t="s">
        <v>7</v>
      </c>
      <c r="D630" s="88" t="s">
        <v>2635</v>
      </c>
      <c r="E630" s="88" t="s">
        <v>2636</v>
      </c>
      <c r="F630" s="88"/>
      <c r="G630" s="88"/>
      <c r="H630" s="88"/>
      <c r="I630" s="88"/>
      <c r="J630" s="88"/>
      <c r="K630" s="88"/>
      <c r="L630" s="88"/>
      <c r="M630" s="88"/>
      <c r="N630" s="88"/>
      <c r="O630" s="88"/>
      <c r="P630" s="88"/>
      <c r="Q630" s="88"/>
      <c r="R630" s="88"/>
      <c r="S630" s="88"/>
      <c r="T630" s="88"/>
      <c r="U630" s="88"/>
      <c r="V630" s="88"/>
      <c r="W630" s="88"/>
      <c r="X630" s="88"/>
      <c r="Y630" s="88"/>
      <c r="Z630" s="88"/>
      <c r="AA630" s="88"/>
      <c r="AB630" s="88"/>
      <c r="AC630" s="88"/>
      <c r="AD630" s="88"/>
      <c r="AE630" s="88"/>
      <c r="AF630" s="88"/>
      <c r="AG630" s="88"/>
      <c r="AH630" s="88"/>
      <c r="AI630" s="88"/>
      <c r="AJ630" s="88"/>
    </row>
    <row r="631" spans="1:36" ht="15">
      <c r="A631" s="88" t="s">
        <v>339</v>
      </c>
      <c r="B631" s="88" t="s">
        <v>955</v>
      </c>
      <c r="C631" s="88" t="s">
        <v>7</v>
      </c>
      <c r="D631" s="88" t="s">
        <v>2637</v>
      </c>
      <c r="E631" s="88" t="s">
        <v>2638</v>
      </c>
      <c r="F631" s="88"/>
      <c r="G631" s="88"/>
      <c r="H631" s="88"/>
      <c r="I631" s="88"/>
      <c r="J631" s="88"/>
      <c r="K631" s="88"/>
      <c r="L631" s="88"/>
      <c r="M631" s="88"/>
      <c r="N631" s="88"/>
      <c r="O631" s="88"/>
      <c r="P631" s="88"/>
      <c r="Q631" s="88"/>
      <c r="R631" s="88"/>
      <c r="S631" s="88"/>
      <c r="T631" s="88"/>
      <c r="U631" s="88"/>
      <c r="V631" s="88"/>
      <c r="W631" s="88"/>
      <c r="X631" s="88"/>
      <c r="Y631" s="88"/>
      <c r="Z631" s="88"/>
      <c r="AA631" s="88"/>
      <c r="AB631" s="88"/>
      <c r="AC631" s="88"/>
      <c r="AD631" s="88"/>
      <c r="AE631" s="88"/>
      <c r="AF631" s="88"/>
      <c r="AG631" s="88"/>
      <c r="AH631" s="88"/>
      <c r="AI631" s="88"/>
      <c r="AJ631" s="88"/>
    </row>
    <row r="632" spans="1:36" ht="15">
      <c r="A632" s="88" t="s">
        <v>339</v>
      </c>
      <c r="B632" s="88" t="s">
        <v>971</v>
      </c>
      <c r="C632" s="88" t="s">
        <v>7</v>
      </c>
      <c r="D632" s="88" t="s">
        <v>2639</v>
      </c>
      <c r="E632" s="88" t="s">
        <v>2640</v>
      </c>
      <c r="F632" s="88"/>
      <c r="G632" s="88"/>
      <c r="H632" s="88"/>
      <c r="I632" s="88"/>
      <c r="J632" s="88"/>
      <c r="K632" s="88"/>
      <c r="L632" s="88"/>
      <c r="M632" s="88"/>
      <c r="N632" s="88"/>
      <c r="O632" s="88"/>
      <c r="P632" s="88"/>
      <c r="Q632" s="88"/>
      <c r="R632" s="88"/>
      <c r="S632" s="88"/>
      <c r="T632" s="88"/>
      <c r="U632" s="88"/>
      <c r="V632" s="88"/>
      <c r="W632" s="88"/>
      <c r="X632" s="88"/>
      <c r="Y632" s="88"/>
      <c r="Z632" s="88"/>
      <c r="AA632" s="88"/>
      <c r="AB632" s="88"/>
      <c r="AC632" s="88"/>
      <c r="AD632" s="88"/>
      <c r="AE632" s="88"/>
      <c r="AF632" s="88"/>
      <c r="AG632" s="88"/>
      <c r="AH632" s="88"/>
      <c r="AI632" s="88"/>
      <c r="AJ632" s="88"/>
    </row>
    <row r="633" spans="1:36" ht="15">
      <c r="A633" s="88" t="s">
        <v>339</v>
      </c>
      <c r="B633" s="88" t="s">
        <v>990</v>
      </c>
      <c r="C633" s="88" t="s">
        <v>7</v>
      </c>
      <c r="D633" s="88" t="s">
        <v>2641</v>
      </c>
      <c r="E633" s="88" t="s">
        <v>2642</v>
      </c>
      <c r="F633" s="88"/>
      <c r="G633" s="88"/>
      <c r="H633" s="88"/>
      <c r="I633" s="88"/>
      <c r="J633" s="88"/>
      <c r="K633" s="88"/>
      <c r="L633" s="88"/>
      <c r="M633" s="88"/>
      <c r="N633" s="88"/>
      <c r="O633" s="88"/>
      <c r="P633" s="88"/>
      <c r="Q633" s="88"/>
      <c r="R633" s="88"/>
      <c r="S633" s="88"/>
      <c r="T633" s="88"/>
      <c r="U633" s="88"/>
      <c r="V633" s="88"/>
      <c r="W633" s="88"/>
      <c r="X633" s="88"/>
      <c r="Y633" s="88"/>
      <c r="Z633" s="88"/>
      <c r="AA633" s="88"/>
      <c r="AB633" s="88"/>
      <c r="AC633" s="88"/>
      <c r="AD633" s="88"/>
      <c r="AE633" s="88"/>
      <c r="AF633" s="88"/>
      <c r="AG633" s="88"/>
      <c r="AH633" s="88"/>
      <c r="AI633" s="88"/>
      <c r="AJ633" s="88"/>
    </row>
    <row r="634" spans="1:36" ht="15">
      <c r="A634" s="88" t="s">
        <v>339</v>
      </c>
      <c r="B634" s="88" t="s">
        <v>1007</v>
      </c>
      <c r="C634" s="88" t="s">
        <v>7</v>
      </c>
      <c r="D634" s="88" t="s">
        <v>2643</v>
      </c>
      <c r="E634" s="88" t="s">
        <v>2644</v>
      </c>
      <c r="F634" s="88"/>
      <c r="G634" s="88"/>
      <c r="H634" s="88"/>
      <c r="I634" s="88"/>
      <c r="J634" s="88"/>
      <c r="K634" s="88"/>
      <c r="L634" s="88"/>
      <c r="M634" s="88"/>
      <c r="N634" s="88"/>
      <c r="O634" s="88"/>
      <c r="P634" s="88"/>
      <c r="Q634" s="88"/>
      <c r="R634" s="88"/>
      <c r="S634" s="88"/>
      <c r="T634" s="88"/>
      <c r="U634" s="88"/>
      <c r="V634" s="88"/>
      <c r="W634" s="88"/>
      <c r="X634" s="88"/>
      <c r="Y634" s="88"/>
      <c r="Z634" s="88"/>
      <c r="AA634" s="88"/>
      <c r="AB634" s="88"/>
      <c r="AC634" s="88"/>
      <c r="AD634" s="88"/>
      <c r="AE634" s="88"/>
      <c r="AF634" s="88"/>
      <c r="AG634" s="88"/>
      <c r="AH634" s="88"/>
      <c r="AI634" s="88"/>
      <c r="AJ634" s="88"/>
    </row>
    <row r="635" spans="1:36" ht="15">
      <c r="A635" s="88" t="s">
        <v>339</v>
      </c>
      <c r="B635" s="88" t="s">
        <v>1021</v>
      </c>
      <c r="C635" s="88" t="s">
        <v>7</v>
      </c>
      <c r="D635" s="88" t="s">
        <v>2645</v>
      </c>
      <c r="E635" s="88" t="s">
        <v>2646</v>
      </c>
      <c r="F635" s="88"/>
      <c r="G635" s="88"/>
      <c r="H635" s="88"/>
      <c r="I635" s="88"/>
      <c r="J635" s="88"/>
      <c r="K635" s="88"/>
      <c r="L635" s="88"/>
      <c r="M635" s="88"/>
      <c r="N635" s="88"/>
      <c r="O635" s="88"/>
      <c r="P635" s="88"/>
      <c r="Q635" s="88"/>
      <c r="R635" s="88"/>
      <c r="S635" s="88"/>
      <c r="T635" s="88"/>
      <c r="U635" s="88"/>
      <c r="V635" s="88"/>
      <c r="W635" s="88"/>
      <c r="X635" s="88"/>
      <c r="Y635" s="88"/>
      <c r="Z635" s="88"/>
      <c r="AA635" s="88"/>
      <c r="AB635" s="88"/>
      <c r="AC635" s="88"/>
      <c r="AD635" s="88"/>
      <c r="AE635" s="88"/>
      <c r="AF635" s="88"/>
      <c r="AG635" s="88"/>
      <c r="AH635" s="88"/>
      <c r="AI635" s="88"/>
      <c r="AJ635" s="88"/>
    </row>
    <row r="636" spans="1:36" ht="15">
      <c r="A636" s="88" t="s">
        <v>339</v>
      </c>
      <c r="B636" s="88" t="s">
        <v>1037</v>
      </c>
      <c r="C636" s="88" t="s">
        <v>7</v>
      </c>
      <c r="D636" s="88" t="s">
        <v>2647</v>
      </c>
      <c r="E636" s="88" t="s">
        <v>2648</v>
      </c>
      <c r="F636" s="88"/>
      <c r="G636" s="88"/>
      <c r="H636" s="88"/>
      <c r="I636" s="88"/>
      <c r="J636" s="88"/>
      <c r="K636" s="88"/>
      <c r="L636" s="88"/>
      <c r="M636" s="88"/>
      <c r="N636" s="88"/>
      <c r="O636" s="88"/>
      <c r="P636" s="88"/>
      <c r="Q636" s="88"/>
      <c r="R636" s="88"/>
      <c r="S636" s="88"/>
      <c r="T636" s="88"/>
      <c r="U636" s="88"/>
      <c r="V636" s="88"/>
      <c r="W636" s="88"/>
      <c r="X636" s="88"/>
      <c r="Y636" s="88"/>
      <c r="Z636" s="88"/>
      <c r="AA636" s="88"/>
      <c r="AB636" s="88"/>
      <c r="AC636" s="88"/>
      <c r="AD636" s="88"/>
      <c r="AE636" s="88"/>
      <c r="AF636" s="88"/>
      <c r="AG636" s="88"/>
      <c r="AH636" s="88"/>
      <c r="AI636" s="88"/>
      <c r="AJ636" s="88"/>
    </row>
    <row r="637" spans="1:36" ht="15">
      <c r="A637" s="88" t="s">
        <v>339</v>
      </c>
      <c r="B637" s="88" t="s">
        <v>1052</v>
      </c>
      <c r="C637" s="88" t="s">
        <v>7</v>
      </c>
      <c r="D637" s="88" t="s">
        <v>2649</v>
      </c>
      <c r="E637" s="88" t="s">
        <v>2650</v>
      </c>
      <c r="F637" s="88"/>
      <c r="G637" s="88"/>
      <c r="H637" s="88"/>
      <c r="I637" s="88"/>
      <c r="J637" s="88"/>
      <c r="K637" s="88"/>
      <c r="L637" s="88"/>
      <c r="M637" s="88"/>
      <c r="N637" s="88"/>
      <c r="O637" s="88"/>
      <c r="P637" s="88"/>
      <c r="Q637" s="88"/>
      <c r="R637" s="88"/>
      <c r="S637" s="88"/>
      <c r="T637" s="88"/>
      <c r="U637" s="88"/>
      <c r="V637" s="88"/>
      <c r="W637" s="88"/>
      <c r="X637" s="88"/>
      <c r="Y637" s="88"/>
      <c r="Z637" s="88"/>
      <c r="AA637" s="88"/>
      <c r="AB637" s="88"/>
      <c r="AC637" s="88"/>
      <c r="AD637" s="88"/>
      <c r="AE637" s="88"/>
      <c r="AF637" s="88"/>
      <c r="AG637" s="88"/>
      <c r="AH637" s="88"/>
      <c r="AI637" s="88"/>
      <c r="AJ637" s="88"/>
    </row>
    <row r="638" spans="1:36" ht="15">
      <c r="A638" s="88" t="s">
        <v>339</v>
      </c>
      <c r="B638" s="88" t="s">
        <v>1065</v>
      </c>
      <c r="C638" s="88" t="s">
        <v>7</v>
      </c>
      <c r="D638" s="88" t="s">
        <v>2651</v>
      </c>
      <c r="E638" s="88" t="s">
        <v>2652</v>
      </c>
      <c r="F638" s="88"/>
      <c r="G638" s="88"/>
      <c r="H638" s="88"/>
      <c r="I638" s="88"/>
      <c r="J638" s="88"/>
      <c r="K638" s="88"/>
      <c r="L638" s="88"/>
      <c r="M638" s="88"/>
      <c r="N638" s="88"/>
      <c r="O638" s="88"/>
      <c r="P638" s="88"/>
      <c r="Q638" s="88"/>
      <c r="R638" s="88"/>
      <c r="S638" s="88"/>
      <c r="T638" s="88"/>
      <c r="U638" s="88"/>
      <c r="V638" s="88"/>
      <c r="W638" s="88"/>
      <c r="X638" s="88"/>
      <c r="Y638" s="88"/>
      <c r="Z638" s="88"/>
      <c r="AA638" s="88"/>
      <c r="AB638" s="88"/>
      <c r="AC638" s="88"/>
      <c r="AD638" s="88"/>
      <c r="AE638" s="88"/>
      <c r="AF638" s="88"/>
      <c r="AG638" s="88"/>
      <c r="AH638" s="88"/>
      <c r="AI638" s="88"/>
      <c r="AJ638" s="88"/>
    </row>
    <row r="639" spans="1:36" ht="15">
      <c r="A639" s="88" t="s">
        <v>339</v>
      </c>
      <c r="B639" s="88" t="s">
        <v>1077</v>
      </c>
      <c r="C639" s="88" t="s">
        <v>7</v>
      </c>
      <c r="D639" s="88" t="s">
        <v>2653</v>
      </c>
      <c r="E639" s="88" t="s">
        <v>2654</v>
      </c>
      <c r="F639" s="88"/>
      <c r="G639" s="88"/>
      <c r="H639" s="88"/>
      <c r="I639" s="88"/>
      <c r="J639" s="88"/>
      <c r="K639" s="88"/>
      <c r="L639" s="88"/>
      <c r="M639" s="88"/>
      <c r="N639" s="88"/>
      <c r="O639" s="88"/>
      <c r="P639" s="88"/>
      <c r="Q639" s="88"/>
      <c r="R639" s="88"/>
      <c r="S639" s="88"/>
      <c r="T639" s="88"/>
      <c r="U639" s="88"/>
      <c r="V639" s="88"/>
      <c r="W639" s="88"/>
      <c r="X639" s="88"/>
      <c r="Y639" s="88"/>
      <c r="Z639" s="88"/>
      <c r="AA639" s="88"/>
      <c r="AB639" s="88"/>
      <c r="AC639" s="88"/>
      <c r="AD639" s="88"/>
      <c r="AE639" s="88"/>
      <c r="AF639" s="88"/>
      <c r="AG639" s="88"/>
      <c r="AH639" s="88"/>
      <c r="AI639" s="88"/>
      <c r="AJ639" s="88"/>
    </row>
    <row r="640" spans="1:36" ht="15">
      <c r="A640" s="88" t="s">
        <v>339</v>
      </c>
      <c r="B640" s="88" t="s">
        <v>1088</v>
      </c>
      <c r="C640" s="88" t="s">
        <v>7</v>
      </c>
      <c r="D640" s="88" t="s">
        <v>2655</v>
      </c>
      <c r="E640" s="88" t="s">
        <v>2656</v>
      </c>
      <c r="F640" s="88"/>
      <c r="G640" s="88"/>
      <c r="H640" s="88"/>
      <c r="I640" s="88"/>
      <c r="J640" s="88"/>
      <c r="K640" s="88"/>
      <c r="L640" s="88"/>
      <c r="M640" s="88"/>
      <c r="N640" s="88"/>
      <c r="O640" s="88"/>
      <c r="P640" s="88"/>
      <c r="Q640" s="88"/>
      <c r="R640" s="88"/>
      <c r="S640" s="88"/>
      <c r="T640" s="88"/>
      <c r="U640" s="88"/>
      <c r="V640" s="88"/>
      <c r="W640" s="88"/>
      <c r="X640" s="88"/>
      <c r="Y640" s="88"/>
      <c r="Z640" s="88"/>
      <c r="AA640" s="88"/>
      <c r="AB640" s="88"/>
      <c r="AC640" s="88"/>
      <c r="AD640" s="88"/>
      <c r="AE640" s="88"/>
      <c r="AF640" s="88"/>
      <c r="AG640" s="88"/>
      <c r="AH640" s="88"/>
      <c r="AI640" s="88"/>
      <c r="AJ640" s="88"/>
    </row>
    <row r="641" spans="1:36" ht="15">
      <c r="A641" s="88" t="s">
        <v>339</v>
      </c>
      <c r="B641" s="88" t="s">
        <v>1101</v>
      </c>
      <c r="C641" s="88" t="s">
        <v>7</v>
      </c>
      <c r="D641" s="88" t="s">
        <v>2657</v>
      </c>
      <c r="E641" s="88" t="s">
        <v>2658</v>
      </c>
      <c r="F641" s="88"/>
      <c r="G641" s="88"/>
      <c r="H641" s="88"/>
      <c r="I641" s="88"/>
      <c r="J641" s="88"/>
      <c r="K641" s="88"/>
      <c r="L641" s="88"/>
      <c r="M641" s="88"/>
      <c r="N641" s="88"/>
      <c r="O641" s="88"/>
      <c r="P641" s="88"/>
      <c r="Q641" s="88"/>
      <c r="R641" s="88"/>
      <c r="S641" s="88"/>
      <c r="T641" s="88"/>
      <c r="U641" s="88"/>
      <c r="V641" s="88"/>
      <c r="W641" s="88"/>
      <c r="X641" s="88"/>
      <c r="Y641" s="88"/>
      <c r="Z641" s="88"/>
      <c r="AA641" s="88"/>
      <c r="AB641" s="88"/>
      <c r="AC641" s="88"/>
      <c r="AD641" s="88"/>
      <c r="AE641" s="88"/>
      <c r="AF641" s="88"/>
      <c r="AG641" s="88"/>
      <c r="AH641" s="88"/>
      <c r="AI641" s="88"/>
      <c r="AJ641" s="88"/>
    </row>
    <row r="642" spans="1:36" ht="15">
      <c r="A642" s="88" t="s">
        <v>339</v>
      </c>
      <c r="B642" s="88" t="s">
        <v>1114</v>
      </c>
      <c r="C642" s="88" t="s">
        <v>7</v>
      </c>
      <c r="D642" s="88" t="s">
        <v>2659</v>
      </c>
      <c r="E642" s="88" t="s">
        <v>2660</v>
      </c>
      <c r="F642" s="88"/>
      <c r="G642" s="88"/>
      <c r="H642" s="88"/>
      <c r="I642" s="88"/>
      <c r="J642" s="88"/>
      <c r="K642" s="88"/>
      <c r="L642" s="88"/>
      <c r="M642" s="88"/>
      <c r="N642" s="88"/>
      <c r="O642" s="88"/>
      <c r="P642" s="88"/>
      <c r="Q642" s="88"/>
      <c r="R642" s="88"/>
      <c r="S642" s="88"/>
      <c r="T642" s="88"/>
      <c r="U642" s="88"/>
      <c r="V642" s="88"/>
      <c r="W642" s="88"/>
      <c r="X642" s="88"/>
      <c r="Y642" s="88"/>
      <c r="Z642" s="88"/>
      <c r="AA642" s="88"/>
      <c r="AB642" s="88"/>
      <c r="AC642" s="88"/>
      <c r="AD642" s="88"/>
      <c r="AE642" s="88"/>
      <c r="AF642" s="88"/>
      <c r="AG642" s="88"/>
      <c r="AH642" s="88"/>
      <c r="AI642" s="88"/>
      <c r="AJ642" s="88"/>
    </row>
    <row r="643" spans="1:36" ht="15">
      <c r="A643" s="88" t="s">
        <v>339</v>
      </c>
      <c r="B643" s="88" t="s">
        <v>1124</v>
      </c>
      <c r="C643" s="88" t="s">
        <v>7</v>
      </c>
      <c r="D643" s="88" t="s">
        <v>2661</v>
      </c>
      <c r="E643" s="88" t="s">
        <v>2662</v>
      </c>
      <c r="F643" s="88"/>
      <c r="G643" s="88"/>
      <c r="H643" s="88"/>
      <c r="I643" s="88"/>
      <c r="J643" s="88"/>
      <c r="K643" s="88"/>
      <c r="L643" s="88"/>
      <c r="M643" s="88"/>
      <c r="N643" s="88"/>
      <c r="O643" s="88"/>
      <c r="P643" s="88"/>
      <c r="Q643" s="88"/>
      <c r="R643" s="88"/>
      <c r="S643" s="88"/>
      <c r="T643" s="88"/>
      <c r="U643" s="88"/>
      <c r="V643" s="88"/>
      <c r="W643" s="88"/>
      <c r="X643" s="88"/>
      <c r="Y643" s="88"/>
      <c r="Z643" s="88"/>
      <c r="AA643" s="88"/>
      <c r="AB643" s="88"/>
      <c r="AC643" s="88"/>
      <c r="AD643" s="88"/>
      <c r="AE643" s="88"/>
      <c r="AF643" s="88"/>
      <c r="AG643" s="88"/>
      <c r="AH643" s="88"/>
      <c r="AI643" s="88"/>
      <c r="AJ643" s="88"/>
    </row>
    <row r="644" spans="1:36" ht="15">
      <c r="A644" s="88" t="s">
        <v>340</v>
      </c>
      <c r="B644" s="88" t="s">
        <v>372</v>
      </c>
      <c r="C644" s="88" t="s">
        <v>7</v>
      </c>
      <c r="D644" s="88" t="s">
        <v>2663</v>
      </c>
      <c r="E644" s="88" t="s">
        <v>2664</v>
      </c>
      <c r="F644" s="88"/>
      <c r="G644" s="88"/>
      <c r="H644" s="88"/>
      <c r="I644" s="88"/>
      <c r="J644" s="88"/>
      <c r="K644" s="88"/>
      <c r="L644" s="88"/>
      <c r="M644" s="88"/>
      <c r="N644" s="88"/>
      <c r="O644" s="88"/>
      <c r="P644" s="88"/>
      <c r="Q644" s="88"/>
      <c r="R644" s="88"/>
      <c r="S644" s="88"/>
      <c r="T644" s="88"/>
      <c r="U644" s="88"/>
      <c r="V644" s="88"/>
      <c r="W644" s="88"/>
      <c r="X644" s="88"/>
      <c r="Y644" s="88"/>
      <c r="Z644" s="88"/>
      <c r="AA644" s="88"/>
      <c r="AB644" s="88"/>
      <c r="AC644" s="88"/>
      <c r="AD644" s="88"/>
      <c r="AE644" s="88"/>
      <c r="AF644" s="88"/>
      <c r="AG644" s="88"/>
      <c r="AH644" s="88"/>
      <c r="AI644" s="88"/>
      <c r="AJ644" s="88"/>
    </row>
    <row r="645" spans="1:36" ht="15">
      <c r="A645" s="88" t="s">
        <v>340</v>
      </c>
      <c r="B645" s="88" t="s">
        <v>394</v>
      </c>
      <c r="C645" s="88" t="s">
        <v>7</v>
      </c>
      <c r="D645" s="88" t="s">
        <v>2665</v>
      </c>
      <c r="E645" s="88" t="s">
        <v>2666</v>
      </c>
      <c r="F645" s="88"/>
      <c r="G645" s="88"/>
      <c r="H645" s="88"/>
      <c r="I645" s="88"/>
      <c r="J645" s="88"/>
      <c r="K645" s="88"/>
      <c r="L645" s="88"/>
      <c r="M645" s="88"/>
      <c r="N645" s="88"/>
      <c r="O645" s="88"/>
      <c r="P645" s="88"/>
      <c r="Q645" s="88"/>
      <c r="R645" s="88"/>
      <c r="S645" s="88"/>
      <c r="T645" s="88"/>
      <c r="U645" s="88"/>
      <c r="V645" s="88"/>
      <c r="W645" s="88"/>
      <c r="X645" s="88"/>
      <c r="Y645" s="88"/>
      <c r="Z645" s="88"/>
      <c r="AA645" s="88"/>
      <c r="AB645" s="88"/>
      <c r="AC645" s="88"/>
      <c r="AD645" s="88"/>
      <c r="AE645" s="88"/>
      <c r="AF645" s="88"/>
      <c r="AG645" s="88"/>
      <c r="AH645" s="88"/>
      <c r="AI645" s="88"/>
      <c r="AJ645" s="88"/>
    </row>
    <row r="646" spans="1:36" ht="15">
      <c r="A646" s="88" t="s">
        <v>340</v>
      </c>
      <c r="B646" s="88" t="s">
        <v>433</v>
      </c>
      <c r="C646" s="88" t="s">
        <v>7</v>
      </c>
      <c r="D646" s="88" t="s">
        <v>2667</v>
      </c>
      <c r="E646" s="88" t="s">
        <v>2668</v>
      </c>
      <c r="F646" s="88"/>
      <c r="G646" s="88"/>
      <c r="H646" s="88"/>
      <c r="I646" s="88"/>
      <c r="J646" s="88"/>
      <c r="K646" s="88"/>
      <c r="L646" s="88"/>
      <c r="M646" s="88"/>
      <c r="N646" s="88"/>
      <c r="O646" s="88"/>
      <c r="P646" s="88"/>
      <c r="Q646" s="88"/>
      <c r="R646" s="88"/>
      <c r="S646" s="88"/>
      <c r="T646" s="88"/>
      <c r="U646" s="88"/>
      <c r="V646" s="88"/>
      <c r="W646" s="88"/>
      <c r="X646" s="88"/>
      <c r="Y646" s="88"/>
      <c r="Z646" s="88"/>
      <c r="AA646" s="88"/>
      <c r="AB646" s="88"/>
      <c r="AC646" s="88"/>
      <c r="AD646" s="88"/>
      <c r="AE646" s="88"/>
      <c r="AF646" s="88"/>
      <c r="AG646" s="88"/>
      <c r="AH646" s="88"/>
      <c r="AI646" s="88"/>
      <c r="AJ646" s="88"/>
    </row>
    <row r="647" spans="1:36" ht="15">
      <c r="A647" s="88" t="s">
        <v>340</v>
      </c>
      <c r="B647" s="88" t="s">
        <v>464</v>
      </c>
      <c r="C647" s="88" t="s">
        <v>7</v>
      </c>
      <c r="D647" s="88" t="s">
        <v>2669</v>
      </c>
      <c r="E647" s="88" t="s">
        <v>2670</v>
      </c>
      <c r="F647" s="88"/>
      <c r="G647" s="88"/>
      <c r="H647" s="88"/>
      <c r="I647" s="88"/>
      <c r="J647" s="88"/>
      <c r="K647" s="88"/>
      <c r="L647" s="88"/>
      <c r="M647" s="88"/>
      <c r="N647" s="88"/>
      <c r="O647" s="88"/>
      <c r="P647" s="88"/>
      <c r="Q647" s="88"/>
      <c r="R647" s="88"/>
      <c r="S647" s="88"/>
      <c r="T647" s="88"/>
      <c r="U647" s="88"/>
      <c r="V647" s="88"/>
      <c r="W647" s="88"/>
      <c r="X647" s="88"/>
      <c r="Y647" s="88"/>
      <c r="Z647" s="88"/>
      <c r="AA647" s="88"/>
      <c r="AB647" s="88"/>
      <c r="AC647" s="88"/>
      <c r="AD647" s="88"/>
      <c r="AE647" s="88"/>
      <c r="AF647" s="88"/>
      <c r="AG647" s="88"/>
      <c r="AH647" s="88"/>
      <c r="AI647" s="88"/>
      <c r="AJ647" s="88"/>
    </row>
    <row r="648" spans="1:36" ht="15">
      <c r="A648" s="88" t="s">
        <v>340</v>
      </c>
      <c r="B648" s="88" t="s">
        <v>495</v>
      </c>
      <c r="C648" s="88" t="s">
        <v>7</v>
      </c>
      <c r="D648" s="88" t="s">
        <v>2671</v>
      </c>
      <c r="E648" s="88" t="s">
        <v>2672</v>
      </c>
      <c r="F648" s="88"/>
      <c r="G648" s="88"/>
      <c r="H648" s="88"/>
      <c r="I648" s="88"/>
      <c r="J648" s="88"/>
      <c r="K648" s="88"/>
      <c r="L648" s="88"/>
      <c r="M648" s="88"/>
      <c r="N648" s="88"/>
      <c r="O648" s="88"/>
      <c r="P648" s="88"/>
      <c r="Q648" s="88"/>
      <c r="R648" s="88"/>
      <c r="S648" s="88"/>
      <c r="T648" s="88"/>
      <c r="U648" s="88"/>
      <c r="V648" s="88"/>
      <c r="W648" s="88"/>
      <c r="X648" s="88"/>
      <c r="Y648" s="88"/>
      <c r="Z648" s="88"/>
      <c r="AA648" s="88"/>
      <c r="AB648" s="88"/>
      <c r="AC648" s="88"/>
      <c r="AD648" s="88"/>
      <c r="AE648" s="88"/>
      <c r="AF648" s="88"/>
      <c r="AG648" s="88"/>
      <c r="AH648" s="88"/>
      <c r="AI648" s="88"/>
      <c r="AJ648" s="88"/>
    </row>
    <row r="649" spans="1:36" ht="15">
      <c r="A649" s="88" t="s">
        <v>340</v>
      </c>
      <c r="B649" s="88" t="s">
        <v>524</v>
      </c>
      <c r="C649" s="88" t="s">
        <v>7</v>
      </c>
      <c r="D649" s="88" t="s">
        <v>2673</v>
      </c>
      <c r="E649" s="88" t="s">
        <v>2674</v>
      </c>
      <c r="F649" s="88"/>
      <c r="G649" s="88"/>
      <c r="H649" s="88"/>
      <c r="I649" s="88"/>
      <c r="J649" s="88"/>
      <c r="K649" s="88"/>
      <c r="L649" s="88"/>
      <c r="M649" s="88"/>
      <c r="N649" s="88"/>
      <c r="O649" s="88"/>
      <c r="P649" s="88"/>
      <c r="Q649" s="88"/>
      <c r="R649" s="88"/>
      <c r="S649" s="88"/>
      <c r="T649" s="88"/>
      <c r="U649" s="88"/>
      <c r="V649" s="88"/>
      <c r="W649" s="88"/>
      <c r="X649" s="88"/>
      <c r="Y649" s="88"/>
      <c r="Z649" s="88"/>
      <c r="AA649" s="88"/>
      <c r="AB649" s="88"/>
      <c r="AC649" s="88"/>
      <c r="AD649" s="88"/>
      <c r="AE649" s="88"/>
      <c r="AF649" s="88"/>
      <c r="AG649" s="88"/>
      <c r="AH649" s="88"/>
      <c r="AI649" s="88"/>
      <c r="AJ649" s="88"/>
    </row>
    <row r="650" spans="1:36" ht="15">
      <c r="A650" s="88" t="s">
        <v>340</v>
      </c>
      <c r="B650" s="88" t="s">
        <v>554</v>
      </c>
      <c r="C650" s="88" t="s">
        <v>7</v>
      </c>
      <c r="D650" s="88" t="s">
        <v>2675</v>
      </c>
      <c r="E650" s="88" t="s">
        <v>2676</v>
      </c>
      <c r="F650" s="88"/>
      <c r="G650" s="88"/>
      <c r="H650" s="88"/>
      <c r="I650" s="88"/>
      <c r="J650" s="88"/>
      <c r="K650" s="88"/>
      <c r="L650" s="88"/>
      <c r="M650" s="88"/>
      <c r="N650" s="88"/>
      <c r="O650" s="88"/>
      <c r="P650" s="88"/>
      <c r="Q650" s="88"/>
      <c r="R650" s="88"/>
      <c r="S650" s="88"/>
      <c r="T650" s="88"/>
      <c r="U650" s="88"/>
      <c r="V650" s="88"/>
      <c r="W650" s="88"/>
      <c r="X650" s="88"/>
      <c r="Y650" s="88"/>
      <c r="Z650" s="88"/>
      <c r="AA650" s="88"/>
      <c r="AB650" s="88"/>
      <c r="AC650" s="88"/>
      <c r="AD650" s="88"/>
      <c r="AE650" s="88"/>
      <c r="AF650" s="88"/>
      <c r="AG650" s="88"/>
      <c r="AH650" s="88"/>
      <c r="AI650" s="88"/>
      <c r="AJ650" s="88"/>
    </row>
    <row r="651" spans="1:36" ht="15">
      <c r="A651" s="88" t="s">
        <v>340</v>
      </c>
      <c r="B651" s="88" t="s">
        <v>581</v>
      </c>
      <c r="C651" s="88" t="s">
        <v>7</v>
      </c>
      <c r="D651" s="88" t="s">
        <v>2677</v>
      </c>
      <c r="E651" s="88" t="s">
        <v>2678</v>
      </c>
      <c r="F651" s="88"/>
      <c r="G651" s="88"/>
      <c r="H651" s="88"/>
      <c r="I651" s="88"/>
      <c r="J651" s="88"/>
      <c r="K651" s="88"/>
      <c r="L651" s="88"/>
      <c r="M651" s="88"/>
      <c r="N651" s="88"/>
      <c r="O651" s="88"/>
      <c r="P651" s="88"/>
      <c r="Q651" s="88"/>
      <c r="R651" s="88"/>
      <c r="S651" s="88"/>
      <c r="T651" s="88"/>
      <c r="U651" s="88"/>
      <c r="V651" s="88"/>
      <c r="W651" s="88"/>
      <c r="X651" s="88"/>
      <c r="Y651" s="88"/>
      <c r="Z651" s="88"/>
      <c r="AA651" s="88"/>
      <c r="AB651" s="88"/>
      <c r="AC651" s="88"/>
      <c r="AD651" s="88"/>
      <c r="AE651" s="88"/>
      <c r="AF651" s="88"/>
      <c r="AG651" s="88"/>
      <c r="AH651" s="88"/>
      <c r="AI651" s="88"/>
      <c r="AJ651" s="88"/>
    </row>
    <row r="652" spans="1:36" ht="15">
      <c r="A652" s="88" t="s">
        <v>340</v>
      </c>
      <c r="B652" s="88" t="s">
        <v>608</v>
      </c>
      <c r="C652" s="88" t="s">
        <v>7</v>
      </c>
      <c r="D652" s="88" t="s">
        <v>2679</v>
      </c>
      <c r="E652" s="88" t="s">
        <v>2680</v>
      </c>
      <c r="F652" s="88"/>
      <c r="G652" s="88"/>
      <c r="H652" s="88"/>
      <c r="I652" s="88"/>
      <c r="J652" s="88"/>
      <c r="K652" s="88"/>
      <c r="L652" s="88"/>
      <c r="M652" s="88"/>
      <c r="N652" s="88"/>
      <c r="O652" s="88"/>
      <c r="P652" s="88"/>
      <c r="Q652" s="88"/>
      <c r="R652" s="88"/>
      <c r="S652" s="88"/>
      <c r="T652" s="88"/>
      <c r="U652" s="88"/>
      <c r="V652" s="88"/>
      <c r="W652" s="88"/>
      <c r="X652" s="88"/>
      <c r="Y652" s="88"/>
      <c r="Z652" s="88"/>
      <c r="AA652" s="88"/>
      <c r="AB652" s="88"/>
      <c r="AC652" s="88"/>
      <c r="AD652" s="88"/>
      <c r="AE652" s="88"/>
      <c r="AF652" s="88"/>
      <c r="AG652" s="88"/>
      <c r="AH652" s="88"/>
      <c r="AI652" s="88"/>
      <c r="AJ652" s="88"/>
    </row>
    <row r="653" spans="1:36" ht="15">
      <c r="A653" s="88" t="s">
        <v>340</v>
      </c>
      <c r="B653" s="88" t="s">
        <v>634</v>
      </c>
      <c r="C653" s="88" t="s">
        <v>7</v>
      </c>
      <c r="D653" s="88" t="s">
        <v>2681</v>
      </c>
      <c r="E653" s="88" t="s">
        <v>2682</v>
      </c>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row>
    <row r="654" spans="1:36" ht="15">
      <c r="A654" s="88" t="s">
        <v>340</v>
      </c>
      <c r="B654" s="88" t="s">
        <v>659</v>
      </c>
      <c r="C654" s="88" t="s">
        <v>7</v>
      </c>
      <c r="D654" s="88" t="s">
        <v>2683</v>
      </c>
      <c r="E654" s="88" t="s">
        <v>2684</v>
      </c>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row>
    <row r="655" spans="1:36" ht="15">
      <c r="A655" s="88" t="s">
        <v>340</v>
      </c>
      <c r="B655" s="88" t="s">
        <v>685</v>
      </c>
      <c r="C655" s="88" t="s">
        <v>7</v>
      </c>
      <c r="D655" s="88" t="s">
        <v>2685</v>
      </c>
      <c r="E655" s="88" t="s">
        <v>2686</v>
      </c>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row>
    <row r="656" spans="1:36" ht="15">
      <c r="A656" s="88" t="s">
        <v>340</v>
      </c>
      <c r="B656" s="88" t="s">
        <v>709</v>
      </c>
      <c r="C656" s="88" t="s">
        <v>7</v>
      </c>
      <c r="D656" s="88" t="s">
        <v>2687</v>
      </c>
      <c r="E656" s="88" t="s">
        <v>2688</v>
      </c>
      <c r="F656" s="88"/>
      <c r="G656" s="88"/>
      <c r="H656" s="88"/>
      <c r="I656" s="88"/>
      <c r="J656" s="88"/>
      <c r="K656" s="88"/>
      <c r="L656" s="88"/>
      <c r="M656" s="88"/>
      <c r="N656" s="88"/>
      <c r="O656" s="88"/>
      <c r="P656" s="88"/>
      <c r="Q656" s="88"/>
      <c r="R656" s="88"/>
      <c r="S656" s="88"/>
      <c r="T656" s="88"/>
      <c r="U656" s="88"/>
      <c r="V656" s="88"/>
      <c r="W656" s="88"/>
      <c r="X656" s="88"/>
      <c r="Y656" s="88"/>
      <c r="Z656" s="88"/>
      <c r="AA656" s="88"/>
      <c r="AB656" s="88"/>
      <c r="AC656" s="88"/>
      <c r="AD656" s="88"/>
      <c r="AE656" s="88"/>
      <c r="AF656" s="88"/>
      <c r="AG656" s="88"/>
      <c r="AH656" s="88"/>
      <c r="AI656" s="88"/>
      <c r="AJ656" s="88"/>
    </row>
    <row r="657" spans="1:36" ht="15">
      <c r="A657" s="88" t="s">
        <v>340</v>
      </c>
      <c r="B657" s="88" t="s">
        <v>732</v>
      </c>
      <c r="C657" s="88" t="s">
        <v>7</v>
      </c>
      <c r="D657" s="88" t="s">
        <v>2689</v>
      </c>
      <c r="E657" s="88" t="s">
        <v>2690</v>
      </c>
      <c r="F657" s="88"/>
      <c r="G657" s="88"/>
      <c r="H657" s="88"/>
      <c r="I657" s="88"/>
      <c r="J657" s="88"/>
      <c r="K657" s="88"/>
      <c r="L657" s="88"/>
      <c r="M657" s="88"/>
      <c r="N657" s="88"/>
      <c r="O657" s="88"/>
      <c r="P657" s="88"/>
      <c r="Q657" s="88"/>
      <c r="R657" s="88"/>
      <c r="S657" s="88"/>
      <c r="T657" s="88"/>
      <c r="U657" s="88"/>
      <c r="V657" s="88"/>
      <c r="W657" s="88"/>
      <c r="X657" s="88"/>
      <c r="Y657" s="88"/>
      <c r="Z657" s="88"/>
      <c r="AA657" s="88"/>
      <c r="AB657" s="88"/>
      <c r="AC657" s="88"/>
      <c r="AD657" s="88"/>
      <c r="AE657" s="88"/>
      <c r="AF657" s="88"/>
      <c r="AG657" s="88"/>
      <c r="AH657" s="88"/>
      <c r="AI657" s="88"/>
      <c r="AJ657" s="88"/>
    </row>
    <row r="658" spans="1:36" ht="15">
      <c r="A658" s="88" t="s">
        <v>340</v>
      </c>
      <c r="B658" s="88" t="s">
        <v>756</v>
      </c>
      <c r="C658" s="88" t="s">
        <v>7</v>
      </c>
      <c r="D658" s="88" t="s">
        <v>2691</v>
      </c>
      <c r="E658" s="88" t="s">
        <v>2692</v>
      </c>
      <c r="F658" s="88"/>
      <c r="G658" s="88"/>
      <c r="H658" s="88"/>
      <c r="I658" s="88"/>
      <c r="J658" s="88"/>
      <c r="K658" s="88"/>
      <c r="L658" s="88"/>
      <c r="M658" s="88"/>
      <c r="N658" s="88"/>
      <c r="O658" s="88"/>
      <c r="P658" s="88"/>
      <c r="Q658" s="88"/>
      <c r="R658" s="88"/>
      <c r="S658" s="88"/>
      <c r="T658" s="88"/>
      <c r="U658" s="88"/>
      <c r="V658" s="88"/>
      <c r="W658" s="88"/>
      <c r="X658" s="88"/>
      <c r="Y658" s="88"/>
      <c r="Z658" s="88"/>
      <c r="AA658" s="88"/>
      <c r="AB658" s="88"/>
      <c r="AC658" s="88"/>
      <c r="AD658" s="88"/>
      <c r="AE658" s="88"/>
      <c r="AF658" s="88"/>
      <c r="AG658" s="88"/>
      <c r="AH658" s="88"/>
      <c r="AI658" s="88"/>
      <c r="AJ658" s="88"/>
    </row>
    <row r="659" spans="1:36" ht="15">
      <c r="A659" s="88" t="s">
        <v>341</v>
      </c>
      <c r="B659" s="88" t="s">
        <v>373</v>
      </c>
      <c r="C659" s="88" t="s">
        <v>7</v>
      </c>
      <c r="D659" s="88" t="s">
        <v>2693</v>
      </c>
      <c r="E659" s="88" t="s">
        <v>2694</v>
      </c>
      <c r="F659" s="88"/>
      <c r="G659" s="88"/>
      <c r="H659" s="88"/>
      <c r="I659" s="88"/>
      <c r="J659" s="88"/>
      <c r="K659" s="88"/>
      <c r="L659" s="88"/>
      <c r="M659" s="88"/>
      <c r="N659" s="88"/>
      <c r="O659" s="88"/>
      <c r="P659" s="88"/>
      <c r="Q659" s="88"/>
      <c r="R659" s="88"/>
      <c r="S659" s="88"/>
      <c r="T659" s="88"/>
      <c r="U659" s="88"/>
      <c r="V659" s="88"/>
      <c r="W659" s="88"/>
      <c r="X659" s="88"/>
      <c r="Y659" s="88"/>
      <c r="Z659" s="88"/>
      <c r="AA659" s="88"/>
      <c r="AB659" s="88"/>
      <c r="AC659" s="88"/>
      <c r="AD659" s="88"/>
      <c r="AE659" s="88"/>
      <c r="AF659" s="88"/>
      <c r="AG659" s="88"/>
      <c r="AH659" s="88"/>
      <c r="AI659" s="88"/>
      <c r="AJ659" s="88"/>
    </row>
    <row r="660" spans="1:36" ht="15">
      <c r="A660" s="88" t="s">
        <v>341</v>
      </c>
      <c r="B660" s="88" t="s">
        <v>404</v>
      </c>
      <c r="C660" s="88" t="s">
        <v>7</v>
      </c>
      <c r="D660" s="88" t="s">
        <v>2695</v>
      </c>
      <c r="E660" s="88" t="s">
        <v>2696</v>
      </c>
      <c r="F660" s="88"/>
      <c r="G660" s="88"/>
      <c r="H660" s="88"/>
      <c r="I660" s="88"/>
      <c r="J660" s="88"/>
      <c r="K660" s="88"/>
      <c r="L660" s="88"/>
      <c r="M660" s="88"/>
      <c r="N660" s="88"/>
      <c r="O660" s="88"/>
      <c r="P660" s="88"/>
      <c r="Q660" s="88"/>
      <c r="R660" s="88"/>
      <c r="S660" s="88"/>
      <c r="T660" s="88"/>
      <c r="U660" s="88"/>
      <c r="V660" s="88"/>
      <c r="W660" s="88"/>
      <c r="X660" s="88"/>
      <c r="Y660" s="88"/>
      <c r="Z660" s="88"/>
      <c r="AA660" s="88"/>
      <c r="AB660" s="88"/>
      <c r="AC660" s="88"/>
      <c r="AD660" s="88"/>
      <c r="AE660" s="88"/>
      <c r="AF660" s="88"/>
      <c r="AG660" s="88"/>
      <c r="AH660" s="88"/>
      <c r="AI660" s="88"/>
      <c r="AJ660" s="88"/>
    </row>
    <row r="661" spans="1:36" ht="15">
      <c r="A661" s="88" t="s">
        <v>341</v>
      </c>
      <c r="B661" s="88" t="s">
        <v>434</v>
      </c>
      <c r="C661" s="88" t="s">
        <v>7</v>
      </c>
      <c r="D661" s="88" t="s">
        <v>2697</v>
      </c>
      <c r="E661" s="88" t="s">
        <v>2698</v>
      </c>
      <c r="F661" s="88"/>
      <c r="G661" s="88"/>
      <c r="H661" s="88"/>
      <c r="I661" s="88"/>
      <c r="J661" s="88"/>
      <c r="K661" s="88"/>
      <c r="L661" s="88"/>
      <c r="M661" s="88"/>
      <c r="N661" s="88"/>
      <c r="O661" s="88"/>
      <c r="P661" s="88"/>
      <c r="Q661" s="88"/>
      <c r="R661" s="88"/>
      <c r="S661" s="88"/>
      <c r="T661" s="88"/>
      <c r="U661" s="88"/>
      <c r="V661" s="88"/>
      <c r="W661" s="88"/>
      <c r="X661" s="88"/>
      <c r="Y661" s="88"/>
      <c r="Z661" s="88"/>
      <c r="AA661" s="88"/>
      <c r="AB661" s="88"/>
      <c r="AC661" s="88"/>
      <c r="AD661" s="88"/>
      <c r="AE661" s="88"/>
      <c r="AF661" s="88"/>
      <c r="AG661" s="88"/>
      <c r="AH661" s="88"/>
      <c r="AI661" s="88"/>
      <c r="AJ661" s="88"/>
    </row>
    <row r="662" spans="1:36" ht="15">
      <c r="A662" s="88" t="s">
        <v>341</v>
      </c>
      <c r="B662" s="88" t="s">
        <v>465</v>
      </c>
      <c r="C662" s="88" t="s">
        <v>7</v>
      </c>
      <c r="D662" s="88" t="s">
        <v>2699</v>
      </c>
      <c r="E662" s="88" t="s">
        <v>2700</v>
      </c>
      <c r="F662" s="88"/>
      <c r="G662" s="88"/>
      <c r="H662" s="88"/>
      <c r="I662" s="88"/>
      <c r="J662" s="88"/>
      <c r="K662" s="88"/>
      <c r="L662" s="88"/>
      <c r="M662" s="88"/>
      <c r="N662" s="88"/>
      <c r="O662" s="88"/>
      <c r="P662" s="88"/>
      <c r="Q662" s="88"/>
      <c r="R662" s="88"/>
      <c r="S662" s="88"/>
      <c r="T662" s="88"/>
      <c r="U662" s="88"/>
      <c r="V662" s="88"/>
      <c r="W662" s="88"/>
      <c r="X662" s="88"/>
      <c r="Y662" s="88"/>
      <c r="Z662" s="88"/>
      <c r="AA662" s="88"/>
      <c r="AB662" s="88"/>
      <c r="AC662" s="88"/>
      <c r="AD662" s="88"/>
      <c r="AE662" s="88"/>
      <c r="AF662" s="88"/>
      <c r="AG662" s="88"/>
      <c r="AH662" s="88"/>
      <c r="AI662" s="88"/>
      <c r="AJ662" s="88"/>
    </row>
    <row r="663" spans="1:36" ht="15">
      <c r="A663" s="88" t="s">
        <v>341</v>
      </c>
      <c r="B663" s="88" t="s">
        <v>496</v>
      </c>
      <c r="C663" s="88" t="s">
        <v>7</v>
      </c>
      <c r="D663" s="88" t="s">
        <v>2701</v>
      </c>
      <c r="E663" s="88" t="s">
        <v>2702</v>
      </c>
      <c r="F663" s="88"/>
      <c r="G663" s="88"/>
      <c r="H663" s="88"/>
      <c r="I663" s="88"/>
      <c r="J663" s="88"/>
      <c r="K663" s="88"/>
      <c r="L663" s="88"/>
      <c r="M663" s="88"/>
      <c r="N663" s="88"/>
      <c r="O663" s="88"/>
      <c r="P663" s="88"/>
      <c r="Q663" s="88"/>
      <c r="R663" s="88"/>
      <c r="S663" s="88"/>
      <c r="T663" s="88"/>
      <c r="U663" s="88"/>
      <c r="V663" s="88"/>
      <c r="W663" s="88"/>
      <c r="X663" s="88"/>
      <c r="Y663" s="88"/>
      <c r="Z663" s="88"/>
      <c r="AA663" s="88"/>
      <c r="AB663" s="88"/>
      <c r="AC663" s="88"/>
      <c r="AD663" s="88"/>
      <c r="AE663" s="88"/>
      <c r="AF663" s="88"/>
      <c r="AG663" s="88"/>
      <c r="AH663" s="88"/>
      <c r="AI663" s="88"/>
      <c r="AJ663" s="88"/>
    </row>
    <row r="664" spans="1:36" ht="15">
      <c r="A664" s="88" t="s">
        <v>341</v>
      </c>
      <c r="B664" s="88" t="s">
        <v>525</v>
      </c>
      <c r="C664" s="88" t="s">
        <v>7</v>
      </c>
      <c r="D664" s="88" t="s">
        <v>2703</v>
      </c>
      <c r="E664" s="88" t="s">
        <v>2704</v>
      </c>
      <c r="F664" s="88"/>
      <c r="G664" s="88"/>
      <c r="H664" s="88"/>
      <c r="I664" s="88"/>
      <c r="J664" s="88"/>
      <c r="K664" s="88"/>
      <c r="L664" s="88"/>
      <c r="M664" s="88"/>
      <c r="N664" s="88"/>
      <c r="O664" s="88"/>
      <c r="P664" s="88"/>
      <c r="Q664" s="88"/>
      <c r="R664" s="88"/>
      <c r="S664" s="88"/>
      <c r="T664" s="88"/>
      <c r="U664" s="88"/>
      <c r="V664" s="88"/>
      <c r="W664" s="88"/>
      <c r="X664" s="88"/>
      <c r="Y664" s="88"/>
      <c r="Z664" s="88"/>
      <c r="AA664" s="88"/>
      <c r="AB664" s="88"/>
      <c r="AC664" s="88"/>
      <c r="AD664" s="88"/>
      <c r="AE664" s="88"/>
      <c r="AF664" s="88"/>
      <c r="AG664" s="88"/>
      <c r="AH664" s="88"/>
      <c r="AI664" s="88"/>
      <c r="AJ664" s="88"/>
    </row>
    <row r="665" spans="1:36" ht="15">
      <c r="A665" s="88" t="s">
        <v>341</v>
      </c>
      <c r="B665" s="88" t="s">
        <v>555</v>
      </c>
      <c r="C665" s="88" t="s">
        <v>7</v>
      </c>
      <c r="D665" s="88" t="s">
        <v>2705</v>
      </c>
      <c r="E665" s="88" t="s">
        <v>2706</v>
      </c>
      <c r="F665" s="88"/>
      <c r="G665" s="88"/>
      <c r="H665" s="88"/>
      <c r="I665" s="88"/>
      <c r="J665" s="88"/>
      <c r="K665" s="88"/>
      <c r="L665" s="88"/>
      <c r="M665" s="88"/>
      <c r="N665" s="88"/>
      <c r="O665" s="88"/>
      <c r="P665" s="88"/>
      <c r="Q665" s="88"/>
      <c r="R665" s="88"/>
      <c r="S665" s="88"/>
      <c r="T665" s="88"/>
      <c r="U665" s="88"/>
      <c r="V665" s="88"/>
      <c r="W665" s="88"/>
      <c r="X665" s="88"/>
      <c r="Y665" s="88"/>
      <c r="Z665" s="88"/>
      <c r="AA665" s="88"/>
      <c r="AB665" s="88"/>
      <c r="AC665" s="88"/>
      <c r="AD665" s="88"/>
      <c r="AE665" s="88"/>
      <c r="AF665" s="88"/>
      <c r="AG665" s="88"/>
      <c r="AH665" s="88"/>
      <c r="AI665" s="88"/>
      <c r="AJ665" s="88"/>
    </row>
    <row r="666" spans="1:36" ht="15">
      <c r="A666" s="88" t="s">
        <v>341</v>
      </c>
      <c r="B666" s="88" t="s">
        <v>582</v>
      </c>
      <c r="C666" s="88" t="s">
        <v>7</v>
      </c>
      <c r="D666" s="88" t="s">
        <v>2707</v>
      </c>
      <c r="E666" s="88" t="s">
        <v>2708</v>
      </c>
      <c r="F666" s="88"/>
      <c r="G666" s="88"/>
      <c r="H666" s="88"/>
      <c r="I666" s="88"/>
      <c r="J666" s="88"/>
      <c r="K666" s="88"/>
      <c r="L666" s="88"/>
      <c r="M666" s="88"/>
      <c r="N666" s="88"/>
      <c r="O666" s="88"/>
      <c r="P666" s="88"/>
      <c r="Q666" s="88"/>
      <c r="R666" s="88"/>
      <c r="S666" s="88"/>
      <c r="T666" s="88"/>
      <c r="U666" s="88"/>
      <c r="V666" s="88"/>
      <c r="W666" s="88"/>
      <c r="X666" s="88"/>
      <c r="Y666" s="88"/>
      <c r="Z666" s="88"/>
      <c r="AA666" s="88"/>
      <c r="AB666" s="88"/>
      <c r="AC666" s="88"/>
      <c r="AD666" s="88"/>
      <c r="AE666" s="88"/>
      <c r="AF666" s="88"/>
      <c r="AG666" s="88"/>
      <c r="AH666" s="88"/>
      <c r="AI666" s="88"/>
      <c r="AJ666" s="88"/>
    </row>
    <row r="667" spans="1:36" ht="15">
      <c r="A667" s="88" t="s">
        <v>341</v>
      </c>
      <c r="B667" s="88" t="s">
        <v>609</v>
      </c>
      <c r="C667" s="88" t="s">
        <v>7</v>
      </c>
      <c r="D667" s="88" t="s">
        <v>2709</v>
      </c>
      <c r="E667" s="88" t="s">
        <v>2710</v>
      </c>
      <c r="F667" s="88"/>
      <c r="G667" s="88"/>
      <c r="H667" s="88"/>
      <c r="I667" s="88"/>
      <c r="J667" s="88"/>
      <c r="K667" s="88"/>
      <c r="L667" s="88"/>
      <c r="M667" s="88"/>
      <c r="N667" s="88"/>
      <c r="O667" s="88"/>
      <c r="P667" s="88"/>
      <c r="Q667" s="88"/>
      <c r="R667" s="88"/>
      <c r="S667" s="88"/>
      <c r="T667" s="88"/>
      <c r="U667" s="88"/>
      <c r="V667" s="88"/>
      <c r="W667" s="88"/>
      <c r="X667" s="88"/>
      <c r="Y667" s="88"/>
      <c r="Z667" s="88"/>
      <c r="AA667" s="88"/>
      <c r="AB667" s="88"/>
      <c r="AC667" s="88"/>
      <c r="AD667" s="88"/>
      <c r="AE667" s="88"/>
      <c r="AF667" s="88"/>
      <c r="AG667" s="88"/>
      <c r="AH667" s="88"/>
      <c r="AI667" s="88"/>
      <c r="AJ667" s="88"/>
    </row>
    <row r="668" spans="1:36" ht="15">
      <c r="A668" s="88" t="s">
        <v>341</v>
      </c>
      <c r="B668" s="88" t="s">
        <v>635</v>
      </c>
      <c r="C668" s="88" t="s">
        <v>7</v>
      </c>
      <c r="D668" s="88" t="s">
        <v>2711</v>
      </c>
      <c r="E668" s="88" t="s">
        <v>2712</v>
      </c>
      <c r="F668" s="88"/>
      <c r="G668" s="88"/>
      <c r="H668" s="88"/>
      <c r="I668" s="88"/>
      <c r="J668" s="88"/>
      <c r="K668" s="88"/>
      <c r="L668" s="88"/>
      <c r="M668" s="88"/>
      <c r="N668" s="88"/>
      <c r="O668" s="88"/>
      <c r="P668" s="88"/>
      <c r="Q668" s="88"/>
      <c r="R668" s="88"/>
      <c r="S668" s="88"/>
      <c r="T668" s="88"/>
      <c r="U668" s="88"/>
      <c r="V668" s="88"/>
      <c r="W668" s="88"/>
      <c r="X668" s="88"/>
      <c r="Y668" s="88"/>
      <c r="Z668" s="88"/>
      <c r="AA668" s="88"/>
      <c r="AB668" s="88"/>
      <c r="AC668" s="88"/>
      <c r="AD668" s="88"/>
      <c r="AE668" s="88"/>
      <c r="AF668" s="88"/>
      <c r="AG668" s="88"/>
      <c r="AH668" s="88"/>
      <c r="AI668" s="88"/>
      <c r="AJ668" s="88"/>
    </row>
    <row r="669" spans="1:36" ht="15">
      <c r="A669" s="88" t="s">
        <v>341</v>
      </c>
      <c r="B669" s="88" t="s">
        <v>660</v>
      </c>
      <c r="C669" s="88" t="s">
        <v>7</v>
      </c>
      <c r="D669" s="88" t="s">
        <v>2713</v>
      </c>
      <c r="E669" s="88" t="s">
        <v>2714</v>
      </c>
      <c r="F669" s="88"/>
      <c r="G669" s="88"/>
      <c r="H669" s="88"/>
      <c r="I669" s="88"/>
      <c r="J669" s="88"/>
      <c r="K669" s="88"/>
      <c r="L669" s="88"/>
      <c r="M669" s="88"/>
      <c r="N669" s="88"/>
      <c r="O669" s="88"/>
      <c r="P669" s="88"/>
      <c r="Q669" s="88"/>
      <c r="R669" s="88"/>
      <c r="S669" s="88"/>
      <c r="T669" s="88"/>
      <c r="U669" s="88"/>
      <c r="V669" s="88"/>
      <c r="W669" s="88"/>
      <c r="X669" s="88"/>
      <c r="Y669" s="88"/>
      <c r="Z669" s="88"/>
      <c r="AA669" s="88"/>
      <c r="AB669" s="88"/>
      <c r="AC669" s="88"/>
      <c r="AD669" s="88"/>
      <c r="AE669" s="88"/>
      <c r="AF669" s="88"/>
      <c r="AG669" s="88"/>
      <c r="AH669" s="88"/>
      <c r="AI669" s="88"/>
      <c r="AJ669" s="88"/>
    </row>
    <row r="670" spans="1:36" ht="15">
      <c r="A670" s="88" t="s">
        <v>341</v>
      </c>
      <c r="B670" s="88" t="s">
        <v>686</v>
      </c>
      <c r="C670" s="88" t="s">
        <v>7</v>
      </c>
      <c r="D670" s="88" t="s">
        <v>2715</v>
      </c>
      <c r="E670" s="88" t="s">
        <v>2716</v>
      </c>
      <c r="F670" s="88"/>
      <c r="G670" s="88"/>
      <c r="H670" s="88"/>
      <c r="I670" s="88"/>
      <c r="J670" s="88"/>
      <c r="K670" s="88"/>
      <c r="L670" s="88"/>
      <c r="M670" s="88"/>
      <c r="N670" s="88"/>
      <c r="O670" s="88"/>
      <c r="P670" s="88"/>
      <c r="Q670" s="88"/>
      <c r="R670" s="88"/>
      <c r="S670" s="88"/>
      <c r="T670" s="88"/>
      <c r="U670" s="88"/>
      <c r="V670" s="88"/>
      <c r="W670" s="88"/>
      <c r="X670" s="88"/>
      <c r="Y670" s="88"/>
      <c r="Z670" s="88"/>
      <c r="AA670" s="88"/>
      <c r="AB670" s="88"/>
      <c r="AC670" s="88"/>
      <c r="AD670" s="88"/>
      <c r="AE670" s="88"/>
      <c r="AF670" s="88"/>
      <c r="AG670" s="88"/>
      <c r="AH670" s="88"/>
      <c r="AI670" s="88"/>
      <c r="AJ670" s="88"/>
    </row>
    <row r="671" spans="1:36" ht="15">
      <c r="A671" s="88" t="s">
        <v>341</v>
      </c>
      <c r="B671" s="88" t="s">
        <v>710</v>
      </c>
      <c r="C671" s="88" t="s">
        <v>7</v>
      </c>
      <c r="D671" s="88" t="s">
        <v>2717</v>
      </c>
      <c r="E671" s="88" t="s">
        <v>2718</v>
      </c>
      <c r="F671" s="88"/>
      <c r="G671" s="88"/>
      <c r="H671" s="88"/>
      <c r="I671" s="88"/>
      <c r="J671" s="88"/>
      <c r="K671" s="88"/>
      <c r="L671" s="88"/>
      <c r="M671" s="88"/>
      <c r="N671" s="88"/>
      <c r="O671" s="88"/>
      <c r="P671" s="88"/>
      <c r="Q671" s="88"/>
      <c r="R671" s="88"/>
      <c r="S671" s="88"/>
      <c r="T671" s="88"/>
      <c r="U671" s="88"/>
      <c r="V671" s="88"/>
      <c r="W671" s="88"/>
      <c r="X671" s="88"/>
      <c r="Y671" s="88"/>
      <c r="Z671" s="88"/>
      <c r="AA671" s="88"/>
      <c r="AB671" s="88"/>
      <c r="AC671" s="88"/>
      <c r="AD671" s="88"/>
      <c r="AE671" s="88"/>
      <c r="AF671" s="88"/>
      <c r="AG671" s="88"/>
      <c r="AH671" s="88"/>
      <c r="AI671" s="88"/>
      <c r="AJ671" s="88"/>
    </row>
    <row r="672" spans="1:36" ht="15">
      <c r="A672" s="88" t="s">
        <v>341</v>
      </c>
      <c r="B672" s="88" t="s">
        <v>733</v>
      </c>
      <c r="C672" s="88" t="s">
        <v>7</v>
      </c>
      <c r="D672" s="88" t="s">
        <v>2719</v>
      </c>
      <c r="E672" s="88" t="s">
        <v>2720</v>
      </c>
      <c r="F672" s="88"/>
      <c r="G672" s="88"/>
      <c r="H672" s="88"/>
      <c r="I672" s="88"/>
      <c r="J672" s="88"/>
      <c r="K672" s="88"/>
      <c r="L672" s="88"/>
      <c r="M672" s="88"/>
      <c r="N672" s="88"/>
      <c r="O672" s="88"/>
      <c r="P672" s="88"/>
      <c r="Q672" s="88"/>
      <c r="R672" s="88"/>
      <c r="S672" s="88"/>
      <c r="T672" s="88"/>
      <c r="U672" s="88"/>
      <c r="V672" s="88"/>
      <c r="W672" s="88"/>
      <c r="X672" s="88"/>
      <c r="Y672" s="88"/>
      <c r="Z672" s="88"/>
      <c r="AA672" s="88"/>
      <c r="AB672" s="88"/>
      <c r="AC672" s="88"/>
      <c r="AD672" s="88"/>
      <c r="AE672" s="88"/>
      <c r="AF672" s="88"/>
      <c r="AG672" s="88"/>
      <c r="AH672" s="88"/>
      <c r="AI672" s="88"/>
      <c r="AJ672" s="88"/>
    </row>
    <row r="673" spans="1:36" ht="15">
      <c r="A673" s="88" t="s">
        <v>341</v>
      </c>
      <c r="B673" s="88" t="s">
        <v>757</v>
      </c>
      <c r="C673" s="88" t="s">
        <v>7</v>
      </c>
      <c r="D673" s="88" t="s">
        <v>2721</v>
      </c>
      <c r="E673" s="88" t="s">
        <v>2722</v>
      </c>
      <c r="F673" s="88"/>
      <c r="G673" s="88"/>
      <c r="H673" s="88"/>
      <c r="I673" s="88"/>
      <c r="J673" s="88"/>
      <c r="K673" s="88"/>
      <c r="L673" s="88"/>
      <c r="M673" s="88"/>
      <c r="N673" s="88"/>
      <c r="O673" s="88"/>
      <c r="P673" s="88"/>
      <c r="Q673" s="88"/>
      <c r="R673" s="88"/>
      <c r="S673" s="88"/>
      <c r="T673" s="88"/>
      <c r="U673" s="88"/>
      <c r="V673" s="88"/>
      <c r="W673" s="88"/>
      <c r="X673" s="88"/>
      <c r="Y673" s="88"/>
      <c r="Z673" s="88"/>
      <c r="AA673" s="88"/>
      <c r="AB673" s="88"/>
      <c r="AC673" s="88"/>
      <c r="AD673" s="88"/>
      <c r="AE673" s="88"/>
      <c r="AF673" s="88"/>
      <c r="AG673" s="88"/>
      <c r="AH673" s="88"/>
      <c r="AI673" s="88"/>
      <c r="AJ673" s="88"/>
    </row>
    <row r="674" spans="1:36" ht="15">
      <c r="A674" s="88" t="s">
        <v>341</v>
      </c>
      <c r="B674" s="88" t="s">
        <v>779</v>
      </c>
      <c r="C674" s="88" t="s">
        <v>7</v>
      </c>
      <c r="D674" s="88" t="s">
        <v>2723</v>
      </c>
      <c r="E674" s="88" t="s">
        <v>2724</v>
      </c>
      <c r="F674" s="88"/>
      <c r="G674" s="88"/>
      <c r="H674" s="88"/>
      <c r="I674" s="88"/>
      <c r="J674" s="88"/>
      <c r="K674" s="88"/>
      <c r="L674" s="88"/>
      <c r="M674" s="88"/>
      <c r="N674" s="88"/>
      <c r="O674" s="88"/>
      <c r="P674" s="88"/>
      <c r="Q674" s="88"/>
      <c r="R674" s="88"/>
      <c r="S674" s="88"/>
      <c r="T674" s="88"/>
      <c r="U674" s="88"/>
      <c r="V674" s="88"/>
      <c r="W674" s="88"/>
      <c r="X674" s="88"/>
      <c r="Y674" s="88"/>
      <c r="Z674" s="88"/>
      <c r="AA674" s="88"/>
      <c r="AB674" s="88"/>
      <c r="AC674" s="88"/>
      <c r="AD674" s="88"/>
      <c r="AE674" s="88"/>
      <c r="AF674" s="88"/>
      <c r="AG674" s="88"/>
      <c r="AH674" s="88"/>
      <c r="AI674" s="88"/>
      <c r="AJ674" s="88"/>
    </row>
    <row r="675" spans="1:36" ht="15">
      <c r="A675" s="88" t="s">
        <v>341</v>
      </c>
      <c r="B675" s="88" t="s">
        <v>800</v>
      </c>
      <c r="C675" s="88" t="s">
        <v>7</v>
      </c>
      <c r="D675" s="88" t="s">
        <v>2725</v>
      </c>
      <c r="E675" s="88" t="s">
        <v>2726</v>
      </c>
      <c r="F675" s="88"/>
      <c r="G675" s="88"/>
      <c r="H675" s="88"/>
      <c r="I675" s="88"/>
      <c r="J675" s="88"/>
      <c r="K675" s="88"/>
      <c r="L675" s="88"/>
      <c r="M675" s="88"/>
      <c r="N675" s="88"/>
      <c r="O675" s="88"/>
      <c r="P675" s="88"/>
      <c r="Q675" s="88"/>
      <c r="R675" s="88"/>
      <c r="S675" s="88"/>
      <c r="T675" s="88"/>
      <c r="U675" s="88"/>
      <c r="V675" s="88"/>
      <c r="W675" s="88"/>
      <c r="X675" s="88"/>
      <c r="Y675" s="88"/>
      <c r="Z675" s="88"/>
      <c r="AA675" s="88"/>
      <c r="AB675" s="88"/>
      <c r="AC675" s="88"/>
      <c r="AD675" s="88"/>
      <c r="AE675" s="88"/>
      <c r="AF675" s="88"/>
      <c r="AG675" s="88"/>
      <c r="AH675" s="88"/>
      <c r="AI675" s="88"/>
      <c r="AJ675" s="88"/>
    </row>
    <row r="676" spans="1:36" ht="15">
      <c r="A676" s="88" t="s">
        <v>341</v>
      </c>
      <c r="B676" s="88" t="s">
        <v>822</v>
      </c>
      <c r="C676" s="88" t="s">
        <v>7</v>
      </c>
      <c r="D676" s="88" t="s">
        <v>2727</v>
      </c>
      <c r="E676" s="88" t="s">
        <v>2728</v>
      </c>
      <c r="F676" s="88"/>
      <c r="G676" s="88"/>
      <c r="H676" s="88"/>
      <c r="I676" s="88"/>
      <c r="J676" s="88"/>
      <c r="K676" s="88"/>
      <c r="L676" s="88"/>
      <c r="M676" s="88"/>
      <c r="N676" s="88"/>
      <c r="O676" s="88"/>
      <c r="P676" s="88"/>
      <c r="Q676" s="88"/>
      <c r="R676" s="88"/>
      <c r="S676" s="88"/>
      <c r="T676" s="88"/>
      <c r="U676" s="88"/>
      <c r="V676" s="88"/>
      <c r="W676" s="88"/>
      <c r="X676" s="88"/>
      <c r="Y676" s="88"/>
      <c r="Z676" s="88"/>
      <c r="AA676" s="88"/>
      <c r="AB676" s="88"/>
      <c r="AC676" s="88"/>
      <c r="AD676" s="88"/>
      <c r="AE676" s="88"/>
      <c r="AF676" s="88"/>
      <c r="AG676" s="88"/>
      <c r="AH676" s="88"/>
      <c r="AI676" s="88"/>
      <c r="AJ676" s="88"/>
    </row>
    <row r="677" spans="1:36" ht="15">
      <c r="A677" s="88" t="s">
        <v>341</v>
      </c>
      <c r="B677" s="88" t="s">
        <v>843</v>
      </c>
      <c r="C677" s="88" t="s">
        <v>7</v>
      </c>
      <c r="D677" s="88" t="s">
        <v>2729</v>
      </c>
      <c r="E677" s="88" t="s">
        <v>2730</v>
      </c>
      <c r="F677" s="88"/>
      <c r="G677" s="88"/>
      <c r="H677" s="88"/>
      <c r="I677" s="88"/>
      <c r="J677" s="88"/>
      <c r="K677" s="88"/>
      <c r="L677" s="88"/>
      <c r="M677" s="88"/>
      <c r="N677" s="88"/>
      <c r="O677" s="88"/>
      <c r="P677" s="88"/>
      <c r="Q677" s="88"/>
      <c r="R677" s="88"/>
      <c r="S677" s="88"/>
      <c r="T677" s="88"/>
      <c r="U677" s="88"/>
      <c r="V677" s="88"/>
      <c r="W677" s="88"/>
      <c r="X677" s="88"/>
      <c r="Y677" s="88"/>
      <c r="Z677" s="88"/>
      <c r="AA677" s="88"/>
      <c r="AB677" s="88"/>
      <c r="AC677" s="88"/>
      <c r="AD677" s="88"/>
      <c r="AE677" s="88"/>
      <c r="AF677" s="88"/>
      <c r="AG677" s="88"/>
      <c r="AH677" s="88"/>
      <c r="AI677" s="88"/>
      <c r="AJ677" s="88"/>
    </row>
    <row r="678" spans="1:36" ht="15">
      <c r="A678" s="88" t="s">
        <v>341</v>
      </c>
      <c r="B678" s="88" t="s">
        <v>862</v>
      </c>
      <c r="C678" s="88" t="s">
        <v>7</v>
      </c>
      <c r="D678" s="88" t="s">
        <v>2731</v>
      </c>
      <c r="E678" s="88" t="s">
        <v>2732</v>
      </c>
      <c r="F678" s="88"/>
      <c r="G678" s="88"/>
      <c r="H678" s="88"/>
      <c r="I678" s="88"/>
      <c r="J678" s="88"/>
      <c r="K678" s="88"/>
      <c r="L678" s="88"/>
      <c r="M678" s="88"/>
      <c r="N678" s="88"/>
      <c r="O678" s="88"/>
      <c r="P678" s="88"/>
      <c r="Q678" s="88"/>
      <c r="R678" s="88"/>
      <c r="S678" s="88"/>
      <c r="T678" s="88"/>
      <c r="U678" s="88"/>
      <c r="V678" s="88"/>
      <c r="W678" s="88"/>
      <c r="X678" s="88"/>
      <c r="Y678" s="88"/>
      <c r="Z678" s="88"/>
      <c r="AA678" s="88"/>
      <c r="AB678" s="88"/>
      <c r="AC678" s="88"/>
      <c r="AD678" s="88"/>
      <c r="AE678" s="88"/>
      <c r="AF678" s="88"/>
      <c r="AG678" s="88"/>
      <c r="AH678" s="88"/>
      <c r="AI678" s="88"/>
      <c r="AJ678" s="88"/>
    </row>
    <row r="679" spans="1:36" ht="15">
      <c r="A679" s="88" t="s">
        <v>341</v>
      </c>
      <c r="B679" s="88" t="s">
        <v>883</v>
      </c>
      <c r="C679" s="88" t="s">
        <v>7</v>
      </c>
      <c r="D679" s="88" t="s">
        <v>2733</v>
      </c>
      <c r="E679" s="88" t="s">
        <v>2734</v>
      </c>
      <c r="F679" s="88"/>
      <c r="G679" s="88"/>
      <c r="H679" s="88"/>
      <c r="I679" s="88"/>
      <c r="J679" s="88"/>
      <c r="K679" s="88"/>
      <c r="L679" s="88"/>
      <c r="M679" s="88"/>
      <c r="N679" s="88"/>
      <c r="O679" s="88"/>
      <c r="P679" s="88"/>
      <c r="Q679" s="88"/>
      <c r="R679" s="88"/>
      <c r="S679" s="88"/>
      <c r="T679" s="88"/>
      <c r="U679" s="88"/>
      <c r="V679" s="88"/>
      <c r="W679" s="88"/>
      <c r="X679" s="88"/>
      <c r="Y679" s="88"/>
      <c r="Z679" s="88"/>
      <c r="AA679" s="88"/>
      <c r="AB679" s="88"/>
      <c r="AC679" s="88"/>
      <c r="AD679" s="88"/>
      <c r="AE679" s="88"/>
      <c r="AF679" s="88"/>
      <c r="AG679" s="88"/>
      <c r="AH679" s="88"/>
      <c r="AI679" s="88"/>
      <c r="AJ679" s="88"/>
    </row>
    <row r="680" spans="1:36" ht="15">
      <c r="A680" s="88" t="s">
        <v>341</v>
      </c>
      <c r="B680" s="88" t="s">
        <v>876</v>
      </c>
      <c r="C680" s="88" t="s">
        <v>7</v>
      </c>
      <c r="D680" s="88" t="s">
        <v>2735</v>
      </c>
      <c r="E680" s="88" t="s">
        <v>2736</v>
      </c>
      <c r="F680" s="88"/>
      <c r="G680" s="88"/>
      <c r="H680" s="88"/>
      <c r="I680" s="88"/>
      <c r="J680" s="88"/>
      <c r="K680" s="88"/>
      <c r="L680" s="88"/>
      <c r="M680" s="88"/>
      <c r="N680" s="88"/>
      <c r="O680" s="88"/>
      <c r="P680" s="88"/>
      <c r="Q680" s="88"/>
      <c r="R680" s="88"/>
      <c r="S680" s="88"/>
      <c r="T680" s="88"/>
      <c r="U680" s="88"/>
      <c r="V680" s="88"/>
      <c r="W680" s="88"/>
      <c r="X680" s="88"/>
      <c r="Y680" s="88"/>
      <c r="Z680" s="88"/>
      <c r="AA680" s="88"/>
      <c r="AB680" s="88"/>
      <c r="AC680" s="88"/>
      <c r="AD680" s="88"/>
      <c r="AE680" s="88"/>
      <c r="AF680" s="88"/>
      <c r="AG680" s="88"/>
      <c r="AH680" s="88"/>
      <c r="AI680" s="88"/>
      <c r="AJ680" s="88"/>
    </row>
    <row r="681" spans="1:36" ht="15">
      <c r="A681" s="88" t="s">
        <v>341</v>
      </c>
      <c r="B681" s="88" t="s">
        <v>920</v>
      </c>
      <c r="C681" s="88" t="s">
        <v>7</v>
      </c>
      <c r="D681" s="88" t="s">
        <v>2737</v>
      </c>
      <c r="E681" s="88" t="s">
        <v>2738</v>
      </c>
      <c r="F681" s="88"/>
      <c r="G681" s="88"/>
      <c r="H681" s="88"/>
      <c r="I681" s="88"/>
      <c r="J681" s="88"/>
      <c r="K681" s="88"/>
      <c r="L681" s="88"/>
      <c r="M681" s="88"/>
      <c r="N681" s="88"/>
      <c r="O681" s="88"/>
      <c r="P681" s="88"/>
      <c r="Q681" s="88"/>
      <c r="R681" s="88"/>
      <c r="S681" s="88"/>
      <c r="T681" s="88"/>
      <c r="U681" s="88"/>
      <c r="V681" s="88"/>
      <c r="W681" s="88"/>
      <c r="X681" s="88"/>
      <c r="Y681" s="88"/>
      <c r="Z681" s="88"/>
      <c r="AA681" s="88"/>
      <c r="AB681" s="88"/>
      <c r="AC681" s="88"/>
      <c r="AD681" s="88"/>
      <c r="AE681" s="88"/>
      <c r="AF681" s="88"/>
      <c r="AG681" s="88"/>
      <c r="AH681" s="88"/>
      <c r="AI681" s="88"/>
      <c r="AJ681" s="88"/>
    </row>
    <row r="682" spans="1:36" ht="15">
      <c r="A682" s="88" t="s">
        <v>341</v>
      </c>
      <c r="B682" s="88" t="s">
        <v>938</v>
      </c>
      <c r="C682" s="88" t="s">
        <v>7</v>
      </c>
      <c r="D682" s="88" t="s">
        <v>2739</v>
      </c>
      <c r="E682" s="88" t="s">
        <v>2740</v>
      </c>
      <c r="F682" s="88"/>
      <c r="G682" s="88"/>
      <c r="H682" s="88"/>
      <c r="I682" s="88"/>
      <c r="J682" s="88"/>
      <c r="K682" s="88"/>
      <c r="L682" s="88"/>
      <c r="M682" s="88"/>
      <c r="N682" s="88"/>
      <c r="O682" s="88"/>
      <c r="P682" s="88"/>
      <c r="Q682" s="88"/>
      <c r="R682" s="88"/>
      <c r="S682" s="88"/>
      <c r="T682" s="88"/>
      <c r="U682" s="88"/>
      <c r="V682" s="88"/>
      <c r="W682" s="88"/>
      <c r="X682" s="88"/>
      <c r="Y682" s="88"/>
      <c r="Z682" s="88"/>
      <c r="AA682" s="88"/>
      <c r="AB682" s="88"/>
      <c r="AC682" s="88"/>
      <c r="AD682" s="88"/>
      <c r="AE682" s="88"/>
      <c r="AF682" s="88"/>
      <c r="AG682" s="88"/>
      <c r="AH682" s="88"/>
      <c r="AI682" s="88"/>
      <c r="AJ682" s="88"/>
    </row>
    <row r="683" spans="1:36" ht="15">
      <c r="A683" s="88" t="s">
        <v>341</v>
      </c>
      <c r="B683" s="88" t="s">
        <v>956</v>
      </c>
      <c r="C683" s="88" t="s">
        <v>7</v>
      </c>
      <c r="D683" s="88" t="s">
        <v>2741</v>
      </c>
      <c r="E683" s="88" t="s">
        <v>2742</v>
      </c>
      <c r="F683" s="88"/>
      <c r="G683" s="88"/>
      <c r="H683" s="88"/>
      <c r="I683" s="88"/>
      <c r="J683" s="88"/>
      <c r="K683" s="88"/>
      <c r="L683" s="88"/>
      <c r="M683" s="88"/>
      <c r="N683" s="88"/>
      <c r="O683" s="88"/>
      <c r="P683" s="88"/>
      <c r="Q683" s="88"/>
      <c r="R683" s="88"/>
      <c r="S683" s="88"/>
      <c r="T683" s="88"/>
      <c r="U683" s="88"/>
      <c r="V683" s="88"/>
      <c r="W683" s="88"/>
      <c r="X683" s="88"/>
      <c r="Y683" s="88"/>
      <c r="Z683" s="88"/>
      <c r="AA683" s="88"/>
      <c r="AB683" s="88"/>
      <c r="AC683" s="88"/>
      <c r="AD683" s="88"/>
      <c r="AE683" s="88"/>
      <c r="AF683" s="88"/>
      <c r="AG683" s="88"/>
      <c r="AH683" s="88"/>
      <c r="AI683" s="88"/>
      <c r="AJ683" s="88"/>
    </row>
    <row r="684" spans="1:36" ht="15">
      <c r="A684" s="88" t="s">
        <v>341</v>
      </c>
      <c r="B684" s="88" t="s">
        <v>972</v>
      </c>
      <c r="C684" s="88" t="s">
        <v>7</v>
      </c>
      <c r="D684" s="88" t="s">
        <v>2743</v>
      </c>
      <c r="E684" s="88" t="s">
        <v>2744</v>
      </c>
      <c r="F684" s="88"/>
      <c r="G684" s="88"/>
      <c r="H684" s="88"/>
      <c r="I684" s="88"/>
      <c r="J684" s="88"/>
      <c r="K684" s="88"/>
      <c r="L684" s="88"/>
      <c r="M684" s="88"/>
      <c r="N684" s="88"/>
      <c r="O684" s="88"/>
      <c r="P684" s="88"/>
      <c r="Q684" s="88"/>
      <c r="R684" s="88"/>
      <c r="S684" s="88"/>
      <c r="T684" s="88"/>
      <c r="U684" s="88"/>
      <c r="V684" s="88"/>
      <c r="W684" s="88"/>
      <c r="X684" s="88"/>
      <c r="Y684" s="88"/>
      <c r="Z684" s="88"/>
      <c r="AA684" s="88"/>
      <c r="AB684" s="88"/>
      <c r="AC684" s="88"/>
      <c r="AD684" s="88"/>
      <c r="AE684" s="88"/>
      <c r="AF684" s="88"/>
      <c r="AG684" s="88"/>
      <c r="AH684" s="88"/>
      <c r="AI684" s="88"/>
      <c r="AJ684" s="88"/>
    </row>
    <row r="685" spans="1:36" ht="15">
      <c r="A685" s="88" t="s">
        <v>341</v>
      </c>
      <c r="B685" s="88" t="s">
        <v>991</v>
      </c>
      <c r="C685" s="88" t="s">
        <v>7</v>
      </c>
      <c r="D685" s="88" t="s">
        <v>2745</v>
      </c>
      <c r="E685" s="88" t="s">
        <v>2746</v>
      </c>
      <c r="F685" s="88"/>
      <c r="G685" s="88"/>
      <c r="H685" s="88"/>
      <c r="I685" s="88"/>
      <c r="J685" s="88"/>
      <c r="K685" s="88"/>
      <c r="L685" s="88"/>
      <c r="M685" s="88"/>
      <c r="N685" s="88"/>
      <c r="O685" s="88"/>
      <c r="P685" s="88"/>
      <c r="Q685" s="88"/>
      <c r="R685" s="88"/>
      <c r="S685" s="88"/>
      <c r="T685" s="88"/>
      <c r="U685" s="88"/>
      <c r="V685" s="88"/>
      <c r="W685" s="88"/>
      <c r="X685" s="88"/>
      <c r="Y685" s="88"/>
      <c r="Z685" s="88"/>
      <c r="AA685" s="88"/>
      <c r="AB685" s="88"/>
      <c r="AC685" s="88"/>
      <c r="AD685" s="88"/>
      <c r="AE685" s="88"/>
      <c r="AF685" s="88"/>
      <c r="AG685" s="88"/>
      <c r="AH685" s="88"/>
      <c r="AI685" s="88"/>
      <c r="AJ685" s="88"/>
    </row>
    <row r="686" spans="1:36" ht="15">
      <c r="A686" s="88" t="s">
        <v>341</v>
      </c>
      <c r="B686" s="88" t="s">
        <v>1008</v>
      </c>
      <c r="C686" s="88" t="s">
        <v>7</v>
      </c>
      <c r="D686" s="88" t="s">
        <v>2747</v>
      </c>
      <c r="E686" s="88" t="s">
        <v>2748</v>
      </c>
      <c r="F686" s="88"/>
      <c r="G686" s="88"/>
      <c r="H686" s="88"/>
      <c r="I686" s="88"/>
      <c r="J686" s="88"/>
      <c r="K686" s="88"/>
      <c r="L686" s="88"/>
      <c r="M686" s="88"/>
      <c r="N686" s="88"/>
      <c r="O686" s="88"/>
      <c r="P686" s="88"/>
      <c r="Q686" s="88"/>
      <c r="R686" s="88"/>
      <c r="S686" s="88"/>
      <c r="T686" s="88"/>
      <c r="U686" s="88"/>
      <c r="V686" s="88"/>
      <c r="W686" s="88"/>
      <c r="X686" s="88"/>
      <c r="Y686" s="88"/>
      <c r="Z686" s="88"/>
      <c r="AA686" s="88"/>
      <c r="AB686" s="88"/>
      <c r="AC686" s="88"/>
      <c r="AD686" s="88"/>
      <c r="AE686" s="88"/>
      <c r="AF686" s="88"/>
      <c r="AG686" s="88"/>
      <c r="AH686" s="88"/>
      <c r="AI686" s="88"/>
      <c r="AJ686" s="88"/>
    </row>
    <row r="687" spans="1:36" ht="15">
      <c r="A687" s="88" t="s">
        <v>341</v>
      </c>
      <c r="B687" s="88" t="s">
        <v>1022</v>
      </c>
      <c r="C687" s="88" t="s">
        <v>7</v>
      </c>
      <c r="D687" s="88" t="s">
        <v>2749</v>
      </c>
      <c r="E687" s="88" t="s">
        <v>2750</v>
      </c>
      <c r="F687" s="88"/>
      <c r="G687" s="88"/>
      <c r="H687" s="88"/>
      <c r="I687" s="88"/>
      <c r="J687" s="88"/>
      <c r="K687" s="88"/>
      <c r="L687" s="88"/>
      <c r="M687" s="88"/>
      <c r="N687" s="88"/>
      <c r="O687" s="88"/>
      <c r="P687" s="88"/>
      <c r="Q687" s="88"/>
      <c r="R687" s="88"/>
      <c r="S687" s="88"/>
      <c r="T687" s="88"/>
      <c r="U687" s="88"/>
      <c r="V687" s="88"/>
      <c r="W687" s="88"/>
      <c r="X687" s="88"/>
      <c r="Y687" s="88"/>
      <c r="Z687" s="88"/>
      <c r="AA687" s="88"/>
      <c r="AB687" s="88"/>
      <c r="AC687" s="88"/>
      <c r="AD687" s="88"/>
      <c r="AE687" s="88"/>
      <c r="AF687" s="88"/>
      <c r="AG687" s="88"/>
      <c r="AH687" s="88"/>
      <c r="AI687" s="88"/>
      <c r="AJ687" s="88"/>
    </row>
    <row r="688" spans="1:36" ht="15">
      <c r="A688" s="88" t="s">
        <v>341</v>
      </c>
      <c r="B688" s="88" t="s">
        <v>1038</v>
      </c>
      <c r="C688" s="88" t="s">
        <v>7</v>
      </c>
      <c r="D688" s="88" t="s">
        <v>2751</v>
      </c>
      <c r="E688" s="88" t="s">
        <v>2752</v>
      </c>
      <c r="F688" s="88"/>
      <c r="G688" s="88"/>
      <c r="H688" s="88"/>
      <c r="I688" s="88"/>
      <c r="J688" s="88"/>
      <c r="K688" s="88"/>
      <c r="L688" s="88"/>
      <c r="M688" s="88"/>
      <c r="N688" s="88"/>
      <c r="O688" s="88"/>
      <c r="P688" s="88"/>
      <c r="Q688" s="88"/>
      <c r="R688" s="88"/>
      <c r="S688" s="88"/>
      <c r="T688" s="88"/>
      <c r="U688" s="88"/>
      <c r="V688" s="88"/>
      <c r="W688" s="88"/>
      <c r="X688" s="88"/>
      <c r="Y688" s="88"/>
      <c r="Z688" s="88"/>
      <c r="AA688" s="88"/>
      <c r="AB688" s="88"/>
      <c r="AC688" s="88"/>
      <c r="AD688" s="88"/>
      <c r="AE688" s="88"/>
      <c r="AF688" s="88"/>
      <c r="AG688" s="88"/>
      <c r="AH688" s="88"/>
      <c r="AI688" s="88"/>
      <c r="AJ688" s="88"/>
    </row>
    <row r="689" spans="1:36" ht="15">
      <c r="A689" s="88" t="s">
        <v>342</v>
      </c>
      <c r="B689" s="88" t="s">
        <v>374</v>
      </c>
      <c r="C689" s="88" t="s">
        <v>7</v>
      </c>
      <c r="D689" s="88" t="s">
        <v>2753</v>
      </c>
      <c r="E689" s="88" t="s">
        <v>2754</v>
      </c>
      <c r="F689" s="88"/>
      <c r="G689" s="88"/>
      <c r="H689" s="88"/>
      <c r="I689" s="88"/>
      <c r="J689" s="88"/>
      <c r="K689" s="88"/>
      <c r="L689" s="88"/>
      <c r="M689" s="88"/>
      <c r="N689" s="88"/>
      <c r="O689" s="88"/>
      <c r="P689" s="88"/>
      <c r="Q689" s="88"/>
      <c r="R689" s="88"/>
      <c r="S689" s="88"/>
      <c r="T689" s="88"/>
      <c r="U689" s="88"/>
      <c r="V689" s="88"/>
      <c r="W689" s="88"/>
      <c r="X689" s="88"/>
      <c r="Y689" s="88"/>
      <c r="Z689" s="88"/>
      <c r="AA689" s="88"/>
      <c r="AB689" s="88"/>
      <c r="AC689" s="88"/>
      <c r="AD689" s="88"/>
      <c r="AE689" s="88"/>
      <c r="AF689" s="88"/>
      <c r="AG689" s="88"/>
      <c r="AH689" s="88"/>
      <c r="AI689" s="88"/>
      <c r="AJ689" s="88"/>
    </row>
    <row r="690" spans="1:36" ht="15">
      <c r="A690" s="88" t="s">
        <v>342</v>
      </c>
      <c r="B690" s="88" t="s">
        <v>405</v>
      </c>
      <c r="C690" s="88" t="s">
        <v>7</v>
      </c>
      <c r="D690" s="88" t="s">
        <v>2755</v>
      </c>
      <c r="E690" s="88" t="s">
        <v>2756</v>
      </c>
      <c r="F690" s="88"/>
      <c r="G690" s="88"/>
      <c r="H690" s="88"/>
      <c r="I690" s="88"/>
      <c r="J690" s="88"/>
      <c r="K690" s="88"/>
      <c r="L690" s="88"/>
      <c r="M690" s="88"/>
      <c r="N690" s="88"/>
      <c r="O690" s="88"/>
      <c r="P690" s="88"/>
      <c r="Q690" s="88"/>
      <c r="R690" s="88"/>
      <c r="S690" s="88"/>
      <c r="T690" s="88"/>
      <c r="U690" s="88"/>
      <c r="V690" s="88"/>
      <c r="W690" s="88"/>
      <c r="X690" s="88"/>
      <c r="Y690" s="88"/>
      <c r="Z690" s="88"/>
      <c r="AA690" s="88"/>
      <c r="AB690" s="88"/>
      <c r="AC690" s="88"/>
      <c r="AD690" s="88"/>
      <c r="AE690" s="88"/>
      <c r="AF690" s="88"/>
      <c r="AG690" s="88"/>
      <c r="AH690" s="88"/>
      <c r="AI690" s="88"/>
      <c r="AJ690" s="88"/>
    </row>
    <row r="691" spans="1:36" ht="15">
      <c r="A691" s="88" t="s">
        <v>342</v>
      </c>
      <c r="B691" s="88" t="s">
        <v>435</v>
      </c>
      <c r="C691" s="88" t="s">
        <v>7</v>
      </c>
      <c r="D691" s="88" t="s">
        <v>2757</v>
      </c>
      <c r="E691" s="88" t="s">
        <v>2758</v>
      </c>
      <c r="F691" s="88"/>
      <c r="G691" s="88"/>
      <c r="H691" s="88"/>
      <c r="I691" s="88"/>
      <c r="J691" s="88"/>
      <c r="K691" s="88"/>
      <c r="L691" s="88"/>
      <c r="M691" s="88"/>
      <c r="N691" s="88"/>
      <c r="O691" s="88"/>
      <c r="P691" s="88"/>
      <c r="Q691" s="88"/>
      <c r="R691" s="88"/>
      <c r="S691" s="88"/>
      <c r="T691" s="88"/>
      <c r="U691" s="88"/>
      <c r="V691" s="88"/>
      <c r="W691" s="88"/>
      <c r="X691" s="88"/>
      <c r="Y691" s="88"/>
      <c r="Z691" s="88"/>
      <c r="AA691" s="88"/>
      <c r="AB691" s="88"/>
      <c r="AC691" s="88"/>
      <c r="AD691" s="88"/>
      <c r="AE691" s="88"/>
      <c r="AF691" s="88"/>
      <c r="AG691" s="88"/>
      <c r="AH691" s="88"/>
      <c r="AI691" s="88"/>
      <c r="AJ691" s="88"/>
    </row>
    <row r="692" spans="1:36" ht="15">
      <c r="A692" s="88" t="s">
        <v>342</v>
      </c>
      <c r="B692" s="88" t="s">
        <v>466</v>
      </c>
      <c r="C692" s="88" t="s">
        <v>7</v>
      </c>
      <c r="D692" s="88" t="s">
        <v>2759</v>
      </c>
      <c r="E692" s="88" t="s">
        <v>2760</v>
      </c>
      <c r="F692" s="88"/>
      <c r="G692" s="88"/>
      <c r="H692" s="88"/>
      <c r="I692" s="88"/>
      <c r="J692" s="88"/>
      <c r="K692" s="88"/>
      <c r="L692" s="88"/>
      <c r="M692" s="88"/>
      <c r="N692" s="88"/>
      <c r="O692" s="88"/>
      <c r="P692" s="88"/>
      <c r="Q692" s="88"/>
      <c r="R692" s="88"/>
      <c r="S692" s="88"/>
      <c r="T692" s="88"/>
      <c r="U692" s="88"/>
      <c r="V692" s="88"/>
      <c r="W692" s="88"/>
      <c r="X692" s="88"/>
      <c r="Y692" s="88"/>
      <c r="Z692" s="88"/>
      <c r="AA692" s="88"/>
      <c r="AB692" s="88"/>
      <c r="AC692" s="88"/>
      <c r="AD692" s="88"/>
      <c r="AE692" s="88"/>
      <c r="AF692" s="88"/>
      <c r="AG692" s="88"/>
      <c r="AH692" s="88"/>
      <c r="AI692" s="88"/>
      <c r="AJ692" s="88"/>
    </row>
    <row r="693" spans="1:36" ht="15">
      <c r="A693" s="88" t="s">
        <v>342</v>
      </c>
      <c r="B693" s="88" t="s">
        <v>497</v>
      </c>
      <c r="C693" s="88" t="s">
        <v>7</v>
      </c>
      <c r="D693" s="88" t="s">
        <v>2761</v>
      </c>
      <c r="E693" s="88" t="s">
        <v>2762</v>
      </c>
      <c r="F693" s="88"/>
      <c r="G693" s="88"/>
      <c r="H693" s="88"/>
      <c r="I693" s="88"/>
      <c r="J693" s="88"/>
      <c r="K693" s="88"/>
      <c r="L693" s="88"/>
      <c r="M693" s="88"/>
      <c r="N693" s="88"/>
      <c r="O693" s="88"/>
      <c r="P693" s="88"/>
      <c r="Q693" s="88"/>
      <c r="R693" s="88"/>
      <c r="S693" s="88"/>
      <c r="T693" s="88"/>
      <c r="U693" s="88"/>
      <c r="V693" s="88"/>
      <c r="W693" s="88"/>
      <c r="X693" s="88"/>
      <c r="Y693" s="88"/>
      <c r="Z693" s="88"/>
      <c r="AA693" s="88"/>
      <c r="AB693" s="88"/>
      <c r="AC693" s="88"/>
      <c r="AD693" s="88"/>
      <c r="AE693" s="88"/>
      <c r="AF693" s="88"/>
      <c r="AG693" s="88"/>
      <c r="AH693" s="88"/>
      <c r="AI693" s="88"/>
      <c r="AJ693" s="88"/>
    </row>
    <row r="694" spans="1:36" ht="15">
      <c r="A694" s="88" t="s">
        <v>342</v>
      </c>
      <c r="B694" s="88" t="s">
        <v>526</v>
      </c>
      <c r="C694" s="88" t="s">
        <v>7</v>
      </c>
      <c r="D694" s="88" t="s">
        <v>2763</v>
      </c>
      <c r="E694" s="88" t="s">
        <v>2764</v>
      </c>
      <c r="F694" s="88"/>
      <c r="G694" s="88"/>
      <c r="H694" s="88"/>
      <c r="I694" s="88"/>
      <c r="J694" s="88"/>
      <c r="K694" s="88"/>
      <c r="L694" s="88"/>
      <c r="M694" s="88"/>
      <c r="N694" s="88"/>
      <c r="O694" s="88"/>
      <c r="P694" s="88"/>
      <c r="Q694" s="88"/>
      <c r="R694" s="88"/>
      <c r="S694" s="88"/>
      <c r="T694" s="88"/>
      <c r="U694" s="88"/>
      <c r="V694" s="88"/>
      <c r="W694" s="88"/>
      <c r="X694" s="88"/>
      <c r="Y694" s="88"/>
      <c r="Z694" s="88"/>
      <c r="AA694" s="88"/>
      <c r="AB694" s="88"/>
      <c r="AC694" s="88"/>
      <c r="AD694" s="88"/>
      <c r="AE694" s="88"/>
      <c r="AF694" s="88"/>
      <c r="AG694" s="88"/>
      <c r="AH694" s="88"/>
      <c r="AI694" s="88"/>
      <c r="AJ694" s="88"/>
    </row>
    <row r="695" spans="1:36" ht="15">
      <c r="A695" s="88" t="s">
        <v>342</v>
      </c>
      <c r="B695" s="88" t="s">
        <v>556</v>
      </c>
      <c r="C695" s="88" t="s">
        <v>7</v>
      </c>
      <c r="D695" s="88" t="s">
        <v>2765</v>
      </c>
      <c r="E695" s="88" t="s">
        <v>2766</v>
      </c>
      <c r="F695" s="88"/>
      <c r="G695" s="88"/>
      <c r="H695" s="88"/>
      <c r="I695" s="88"/>
      <c r="J695" s="88"/>
      <c r="K695" s="88"/>
      <c r="L695" s="88"/>
      <c r="M695" s="88"/>
      <c r="N695" s="88"/>
      <c r="O695" s="88"/>
      <c r="P695" s="88"/>
      <c r="Q695" s="88"/>
      <c r="R695" s="88"/>
      <c r="S695" s="88"/>
      <c r="T695" s="88"/>
      <c r="U695" s="88"/>
      <c r="V695" s="88"/>
      <c r="W695" s="88"/>
      <c r="X695" s="88"/>
      <c r="Y695" s="88"/>
      <c r="Z695" s="88"/>
      <c r="AA695" s="88"/>
      <c r="AB695" s="88"/>
      <c r="AC695" s="88"/>
      <c r="AD695" s="88"/>
      <c r="AE695" s="88"/>
      <c r="AF695" s="88"/>
      <c r="AG695" s="88"/>
      <c r="AH695" s="88"/>
      <c r="AI695" s="88"/>
      <c r="AJ695" s="88"/>
    </row>
    <row r="696" spans="1:36" ht="15">
      <c r="A696" s="88" t="s">
        <v>342</v>
      </c>
      <c r="B696" s="88" t="s">
        <v>583</v>
      </c>
      <c r="C696" s="88" t="s">
        <v>7</v>
      </c>
      <c r="D696" s="88" t="s">
        <v>2767</v>
      </c>
      <c r="E696" s="88" t="s">
        <v>2768</v>
      </c>
      <c r="F696" s="88"/>
      <c r="G696" s="88"/>
      <c r="H696" s="88"/>
      <c r="I696" s="88"/>
      <c r="J696" s="88"/>
      <c r="K696" s="88"/>
      <c r="L696" s="88"/>
      <c r="M696" s="88"/>
      <c r="N696" s="88"/>
      <c r="O696" s="88"/>
      <c r="P696" s="88"/>
      <c r="Q696" s="88"/>
      <c r="R696" s="88"/>
      <c r="S696" s="88"/>
      <c r="T696" s="88"/>
      <c r="U696" s="88"/>
      <c r="V696" s="88"/>
      <c r="W696" s="88"/>
      <c r="X696" s="88"/>
      <c r="Y696" s="88"/>
      <c r="Z696" s="88"/>
      <c r="AA696" s="88"/>
      <c r="AB696" s="88"/>
      <c r="AC696" s="88"/>
      <c r="AD696" s="88"/>
      <c r="AE696" s="88"/>
      <c r="AF696" s="88"/>
      <c r="AG696" s="88"/>
      <c r="AH696" s="88"/>
      <c r="AI696" s="88"/>
      <c r="AJ696" s="88"/>
    </row>
    <row r="697" spans="1:36" ht="15">
      <c r="A697" s="88" t="s">
        <v>342</v>
      </c>
      <c r="B697" s="88" t="s">
        <v>610</v>
      </c>
      <c r="C697" s="88" t="s">
        <v>7</v>
      </c>
      <c r="D697" s="88" t="s">
        <v>2769</v>
      </c>
      <c r="E697" s="88" t="s">
        <v>2770</v>
      </c>
      <c r="F697" s="88"/>
      <c r="G697" s="88"/>
      <c r="H697" s="88"/>
      <c r="I697" s="88"/>
      <c r="J697" s="88"/>
      <c r="K697" s="88"/>
      <c r="L697" s="88"/>
      <c r="M697" s="88"/>
      <c r="N697" s="88"/>
      <c r="O697" s="88"/>
      <c r="P697" s="88"/>
      <c r="Q697" s="88"/>
      <c r="R697" s="88"/>
      <c r="S697" s="88"/>
      <c r="T697" s="88"/>
      <c r="U697" s="88"/>
      <c r="V697" s="88"/>
      <c r="W697" s="88"/>
      <c r="X697" s="88"/>
      <c r="Y697" s="88"/>
      <c r="Z697" s="88"/>
      <c r="AA697" s="88"/>
      <c r="AB697" s="88"/>
      <c r="AC697" s="88"/>
      <c r="AD697" s="88"/>
      <c r="AE697" s="88"/>
      <c r="AF697" s="88"/>
      <c r="AG697" s="88"/>
      <c r="AH697" s="88"/>
      <c r="AI697" s="88"/>
      <c r="AJ697" s="88"/>
    </row>
    <row r="698" spans="1:36" ht="15">
      <c r="A698" s="88" t="s">
        <v>342</v>
      </c>
      <c r="B698" s="88" t="s">
        <v>636</v>
      </c>
      <c r="C698" s="88" t="s">
        <v>7</v>
      </c>
      <c r="D698" s="88" t="s">
        <v>2771</v>
      </c>
      <c r="E698" s="88" t="s">
        <v>2772</v>
      </c>
      <c r="F698" s="88"/>
      <c r="G698" s="88"/>
      <c r="H698" s="88"/>
      <c r="I698" s="88"/>
      <c r="J698" s="88"/>
      <c r="K698" s="88"/>
      <c r="L698" s="88"/>
      <c r="M698" s="88"/>
      <c r="N698" s="88"/>
      <c r="O698" s="88"/>
      <c r="P698" s="88"/>
      <c r="Q698" s="88"/>
      <c r="R698" s="88"/>
      <c r="S698" s="88"/>
      <c r="T698" s="88"/>
      <c r="U698" s="88"/>
      <c r="V698" s="88"/>
      <c r="W698" s="88"/>
      <c r="X698" s="88"/>
      <c r="Y698" s="88"/>
      <c r="Z698" s="88"/>
      <c r="AA698" s="88"/>
      <c r="AB698" s="88"/>
      <c r="AC698" s="88"/>
      <c r="AD698" s="88"/>
      <c r="AE698" s="88"/>
      <c r="AF698" s="88"/>
      <c r="AG698" s="88"/>
      <c r="AH698" s="88"/>
      <c r="AI698" s="88"/>
      <c r="AJ698" s="88"/>
    </row>
    <row r="699" spans="1:36" ht="15">
      <c r="A699" s="88" t="s">
        <v>342</v>
      </c>
      <c r="B699" s="88" t="s">
        <v>661</v>
      </c>
      <c r="C699" s="88" t="s">
        <v>7</v>
      </c>
      <c r="D699" s="88" t="s">
        <v>2773</v>
      </c>
      <c r="E699" s="88" t="s">
        <v>2774</v>
      </c>
      <c r="F699" s="88"/>
      <c r="G699" s="88"/>
      <c r="H699" s="88"/>
      <c r="I699" s="88"/>
      <c r="J699" s="88"/>
      <c r="K699" s="88"/>
      <c r="L699" s="88"/>
      <c r="M699" s="88"/>
      <c r="N699" s="88"/>
      <c r="O699" s="88"/>
      <c r="P699" s="88"/>
      <c r="Q699" s="88"/>
      <c r="R699" s="88"/>
      <c r="S699" s="88"/>
      <c r="T699" s="88"/>
      <c r="U699" s="88"/>
      <c r="V699" s="88"/>
      <c r="W699" s="88"/>
      <c r="X699" s="88"/>
      <c r="Y699" s="88"/>
      <c r="Z699" s="88"/>
      <c r="AA699" s="88"/>
      <c r="AB699" s="88"/>
      <c r="AC699" s="88"/>
      <c r="AD699" s="88"/>
      <c r="AE699" s="88"/>
      <c r="AF699" s="88"/>
      <c r="AG699" s="88"/>
      <c r="AH699" s="88"/>
      <c r="AI699" s="88"/>
      <c r="AJ699" s="88"/>
    </row>
    <row r="700" spans="1:36" ht="15">
      <c r="A700" s="88" t="s">
        <v>342</v>
      </c>
      <c r="B700" s="88" t="s">
        <v>687</v>
      </c>
      <c r="C700" s="88" t="s">
        <v>7</v>
      </c>
      <c r="D700" s="88" t="s">
        <v>2775</v>
      </c>
      <c r="E700" s="88" t="s">
        <v>2776</v>
      </c>
      <c r="F700" s="88"/>
      <c r="G700" s="88"/>
      <c r="H700" s="88"/>
      <c r="I700" s="88"/>
      <c r="J700" s="88"/>
      <c r="K700" s="88"/>
      <c r="L700" s="88"/>
      <c r="M700" s="88"/>
      <c r="N700" s="88"/>
      <c r="O700" s="88"/>
      <c r="P700" s="88"/>
      <c r="Q700" s="88"/>
      <c r="R700" s="88"/>
      <c r="S700" s="88"/>
      <c r="T700" s="88"/>
      <c r="U700" s="88"/>
      <c r="V700" s="88"/>
      <c r="W700" s="88"/>
      <c r="X700" s="88"/>
      <c r="Y700" s="88"/>
      <c r="Z700" s="88"/>
      <c r="AA700" s="88"/>
      <c r="AB700" s="88"/>
      <c r="AC700" s="88"/>
      <c r="AD700" s="88"/>
      <c r="AE700" s="88"/>
      <c r="AF700" s="88"/>
      <c r="AG700" s="88"/>
      <c r="AH700" s="88"/>
      <c r="AI700" s="88"/>
      <c r="AJ700" s="88"/>
    </row>
    <row r="701" spans="1:36" ht="15">
      <c r="A701" s="88" t="s">
        <v>342</v>
      </c>
      <c r="B701" s="88" t="s">
        <v>710</v>
      </c>
      <c r="C701" s="88" t="s">
        <v>7</v>
      </c>
      <c r="D701" s="88" t="s">
        <v>2777</v>
      </c>
      <c r="E701" s="88" t="s">
        <v>2778</v>
      </c>
      <c r="F701" s="88"/>
      <c r="G701" s="88"/>
      <c r="H701" s="88"/>
      <c r="I701" s="88"/>
      <c r="J701" s="88"/>
      <c r="K701" s="88"/>
      <c r="L701" s="88"/>
      <c r="M701" s="88"/>
      <c r="N701" s="88"/>
      <c r="O701" s="88"/>
      <c r="P701" s="88"/>
      <c r="Q701" s="88"/>
      <c r="R701" s="88"/>
      <c r="S701" s="88"/>
      <c r="T701" s="88"/>
      <c r="U701" s="88"/>
      <c r="V701" s="88"/>
      <c r="W701" s="88"/>
      <c r="X701" s="88"/>
      <c r="Y701" s="88"/>
      <c r="Z701" s="88"/>
      <c r="AA701" s="88"/>
      <c r="AB701" s="88"/>
      <c r="AC701" s="88"/>
      <c r="AD701" s="88"/>
      <c r="AE701" s="88"/>
      <c r="AF701" s="88"/>
      <c r="AG701" s="88"/>
      <c r="AH701" s="88"/>
      <c r="AI701" s="88"/>
      <c r="AJ701" s="88"/>
    </row>
    <row r="702" spans="1:36" ht="15">
      <c r="A702" s="88" t="s">
        <v>342</v>
      </c>
      <c r="B702" s="88" t="s">
        <v>734</v>
      </c>
      <c r="C702" s="88" t="s">
        <v>7</v>
      </c>
      <c r="D702" s="88" t="s">
        <v>2779</v>
      </c>
      <c r="E702" s="88" t="s">
        <v>2780</v>
      </c>
      <c r="F702" s="88"/>
      <c r="G702" s="88"/>
      <c r="H702" s="88"/>
      <c r="I702" s="88"/>
      <c r="J702" s="88"/>
      <c r="K702" s="88"/>
      <c r="L702" s="88"/>
      <c r="M702" s="88"/>
      <c r="N702" s="88"/>
      <c r="O702" s="88"/>
      <c r="P702" s="88"/>
      <c r="Q702" s="88"/>
      <c r="R702" s="88"/>
      <c r="S702" s="88"/>
      <c r="T702" s="88"/>
      <c r="U702" s="88"/>
      <c r="V702" s="88"/>
      <c r="W702" s="88"/>
      <c r="X702" s="88"/>
      <c r="Y702" s="88"/>
      <c r="Z702" s="88"/>
      <c r="AA702" s="88"/>
      <c r="AB702" s="88"/>
      <c r="AC702" s="88"/>
      <c r="AD702" s="88"/>
      <c r="AE702" s="88"/>
      <c r="AF702" s="88"/>
      <c r="AG702" s="88"/>
      <c r="AH702" s="88"/>
      <c r="AI702" s="88"/>
      <c r="AJ702" s="88"/>
    </row>
    <row r="703" spans="1:36" ht="15">
      <c r="A703" s="88" t="s">
        <v>342</v>
      </c>
      <c r="B703" s="88" t="s">
        <v>758</v>
      </c>
      <c r="C703" s="88" t="s">
        <v>7</v>
      </c>
      <c r="D703" s="88" t="s">
        <v>2781</v>
      </c>
      <c r="E703" s="88" t="s">
        <v>2782</v>
      </c>
      <c r="F703" s="88"/>
      <c r="G703" s="88"/>
      <c r="H703" s="88"/>
      <c r="I703" s="88"/>
      <c r="J703" s="88"/>
      <c r="K703" s="88"/>
      <c r="L703" s="88"/>
      <c r="M703" s="88"/>
      <c r="N703" s="88"/>
      <c r="O703" s="88"/>
      <c r="P703" s="88"/>
      <c r="Q703" s="88"/>
      <c r="R703" s="88"/>
      <c r="S703" s="88"/>
      <c r="T703" s="88"/>
      <c r="U703" s="88"/>
      <c r="V703" s="88"/>
      <c r="W703" s="88"/>
      <c r="X703" s="88"/>
      <c r="Y703" s="88"/>
      <c r="Z703" s="88"/>
      <c r="AA703" s="88"/>
      <c r="AB703" s="88"/>
      <c r="AC703" s="88"/>
      <c r="AD703" s="88"/>
      <c r="AE703" s="88"/>
      <c r="AF703" s="88"/>
      <c r="AG703" s="88"/>
      <c r="AH703" s="88"/>
      <c r="AI703" s="88"/>
      <c r="AJ703" s="88"/>
    </row>
    <row r="704" spans="1:36" ht="15">
      <c r="A704" s="88" t="s">
        <v>342</v>
      </c>
      <c r="B704" s="88" t="s">
        <v>780</v>
      </c>
      <c r="C704" s="88" t="s">
        <v>7</v>
      </c>
      <c r="D704" s="88" t="s">
        <v>2783</v>
      </c>
      <c r="E704" s="88" t="s">
        <v>2784</v>
      </c>
      <c r="F704" s="88"/>
      <c r="G704" s="88"/>
      <c r="H704" s="88"/>
      <c r="I704" s="88"/>
      <c r="J704" s="88"/>
      <c r="K704" s="88"/>
      <c r="L704" s="88"/>
      <c r="M704" s="88"/>
      <c r="N704" s="88"/>
      <c r="O704" s="88"/>
      <c r="P704" s="88"/>
      <c r="Q704" s="88"/>
      <c r="R704" s="88"/>
      <c r="S704" s="88"/>
      <c r="T704" s="88"/>
      <c r="U704" s="88"/>
      <c r="V704" s="88"/>
      <c r="W704" s="88"/>
      <c r="X704" s="88"/>
      <c r="Y704" s="88"/>
      <c r="Z704" s="88"/>
      <c r="AA704" s="88"/>
      <c r="AB704" s="88"/>
      <c r="AC704" s="88"/>
      <c r="AD704" s="88"/>
      <c r="AE704" s="88"/>
      <c r="AF704" s="88"/>
      <c r="AG704" s="88"/>
      <c r="AH704" s="88"/>
      <c r="AI704" s="88"/>
      <c r="AJ704" s="88"/>
    </row>
    <row r="705" spans="1:36" ht="15">
      <c r="A705" s="88" t="s">
        <v>342</v>
      </c>
      <c r="B705" s="88" t="s">
        <v>801</v>
      </c>
      <c r="C705" s="88" t="s">
        <v>7</v>
      </c>
      <c r="D705" s="88" t="s">
        <v>2785</v>
      </c>
      <c r="E705" s="88" t="s">
        <v>2786</v>
      </c>
      <c r="F705" s="88"/>
      <c r="G705" s="88"/>
      <c r="H705" s="88"/>
      <c r="I705" s="88"/>
      <c r="J705" s="88"/>
      <c r="K705" s="88"/>
      <c r="L705" s="88"/>
      <c r="M705" s="88"/>
      <c r="N705" s="88"/>
      <c r="O705" s="88"/>
      <c r="P705" s="88"/>
      <c r="Q705" s="88"/>
      <c r="R705" s="88"/>
      <c r="S705" s="88"/>
      <c r="T705" s="88"/>
      <c r="U705" s="88"/>
      <c r="V705" s="88"/>
      <c r="W705" s="88"/>
      <c r="X705" s="88"/>
      <c r="Y705" s="88"/>
      <c r="Z705" s="88"/>
      <c r="AA705" s="88"/>
      <c r="AB705" s="88"/>
      <c r="AC705" s="88"/>
      <c r="AD705" s="88"/>
      <c r="AE705" s="88"/>
      <c r="AF705" s="88"/>
      <c r="AG705" s="88"/>
      <c r="AH705" s="88"/>
      <c r="AI705" s="88"/>
      <c r="AJ705" s="88"/>
    </row>
    <row r="706" spans="1:36" ht="15">
      <c r="A706" s="88" t="s">
        <v>342</v>
      </c>
      <c r="B706" s="88" t="s">
        <v>823</v>
      </c>
      <c r="C706" s="88" t="s">
        <v>7</v>
      </c>
      <c r="D706" s="88" t="s">
        <v>2787</v>
      </c>
      <c r="E706" s="88" t="s">
        <v>2788</v>
      </c>
      <c r="F706" s="88"/>
      <c r="G706" s="88"/>
      <c r="H706" s="88"/>
      <c r="I706" s="88"/>
      <c r="J706" s="88"/>
      <c r="K706" s="88"/>
      <c r="L706" s="88"/>
      <c r="M706" s="88"/>
      <c r="N706" s="88"/>
      <c r="O706" s="88"/>
      <c r="P706" s="88"/>
      <c r="Q706" s="88"/>
      <c r="R706" s="88"/>
      <c r="S706" s="88"/>
      <c r="T706" s="88"/>
      <c r="U706" s="88"/>
      <c r="V706" s="88"/>
      <c r="W706" s="88"/>
      <c r="X706" s="88"/>
      <c r="Y706" s="88"/>
      <c r="Z706" s="88"/>
      <c r="AA706" s="88"/>
      <c r="AB706" s="88"/>
      <c r="AC706" s="88"/>
      <c r="AD706" s="88"/>
      <c r="AE706" s="88"/>
      <c r="AF706" s="88"/>
      <c r="AG706" s="88"/>
      <c r="AH706" s="88"/>
      <c r="AI706" s="88"/>
      <c r="AJ706" s="88"/>
    </row>
    <row r="707" spans="1:36" ht="15">
      <c r="A707" s="88" t="s">
        <v>342</v>
      </c>
      <c r="B707" s="88" t="s">
        <v>844</v>
      </c>
      <c r="C707" s="88" t="s">
        <v>7</v>
      </c>
      <c r="D707" s="88" t="s">
        <v>2789</v>
      </c>
      <c r="E707" s="88" t="s">
        <v>2790</v>
      </c>
      <c r="F707" s="88"/>
      <c r="G707" s="88"/>
      <c r="H707" s="88"/>
      <c r="I707" s="88"/>
      <c r="J707" s="88"/>
      <c r="K707" s="88"/>
      <c r="L707" s="88"/>
      <c r="M707" s="88"/>
      <c r="N707" s="88"/>
      <c r="O707" s="88"/>
      <c r="P707" s="88"/>
      <c r="Q707" s="88"/>
      <c r="R707" s="88"/>
      <c r="S707" s="88"/>
      <c r="T707" s="88"/>
      <c r="U707" s="88"/>
      <c r="V707" s="88"/>
      <c r="W707" s="88"/>
      <c r="X707" s="88"/>
      <c r="Y707" s="88"/>
      <c r="Z707" s="88"/>
      <c r="AA707" s="88"/>
      <c r="AB707" s="88"/>
      <c r="AC707" s="88"/>
      <c r="AD707" s="88"/>
      <c r="AE707" s="88"/>
      <c r="AF707" s="88"/>
      <c r="AG707" s="88"/>
      <c r="AH707" s="88"/>
      <c r="AI707" s="88"/>
      <c r="AJ707" s="88"/>
    </row>
    <row r="708" spans="1:36" ht="15">
      <c r="A708" s="88" t="s">
        <v>342</v>
      </c>
      <c r="B708" s="88" t="s">
        <v>863</v>
      </c>
      <c r="C708" s="88" t="s">
        <v>7</v>
      </c>
      <c r="D708" s="88" t="s">
        <v>2791</v>
      </c>
      <c r="E708" s="88" t="s">
        <v>2792</v>
      </c>
      <c r="F708" s="88"/>
      <c r="G708" s="88"/>
      <c r="H708" s="88"/>
      <c r="I708" s="88"/>
      <c r="J708" s="88"/>
      <c r="K708" s="88"/>
      <c r="L708" s="88"/>
      <c r="M708" s="88"/>
      <c r="N708" s="88"/>
      <c r="O708" s="88"/>
      <c r="P708" s="88"/>
      <c r="Q708" s="88"/>
      <c r="R708" s="88"/>
      <c r="S708" s="88"/>
      <c r="T708" s="88"/>
      <c r="U708" s="88"/>
      <c r="V708" s="88"/>
      <c r="W708" s="88"/>
      <c r="X708" s="88"/>
      <c r="Y708" s="88"/>
      <c r="Z708" s="88"/>
      <c r="AA708" s="88"/>
      <c r="AB708" s="88"/>
      <c r="AC708" s="88"/>
      <c r="AD708" s="88"/>
      <c r="AE708" s="88"/>
      <c r="AF708" s="88"/>
      <c r="AG708" s="88"/>
      <c r="AH708" s="88"/>
      <c r="AI708" s="88"/>
      <c r="AJ708" s="88"/>
    </row>
    <row r="709" spans="1:36" ht="15">
      <c r="A709" s="88" t="s">
        <v>342</v>
      </c>
      <c r="B709" s="88" t="s">
        <v>884</v>
      </c>
      <c r="C709" s="88" t="s">
        <v>7</v>
      </c>
      <c r="D709" s="88" t="s">
        <v>2793</v>
      </c>
      <c r="E709" s="88" t="s">
        <v>2794</v>
      </c>
      <c r="F709" s="88"/>
      <c r="G709" s="88"/>
      <c r="H709" s="88"/>
      <c r="I709" s="88"/>
      <c r="J709" s="88"/>
      <c r="K709" s="88"/>
      <c r="L709" s="88"/>
      <c r="M709" s="88"/>
      <c r="N709" s="88"/>
      <c r="O709" s="88"/>
      <c r="P709" s="88"/>
      <c r="Q709" s="88"/>
      <c r="R709" s="88"/>
      <c r="S709" s="88"/>
      <c r="T709" s="88"/>
      <c r="U709" s="88"/>
      <c r="V709" s="88"/>
      <c r="W709" s="88"/>
      <c r="X709" s="88"/>
      <c r="Y709" s="88"/>
      <c r="Z709" s="88"/>
      <c r="AA709" s="88"/>
      <c r="AB709" s="88"/>
      <c r="AC709" s="88"/>
      <c r="AD709" s="88"/>
      <c r="AE709" s="88"/>
      <c r="AF709" s="88"/>
      <c r="AG709" s="88"/>
      <c r="AH709" s="88"/>
      <c r="AI709" s="88"/>
      <c r="AJ709" s="88"/>
    </row>
    <row r="710" spans="1:36" ht="15">
      <c r="A710" s="88" t="s">
        <v>342</v>
      </c>
      <c r="B710" s="88" t="s">
        <v>902</v>
      </c>
      <c r="C710" s="88" t="s">
        <v>7</v>
      </c>
      <c r="D710" s="88" t="s">
        <v>2795</v>
      </c>
      <c r="E710" s="88" t="s">
        <v>2796</v>
      </c>
      <c r="F710" s="88"/>
      <c r="G710" s="88"/>
      <c r="H710" s="88"/>
      <c r="I710" s="88"/>
      <c r="J710" s="88"/>
      <c r="K710" s="88"/>
      <c r="L710" s="88"/>
      <c r="M710" s="88"/>
      <c r="N710" s="88"/>
      <c r="O710" s="88"/>
      <c r="P710" s="88"/>
      <c r="Q710" s="88"/>
      <c r="R710" s="88"/>
      <c r="S710" s="88"/>
      <c r="T710" s="88"/>
      <c r="U710" s="88"/>
      <c r="V710" s="88"/>
      <c r="W710" s="88"/>
      <c r="X710" s="88"/>
      <c r="Y710" s="88"/>
      <c r="Z710" s="88"/>
      <c r="AA710" s="88"/>
      <c r="AB710" s="88"/>
      <c r="AC710" s="88"/>
      <c r="AD710" s="88"/>
      <c r="AE710" s="88"/>
      <c r="AF710" s="88"/>
      <c r="AG710" s="88"/>
      <c r="AH710" s="88"/>
      <c r="AI710" s="88"/>
      <c r="AJ710" s="88"/>
    </row>
    <row r="711" spans="1:36" ht="15">
      <c r="A711" s="88" t="s">
        <v>342</v>
      </c>
      <c r="B711" s="88" t="s">
        <v>651</v>
      </c>
      <c r="C711" s="88" t="s">
        <v>7</v>
      </c>
      <c r="D711" s="88" t="s">
        <v>2797</v>
      </c>
      <c r="E711" s="88" t="s">
        <v>2798</v>
      </c>
      <c r="F711" s="88"/>
      <c r="G711" s="88"/>
      <c r="H711" s="88"/>
      <c r="I711" s="88"/>
      <c r="J711" s="88"/>
      <c r="K711" s="88"/>
      <c r="L711" s="88"/>
      <c r="M711" s="88"/>
      <c r="N711" s="88"/>
      <c r="O711" s="88"/>
      <c r="P711" s="88"/>
      <c r="Q711" s="88"/>
      <c r="R711" s="88"/>
      <c r="S711" s="88"/>
      <c r="T711" s="88"/>
      <c r="U711" s="88"/>
      <c r="V711" s="88"/>
      <c r="W711" s="88"/>
      <c r="X711" s="88"/>
      <c r="Y711" s="88"/>
      <c r="Z711" s="88"/>
      <c r="AA711" s="88"/>
      <c r="AB711" s="88"/>
      <c r="AC711" s="88"/>
      <c r="AD711" s="88"/>
      <c r="AE711" s="88"/>
      <c r="AF711" s="88"/>
      <c r="AG711" s="88"/>
      <c r="AH711" s="88"/>
      <c r="AI711" s="88"/>
      <c r="AJ711" s="88"/>
    </row>
    <row r="712" spans="1:36" ht="15">
      <c r="A712" s="88" t="s">
        <v>342</v>
      </c>
      <c r="B712" s="88" t="s">
        <v>939</v>
      </c>
      <c r="C712" s="88" t="s">
        <v>7</v>
      </c>
      <c r="D712" s="88" t="s">
        <v>2799</v>
      </c>
      <c r="E712" s="88" t="s">
        <v>2800</v>
      </c>
      <c r="F712" s="88"/>
      <c r="G712" s="88"/>
      <c r="H712" s="88"/>
      <c r="I712" s="88"/>
      <c r="J712" s="88"/>
      <c r="K712" s="88"/>
      <c r="L712" s="88"/>
      <c r="M712" s="88"/>
      <c r="N712" s="88"/>
      <c r="O712" s="88"/>
      <c r="P712" s="88"/>
      <c r="Q712" s="88"/>
      <c r="R712" s="88"/>
      <c r="S712" s="88"/>
      <c r="T712" s="88"/>
      <c r="U712" s="88"/>
      <c r="V712" s="88"/>
      <c r="W712" s="88"/>
      <c r="X712" s="88"/>
      <c r="Y712" s="88"/>
      <c r="Z712" s="88"/>
      <c r="AA712" s="88"/>
      <c r="AB712" s="88"/>
      <c r="AC712" s="88"/>
      <c r="AD712" s="88"/>
      <c r="AE712" s="88"/>
      <c r="AF712" s="88"/>
      <c r="AG712" s="88"/>
      <c r="AH712" s="88"/>
      <c r="AI712" s="88"/>
      <c r="AJ712" s="88"/>
    </row>
    <row r="713" spans="1:36" ht="15">
      <c r="A713" s="88" t="s">
        <v>342</v>
      </c>
      <c r="B713" s="88" t="s">
        <v>957</v>
      </c>
      <c r="C713" s="88" t="s">
        <v>7</v>
      </c>
      <c r="D713" s="88" t="s">
        <v>2801</v>
      </c>
      <c r="E713" s="88" t="s">
        <v>2802</v>
      </c>
      <c r="F713" s="88"/>
      <c r="G713" s="88"/>
      <c r="H713" s="88"/>
      <c r="I713" s="88"/>
      <c r="J713" s="88"/>
      <c r="K713" s="88"/>
      <c r="L713" s="88"/>
      <c r="M713" s="88"/>
      <c r="N713" s="88"/>
      <c r="O713" s="88"/>
      <c r="P713" s="88"/>
      <c r="Q713" s="88"/>
      <c r="R713" s="88"/>
      <c r="S713" s="88"/>
      <c r="T713" s="88"/>
      <c r="U713" s="88"/>
      <c r="V713" s="88"/>
      <c r="W713" s="88"/>
      <c r="X713" s="88"/>
      <c r="Y713" s="88"/>
      <c r="Z713" s="88"/>
      <c r="AA713" s="88"/>
      <c r="AB713" s="88"/>
      <c r="AC713" s="88"/>
      <c r="AD713" s="88"/>
      <c r="AE713" s="88"/>
      <c r="AF713" s="88"/>
      <c r="AG713" s="88"/>
      <c r="AH713" s="88"/>
      <c r="AI713" s="88"/>
      <c r="AJ713" s="88"/>
    </row>
    <row r="714" spans="1:36" ht="15">
      <c r="A714" s="88" t="s">
        <v>342</v>
      </c>
      <c r="B714" s="88" t="s">
        <v>973</v>
      </c>
      <c r="C714" s="88" t="s">
        <v>7</v>
      </c>
      <c r="D714" s="88" t="s">
        <v>2803</v>
      </c>
      <c r="E714" s="88" t="s">
        <v>2804</v>
      </c>
      <c r="F714" s="88"/>
      <c r="G714" s="88"/>
      <c r="H714" s="88"/>
      <c r="I714" s="88"/>
      <c r="J714" s="88"/>
      <c r="K714" s="88"/>
      <c r="L714" s="88"/>
      <c r="M714" s="88"/>
      <c r="N714" s="88"/>
      <c r="O714" s="88"/>
      <c r="P714" s="88"/>
      <c r="Q714" s="88"/>
      <c r="R714" s="88"/>
      <c r="S714" s="88"/>
      <c r="T714" s="88"/>
      <c r="U714" s="88"/>
      <c r="V714" s="88"/>
      <c r="W714" s="88"/>
      <c r="X714" s="88"/>
      <c r="Y714" s="88"/>
      <c r="Z714" s="88"/>
      <c r="AA714" s="88"/>
      <c r="AB714" s="88"/>
      <c r="AC714" s="88"/>
      <c r="AD714" s="88"/>
      <c r="AE714" s="88"/>
      <c r="AF714" s="88"/>
      <c r="AG714" s="88"/>
      <c r="AH714" s="88"/>
      <c r="AI714" s="88"/>
      <c r="AJ714" s="88"/>
    </row>
    <row r="715" spans="1:36" ht="15">
      <c r="A715" s="88" t="s">
        <v>342</v>
      </c>
      <c r="B715" s="88" t="s">
        <v>992</v>
      </c>
      <c r="C715" s="88" t="s">
        <v>7</v>
      </c>
      <c r="D715" s="88" t="s">
        <v>2805</v>
      </c>
      <c r="E715" s="88" t="s">
        <v>2806</v>
      </c>
      <c r="F715" s="88"/>
      <c r="G715" s="88"/>
      <c r="H715" s="88"/>
      <c r="I715" s="88"/>
      <c r="J715" s="88"/>
      <c r="K715" s="88"/>
      <c r="L715" s="88"/>
      <c r="M715" s="88"/>
      <c r="N715" s="88"/>
      <c r="O715" s="88"/>
      <c r="P715" s="88"/>
      <c r="Q715" s="88"/>
      <c r="R715" s="88"/>
      <c r="S715" s="88"/>
      <c r="T715" s="88"/>
      <c r="U715" s="88"/>
      <c r="V715" s="88"/>
      <c r="W715" s="88"/>
      <c r="X715" s="88"/>
      <c r="Y715" s="88"/>
      <c r="Z715" s="88"/>
      <c r="AA715" s="88"/>
      <c r="AB715" s="88"/>
      <c r="AC715" s="88"/>
      <c r="AD715" s="88"/>
      <c r="AE715" s="88"/>
      <c r="AF715" s="88"/>
      <c r="AG715" s="88"/>
      <c r="AH715" s="88"/>
      <c r="AI715" s="88"/>
      <c r="AJ715" s="88"/>
    </row>
    <row r="716" spans="1:36" ht="15">
      <c r="A716" s="88" t="s">
        <v>342</v>
      </c>
      <c r="B716" s="88" t="s">
        <v>934</v>
      </c>
      <c r="C716" s="88" t="s">
        <v>7</v>
      </c>
      <c r="D716" s="88" t="s">
        <v>2807</v>
      </c>
      <c r="E716" s="88" t="s">
        <v>2808</v>
      </c>
      <c r="F716" s="88"/>
      <c r="G716" s="88"/>
      <c r="H716" s="88"/>
      <c r="I716" s="88"/>
      <c r="J716" s="88"/>
      <c r="K716" s="88"/>
      <c r="L716" s="88"/>
      <c r="M716" s="88"/>
      <c r="N716" s="88"/>
      <c r="O716" s="88"/>
      <c r="P716" s="88"/>
      <c r="Q716" s="88"/>
      <c r="R716" s="88"/>
      <c r="S716" s="88"/>
      <c r="T716" s="88"/>
      <c r="U716" s="88"/>
      <c r="V716" s="88"/>
      <c r="W716" s="88"/>
      <c r="X716" s="88"/>
      <c r="Y716" s="88"/>
      <c r="Z716" s="88"/>
      <c r="AA716" s="88"/>
      <c r="AB716" s="88"/>
      <c r="AC716" s="88"/>
      <c r="AD716" s="88"/>
      <c r="AE716" s="88"/>
      <c r="AF716" s="88"/>
      <c r="AG716" s="88"/>
      <c r="AH716" s="88"/>
      <c r="AI716" s="88"/>
      <c r="AJ716" s="88"/>
    </row>
    <row r="717" spans="1:36" ht="15">
      <c r="A717" s="88" t="s">
        <v>342</v>
      </c>
      <c r="B717" s="88" t="s">
        <v>1023</v>
      </c>
      <c r="C717" s="88" t="s">
        <v>7</v>
      </c>
      <c r="D717" s="88" t="s">
        <v>2809</v>
      </c>
      <c r="E717" s="88" t="s">
        <v>2810</v>
      </c>
      <c r="F717" s="88"/>
      <c r="G717" s="88"/>
      <c r="H717" s="88"/>
      <c r="I717" s="88"/>
      <c r="J717" s="88"/>
      <c r="K717" s="88"/>
      <c r="L717" s="88"/>
      <c r="M717" s="88"/>
      <c r="N717" s="88"/>
      <c r="O717" s="88"/>
      <c r="P717" s="88"/>
      <c r="Q717" s="88"/>
      <c r="R717" s="88"/>
      <c r="S717" s="88"/>
      <c r="T717" s="88"/>
      <c r="U717" s="88"/>
      <c r="V717" s="88"/>
      <c r="W717" s="88"/>
      <c r="X717" s="88"/>
      <c r="Y717" s="88"/>
      <c r="Z717" s="88"/>
      <c r="AA717" s="88"/>
      <c r="AB717" s="88"/>
      <c r="AC717" s="88"/>
      <c r="AD717" s="88"/>
      <c r="AE717" s="88"/>
      <c r="AF717" s="88"/>
      <c r="AG717" s="88"/>
      <c r="AH717" s="88"/>
      <c r="AI717" s="88"/>
      <c r="AJ717" s="88"/>
    </row>
    <row r="718" spans="1:36" ht="15">
      <c r="A718" s="88" t="s">
        <v>343</v>
      </c>
      <c r="B718" s="88" t="s">
        <v>375</v>
      </c>
      <c r="C718" s="88" t="s">
        <v>7</v>
      </c>
      <c r="D718" s="88" t="s">
        <v>2811</v>
      </c>
      <c r="E718" s="88" t="s">
        <v>2812</v>
      </c>
      <c r="F718" s="88"/>
      <c r="G718" s="88"/>
      <c r="H718" s="88"/>
      <c r="I718" s="88"/>
      <c r="J718" s="88"/>
      <c r="K718" s="88"/>
      <c r="L718" s="88"/>
      <c r="M718" s="88"/>
      <c r="N718" s="88"/>
      <c r="O718" s="88"/>
      <c r="P718" s="88"/>
      <c r="Q718" s="88"/>
      <c r="R718" s="88"/>
      <c r="S718" s="88"/>
      <c r="T718" s="88"/>
      <c r="U718" s="88"/>
      <c r="V718" s="88"/>
      <c r="W718" s="88"/>
      <c r="X718" s="88"/>
      <c r="Y718" s="88"/>
      <c r="Z718" s="88"/>
      <c r="AA718" s="88"/>
      <c r="AB718" s="88"/>
      <c r="AC718" s="88"/>
      <c r="AD718" s="88"/>
      <c r="AE718" s="88"/>
      <c r="AF718" s="88"/>
      <c r="AG718" s="88"/>
      <c r="AH718" s="88"/>
      <c r="AI718" s="88"/>
      <c r="AJ718" s="88"/>
    </row>
    <row r="719" spans="1:36" ht="15">
      <c r="A719" s="88" t="s">
        <v>343</v>
      </c>
      <c r="B719" s="88" t="s">
        <v>400</v>
      </c>
      <c r="C719" s="88" t="s">
        <v>7</v>
      </c>
      <c r="D719" s="88" t="s">
        <v>2813</v>
      </c>
      <c r="E719" s="88" t="s">
        <v>2814</v>
      </c>
      <c r="F719" s="88"/>
      <c r="G719" s="88"/>
      <c r="H719" s="88"/>
      <c r="I719" s="88"/>
      <c r="J719" s="88"/>
      <c r="K719" s="88"/>
      <c r="L719" s="88"/>
      <c r="M719" s="88"/>
      <c r="N719" s="88"/>
      <c r="O719" s="88"/>
      <c r="P719" s="88"/>
      <c r="Q719" s="88"/>
      <c r="R719" s="88"/>
      <c r="S719" s="88"/>
      <c r="T719" s="88"/>
      <c r="U719" s="88"/>
      <c r="V719" s="88"/>
      <c r="W719" s="88"/>
      <c r="X719" s="88"/>
      <c r="Y719" s="88"/>
      <c r="Z719" s="88"/>
      <c r="AA719" s="88"/>
      <c r="AB719" s="88"/>
      <c r="AC719" s="88"/>
      <c r="AD719" s="88"/>
      <c r="AE719" s="88"/>
      <c r="AF719" s="88"/>
      <c r="AG719" s="88"/>
      <c r="AH719" s="88"/>
      <c r="AI719" s="88"/>
      <c r="AJ719" s="88"/>
    </row>
    <row r="720" spans="1:36" ht="15">
      <c r="A720" s="88" t="s">
        <v>343</v>
      </c>
      <c r="B720" s="88" t="s">
        <v>436</v>
      </c>
      <c r="C720" s="88" t="s">
        <v>7</v>
      </c>
      <c r="D720" s="88" t="s">
        <v>2815</v>
      </c>
      <c r="E720" s="88" t="s">
        <v>2816</v>
      </c>
      <c r="F720" s="88"/>
      <c r="G720" s="88"/>
      <c r="H720" s="88"/>
      <c r="I720" s="88"/>
      <c r="J720" s="88"/>
      <c r="K720" s="88"/>
      <c r="L720" s="88"/>
      <c r="M720" s="88"/>
      <c r="N720" s="88"/>
      <c r="O720" s="88"/>
      <c r="P720" s="88"/>
      <c r="Q720" s="88"/>
      <c r="R720" s="88"/>
      <c r="S720" s="88"/>
      <c r="T720" s="88"/>
      <c r="U720" s="88"/>
      <c r="V720" s="88"/>
      <c r="W720" s="88"/>
      <c r="X720" s="88"/>
      <c r="Y720" s="88"/>
      <c r="Z720" s="88"/>
      <c r="AA720" s="88"/>
      <c r="AB720" s="88"/>
      <c r="AC720" s="88"/>
      <c r="AD720" s="88"/>
      <c r="AE720" s="88"/>
      <c r="AF720" s="88"/>
      <c r="AG720" s="88"/>
      <c r="AH720" s="88"/>
      <c r="AI720" s="88"/>
      <c r="AJ720" s="88"/>
    </row>
    <row r="721" spans="1:36" ht="15">
      <c r="A721" s="88" t="s">
        <v>343</v>
      </c>
      <c r="B721" s="88" t="s">
        <v>467</v>
      </c>
      <c r="C721" s="88" t="s">
        <v>7</v>
      </c>
      <c r="D721" s="88" t="s">
        <v>2817</v>
      </c>
      <c r="E721" s="88" t="s">
        <v>2818</v>
      </c>
      <c r="F721" s="88"/>
      <c r="G721" s="88"/>
      <c r="H721" s="88"/>
      <c r="I721" s="88"/>
      <c r="J721" s="88"/>
      <c r="K721" s="88"/>
      <c r="L721" s="88"/>
      <c r="M721" s="88"/>
      <c r="N721" s="88"/>
      <c r="O721" s="88"/>
      <c r="P721" s="88"/>
      <c r="Q721" s="88"/>
      <c r="R721" s="88"/>
      <c r="S721" s="88"/>
      <c r="T721" s="88"/>
      <c r="U721" s="88"/>
      <c r="V721" s="88"/>
      <c r="W721" s="88"/>
      <c r="X721" s="88"/>
      <c r="Y721" s="88"/>
      <c r="Z721" s="88"/>
      <c r="AA721" s="88"/>
      <c r="AB721" s="88"/>
      <c r="AC721" s="88"/>
      <c r="AD721" s="88"/>
      <c r="AE721" s="88"/>
      <c r="AF721" s="88"/>
      <c r="AG721" s="88"/>
      <c r="AH721" s="88"/>
      <c r="AI721" s="88"/>
      <c r="AJ721" s="88"/>
    </row>
    <row r="722" spans="1:36" ht="15">
      <c r="A722" s="88" t="s">
        <v>343</v>
      </c>
      <c r="B722" s="88" t="s">
        <v>498</v>
      </c>
      <c r="C722" s="88" t="s">
        <v>7</v>
      </c>
      <c r="D722" s="88" t="s">
        <v>2819</v>
      </c>
      <c r="E722" s="88" t="s">
        <v>2820</v>
      </c>
      <c r="F722" s="88"/>
      <c r="G722" s="88"/>
      <c r="H722" s="88"/>
      <c r="I722" s="88"/>
      <c r="J722" s="88"/>
      <c r="K722" s="88"/>
      <c r="L722" s="88"/>
      <c r="M722" s="88"/>
      <c r="N722" s="88"/>
      <c r="O722" s="88"/>
      <c r="P722" s="88"/>
      <c r="Q722" s="88"/>
      <c r="R722" s="88"/>
      <c r="S722" s="88"/>
      <c r="T722" s="88"/>
      <c r="U722" s="88"/>
      <c r="V722" s="88"/>
      <c r="W722" s="88"/>
      <c r="X722" s="88"/>
      <c r="Y722" s="88"/>
      <c r="Z722" s="88"/>
      <c r="AA722" s="88"/>
      <c r="AB722" s="88"/>
      <c r="AC722" s="88"/>
      <c r="AD722" s="88"/>
      <c r="AE722" s="88"/>
      <c r="AF722" s="88"/>
      <c r="AG722" s="88"/>
      <c r="AH722" s="88"/>
      <c r="AI722" s="88"/>
      <c r="AJ722" s="88"/>
    </row>
    <row r="723" spans="1:36" ht="15">
      <c r="A723" s="88" t="s">
        <v>343</v>
      </c>
      <c r="B723" s="88" t="s">
        <v>527</v>
      </c>
      <c r="C723" s="88" t="s">
        <v>7</v>
      </c>
      <c r="D723" s="88" t="s">
        <v>2821</v>
      </c>
      <c r="E723" s="88" t="s">
        <v>2822</v>
      </c>
      <c r="F723" s="88"/>
      <c r="G723" s="88"/>
      <c r="H723" s="88"/>
      <c r="I723" s="88"/>
      <c r="J723" s="88"/>
      <c r="K723" s="88"/>
      <c r="L723" s="88"/>
      <c r="M723" s="88"/>
      <c r="N723" s="88"/>
      <c r="O723" s="88"/>
      <c r="P723" s="88"/>
      <c r="Q723" s="88"/>
      <c r="R723" s="88"/>
      <c r="S723" s="88"/>
      <c r="T723" s="88"/>
      <c r="U723" s="88"/>
      <c r="V723" s="88"/>
      <c r="W723" s="88"/>
      <c r="X723" s="88"/>
      <c r="Y723" s="88"/>
      <c r="Z723" s="88"/>
      <c r="AA723" s="88"/>
      <c r="AB723" s="88"/>
      <c r="AC723" s="88"/>
      <c r="AD723" s="88"/>
      <c r="AE723" s="88"/>
      <c r="AF723" s="88"/>
      <c r="AG723" s="88"/>
      <c r="AH723" s="88"/>
      <c r="AI723" s="88"/>
      <c r="AJ723" s="88"/>
    </row>
    <row r="724" spans="1:36" ht="15">
      <c r="A724" s="88" t="s">
        <v>343</v>
      </c>
      <c r="B724" s="88" t="s">
        <v>485</v>
      </c>
      <c r="C724" s="88" t="s">
        <v>7</v>
      </c>
      <c r="D724" s="88" t="s">
        <v>2823</v>
      </c>
      <c r="E724" s="88" t="s">
        <v>2824</v>
      </c>
      <c r="F724" s="88"/>
      <c r="G724" s="88"/>
      <c r="H724" s="88"/>
      <c r="I724" s="88"/>
      <c r="J724" s="88"/>
      <c r="K724" s="88"/>
      <c r="L724" s="88"/>
      <c r="M724" s="88"/>
      <c r="N724" s="88"/>
      <c r="O724" s="88"/>
      <c r="P724" s="88"/>
      <c r="Q724" s="88"/>
      <c r="R724" s="88"/>
      <c r="S724" s="88"/>
      <c r="T724" s="88"/>
      <c r="U724" s="88"/>
      <c r="V724" s="88"/>
      <c r="W724" s="88"/>
      <c r="X724" s="88"/>
      <c r="Y724" s="88"/>
      <c r="Z724" s="88"/>
      <c r="AA724" s="88"/>
      <c r="AB724" s="88"/>
      <c r="AC724" s="88"/>
      <c r="AD724" s="88"/>
      <c r="AE724" s="88"/>
      <c r="AF724" s="88"/>
      <c r="AG724" s="88"/>
      <c r="AH724" s="88"/>
      <c r="AI724" s="88"/>
      <c r="AJ724" s="88"/>
    </row>
    <row r="725" spans="1:36" ht="15">
      <c r="A725" s="88" t="s">
        <v>343</v>
      </c>
      <c r="B725" s="88" t="s">
        <v>584</v>
      </c>
      <c r="C725" s="88" t="s">
        <v>7</v>
      </c>
      <c r="D725" s="88" t="s">
        <v>2825</v>
      </c>
      <c r="E725" s="88" t="s">
        <v>2826</v>
      </c>
      <c r="F725" s="88"/>
      <c r="G725" s="88"/>
      <c r="H725" s="88"/>
      <c r="I725" s="88"/>
      <c r="J725" s="88"/>
      <c r="K725" s="88"/>
      <c r="L725" s="88"/>
      <c r="M725" s="88"/>
      <c r="N725" s="88"/>
      <c r="O725" s="88"/>
      <c r="P725" s="88"/>
      <c r="Q725" s="88"/>
      <c r="R725" s="88"/>
      <c r="S725" s="88"/>
      <c r="T725" s="88"/>
      <c r="U725" s="88"/>
      <c r="V725" s="88"/>
      <c r="W725" s="88"/>
      <c r="X725" s="88"/>
      <c r="Y725" s="88"/>
      <c r="Z725" s="88"/>
      <c r="AA725" s="88"/>
      <c r="AB725" s="88"/>
      <c r="AC725" s="88"/>
      <c r="AD725" s="88"/>
      <c r="AE725" s="88"/>
      <c r="AF725" s="88"/>
      <c r="AG725" s="88"/>
      <c r="AH725" s="88"/>
      <c r="AI725" s="88"/>
      <c r="AJ725" s="88"/>
    </row>
    <row r="726" spans="1:36" ht="15">
      <c r="A726" s="88" t="s">
        <v>343</v>
      </c>
      <c r="B726" s="88" t="s">
        <v>407</v>
      </c>
      <c r="C726" s="88" t="s">
        <v>7</v>
      </c>
      <c r="D726" s="88" t="s">
        <v>2827</v>
      </c>
      <c r="E726" s="88" t="s">
        <v>2828</v>
      </c>
      <c r="F726" s="88"/>
      <c r="G726" s="88"/>
      <c r="H726" s="88"/>
      <c r="I726" s="88"/>
      <c r="J726" s="88"/>
      <c r="K726" s="88"/>
      <c r="L726" s="88"/>
      <c r="M726" s="88"/>
      <c r="N726" s="88"/>
      <c r="O726" s="88"/>
      <c r="P726" s="88"/>
      <c r="Q726" s="88"/>
      <c r="R726" s="88"/>
      <c r="S726" s="88"/>
      <c r="T726" s="88"/>
      <c r="U726" s="88"/>
      <c r="V726" s="88"/>
      <c r="W726" s="88"/>
      <c r="X726" s="88"/>
      <c r="Y726" s="88"/>
      <c r="Z726" s="88"/>
      <c r="AA726" s="88"/>
      <c r="AB726" s="88"/>
      <c r="AC726" s="88"/>
      <c r="AD726" s="88"/>
      <c r="AE726" s="88"/>
      <c r="AF726" s="88"/>
      <c r="AG726" s="88"/>
      <c r="AH726" s="88"/>
      <c r="AI726" s="88"/>
      <c r="AJ726" s="88"/>
    </row>
    <row r="727" spans="1:36" ht="15">
      <c r="A727" s="88" t="s">
        <v>343</v>
      </c>
      <c r="B727" s="88" t="s">
        <v>637</v>
      </c>
      <c r="C727" s="88" t="s">
        <v>7</v>
      </c>
      <c r="D727" s="88" t="s">
        <v>2829</v>
      </c>
      <c r="E727" s="88" t="s">
        <v>2830</v>
      </c>
      <c r="F727" s="88"/>
      <c r="G727" s="88"/>
      <c r="H727" s="88"/>
      <c r="I727" s="88"/>
      <c r="J727" s="88"/>
      <c r="K727" s="88"/>
      <c r="L727" s="88"/>
      <c r="M727" s="88"/>
      <c r="N727" s="88"/>
      <c r="O727" s="88"/>
      <c r="P727" s="88"/>
      <c r="Q727" s="88"/>
      <c r="R727" s="88"/>
      <c r="S727" s="88"/>
      <c r="T727" s="88"/>
      <c r="U727" s="88"/>
      <c r="V727" s="88"/>
      <c r="W727" s="88"/>
      <c r="X727" s="88"/>
      <c r="Y727" s="88"/>
      <c r="Z727" s="88"/>
      <c r="AA727" s="88"/>
      <c r="AB727" s="88"/>
      <c r="AC727" s="88"/>
      <c r="AD727" s="88"/>
      <c r="AE727" s="88"/>
      <c r="AF727" s="88"/>
      <c r="AG727" s="88"/>
      <c r="AH727" s="88"/>
      <c r="AI727" s="88"/>
      <c r="AJ727" s="88"/>
    </row>
    <row r="728" spans="1:36" ht="15">
      <c r="A728" s="88" t="s">
        <v>343</v>
      </c>
      <c r="B728" s="88" t="s">
        <v>662</v>
      </c>
      <c r="C728" s="88" t="s">
        <v>7</v>
      </c>
      <c r="D728" s="88" t="s">
        <v>2831</v>
      </c>
      <c r="E728" s="88" t="s">
        <v>2832</v>
      </c>
      <c r="F728" s="88"/>
      <c r="G728" s="88"/>
      <c r="H728" s="88"/>
      <c r="I728" s="88"/>
      <c r="J728" s="88"/>
      <c r="K728" s="88"/>
      <c r="L728" s="88"/>
      <c r="M728" s="88"/>
      <c r="N728" s="88"/>
      <c r="O728" s="88"/>
      <c r="P728" s="88"/>
      <c r="Q728" s="88"/>
      <c r="R728" s="88"/>
      <c r="S728" s="88"/>
      <c r="T728" s="88"/>
      <c r="U728" s="88"/>
      <c r="V728" s="88"/>
      <c r="W728" s="88"/>
      <c r="X728" s="88"/>
      <c r="Y728" s="88"/>
      <c r="Z728" s="88"/>
      <c r="AA728" s="88"/>
      <c r="AB728" s="88"/>
      <c r="AC728" s="88"/>
      <c r="AD728" s="88"/>
      <c r="AE728" s="88"/>
      <c r="AF728" s="88"/>
      <c r="AG728" s="88"/>
      <c r="AH728" s="88"/>
      <c r="AI728" s="88"/>
      <c r="AJ728" s="88"/>
    </row>
    <row r="729" spans="1:36" ht="15">
      <c r="A729" s="88" t="s">
        <v>343</v>
      </c>
      <c r="B729" s="88" t="s">
        <v>335</v>
      </c>
      <c r="C729" s="88" t="s">
        <v>7</v>
      </c>
      <c r="D729" s="88" t="s">
        <v>2833</v>
      </c>
      <c r="E729" s="88" t="s">
        <v>2834</v>
      </c>
      <c r="F729" s="88"/>
      <c r="G729" s="88"/>
      <c r="H729" s="88"/>
      <c r="I729" s="88"/>
      <c r="J729" s="88"/>
      <c r="K729" s="88"/>
      <c r="L729" s="88"/>
      <c r="M729" s="88"/>
      <c r="N729" s="88"/>
      <c r="O729" s="88"/>
      <c r="P729" s="88"/>
      <c r="Q729" s="88"/>
      <c r="R729" s="88"/>
      <c r="S729" s="88"/>
      <c r="T729" s="88"/>
      <c r="U729" s="88"/>
      <c r="V729" s="88"/>
      <c r="W729" s="88"/>
      <c r="X729" s="88"/>
      <c r="Y729" s="88"/>
      <c r="Z729" s="88"/>
      <c r="AA729" s="88"/>
      <c r="AB729" s="88"/>
      <c r="AC729" s="88"/>
      <c r="AD729" s="88"/>
      <c r="AE729" s="88"/>
      <c r="AF729" s="88"/>
      <c r="AG729" s="88"/>
      <c r="AH729" s="88"/>
      <c r="AI729" s="88"/>
      <c r="AJ729" s="88"/>
    </row>
    <row r="730" spans="1:36" ht="15">
      <c r="A730" s="88" t="s">
        <v>343</v>
      </c>
      <c r="B730" s="88" t="s">
        <v>711</v>
      </c>
      <c r="C730" s="88" t="s">
        <v>7</v>
      </c>
      <c r="D730" s="88" t="s">
        <v>2835</v>
      </c>
      <c r="E730" s="88" t="s">
        <v>2836</v>
      </c>
      <c r="F730" s="88"/>
      <c r="G730" s="88"/>
      <c r="H730" s="88"/>
      <c r="I730" s="88"/>
      <c r="J730" s="88"/>
      <c r="K730" s="88"/>
      <c r="L730" s="88"/>
      <c r="M730" s="88"/>
      <c r="N730" s="88"/>
      <c r="O730" s="88"/>
      <c r="P730" s="88"/>
      <c r="Q730" s="88"/>
      <c r="R730" s="88"/>
      <c r="S730" s="88"/>
      <c r="T730" s="88"/>
      <c r="U730" s="88"/>
      <c r="V730" s="88"/>
      <c r="W730" s="88"/>
      <c r="X730" s="88"/>
      <c r="Y730" s="88"/>
      <c r="Z730" s="88"/>
      <c r="AA730" s="88"/>
      <c r="AB730" s="88"/>
      <c r="AC730" s="88"/>
      <c r="AD730" s="88"/>
      <c r="AE730" s="88"/>
      <c r="AF730" s="88"/>
      <c r="AG730" s="88"/>
      <c r="AH730" s="88"/>
      <c r="AI730" s="88"/>
      <c r="AJ730" s="88"/>
    </row>
    <row r="731" spans="1:36" ht="15">
      <c r="A731" s="88" t="s">
        <v>343</v>
      </c>
      <c r="B731" s="88" t="s">
        <v>735</v>
      </c>
      <c r="C731" s="88" t="s">
        <v>7</v>
      </c>
      <c r="D731" s="88" t="s">
        <v>2837</v>
      </c>
      <c r="E731" s="88" t="s">
        <v>2838</v>
      </c>
      <c r="F731" s="88"/>
      <c r="G731" s="88"/>
      <c r="H731" s="88"/>
      <c r="I731" s="88"/>
      <c r="J731" s="88"/>
      <c r="K731" s="88"/>
      <c r="L731" s="88"/>
      <c r="M731" s="88"/>
      <c r="N731" s="88"/>
      <c r="O731" s="88"/>
      <c r="P731" s="88"/>
      <c r="Q731" s="88"/>
      <c r="R731" s="88"/>
      <c r="S731" s="88"/>
      <c r="T731" s="88"/>
      <c r="U731" s="88"/>
      <c r="V731" s="88"/>
      <c r="W731" s="88"/>
      <c r="X731" s="88"/>
      <c r="Y731" s="88"/>
      <c r="Z731" s="88"/>
      <c r="AA731" s="88"/>
      <c r="AB731" s="88"/>
      <c r="AC731" s="88"/>
      <c r="AD731" s="88"/>
      <c r="AE731" s="88"/>
      <c r="AF731" s="88"/>
      <c r="AG731" s="88"/>
      <c r="AH731" s="88"/>
      <c r="AI731" s="88"/>
      <c r="AJ731" s="88"/>
    </row>
    <row r="732" spans="1:36" ht="15">
      <c r="A732" s="88" t="s">
        <v>343</v>
      </c>
      <c r="B732" s="88" t="s">
        <v>759</v>
      </c>
      <c r="C732" s="88" t="s">
        <v>7</v>
      </c>
      <c r="D732" s="88" t="s">
        <v>2839</v>
      </c>
      <c r="E732" s="88" t="s">
        <v>2840</v>
      </c>
      <c r="F732" s="88"/>
      <c r="G732" s="88"/>
      <c r="H732" s="88"/>
      <c r="I732" s="88"/>
      <c r="J732" s="88"/>
      <c r="K732" s="88"/>
      <c r="L732" s="88"/>
      <c r="M732" s="88"/>
      <c r="N732" s="88"/>
      <c r="O732" s="88"/>
      <c r="P732" s="88"/>
      <c r="Q732" s="88"/>
      <c r="R732" s="88"/>
      <c r="S732" s="88"/>
      <c r="T732" s="88"/>
      <c r="U732" s="88"/>
      <c r="V732" s="88"/>
      <c r="W732" s="88"/>
      <c r="X732" s="88"/>
      <c r="Y732" s="88"/>
      <c r="Z732" s="88"/>
      <c r="AA732" s="88"/>
      <c r="AB732" s="88"/>
      <c r="AC732" s="88"/>
      <c r="AD732" s="88"/>
      <c r="AE732" s="88"/>
      <c r="AF732" s="88"/>
      <c r="AG732" s="88"/>
      <c r="AH732" s="88"/>
      <c r="AI732" s="88"/>
      <c r="AJ732" s="88"/>
    </row>
    <row r="733" spans="1:36" ht="15">
      <c r="A733" s="88" t="s">
        <v>343</v>
      </c>
      <c r="B733" s="88" t="s">
        <v>781</v>
      </c>
      <c r="C733" s="88" t="s">
        <v>7</v>
      </c>
      <c r="D733" s="88" t="s">
        <v>2841</v>
      </c>
      <c r="E733" s="88" t="s">
        <v>2842</v>
      </c>
      <c r="F733" s="88"/>
      <c r="G733" s="88"/>
      <c r="H733" s="88"/>
      <c r="I733" s="88"/>
      <c r="J733" s="88"/>
      <c r="K733" s="88"/>
      <c r="L733" s="88"/>
      <c r="M733" s="88"/>
      <c r="N733" s="88"/>
      <c r="O733" s="88"/>
      <c r="P733" s="88"/>
      <c r="Q733" s="88"/>
      <c r="R733" s="88"/>
      <c r="S733" s="88"/>
      <c r="T733" s="88"/>
      <c r="U733" s="88"/>
      <c r="V733" s="88"/>
      <c r="W733" s="88"/>
      <c r="X733" s="88"/>
      <c r="Y733" s="88"/>
      <c r="Z733" s="88"/>
      <c r="AA733" s="88"/>
      <c r="AB733" s="88"/>
      <c r="AC733" s="88"/>
      <c r="AD733" s="88"/>
      <c r="AE733" s="88"/>
      <c r="AF733" s="88"/>
      <c r="AG733" s="88"/>
      <c r="AH733" s="88"/>
      <c r="AI733" s="88"/>
      <c r="AJ733" s="88"/>
    </row>
    <row r="734" spans="1:36" ht="15">
      <c r="A734" s="88" t="s">
        <v>343</v>
      </c>
      <c r="B734" s="88" t="s">
        <v>802</v>
      </c>
      <c r="C734" s="88" t="s">
        <v>7</v>
      </c>
      <c r="D734" s="88" t="s">
        <v>2843</v>
      </c>
      <c r="E734" s="88" t="s">
        <v>2844</v>
      </c>
      <c r="F734" s="88"/>
      <c r="G734" s="88"/>
      <c r="H734" s="88"/>
      <c r="I734" s="88"/>
      <c r="J734" s="88"/>
      <c r="K734" s="88"/>
      <c r="L734" s="88"/>
      <c r="M734" s="88"/>
      <c r="N734" s="88"/>
      <c r="O734" s="88"/>
      <c r="P734" s="88"/>
      <c r="Q734" s="88"/>
      <c r="R734" s="88"/>
      <c r="S734" s="88"/>
      <c r="T734" s="88"/>
      <c r="U734" s="88"/>
      <c r="V734" s="88"/>
      <c r="W734" s="88"/>
      <c r="X734" s="88"/>
      <c r="Y734" s="88"/>
      <c r="Z734" s="88"/>
      <c r="AA734" s="88"/>
      <c r="AB734" s="88"/>
      <c r="AC734" s="88"/>
      <c r="AD734" s="88"/>
      <c r="AE734" s="88"/>
      <c r="AF734" s="88"/>
      <c r="AG734" s="88"/>
      <c r="AH734" s="88"/>
      <c r="AI734" s="88"/>
      <c r="AJ734" s="88"/>
    </row>
    <row r="735" spans="1:36" ht="15">
      <c r="A735" s="88" t="s">
        <v>343</v>
      </c>
      <c r="B735" s="88" t="s">
        <v>824</v>
      </c>
      <c r="C735" s="88" t="s">
        <v>7</v>
      </c>
      <c r="D735" s="88" t="s">
        <v>2845</v>
      </c>
      <c r="E735" s="88" t="s">
        <v>2846</v>
      </c>
      <c r="F735" s="88"/>
      <c r="G735" s="88"/>
      <c r="H735" s="88"/>
      <c r="I735" s="88"/>
      <c r="J735" s="88"/>
      <c r="K735" s="88"/>
      <c r="L735" s="88"/>
      <c r="M735" s="88"/>
      <c r="N735" s="88"/>
      <c r="O735" s="88"/>
      <c r="P735" s="88"/>
      <c r="Q735" s="88"/>
      <c r="R735" s="88"/>
      <c r="S735" s="88"/>
      <c r="T735" s="88"/>
      <c r="U735" s="88"/>
      <c r="V735" s="88"/>
      <c r="W735" s="88"/>
      <c r="X735" s="88"/>
      <c r="Y735" s="88"/>
      <c r="Z735" s="88"/>
      <c r="AA735" s="88"/>
      <c r="AB735" s="88"/>
      <c r="AC735" s="88"/>
      <c r="AD735" s="88"/>
      <c r="AE735" s="88"/>
      <c r="AF735" s="88"/>
      <c r="AG735" s="88"/>
      <c r="AH735" s="88"/>
      <c r="AI735" s="88"/>
      <c r="AJ735" s="88"/>
    </row>
    <row r="736" spans="1:36" ht="15">
      <c r="A736" s="88" t="s">
        <v>343</v>
      </c>
      <c r="B736" s="88" t="s">
        <v>845</v>
      </c>
      <c r="C736" s="88" t="s">
        <v>7</v>
      </c>
      <c r="D736" s="88" t="s">
        <v>2847</v>
      </c>
      <c r="E736" s="88" t="s">
        <v>2848</v>
      </c>
      <c r="F736" s="88"/>
      <c r="G736" s="88"/>
      <c r="H736" s="88"/>
      <c r="I736" s="88"/>
      <c r="J736" s="88"/>
      <c r="K736" s="88"/>
      <c r="L736" s="88"/>
      <c r="M736" s="88"/>
      <c r="N736" s="88"/>
      <c r="O736" s="88"/>
      <c r="P736" s="88"/>
      <c r="Q736" s="88"/>
      <c r="R736" s="88"/>
      <c r="S736" s="88"/>
      <c r="T736" s="88"/>
      <c r="U736" s="88"/>
      <c r="V736" s="88"/>
      <c r="W736" s="88"/>
      <c r="X736" s="88"/>
      <c r="Y736" s="88"/>
      <c r="Z736" s="88"/>
      <c r="AA736" s="88"/>
      <c r="AB736" s="88"/>
      <c r="AC736" s="88"/>
      <c r="AD736" s="88"/>
      <c r="AE736" s="88"/>
      <c r="AF736" s="88"/>
      <c r="AG736" s="88"/>
      <c r="AH736" s="88"/>
      <c r="AI736" s="88"/>
      <c r="AJ736" s="88"/>
    </row>
    <row r="737" spans="1:36" ht="15">
      <c r="A737" s="88" t="s">
        <v>343</v>
      </c>
      <c r="B737" s="88" t="s">
        <v>864</v>
      </c>
      <c r="C737" s="88" t="s">
        <v>7</v>
      </c>
      <c r="D737" s="88" t="s">
        <v>2849</v>
      </c>
      <c r="E737" s="88" t="s">
        <v>2850</v>
      </c>
      <c r="F737" s="88"/>
      <c r="G737" s="88"/>
      <c r="H737" s="88"/>
      <c r="I737" s="88"/>
      <c r="J737" s="88"/>
      <c r="K737" s="88"/>
      <c r="L737" s="88"/>
      <c r="M737" s="88"/>
      <c r="N737" s="88"/>
      <c r="O737" s="88"/>
      <c r="P737" s="88"/>
      <c r="Q737" s="88"/>
      <c r="R737" s="88"/>
      <c r="S737" s="88"/>
      <c r="T737" s="88"/>
      <c r="U737" s="88"/>
      <c r="V737" s="88"/>
      <c r="W737" s="88"/>
      <c r="X737" s="88"/>
      <c r="Y737" s="88"/>
      <c r="Z737" s="88"/>
      <c r="AA737" s="88"/>
      <c r="AB737" s="88"/>
      <c r="AC737" s="88"/>
      <c r="AD737" s="88"/>
      <c r="AE737" s="88"/>
      <c r="AF737" s="88"/>
      <c r="AG737" s="88"/>
      <c r="AH737" s="88"/>
      <c r="AI737" s="88"/>
      <c r="AJ737" s="88"/>
    </row>
    <row r="738" spans="1:36" ht="15">
      <c r="A738" s="88" t="s">
        <v>343</v>
      </c>
      <c r="B738" s="88" t="s">
        <v>653</v>
      </c>
      <c r="C738" s="88" t="s">
        <v>7</v>
      </c>
      <c r="D738" s="88" t="s">
        <v>2851</v>
      </c>
      <c r="E738" s="88" t="s">
        <v>2852</v>
      </c>
      <c r="F738" s="88"/>
      <c r="G738" s="88"/>
      <c r="H738" s="88"/>
      <c r="I738" s="88"/>
      <c r="J738" s="88"/>
      <c r="K738" s="88"/>
      <c r="L738" s="88"/>
      <c r="M738" s="88"/>
      <c r="N738" s="88"/>
      <c r="O738" s="88"/>
      <c r="P738" s="88"/>
      <c r="Q738" s="88"/>
      <c r="R738" s="88"/>
      <c r="S738" s="88"/>
      <c r="T738" s="88"/>
      <c r="U738" s="88"/>
      <c r="V738" s="88"/>
      <c r="W738" s="88"/>
      <c r="X738" s="88"/>
      <c r="Y738" s="88"/>
      <c r="Z738" s="88"/>
      <c r="AA738" s="88"/>
      <c r="AB738" s="88"/>
      <c r="AC738" s="88"/>
      <c r="AD738" s="88"/>
      <c r="AE738" s="88"/>
      <c r="AF738" s="88"/>
      <c r="AG738" s="88"/>
      <c r="AH738" s="88"/>
      <c r="AI738" s="88"/>
      <c r="AJ738" s="88"/>
    </row>
    <row r="739" spans="1:36" ht="15">
      <c r="A739" s="88" t="s">
        <v>343</v>
      </c>
      <c r="B739" s="88" t="s">
        <v>903</v>
      </c>
      <c r="C739" s="88" t="s">
        <v>7</v>
      </c>
      <c r="D739" s="88" t="s">
        <v>2853</v>
      </c>
      <c r="E739" s="88" t="s">
        <v>2854</v>
      </c>
      <c r="F739" s="88"/>
      <c r="G739" s="88"/>
      <c r="H739" s="88"/>
      <c r="I739" s="88"/>
      <c r="J739" s="88"/>
      <c r="K739" s="88"/>
      <c r="L739" s="88"/>
      <c r="M739" s="88"/>
      <c r="N739" s="88"/>
      <c r="O739" s="88"/>
      <c r="P739" s="88"/>
      <c r="Q739" s="88"/>
      <c r="R739" s="88"/>
      <c r="S739" s="88"/>
      <c r="T739" s="88"/>
      <c r="U739" s="88"/>
      <c r="V739" s="88"/>
      <c r="W739" s="88"/>
      <c r="X739" s="88"/>
      <c r="Y739" s="88"/>
      <c r="Z739" s="88"/>
      <c r="AA739" s="88"/>
      <c r="AB739" s="88"/>
      <c r="AC739" s="88"/>
      <c r="AD739" s="88"/>
      <c r="AE739" s="88"/>
      <c r="AF739" s="88"/>
      <c r="AG739" s="88"/>
      <c r="AH739" s="88"/>
      <c r="AI739" s="88"/>
      <c r="AJ739" s="88"/>
    </row>
    <row r="740" spans="1:36" ht="15">
      <c r="A740" s="88" t="s">
        <v>343</v>
      </c>
      <c r="B740" s="88" t="s">
        <v>921</v>
      </c>
      <c r="C740" s="88" t="s">
        <v>7</v>
      </c>
      <c r="D740" s="88" t="s">
        <v>2855</v>
      </c>
      <c r="E740" s="88" t="s">
        <v>2856</v>
      </c>
      <c r="F740" s="88"/>
      <c r="G740" s="88"/>
      <c r="H740" s="88"/>
      <c r="I740" s="88"/>
      <c r="J740" s="88"/>
      <c r="K740" s="88"/>
      <c r="L740" s="88"/>
      <c r="M740" s="88"/>
      <c r="N740" s="88"/>
      <c r="O740" s="88"/>
      <c r="P740" s="88"/>
      <c r="Q740" s="88"/>
      <c r="R740" s="88"/>
      <c r="S740" s="88"/>
      <c r="T740" s="88"/>
      <c r="U740" s="88"/>
      <c r="V740" s="88"/>
      <c r="W740" s="88"/>
      <c r="X740" s="88"/>
      <c r="Y740" s="88"/>
      <c r="Z740" s="88"/>
      <c r="AA740" s="88"/>
      <c r="AB740" s="88"/>
      <c r="AC740" s="88"/>
      <c r="AD740" s="88"/>
      <c r="AE740" s="88"/>
      <c r="AF740" s="88"/>
      <c r="AG740" s="88"/>
      <c r="AH740" s="88"/>
      <c r="AI740" s="88"/>
      <c r="AJ740" s="88"/>
    </row>
    <row r="741" spans="1:36" ht="15">
      <c r="A741" s="88" t="s">
        <v>343</v>
      </c>
      <c r="B741" s="88" t="s">
        <v>940</v>
      </c>
      <c r="C741" s="88" t="s">
        <v>7</v>
      </c>
      <c r="D741" s="88" t="s">
        <v>2857</v>
      </c>
      <c r="E741" s="88" t="s">
        <v>2858</v>
      </c>
      <c r="F741" s="88"/>
      <c r="G741" s="88"/>
      <c r="H741" s="88"/>
      <c r="I741" s="88"/>
      <c r="J741" s="88"/>
      <c r="K741" s="88"/>
      <c r="L741" s="88"/>
      <c r="M741" s="88"/>
      <c r="N741" s="88"/>
      <c r="O741" s="88"/>
      <c r="P741" s="88"/>
      <c r="Q741" s="88"/>
      <c r="R741" s="88"/>
      <c r="S741" s="88"/>
      <c r="T741" s="88"/>
      <c r="U741" s="88"/>
      <c r="V741" s="88"/>
      <c r="W741" s="88"/>
      <c r="X741" s="88"/>
      <c r="Y741" s="88"/>
      <c r="Z741" s="88"/>
      <c r="AA741" s="88"/>
      <c r="AB741" s="88"/>
      <c r="AC741" s="88"/>
      <c r="AD741" s="88"/>
      <c r="AE741" s="88"/>
      <c r="AF741" s="88"/>
      <c r="AG741" s="88"/>
      <c r="AH741" s="88"/>
      <c r="AI741" s="88"/>
      <c r="AJ741" s="88"/>
    </row>
    <row r="742" spans="1:36" ht="15">
      <c r="A742" s="88" t="s">
        <v>343</v>
      </c>
      <c r="B742" s="88" t="s">
        <v>958</v>
      </c>
      <c r="C742" s="88" t="s">
        <v>7</v>
      </c>
      <c r="D742" s="88" t="s">
        <v>2859</v>
      </c>
      <c r="E742" s="88" t="s">
        <v>2860</v>
      </c>
      <c r="F742" s="88"/>
      <c r="G742" s="88"/>
      <c r="H742" s="88"/>
      <c r="I742" s="88"/>
      <c r="J742" s="88"/>
      <c r="K742" s="88"/>
      <c r="L742" s="88"/>
      <c r="M742" s="88"/>
      <c r="N742" s="88"/>
      <c r="O742" s="88"/>
      <c r="P742" s="88"/>
      <c r="Q742" s="88"/>
      <c r="R742" s="88"/>
      <c r="S742" s="88"/>
      <c r="T742" s="88"/>
      <c r="U742" s="88"/>
      <c r="V742" s="88"/>
      <c r="W742" s="88"/>
      <c r="X742" s="88"/>
      <c r="Y742" s="88"/>
      <c r="Z742" s="88"/>
      <c r="AA742" s="88"/>
      <c r="AB742" s="88"/>
      <c r="AC742" s="88"/>
      <c r="AD742" s="88"/>
      <c r="AE742" s="88"/>
      <c r="AF742" s="88"/>
      <c r="AG742" s="88"/>
      <c r="AH742" s="88"/>
      <c r="AI742" s="88"/>
      <c r="AJ742" s="88"/>
    </row>
    <row r="743" spans="1:36" ht="15">
      <c r="A743" s="88" t="s">
        <v>343</v>
      </c>
      <c r="B743" s="88" t="s">
        <v>974</v>
      </c>
      <c r="C743" s="88" t="s">
        <v>7</v>
      </c>
      <c r="D743" s="88" t="s">
        <v>2861</v>
      </c>
      <c r="E743" s="88" t="s">
        <v>2862</v>
      </c>
      <c r="F743" s="88"/>
      <c r="G743" s="88"/>
      <c r="H743" s="88"/>
      <c r="I743" s="88"/>
      <c r="J743" s="88"/>
      <c r="K743" s="88"/>
      <c r="L743" s="88"/>
      <c r="M743" s="88"/>
      <c r="N743" s="88"/>
      <c r="O743" s="88"/>
      <c r="P743" s="88"/>
      <c r="Q743" s="88"/>
      <c r="R743" s="88"/>
      <c r="S743" s="88"/>
      <c r="T743" s="88"/>
      <c r="U743" s="88"/>
      <c r="V743" s="88"/>
      <c r="W743" s="88"/>
      <c r="X743" s="88"/>
      <c r="Y743" s="88"/>
      <c r="Z743" s="88"/>
      <c r="AA743" s="88"/>
      <c r="AB743" s="88"/>
      <c r="AC743" s="88"/>
      <c r="AD743" s="88"/>
      <c r="AE743" s="88"/>
      <c r="AF743" s="88"/>
      <c r="AG743" s="88"/>
      <c r="AH743" s="88"/>
      <c r="AI743" s="88"/>
      <c r="AJ743" s="88"/>
    </row>
    <row r="744" spans="1:36" ht="15">
      <c r="A744" s="88" t="s">
        <v>343</v>
      </c>
      <c r="B744" s="88" t="s">
        <v>993</v>
      </c>
      <c r="C744" s="88" t="s">
        <v>7</v>
      </c>
      <c r="D744" s="88" t="s">
        <v>2863</v>
      </c>
      <c r="E744" s="88" t="s">
        <v>2864</v>
      </c>
      <c r="F744" s="88"/>
      <c r="G744" s="88"/>
      <c r="H744" s="88"/>
      <c r="I744" s="88"/>
      <c r="J744" s="88"/>
      <c r="K744" s="88"/>
      <c r="L744" s="88"/>
      <c r="M744" s="88"/>
      <c r="N744" s="88"/>
      <c r="O744" s="88"/>
      <c r="P744" s="88"/>
      <c r="Q744" s="88"/>
      <c r="R744" s="88"/>
      <c r="S744" s="88"/>
      <c r="T744" s="88"/>
      <c r="U744" s="88"/>
      <c r="V744" s="88"/>
      <c r="W744" s="88"/>
      <c r="X744" s="88"/>
      <c r="Y744" s="88"/>
      <c r="Z744" s="88"/>
      <c r="AA744" s="88"/>
      <c r="AB744" s="88"/>
      <c r="AC744" s="88"/>
      <c r="AD744" s="88"/>
      <c r="AE744" s="88"/>
      <c r="AF744" s="88"/>
      <c r="AG744" s="88"/>
      <c r="AH744" s="88"/>
      <c r="AI744" s="88"/>
      <c r="AJ744" s="88"/>
    </row>
    <row r="745" spans="1:36" ht="15">
      <c r="A745" s="88" t="s">
        <v>343</v>
      </c>
      <c r="B745" s="88" t="s">
        <v>1009</v>
      </c>
      <c r="C745" s="88" t="s">
        <v>7</v>
      </c>
      <c r="D745" s="88" t="s">
        <v>2865</v>
      </c>
      <c r="E745" s="88" t="s">
        <v>2866</v>
      </c>
      <c r="F745" s="88"/>
      <c r="G745" s="88"/>
      <c r="H745" s="88"/>
      <c r="I745" s="88"/>
      <c r="J745" s="88"/>
      <c r="K745" s="88"/>
      <c r="L745" s="88"/>
      <c r="M745" s="88"/>
      <c r="N745" s="88"/>
      <c r="O745" s="88"/>
      <c r="P745" s="88"/>
      <c r="Q745" s="88"/>
      <c r="R745" s="88"/>
      <c r="S745" s="88"/>
      <c r="T745" s="88"/>
      <c r="U745" s="88"/>
      <c r="V745" s="88"/>
      <c r="W745" s="88"/>
      <c r="X745" s="88"/>
      <c r="Y745" s="88"/>
      <c r="Z745" s="88"/>
      <c r="AA745" s="88"/>
      <c r="AB745" s="88"/>
      <c r="AC745" s="88"/>
      <c r="AD745" s="88"/>
      <c r="AE745" s="88"/>
      <c r="AF745" s="88"/>
      <c r="AG745" s="88"/>
      <c r="AH745" s="88"/>
      <c r="AI745" s="88"/>
      <c r="AJ745" s="88"/>
    </row>
    <row r="746" spans="1:36" ht="15">
      <c r="A746" s="88" t="s">
        <v>343</v>
      </c>
      <c r="B746" s="88" t="s">
        <v>1024</v>
      </c>
      <c r="C746" s="88" t="s">
        <v>7</v>
      </c>
      <c r="D746" s="88" t="s">
        <v>2867</v>
      </c>
      <c r="E746" s="88" t="s">
        <v>2868</v>
      </c>
      <c r="F746" s="88"/>
      <c r="G746" s="88"/>
      <c r="H746" s="88"/>
      <c r="I746" s="88"/>
      <c r="J746" s="88"/>
      <c r="K746" s="88"/>
      <c r="L746" s="88"/>
      <c r="M746" s="88"/>
      <c r="N746" s="88"/>
      <c r="O746" s="88"/>
      <c r="P746" s="88"/>
      <c r="Q746" s="88"/>
      <c r="R746" s="88"/>
      <c r="S746" s="88"/>
      <c r="T746" s="88"/>
      <c r="U746" s="88"/>
      <c r="V746" s="88"/>
      <c r="W746" s="88"/>
      <c r="X746" s="88"/>
      <c r="Y746" s="88"/>
      <c r="Z746" s="88"/>
      <c r="AA746" s="88"/>
      <c r="AB746" s="88"/>
      <c r="AC746" s="88"/>
      <c r="AD746" s="88"/>
      <c r="AE746" s="88"/>
      <c r="AF746" s="88"/>
      <c r="AG746" s="88"/>
      <c r="AH746" s="88"/>
      <c r="AI746" s="88"/>
      <c r="AJ746" s="88"/>
    </row>
    <row r="747" spans="1:36" ht="15">
      <c r="A747" s="88" t="s">
        <v>343</v>
      </c>
      <c r="B747" s="88" t="s">
        <v>1039</v>
      </c>
      <c r="C747" s="88" t="s">
        <v>7</v>
      </c>
      <c r="D747" s="88" t="s">
        <v>2869</v>
      </c>
      <c r="E747" s="88" t="s">
        <v>2870</v>
      </c>
      <c r="F747" s="88"/>
      <c r="G747" s="88"/>
      <c r="H747" s="88"/>
      <c r="I747" s="88"/>
      <c r="J747" s="88"/>
      <c r="K747" s="88"/>
      <c r="L747" s="88"/>
      <c r="M747" s="88"/>
      <c r="N747" s="88"/>
      <c r="O747" s="88"/>
      <c r="P747" s="88"/>
      <c r="Q747" s="88"/>
      <c r="R747" s="88"/>
      <c r="S747" s="88"/>
      <c r="T747" s="88"/>
      <c r="U747" s="88"/>
      <c r="V747" s="88"/>
      <c r="W747" s="88"/>
      <c r="X747" s="88"/>
      <c r="Y747" s="88"/>
      <c r="Z747" s="88"/>
      <c r="AA747" s="88"/>
      <c r="AB747" s="88"/>
      <c r="AC747" s="88"/>
      <c r="AD747" s="88"/>
      <c r="AE747" s="88"/>
      <c r="AF747" s="88"/>
      <c r="AG747" s="88"/>
      <c r="AH747" s="88"/>
      <c r="AI747" s="88"/>
      <c r="AJ747" s="88"/>
    </row>
    <row r="748" spans="1:36" ht="15">
      <c r="A748" s="88" t="s">
        <v>343</v>
      </c>
      <c r="B748" s="88" t="s">
        <v>1053</v>
      </c>
      <c r="C748" s="88" t="s">
        <v>7</v>
      </c>
      <c r="D748" s="88" t="s">
        <v>2871</v>
      </c>
      <c r="E748" s="88" t="s">
        <v>2872</v>
      </c>
      <c r="F748" s="88"/>
      <c r="G748" s="88"/>
      <c r="H748" s="88"/>
      <c r="I748" s="88"/>
      <c r="J748" s="88"/>
      <c r="K748" s="88"/>
      <c r="L748" s="88"/>
      <c r="M748" s="88"/>
      <c r="N748" s="88"/>
      <c r="O748" s="88"/>
      <c r="P748" s="88"/>
      <c r="Q748" s="88"/>
      <c r="R748" s="88"/>
      <c r="S748" s="88"/>
      <c r="T748" s="88"/>
      <c r="U748" s="88"/>
      <c r="V748" s="88"/>
      <c r="W748" s="88"/>
      <c r="X748" s="88"/>
      <c r="Y748" s="88"/>
      <c r="Z748" s="88"/>
      <c r="AA748" s="88"/>
      <c r="AB748" s="88"/>
      <c r="AC748" s="88"/>
      <c r="AD748" s="88"/>
      <c r="AE748" s="88"/>
      <c r="AF748" s="88"/>
      <c r="AG748" s="88"/>
      <c r="AH748" s="88"/>
      <c r="AI748" s="88"/>
      <c r="AJ748" s="88"/>
    </row>
    <row r="749" spans="1:36" ht="15">
      <c r="A749" s="88" t="s">
        <v>343</v>
      </c>
      <c r="B749" s="88" t="s">
        <v>1066</v>
      </c>
      <c r="C749" s="88" t="s">
        <v>7</v>
      </c>
      <c r="D749" s="88" t="s">
        <v>2873</v>
      </c>
      <c r="E749" s="88" t="s">
        <v>2874</v>
      </c>
      <c r="F749" s="88"/>
      <c r="G749" s="88"/>
      <c r="H749" s="88"/>
      <c r="I749" s="88"/>
      <c r="J749" s="88"/>
      <c r="K749" s="88"/>
      <c r="L749" s="88"/>
      <c r="M749" s="88"/>
      <c r="N749" s="88"/>
      <c r="O749" s="88"/>
      <c r="P749" s="88"/>
      <c r="Q749" s="88"/>
      <c r="R749" s="88"/>
      <c r="S749" s="88"/>
      <c r="T749" s="88"/>
      <c r="U749" s="88"/>
      <c r="V749" s="88"/>
      <c r="W749" s="88"/>
      <c r="X749" s="88"/>
      <c r="Y749" s="88"/>
      <c r="Z749" s="88"/>
      <c r="AA749" s="88"/>
      <c r="AB749" s="88"/>
      <c r="AC749" s="88"/>
      <c r="AD749" s="88"/>
      <c r="AE749" s="88"/>
      <c r="AF749" s="88"/>
      <c r="AG749" s="88"/>
      <c r="AH749" s="88"/>
      <c r="AI749" s="88"/>
      <c r="AJ749" s="88"/>
    </row>
    <row r="750" spans="1:36" ht="15">
      <c r="A750" s="88" t="s">
        <v>343</v>
      </c>
      <c r="B750" s="88" t="s">
        <v>668</v>
      </c>
      <c r="C750" s="88" t="s">
        <v>7</v>
      </c>
      <c r="D750" s="88" t="s">
        <v>2875</v>
      </c>
      <c r="E750" s="88" t="s">
        <v>2876</v>
      </c>
      <c r="F750" s="88"/>
      <c r="G750" s="88"/>
      <c r="H750" s="88"/>
      <c r="I750" s="88"/>
      <c r="J750" s="88"/>
      <c r="K750" s="88"/>
      <c r="L750" s="88"/>
      <c r="M750" s="88"/>
      <c r="N750" s="88"/>
      <c r="O750" s="88"/>
      <c r="P750" s="88"/>
      <c r="Q750" s="88"/>
      <c r="R750" s="88"/>
      <c r="S750" s="88"/>
      <c r="T750" s="88"/>
      <c r="U750" s="88"/>
      <c r="V750" s="88"/>
      <c r="W750" s="88"/>
      <c r="X750" s="88"/>
      <c r="Y750" s="88"/>
      <c r="Z750" s="88"/>
      <c r="AA750" s="88"/>
      <c r="AB750" s="88"/>
      <c r="AC750" s="88"/>
      <c r="AD750" s="88"/>
      <c r="AE750" s="88"/>
      <c r="AF750" s="88"/>
      <c r="AG750" s="88"/>
      <c r="AH750" s="88"/>
      <c r="AI750" s="88"/>
      <c r="AJ750" s="88"/>
    </row>
    <row r="751" spans="1:36" ht="15">
      <c r="A751" s="88" t="s">
        <v>343</v>
      </c>
      <c r="B751" s="88" t="s">
        <v>1089</v>
      </c>
      <c r="C751" s="88" t="s">
        <v>7</v>
      </c>
      <c r="D751" s="88" t="s">
        <v>2877</v>
      </c>
      <c r="E751" s="88" t="s">
        <v>2878</v>
      </c>
      <c r="F751" s="88"/>
      <c r="G751" s="88"/>
      <c r="H751" s="88"/>
      <c r="I751" s="88"/>
      <c r="J751" s="88"/>
      <c r="K751" s="88"/>
      <c r="L751" s="88"/>
      <c r="M751" s="88"/>
      <c r="N751" s="88"/>
      <c r="O751" s="88"/>
      <c r="P751" s="88"/>
      <c r="Q751" s="88"/>
      <c r="R751" s="88"/>
      <c r="S751" s="88"/>
      <c r="T751" s="88"/>
      <c r="U751" s="88"/>
      <c r="V751" s="88"/>
      <c r="W751" s="88"/>
      <c r="X751" s="88"/>
      <c r="Y751" s="88"/>
      <c r="Z751" s="88"/>
      <c r="AA751" s="88"/>
      <c r="AB751" s="88"/>
      <c r="AC751" s="88"/>
      <c r="AD751" s="88"/>
      <c r="AE751" s="88"/>
      <c r="AF751" s="88"/>
      <c r="AG751" s="88"/>
      <c r="AH751" s="88"/>
      <c r="AI751" s="88"/>
      <c r="AJ751" s="88"/>
    </row>
    <row r="752" spans="1:36" ht="15">
      <c r="A752" s="88" t="s">
        <v>343</v>
      </c>
      <c r="B752" s="88" t="s">
        <v>1102</v>
      </c>
      <c r="C752" s="88" t="s">
        <v>7</v>
      </c>
      <c r="D752" s="88" t="s">
        <v>2879</v>
      </c>
      <c r="E752" s="88" t="s">
        <v>2880</v>
      </c>
      <c r="F752" s="88"/>
      <c r="G752" s="88"/>
      <c r="H752" s="88"/>
      <c r="I752" s="88"/>
      <c r="J752" s="88"/>
      <c r="K752" s="88"/>
      <c r="L752" s="88"/>
      <c r="M752" s="88"/>
      <c r="N752" s="88"/>
      <c r="O752" s="88"/>
      <c r="P752" s="88"/>
      <c r="Q752" s="88"/>
      <c r="R752" s="88"/>
      <c r="S752" s="88"/>
      <c r="T752" s="88"/>
      <c r="U752" s="88"/>
      <c r="V752" s="88"/>
      <c r="W752" s="88"/>
      <c r="X752" s="88"/>
      <c r="Y752" s="88"/>
      <c r="Z752" s="88"/>
      <c r="AA752" s="88"/>
      <c r="AB752" s="88"/>
      <c r="AC752" s="88"/>
      <c r="AD752" s="88"/>
      <c r="AE752" s="88"/>
      <c r="AF752" s="88"/>
      <c r="AG752" s="88"/>
      <c r="AH752" s="88"/>
      <c r="AI752" s="88"/>
      <c r="AJ752" s="88"/>
    </row>
    <row r="753" spans="1:36" ht="15">
      <c r="A753" s="88" t="s">
        <v>343</v>
      </c>
      <c r="B753" s="88" t="s">
        <v>1115</v>
      </c>
      <c r="C753" s="88" t="s">
        <v>7</v>
      </c>
      <c r="D753" s="88" t="s">
        <v>2881</v>
      </c>
      <c r="E753" s="88" t="s">
        <v>2882</v>
      </c>
      <c r="F753" s="88"/>
      <c r="G753" s="88"/>
      <c r="H753" s="88"/>
      <c r="I753" s="88"/>
      <c r="J753" s="88"/>
      <c r="K753" s="88"/>
      <c r="L753" s="88"/>
      <c r="M753" s="88"/>
      <c r="N753" s="88"/>
      <c r="O753" s="88"/>
      <c r="P753" s="88"/>
      <c r="Q753" s="88"/>
      <c r="R753" s="88"/>
      <c r="S753" s="88"/>
      <c r="T753" s="88"/>
      <c r="U753" s="88"/>
      <c r="V753" s="88"/>
      <c r="W753" s="88"/>
      <c r="X753" s="88"/>
      <c r="Y753" s="88"/>
      <c r="Z753" s="88"/>
      <c r="AA753" s="88"/>
      <c r="AB753" s="88"/>
      <c r="AC753" s="88"/>
      <c r="AD753" s="88"/>
      <c r="AE753" s="88"/>
      <c r="AF753" s="88"/>
      <c r="AG753" s="88"/>
      <c r="AH753" s="88"/>
      <c r="AI753" s="88"/>
      <c r="AJ753" s="88"/>
    </row>
    <row r="754" spans="1:36" ht="15">
      <c r="A754" s="88" t="s">
        <v>343</v>
      </c>
      <c r="B754" s="88" t="s">
        <v>1125</v>
      </c>
      <c r="C754" s="88" t="s">
        <v>7</v>
      </c>
      <c r="D754" s="88" t="s">
        <v>2883</v>
      </c>
      <c r="E754" s="88" t="s">
        <v>2884</v>
      </c>
      <c r="F754" s="88"/>
      <c r="G754" s="88"/>
      <c r="H754" s="88"/>
      <c r="I754" s="88"/>
      <c r="J754" s="88"/>
      <c r="K754" s="88"/>
      <c r="L754" s="88"/>
      <c r="M754" s="88"/>
      <c r="N754" s="88"/>
      <c r="O754" s="88"/>
      <c r="P754" s="88"/>
      <c r="Q754" s="88"/>
      <c r="R754" s="88"/>
      <c r="S754" s="88"/>
      <c r="T754" s="88"/>
      <c r="U754" s="88"/>
      <c r="V754" s="88"/>
      <c r="W754" s="88"/>
      <c r="X754" s="88"/>
      <c r="Y754" s="88"/>
      <c r="Z754" s="88"/>
      <c r="AA754" s="88"/>
      <c r="AB754" s="88"/>
      <c r="AC754" s="88"/>
      <c r="AD754" s="88"/>
      <c r="AE754" s="88"/>
      <c r="AF754" s="88"/>
      <c r="AG754" s="88"/>
      <c r="AH754" s="88"/>
      <c r="AI754" s="88"/>
      <c r="AJ754" s="88"/>
    </row>
    <row r="755" spans="1:36" ht="15">
      <c r="A755" s="88" t="s">
        <v>343</v>
      </c>
      <c r="B755" s="88" t="s">
        <v>1136</v>
      </c>
      <c r="C755" s="88" t="s">
        <v>7</v>
      </c>
      <c r="D755" s="88" t="s">
        <v>2885</v>
      </c>
      <c r="E755" s="88" t="s">
        <v>2886</v>
      </c>
      <c r="F755" s="88"/>
      <c r="G755" s="88"/>
      <c r="H755" s="88"/>
      <c r="I755" s="88"/>
      <c r="J755" s="88"/>
      <c r="K755" s="88"/>
      <c r="L755" s="88"/>
      <c r="M755" s="88"/>
      <c r="N755" s="88"/>
      <c r="O755" s="88"/>
      <c r="P755" s="88"/>
      <c r="Q755" s="88"/>
      <c r="R755" s="88"/>
      <c r="S755" s="88"/>
      <c r="T755" s="88"/>
      <c r="U755" s="88"/>
      <c r="V755" s="88"/>
      <c r="W755" s="88"/>
      <c r="X755" s="88"/>
      <c r="Y755" s="88"/>
      <c r="Z755" s="88"/>
      <c r="AA755" s="88"/>
      <c r="AB755" s="88"/>
      <c r="AC755" s="88"/>
      <c r="AD755" s="88"/>
      <c r="AE755" s="88"/>
      <c r="AF755" s="88"/>
      <c r="AG755" s="88"/>
      <c r="AH755" s="88"/>
      <c r="AI755" s="88"/>
      <c r="AJ755" s="88"/>
    </row>
    <row r="756" spans="1:36" ht="15">
      <c r="A756" s="88" t="s">
        <v>343</v>
      </c>
      <c r="B756" s="88" t="s">
        <v>1146</v>
      </c>
      <c r="C756" s="88" t="s">
        <v>7</v>
      </c>
      <c r="D756" s="88" t="s">
        <v>2887</v>
      </c>
      <c r="E756" s="88" t="s">
        <v>2888</v>
      </c>
      <c r="F756" s="88"/>
      <c r="G756" s="88"/>
      <c r="H756" s="88"/>
      <c r="I756" s="88"/>
      <c r="J756" s="88"/>
      <c r="K756" s="88"/>
      <c r="L756" s="88"/>
      <c r="M756" s="88"/>
      <c r="N756" s="88"/>
      <c r="O756" s="88"/>
      <c r="P756" s="88"/>
      <c r="Q756" s="88"/>
      <c r="R756" s="88"/>
      <c r="S756" s="88"/>
      <c r="T756" s="88"/>
      <c r="U756" s="88"/>
      <c r="V756" s="88"/>
      <c r="W756" s="88"/>
      <c r="X756" s="88"/>
      <c r="Y756" s="88"/>
      <c r="Z756" s="88"/>
      <c r="AA756" s="88"/>
      <c r="AB756" s="88"/>
      <c r="AC756" s="88"/>
      <c r="AD756" s="88"/>
      <c r="AE756" s="88"/>
      <c r="AF756" s="88"/>
      <c r="AG756" s="88"/>
      <c r="AH756" s="88"/>
      <c r="AI756" s="88"/>
      <c r="AJ756" s="88"/>
    </row>
    <row r="757" spans="1:36" ht="15">
      <c r="A757" s="88" t="s">
        <v>343</v>
      </c>
      <c r="B757" s="88" t="s">
        <v>343</v>
      </c>
      <c r="C757" s="88" t="s">
        <v>7</v>
      </c>
      <c r="D757" s="88" t="s">
        <v>2889</v>
      </c>
      <c r="E757" s="88" t="s">
        <v>2890</v>
      </c>
      <c r="F757" s="88"/>
      <c r="G757" s="88"/>
      <c r="H757" s="88"/>
      <c r="I757" s="88"/>
      <c r="J757" s="88"/>
      <c r="K757" s="88"/>
      <c r="L757" s="88"/>
      <c r="M757" s="88"/>
      <c r="N757" s="88"/>
      <c r="O757" s="88"/>
      <c r="P757" s="88"/>
      <c r="Q757" s="88"/>
      <c r="R757" s="88"/>
      <c r="S757" s="88"/>
      <c r="T757" s="88"/>
      <c r="U757" s="88"/>
      <c r="V757" s="88"/>
      <c r="W757" s="88"/>
      <c r="X757" s="88"/>
      <c r="Y757" s="88"/>
      <c r="Z757" s="88"/>
      <c r="AA757" s="88"/>
      <c r="AB757" s="88"/>
      <c r="AC757" s="88"/>
      <c r="AD757" s="88"/>
      <c r="AE757" s="88"/>
      <c r="AF757" s="88"/>
      <c r="AG757" s="88"/>
      <c r="AH757" s="88"/>
      <c r="AI757" s="88"/>
      <c r="AJ757" s="88"/>
    </row>
    <row r="758" spans="1:36" ht="15">
      <c r="A758" s="88" t="s">
        <v>343</v>
      </c>
      <c r="B758" s="88" t="s">
        <v>1169</v>
      </c>
      <c r="C758" s="88" t="s">
        <v>7</v>
      </c>
      <c r="D758" s="88" t="s">
        <v>2891</v>
      </c>
      <c r="E758" s="88" t="s">
        <v>2892</v>
      </c>
      <c r="F758" s="88"/>
      <c r="G758" s="88"/>
      <c r="H758" s="88"/>
      <c r="I758" s="88"/>
      <c r="J758" s="88"/>
      <c r="K758" s="88"/>
      <c r="L758" s="88"/>
      <c r="M758" s="88"/>
      <c r="N758" s="88"/>
      <c r="O758" s="88"/>
      <c r="P758" s="88"/>
      <c r="Q758" s="88"/>
      <c r="R758" s="88"/>
      <c r="S758" s="88"/>
      <c r="T758" s="88"/>
      <c r="U758" s="88"/>
      <c r="V758" s="88"/>
      <c r="W758" s="88"/>
      <c r="X758" s="88"/>
      <c r="Y758" s="88"/>
      <c r="Z758" s="88"/>
      <c r="AA758" s="88"/>
      <c r="AB758" s="88"/>
      <c r="AC758" s="88"/>
      <c r="AD758" s="88"/>
      <c r="AE758" s="88"/>
      <c r="AF758" s="88"/>
      <c r="AG758" s="88"/>
      <c r="AH758" s="88"/>
      <c r="AI758" s="88"/>
      <c r="AJ758" s="88"/>
    </row>
    <row r="759" spans="1:36" ht="15">
      <c r="A759" s="88" t="s">
        <v>343</v>
      </c>
      <c r="B759" s="88" t="s">
        <v>1180</v>
      </c>
      <c r="C759" s="88" t="s">
        <v>7</v>
      </c>
      <c r="D759" s="88" t="s">
        <v>2893</v>
      </c>
      <c r="E759" s="88" t="s">
        <v>2894</v>
      </c>
      <c r="F759" s="88"/>
      <c r="G759" s="88"/>
      <c r="H759" s="88"/>
      <c r="I759" s="88"/>
      <c r="J759" s="88"/>
      <c r="K759" s="88"/>
      <c r="L759" s="88"/>
      <c r="M759" s="88"/>
      <c r="N759" s="88"/>
      <c r="O759" s="88"/>
      <c r="P759" s="88"/>
      <c r="Q759" s="88"/>
      <c r="R759" s="88"/>
      <c r="S759" s="88"/>
      <c r="T759" s="88"/>
      <c r="U759" s="88"/>
      <c r="V759" s="88"/>
      <c r="W759" s="88"/>
      <c r="X759" s="88"/>
      <c r="Y759" s="88"/>
      <c r="Z759" s="88"/>
      <c r="AA759" s="88"/>
      <c r="AB759" s="88"/>
      <c r="AC759" s="88"/>
      <c r="AD759" s="88"/>
      <c r="AE759" s="88"/>
      <c r="AF759" s="88"/>
      <c r="AG759" s="88"/>
      <c r="AH759" s="88"/>
      <c r="AI759" s="88"/>
      <c r="AJ759" s="88"/>
    </row>
    <row r="760" spans="1:36" ht="15">
      <c r="A760" s="88" t="s">
        <v>343</v>
      </c>
      <c r="B760" s="88" t="s">
        <v>1190</v>
      </c>
      <c r="C760" s="88" t="s">
        <v>7</v>
      </c>
      <c r="D760" s="88" t="s">
        <v>2895</v>
      </c>
      <c r="E760" s="88" t="s">
        <v>2896</v>
      </c>
      <c r="F760" s="88"/>
      <c r="G760" s="88"/>
      <c r="H760" s="88"/>
      <c r="I760" s="88"/>
      <c r="J760" s="88"/>
      <c r="K760" s="88"/>
      <c r="L760" s="88"/>
      <c r="M760" s="88"/>
      <c r="N760" s="88"/>
      <c r="O760" s="88"/>
      <c r="P760" s="88"/>
      <c r="Q760" s="88"/>
      <c r="R760" s="88"/>
      <c r="S760" s="88"/>
      <c r="T760" s="88"/>
      <c r="U760" s="88"/>
      <c r="V760" s="88"/>
      <c r="W760" s="88"/>
      <c r="X760" s="88"/>
      <c r="Y760" s="88"/>
      <c r="Z760" s="88"/>
      <c r="AA760" s="88"/>
      <c r="AB760" s="88"/>
      <c r="AC760" s="88"/>
      <c r="AD760" s="88"/>
      <c r="AE760" s="88"/>
      <c r="AF760" s="88"/>
      <c r="AG760" s="88"/>
      <c r="AH760" s="88"/>
      <c r="AI760" s="88"/>
      <c r="AJ760" s="88"/>
    </row>
    <row r="761" spans="1:36" ht="15">
      <c r="A761" s="88" t="s">
        <v>343</v>
      </c>
      <c r="B761" s="88" t="s">
        <v>1198</v>
      </c>
      <c r="C761" s="88" t="s">
        <v>7</v>
      </c>
      <c r="D761" s="88" t="s">
        <v>2897</v>
      </c>
      <c r="E761" s="88" t="s">
        <v>2898</v>
      </c>
      <c r="F761" s="88"/>
      <c r="G761" s="88"/>
      <c r="H761" s="88"/>
      <c r="I761" s="88"/>
      <c r="J761" s="88"/>
      <c r="K761" s="88"/>
      <c r="L761" s="88"/>
      <c r="M761" s="88"/>
      <c r="N761" s="88"/>
      <c r="O761" s="88"/>
      <c r="P761" s="88"/>
      <c r="Q761" s="88"/>
      <c r="R761" s="88"/>
      <c r="S761" s="88"/>
      <c r="T761" s="88"/>
      <c r="U761" s="88"/>
      <c r="V761" s="88"/>
      <c r="W761" s="88"/>
      <c r="X761" s="88"/>
      <c r="Y761" s="88"/>
      <c r="Z761" s="88"/>
      <c r="AA761" s="88"/>
      <c r="AB761" s="88"/>
      <c r="AC761" s="88"/>
      <c r="AD761" s="88"/>
      <c r="AE761" s="88"/>
      <c r="AF761" s="88"/>
      <c r="AG761" s="88"/>
      <c r="AH761" s="88"/>
      <c r="AI761" s="88"/>
      <c r="AJ761" s="88"/>
    </row>
    <row r="762" spans="1:36" ht="15">
      <c r="A762" s="88" t="s">
        <v>343</v>
      </c>
      <c r="B762" s="88" t="s">
        <v>1206</v>
      </c>
      <c r="C762" s="88" t="s">
        <v>7</v>
      </c>
      <c r="D762" s="88" t="s">
        <v>2899</v>
      </c>
      <c r="E762" s="88" t="s">
        <v>2900</v>
      </c>
      <c r="F762" s="88"/>
      <c r="G762" s="88"/>
      <c r="H762" s="88"/>
      <c r="I762" s="88"/>
      <c r="J762" s="88"/>
      <c r="K762" s="88"/>
      <c r="L762" s="88"/>
      <c r="M762" s="88"/>
      <c r="N762" s="88"/>
      <c r="O762" s="88"/>
      <c r="P762" s="88"/>
      <c r="Q762" s="88"/>
      <c r="R762" s="88"/>
      <c r="S762" s="88"/>
      <c r="T762" s="88"/>
      <c r="U762" s="88"/>
      <c r="V762" s="88"/>
      <c r="W762" s="88"/>
      <c r="X762" s="88"/>
      <c r="Y762" s="88"/>
      <c r="Z762" s="88"/>
      <c r="AA762" s="88"/>
      <c r="AB762" s="88"/>
      <c r="AC762" s="88"/>
      <c r="AD762" s="88"/>
      <c r="AE762" s="88"/>
      <c r="AF762" s="88"/>
      <c r="AG762" s="88"/>
      <c r="AH762" s="88"/>
      <c r="AI762" s="88"/>
      <c r="AJ762" s="88"/>
    </row>
    <row r="763" spans="1:36" ht="15">
      <c r="A763" s="88" t="s">
        <v>343</v>
      </c>
      <c r="B763" s="88" t="s">
        <v>1215</v>
      </c>
      <c r="C763" s="88" t="s">
        <v>7</v>
      </c>
      <c r="D763" s="88" t="s">
        <v>2901</v>
      </c>
      <c r="E763" s="88" t="s">
        <v>2902</v>
      </c>
      <c r="F763" s="88"/>
      <c r="G763" s="88"/>
      <c r="H763" s="88"/>
      <c r="I763" s="88"/>
      <c r="J763" s="88"/>
      <c r="K763" s="88"/>
      <c r="L763" s="88"/>
      <c r="M763" s="88"/>
      <c r="N763" s="88"/>
      <c r="O763" s="88"/>
      <c r="P763" s="88"/>
      <c r="Q763" s="88"/>
      <c r="R763" s="88"/>
      <c r="S763" s="88"/>
      <c r="T763" s="88"/>
      <c r="U763" s="88"/>
      <c r="V763" s="88"/>
      <c r="W763" s="88"/>
      <c r="X763" s="88"/>
      <c r="Y763" s="88"/>
      <c r="Z763" s="88"/>
      <c r="AA763" s="88"/>
      <c r="AB763" s="88"/>
      <c r="AC763" s="88"/>
      <c r="AD763" s="88"/>
      <c r="AE763" s="88"/>
      <c r="AF763" s="88"/>
      <c r="AG763" s="88"/>
      <c r="AH763" s="88"/>
      <c r="AI763" s="88"/>
      <c r="AJ763" s="88"/>
    </row>
    <row r="764" spans="1:36" ht="15">
      <c r="A764" s="88" t="s">
        <v>343</v>
      </c>
      <c r="B764" s="88" t="s">
        <v>1223</v>
      </c>
      <c r="C764" s="88" t="s">
        <v>7</v>
      </c>
      <c r="D764" s="88" t="s">
        <v>2903</v>
      </c>
      <c r="E764" s="88" t="s">
        <v>2904</v>
      </c>
      <c r="F764" s="88"/>
      <c r="G764" s="88"/>
      <c r="H764" s="88"/>
      <c r="I764" s="88"/>
      <c r="J764" s="88"/>
      <c r="K764" s="88"/>
      <c r="L764" s="88"/>
      <c r="M764" s="88"/>
      <c r="N764" s="88"/>
      <c r="O764" s="88"/>
      <c r="P764" s="88"/>
      <c r="Q764" s="88"/>
      <c r="R764" s="88"/>
      <c r="S764" s="88"/>
      <c r="T764" s="88"/>
      <c r="U764" s="88"/>
      <c r="V764" s="88"/>
      <c r="W764" s="88"/>
      <c r="X764" s="88"/>
      <c r="Y764" s="88"/>
      <c r="Z764" s="88"/>
      <c r="AA764" s="88"/>
      <c r="AB764" s="88"/>
      <c r="AC764" s="88"/>
      <c r="AD764" s="88"/>
      <c r="AE764" s="88"/>
      <c r="AF764" s="88"/>
      <c r="AG764" s="88"/>
      <c r="AH764" s="88"/>
      <c r="AI764" s="88"/>
      <c r="AJ764" s="88"/>
    </row>
    <row r="765" spans="1:36" ht="15">
      <c r="A765" s="88" t="s">
        <v>343</v>
      </c>
      <c r="B765" s="88" t="s">
        <v>1230</v>
      </c>
      <c r="C765" s="88" t="s">
        <v>7</v>
      </c>
      <c r="D765" s="88" t="s">
        <v>2905</v>
      </c>
      <c r="E765" s="88" t="s">
        <v>2906</v>
      </c>
      <c r="F765" s="88"/>
      <c r="G765" s="88"/>
      <c r="H765" s="88"/>
      <c r="I765" s="88"/>
      <c r="J765" s="88"/>
      <c r="K765" s="88"/>
      <c r="L765" s="88"/>
      <c r="M765" s="88"/>
      <c r="N765" s="88"/>
      <c r="O765" s="88"/>
      <c r="P765" s="88"/>
      <c r="Q765" s="88"/>
      <c r="R765" s="88"/>
      <c r="S765" s="88"/>
      <c r="T765" s="88"/>
      <c r="U765" s="88"/>
      <c r="V765" s="88"/>
      <c r="W765" s="88"/>
      <c r="X765" s="88"/>
      <c r="Y765" s="88"/>
      <c r="Z765" s="88"/>
      <c r="AA765" s="88"/>
      <c r="AB765" s="88"/>
      <c r="AC765" s="88"/>
      <c r="AD765" s="88"/>
      <c r="AE765" s="88"/>
      <c r="AF765" s="88"/>
      <c r="AG765" s="88"/>
      <c r="AH765" s="88"/>
      <c r="AI765" s="88"/>
      <c r="AJ765" s="88"/>
    </row>
    <row r="766" spans="1:36" ht="15">
      <c r="A766" s="88" t="s">
        <v>343</v>
      </c>
      <c r="B766" s="88" t="s">
        <v>1236</v>
      </c>
      <c r="C766" s="88" t="s">
        <v>7</v>
      </c>
      <c r="D766" s="88" t="s">
        <v>2907</v>
      </c>
      <c r="E766" s="88" t="s">
        <v>2908</v>
      </c>
      <c r="F766" s="88"/>
      <c r="G766" s="88"/>
      <c r="H766" s="88"/>
      <c r="I766" s="88"/>
      <c r="J766" s="88"/>
      <c r="K766" s="88"/>
      <c r="L766" s="88"/>
      <c r="M766" s="88"/>
      <c r="N766" s="88"/>
      <c r="O766" s="88"/>
      <c r="P766" s="88"/>
      <c r="Q766" s="88"/>
      <c r="R766" s="88"/>
      <c r="S766" s="88"/>
      <c r="T766" s="88"/>
      <c r="U766" s="88"/>
      <c r="V766" s="88"/>
      <c r="W766" s="88"/>
      <c r="X766" s="88"/>
      <c r="Y766" s="88"/>
      <c r="Z766" s="88"/>
      <c r="AA766" s="88"/>
      <c r="AB766" s="88"/>
      <c r="AC766" s="88"/>
      <c r="AD766" s="88"/>
      <c r="AE766" s="88"/>
      <c r="AF766" s="88"/>
      <c r="AG766" s="88"/>
      <c r="AH766" s="88"/>
      <c r="AI766" s="88"/>
      <c r="AJ766" s="88"/>
    </row>
    <row r="767" spans="1:36" ht="15">
      <c r="A767" s="88" t="s">
        <v>343</v>
      </c>
      <c r="B767" s="88" t="s">
        <v>1243</v>
      </c>
      <c r="C767" s="88" t="s">
        <v>7</v>
      </c>
      <c r="D767" s="88" t="s">
        <v>2909</v>
      </c>
      <c r="E767" s="88" t="s">
        <v>2910</v>
      </c>
      <c r="F767" s="88"/>
      <c r="G767" s="88"/>
      <c r="H767" s="88"/>
      <c r="I767" s="88"/>
      <c r="J767" s="88"/>
      <c r="K767" s="88"/>
      <c r="L767" s="88"/>
      <c r="M767" s="88"/>
      <c r="N767" s="88"/>
      <c r="O767" s="88"/>
      <c r="P767" s="88"/>
      <c r="Q767" s="88"/>
      <c r="R767" s="88"/>
      <c r="S767" s="88"/>
      <c r="T767" s="88"/>
      <c r="U767" s="88"/>
      <c r="V767" s="88"/>
      <c r="W767" s="88"/>
      <c r="X767" s="88"/>
      <c r="Y767" s="88"/>
      <c r="Z767" s="88"/>
      <c r="AA767" s="88"/>
      <c r="AB767" s="88"/>
      <c r="AC767" s="88"/>
      <c r="AD767" s="88"/>
      <c r="AE767" s="88"/>
      <c r="AF767" s="88"/>
      <c r="AG767" s="88"/>
      <c r="AH767" s="88"/>
      <c r="AI767" s="88"/>
      <c r="AJ767" s="88"/>
    </row>
    <row r="768" spans="1:36" ht="15">
      <c r="A768" s="88" t="s">
        <v>343</v>
      </c>
      <c r="B768" s="88" t="s">
        <v>1250</v>
      </c>
      <c r="C768" s="88" t="s">
        <v>7</v>
      </c>
      <c r="D768" s="88" t="s">
        <v>2911</v>
      </c>
      <c r="E768" s="88" t="s">
        <v>2912</v>
      </c>
      <c r="F768" s="88"/>
      <c r="G768" s="88"/>
      <c r="H768" s="88"/>
      <c r="I768" s="88"/>
      <c r="J768" s="88"/>
      <c r="K768" s="88"/>
      <c r="L768" s="88"/>
      <c r="M768" s="88"/>
      <c r="N768" s="88"/>
      <c r="O768" s="88"/>
      <c r="P768" s="88"/>
      <c r="Q768" s="88"/>
      <c r="R768" s="88"/>
      <c r="S768" s="88"/>
      <c r="T768" s="88"/>
      <c r="U768" s="88"/>
      <c r="V768" s="88"/>
      <c r="W768" s="88"/>
      <c r="X768" s="88"/>
      <c r="Y768" s="88"/>
      <c r="Z768" s="88"/>
      <c r="AA768" s="88"/>
      <c r="AB768" s="88"/>
      <c r="AC768" s="88"/>
      <c r="AD768" s="88"/>
      <c r="AE768" s="88"/>
      <c r="AF768" s="88"/>
      <c r="AG768" s="88"/>
      <c r="AH768" s="88"/>
      <c r="AI768" s="88"/>
      <c r="AJ768" s="88"/>
    </row>
    <row r="769" spans="1:36" ht="15">
      <c r="A769" s="88" t="s">
        <v>343</v>
      </c>
      <c r="B769" s="88" t="s">
        <v>1255</v>
      </c>
      <c r="C769" s="88" t="s">
        <v>7</v>
      </c>
      <c r="D769" s="88" t="s">
        <v>2913</v>
      </c>
      <c r="E769" s="88" t="s">
        <v>2914</v>
      </c>
      <c r="F769" s="88"/>
      <c r="G769" s="88"/>
      <c r="H769" s="88"/>
      <c r="I769" s="88"/>
      <c r="J769" s="88"/>
      <c r="K769" s="88"/>
      <c r="L769" s="88"/>
      <c r="M769" s="88"/>
      <c r="N769" s="88"/>
      <c r="O769" s="88"/>
      <c r="P769" s="88"/>
      <c r="Q769" s="88"/>
      <c r="R769" s="88"/>
      <c r="S769" s="88"/>
      <c r="T769" s="88"/>
      <c r="U769" s="88"/>
      <c r="V769" s="88"/>
      <c r="W769" s="88"/>
      <c r="X769" s="88"/>
      <c r="Y769" s="88"/>
      <c r="Z769" s="88"/>
      <c r="AA769" s="88"/>
      <c r="AB769" s="88"/>
      <c r="AC769" s="88"/>
      <c r="AD769" s="88"/>
      <c r="AE769" s="88"/>
      <c r="AF769" s="88"/>
      <c r="AG769" s="88"/>
      <c r="AH769" s="88"/>
      <c r="AI769" s="88"/>
      <c r="AJ769" s="88"/>
    </row>
    <row r="770" spans="1:36" ht="15">
      <c r="A770" s="88" t="s">
        <v>343</v>
      </c>
      <c r="B770" s="88" t="s">
        <v>1261</v>
      </c>
      <c r="C770" s="88" t="s">
        <v>7</v>
      </c>
      <c r="D770" s="88" t="s">
        <v>2915</v>
      </c>
      <c r="E770" s="88" t="s">
        <v>2916</v>
      </c>
      <c r="F770" s="88"/>
      <c r="G770" s="88"/>
      <c r="H770" s="88"/>
      <c r="I770" s="88"/>
      <c r="J770" s="88"/>
      <c r="K770" s="88"/>
      <c r="L770" s="88"/>
      <c r="M770" s="88"/>
      <c r="N770" s="88"/>
      <c r="O770" s="88"/>
      <c r="P770" s="88"/>
      <c r="Q770" s="88"/>
      <c r="R770" s="88"/>
      <c r="S770" s="88"/>
      <c r="T770" s="88"/>
      <c r="U770" s="88"/>
      <c r="V770" s="88"/>
      <c r="W770" s="88"/>
      <c r="X770" s="88"/>
      <c r="Y770" s="88"/>
      <c r="Z770" s="88"/>
      <c r="AA770" s="88"/>
      <c r="AB770" s="88"/>
      <c r="AC770" s="88"/>
      <c r="AD770" s="88"/>
      <c r="AE770" s="88"/>
      <c r="AF770" s="88"/>
      <c r="AG770" s="88"/>
      <c r="AH770" s="88"/>
      <c r="AI770" s="88"/>
      <c r="AJ770" s="88"/>
    </row>
    <row r="771" spans="1:36" ht="15">
      <c r="A771" s="88" t="s">
        <v>343</v>
      </c>
      <c r="B771" s="88" t="s">
        <v>1267</v>
      </c>
      <c r="C771" s="88" t="s">
        <v>7</v>
      </c>
      <c r="D771" s="88" t="s">
        <v>2917</v>
      </c>
      <c r="E771" s="88" t="s">
        <v>2918</v>
      </c>
      <c r="F771" s="88"/>
      <c r="G771" s="88"/>
      <c r="H771" s="88"/>
      <c r="I771" s="88"/>
      <c r="J771" s="88"/>
      <c r="K771" s="88"/>
      <c r="L771" s="88"/>
      <c r="M771" s="88"/>
      <c r="N771" s="88"/>
      <c r="O771" s="88"/>
      <c r="P771" s="88"/>
      <c r="Q771" s="88"/>
      <c r="R771" s="88"/>
      <c r="S771" s="88"/>
      <c r="T771" s="88"/>
      <c r="U771" s="88"/>
      <c r="V771" s="88"/>
      <c r="W771" s="88"/>
      <c r="X771" s="88"/>
      <c r="Y771" s="88"/>
      <c r="Z771" s="88"/>
      <c r="AA771" s="88"/>
      <c r="AB771" s="88"/>
      <c r="AC771" s="88"/>
      <c r="AD771" s="88"/>
      <c r="AE771" s="88"/>
      <c r="AF771" s="88"/>
      <c r="AG771" s="88"/>
      <c r="AH771" s="88"/>
      <c r="AI771" s="88"/>
      <c r="AJ771" s="88"/>
    </row>
    <row r="772" spans="1:36" ht="15">
      <c r="A772" s="88" t="s">
        <v>343</v>
      </c>
      <c r="B772" s="88" t="s">
        <v>1097</v>
      </c>
      <c r="C772" s="88" t="s">
        <v>7</v>
      </c>
      <c r="D772" s="88" t="s">
        <v>2919</v>
      </c>
      <c r="E772" s="88" t="s">
        <v>2920</v>
      </c>
      <c r="F772" s="88"/>
      <c r="G772" s="88"/>
      <c r="H772" s="88"/>
      <c r="I772" s="88"/>
      <c r="J772" s="88"/>
      <c r="K772" s="88"/>
      <c r="L772" s="88"/>
      <c r="M772" s="88"/>
      <c r="N772" s="88"/>
      <c r="O772" s="88"/>
      <c r="P772" s="88"/>
      <c r="Q772" s="88"/>
      <c r="R772" s="88"/>
      <c r="S772" s="88"/>
      <c r="T772" s="88"/>
      <c r="U772" s="88"/>
      <c r="V772" s="88"/>
      <c r="W772" s="88"/>
      <c r="X772" s="88"/>
      <c r="Y772" s="88"/>
      <c r="Z772" s="88"/>
      <c r="AA772" s="88"/>
      <c r="AB772" s="88"/>
      <c r="AC772" s="88"/>
      <c r="AD772" s="88"/>
      <c r="AE772" s="88"/>
      <c r="AF772" s="88"/>
      <c r="AG772" s="88"/>
      <c r="AH772" s="88"/>
      <c r="AI772" s="88"/>
      <c r="AJ772" s="88"/>
    </row>
    <row r="773" spans="1:36" ht="15">
      <c r="A773" s="88" t="s">
        <v>343</v>
      </c>
      <c r="B773" s="88" t="s">
        <v>1280</v>
      </c>
      <c r="C773" s="88" t="s">
        <v>7</v>
      </c>
      <c r="D773" s="88" t="s">
        <v>2921</v>
      </c>
      <c r="E773" s="88" t="s">
        <v>2922</v>
      </c>
      <c r="F773" s="88"/>
      <c r="G773" s="88"/>
      <c r="H773" s="88"/>
      <c r="I773" s="88"/>
      <c r="J773" s="88"/>
      <c r="K773" s="88"/>
      <c r="L773" s="88"/>
      <c r="M773" s="88"/>
      <c r="N773" s="88"/>
      <c r="O773" s="88"/>
      <c r="P773" s="88"/>
      <c r="Q773" s="88"/>
      <c r="R773" s="88"/>
      <c r="S773" s="88"/>
      <c r="T773" s="88"/>
      <c r="U773" s="88"/>
      <c r="V773" s="88"/>
      <c r="W773" s="88"/>
      <c r="X773" s="88"/>
      <c r="Y773" s="88"/>
      <c r="Z773" s="88"/>
      <c r="AA773" s="88"/>
      <c r="AB773" s="88"/>
      <c r="AC773" s="88"/>
      <c r="AD773" s="88"/>
      <c r="AE773" s="88"/>
      <c r="AF773" s="88"/>
      <c r="AG773" s="88"/>
      <c r="AH773" s="88"/>
      <c r="AI773" s="88"/>
      <c r="AJ773" s="88"/>
    </row>
    <row r="774" spans="1:36" ht="15">
      <c r="A774" s="88" t="s">
        <v>343</v>
      </c>
      <c r="B774" s="88" t="s">
        <v>1287</v>
      </c>
      <c r="C774" s="88" t="s">
        <v>7</v>
      </c>
      <c r="D774" s="88" t="s">
        <v>2923</v>
      </c>
      <c r="E774" s="88" t="s">
        <v>2924</v>
      </c>
      <c r="F774" s="88"/>
      <c r="G774" s="88"/>
      <c r="H774" s="88"/>
      <c r="I774" s="88"/>
      <c r="J774" s="88"/>
      <c r="K774" s="88"/>
      <c r="L774" s="88"/>
      <c r="M774" s="88"/>
      <c r="N774" s="88"/>
      <c r="O774" s="88"/>
      <c r="P774" s="88"/>
      <c r="Q774" s="88"/>
      <c r="R774" s="88"/>
      <c r="S774" s="88"/>
      <c r="T774" s="88"/>
      <c r="U774" s="88"/>
      <c r="V774" s="88"/>
      <c r="W774" s="88"/>
      <c r="X774" s="88"/>
      <c r="Y774" s="88"/>
      <c r="Z774" s="88"/>
      <c r="AA774" s="88"/>
      <c r="AB774" s="88"/>
      <c r="AC774" s="88"/>
      <c r="AD774" s="88"/>
      <c r="AE774" s="88"/>
      <c r="AF774" s="88"/>
      <c r="AG774" s="88"/>
      <c r="AH774" s="88"/>
      <c r="AI774" s="88"/>
      <c r="AJ774" s="88"/>
    </row>
    <row r="775" spans="1:36" ht="15">
      <c r="A775" s="88" t="s">
        <v>343</v>
      </c>
      <c r="B775" s="88" t="s">
        <v>1293</v>
      </c>
      <c r="C775" s="88" t="s">
        <v>7</v>
      </c>
      <c r="D775" s="88" t="s">
        <v>2925</v>
      </c>
      <c r="E775" s="88" t="s">
        <v>2926</v>
      </c>
      <c r="F775" s="88"/>
      <c r="G775" s="88"/>
      <c r="H775" s="88"/>
      <c r="I775" s="88"/>
      <c r="J775" s="88"/>
      <c r="K775" s="88"/>
      <c r="L775" s="88"/>
      <c r="M775" s="88"/>
      <c r="N775" s="88"/>
      <c r="O775" s="88"/>
      <c r="P775" s="88"/>
      <c r="Q775" s="88"/>
      <c r="R775" s="88"/>
      <c r="S775" s="88"/>
      <c r="T775" s="88"/>
      <c r="U775" s="88"/>
      <c r="V775" s="88"/>
      <c r="W775" s="88"/>
      <c r="X775" s="88"/>
      <c r="Y775" s="88"/>
      <c r="Z775" s="88"/>
      <c r="AA775" s="88"/>
      <c r="AB775" s="88"/>
      <c r="AC775" s="88"/>
      <c r="AD775" s="88"/>
      <c r="AE775" s="88"/>
      <c r="AF775" s="88"/>
      <c r="AG775" s="88"/>
      <c r="AH775" s="88"/>
      <c r="AI775" s="88"/>
      <c r="AJ775" s="88"/>
    </row>
    <row r="776" spans="1:36" ht="15">
      <c r="A776" s="88" t="s">
        <v>343</v>
      </c>
      <c r="B776" s="88" t="s">
        <v>1299</v>
      </c>
      <c r="C776" s="88" t="s">
        <v>7</v>
      </c>
      <c r="D776" s="88" t="s">
        <v>2927</v>
      </c>
      <c r="E776" s="88" t="s">
        <v>2928</v>
      </c>
      <c r="F776" s="88"/>
      <c r="G776" s="88"/>
      <c r="H776" s="88"/>
      <c r="I776" s="88"/>
      <c r="J776" s="88"/>
      <c r="K776" s="88"/>
      <c r="L776" s="88"/>
      <c r="M776" s="88"/>
      <c r="N776" s="88"/>
      <c r="O776" s="88"/>
      <c r="P776" s="88"/>
      <c r="Q776" s="88"/>
      <c r="R776" s="88"/>
      <c r="S776" s="88"/>
      <c r="T776" s="88"/>
      <c r="U776" s="88"/>
      <c r="V776" s="88"/>
      <c r="W776" s="88"/>
      <c r="X776" s="88"/>
      <c r="Y776" s="88"/>
      <c r="Z776" s="88"/>
      <c r="AA776" s="88"/>
      <c r="AB776" s="88"/>
      <c r="AC776" s="88"/>
      <c r="AD776" s="88"/>
      <c r="AE776" s="88"/>
      <c r="AF776" s="88"/>
      <c r="AG776" s="88"/>
      <c r="AH776" s="88"/>
      <c r="AI776" s="88"/>
      <c r="AJ776" s="88"/>
    </row>
    <row r="777" spans="1:36" ht="15">
      <c r="A777" s="88" t="s">
        <v>343</v>
      </c>
      <c r="B777" s="88" t="s">
        <v>1306</v>
      </c>
      <c r="C777" s="88" t="s">
        <v>7</v>
      </c>
      <c r="D777" s="88" t="s">
        <v>2929</v>
      </c>
      <c r="E777" s="88" t="s">
        <v>2930</v>
      </c>
      <c r="F777" s="88"/>
      <c r="G777" s="88"/>
      <c r="H777" s="88"/>
      <c r="I777" s="88"/>
      <c r="J777" s="88"/>
      <c r="K777" s="88"/>
      <c r="L777" s="88"/>
      <c r="M777" s="88"/>
      <c r="N777" s="88"/>
      <c r="O777" s="88"/>
      <c r="P777" s="88"/>
      <c r="Q777" s="88"/>
      <c r="R777" s="88"/>
      <c r="S777" s="88"/>
      <c r="T777" s="88"/>
      <c r="U777" s="88"/>
      <c r="V777" s="88"/>
      <c r="W777" s="88"/>
      <c r="X777" s="88"/>
      <c r="Y777" s="88"/>
      <c r="Z777" s="88"/>
      <c r="AA777" s="88"/>
      <c r="AB777" s="88"/>
      <c r="AC777" s="88"/>
      <c r="AD777" s="88"/>
      <c r="AE777" s="88"/>
      <c r="AF777" s="88"/>
      <c r="AG777" s="88"/>
      <c r="AH777" s="88"/>
      <c r="AI777" s="88"/>
      <c r="AJ777" s="88"/>
    </row>
    <row r="778" spans="1:36" ht="15">
      <c r="A778" s="88" t="s">
        <v>343</v>
      </c>
      <c r="B778" s="88" t="s">
        <v>1312</v>
      </c>
      <c r="C778" s="88" t="s">
        <v>7</v>
      </c>
      <c r="D778" s="88" t="s">
        <v>2931</v>
      </c>
      <c r="E778" s="88" t="s">
        <v>2932</v>
      </c>
      <c r="F778" s="88"/>
      <c r="G778" s="88"/>
      <c r="H778" s="88"/>
      <c r="I778" s="88"/>
      <c r="J778" s="88"/>
      <c r="K778" s="88"/>
      <c r="L778" s="88"/>
      <c r="M778" s="88"/>
      <c r="N778" s="88"/>
      <c r="O778" s="88"/>
      <c r="P778" s="88"/>
      <c r="Q778" s="88"/>
      <c r="R778" s="88"/>
      <c r="S778" s="88"/>
      <c r="T778" s="88"/>
      <c r="U778" s="88"/>
      <c r="V778" s="88"/>
      <c r="W778" s="88"/>
      <c r="X778" s="88"/>
      <c r="Y778" s="88"/>
      <c r="Z778" s="88"/>
      <c r="AA778" s="88"/>
      <c r="AB778" s="88"/>
      <c r="AC778" s="88"/>
      <c r="AD778" s="88"/>
      <c r="AE778" s="88"/>
      <c r="AF778" s="88"/>
      <c r="AG778" s="88"/>
      <c r="AH778" s="88"/>
      <c r="AI778" s="88"/>
      <c r="AJ778" s="88"/>
    </row>
    <row r="779" spans="1:36" ht="15">
      <c r="A779" s="88" t="s">
        <v>343</v>
      </c>
      <c r="B779" s="88" t="s">
        <v>1319</v>
      </c>
      <c r="C779" s="88" t="s">
        <v>7</v>
      </c>
      <c r="D779" s="88" t="s">
        <v>2933</v>
      </c>
      <c r="E779" s="88" t="s">
        <v>2934</v>
      </c>
      <c r="F779" s="88"/>
      <c r="G779" s="88"/>
      <c r="H779" s="88"/>
      <c r="I779" s="88"/>
      <c r="J779" s="88"/>
      <c r="K779" s="88"/>
      <c r="L779" s="88"/>
      <c r="M779" s="88"/>
      <c r="N779" s="88"/>
      <c r="O779" s="88"/>
      <c r="P779" s="88"/>
      <c r="Q779" s="88"/>
      <c r="R779" s="88"/>
      <c r="S779" s="88"/>
      <c r="T779" s="88"/>
      <c r="U779" s="88"/>
      <c r="V779" s="88"/>
      <c r="W779" s="88"/>
      <c r="X779" s="88"/>
      <c r="Y779" s="88"/>
      <c r="Z779" s="88"/>
      <c r="AA779" s="88"/>
      <c r="AB779" s="88"/>
      <c r="AC779" s="88"/>
      <c r="AD779" s="88"/>
      <c r="AE779" s="88"/>
      <c r="AF779" s="88"/>
      <c r="AG779" s="88"/>
      <c r="AH779" s="88"/>
      <c r="AI779" s="88"/>
      <c r="AJ779" s="88"/>
    </row>
    <row r="780" spans="1:36" ht="15">
      <c r="A780" s="88" t="s">
        <v>343</v>
      </c>
      <c r="B780" s="88" t="s">
        <v>1326</v>
      </c>
      <c r="C780" s="88" t="s">
        <v>7</v>
      </c>
      <c r="D780" s="88" t="s">
        <v>2935</v>
      </c>
      <c r="E780" s="88" t="s">
        <v>2936</v>
      </c>
      <c r="F780" s="88"/>
      <c r="G780" s="88"/>
      <c r="H780" s="88"/>
      <c r="I780" s="88"/>
      <c r="J780" s="88"/>
      <c r="K780" s="88"/>
      <c r="L780" s="88"/>
      <c r="M780" s="88"/>
      <c r="N780" s="88"/>
      <c r="O780" s="88"/>
      <c r="P780" s="88"/>
      <c r="Q780" s="88"/>
      <c r="R780" s="88"/>
      <c r="S780" s="88"/>
      <c r="T780" s="88"/>
      <c r="U780" s="88"/>
      <c r="V780" s="88"/>
      <c r="W780" s="88"/>
      <c r="X780" s="88"/>
      <c r="Y780" s="88"/>
      <c r="Z780" s="88"/>
      <c r="AA780" s="88"/>
      <c r="AB780" s="88"/>
      <c r="AC780" s="88"/>
      <c r="AD780" s="88"/>
      <c r="AE780" s="88"/>
      <c r="AF780" s="88"/>
      <c r="AG780" s="88"/>
      <c r="AH780" s="88"/>
      <c r="AI780" s="88"/>
      <c r="AJ780" s="88"/>
    </row>
    <row r="781" spans="1:36" ht="15">
      <c r="A781" s="88" t="s">
        <v>343</v>
      </c>
      <c r="B781" s="88" t="s">
        <v>1333</v>
      </c>
      <c r="C781" s="88" t="s">
        <v>7</v>
      </c>
      <c r="D781" s="88" t="s">
        <v>2937</v>
      </c>
      <c r="E781" s="88" t="s">
        <v>2938</v>
      </c>
      <c r="F781" s="88"/>
      <c r="G781" s="88"/>
      <c r="H781" s="88"/>
      <c r="I781" s="88"/>
      <c r="J781" s="88"/>
      <c r="K781" s="88"/>
      <c r="L781" s="88"/>
      <c r="M781" s="88"/>
      <c r="N781" s="88"/>
      <c r="O781" s="88"/>
      <c r="P781" s="88"/>
      <c r="Q781" s="88"/>
      <c r="R781" s="88"/>
      <c r="S781" s="88"/>
      <c r="T781" s="88"/>
      <c r="U781" s="88"/>
      <c r="V781" s="88"/>
      <c r="W781" s="88"/>
      <c r="X781" s="88"/>
      <c r="Y781" s="88"/>
      <c r="Z781" s="88"/>
      <c r="AA781" s="88"/>
      <c r="AB781" s="88"/>
      <c r="AC781" s="88"/>
      <c r="AD781" s="88"/>
      <c r="AE781" s="88"/>
      <c r="AF781" s="88"/>
      <c r="AG781" s="88"/>
      <c r="AH781" s="88"/>
      <c r="AI781" s="88"/>
      <c r="AJ781" s="88"/>
    </row>
    <row r="782" spans="1:36" ht="15">
      <c r="A782" s="88" t="s">
        <v>344</v>
      </c>
      <c r="B782" s="88" t="s">
        <v>376</v>
      </c>
      <c r="C782" s="88" t="s">
        <v>7</v>
      </c>
      <c r="D782" s="88" t="s">
        <v>2939</v>
      </c>
      <c r="E782" s="88" t="s">
        <v>2940</v>
      </c>
      <c r="F782" s="88"/>
      <c r="G782" s="88"/>
      <c r="H782" s="88"/>
      <c r="I782" s="88"/>
      <c r="J782" s="88"/>
      <c r="K782" s="88"/>
      <c r="L782" s="88"/>
      <c r="M782" s="88"/>
      <c r="N782" s="88"/>
      <c r="O782" s="88"/>
      <c r="P782" s="88"/>
      <c r="Q782" s="88"/>
      <c r="R782" s="88"/>
      <c r="S782" s="88"/>
      <c r="T782" s="88"/>
      <c r="U782" s="88"/>
      <c r="V782" s="88"/>
      <c r="W782" s="88"/>
      <c r="X782" s="88"/>
      <c r="Y782" s="88"/>
      <c r="Z782" s="88"/>
      <c r="AA782" s="88"/>
      <c r="AB782" s="88"/>
      <c r="AC782" s="88"/>
      <c r="AD782" s="88"/>
      <c r="AE782" s="88"/>
      <c r="AF782" s="88"/>
      <c r="AG782" s="88"/>
      <c r="AH782" s="88"/>
      <c r="AI782" s="88"/>
      <c r="AJ782" s="88"/>
    </row>
    <row r="783" spans="1:36" ht="15">
      <c r="A783" s="88" t="s">
        <v>344</v>
      </c>
      <c r="B783" s="88" t="s">
        <v>406</v>
      </c>
      <c r="C783" s="88" t="s">
        <v>7</v>
      </c>
      <c r="D783" s="88" t="s">
        <v>2941</v>
      </c>
      <c r="E783" s="88" t="s">
        <v>2942</v>
      </c>
      <c r="F783" s="88"/>
      <c r="G783" s="88"/>
      <c r="H783" s="88"/>
      <c r="I783" s="88"/>
      <c r="J783" s="88"/>
      <c r="K783" s="88"/>
      <c r="L783" s="88"/>
      <c r="M783" s="88"/>
      <c r="N783" s="88"/>
      <c r="O783" s="88"/>
      <c r="P783" s="88"/>
      <c r="Q783" s="88"/>
      <c r="R783" s="88"/>
      <c r="S783" s="88"/>
      <c r="T783" s="88"/>
      <c r="U783" s="88"/>
      <c r="V783" s="88"/>
      <c r="W783" s="88"/>
      <c r="X783" s="88"/>
      <c r="Y783" s="88"/>
      <c r="Z783" s="88"/>
      <c r="AA783" s="88"/>
      <c r="AB783" s="88"/>
      <c r="AC783" s="88"/>
      <c r="AD783" s="88"/>
      <c r="AE783" s="88"/>
      <c r="AF783" s="88"/>
      <c r="AG783" s="88"/>
      <c r="AH783" s="88"/>
      <c r="AI783" s="88"/>
      <c r="AJ783" s="88"/>
    </row>
    <row r="784" spans="1:36" ht="15">
      <c r="A784" s="88" t="s">
        <v>344</v>
      </c>
      <c r="B784" s="88" t="s">
        <v>437</v>
      </c>
      <c r="C784" s="88" t="s">
        <v>7</v>
      </c>
      <c r="D784" s="88" t="s">
        <v>2943</v>
      </c>
      <c r="E784" s="88" t="s">
        <v>2944</v>
      </c>
      <c r="F784" s="88"/>
      <c r="G784" s="88"/>
      <c r="H784" s="88"/>
      <c r="I784" s="88"/>
      <c r="J784" s="88"/>
      <c r="K784" s="88"/>
      <c r="L784" s="88"/>
      <c r="M784" s="88"/>
      <c r="N784" s="88"/>
      <c r="O784" s="88"/>
      <c r="P784" s="88"/>
      <c r="Q784" s="88"/>
      <c r="R784" s="88"/>
      <c r="S784" s="88"/>
      <c r="T784" s="88"/>
      <c r="U784" s="88"/>
      <c r="V784" s="88"/>
      <c r="W784" s="88"/>
      <c r="X784" s="88"/>
      <c r="Y784" s="88"/>
      <c r="Z784" s="88"/>
      <c r="AA784" s="88"/>
      <c r="AB784" s="88"/>
      <c r="AC784" s="88"/>
      <c r="AD784" s="88"/>
      <c r="AE784" s="88"/>
      <c r="AF784" s="88"/>
      <c r="AG784" s="88"/>
      <c r="AH784" s="88"/>
      <c r="AI784" s="88"/>
      <c r="AJ784" s="88"/>
    </row>
    <row r="785" spans="1:36" ht="15">
      <c r="A785" s="88" t="s">
        <v>344</v>
      </c>
      <c r="B785" s="88" t="s">
        <v>468</v>
      </c>
      <c r="C785" s="88" t="s">
        <v>7</v>
      </c>
      <c r="D785" s="88" t="s">
        <v>2945</v>
      </c>
      <c r="E785" s="88" t="s">
        <v>2946</v>
      </c>
      <c r="F785" s="88"/>
      <c r="G785" s="88"/>
      <c r="H785" s="88"/>
      <c r="I785" s="88"/>
      <c r="J785" s="88"/>
      <c r="K785" s="88"/>
      <c r="L785" s="88"/>
      <c r="M785" s="88"/>
      <c r="N785" s="88"/>
      <c r="O785" s="88"/>
      <c r="P785" s="88"/>
      <c r="Q785" s="88"/>
      <c r="R785" s="88"/>
      <c r="S785" s="88"/>
      <c r="T785" s="88"/>
      <c r="U785" s="88"/>
      <c r="V785" s="88"/>
      <c r="W785" s="88"/>
      <c r="X785" s="88"/>
      <c r="Y785" s="88"/>
      <c r="Z785" s="88"/>
      <c r="AA785" s="88"/>
      <c r="AB785" s="88"/>
      <c r="AC785" s="88"/>
      <c r="AD785" s="88"/>
      <c r="AE785" s="88"/>
      <c r="AF785" s="88"/>
      <c r="AG785" s="88"/>
      <c r="AH785" s="88"/>
      <c r="AI785" s="88"/>
      <c r="AJ785" s="88"/>
    </row>
    <row r="786" spans="1:36" ht="15">
      <c r="A786" s="88" t="s">
        <v>344</v>
      </c>
      <c r="B786" s="88" t="s">
        <v>499</v>
      </c>
      <c r="C786" s="88" t="s">
        <v>7</v>
      </c>
      <c r="D786" s="88" t="s">
        <v>2947</v>
      </c>
      <c r="E786" s="88" t="s">
        <v>2948</v>
      </c>
      <c r="F786" s="88"/>
      <c r="G786" s="88"/>
      <c r="H786" s="88"/>
      <c r="I786" s="88"/>
      <c r="J786" s="88"/>
      <c r="K786" s="88"/>
      <c r="L786" s="88"/>
      <c r="M786" s="88"/>
      <c r="N786" s="88"/>
      <c r="O786" s="88"/>
      <c r="P786" s="88"/>
      <c r="Q786" s="88"/>
      <c r="R786" s="88"/>
      <c r="S786" s="88"/>
      <c r="T786" s="88"/>
      <c r="U786" s="88"/>
      <c r="V786" s="88"/>
      <c r="W786" s="88"/>
      <c r="X786" s="88"/>
      <c r="Y786" s="88"/>
      <c r="Z786" s="88"/>
      <c r="AA786" s="88"/>
      <c r="AB786" s="88"/>
      <c r="AC786" s="88"/>
      <c r="AD786" s="88"/>
      <c r="AE786" s="88"/>
      <c r="AF786" s="88"/>
      <c r="AG786" s="88"/>
      <c r="AH786" s="88"/>
      <c r="AI786" s="88"/>
      <c r="AJ786" s="88"/>
    </row>
    <row r="787" spans="1:36" ht="15">
      <c r="A787" s="88" t="s">
        <v>344</v>
      </c>
      <c r="B787" s="88" t="s">
        <v>528</v>
      </c>
      <c r="C787" s="88" t="s">
        <v>7</v>
      </c>
      <c r="D787" s="88" t="s">
        <v>2949</v>
      </c>
      <c r="E787" s="88" t="s">
        <v>2950</v>
      </c>
      <c r="F787" s="88"/>
      <c r="G787" s="88"/>
      <c r="H787" s="88"/>
      <c r="I787" s="88"/>
      <c r="J787" s="88"/>
      <c r="K787" s="88"/>
      <c r="L787" s="88"/>
      <c r="M787" s="88"/>
      <c r="N787" s="88"/>
      <c r="O787" s="88"/>
      <c r="P787" s="88"/>
      <c r="Q787" s="88"/>
      <c r="R787" s="88"/>
      <c r="S787" s="88"/>
      <c r="T787" s="88"/>
      <c r="U787" s="88"/>
      <c r="V787" s="88"/>
      <c r="W787" s="88"/>
      <c r="X787" s="88"/>
      <c r="Y787" s="88"/>
      <c r="Z787" s="88"/>
      <c r="AA787" s="88"/>
      <c r="AB787" s="88"/>
      <c r="AC787" s="88"/>
      <c r="AD787" s="88"/>
      <c r="AE787" s="88"/>
      <c r="AF787" s="88"/>
      <c r="AG787" s="88"/>
      <c r="AH787" s="88"/>
      <c r="AI787" s="88"/>
      <c r="AJ787" s="88"/>
    </row>
    <row r="788" spans="1:36" ht="15">
      <c r="A788" s="88" t="s">
        <v>344</v>
      </c>
      <c r="B788" s="88" t="s">
        <v>557</v>
      </c>
      <c r="C788" s="88" t="s">
        <v>7</v>
      </c>
      <c r="D788" s="88" t="s">
        <v>2951</v>
      </c>
      <c r="E788" s="88" t="s">
        <v>2952</v>
      </c>
      <c r="F788" s="88"/>
      <c r="G788" s="88"/>
      <c r="H788" s="88"/>
      <c r="I788" s="88"/>
      <c r="J788" s="88"/>
      <c r="K788" s="88"/>
      <c r="L788" s="88"/>
      <c r="M788" s="88"/>
      <c r="N788" s="88"/>
      <c r="O788" s="88"/>
      <c r="P788" s="88"/>
      <c r="Q788" s="88"/>
      <c r="R788" s="88"/>
      <c r="S788" s="88"/>
      <c r="T788" s="88"/>
      <c r="U788" s="88"/>
      <c r="V788" s="88"/>
      <c r="W788" s="88"/>
      <c r="X788" s="88"/>
      <c r="Y788" s="88"/>
      <c r="Z788" s="88"/>
      <c r="AA788" s="88"/>
      <c r="AB788" s="88"/>
      <c r="AC788" s="88"/>
      <c r="AD788" s="88"/>
      <c r="AE788" s="88"/>
      <c r="AF788" s="88"/>
      <c r="AG788" s="88"/>
      <c r="AH788" s="88"/>
      <c r="AI788" s="88"/>
      <c r="AJ788" s="88"/>
    </row>
    <row r="789" spans="1:36" ht="15">
      <c r="A789" s="88" t="s">
        <v>344</v>
      </c>
      <c r="B789" s="88" t="s">
        <v>585</v>
      </c>
      <c r="C789" s="88" t="s">
        <v>7</v>
      </c>
      <c r="D789" s="88" t="s">
        <v>2953</v>
      </c>
      <c r="E789" s="88" t="s">
        <v>2954</v>
      </c>
      <c r="F789" s="88"/>
      <c r="G789" s="88"/>
      <c r="H789" s="88"/>
      <c r="I789" s="88"/>
      <c r="J789" s="88"/>
      <c r="K789" s="88"/>
      <c r="L789" s="88"/>
      <c r="M789" s="88"/>
      <c r="N789" s="88"/>
      <c r="O789" s="88"/>
      <c r="P789" s="88"/>
      <c r="Q789" s="88"/>
      <c r="R789" s="88"/>
      <c r="S789" s="88"/>
      <c r="T789" s="88"/>
      <c r="U789" s="88"/>
      <c r="V789" s="88"/>
      <c r="W789" s="88"/>
      <c r="X789" s="88"/>
      <c r="Y789" s="88"/>
      <c r="Z789" s="88"/>
      <c r="AA789" s="88"/>
      <c r="AB789" s="88"/>
      <c r="AC789" s="88"/>
      <c r="AD789" s="88"/>
      <c r="AE789" s="88"/>
      <c r="AF789" s="88"/>
      <c r="AG789" s="88"/>
      <c r="AH789" s="88"/>
      <c r="AI789" s="88"/>
      <c r="AJ789" s="88"/>
    </row>
    <row r="790" spans="1:36" ht="15">
      <c r="A790" s="88" t="s">
        <v>344</v>
      </c>
      <c r="B790" s="88" t="s">
        <v>611</v>
      </c>
      <c r="C790" s="88" t="s">
        <v>7</v>
      </c>
      <c r="D790" s="88" t="s">
        <v>2955</v>
      </c>
      <c r="E790" s="88" t="s">
        <v>2956</v>
      </c>
      <c r="F790" s="88"/>
      <c r="G790" s="88"/>
      <c r="H790" s="88"/>
      <c r="I790" s="88"/>
      <c r="J790" s="88"/>
      <c r="K790" s="88"/>
      <c r="L790" s="88"/>
      <c r="M790" s="88"/>
      <c r="N790" s="88"/>
      <c r="O790" s="88"/>
      <c r="P790" s="88"/>
      <c r="Q790" s="88"/>
      <c r="R790" s="88"/>
      <c r="S790" s="88"/>
      <c r="T790" s="88"/>
      <c r="U790" s="88"/>
      <c r="V790" s="88"/>
      <c r="W790" s="88"/>
      <c r="X790" s="88"/>
      <c r="Y790" s="88"/>
      <c r="Z790" s="88"/>
      <c r="AA790" s="88"/>
      <c r="AB790" s="88"/>
      <c r="AC790" s="88"/>
      <c r="AD790" s="88"/>
      <c r="AE790" s="88"/>
      <c r="AF790" s="88"/>
      <c r="AG790" s="88"/>
      <c r="AH790" s="88"/>
      <c r="AI790" s="88"/>
      <c r="AJ790" s="88"/>
    </row>
    <row r="791" spans="1:36" ht="15">
      <c r="A791" s="88" t="s">
        <v>344</v>
      </c>
      <c r="B791" s="88" t="s">
        <v>638</v>
      </c>
      <c r="C791" s="88" t="s">
        <v>7</v>
      </c>
      <c r="D791" s="88" t="s">
        <v>2957</v>
      </c>
      <c r="E791" s="88" t="s">
        <v>2958</v>
      </c>
      <c r="F791" s="88"/>
      <c r="G791" s="88"/>
      <c r="H791" s="88"/>
      <c r="I791" s="88"/>
      <c r="J791" s="88"/>
      <c r="K791" s="88"/>
      <c r="L791" s="88"/>
      <c r="M791" s="88"/>
      <c r="N791" s="88"/>
      <c r="O791" s="88"/>
      <c r="P791" s="88"/>
      <c r="Q791" s="88"/>
      <c r="R791" s="88"/>
      <c r="S791" s="88"/>
      <c r="T791" s="88"/>
      <c r="U791" s="88"/>
      <c r="V791" s="88"/>
      <c r="W791" s="88"/>
      <c r="X791" s="88"/>
      <c r="Y791" s="88"/>
      <c r="Z791" s="88"/>
      <c r="AA791" s="88"/>
      <c r="AB791" s="88"/>
      <c r="AC791" s="88"/>
      <c r="AD791" s="88"/>
      <c r="AE791" s="88"/>
      <c r="AF791" s="88"/>
      <c r="AG791" s="88"/>
      <c r="AH791" s="88"/>
      <c r="AI791" s="88"/>
      <c r="AJ791" s="88"/>
    </row>
    <row r="792" spans="1:36" ht="15">
      <c r="A792" s="88" t="s">
        <v>344</v>
      </c>
      <c r="B792" s="88" t="s">
        <v>663</v>
      </c>
      <c r="C792" s="88" t="s">
        <v>7</v>
      </c>
      <c r="D792" s="88" t="s">
        <v>2959</v>
      </c>
      <c r="E792" s="88" t="s">
        <v>2960</v>
      </c>
      <c r="F792" s="88"/>
      <c r="G792" s="88"/>
      <c r="H792" s="88"/>
      <c r="I792" s="88"/>
      <c r="J792" s="88"/>
      <c r="K792" s="88"/>
      <c r="L792" s="88"/>
      <c r="M792" s="88"/>
      <c r="N792" s="88"/>
      <c r="O792" s="88"/>
      <c r="P792" s="88"/>
      <c r="Q792" s="88"/>
      <c r="R792" s="88"/>
      <c r="S792" s="88"/>
      <c r="T792" s="88"/>
      <c r="U792" s="88"/>
      <c r="V792" s="88"/>
      <c r="W792" s="88"/>
      <c r="X792" s="88"/>
      <c r="Y792" s="88"/>
      <c r="Z792" s="88"/>
      <c r="AA792" s="88"/>
      <c r="AB792" s="88"/>
      <c r="AC792" s="88"/>
      <c r="AD792" s="88"/>
      <c r="AE792" s="88"/>
      <c r="AF792" s="88"/>
      <c r="AG792" s="88"/>
      <c r="AH792" s="88"/>
      <c r="AI792" s="88"/>
      <c r="AJ792" s="88"/>
    </row>
    <row r="793" spans="1:36" ht="15">
      <c r="A793" s="88" t="s">
        <v>344</v>
      </c>
      <c r="B793" s="88" t="s">
        <v>688</v>
      </c>
      <c r="C793" s="88" t="s">
        <v>7</v>
      </c>
      <c r="D793" s="88" t="s">
        <v>2961</v>
      </c>
      <c r="E793" s="88" t="s">
        <v>2962</v>
      </c>
      <c r="F793" s="88"/>
      <c r="G793" s="88"/>
      <c r="H793" s="88"/>
      <c r="I793" s="88"/>
      <c r="J793" s="88"/>
      <c r="K793" s="88"/>
      <c r="L793" s="88"/>
      <c r="M793" s="88"/>
      <c r="N793" s="88"/>
      <c r="O793" s="88"/>
      <c r="P793" s="88"/>
      <c r="Q793" s="88"/>
      <c r="R793" s="88"/>
      <c r="S793" s="88"/>
      <c r="T793" s="88"/>
      <c r="U793" s="88"/>
      <c r="V793" s="88"/>
      <c r="W793" s="88"/>
      <c r="X793" s="88"/>
      <c r="Y793" s="88"/>
      <c r="Z793" s="88"/>
      <c r="AA793" s="88"/>
      <c r="AB793" s="88"/>
      <c r="AC793" s="88"/>
      <c r="AD793" s="88"/>
      <c r="AE793" s="88"/>
      <c r="AF793" s="88"/>
      <c r="AG793" s="88"/>
      <c r="AH793" s="88"/>
      <c r="AI793" s="88"/>
      <c r="AJ793" s="88"/>
    </row>
    <row r="794" spans="1:36" ht="15">
      <c r="A794" s="88" t="s">
        <v>344</v>
      </c>
      <c r="B794" s="88" t="s">
        <v>712</v>
      </c>
      <c r="C794" s="88" t="s">
        <v>7</v>
      </c>
      <c r="D794" s="88" t="s">
        <v>2963</v>
      </c>
      <c r="E794" s="88" t="s">
        <v>2964</v>
      </c>
      <c r="F794" s="88"/>
      <c r="G794" s="88"/>
      <c r="H794" s="88"/>
      <c r="I794" s="88"/>
      <c r="J794" s="88"/>
      <c r="K794" s="88"/>
      <c r="L794" s="88"/>
      <c r="M794" s="88"/>
      <c r="N794" s="88"/>
      <c r="O794" s="88"/>
      <c r="P794" s="88"/>
      <c r="Q794" s="88"/>
      <c r="R794" s="88"/>
      <c r="S794" s="88"/>
      <c r="T794" s="88"/>
      <c r="U794" s="88"/>
      <c r="V794" s="88"/>
      <c r="W794" s="88"/>
      <c r="X794" s="88"/>
      <c r="Y794" s="88"/>
      <c r="Z794" s="88"/>
      <c r="AA794" s="88"/>
      <c r="AB794" s="88"/>
      <c r="AC794" s="88"/>
      <c r="AD794" s="88"/>
      <c r="AE794" s="88"/>
      <c r="AF794" s="88"/>
      <c r="AG794" s="88"/>
      <c r="AH794" s="88"/>
      <c r="AI794" s="88"/>
      <c r="AJ794" s="88"/>
    </row>
    <row r="795" spans="1:36" ht="15">
      <c r="A795" s="88" t="s">
        <v>344</v>
      </c>
      <c r="B795" s="88" t="s">
        <v>736</v>
      </c>
      <c r="C795" s="88" t="s">
        <v>7</v>
      </c>
      <c r="D795" s="88" t="s">
        <v>2965</v>
      </c>
      <c r="E795" s="88" t="s">
        <v>2966</v>
      </c>
      <c r="F795" s="88"/>
      <c r="G795" s="88"/>
      <c r="H795" s="88"/>
      <c r="I795" s="88"/>
      <c r="J795" s="88"/>
      <c r="K795" s="88"/>
      <c r="L795" s="88"/>
      <c r="M795" s="88"/>
      <c r="N795" s="88"/>
      <c r="O795" s="88"/>
      <c r="P795" s="88"/>
      <c r="Q795" s="88"/>
      <c r="R795" s="88"/>
      <c r="S795" s="88"/>
      <c r="T795" s="88"/>
      <c r="U795" s="88"/>
      <c r="V795" s="88"/>
      <c r="W795" s="88"/>
      <c r="X795" s="88"/>
      <c r="Y795" s="88"/>
      <c r="Z795" s="88"/>
      <c r="AA795" s="88"/>
      <c r="AB795" s="88"/>
      <c r="AC795" s="88"/>
      <c r="AD795" s="88"/>
      <c r="AE795" s="88"/>
      <c r="AF795" s="88"/>
      <c r="AG795" s="88"/>
      <c r="AH795" s="88"/>
      <c r="AI795" s="88"/>
      <c r="AJ795" s="88"/>
    </row>
    <row r="796" spans="1:36" ht="15">
      <c r="A796" s="88" t="s">
        <v>344</v>
      </c>
      <c r="B796" s="88" t="s">
        <v>760</v>
      </c>
      <c r="C796" s="88" t="s">
        <v>7</v>
      </c>
      <c r="D796" s="88" t="s">
        <v>2967</v>
      </c>
      <c r="E796" s="88" t="s">
        <v>2968</v>
      </c>
      <c r="F796" s="88"/>
      <c r="G796" s="88"/>
      <c r="H796" s="88"/>
      <c r="I796" s="88"/>
      <c r="J796" s="88"/>
      <c r="K796" s="88"/>
      <c r="L796" s="88"/>
      <c r="M796" s="88"/>
      <c r="N796" s="88"/>
      <c r="O796" s="88"/>
      <c r="P796" s="88"/>
      <c r="Q796" s="88"/>
      <c r="R796" s="88"/>
      <c r="S796" s="88"/>
      <c r="T796" s="88"/>
      <c r="U796" s="88"/>
      <c r="V796" s="88"/>
      <c r="W796" s="88"/>
      <c r="X796" s="88"/>
      <c r="Y796" s="88"/>
      <c r="Z796" s="88"/>
      <c r="AA796" s="88"/>
      <c r="AB796" s="88"/>
      <c r="AC796" s="88"/>
      <c r="AD796" s="88"/>
      <c r="AE796" s="88"/>
      <c r="AF796" s="88"/>
      <c r="AG796" s="88"/>
      <c r="AH796" s="88"/>
      <c r="AI796" s="88"/>
      <c r="AJ796" s="88"/>
    </row>
    <row r="797" spans="1:36" ht="15">
      <c r="A797" s="88" t="s">
        <v>344</v>
      </c>
      <c r="B797" s="88" t="s">
        <v>782</v>
      </c>
      <c r="C797" s="88" t="s">
        <v>7</v>
      </c>
      <c r="D797" s="88" t="s">
        <v>2969</v>
      </c>
      <c r="E797" s="88" t="s">
        <v>2970</v>
      </c>
      <c r="F797" s="88"/>
      <c r="G797" s="88"/>
      <c r="H797" s="88"/>
      <c r="I797" s="88"/>
      <c r="J797" s="88"/>
      <c r="K797" s="88"/>
      <c r="L797" s="88"/>
      <c r="M797" s="88"/>
      <c r="N797" s="88"/>
      <c r="O797" s="88"/>
      <c r="P797" s="88"/>
      <c r="Q797" s="88"/>
      <c r="R797" s="88"/>
      <c r="S797" s="88"/>
      <c r="T797" s="88"/>
      <c r="U797" s="88"/>
      <c r="V797" s="88"/>
      <c r="W797" s="88"/>
      <c r="X797" s="88"/>
      <c r="Y797" s="88"/>
      <c r="Z797" s="88"/>
      <c r="AA797" s="88"/>
      <c r="AB797" s="88"/>
      <c r="AC797" s="88"/>
      <c r="AD797" s="88"/>
      <c r="AE797" s="88"/>
      <c r="AF797" s="88"/>
      <c r="AG797" s="88"/>
      <c r="AH797" s="88"/>
      <c r="AI797" s="88"/>
      <c r="AJ797" s="88"/>
    </row>
    <row r="798" spans="1:36" ht="15">
      <c r="A798" s="88" t="s">
        <v>344</v>
      </c>
      <c r="B798" s="88" t="s">
        <v>803</v>
      </c>
      <c r="C798" s="88" t="s">
        <v>7</v>
      </c>
      <c r="D798" s="88" t="s">
        <v>2971</v>
      </c>
      <c r="E798" s="88" t="s">
        <v>2972</v>
      </c>
      <c r="F798" s="88"/>
      <c r="G798" s="88"/>
      <c r="H798" s="88"/>
      <c r="I798" s="88"/>
      <c r="J798" s="88"/>
      <c r="K798" s="88"/>
      <c r="L798" s="88"/>
      <c r="M798" s="88"/>
      <c r="N798" s="88"/>
      <c r="O798" s="88"/>
      <c r="P798" s="88"/>
      <c r="Q798" s="88"/>
      <c r="R798" s="88"/>
      <c r="S798" s="88"/>
      <c r="T798" s="88"/>
      <c r="U798" s="88"/>
      <c r="V798" s="88"/>
      <c r="W798" s="88"/>
      <c r="X798" s="88"/>
      <c r="Y798" s="88"/>
      <c r="Z798" s="88"/>
      <c r="AA798" s="88"/>
      <c r="AB798" s="88"/>
      <c r="AC798" s="88"/>
      <c r="AD798" s="88"/>
      <c r="AE798" s="88"/>
      <c r="AF798" s="88"/>
      <c r="AG798" s="88"/>
      <c r="AH798" s="88"/>
      <c r="AI798" s="88"/>
      <c r="AJ798" s="88"/>
    </row>
    <row r="799" spans="1:36" ht="15">
      <c r="A799" s="88" t="s">
        <v>344</v>
      </c>
      <c r="B799" s="88" t="s">
        <v>825</v>
      </c>
      <c r="C799" s="88" t="s">
        <v>7</v>
      </c>
      <c r="D799" s="88" t="s">
        <v>2973</v>
      </c>
      <c r="E799" s="88" t="s">
        <v>2974</v>
      </c>
      <c r="F799" s="88"/>
      <c r="G799" s="88"/>
      <c r="H799" s="88"/>
      <c r="I799" s="88"/>
      <c r="J799" s="88"/>
      <c r="K799" s="88"/>
      <c r="L799" s="88"/>
      <c r="M799" s="88"/>
      <c r="N799" s="88"/>
      <c r="O799" s="88"/>
      <c r="P799" s="88"/>
      <c r="Q799" s="88"/>
      <c r="R799" s="88"/>
      <c r="S799" s="88"/>
      <c r="T799" s="88"/>
      <c r="U799" s="88"/>
      <c r="V799" s="88"/>
      <c r="W799" s="88"/>
      <c r="X799" s="88"/>
      <c r="Y799" s="88"/>
      <c r="Z799" s="88"/>
      <c r="AA799" s="88"/>
      <c r="AB799" s="88"/>
      <c r="AC799" s="88"/>
      <c r="AD799" s="88"/>
      <c r="AE799" s="88"/>
      <c r="AF799" s="88"/>
      <c r="AG799" s="88"/>
      <c r="AH799" s="88"/>
      <c r="AI799" s="88"/>
      <c r="AJ799" s="88"/>
    </row>
    <row r="800" spans="1:36" ht="15">
      <c r="A800" s="88" t="s">
        <v>344</v>
      </c>
      <c r="B800" s="88" t="s">
        <v>846</v>
      </c>
      <c r="C800" s="88" t="s">
        <v>7</v>
      </c>
      <c r="D800" s="88" t="s">
        <v>2975</v>
      </c>
      <c r="E800" s="88" t="s">
        <v>2976</v>
      </c>
      <c r="F800" s="88"/>
      <c r="G800" s="88"/>
      <c r="H800" s="88"/>
      <c r="I800" s="88"/>
      <c r="J800" s="88"/>
      <c r="K800" s="88"/>
      <c r="L800" s="88"/>
      <c r="M800" s="88"/>
      <c r="N800" s="88"/>
      <c r="O800" s="88"/>
      <c r="P800" s="88"/>
      <c r="Q800" s="88"/>
      <c r="R800" s="88"/>
      <c r="S800" s="88"/>
      <c r="T800" s="88"/>
      <c r="U800" s="88"/>
      <c r="V800" s="88"/>
      <c r="W800" s="88"/>
      <c r="X800" s="88"/>
      <c r="Y800" s="88"/>
      <c r="Z800" s="88"/>
      <c r="AA800" s="88"/>
      <c r="AB800" s="88"/>
      <c r="AC800" s="88"/>
      <c r="AD800" s="88"/>
      <c r="AE800" s="88"/>
      <c r="AF800" s="88"/>
      <c r="AG800" s="88"/>
      <c r="AH800" s="88"/>
      <c r="AI800" s="88"/>
      <c r="AJ800" s="88"/>
    </row>
    <row r="801" spans="1:36" ht="15">
      <c r="A801" s="88" t="s">
        <v>344</v>
      </c>
      <c r="B801" s="88" t="s">
        <v>865</v>
      </c>
      <c r="C801" s="88" t="s">
        <v>7</v>
      </c>
      <c r="D801" s="88" t="s">
        <v>2977</v>
      </c>
      <c r="E801" s="88" t="s">
        <v>2978</v>
      </c>
      <c r="F801" s="88"/>
      <c r="G801" s="88"/>
      <c r="H801" s="88"/>
      <c r="I801" s="88"/>
      <c r="J801" s="88"/>
      <c r="K801" s="88"/>
      <c r="L801" s="88"/>
      <c r="M801" s="88"/>
      <c r="N801" s="88"/>
      <c r="O801" s="88"/>
      <c r="P801" s="88"/>
      <c r="Q801" s="88"/>
      <c r="R801" s="88"/>
      <c r="S801" s="88"/>
      <c r="T801" s="88"/>
      <c r="U801" s="88"/>
      <c r="V801" s="88"/>
      <c r="W801" s="88"/>
      <c r="X801" s="88"/>
      <c r="Y801" s="88"/>
      <c r="Z801" s="88"/>
      <c r="AA801" s="88"/>
      <c r="AB801" s="88"/>
      <c r="AC801" s="88"/>
      <c r="AD801" s="88"/>
      <c r="AE801" s="88"/>
      <c r="AF801" s="88"/>
      <c r="AG801" s="88"/>
      <c r="AH801" s="88"/>
      <c r="AI801" s="88"/>
      <c r="AJ801" s="88"/>
    </row>
    <row r="802" spans="1:36" ht="15">
      <c r="A802" s="88" t="s">
        <v>344</v>
      </c>
      <c r="B802" s="88" t="s">
        <v>885</v>
      </c>
      <c r="C802" s="88" t="s">
        <v>7</v>
      </c>
      <c r="D802" s="88" t="s">
        <v>2979</v>
      </c>
      <c r="E802" s="88" t="s">
        <v>2980</v>
      </c>
      <c r="F802" s="88"/>
      <c r="G802" s="88"/>
      <c r="H802" s="88"/>
      <c r="I802" s="88"/>
      <c r="J802" s="88"/>
      <c r="K802" s="88"/>
      <c r="L802" s="88"/>
      <c r="M802" s="88"/>
      <c r="N802" s="88"/>
      <c r="O802" s="88"/>
      <c r="P802" s="88"/>
      <c r="Q802" s="88"/>
      <c r="R802" s="88"/>
      <c r="S802" s="88"/>
      <c r="T802" s="88"/>
      <c r="U802" s="88"/>
      <c r="V802" s="88"/>
      <c r="W802" s="88"/>
      <c r="X802" s="88"/>
      <c r="Y802" s="88"/>
      <c r="Z802" s="88"/>
      <c r="AA802" s="88"/>
      <c r="AB802" s="88"/>
      <c r="AC802" s="88"/>
      <c r="AD802" s="88"/>
      <c r="AE802" s="88"/>
      <c r="AF802" s="88"/>
      <c r="AG802" s="88"/>
      <c r="AH802" s="88"/>
      <c r="AI802" s="88"/>
      <c r="AJ802" s="88"/>
    </row>
    <row r="803" spans="1:36" ht="15">
      <c r="A803" s="88" t="s">
        <v>344</v>
      </c>
      <c r="B803" s="88" t="s">
        <v>904</v>
      </c>
      <c r="C803" s="88" t="s">
        <v>7</v>
      </c>
      <c r="D803" s="88" t="s">
        <v>2981</v>
      </c>
      <c r="E803" s="88" t="s">
        <v>2982</v>
      </c>
      <c r="F803" s="88"/>
      <c r="G803" s="88"/>
      <c r="H803" s="88"/>
      <c r="I803" s="88"/>
      <c r="J803" s="88"/>
      <c r="K803" s="88"/>
      <c r="L803" s="88"/>
      <c r="M803" s="88"/>
      <c r="N803" s="88"/>
      <c r="O803" s="88"/>
      <c r="P803" s="88"/>
      <c r="Q803" s="88"/>
      <c r="R803" s="88"/>
      <c r="S803" s="88"/>
      <c r="T803" s="88"/>
      <c r="U803" s="88"/>
      <c r="V803" s="88"/>
      <c r="W803" s="88"/>
      <c r="X803" s="88"/>
      <c r="Y803" s="88"/>
      <c r="Z803" s="88"/>
      <c r="AA803" s="88"/>
      <c r="AB803" s="88"/>
      <c r="AC803" s="88"/>
      <c r="AD803" s="88"/>
      <c r="AE803" s="88"/>
      <c r="AF803" s="88"/>
      <c r="AG803" s="88"/>
      <c r="AH803" s="88"/>
      <c r="AI803" s="88"/>
      <c r="AJ803" s="88"/>
    </row>
    <row r="804" spans="1:36" ht="15">
      <c r="A804" s="88" t="s">
        <v>344</v>
      </c>
      <c r="B804" s="88" t="s">
        <v>922</v>
      </c>
      <c r="C804" s="88" t="s">
        <v>7</v>
      </c>
      <c r="D804" s="88" t="s">
        <v>2983</v>
      </c>
      <c r="E804" s="88" t="s">
        <v>2984</v>
      </c>
      <c r="F804" s="88"/>
      <c r="G804" s="88"/>
      <c r="H804" s="88"/>
      <c r="I804" s="88"/>
      <c r="J804" s="88"/>
      <c r="K804" s="88"/>
      <c r="L804" s="88"/>
      <c r="M804" s="88"/>
      <c r="N804" s="88"/>
      <c r="O804" s="88"/>
      <c r="P804" s="88"/>
      <c r="Q804" s="88"/>
      <c r="R804" s="88"/>
      <c r="S804" s="88"/>
      <c r="T804" s="88"/>
      <c r="U804" s="88"/>
      <c r="V804" s="88"/>
      <c r="W804" s="88"/>
      <c r="X804" s="88"/>
      <c r="Y804" s="88"/>
      <c r="Z804" s="88"/>
      <c r="AA804" s="88"/>
      <c r="AB804" s="88"/>
      <c r="AC804" s="88"/>
      <c r="AD804" s="88"/>
      <c r="AE804" s="88"/>
      <c r="AF804" s="88"/>
      <c r="AG804" s="88"/>
      <c r="AH804" s="88"/>
      <c r="AI804" s="88"/>
      <c r="AJ804" s="88"/>
    </row>
    <row r="805" spans="1:36" ht="15">
      <c r="A805" s="88" t="s">
        <v>344</v>
      </c>
      <c r="B805" s="88" t="s">
        <v>941</v>
      </c>
      <c r="C805" s="88" t="s">
        <v>7</v>
      </c>
      <c r="D805" s="88" t="s">
        <v>2985</v>
      </c>
      <c r="E805" s="88" t="s">
        <v>2986</v>
      </c>
      <c r="F805" s="88"/>
      <c r="G805" s="88"/>
      <c r="H805" s="88"/>
      <c r="I805" s="88"/>
      <c r="J805" s="88"/>
      <c r="K805" s="88"/>
      <c r="L805" s="88"/>
      <c r="M805" s="88"/>
      <c r="N805" s="88"/>
      <c r="O805" s="88"/>
      <c r="P805" s="88"/>
      <c r="Q805" s="88"/>
      <c r="R805" s="88"/>
      <c r="S805" s="88"/>
      <c r="T805" s="88"/>
      <c r="U805" s="88"/>
      <c r="V805" s="88"/>
      <c r="W805" s="88"/>
      <c r="X805" s="88"/>
      <c r="Y805" s="88"/>
      <c r="Z805" s="88"/>
      <c r="AA805" s="88"/>
      <c r="AB805" s="88"/>
      <c r="AC805" s="88"/>
      <c r="AD805" s="88"/>
      <c r="AE805" s="88"/>
      <c r="AF805" s="88"/>
      <c r="AG805" s="88"/>
      <c r="AH805" s="88"/>
      <c r="AI805" s="88"/>
      <c r="AJ805" s="88"/>
    </row>
    <row r="806" spans="1:36" ht="15">
      <c r="A806" s="88" t="s">
        <v>344</v>
      </c>
      <c r="B806" s="88" t="s">
        <v>959</v>
      </c>
      <c r="C806" s="88" t="s">
        <v>7</v>
      </c>
      <c r="D806" s="88" t="s">
        <v>2987</v>
      </c>
      <c r="E806" s="88" t="s">
        <v>2988</v>
      </c>
      <c r="F806" s="88"/>
      <c r="G806" s="88"/>
      <c r="H806" s="88"/>
      <c r="I806" s="88"/>
      <c r="J806" s="88"/>
      <c r="K806" s="88"/>
      <c r="L806" s="88"/>
      <c r="M806" s="88"/>
      <c r="N806" s="88"/>
      <c r="O806" s="88"/>
      <c r="P806" s="88"/>
      <c r="Q806" s="88"/>
      <c r="R806" s="88"/>
      <c r="S806" s="88"/>
      <c r="T806" s="88"/>
      <c r="U806" s="88"/>
      <c r="V806" s="88"/>
      <c r="W806" s="88"/>
      <c r="X806" s="88"/>
      <c r="Y806" s="88"/>
      <c r="Z806" s="88"/>
      <c r="AA806" s="88"/>
      <c r="AB806" s="88"/>
      <c r="AC806" s="88"/>
      <c r="AD806" s="88"/>
      <c r="AE806" s="88"/>
      <c r="AF806" s="88"/>
      <c r="AG806" s="88"/>
      <c r="AH806" s="88"/>
      <c r="AI806" s="88"/>
      <c r="AJ806" s="88"/>
    </row>
    <row r="807" spans="1:36" ht="15">
      <c r="A807" s="88" t="s">
        <v>344</v>
      </c>
      <c r="B807" s="88" t="s">
        <v>975</v>
      </c>
      <c r="C807" s="88" t="s">
        <v>7</v>
      </c>
      <c r="D807" s="88" t="s">
        <v>2989</v>
      </c>
      <c r="E807" s="88" t="s">
        <v>2990</v>
      </c>
      <c r="F807" s="88"/>
      <c r="G807" s="88"/>
      <c r="H807" s="88"/>
      <c r="I807" s="88"/>
      <c r="J807" s="88"/>
      <c r="K807" s="88"/>
      <c r="L807" s="88"/>
      <c r="M807" s="88"/>
      <c r="N807" s="88"/>
      <c r="O807" s="88"/>
      <c r="P807" s="88"/>
      <c r="Q807" s="88"/>
      <c r="R807" s="88"/>
      <c r="S807" s="88"/>
      <c r="T807" s="88"/>
      <c r="U807" s="88"/>
      <c r="V807" s="88"/>
      <c r="W807" s="88"/>
      <c r="X807" s="88"/>
      <c r="Y807" s="88"/>
      <c r="Z807" s="88"/>
      <c r="AA807" s="88"/>
      <c r="AB807" s="88"/>
      <c r="AC807" s="88"/>
      <c r="AD807" s="88"/>
      <c r="AE807" s="88"/>
      <c r="AF807" s="88"/>
      <c r="AG807" s="88"/>
      <c r="AH807" s="88"/>
      <c r="AI807" s="88"/>
      <c r="AJ807" s="88"/>
    </row>
    <row r="808" spans="1:36" ht="15">
      <c r="A808" s="88" t="s">
        <v>344</v>
      </c>
      <c r="B808" s="88" t="s">
        <v>994</v>
      </c>
      <c r="C808" s="88" t="s">
        <v>7</v>
      </c>
      <c r="D808" s="88" t="s">
        <v>2991</v>
      </c>
      <c r="E808" s="88" t="s">
        <v>2992</v>
      </c>
      <c r="F808" s="88"/>
      <c r="G808" s="88"/>
      <c r="H808" s="88"/>
      <c r="I808" s="88"/>
      <c r="J808" s="88"/>
      <c r="K808" s="88"/>
      <c r="L808" s="88"/>
      <c r="M808" s="88"/>
      <c r="N808" s="88"/>
      <c r="O808" s="88"/>
      <c r="P808" s="88"/>
      <c r="Q808" s="88"/>
      <c r="R808" s="88"/>
      <c r="S808" s="88"/>
      <c r="T808" s="88"/>
      <c r="U808" s="88"/>
      <c r="V808" s="88"/>
      <c r="W808" s="88"/>
      <c r="X808" s="88"/>
      <c r="Y808" s="88"/>
      <c r="Z808" s="88"/>
      <c r="AA808" s="88"/>
      <c r="AB808" s="88"/>
      <c r="AC808" s="88"/>
      <c r="AD808" s="88"/>
      <c r="AE808" s="88"/>
      <c r="AF808" s="88"/>
      <c r="AG808" s="88"/>
      <c r="AH808" s="88"/>
      <c r="AI808" s="88"/>
      <c r="AJ808" s="88"/>
    </row>
    <row r="809" spans="1:36" ht="15">
      <c r="A809" s="88" t="s">
        <v>344</v>
      </c>
      <c r="B809" s="88" t="s">
        <v>621</v>
      </c>
      <c r="C809" s="88" t="s">
        <v>7</v>
      </c>
      <c r="D809" s="88" t="s">
        <v>2993</v>
      </c>
      <c r="E809" s="88" t="s">
        <v>2994</v>
      </c>
      <c r="F809" s="88"/>
      <c r="G809" s="88"/>
      <c r="H809" s="88"/>
      <c r="I809" s="88"/>
      <c r="J809" s="88"/>
      <c r="K809" s="88"/>
      <c r="L809" s="88"/>
      <c r="M809" s="88"/>
      <c r="N809" s="88"/>
      <c r="O809" s="88"/>
      <c r="P809" s="88"/>
      <c r="Q809" s="88"/>
      <c r="R809" s="88"/>
      <c r="S809" s="88"/>
      <c r="T809" s="88"/>
      <c r="U809" s="88"/>
      <c r="V809" s="88"/>
      <c r="W809" s="88"/>
      <c r="X809" s="88"/>
      <c r="Y809" s="88"/>
      <c r="Z809" s="88"/>
      <c r="AA809" s="88"/>
      <c r="AB809" s="88"/>
      <c r="AC809" s="88"/>
      <c r="AD809" s="88"/>
      <c r="AE809" s="88"/>
      <c r="AF809" s="88"/>
      <c r="AG809" s="88"/>
      <c r="AH809" s="88"/>
      <c r="AI809" s="88"/>
      <c r="AJ809" s="88"/>
    </row>
    <row r="810" spans="1:36" ht="15">
      <c r="A810" s="88" t="s">
        <v>344</v>
      </c>
      <c r="B810" s="88" t="s">
        <v>1025</v>
      </c>
      <c r="C810" s="88" t="s">
        <v>7</v>
      </c>
      <c r="D810" s="88" t="s">
        <v>2995</v>
      </c>
      <c r="E810" s="88" t="s">
        <v>2996</v>
      </c>
      <c r="F810" s="88"/>
      <c r="G810" s="88"/>
      <c r="H810" s="88"/>
      <c r="I810" s="88"/>
      <c r="J810" s="88"/>
      <c r="K810" s="88"/>
      <c r="L810" s="88"/>
      <c r="M810" s="88"/>
      <c r="N810" s="88"/>
      <c r="O810" s="88"/>
      <c r="P810" s="88"/>
      <c r="Q810" s="88"/>
      <c r="R810" s="88"/>
      <c r="S810" s="88"/>
      <c r="T810" s="88"/>
      <c r="U810" s="88"/>
      <c r="V810" s="88"/>
      <c r="W810" s="88"/>
      <c r="X810" s="88"/>
      <c r="Y810" s="88"/>
      <c r="Z810" s="88"/>
      <c r="AA810" s="88"/>
      <c r="AB810" s="88"/>
      <c r="AC810" s="88"/>
      <c r="AD810" s="88"/>
      <c r="AE810" s="88"/>
      <c r="AF810" s="88"/>
      <c r="AG810" s="88"/>
      <c r="AH810" s="88"/>
      <c r="AI810" s="88"/>
      <c r="AJ810" s="88"/>
    </row>
    <row r="811" spans="1:36" ht="15">
      <c r="A811" s="88" t="s">
        <v>344</v>
      </c>
      <c r="B811" s="88" t="s">
        <v>1040</v>
      </c>
      <c r="C811" s="88" t="s">
        <v>7</v>
      </c>
      <c r="D811" s="88" t="s">
        <v>2997</v>
      </c>
      <c r="E811" s="88" t="s">
        <v>2998</v>
      </c>
      <c r="F811" s="88"/>
      <c r="G811" s="88"/>
      <c r="H811" s="88"/>
      <c r="I811" s="88"/>
      <c r="J811" s="88"/>
      <c r="K811" s="88"/>
      <c r="L811" s="88"/>
      <c r="M811" s="88"/>
      <c r="N811" s="88"/>
      <c r="O811" s="88"/>
      <c r="P811" s="88"/>
      <c r="Q811" s="88"/>
      <c r="R811" s="88"/>
      <c r="S811" s="88"/>
      <c r="T811" s="88"/>
      <c r="U811" s="88"/>
      <c r="V811" s="88"/>
      <c r="W811" s="88"/>
      <c r="X811" s="88"/>
      <c r="Y811" s="88"/>
      <c r="Z811" s="88"/>
      <c r="AA811" s="88"/>
      <c r="AB811" s="88"/>
      <c r="AC811" s="88"/>
      <c r="AD811" s="88"/>
      <c r="AE811" s="88"/>
      <c r="AF811" s="88"/>
      <c r="AG811" s="88"/>
      <c r="AH811" s="88"/>
      <c r="AI811" s="88"/>
      <c r="AJ811" s="88"/>
    </row>
    <row r="812" spans="1:36" ht="15">
      <c r="A812" s="88" t="s">
        <v>344</v>
      </c>
      <c r="B812" s="88" t="s">
        <v>1054</v>
      </c>
      <c r="C812" s="88" t="s">
        <v>7</v>
      </c>
      <c r="D812" s="88" t="s">
        <v>2999</v>
      </c>
      <c r="E812" s="88" t="s">
        <v>3000</v>
      </c>
      <c r="F812" s="88"/>
      <c r="G812" s="88"/>
      <c r="H812" s="88"/>
      <c r="I812" s="88"/>
      <c r="J812" s="88"/>
      <c r="K812" s="88"/>
      <c r="L812" s="88"/>
      <c r="M812" s="88"/>
      <c r="N812" s="88"/>
      <c r="O812" s="88"/>
      <c r="P812" s="88"/>
      <c r="Q812" s="88"/>
      <c r="R812" s="88"/>
      <c r="S812" s="88"/>
      <c r="T812" s="88"/>
      <c r="U812" s="88"/>
      <c r="V812" s="88"/>
      <c r="W812" s="88"/>
      <c r="X812" s="88"/>
      <c r="Y812" s="88"/>
      <c r="Z812" s="88"/>
      <c r="AA812" s="88"/>
      <c r="AB812" s="88"/>
      <c r="AC812" s="88"/>
      <c r="AD812" s="88"/>
      <c r="AE812" s="88"/>
      <c r="AF812" s="88"/>
      <c r="AG812" s="88"/>
      <c r="AH812" s="88"/>
      <c r="AI812" s="88"/>
      <c r="AJ812" s="88"/>
    </row>
    <row r="813" spans="1:36" ht="15">
      <c r="A813" s="88" t="s">
        <v>344</v>
      </c>
      <c r="B813" s="88" t="s">
        <v>1067</v>
      </c>
      <c r="C813" s="88" t="s">
        <v>7</v>
      </c>
      <c r="D813" s="88" t="s">
        <v>3001</v>
      </c>
      <c r="E813" s="88" t="s">
        <v>3002</v>
      </c>
      <c r="F813" s="88"/>
      <c r="G813" s="88"/>
      <c r="H813" s="88"/>
      <c r="I813" s="88"/>
      <c r="J813" s="88"/>
      <c r="K813" s="88"/>
      <c r="L813" s="88"/>
      <c r="M813" s="88"/>
      <c r="N813" s="88"/>
      <c r="O813" s="88"/>
      <c r="P813" s="88"/>
      <c r="Q813" s="88"/>
      <c r="R813" s="88"/>
      <c r="S813" s="88"/>
      <c r="T813" s="88"/>
      <c r="U813" s="88"/>
      <c r="V813" s="88"/>
      <c r="W813" s="88"/>
      <c r="X813" s="88"/>
      <c r="Y813" s="88"/>
      <c r="Z813" s="88"/>
      <c r="AA813" s="88"/>
      <c r="AB813" s="88"/>
      <c r="AC813" s="88"/>
      <c r="AD813" s="88"/>
      <c r="AE813" s="88"/>
      <c r="AF813" s="88"/>
      <c r="AG813" s="88"/>
      <c r="AH813" s="88"/>
      <c r="AI813" s="88"/>
      <c r="AJ813" s="88"/>
    </row>
    <row r="814" spans="1:36" ht="15">
      <c r="A814" s="88" t="s">
        <v>344</v>
      </c>
      <c r="B814" s="88" t="s">
        <v>664</v>
      </c>
      <c r="C814" s="88" t="s">
        <v>7</v>
      </c>
      <c r="D814" s="88" t="s">
        <v>3003</v>
      </c>
      <c r="E814" s="88" t="s">
        <v>3004</v>
      </c>
      <c r="F814" s="88"/>
      <c r="G814" s="88"/>
      <c r="H814" s="88"/>
      <c r="I814" s="88"/>
      <c r="J814" s="88"/>
      <c r="K814" s="88"/>
      <c r="L814" s="88"/>
      <c r="M814" s="88"/>
      <c r="N814" s="88"/>
      <c r="O814" s="88"/>
      <c r="P814" s="88"/>
      <c r="Q814" s="88"/>
      <c r="R814" s="88"/>
      <c r="S814" s="88"/>
      <c r="T814" s="88"/>
      <c r="U814" s="88"/>
      <c r="V814" s="88"/>
      <c r="W814" s="88"/>
      <c r="X814" s="88"/>
      <c r="Y814" s="88"/>
      <c r="Z814" s="88"/>
      <c r="AA814" s="88"/>
      <c r="AB814" s="88"/>
      <c r="AC814" s="88"/>
      <c r="AD814" s="88"/>
      <c r="AE814" s="88"/>
      <c r="AF814" s="88"/>
      <c r="AG814" s="88"/>
      <c r="AH814" s="88"/>
      <c r="AI814" s="88"/>
      <c r="AJ814" s="88"/>
    </row>
    <row r="815" spans="1:36" ht="15">
      <c r="A815" s="88" t="s">
        <v>344</v>
      </c>
      <c r="B815" s="88" t="s">
        <v>1090</v>
      </c>
      <c r="C815" s="88" t="s">
        <v>7</v>
      </c>
      <c r="D815" s="88" t="s">
        <v>3005</v>
      </c>
      <c r="E815" s="88" t="s">
        <v>3006</v>
      </c>
      <c r="F815" s="88"/>
      <c r="G815" s="88"/>
      <c r="H815" s="88"/>
      <c r="I815" s="88"/>
      <c r="J815" s="88"/>
      <c r="K815" s="88"/>
      <c r="L815" s="88"/>
      <c r="M815" s="88"/>
      <c r="N815" s="88"/>
      <c r="O815" s="88"/>
      <c r="P815" s="88"/>
      <c r="Q815" s="88"/>
      <c r="R815" s="88"/>
      <c r="S815" s="88"/>
      <c r="T815" s="88"/>
      <c r="U815" s="88"/>
      <c r="V815" s="88"/>
      <c r="W815" s="88"/>
      <c r="X815" s="88"/>
      <c r="Y815" s="88"/>
      <c r="Z815" s="88"/>
      <c r="AA815" s="88"/>
      <c r="AB815" s="88"/>
      <c r="AC815" s="88"/>
      <c r="AD815" s="88"/>
      <c r="AE815" s="88"/>
      <c r="AF815" s="88"/>
      <c r="AG815" s="88"/>
      <c r="AH815" s="88"/>
      <c r="AI815" s="88"/>
      <c r="AJ815" s="88"/>
    </row>
    <row r="816" spans="1:36" ht="15">
      <c r="A816" s="88" t="s">
        <v>344</v>
      </c>
      <c r="B816" s="88" t="s">
        <v>1103</v>
      </c>
      <c r="C816" s="88" t="s">
        <v>7</v>
      </c>
      <c r="D816" s="88" t="s">
        <v>3007</v>
      </c>
      <c r="E816" s="88" t="s">
        <v>3008</v>
      </c>
      <c r="F816" s="88"/>
      <c r="G816" s="88"/>
      <c r="H816" s="88"/>
      <c r="I816" s="88"/>
      <c r="J816" s="88"/>
      <c r="K816" s="88"/>
      <c r="L816" s="88"/>
      <c r="M816" s="88"/>
      <c r="N816" s="88"/>
      <c r="O816" s="88"/>
      <c r="P816" s="88"/>
      <c r="Q816" s="88"/>
      <c r="R816" s="88"/>
      <c r="S816" s="88"/>
      <c r="T816" s="88"/>
      <c r="U816" s="88"/>
      <c r="V816" s="88"/>
      <c r="W816" s="88"/>
      <c r="X816" s="88"/>
      <c r="Y816" s="88"/>
      <c r="Z816" s="88"/>
      <c r="AA816" s="88"/>
      <c r="AB816" s="88"/>
      <c r="AC816" s="88"/>
      <c r="AD816" s="88"/>
      <c r="AE816" s="88"/>
      <c r="AF816" s="88"/>
      <c r="AG816" s="88"/>
      <c r="AH816" s="88"/>
      <c r="AI816" s="88"/>
      <c r="AJ816" s="88"/>
    </row>
    <row r="817" spans="1:36" ht="15">
      <c r="A817" s="88" t="s">
        <v>344</v>
      </c>
      <c r="B817" s="88" t="s">
        <v>1116</v>
      </c>
      <c r="C817" s="88" t="s">
        <v>7</v>
      </c>
      <c r="D817" s="88" t="s">
        <v>3009</v>
      </c>
      <c r="E817" s="88" t="s">
        <v>3010</v>
      </c>
      <c r="F817" s="88"/>
      <c r="G817" s="88"/>
      <c r="H817" s="88"/>
      <c r="I817" s="88"/>
      <c r="J817" s="88"/>
      <c r="K817" s="88"/>
      <c r="L817" s="88"/>
      <c r="M817" s="88"/>
      <c r="N817" s="88"/>
      <c r="O817" s="88"/>
      <c r="P817" s="88"/>
      <c r="Q817" s="88"/>
      <c r="R817" s="88"/>
      <c r="S817" s="88"/>
      <c r="T817" s="88"/>
      <c r="U817" s="88"/>
      <c r="V817" s="88"/>
      <c r="W817" s="88"/>
      <c r="X817" s="88"/>
      <c r="Y817" s="88"/>
      <c r="Z817" s="88"/>
      <c r="AA817" s="88"/>
      <c r="AB817" s="88"/>
      <c r="AC817" s="88"/>
      <c r="AD817" s="88"/>
      <c r="AE817" s="88"/>
      <c r="AF817" s="88"/>
      <c r="AG817" s="88"/>
      <c r="AH817" s="88"/>
      <c r="AI817" s="88"/>
      <c r="AJ817" s="88"/>
    </row>
    <row r="818" spans="1:36" ht="15">
      <c r="A818" s="88" t="s">
        <v>344</v>
      </c>
      <c r="B818" s="88" t="s">
        <v>1126</v>
      </c>
      <c r="C818" s="88" t="s">
        <v>7</v>
      </c>
      <c r="D818" s="88" t="s">
        <v>3011</v>
      </c>
      <c r="E818" s="88" t="s">
        <v>3012</v>
      </c>
      <c r="F818" s="88"/>
      <c r="G818" s="88"/>
      <c r="H818" s="88"/>
      <c r="I818" s="88"/>
      <c r="J818" s="88"/>
      <c r="K818" s="88"/>
      <c r="L818" s="88"/>
      <c r="M818" s="88"/>
      <c r="N818" s="88"/>
      <c r="O818" s="88"/>
      <c r="P818" s="88"/>
      <c r="Q818" s="88"/>
      <c r="R818" s="88"/>
      <c r="S818" s="88"/>
      <c r="T818" s="88"/>
      <c r="U818" s="88"/>
      <c r="V818" s="88"/>
      <c r="W818" s="88"/>
      <c r="X818" s="88"/>
      <c r="Y818" s="88"/>
      <c r="Z818" s="88"/>
      <c r="AA818" s="88"/>
      <c r="AB818" s="88"/>
      <c r="AC818" s="88"/>
      <c r="AD818" s="88"/>
      <c r="AE818" s="88"/>
      <c r="AF818" s="88"/>
      <c r="AG818" s="88"/>
      <c r="AH818" s="88"/>
      <c r="AI818" s="88"/>
      <c r="AJ818" s="88"/>
    </row>
    <row r="819" spans="1:36" ht="15">
      <c r="A819" s="88" t="s">
        <v>344</v>
      </c>
      <c r="B819" s="88" t="s">
        <v>1137</v>
      </c>
      <c r="C819" s="88" t="s">
        <v>7</v>
      </c>
      <c r="D819" s="88" t="s">
        <v>3013</v>
      </c>
      <c r="E819" s="88" t="s">
        <v>3014</v>
      </c>
      <c r="F819" s="88"/>
      <c r="G819" s="88"/>
      <c r="H819" s="88"/>
      <c r="I819" s="88"/>
      <c r="J819" s="88"/>
      <c r="K819" s="88"/>
      <c r="L819" s="88"/>
      <c r="M819" s="88"/>
      <c r="N819" s="88"/>
      <c r="O819" s="88"/>
      <c r="P819" s="88"/>
      <c r="Q819" s="88"/>
      <c r="R819" s="88"/>
      <c r="S819" s="88"/>
      <c r="T819" s="88"/>
      <c r="U819" s="88"/>
      <c r="V819" s="88"/>
      <c r="W819" s="88"/>
      <c r="X819" s="88"/>
      <c r="Y819" s="88"/>
      <c r="Z819" s="88"/>
      <c r="AA819" s="88"/>
      <c r="AB819" s="88"/>
      <c r="AC819" s="88"/>
      <c r="AD819" s="88"/>
      <c r="AE819" s="88"/>
      <c r="AF819" s="88"/>
      <c r="AG819" s="88"/>
      <c r="AH819" s="88"/>
      <c r="AI819" s="88"/>
      <c r="AJ819" s="88"/>
    </row>
    <row r="820" spans="1:36" ht="15">
      <c r="A820" s="88" t="s">
        <v>344</v>
      </c>
      <c r="B820" s="88" t="s">
        <v>1147</v>
      </c>
      <c r="C820" s="88" t="s">
        <v>7</v>
      </c>
      <c r="D820" s="88" t="s">
        <v>3015</v>
      </c>
      <c r="E820" s="88" t="s">
        <v>3016</v>
      </c>
      <c r="F820" s="88"/>
      <c r="G820" s="88"/>
      <c r="H820" s="88"/>
      <c r="I820" s="88"/>
      <c r="J820" s="88"/>
      <c r="K820" s="88"/>
      <c r="L820" s="88"/>
      <c r="M820" s="88"/>
      <c r="N820" s="88"/>
      <c r="O820" s="88"/>
      <c r="P820" s="88"/>
      <c r="Q820" s="88"/>
      <c r="R820" s="88"/>
      <c r="S820" s="88"/>
      <c r="T820" s="88"/>
      <c r="U820" s="88"/>
      <c r="V820" s="88"/>
      <c r="W820" s="88"/>
      <c r="X820" s="88"/>
      <c r="Y820" s="88"/>
      <c r="Z820" s="88"/>
      <c r="AA820" s="88"/>
      <c r="AB820" s="88"/>
      <c r="AC820" s="88"/>
      <c r="AD820" s="88"/>
      <c r="AE820" s="88"/>
      <c r="AF820" s="88"/>
      <c r="AG820" s="88"/>
      <c r="AH820" s="88"/>
      <c r="AI820" s="88"/>
      <c r="AJ820" s="88"/>
    </row>
    <row r="821" spans="1:36" ht="15">
      <c r="A821" s="88" t="s">
        <v>344</v>
      </c>
      <c r="B821" s="88" t="s">
        <v>1158</v>
      </c>
      <c r="C821" s="88" t="s">
        <v>7</v>
      </c>
      <c r="D821" s="88" t="s">
        <v>3017</v>
      </c>
      <c r="E821" s="88" t="s">
        <v>3018</v>
      </c>
      <c r="F821" s="88"/>
      <c r="G821" s="88"/>
      <c r="H821" s="88"/>
      <c r="I821" s="88"/>
      <c r="J821" s="88"/>
      <c r="K821" s="88"/>
      <c r="L821" s="88"/>
      <c r="M821" s="88"/>
      <c r="N821" s="88"/>
      <c r="O821" s="88"/>
      <c r="P821" s="88"/>
      <c r="Q821" s="88"/>
      <c r="R821" s="88"/>
      <c r="S821" s="88"/>
      <c r="T821" s="88"/>
      <c r="U821" s="88"/>
      <c r="V821" s="88"/>
      <c r="W821" s="88"/>
      <c r="X821" s="88"/>
      <c r="Y821" s="88"/>
      <c r="Z821" s="88"/>
      <c r="AA821" s="88"/>
      <c r="AB821" s="88"/>
      <c r="AC821" s="88"/>
      <c r="AD821" s="88"/>
      <c r="AE821" s="88"/>
      <c r="AF821" s="88"/>
      <c r="AG821" s="88"/>
      <c r="AH821" s="88"/>
      <c r="AI821" s="88"/>
      <c r="AJ821" s="88"/>
    </row>
    <row r="822" spans="1:36" ht="15">
      <c r="A822" s="88" t="s">
        <v>346</v>
      </c>
      <c r="B822" s="88" t="s">
        <v>378</v>
      </c>
      <c r="C822" s="88" t="s">
        <v>7</v>
      </c>
      <c r="D822" s="88" t="s">
        <v>3019</v>
      </c>
      <c r="E822" s="88" t="s">
        <v>3020</v>
      </c>
      <c r="F822" s="88"/>
      <c r="G822" s="88"/>
      <c r="H822" s="88"/>
      <c r="I822" s="88"/>
      <c r="J822" s="88"/>
      <c r="K822" s="88"/>
      <c r="L822" s="88"/>
      <c r="M822" s="88"/>
      <c r="N822" s="88"/>
      <c r="O822" s="88"/>
      <c r="P822" s="88"/>
      <c r="Q822" s="88"/>
      <c r="R822" s="88"/>
      <c r="S822" s="88"/>
      <c r="T822" s="88"/>
      <c r="U822" s="88"/>
      <c r="V822" s="88"/>
      <c r="W822" s="88"/>
      <c r="X822" s="88"/>
      <c r="Y822" s="88"/>
      <c r="Z822" s="88"/>
      <c r="AA822" s="88"/>
      <c r="AB822" s="88"/>
      <c r="AC822" s="88"/>
      <c r="AD822" s="88"/>
      <c r="AE822" s="88"/>
      <c r="AF822" s="88"/>
      <c r="AG822" s="88"/>
      <c r="AH822" s="88"/>
      <c r="AI822" s="88"/>
      <c r="AJ822" s="88"/>
    </row>
    <row r="823" spans="1:36" ht="15">
      <c r="A823" s="88" t="s">
        <v>346</v>
      </c>
      <c r="B823" s="88" t="s">
        <v>408</v>
      </c>
      <c r="C823" s="88" t="s">
        <v>7</v>
      </c>
      <c r="D823" s="88" t="s">
        <v>3021</v>
      </c>
      <c r="E823" s="88" t="s">
        <v>3022</v>
      </c>
      <c r="F823" s="88"/>
      <c r="G823" s="88"/>
      <c r="H823" s="88"/>
      <c r="I823" s="88"/>
      <c r="J823" s="88"/>
      <c r="K823" s="88"/>
      <c r="L823" s="88"/>
      <c r="M823" s="88"/>
      <c r="N823" s="88"/>
      <c r="O823" s="88"/>
      <c r="P823" s="88"/>
      <c r="Q823" s="88"/>
      <c r="R823" s="88"/>
      <c r="S823" s="88"/>
      <c r="T823" s="88"/>
      <c r="U823" s="88"/>
      <c r="V823" s="88"/>
      <c r="W823" s="88"/>
      <c r="X823" s="88"/>
      <c r="Y823" s="88"/>
      <c r="Z823" s="88"/>
      <c r="AA823" s="88"/>
      <c r="AB823" s="88"/>
      <c r="AC823" s="88"/>
      <c r="AD823" s="88"/>
      <c r="AE823" s="88"/>
      <c r="AF823" s="88"/>
      <c r="AG823" s="88"/>
      <c r="AH823" s="88"/>
      <c r="AI823" s="88"/>
      <c r="AJ823" s="88"/>
    </row>
    <row r="824" spans="1:36" ht="15">
      <c r="A824" s="88" t="s">
        <v>346</v>
      </c>
      <c r="B824" s="88" t="s">
        <v>439</v>
      </c>
      <c r="C824" s="88" t="s">
        <v>7</v>
      </c>
      <c r="D824" s="88" t="s">
        <v>3023</v>
      </c>
      <c r="E824" s="88" t="s">
        <v>3024</v>
      </c>
      <c r="F824" s="88"/>
      <c r="G824" s="88"/>
      <c r="H824" s="88"/>
      <c r="I824" s="88"/>
      <c r="J824" s="88"/>
      <c r="K824" s="88"/>
      <c r="L824" s="88"/>
      <c r="M824" s="88"/>
      <c r="N824" s="88"/>
      <c r="O824" s="88"/>
      <c r="P824" s="88"/>
      <c r="Q824" s="88"/>
      <c r="R824" s="88"/>
      <c r="S824" s="88"/>
      <c r="T824" s="88"/>
      <c r="U824" s="88"/>
      <c r="V824" s="88"/>
      <c r="W824" s="88"/>
      <c r="X824" s="88"/>
      <c r="Y824" s="88"/>
      <c r="Z824" s="88"/>
      <c r="AA824" s="88"/>
      <c r="AB824" s="88"/>
      <c r="AC824" s="88"/>
      <c r="AD824" s="88"/>
      <c r="AE824" s="88"/>
      <c r="AF824" s="88"/>
      <c r="AG824" s="88"/>
      <c r="AH824" s="88"/>
      <c r="AI824" s="88"/>
      <c r="AJ824" s="88"/>
    </row>
    <row r="825" spans="1:36" ht="15">
      <c r="A825" s="88" t="s">
        <v>346</v>
      </c>
      <c r="B825" s="88" t="s">
        <v>470</v>
      </c>
      <c r="C825" s="88" t="s">
        <v>7</v>
      </c>
      <c r="D825" s="88" t="s">
        <v>3025</v>
      </c>
      <c r="E825" s="88" t="s">
        <v>3026</v>
      </c>
      <c r="F825" s="88"/>
      <c r="G825" s="88"/>
      <c r="H825" s="88"/>
      <c r="I825" s="88"/>
      <c r="J825" s="88"/>
      <c r="K825" s="88"/>
      <c r="L825" s="88"/>
      <c r="M825" s="88"/>
      <c r="N825" s="88"/>
      <c r="O825" s="88"/>
      <c r="P825" s="88"/>
      <c r="Q825" s="88"/>
      <c r="R825" s="88"/>
      <c r="S825" s="88"/>
      <c r="T825" s="88"/>
      <c r="U825" s="88"/>
      <c r="V825" s="88"/>
      <c r="W825" s="88"/>
      <c r="X825" s="88"/>
      <c r="Y825" s="88"/>
      <c r="Z825" s="88"/>
      <c r="AA825" s="88"/>
      <c r="AB825" s="88"/>
      <c r="AC825" s="88"/>
      <c r="AD825" s="88"/>
      <c r="AE825" s="88"/>
      <c r="AF825" s="88"/>
      <c r="AG825" s="88"/>
      <c r="AH825" s="88"/>
      <c r="AI825" s="88"/>
      <c r="AJ825" s="88"/>
    </row>
    <row r="826" spans="1:36" ht="15">
      <c r="A826" s="88" t="s">
        <v>346</v>
      </c>
      <c r="B826" s="88" t="s">
        <v>335</v>
      </c>
      <c r="C826" s="88" t="s">
        <v>7</v>
      </c>
      <c r="D826" s="88" t="s">
        <v>3027</v>
      </c>
      <c r="E826" s="88" t="s">
        <v>3028</v>
      </c>
      <c r="F826" s="88"/>
      <c r="G826" s="88"/>
      <c r="H826" s="88"/>
      <c r="I826" s="88"/>
      <c r="J826" s="88"/>
      <c r="K826" s="88"/>
      <c r="L826" s="88"/>
      <c r="M826" s="88"/>
      <c r="N826" s="88"/>
      <c r="O826" s="88"/>
      <c r="P826" s="88"/>
      <c r="Q826" s="88"/>
      <c r="R826" s="88"/>
      <c r="S826" s="88"/>
      <c r="T826" s="88"/>
      <c r="U826" s="88"/>
      <c r="V826" s="88"/>
      <c r="W826" s="88"/>
      <c r="X826" s="88"/>
      <c r="Y826" s="88"/>
      <c r="Z826" s="88"/>
      <c r="AA826" s="88"/>
      <c r="AB826" s="88"/>
      <c r="AC826" s="88"/>
      <c r="AD826" s="88"/>
      <c r="AE826" s="88"/>
      <c r="AF826" s="88"/>
      <c r="AG826" s="88"/>
      <c r="AH826" s="88"/>
      <c r="AI826" s="88"/>
      <c r="AJ826" s="88"/>
    </row>
    <row r="827" spans="1:36" ht="15">
      <c r="A827" s="88" t="s">
        <v>346</v>
      </c>
      <c r="B827" s="88" t="s">
        <v>530</v>
      </c>
      <c r="C827" s="88" t="s">
        <v>7</v>
      </c>
      <c r="D827" s="88" t="s">
        <v>3029</v>
      </c>
      <c r="E827" s="88" t="s">
        <v>3030</v>
      </c>
      <c r="F827" s="88"/>
      <c r="G827" s="88"/>
      <c r="H827" s="88"/>
      <c r="I827" s="88"/>
      <c r="J827" s="88"/>
      <c r="K827" s="88"/>
      <c r="L827" s="88"/>
      <c r="M827" s="88"/>
      <c r="N827" s="88"/>
      <c r="O827" s="88"/>
      <c r="P827" s="88"/>
      <c r="Q827" s="88"/>
      <c r="R827" s="88"/>
      <c r="S827" s="88"/>
      <c r="T827" s="88"/>
      <c r="U827" s="88"/>
      <c r="V827" s="88"/>
      <c r="W827" s="88"/>
      <c r="X827" s="88"/>
      <c r="Y827" s="88"/>
      <c r="Z827" s="88"/>
      <c r="AA827" s="88"/>
      <c r="AB827" s="88"/>
      <c r="AC827" s="88"/>
      <c r="AD827" s="88"/>
      <c r="AE827" s="88"/>
      <c r="AF827" s="88"/>
      <c r="AG827" s="88"/>
      <c r="AH827" s="88"/>
      <c r="AI827" s="88"/>
      <c r="AJ827" s="88"/>
    </row>
    <row r="828" spans="1:36" ht="15">
      <c r="A828" s="88" t="s">
        <v>346</v>
      </c>
      <c r="B828" s="88" t="s">
        <v>559</v>
      </c>
      <c r="C828" s="88" t="s">
        <v>7</v>
      </c>
      <c r="D828" s="88" t="s">
        <v>3031</v>
      </c>
      <c r="E828" s="88" t="s">
        <v>3032</v>
      </c>
      <c r="F828" s="88"/>
      <c r="G828" s="88"/>
      <c r="H828" s="88"/>
      <c r="I828" s="88"/>
      <c r="J828" s="88"/>
      <c r="K828" s="88"/>
      <c r="L828" s="88"/>
      <c r="M828" s="88"/>
      <c r="N828" s="88"/>
      <c r="O828" s="88"/>
      <c r="P828" s="88"/>
      <c r="Q828" s="88"/>
      <c r="R828" s="88"/>
      <c r="S828" s="88"/>
      <c r="T828" s="88"/>
      <c r="U828" s="88"/>
      <c r="V828" s="88"/>
      <c r="W828" s="88"/>
      <c r="X828" s="88"/>
      <c r="Y828" s="88"/>
      <c r="Z828" s="88"/>
      <c r="AA828" s="88"/>
      <c r="AB828" s="88"/>
      <c r="AC828" s="88"/>
      <c r="AD828" s="88"/>
      <c r="AE828" s="88"/>
      <c r="AF828" s="88"/>
      <c r="AG828" s="88"/>
      <c r="AH828" s="88"/>
      <c r="AI828" s="88"/>
      <c r="AJ828" s="88"/>
    </row>
    <row r="829" spans="1:36" ht="15">
      <c r="A829" s="88" t="s">
        <v>346</v>
      </c>
      <c r="B829" s="88" t="s">
        <v>587</v>
      </c>
      <c r="C829" s="88" t="s">
        <v>7</v>
      </c>
      <c r="D829" s="88" t="s">
        <v>3033</v>
      </c>
      <c r="E829" s="88" t="s">
        <v>3034</v>
      </c>
      <c r="F829" s="88"/>
      <c r="G829" s="88"/>
      <c r="H829" s="88"/>
      <c r="I829" s="88"/>
      <c r="J829" s="88"/>
      <c r="K829" s="88"/>
      <c r="L829" s="88"/>
      <c r="M829" s="88"/>
      <c r="N829" s="88"/>
      <c r="O829" s="88"/>
      <c r="P829" s="88"/>
      <c r="Q829" s="88"/>
      <c r="R829" s="88"/>
      <c r="S829" s="88"/>
      <c r="T829" s="88"/>
      <c r="U829" s="88"/>
      <c r="V829" s="88"/>
      <c r="W829" s="88"/>
      <c r="X829" s="88"/>
      <c r="Y829" s="88"/>
      <c r="Z829" s="88"/>
      <c r="AA829" s="88"/>
      <c r="AB829" s="88"/>
      <c r="AC829" s="88"/>
      <c r="AD829" s="88"/>
      <c r="AE829" s="88"/>
      <c r="AF829" s="88"/>
      <c r="AG829" s="88"/>
      <c r="AH829" s="88"/>
      <c r="AI829" s="88"/>
      <c r="AJ829" s="88"/>
    </row>
    <row r="830" spans="1:36" ht="15">
      <c r="A830" s="88" t="s">
        <v>346</v>
      </c>
      <c r="B830" s="88" t="s">
        <v>613</v>
      </c>
      <c r="C830" s="88" t="s">
        <v>7</v>
      </c>
      <c r="D830" s="88" t="s">
        <v>3035</v>
      </c>
      <c r="E830" s="88" t="s">
        <v>3036</v>
      </c>
      <c r="F830" s="88"/>
      <c r="G830" s="88"/>
      <c r="H830" s="88"/>
      <c r="I830" s="88"/>
      <c r="J830" s="88"/>
      <c r="K830" s="88"/>
      <c r="L830" s="88"/>
      <c r="M830" s="88"/>
      <c r="N830" s="88"/>
      <c r="O830" s="88"/>
      <c r="P830" s="88"/>
      <c r="Q830" s="88"/>
      <c r="R830" s="88"/>
      <c r="S830" s="88"/>
      <c r="T830" s="88"/>
      <c r="U830" s="88"/>
      <c r="V830" s="88"/>
      <c r="W830" s="88"/>
      <c r="X830" s="88"/>
      <c r="Y830" s="88"/>
      <c r="Z830" s="88"/>
      <c r="AA830" s="88"/>
      <c r="AB830" s="88"/>
      <c r="AC830" s="88"/>
      <c r="AD830" s="88"/>
      <c r="AE830" s="88"/>
      <c r="AF830" s="88"/>
      <c r="AG830" s="88"/>
      <c r="AH830" s="88"/>
      <c r="AI830" s="88"/>
      <c r="AJ830" s="88"/>
    </row>
    <row r="831" spans="1:36" ht="15">
      <c r="A831" s="88" t="s">
        <v>346</v>
      </c>
      <c r="B831" s="88" t="s">
        <v>640</v>
      </c>
      <c r="C831" s="88" t="s">
        <v>7</v>
      </c>
      <c r="D831" s="88" t="s">
        <v>3037</v>
      </c>
      <c r="E831" s="88" t="s">
        <v>3038</v>
      </c>
      <c r="F831" s="88"/>
      <c r="G831" s="88"/>
      <c r="H831" s="88"/>
      <c r="I831" s="88"/>
      <c r="J831" s="88"/>
      <c r="K831" s="88"/>
      <c r="L831" s="88"/>
      <c r="M831" s="88"/>
      <c r="N831" s="88"/>
      <c r="O831" s="88"/>
      <c r="P831" s="88"/>
      <c r="Q831" s="88"/>
      <c r="R831" s="88"/>
      <c r="S831" s="88"/>
      <c r="T831" s="88"/>
      <c r="U831" s="88"/>
      <c r="V831" s="88"/>
      <c r="W831" s="88"/>
      <c r="X831" s="88"/>
      <c r="Y831" s="88"/>
      <c r="Z831" s="88"/>
      <c r="AA831" s="88"/>
      <c r="AB831" s="88"/>
      <c r="AC831" s="88"/>
      <c r="AD831" s="88"/>
      <c r="AE831" s="88"/>
      <c r="AF831" s="88"/>
      <c r="AG831" s="88"/>
      <c r="AH831" s="88"/>
      <c r="AI831" s="88"/>
      <c r="AJ831" s="88"/>
    </row>
    <row r="832" spans="1:36" ht="15">
      <c r="A832" s="88" t="s">
        <v>346</v>
      </c>
      <c r="B832" s="88" t="s">
        <v>665</v>
      </c>
      <c r="C832" s="88" t="s">
        <v>7</v>
      </c>
      <c r="D832" s="88" t="s">
        <v>3039</v>
      </c>
      <c r="E832" s="88" t="s">
        <v>3040</v>
      </c>
      <c r="F832" s="88"/>
      <c r="G832" s="88"/>
      <c r="H832" s="88"/>
      <c r="I832" s="88"/>
      <c r="J832" s="88"/>
      <c r="K832" s="88"/>
      <c r="L832" s="88"/>
      <c r="M832" s="88"/>
      <c r="N832" s="88"/>
      <c r="O832" s="88"/>
      <c r="P832" s="88"/>
      <c r="Q832" s="88"/>
      <c r="R832" s="88"/>
      <c r="S832" s="88"/>
      <c r="T832" s="88"/>
      <c r="U832" s="88"/>
      <c r="V832" s="88"/>
      <c r="W832" s="88"/>
      <c r="X832" s="88"/>
      <c r="Y832" s="88"/>
      <c r="Z832" s="88"/>
      <c r="AA832" s="88"/>
      <c r="AB832" s="88"/>
      <c r="AC832" s="88"/>
      <c r="AD832" s="88"/>
      <c r="AE832" s="88"/>
      <c r="AF832" s="88"/>
      <c r="AG832" s="88"/>
      <c r="AH832" s="88"/>
      <c r="AI832" s="88"/>
      <c r="AJ832" s="88"/>
    </row>
    <row r="833" spans="1:36" ht="15">
      <c r="A833" s="88" t="s">
        <v>346</v>
      </c>
      <c r="B833" s="88" t="s">
        <v>690</v>
      </c>
      <c r="C833" s="88" t="s">
        <v>7</v>
      </c>
      <c r="D833" s="88" t="s">
        <v>3041</v>
      </c>
      <c r="E833" s="88" t="s">
        <v>3042</v>
      </c>
      <c r="F833" s="88"/>
      <c r="G833" s="88"/>
      <c r="H833" s="88"/>
      <c r="I833" s="88"/>
      <c r="J833" s="88"/>
      <c r="K833" s="88"/>
      <c r="L833" s="88"/>
      <c r="M833" s="88"/>
      <c r="N833" s="88"/>
      <c r="O833" s="88"/>
      <c r="P833" s="88"/>
      <c r="Q833" s="88"/>
      <c r="R833" s="88"/>
      <c r="S833" s="88"/>
      <c r="T833" s="88"/>
      <c r="U833" s="88"/>
      <c r="V833" s="88"/>
      <c r="W833" s="88"/>
      <c r="X833" s="88"/>
      <c r="Y833" s="88"/>
      <c r="Z833" s="88"/>
      <c r="AA833" s="88"/>
      <c r="AB833" s="88"/>
      <c r="AC833" s="88"/>
      <c r="AD833" s="88"/>
      <c r="AE833" s="88"/>
      <c r="AF833" s="88"/>
      <c r="AG833" s="88"/>
      <c r="AH833" s="88"/>
      <c r="AI833" s="88"/>
      <c r="AJ833" s="88"/>
    </row>
    <row r="834" spans="1:36" ht="15">
      <c r="A834" s="88" t="s">
        <v>347</v>
      </c>
      <c r="B834" s="88" t="s">
        <v>379</v>
      </c>
      <c r="C834" s="88" t="s">
        <v>7</v>
      </c>
      <c r="D834" s="88" t="s">
        <v>3043</v>
      </c>
      <c r="E834" s="88" t="s">
        <v>3044</v>
      </c>
      <c r="F834" s="88"/>
      <c r="G834" s="88"/>
      <c r="H834" s="88"/>
      <c r="I834" s="88"/>
      <c r="J834" s="88"/>
      <c r="K834" s="88"/>
      <c r="L834" s="88"/>
      <c r="M834" s="88"/>
      <c r="N834" s="88"/>
      <c r="O834" s="88"/>
      <c r="P834" s="88"/>
      <c r="Q834" s="88"/>
      <c r="R834" s="88"/>
      <c r="S834" s="88"/>
      <c r="T834" s="88"/>
      <c r="U834" s="88"/>
      <c r="V834" s="88"/>
      <c r="W834" s="88"/>
      <c r="X834" s="88"/>
      <c r="Y834" s="88"/>
      <c r="Z834" s="88"/>
      <c r="AA834" s="88"/>
      <c r="AB834" s="88"/>
      <c r="AC834" s="88"/>
      <c r="AD834" s="88"/>
      <c r="AE834" s="88"/>
      <c r="AF834" s="88"/>
      <c r="AG834" s="88"/>
      <c r="AH834" s="88"/>
      <c r="AI834" s="88"/>
      <c r="AJ834" s="88"/>
    </row>
    <row r="835" spans="1:36" ht="15">
      <c r="A835" s="88" t="s">
        <v>347</v>
      </c>
      <c r="B835" s="88" t="s">
        <v>409</v>
      </c>
      <c r="C835" s="88" t="s">
        <v>7</v>
      </c>
      <c r="D835" s="88" t="s">
        <v>3045</v>
      </c>
      <c r="E835" s="88" t="s">
        <v>3046</v>
      </c>
      <c r="F835" s="88"/>
      <c r="G835" s="88"/>
      <c r="H835" s="88"/>
      <c r="I835" s="88"/>
      <c r="J835" s="88"/>
      <c r="K835" s="88"/>
      <c r="L835" s="88"/>
      <c r="M835" s="88"/>
      <c r="N835" s="88"/>
      <c r="O835" s="88"/>
      <c r="P835" s="88"/>
      <c r="Q835" s="88"/>
      <c r="R835" s="88"/>
      <c r="S835" s="88"/>
      <c r="T835" s="88"/>
      <c r="U835" s="88"/>
      <c r="V835" s="88"/>
      <c r="W835" s="88"/>
      <c r="X835" s="88"/>
      <c r="Y835" s="88"/>
      <c r="Z835" s="88"/>
      <c r="AA835" s="88"/>
      <c r="AB835" s="88"/>
      <c r="AC835" s="88"/>
      <c r="AD835" s="88"/>
      <c r="AE835" s="88"/>
      <c r="AF835" s="88"/>
      <c r="AG835" s="88"/>
      <c r="AH835" s="88"/>
      <c r="AI835" s="88"/>
      <c r="AJ835" s="88"/>
    </row>
    <row r="836" spans="1:36" ht="15">
      <c r="A836" s="88" t="s">
        <v>347</v>
      </c>
      <c r="B836" s="88" t="s">
        <v>440</v>
      </c>
      <c r="C836" s="88" t="s">
        <v>7</v>
      </c>
      <c r="D836" s="88" t="s">
        <v>3047</v>
      </c>
      <c r="E836" s="88" t="s">
        <v>3048</v>
      </c>
      <c r="F836" s="88"/>
      <c r="G836" s="88"/>
      <c r="H836" s="88"/>
      <c r="I836" s="88"/>
      <c r="J836" s="88"/>
      <c r="K836" s="88"/>
      <c r="L836" s="88"/>
      <c r="M836" s="88"/>
      <c r="N836" s="88"/>
      <c r="O836" s="88"/>
      <c r="P836" s="88"/>
      <c r="Q836" s="88"/>
      <c r="R836" s="88"/>
      <c r="S836" s="88"/>
      <c r="T836" s="88"/>
      <c r="U836" s="88"/>
      <c r="V836" s="88"/>
      <c r="W836" s="88"/>
      <c r="X836" s="88"/>
      <c r="Y836" s="88"/>
      <c r="Z836" s="88"/>
      <c r="AA836" s="88"/>
      <c r="AB836" s="88"/>
      <c r="AC836" s="88"/>
      <c r="AD836" s="88"/>
      <c r="AE836" s="88"/>
      <c r="AF836" s="88"/>
      <c r="AG836" s="88"/>
      <c r="AH836" s="88"/>
      <c r="AI836" s="88"/>
      <c r="AJ836" s="88"/>
    </row>
    <row r="837" spans="1:36" ht="15">
      <c r="A837" s="88" t="s">
        <v>347</v>
      </c>
      <c r="B837" s="88" t="s">
        <v>471</v>
      </c>
      <c r="C837" s="88" t="s">
        <v>7</v>
      </c>
      <c r="D837" s="88" t="s">
        <v>3049</v>
      </c>
      <c r="E837" s="88" t="s">
        <v>3050</v>
      </c>
      <c r="F837" s="88"/>
      <c r="G837" s="88"/>
      <c r="H837" s="88"/>
      <c r="I837" s="88"/>
      <c r="J837" s="88"/>
      <c r="K837" s="88"/>
      <c r="L837" s="88"/>
      <c r="M837" s="88"/>
      <c r="N837" s="88"/>
      <c r="O837" s="88"/>
      <c r="P837" s="88"/>
      <c r="Q837" s="88"/>
      <c r="R837" s="88"/>
      <c r="S837" s="88"/>
      <c r="T837" s="88"/>
      <c r="U837" s="88"/>
      <c r="V837" s="88"/>
      <c r="W837" s="88"/>
      <c r="X837" s="88"/>
      <c r="Y837" s="88"/>
      <c r="Z837" s="88"/>
      <c r="AA837" s="88"/>
      <c r="AB837" s="88"/>
      <c r="AC837" s="88"/>
      <c r="AD837" s="88"/>
      <c r="AE837" s="88"/>
      <c r="AF837" s="88"/>
      <c r="AG837" s="88"/>
      <c r="AH837" s="88"/>
      <c r="AI837" s="88"/>
      <c r="AJ837" s="88"/>
    </row>
    <row r="838" spans="1:36" ht="15">
      <c r="A838" s="88" t="s">
        <v>347</v>
      </c>
      <c r="B838" s="88" t="s">
        <v>501</v>
      </c>
      <c r="C838" s="88" t="s">
        <v>7</v>
      </c>
      <c r="D838" s="88" t="s">
        <v>3051</v>
      </c>
      <c r="E838" s="88" t="s">
        <v>3052</v>
      </c>
      <c r="F838" s="88"/>
      <c r="G838" s="88"/>
      <c r="H838" s="88"/>
      <c r="I838" s="88"/>
      <c r="J838" s="88"/>
      <c r="K838" s="88"/>
      <c r="L838" s="88"/>
      <c r="M838" s="88"/>
      <c r="N838" s="88"/>
      <c r="O838" s="88"/>
      <c r="P838" s="88"/>
      <c r="Q838" s="88"/>
      <c r="R838" s="88"/>
      <c r="S838" s="88"/>
      <c r="T838" s="88"/>
      <c r="U838" s="88"/>
      <c r="V838" s="88"/>
      <c r="W838" s="88"/>
      <c r="X838" s="88"/>
      <c r="Y838" s="88"/>
      <c r="Z838" s="88"/>
      <c r="AA838" s="88"/>
      <c r="AB838" s="88"/>
      <c r="AC838" s="88"/>
      <c r="AD838" s="88"/>
      <c r="AE838" s="88"/>
      <c r="AF838" s="88"/>
      <c r="AG838" s="88"/>
      <c r="AH838" s="88"/>
      <c r="AI838" s="88"/>
      <c r="AJ838" s="88"/>
    </row>
    <row r="839" spans="1:36" ht="15">
      <c r="A839" s="88" t="s">
        <v>347</v>
      </c>
      <c r="B839" s="88" t="s">
        <v>531</v>
      </c>
      <c r="C839" s="88" t="s">
        <v>7</v>
      </c>
      <c r="D839" s="88" t="s">
        <v>3053</v>
      </c>
      <c r="E839" s="88" t="s">
        <v>3054</v>
      </c>
      <c r="F839" s="88"/>
      <c r="G839" s="88"/>
      <c r="H839" s="88"/>
      <c r="I839" s="88"/>
      <c r="J839" s="88"/>
      <c r="K839" s="88"/>
      <c r="L839" s="88"/>
      <c r="M839" s="88"/>
      <c r="N839" s="88"/>
      <c r="O839" s="88"/>
      <c r="P839" s="88"/>
      <c r="Q839" s="88"/>
      <c r="R839" s="88"/>
      <c r="S839" s="88"/>
      <c r="T839" s="88"/>
      <c r="U839" s="88"/>
      <c r="V839" s="88"/>
      <c r="W839" s="88"/>
      <c r="X839" s="88"/>
      <c r="Y839" s="88"/>
      <c r="Z839" s="88"/>
      <c r="AA839" s="88"/>
      <c r="AB839" s="88"/>
      <c r="AC839" s="88"/>
      <c r="AD839" s="88"/>
      <c r="AE839" s="88"/>
      <c r="AF839" s="88"/>
      <c r="AG839" s="88"/>
      <c r="AH839" s="88"/>
      <c r="AI839" s="88"/>
      <c r="AJ839" s="88"/>
    </row>
    <row r="840" spans="1:36" ht="15">
      <c r="A840" s="88" t="s">
        <v>347</v>
      </c>
      <c r="B840" s="88" t="s">
        <v>560</v>
      </c>
      <c r="C840" s="88" t="s">
        <v>7</v>
      </c>
      <c r="D840" s="88" t="s">
        <v>3055</v>
      </c>
      <c r="E840" s="88" t="s">
        <v>3056</v>
      </c>
      <c r="F840" s="88"/>
      <c r="G840" s="88"/>
      <c r="H840" s="88"/>
      <c r="I840" s="88"/>
      <c r="J840" s="88"/>
      <c r="K840" s="88"/>
      <c r="L840" s="88"/>
      <c r="M840" s="88"/>
      <c r="N840" s="88"/>
      <c r="O840" s="88"/>
      <c r="P840" s="88"/>
      <c r="Q840" s="88"/>
      <c r="R840" s="88"/>
      <c r="S840" s="88"/>
      <c r="T840" s="88"/>
      <c r="U840" s="88"/>
      <c r="V840" s="88"/>
      <c r="W840" s="88"/>
      <c r="X840" s="88"/>
      <c r="Y840" s="88"/>
      <c r="Z840" s="88"/>
      <c r="AA840" s="88"/>
      <c r="AB840" s="88"/>
      <c r="AC840" s="88"/>
      <c r="AD840" s="88"/>
      <c r="AE840" s="88"/>
      <c r="AF840" s="88"/>
      <c r="AG840" s="88"/>
      <c r="AH840" s="88"/>
      <c r="AI840" s="88"/>
      <c r="AJ840" s="88"/>
    </row>
    <row r="841" spans="1:36" ht="15">
      <c r="A841" s="88" t="s">
        <v>347</v>
      </c>
      <c r="B841" s="88" t="s">
        <v>588</v>
      </c>
      <c r="C841" s="88" t="s">
        <v>7</v>
      </c>
      <c r="D841" s="88" t="s">
        <v>3057</v>
      </c>
      <c r="E841" s="88" t="s">
        <v>3058</v>
      </c>
      <c r="F841" s="88"/>
      <c r="G841" s="88"/>
      <c r="H841" s="88"/>
      <c r="I841" s="88"/>
      <c r="J841" s="88"/>
      <c r="K841" s="88"/>
      <c r="L841" s="88"/>
      <c r="M841" s="88"/>
      <c r="N841" s="88"/>
      <c r="O841" s="88"/>
      <c r="P841" s="88"/>
      <c r="Q841" s="88"/>
      <c r="R841" s="88"/>
      <c r="S841" s="88"/>
      <c r="T841" s="88"/>
      <c r="U841" s="88"/>
      <c r="V841" s="88"/>
      <c r="W841" s="88"/>
      <c r="X841" s="88"/>
      <c r="Y841" s="88"/>
      <c r="Z841" s="88"/>
      <c r="AA841" s="88"/>
      <c r="AB841" s="88"/>
      <c r="AC841" s="88"/>
      <c r="AD841" s="88"/>
      <c r="AE841" s="88"/>
      <c r="AF841" s="88"/>
      <c r="AG841" s="88"/>
      <c r="AH841" s="88"/>
      <c r="AI841" s="88"/>
      <c r="AJ841" s="88"/>
    </row>
    <row r="842" spans="1:36" ht="15">
      <c r="A842" s="88" t="s">
        <v>347</v>
      </c>
      <c r="B842" s="88" t="s">
        <v>614</v>
      </c>
      <c r="C842" s="88" t="s">
        <v>7</v>
      </c>
      <c r="D842" s="88" t="s">
        <v>3059</v>
      </c>
      <c r="E842" s="88" t="s">
        <v>3060</v>
      </c>
      <c r="F842" s="88"/>
      <c r="G842" s="88"/>
      <c r="H842" s="88"/>
      <c r="I842" s="88"/>
      <c r="J842" s="88"/>
      <c r="K842" s="88"/>
      <c r="L842" s="88"/>
      <c r="M842" s="88"/>
      <c r="N842" s="88"/>
      <c r="O842" s="88"/>
      <c r="P842" s="88"/>
      <c r="Q842" s="88"/>
      <c r="R842" s="88"/>
      <c r="S842" s="88"/>
      <c r="T842" s="88"/>
      <c r="U842" s="88"/>
      <c r="V842" s="88"/>
      <c r="W842" s="88"/>
      <c r="X842" s="88"/>
      <c r="Y842" s="88"/>
      <c r="Z842" s="88"/>
      <c r="AA842" s="88"/>
      <c r="AB842" s="88"/>
      <c r="AC842" s="88"/>
      <c r="AD842" s="88"/>
      <c r="AE842" s="88"/>
      <c r="AF842" s="88"/>
      <c r="AG842" s="88"/>
      <c r="AH842" s="88"/>
      <c r="AI842" s="88"/>
      <c r="AJ842" s="88"/>
    </row>
    <row r="843" spans="1:36" ht="15">
      <c r="A843" s="88" t="s">
        <v>347</v>
      </c>
      <c r="B843" s="88" t="s">
        <v>641</v>
      </c>
      <c r="C843" s="88" t="s">
        <v>7</v>
      </c>
      <c r="D843" s="88" t="s">
        <v>3061</v>
      </c>
      <c r="E843" s="88" t="s">
        <v>3062</v>
      </c>
      <c r="F843" s="88"/>
      <c r="G843" s="88"/>
      <c r="H843" s="88"/>
      <c r="I843" s="88"/>
      <c r="J843" s="88"/>
      <c r="K843" s="88"/>
      <c r="L843" s="88"/>
      <c r="M843" s="88"/>
      <c r="N843" s="88"/>
      <c r="O843" s="88"/>
      <c r="P843" s="88"/>
      <c r="Q843" s="88"/>
      <c r="R843" s="88"/>
      <c r="S843" s="88"/>
      <c r="T843" s="88"/>
      <c r="U843" s="88"/>
      <c r="V843" s="88"/>
      <c r="W843" s="88"/>
      <c r="X843" s="88"/>
      <c r="Y843" s="88"/>
      <c r="Z843" s="88"/>
      <c r="AA843" s="88"/>
      <c r="AB843" s="88"/>
      <c r="AC843" s="88"/>
      <c r="AD843" s="88"/>
      <c r="AE843" s="88"/>
      <c r="AF843" s="88"/>
      <c r="AG843" s="88"/>
      <c r="AH843" s="88"/>
      <c r="AI843" s="88"/>
      <c r="AJ843" s="88"/>
    </row>
    <row r="844" spans="1:36" ht="15">
      <c r="A844" s="88" t="s">
        <v>347</v>
      </c>
      <c r="B844" s="88" t="s">
        <v>666</v>
      </c>
      <c r="C844" s="88" t="s">
        <v>7</v>
      </c>
      <c r="D844" s="88" t="s">
        <v>3063</v>
      </c>
      <c r="E844" s="88" t="s">
        <v>3064</v>
      </c>
      <c r="F844" s="88"/>
      <c r="G844" s="88"/>
      <c r="H844" s="88"/>
      <c r="I844" s="88"/>
      <c r="J844" s="88"/>
      <c r="K844" s="88"/>
      <c r="L844" s="88"/>
      <c r="M844" s="88"/>
      <c r="N844" s="88"/>
      <c r="O844" s="88"/>
      <c r="P844" s="88"/>
      <c r="Q844" s="88"/>
      <c r="R844" s="88"/>
      <c r="S844" s="88"/>
      <c r="T844" s="88"/>
      <c r="U844" s="88"/>
      <c r="V844" s="88"/>
      <c r="W844" s="88"/>
      <c r="X844" s="88"/>
      <c r="Y844" s="88"/>
      <c r="Z844" s="88"/>
      <c r="AA844" s="88"/>
      <c r="AB844" s="88"/>
      <c r="AC844" s="88"/>
      <c r="AD844" s="88"/>
      <c r="AE844" s="88"/>
      <c r="AF844" s="88"/>
      <c r="AG844" s="88"/>
      <c r="AH844" s="88"/>
      <c r="AI844" s="88"/>
      <c r="AJ844" s="88"/>
    </row>
    <row r="845" spans="1:36" ht="15">
      <c r="A845" s="88" t="s">
        <v>347</v>
      </c>
      <c r="B845" s="88" t="s">
        <v>691</v>
      </c>
      <c r="C845" s="88" t="s">
        <v>7</v>
      </c>
      <c r="D845" s="88" t="s">
        <v>3065</v>
      </c>
      <c r="E845" s="88" t="s">
        <v>3066</v>
      </c>
      <c r="F845" s="88"/>
      <c r="G845" s="88"/>
      <c r="H845" s="88"/>
      <c r="I845" s="88"/>
      <c r="J845" s="88"/>
      <c r="K845" s="88"/>
      <c r="L845" s="88"/>
      <c r="M845" s="88"/>
      <c r="N845" s="88"/>
      <c r="O845" s="88"/>
      <c r="P845" s="88"/>
      <c r="Q845" s="88"/>
      <c r="R845" s="88"/>
      <c r="S845" s="88"/>
      <c r="T845" s="88"/>
      <c r="U845" s="88"/>
      <c r="V845" s="88"/>
      <c r="W845" s="88"/>
      <c r="X845" s="88"/>
      <c r="Y845" s="88"/>
      <c r="Z845" s="88"/>
      <c r="AA845" s="88"/>
      <c r="AB845" s="88"/>
      <c r="AC845" s="88"/>
      <c r="AD845" s="88"/>
      <c r="AE845" s="88"/>
      <c r="AF845" s="88"/>
      <c r="AG845" s="88"/>
      <c r="AH845" s="88"/>
      <c r="AI845" s="88"/>
      <c r="AJ845" s="88"/>
    </row>
    <row r="846" spans="1:36" ht="15">
      <c r="A846" s="88" t="s">
        <v>347</v>
      </c>
      <c r="B846" s="88" t="s">
        <v>714</v>
      </c>
      <c r="C846" s="88" t="s">
        <v>7</v>
      </c>
      <c r="D846" s="88" t="s">
        <v>3067</v>
      </c>
      <c r="E846" s="88" t="s">
        <v>3068</v>
      </c>
      <c r="F846" s="88"/>
      <c r="G846" s="88"/>
      <c r="H846" s="88"/>
      <c r="I846" s="88"/>
      <c r="J846" s="88"/>
      <c r="K846" s="88"/>
      <c r="L846" s="88"/>
      <c r="M846" s="88"/>
      <c r="N846" s="88"/>
      <c r="O846" s="88"/>
      <c r="P846" s="88"/>
      <c r="Q846" s="88"/>
      <c r="R846" s="88"/>
      <c r="S846" s="88"/>
      <c r="T846" s="88"/>
      <c r="U846" s="88"/>
      <c r="V846" s="88"/>
      <c r="W846" s="88"/>
      <c r="X846" s="88"/>
      <c r="Y846" s="88"/>
      <c r="Z846" s="88"/>
      <c r="AA846" s="88"/>
      <c r="AB846" s="88"/>
      <c r="AC846" s="88"/>
      <c r="AD846" s="88"/>
      <c r="AE846" s="88"/>
      <c r="AF846" s="88"/>
      <c r="AG846" s="88"/>
      <c r="AH846" s="88"/>
      <c r="AI846" s="88"/>
      <c r="AJ846" s="88"/>
    </row>
    <row r="847" spans="1:36" ht="15">
      <c r="A847" s="88" t="s">
        <v>347</v>
      </c>
      <c r="B847" s="88" t="s">
        <v>737</v>
      </c>
      <c r="C847" s="88" t="s">
        <v>7</v>
      </c>
      <c r="D847" s="88" t="s">
        <v>3069</v>
      </c>
      <c r="E847" s="88" t="s">
        <v>3070</v>
      </c>
      <c r="F847" s="88"/>
      <c r="G847" s="88"/>
      <c r="H847" s="88"/>
      <c r="I847" s="88"/>
      <c r="J847" s="88"/>
      <c r="K847" s="88"/>
      <c r="L847" s="88"/>
      <c r="M847" s="88"/>
      <c r="N847" s="88"/>
      <c r="O847" s="88"/>
      <c r="P847" s="88"/>
      <c r="Q847" s="88"/>
      <c r="R847" s="88"/>
      <c r="S847" s="88"/>
      <c r="T847" s="88"/>
      <c r="U847" s="88"/>
      <c r="V847" s="88"/>
      <c r="W847" s="88"/>
      <c r="X847" s="88"/>
      <c r="Y847" s="88"/>
      <c r="Z847" s="88"/>
      <c r="AA847" s="88"/>
      <c r="AB847" s="88"/>
      <c r="AC847" s="88"/>
      <c r="AD847" s="88"/>
      <c r="AE847" s="88"/>
      <c r="AF847" s="88"/>
      <c r="AG847" s="88"/>
      <c r="AH847" s="88"/>
      <c r="AI847" s="88"/>
      <c r="AJ847" s="88"/>
    </row>
    <row r="848" spans="1:36" ht="15">
      <c r="A848" s="88" t="s">
        <v>348</v>
      </c>
      <c r="B848" s="88" t="s">
        <v>380</v>
      </c>
      <c r="C848" s="88" t="s">
        <v>7</v>
      </c>
      <c r="D848" s="88" t="s">
        <v>3071</v>
      </c>
      <c r="E848" s="88" t="s">
        <v>3072</v>
      </c>
      <c r="F848" s="88"/>
      <c r="G848" s="88"/>
      <c r="H848" s="88"/>
      <c r="I848" s="88"/>
      <c r="J848" s="88"/>
      <c r="K848" s="88"/>
      <c r="L848" s="88"/>
      <c r="M848" s="88"/>
      <c r="N848" s="88"/>
      <c r="O848" s="88"/>
      <c r="P848" s="88"/>
      <c r="Q848" s="88"/>
      <c r="R848" s="88"/>
      <c r="S848" s="88"/>
      <c r="T848" s="88"/>
      <c r="U848" s="88"/>
      <c r="V848" s="88"/>
      <c r="W848" s="88"/>
      <c r="X848" s="88"/>
      <c r="Y848" s="88"/>
      <c r="Z848" s="88"/>
      <c r="AA848" s="88"/>
      <c r="AB848" s="88"/>
      <c r="AC848" s="88"/>
      <c r="AD848" s="88"/>
      <c r="AE848" s="88"/>
      <c r="AF848" s="88"/>
      <c r="AG848" s="88"/>
      <c r="AH848" s="88"/>
      <c r="AI848" s="88"/>
      <c r="AJ848" s="88"/>
    </row>
    <row r="849" spans="1:36" ht="15">
      <c r="A849" s="88" t="s">
        <v>348</v>
      </c>
      <c r="B849" s="88" t="s">
        <v>410</v>
      </c>
      <c r="C849" s="88" t="s">
        <v>7</v>
      </c>
      <c r="D849" s="88" t="s">
        <v>3073</v>
      </c>
      <c r="E849" s="88" t="s">
        <v>3074</v>
      </c>
      <c r="F849" s="88"/>
      <c r="G849" s="88"/>
      <c r="H849" s="88"/>
      <c r="I849" s="88"/>
      <c r="J849" s="88"/>
      <c r="K849" s="88"/>
      <c r="L849" s="88"/>
      <c r="M849" s="88"/>
      <c r="N849" s="88"/>
      <c r="O849" s="88"/>
      <c r="P849" s="88"/>
      <c r="Q849" s="88"/>
      <c r="R849" s="88"/>
      <c r="S849" s="88"/>
      <c r="T849" s="88"/>
      <c r="U849" s="88"/>
      <c r="V849" s="88"/>
      <c r="W849" s="88"/>
      <c r="X849" s="88"/>
      <c r="Y849" s="88"/>
      <c r="Z849" s="88"/>
      <c r="AA849" s="88"/>
      <c r="AB849" s="88"/>
      <c r="AC849" s="88"/>
      <c r="AD849" s="88"/>
      <c r="AE849" s="88"/>
      <c r="AF849" s="88"/>
      <c r="AG849" s="88"/>
      <c r="AH849" s="88"/>
      <c r="AI849" s="88"/>
      <c r="AJ849" s="88"/>
    </row>
    <row r="850" spans="1:36" ht="15">
      <c r="A850" s="88" t="s">
        <v>348</v>
      </c>
      <c r="B850" s="88" t="s">
        <v>394</v>
      </c>
      <c r="C850" s="88" t="s">
        <v>7</v>
      </c>
      <c r="D850" s="88" t="s">
        <v>3075</v>
      </c>
      <c r="E850" s="88" t="s">
        <v>3076</v>
      </c>
      <c r="F850" s="88"/>
      <c r="G850" s="88"/>
      <c r="H850" s="88"/>
      <c r="I850" s="88"/>
      <c r="J850" s="88"/>
      <c r="K850" s="88"/>
      <c r="L850" s="88"/>
      <c r="M850" s="88"/>
      <c r="N850" s="88"/>
      <c r="O850" s="88"/>
      <c r="P850" s="88"/>
      <c r="Q850" s="88"/>
      <c r="R850" s="88"/>
      <c r="S850" s="88"/>
      <c r="T850" s="88"/>
      <c r="U850" s="88"/>
      <c r="V850" s="88"/>
      <c r="W850" s="88"/>
      <c r="X850" s="88"/>
      <c r="Y850" s="88"/>
      <c r="Z850" s="88"/>
      <c r="AA850" s="88"/>
      <c r="AB850" s="88"/>
      <c r="AC850" s="88"/>
      <c r="AD850" s="88"/>
      <c r="AE850" s="88"/>
      <c r="AF850" s="88"/>
      <c r="AG850" s="88"/>
      <c r="AH850" s="88"/>
      <c r="AI850" s="88"/>
      <c r="AJ850" s="88"/>
    </row>
    <row r="851" spans="1:36" ht="15">
      <c r="A851" s="88" t="s">
        <v>348</v>
      </c>
      <c r="B851" s="88" t="s">
        <v>472</v>
      </c>
      <c r="C851" s="88" t="s">
        <v>7</v>
      </c>
      <c r="D851" s="88" t="s">
        <v>3077</v>
      </c>
      <c r="E851" s="88" t="s">
        <v>3078</v>
      </c>
      <c r="F851" s="88"/>
      <c r="G851" s="88"/>
      <c r="H851" s="88"/>
      <c r="I851" s="88"/>
      <c r="J851" s="88"/>
      <c r="K851" s="88"/>
      <c r="L851" s="88"/>
      <c r="M851" s="88"/>
      <c r="N851" s="88"/>
      <c r="O851" s="88"/>
      <c r="P851" s="88"/>
      <c r="Q851" s="88"/>
      <c r="R851" s="88"/>
      <c r="S851" s="88"/>
      <c r="T851" s="88"/>
      <c r="U851" s="88"/>
      <c r="V851" s="88"/>
      <c r="W851" s="88"/>
      <c r="X851" s="88"/>
      <c r="Y851" s="88"/>
      <c r="Z851" s="88"/>
      <c r="AA851" s="88"/>
      <c r="AB851" s="88"/>
      <c r="AC851" s="88"/>
      <c r="AD851" s="88"/>
      <c r="AE851" s="88"/>
      <c r="AF851" s="88"/>
      <c r="AG851" s="88"/>
      <c r="AH851" s="88"/>
      <c r="AI851" s="88"/>
      <c r="AJ851" s="88"/>
    </row>
    <row r="852" spans="1:36" ht="15">
      <c r="A852" s="88" t="s">
        <v>348</v>
      </c>
      <c r="B852" s="88" t="s">
        <v>502</v>
      </c>
      <c r="C852" s="88" t="s">
        <v>7</v>
      </c>
      <c r="D852" s="88" t="s">
        <v>3079</v>
      </c>
      <c r="E852" s="88" t="s">
        <v>3080</v>
      </c>
      <c r="F852" s="88"/>
      <c r="G852" s="88"/>
      <c r="H852" s="88"/>
      <c r="I852" s="88"/>
      <c r="J852" s="88"/>
      <c r="K852" s="88"/>
      <c r="L852" s="88"/>
      <c r="M852" s="88"/>
      <c r="N852" s="88"/>
      <c r="O852" s="88"/>
      <c r="P852" s="88"/>
      <c r="Q852" s="88"/>
      <c r="R852" s="88"/>
      <c r="S852" s="88"/>
      <c r="T852" s="88"/>
      <c r="U852" s="88"/>
      <c r="V852" s="88"/>
      <c r="W852" s="88"/>
      <c r="X852" s="88"/>
      <c r="Y852" s="88"/>
      <c r="Z852" s="88"/>
      <c r="AA852" s="88"/>
      <c r="AB852" s="88"/>
      <c r="AC852" s="88"/>
      <c r="AD852" s="88"/>
      <c r="AE852" s="88"/>
      <c r="AF852" s="88"/>
      <c r="AG852" s="88"/>
      <c r="AH852" s="88"/>
      <c r="AI852" s="88"/>
      <c r="AJ852" s="88"/>
    </row>
    <row r="853" spans="1:36" ht="15">
      <c r="A853" s="88" t="s">
        <v>348</v>
      </c>
      <c r="B853" s="88" t="s">
        <v>532</v>
      </c>
      <c r="C853" s="88" t="s">
        <v>7</v>
      </c>
      <c r="D853" s="88" t="s">
        <v>3081</v>
      </c>
      <c r="E853" s="88" t="s">
        <v>3082</v>
      </c>
      <c r="F853" s="88"/>
      <c r="G853" s="88"/>
      <c r="H853" s="88"/>
      <c r="I853" s="88"/>
      <c r="J853" s="88"/>
      <c r="K853" s="88"/>
      <c r="L853" s="88"/>
      <c r="M853" s="88"/>
      <c r="N853" s="88"/>
      <c r="O853" s="88"/>
      <c r="P853" s="88"/>
      <c r="Q853" s="88"/>
      <c r="R853" s="88"/>
      <c r="S853" s="88"/>
      <c r="T853" s="88"/>
      <c r="U853" s="88"/>
      <c r="V853" s="88"/>
      <c r="W853" s="88"/>
      <c r="X853" s="88"/>
      <c r="Y853" s="88"/>
      <c r="Z853" s="88"/>
      <c r="AA853" s="88"/>
      <c r="AB853" s="88"/>
      <c r="AC853" s="88"/>
      <c r="AD853" s="88"/>
      <c r="AE853" s="88"/>
      <c r="AF853" s="88"/>
      <c r="AG853" s="88"/>
      <c r="AH853" s="88"/>
      <c r="AI853" s="88"/>
      <c r="AJ853" s="88"/>
    </row>
    <row r="854" spans="1:36" ht="15">
      <c r="A854" s="88" t="s">
        <v>348</v>
      </c>
      <c r="B854" s="88" t="s">
        <v>561</v>
      </c>
      <c r="C854" s="88" t="s">
        <v>7</v>
      </c>
      <c r="D854" s="88" t="s">
        <v>3083</v>
      </c>
      <c r="E854" s="88" t="s">
        <v>3084</v>
      </c>
      <c r="F854" s="88"/>
      <c r="G854" s="88"/>
      <c r="H854" s="88"/>
      <c r="I854" s="88"/>
      <c r="J854" s="88"/>
      <c r="K854" s="88"/>
      <c r="L854" s="88"/>
      <c r="M854" s="88"/>
      <c r="N854" s="88"/>
      <c r="O854" s="88"/>
      <c r="P854" s="88"/>
      <c r="Q854" s="88"/>
      <c r="R854" s="88"/>
      <c r="S854" s="88"/>
      <c r="T854" s="88"/>
      <c r="U854" s="88"/>
      <c r="V854" s="88"/>
      <c r="W854" s="88"/>
      <c r="X854" s="88"/>
      <c r="Y854" s="88"/>
      <c r="Z854" s="88"/>
      <c r="AA854" s="88"/>
      <c r="AB854" s="88"/>
      <c r="AC854" s="88"/>
      <c r="AD854" s="88"/>
      <c r="AE854" s="88"/>
      <c r="AF854" s="88"/>
      <c r="AG854" s="88"/>
      <c r="AH854" s="88"/>
      <c r="AI854" s="88"/>
      <c r="AJ854" s="88"/>
    </row>
    <row r="855" spans="1:36" ht="15">
      <c r="A855" s="88" t="s">
        <v>348</v>
      </c>
      <c r="B855" s="88" t="s">
        <v>589</v>
      </c>
      <c r="C855" s="88" t="s">
        <v>7</v>
      </c>
      <c r="D855" s="88" t="s">
        <v>3085</v>
      </c>
      <c r="E855" s="88" t="s">
        <v>3086</v>
      </c>
      <c r="F855" s="88"/>
      <c r="G855" s="88"/>
      <c r="H855" s="88"/>
      <c r="I855" s="88"/>
      <c r="J855" s="88"/>
      <c r="K855" s="88"/>
      <c r="L855" s="88"/>
      <c r="M855" s="88"/>
      <c r="N855" s="88"/>
      <c r="O855" s="88"/>
      <c r="P855" s="88"/>
      <c r="Q855" s="88"/>
      <c r="R855" s="88"/>
      <c r="S855" s="88"/>
      <c r="T855" s="88"/>
      <c r="U855" s="88"/>
      <c r="V855" s="88"/>
      <c r="W855" s="88"/>
      <c r="X855" s="88"/>
      <c r="Y855" s="88"/>
      <c r="Z855" s="88"/>
      <c r="AA855" s="88"/>
      <c r="AB855" s="88"/>
      <c r="AC855" s="88"/>
      <c r="AD855" s="88"/>
      <c r="AE855" s="88"/>
      <c r="AF855" s="88"/>
      <c r="AG855" s="88"/>
      <c r="AH855" s="88"/>
      <c r="AI855" s="88"/>
      <c r="AJ855" s="88"/>
    </row>
    <row r="856" spans="1:36" ht="15">
      <c r="A856" s="88" t="s">
        <v>348</v>
      </c>
      <c r="B856" s="88" t="s">
        <v>327</v>
      </c>
      <c r="C856" s="88" t="s">
        <v>7</v>
      </c>
      <c r="D856" s="88" t="s">
        <v>3087</v>
      </c>
      <c r="E856" s="88" t="s">
        <v>3088</v>
      </c>
      <c r="F856" s="88"/>
      <c r="G856" s="88"/>
      <c r="H856" s="88"/>
      <c r="I856" s="88"/>
      <c r="J856" s="88"/>
      <c r="K856" s="88"/>
      <c r="L856" s="88"/>
      <c r="M856" s="88"/>
      <c r="N856" s="88"/>
      <c r="O856" s="88"/>
      <c r="P856" s="88"/>
      <c r="Q856" s="88"/>
      <c r="R856" s="88"/>
      <c r="S856" s="88"/>
      <c r="T856" s="88"/>
      <c r="U856" s="88"/>
      <c r="V856" s="88"/>
      <c r="W856" s="88"/>
      <c r="X856" s="88"/>
      <c r="Y856" s="88"/>
      <c r="Z856" s="88"/>
      <c r="AA856" s="88"/>
      <c r="AB856" s="88"/>
      <c r="AC856" s="88"/>
      <c r="AD856" s="88"/>
      <c r="AE856" s="88"/>
      <c r="AF856" s="88"/>
      <c r="AG856" s="88"/>
      <c r="AH856" s="88"/>
      <c r="AI856" s="88"/>
      <c r="AJ856" s="88"/>
    </row>
    <row r="857" spans="1:36" ht="15">
      <c r="A857" s="88" t="s">
        <v>348</v>
      </c>
      <c r="B857" s="88" t="s">
        <v>606</v>
      </c>
      <c r="C857" s="88" t="s">
        <v>7</v>
      </c>
      <c r="D857" s="88" t="s">
        <v>3089</v>
      </c>
      <c r="E857" s="88" t="s">
        <v>3090</v>
      </c>
      <c r="F857" s="88"/>
      <c r="G857" s="88"/>
      <c r="H857" s="88"/>
      <c r="I857" s="88"/>
      <c r="J857" s="88"/>
      <c r="K857" s="88"/>
      <c r="L857" s="88"/>
      <c r="M857" s="88"/>
      <c r="N857" s="88"/>
      <c r="O857" s="88"/>
      <c r="P857" s="88"/>
      <c r="Q857" s="88"/>
      <c r="R857" s="88"/>
      <c r="S857" s="88"/>
      <c r="T857" s="88"/>
      <c r="U857" s="88"/>
      <c r="V857" s="88"/>
      <c r="W857" s="88"/>
      <c r="X857" s="88"/>
      <c r="Y857" s="88"/>
      <c r="Z857" s="88"/>
      <c r="AA857" s="88"/>
      <c r="AB857" s="88"/>
      <c r="AC857" s="88"/>
      <c r="AD857" s="88"/>
      <c r="AE857" s="88"/>
      <c r="AF857" s="88"/>
      <c r="AG857" s="88"/>
      <c r="AH857" s="88"/>
      <c r="AI857" s="88"/>
      <c r="AJ857" s="88"/>
    </row>
    <row r="858" spans="1:36" ht="15">
      <c r="A858" s="88" t="s">
        <v>348</v>
      </c>
      <c r="B858" s="88" t="s">
        <v>667</v>
      </c>
      <c r="C858" s="88" t="s">
        <v>7</v>
      </c>
      <c r="D858" s="88" t="s">
        <v>3091</v>
      </c>
      <c r="E858" s="88" t="s">
        <v>3092</v>
      </c>
      <c r="F858" s="88"/>
      <c r="G858" s="88"/>
      <c r="H858" s="88"/>
      <c r="I858" s="88"/>
      <c r="J858" s="88"/>
      <c r="K858" s="88"/>
      <c r="L858" s="88"/>
      <c r="M858" s="88"/>
      <c r="N858" s="88"/>
      <c r="O858" s="88"/>
      <c r="P858" s="88"/>
      <c r="Q858" s="88"/>
      <c r="R858" s="88"/>
      <c r="S858" s="88"/>
      <c r="T858" s="88"/>
      <c r="U858" s="88"/>
      <c r="V858" s="88"/>
      <c r="W858" s="88"/>
      <c r="X858" s="88"/>
      <c r="Y858" s="88"/>
      <c r="Z858" s="88"/>
      <c r="AA858" s="88"/>
      <c r="AB858" s="88"/>
      <c r="AC858" s="88"/>
      <c r="AD858" s="88"/>
      <c r="AE858" s="88"/>
      <c r="AF858" s="88"/>
      <c r="AG858" s="88"/>
      <c r="AH858" s="88"/>
      <c r="AI858" s="88"/>
      <c r="AJ858" s="88"/>
    </row>
    <row r="859" spans="1:36" ht="15">
      <c r="A859" s="88" t="s">
        <v>348</v>
      </c>
      <c r="B859" s="88" t="s">
        <v>692</v>
      </c>
      <c r="C859" s="88" t="s">
        <v>7</v>
      </c>
      <c r="D859" s="88" t="s">
        <v>3093</v>
      </c>
      <c r="E859" s="88" t="s">
        <v>3094</v>
      </c>
      <c r="F859" s="88"/>
      <c r="G859" s="88"/>
      <c r="H859" s="88"/>
      <c r="I859" s="88"/>
      <c r="J859" s="88"/>
      <c r="K859" s="88"/>
      <c r="L859" s="88"/>
      <c r="M859" s="88"/>
      <c r="N859" s="88"/>
      <c r="O859" s="88"/>
      <c r="P859" s="88"/>
      <c r="Q859" s="88"/>
      <c r="R859" s="88"/>
      <c r="S859" s="88"/>
      <c r="T859" s="88"/>
      <c r="U859" s="88"/>
      <c r="V859" s="88"/>
      <c r="W859" s="88"/>
      <c r="X859" s="88"/>
      <c r="Y859" s="88"/>
      <c r="Z859" s="88"/>
      <c r="AA859" s="88"/>
      <c r="AB859" s="88"/>
      <c r="AC859" s="88"/>
      <c r="AD859" s="88"/>
      <c r="AE859" s="88"/>
      <c r="AF859" s="88"/>
      <c r="AG859" s="88"/>
      <c r="AH859" s="88"/>
      <c r="AI859" s="88"/>
      <c r="AJ859" s="88"/>
    </row>
    <row r="860" spans="1:36" ht="15">
      <c r="A860" s="88" t="s">
        <v>348</v>
      </c>
      <c r="B860" s="88" t="s">
        <v>715</v>
      </c>
      <c r="C860" s="88" t="s">
        <v>7</v>
      </c>
      <c r="D860" s="88" t="s">
        <v>3095</v>
      </c>
      <c r="E860" s="88" t="s">
        <v>3096</v>
      </c>
      <c r="F860" s="88"/>
      <c r="G860" s="88"/>
      <c r="H860" s="88"/>
      <c r="I860" s="88"/>
      <c r="J860" s="88"/>
      <c r="K860" s="88"/>
      <c r="L860" s="88"/>
      <c r="M860" s="88"/>
      <c r="N860" s="88"/>
      <c r="O860" s="88"/>
      <c r="P860" s="88"/>
      <c r="Q860" s="88"/>
      <c r="R860" s="88"/>
      <c r="S860" s="88"/>
      <c r="T860" s="88"/>
      <c r="U860" s="88"/>
      <c r="V860" s="88"/>
      <c r="W860" s="88"/>
      <c r="X860" s="88"/>
      <c r="Y860" s="88"/>
      <c r="Z860" s="88"/>
      <c r="AA860" s="88"/>
      <c r="AB860" s="88"/>
      <c r="AC860" s="88"/>
      <c r="AD860" s="88"/>
      <c r="AE860" s="88"/>
      <c r="AF860" s="88"/>
      <c r="AG860" s="88"/>
      <c r="AH860" s="88"/>
      <c r="AI860" s="88"/>
      <c r="AJ860" s="88"/>
    </row>
    <row r="861" spans="1:36" ht="15">
      <c r="A861" s="88" t="s">
        <v>348</v>
      </c>
      <c r="B861" s="88" t="s">
        <v>738</v>
      </c>
      <c r="C861" s="88" t="s">
        <v>7</v>
      </c>
      <c r="D861" s="88" t="s">
        <v>3097</v>
      </c>
      <c r="E861" s="88" t="s">
        <v>3098</v>
      </c>
      <c r="F861" s="88"/>
      <c r="G861" s="88"/>
      <c r="H861" s="88"/>
      <c r="I861" s="88"/>
      <c r="J861" s="88"/>
      <c r="K861" s="88"/>
      <c r="L861" s="88"/>
      <c r="M861" s="88"/>
      <c r="N861" s="88"/>
      <c r="O861" s="88"/>
      <c r="P861" s="88"/>
      <c r="Q861" s="88"/>
      <c r="R861" s="88"/>
      <c r="S861" s="88"/>
      <c r="T861" s="88"/>
      <c r="U861" s="88"/>
      <c r="V861" s="88"/>
      <c r="W861" s="88"/>
      <c r="X861" s="88"/>
      <c r="Y861" s="88"/>
      <c r="Z861" s="88"/>
      <c r="AA861" s="88"/>
      <c r="AB861" s="88"/>
      <c r="AC861" s="88"/>
      <c r="AD861" s="88"/>
      <c r="AE861" s="88"/>
      <c r="AF861" s="88"/>
      <c r="AG861" s="88"/>
      <c r="AH861" s="88"/>
      <c r="AI861" s="88"/>
      <c r="AJ861" s="88"/>
    </row>
    <row r="862" spans="1:36" ht="15">
      <c r="A862" s="88" t="s">
        <v>348</v>
      </c>
      <c r="B862" s="88" t="s">
        <v>761</v>
      </c>
      <c r="C862" s="88" t="s">
        <v>7</v>
      </c>
      <c r="D862" s="88" t="s">
        <v>3099</v>
      </c>
      <c r="E862" s="88" t="s">
        <v>3100</v>
      </c>
      <c r="F862" s="88"/>
      <c r="G862" s="88"/>
      <c r="H862" s="88"/>
      <c r="I862" s="88"/>
      <c r="J862" s="88"/>
      <c r="K862" s="88"/>
      <c r="L862" s="88"/>
      <c r="M862" s="88"/>
      <c r="N862" s="88"/>
      <c r="O862" s="88"/>
      <c r="P862" s="88"/>
      <c r="Q862" s="88"/>
      <c r="R862" s="88"/>
      <c r="S862" s="88"/>
      <c r="T862" s="88"/>
      <c r="U862" s="88"/>
      <c r="V862" s="88"/>
      <c r="W862" s="88"/>
      <c r="X862" s="88"/>
      <c r="Y862" s="88"/>
      <c r="Z862" s="88"/>
      <c r="AA862" s="88"/>
      <c r="AB862" s="88"/>
      <c r="AC862" s="88"/>
      <c r="AD862" s="88"/>
      <c r="AE862" s="88"/>
      <c r="AF862" s="88"/>
      <c r="AG862" s="88"/>
      <c r="AH862" s="88"/>
      <c r="AI862" s="88"/>
      <c r="AJ862" s="88"/>
    </row>
    <row r="863" spans="1:36" ht="15">
      <c r="A863" s="88" t="s">
        <v>348</v>
      </c>
      <c r="B863" s="88" t="s">
        <v>783</v>
      </c>
      <c r="C863" s="88" t="s">
        <v>7</v>
      </c>
      <c r="D863" s="88" t="s">
        <v>3101</v>
      </c>
      <c r="E863" s="88" t="s">
        <v>3102</v>
      </c>
      <c r="F863" s="88"/>
      <c r="G863" s="88"/>
      <c r="H863" s="88"/>
      <c r="I863" s="88"/>
      <c r="J863" s="88"/>
      <c r="K863" s="88"/>
      <c r="L863" s="88"/>
      <c r="M863" s="88"/>
      <c r="N863" s="88"/>
      <c r="O863" s="88"/>
      <c r="P863" s="88"/>
      <c r="Q863" s="88"/>
      <c r="R863" s="88"/>
      <c r="S863" s="88"/>
      <c r="T863" s="88"/>
      <c r="U863" s="88"/>
      <c r="V863" s="88"/>
      <c r="W863" s="88"/>
      <c r="X863" s="88"/>
      <c r="Y863" s="88"/>
      <c r="Z863" s="88"/>
      <c r="AA863" s="88"/>
      <c r="AB863" s="88"/>
      <c r="AC863" s="88"/>
      <c r="AD863" s="88"/>
      <c r="AE863" s="88"/>
      <c r="AF863" s="88"/>
      <c r="AG863" s="88"/>
      <c r="AH863" s="88"/>
      <c r="AI863" s="88"/>
      <c r="AJ863" s="88"/>
    </row>
    <row r="864" spans="1:36" ht="15">
      <c r="A864" s="88" t="s">
        <v>348</v>
      </c>
      <c r="B864" s="88" t="s">
        <v>804</v>
      </c>
      <c r="C864" s="88" t="s">
        <v>7</v>
      </c>
      <c r="D864" s="88" t="s">
        <v>3103</v>
      </c>
      <c r="E864" s="88" t="s">
        <v>3104</v>
      </c>
      <c r="F864" s="88"/>
      <c r="G864" s="88"/>
      <c r="H864" s="88"/>
      <c r="I864" s="88"/>
      <c r="J864" s="88"/>
      <c r="K864" s="88"/>
      <c r="L864" s="88"/>
      <c r="M864" s="88"/>
      <c r="N864" s="88"/>
      <c r="O864" s="88"/>
      <c r="P864" s="88"/>
      <c r="Q864" s="88"/>
      <c r="R864" s="88"/>
      <c r="S864" s="88"/>
      <c r="T864" s="88"/>
      <c r="U864" s="88"/>
      <c r="V864" s="88"/>
      <c r="W864" s="88"/>
      <c r="X864" s="88"/>
      <c r="Y864" s="88"/>
      <c r="Z864" s="88"/>
      <c r="AA864" s="88"/>
      <c r="AB864" s="88"/>
      <c r="AC864" s="88"/>
      <c r="AD864" s="88"/>
      <c r="AE864" s="88"/>
      <c r="AF864" s="88"/>
      <c r="AG864" s="88"/>
      <c r="AH864" s="88"/>
      <c r="AI864" s="88"/>
      <c r="AJ864" s="88"/>
    </row>
    <row r="865" spans="1:36" ht="15">
      <c r="A865" s="88" t="s">
        <v>348</v>
      </c>
      <c r="B865" s="88" t="s">
        <v>826</v>
      </c>
      <c r="C865" s="88" t="s">
        <v>7</v>
      </c>
      <c r="D865" s="88" t="s">
        <v>3105</v>
      </c>
      <c r="E865" s="88" t="s">
        <v>3106</v>
      </c>
      <c r="F865" s="88"/>
      <c r="G865" s="88"/>
      <c r="H865" s="88"/>
      <c r="I865" s="88"/>
      <c r="J865" s="88"/>
      <c r="K865" s="88"/>
      <c r="L865" s="88"/>
      <c r="M865" s="88"/>
      <c r="N865" s="88"/>
      <c r="O865" s="88"/>
      <c r="P865" s="88"/>
      <c r="Q865" s="88"/>
      <c r="R865" s="88"/>
      <c r="S865" s="88"/>
      <c r="T865" s="88"/>
      <c r="U865" s="88"/>
      <c r="V865" s="88"/>
      <c r="W865" s="88"/>
      <c r="X865" s="88"/>
      <c r="Y865" s="88"/>
      <c r="Z865" s="88"/>
      <c r="AA865" s="88"/>
      <c r="AB865" s="88"/>
      <c r="AC865" s="88"/>
      <c r="AD865" s="88"/>
      <c r="AE865" s="88"/>
      <c r="AF865" s="88"/>
      <c r="AG865" s="88"/>
      <c r="AH865" s="88"/>
      <c r="AI865" s="88"/>
      <c r="AJ865" s="88"/>
    </row>
    <row r="866" spans="1:36" ht="15">
      <c r="A866" s="88" t="s">
        <v>348</v>
      </c>
      <c r="B866" s="88" t="s">
        <v>847</v>
      </c>
      <c r="C866" s="88" t="s">
        <v>7</v>
      </c>
      <c r="D866" s="88" t="s">
        <v>3107</v>
      </c>
      <c r="E866" s="88" t="s">
        <v>3108</v>
      </c>
      <c r="F866" s="88"/>
      <c r="G866" s="88"/>
      <c r="H866" s="88"/>
      <c r="I866" s="88"/>
      <c r="J866" s="88"/>
      <c r="K866" s="88"/>
      <c r="L866" s="88"/>
      <c r="M866" s="88"/>
      <c r="N866" s="88"/>
      <c r="O866" s="88"/>
      <c r="P866" s="88"/>
      <c r="Q866" s="88"/>
      <c r="R866" s="88"/>
      <c r="S866" s="88"/>
      <c r="T866" s="88"/>
      <c r="U866" s="88"/>
      <c r="V866" s="88"/>
      <c r="W866" s="88"/>
      <c r="X866" s="88"/>
      <c r="Y866" s="88"/>
      <c r="Z866" s="88"/>
      <c r="AA866" s="88"/>
      <c r="AB866" s="88"/>
      <c r="AC866" s="88"/>
      <c r="AD866" s="88"/>
      <c r="AE866" s="88"/>
      <c r="AF866" s="88"/>
      <c r="AG866" s="88"/>
      <c r="AH866" s="88"/>
      <c r="AI866" s="88"/>
      <c r="AJ866" s="88"/>
    </row>
    <row r="867" spans="1:36" ht="15">
      <c r="A867" s="88" t="s">
        <v>348</v>
      </c>
      <c r="B867" s="88" t="s">
        <v>866</v>
      </c>
      <c r="C867" s="88" t="s">
        <v>7</v>
      </c>
      <c r="D867" s="88" t="s">
        <v>3109</v>
      </c>
      <c r="E867" s="88" t="s">
        <v>3110</v>
      </c>
      <c r="F867" s="88"/>
      <c r="G867" s="88"/>
      <c r="H867" s="88"/>
      <c r="I867" s="88"/>
      <c r="J867" s="88"/>
      <c r="K867" s="88"/>
      <c r="L867" s="88"/>
      <c r="M867" s="88"/>
      <c r="N867" s="88"/>
      <c r="O867" s="88"/>
      <c r="P867" s="88"/>
      <c r="Q867" s="88"/>
      <c r="R867" s="88"/>
      <c r="S867" s="88"/>
      <c r="T867" s="88"/>
      <c r="U867" s="88"/>
      <c r="V867" s="88"/>
      <c r="W867" s="88"/>
      <c r="X867" s="88"/>
      <c r="Y867" s="88"/>
      <c r="Z867" s="88"/>
      <c r="AA867" s="88"/>
      <c r="AB867" s="88"/>
      <c r="AC867" s="88"/>
      <c r="AD867" s="88"/>
      <c r="AE867" s="88"/>
      <c r="AF867" s="88"/>
      <c r="AG867" s="88"/>
      <c r="AH867" s="88"/>
      <c r="AI867" s="88"/>
      <c r="AJ867" s="88"/>
    </row>
    <row r="868" spans="1:36" ht="15">
      <c r="A868" s="88" t="s">
        <v>348</v>
      </c>
      <c r="B868" s="88" t="s">
        <v>886</v>
      </c>
      <c r="C868" s="88" t="s">
        <v>7</v>
      </c>
      <c r="D868" s="88" t="s">
        <v>3111</v>
      </c>
      <c r="E868" s="88" t="s">
        <v>3112</v>
      </c>
      <c r="F868" s="88"/>
      <c r="G868" s="88"/>
      <c r="H868" s="88"/>
      <c r="I868" s="88"/>
      <c r="J868" s="88"/>
      <c r="K868" s="88"/>
      <c r="L868" s="88"/>
      <c r="M868" s="88"/>
      <c r="N868" s="88"/>
      <c r="O868" s="88"/>
      <c r="P868" s="88"/>
      <c r="Q868" s="88"/>
      <c r="R868" s="88"/>
      <c r="S868" s="88"/>
      <c r="T868" s="88"/>
      <c r="U868" s="88"/>
      <c r="V868" s="88"/>
      <c r="W868" s="88"/>
      <c r="X868" s="88"/>
      <c r="Y868" s="88"/>
      <c r="Z868" s="88"/>
      <c r="AA868" s="88"/>
      <c r="AB868" s="88"/>
      <c r="AC868" s="88"/>
      <c r="AD868" s="88"/>
      <c r="AE868" s="88"/>
      <c r="AF868" s="88"/>
      <c r="AG868" s="88"/>
      <c r="AH868" s="88"/>
      <c r="AI868" s="88"/>
      <c r="AJ868" s="88"/>
    </row>
    <row r="869" spans="1:36" ht="15">
      <c r="A869" s="88" t="s">
        <v>348</v>
      </c>
      <c r="B869" s="88" t="s">
        <v>905</v>
      </c>
      <c r="C869" s="88" t="s">
        <v>7</v>
      </c>
      <c r="D869" s="88" t="s">
        <v>3113</v>
      </c>
      <c r="E869" s="88" t="s">
        <v>3114</v>
      </c>
      <c r="F869" s="88"/>
      <c r="G869" s="88"/>
      <c r="H869" s="88"/>
      <c r="I869" s="88"/>
      <c r="J869" s="88"/>
      <c r="K869" s="88"/>
      <c r="L869" s="88"/>
      <c r="M869" s="88"/>
      <c r="N869" s="88"/>
      <c r="O869" s="88"/>
      <c r="P869" s="88"/>
      <c r="Q869" s="88"/>
      <c r="R869" s="88"/>
      <c r="S869" s="88"/>
      <c r="T869" s="88"/>
      <c r="U869" s="88"/>
      <c r="V869" s="88"/>
      <c r="W869" s="88"/>
      <c r="X869" s="88"/>
      <c r="Y869" s="88"/>
      <c r="Z869" s="88"/>
      <c r="AA869" s="88"/>
      <c r="AB869" s="88"/>
      <c r="AC869" s="88"/>
      <c r="AD869" s="88"/>
      <c r="AE869" s="88"/>
      <c r="AF869" s="88"/>
      <c r="AG869" s="88"/>
      <c r="AH869" s="88"/>
      <c r="AI869" s="88"/>
      <c r="AJ869" s="88"/>
    </row>
    <row r="870" spans="1:36" ht="15">
      <c r="A870" s="88" t="s">
        <v>348</v>
      </c>
      <c r="B870" s="88" t="s">
        <v>923</v>
      </c>
      <c r="C870" s="88" t="s">
        <v>7</v>
      </c>
      <c r="D870" s="88" t="s">
        <v>3115</v>
      </c>
      <c r="E870" s="88" t="s">
        <v>3116</v>
      </c>
      <c r="F870" s="88"/>
      <c r="G870" s="88"/>
      <c r="H870" s="88"/>
      <c r="I870" s="88"/>
      <c r="J870" s="88"/>
      <c r="K870" s="88"/>
      <c r="L870" s="88"/>
      <c r="M870" s="88"/>
      <c r="N870" s="88"/>
      <c r="O870" s="88"/>
      <c r="P870" s="88"/>
      <c r="Q870" s="88"/>
      <c r="R870" s="88"/>
      <c r="S870" s="88"/>
      <c r="T870" s="88"/>
      <c r="U870" s="88"/>
      <c r="V870" s="88"/>
      <c r="W870" s="88"/>
      <c r="X870" s="88"/>
      <c r="Y870" s="88"/>
      <c r="Z870" s="88"/>
      <c r="AA870" s="88"/>
      <c r="AB870" s="88"/>
      <c r="AC870" s="88"/>
      <c r="AD870" s="88"/>
      <c r="AE870" s="88"/>
      <c r="AF870" s="88"/>
      <c r="AG870" s="88"/>
      <c r="AH870" s="88"/>
      <c r="AI870" s="88"/>
      <c r="AJ870" s="88"/>
    </row>
    <row r="871" spans="1:36" ht="15">
      <c r="A871" s="88" t="s">
        <v>348</v>
      </c>
      <c r="B871" s="88" t="s">
        <v>942</v>
      </c>
      <c r="C871" s="88" t="s">
        <v>7</v>
      </c>
      <c r="D871" s="88" t="s">
        <v>3117</v>
      </c>
      <c r="E871" s="88" t="s">
        <v>3118</v>
      </c>
      <c r="F871" s="88"/>
      <c r="G871" s="88"/>
      <c r="H871" s="88"/>
      <c r="I871" s="88"/>
      <c r="J871" s="88"/>
      <c r="K871" s="88"/>
      <c r="L871" s="88"/>
      <c r="M871" s="88"/>
      <c r="N871" s="88"/>
      <c r="O871" s="88"/>
      <c r="P871" s="88"/>
      <c r="Q871" s="88"/>
      <c r="R871" s="88"/>
      <c r="S871" s="88"/>
      <c r="T871" s="88"/>
      <c r="U871" s="88"/>
      <c r="V871" s="88"/>
      <c r="W871" s="88"/>
      <c r="X871" s="88"/>
      <c r="Y871" s="88"/>
      <c r="Z871" s="88"/>
      <c r="AA871" s="88"/>
      <c r="AB871" s="88"/>
      <c r="AC871" s="88"/>
      <c r="AD871" s="88"/>
      <c r="AE871" s="88"/>
      <c r="AF871" s="88"/>
      <c r="AG871" s="88"/>
      <c r="AH871" s="88"/>
      <c r="AI871" s="88"/>
      <c r="AJ871" s="88"/>
    </row>
    <row r="872" spans="1:36" ht="15">
      <c r="A872" s="88" t="s">
        <v>348</v>
      </c>
      <c r="B872" s="88" t="s">
        <v>960</v>
      </c>
      <c r="C872" s="88" t="s">
        <v>7</v>
      </c>
      <c r="D872" s="88" t="s">
        <v>3119</v>
      </c>
      <c r="E872" s="88" t="s">
        <v>3120</v>
      </c>
      <c r="F872" s="88"/>
      <c r="G872" s="88"/>
      <c r="H872" s="88"/>
      <c r="I872" s="88"/>
      <c r="J872" s="88"/>
      <c r="K872" s="88"/>
      <c r="L872" s="88"/>
      <c r="M872" s="88"/>
      <c r="N872" s="88"/>
      <c r="O872" s="88"/>
      <c r="P872" s="88"/>
      <c r="Q872" s="88"/>
      <c r="R872" s="88"/>
      <c r="S872" s="88"/>
      <c r="T872" s="88"/>
      <c r="U872" s="88"/>
      <c r="V872" s="88"/>
      <c r="W872" s="88"/>
      <c r="X872" s="88"/>
      <c r="Y872" s="88"/>
      <c r="Z872" s="88"/>
      <c r="AA872" s="88"/>
      <c r="AB872" s="88"/>
      <c r="AC872" s="88"/>
      <c r="AD872" s="88"/>
      <c r="AE872" s="88"/>
      <c r="AF872" s="88"/>
      <c r="AG872" s="88"/>
      <c r="AH872" s="88"/>
      <c r="AI872" s="88"/>
      <c r="AJ872" s="88"/>
    </row>
    <row r="873" spans="1:36" ht="15">
      <c r="A873" s="88" t="s">
        <v>348</v>
      </c>
      <c r="B873" s="88" t="s">
        <v>976</v>
      </c>
      <c r="C873" s="88" t="s">
        <v>7</v>
      </c>
      <c r="D873" s="88" t="s">
        <v>3121</v>
      </c>
      <c r="E873" s="88" t="s">
        <v>3122</v>
      </c>
      <c r="F873" s="88"/>
      <c r="G873" s="88"/>
      <c r="H873" s="88"/>
      <c r="I873" s="88"/>
      <c r="J873" s="88"/>
      <c r="K873" s="88"/>
      <c r="L873" s="88"/>
      <c r="M873" s="88"/>
      <c r="N873" s="88"/>
      <c r="O873" s="88"/>
      <c r="P873" s="88"/>
      <c r="Q873" s="88"/>
      <c r="R873" s="88"/>
      <c r="S873" s="88"/>
      <c r="T873" s="88"/>
      <c r="U873" s="88"/>
      <c r="V873" s="88"/>
      <c r="W873" s="88"/>
      <c r="X873" s="88"/>
      <c r="Y873" s="88"/>
      <c r="Z873" s="88"/>
      <c r="AA873" s="88"/>
      <c r="AB873" s="88"/>
      <c r="AC873" s="88"/>
      <c r="AD873" s="88"/>
      <c r="AE873" s="88"/>
      <c r="AF873" s="88"/>
      <c r="AG873" s="88"/>
      <c r="AH873" s="88"/>
      <c r="AI873" s="88"/>
      <c r="AJ873" s="88"/>
    </row>
    <row r="874" spans="1:36" ht="15">
      <c r="A874" s="88" t="s">
        <v>348</v>
      </c>
      <c r="B874" s="88" t="s">
        <v>995</v>
      </c>
      <c r="C874" s="88" t="s">
        <v>7</v>
      </c>
      <c r="D874" s="88" t="s">
        <v>3123</v>
      </c>
      <c r="E874" s="88" t="s">
        <v>3124</v>
      </c>
      <c r="F874" s="88"/>
      <c r="G874" s="88"/>
      <c r="H874" s="88"/>
      <c r="I874" s="88"/>
      <c r="J874" s="88"/>
      <c r="K874" s="88"/>
      <c r="L874" s="88"/>
      <c r="M874" s="88"/>
      <c r="N874" s="88"/>
      <c r="O874" s="88"/>
      <c r="P874" s="88"/>
      <c r="Q874" s="88"/>
      <c r="R874" s="88"/>
      <c r="S874" s="88"/>
      <c r="T874" s="88"/>
      <c r="U874" s="88"/>
      <c r="V874" s="88"/>
      <c r="W874" s="88"/>
      <c r="X874" s="88"/>
      <c r="Y874" s="88"/>
      <c r="Z874" s="88"/>
      <c r="AA874" s="88"/>
      <c r="AB874" s="88"/>
      <c r="AC874" s="88"/>
      <c r="AD874" s="88"/>
      <c r="AE874" s="88"/>
      <c r="AF874" s="88"/>
      <c r="AG874" s="88"/>
      <c r="AH874" s="88"/>
      <c r="AI874" s="88"/>
      <c r="AJ874" s="88"/>
    </row>
    <row r="875" spans="1:36" ht="15">
      <c r="A875" s="88" t="s">
        <v>348</v>
      </c>
      <c r="B875" s="88" t="s">
        <v>745</v>
      </c>
      <c r="C875" s="88" t="s">
        <v>7</v>
      </c>
      <c r="D875" s="88" t="s">
        <v>3125</v>
      </c>
      <c r="E875" s="88" t="s">
        <v>3126</v>
      </c>
      <c r="F875" s="88"/>
      <c r="G875" s="88"/>
      <c r="H875" s="88"/>
      <c r="I875" s="88"/>
      <c r="J875" s="88"/>
      <c r="K875" s="88"/>
      <c r="L875" s="88"/>
      <c r="M875" s="88"/>
      <c r="N875" s="88"/>
      <c r="O875" s="88"/>
      <c r="P875" s="88"/>
      <c r="Q875" s="88"/>
      <c r="R875" s="88"/>
      <c r="S875" s="88"/>
      <c r="T875" s="88"/>
      <c r="U875" s="88"/>
      <c r="V875" s="88"/>
      <c r="W875" s="88"/>
      <c r="X875" s="88"/>
      <c r="Y875" s="88"/>
      <c r="Z875" s="88"/>
      <c r="AA875" s="88"/>
      <c r="AB875" s="88"/>
      <c r="AC875" s="88"/>
      <c r="AD875" s="88"/>
      <c r="AE875" s="88"/>
      <c r="AF875" s="88"/>
      <c r="AG875" s="88"/>
      <c r="AH875" s="88"/>
      <c r="AI875" s="88"/>
      <c r="AJ875" s="88"/>
    </row>
    <row r="876" spans="1:36" ht="15">
      <c r="A876" s="88" t="s">
        <v>348</v>
      </c>
      <c r="B876" s="88" t="s">
        <v>1026</v>
      </c>
      <c r="C876" s="88" t="s">
        <v>7</v>
      </c>
      <c r="D876" s="88" t="s">
        <v>3127</v>
      </c>
      <c r="E876" s="88" t="s">
        <v>3128</v>
      </c>
      <c r="F876" s="88"/>
      <c r="G876" s="88"/>
      <c r="H876" s="88"/>
      <c r="I876" s="88"/>
      <c r="J876" s="88"/>
      <c r="K876" s="88"/>
      <c r="L876" s="88"/>
      <c r="M876" s="88"/>
      <c r="N876" s="88"/>
      <c r="O876" s="88"/>
      <c r="P876" s="88"/>
      <c r="Q876" s="88"/>
      <c r="R876" s="88"/>
      <c r="S876" s="88"/>
      <c r="T876" s="88"/>
      <c r="U876" s="88"/>
      <c r="V876" s="88"/>
      <c r="W876" s="88"/>
      <c r="X876" s="88"/>
      <c r="Y876" s="88"/>
      <c r="Z876" s="88"/>
      <c r="AA876" s="88"/>
      <c r="AB876" s="88"/>
      <c r="AC876" s="88"/>
      <c r="AD876" s="88"/>
      <c r="AE876" s="88"/>
      <c r="AF876" s="88"/>
      <c r="AG876" s="88"/>
      <c r="AH876" s="88"/>
      <c r="AI876" s="88"/>
      <c r="AJ876" s="88"/>
    </row>
    <row r="877" spans="1:36" ht="15">
      <c r="A877" s="88" t="s">
        <v>348</v>
      </c>
      <c r="B877" s="88" t="s">
        <v>1041</v>
      </c>
      <c r="C877" s="88" t="s">
        <v>7</v>
      </c>
      <c r="D877" s="88" t="s">
        <v>3129</v>
      </c>
      <c r="E877" s="88" t="s">
        <v>3130</v>
      </c>
      <c r="F877" s="88"/>
      <c r="G877" s="88"/>
      <c r="H877" s="88"/>
      <c r="I877" s="88"/>
      <c r="J877" s="88"/>
      <c r="K877" s="88"/>
      <c r="L877" s="88"/>
      <c r="M877" s="88"/>
      <c r="N877" s="88"/>
      <c r="O877" s="88"/>
      <c r="P877" s="88"/>
      <c r="Q877" s="88"/>
      <c r="R877" s="88"/>
      <c r="S877" s="88"/>
      <c r="T877" s="88"/>
      <c r="U877" s="88"/>
      <c r="V877" s="88"/>
      <c r="W877" s="88"/>
      <c r="X877" s="88"/>
      <c r="Y877" s="88"/>
      <c r="Z877" s="88"/>
      <c r="AA877" s="88"/>
      <c r="AB877" s="88"/>
      <c r="AC877" s="88"/>
      <c r="AD877" s="88"/>
      <c r="AE877" s="88"/>
      <c r="AF877" s="88"/>
      <c r="AG877" s="88"/>
      <c r="AH877" s="88"/>
      <c r="AI877" s="88"/>
      <c r="AJ877" s="88"/>
    </row>
    <row r="878" spans="1:36" ht="15">
      <c r="A878" s="88" t="s">
        <v>348</v>
      </c>
      <c r="B878" s="88" t="s">
        <v>1055</v>
      </c>
      <c r="C878" s="88" t="s">
        <v>7</v>
      </c>
      <c r="D878" s="88" t="s">
        <v>3131</v>
      </c>
      <c r="E878" s="88" t="s">
        <v>3132</v>
      </c>
      <c r="F878" s="88"/>
      <c r="G878" s="88"/>
      <c r="H878" s="88"/>
      <c r="I878" s="88"/>
      <c r="J878" s="88"/>
      <c r="K878" s="88"/>
      <c r="L878" s="88"/>
      <c r="M878" s="88"/>
      <c r="N878" s="88"/>
      <c r="O878" s="88"/>
      <c r="P878" s="88"/>
      <c r="Q878" s="88"/>
      <c r="R878" s="88"/>
      <c r="S878" s="88"/>
      <c r="T878" s="88"/>
      <c r="U878" s="88"/>
      <c r="V878" s="88"/>
      <c r="W878" s="88"/>
      <c r="X878" s="88"/>
      <c r="Y878" s="88"/>
      <c r="Z878" s="88"/>
      <c r="AA878" s="88"/>
      <c r="AB878" s="88"/>
      <c r="AC878" s="88"/>
      <c r="AD878" s="88"/>
      <c r="AE878" s="88"/>
      <c r="AF878" s="88"/>
      <c r="AG878" s="88"/>
      <c r="AH878" s="88"/>
      <c r="AI878" s="88"/>
      <c r="AJ878" s="88"/>
    </row>
    <row r="879" spans="1:36" ht="15">
      <c r="A879" s="88" t="s">
        <v>348</v>
      </c>
      <c r="B879" s="88" t="s">
        <v>1068</v>
      </c>
      <c r="C879" s="88" t="s">
        <v>7</v>
      </c>
      <c r="D879" s="88" t="s">
        <v>3133</v>
      </c>
      <c r="E879" s="88" t="s">
        <v>3134</v>
      </c>
      <c r="F879" s="88"/>
      <c r="G879" s="88"/>
      <c r="H879" s="88"/>
      <c r="I879" s="88"/>
      <c r="J879" s="88"/>
      <c r="K879" s="88"/>
      <c r="L879" s="88"/>
      <c r="M879" s="88"/>
      <c r="N879" s="88"/>
      <c r="O879" s="88"/>
      <c r="P879" s="88"/>
      <c r="Q879" s="88"/>
      <c r="R879" s="88"/>
      <c r="S879" s="88"/>
      <c r="T879" s="88"/>
      <c r="U879" s="88"/>
      <c r="V879" s="88"/>
      <c r="W879" s="88"/>
      <c r="X879" s="88"/>
      <c r="Y879" s="88"/>
      <c r="Z879" s="88"/>
      <c r="AA879" s="88"/>
      <c r="AB879" s="88"/>
      <c r="AC879" s="88"/>
      <c r="AD879" s="88"/>
      <c r="AE879" s="88"/>
      <c r="AF879" s="88"/>
      <c r="AG879" s="88"/>
      <c r="AH879" s="88"/>
      <c r="AI879" s="88"/>
      <c r="AJ879" s="88"/>
    </row>
    <row r="880" spans="1:36" ht="15">
      <c r="A880" s="88" t="s">
        <v>348</v>
      </c>
      <c r="B880" s="88" t="s">
        <v>1078</v>
      </c>
      <c r="C880" s="88" t="s">
        <v>7</v>
      </c>
      <c r="D880" s="88" t="s">
        <v>3135</v>
      </c>
      <c r="E880" s="88" t="s">
        <v>3136</v>
      </c>
      <c r="F880" s="88"/>
      <c r="G880" s="88"/>
      <c r="H880" s="88"/>
      <c r="I880" s="88"/>
      <c r="J880" s="88"/>
      <c r="K880" s="88"/>
      <c r="L880" s="88"/>
      <c r="M880" s="88"/>
      <c r="N880" s="88"/>
      <c r="O880" s="88"/>
      <c r="P880" s="88"/>
      <c r="Q880" s="88"/>
      <c r="R880" s="88"/>
      <c r="S880" s="88"/>
      <c r="T880" s="88"/>
      <c r="U880" s="88"/>
      <c r="V880" s="88"/>
      <c r="W880" s="88"/>
      <c r="X880" s="88"/>
      <c r="Y880" s="88"/>
      <c r="Z880" s="88"/>
      <c r="AA880" s="88"/>
      <c r="AB880" s="88"/>
      <c r="AC880" s="88"/>
      <c r="AD880" s="88"/>
      <c r="AE880" s="88"/>
      <c r="AF880" s="88"/>
      <c r="AG880" s="88"/>
      <c r="AH880" s="88"/>
      <c r="AI880" s="88"/>
      <c r="AJ880" s="88"/>
    </row>
    <row r="881" spans="1:36" ht="15">
      <c r="A881" s="88" t="s">
        <v>348</v>
      </c>
      <c r="B881" s="88" t="s">
        <v>1091</v>
      </c>
      <c r="C881" s="88" t="s">
        <v>7</v>
      </c>
      <c r="D881" s="88" t="s">
        <v>3137</v>
      </c>
      <c r="E881" s="88" t="s">
        <v>3138</v>
      </c>
      <c r="F881" s="88"/>
      <c r="G881" s="88"/>
      <c r="H881" s="88"/>
      <c r="I881" s="88"/>
      <c r="J881" s="88"/>
      <c r="K881" s="88"/>
      <c r="L881" s="88"/>
      <c r="M881" s="88"/>
      <c r="N881" s="88"/>
      <c r="O881" s="88"/>
      <c r="P881" s="88"/>
      <c r="Q881" s="88"/>
      <c r="R881" s="88"/>
      <c r="S881" s="88"/>
      <c r="T881" s="88"/>
      <c r="U881" s="88"/>
      <c r="V881" s="88"/>
      <c r="W881" s="88"/>
      <c r="X881" s="88"/>
      <c r="Y881" s="88"/>
      <c r="Z881" s="88"/>
      <c r="AA881" s="88"/>
      <c r="AB881" s="88"/>
      <c r="AC881" s="88"/>
      <c r="AD881" s="88"/>
      <c r="AE881" s="88"/>
      <c r="AF881" s="88"/>
      <c r="AG881" s="88"/>
      <c r="AH881" s="88"/>
      <c r="AI881" s="88"/>
      <c r="AJ881" s="88"/>
    </row>
    <row r="882" spans="1:36" ht="15">
      <c r="A882" s="88" t="s">
        <v>348</v>
      </c>
      <c r="B882" s="88" t="s">
        <v>1104</v>
      </c>
      <c r="C882" s="88" t="s">
        <v>7</v>
      </c>
      <c r="D882" s="88" t="s">
        <v>3139</v>
      </c>
      <c r="E882" s="88" t="s">
        <v>3140</v>
      </c>
      <c r="F882" s="88"/>
      <c r="G882" s="88"/>
      <c r="H882" s="88"/>
      <c r="I882" s="88"/>
      <c r="J882" s="88"/>
      <c r="K882" s="88"/>
      <c r="L882" s="88"/>
      <c r="M882" s="88"/>
      <c r="N882" s="88"/>
      <c r="O882" s="88"/>
      <c r="P882" s="88"/>
      <c r="Q882" s="88"/>
      <c r="R882" s="88"/>
      <c r="S882" s="88"/>
      <c r="T882" s="88"/>
      <c r="U882" s="88"/>
      <c r="V882" s="88"/>
      <c r="W882" s="88"/>
      <c r="X882" s="88"/>
      <c r="Y882" s="88"/>
      <c r="Z882" s="88"/>
      <c r="AA882" s="88"/>
      <c r="AB882" s="88"/>
      <c r="AC882" s="88"/>
      <c r="AD882" s="88"/>
      <c r="AE882" s="88"/>
      <c r="AF882" s="88"/>
      <c r="AG882" s="88"/>
      <c r="AH882" s="88"/>
      <c r="AI882" s="88"/>
      <c r="AJ882" s="88"/>
    </row>
    <row r="883" spans="1:36" ht="15">
      <c r="A883" s="88" t="s">
        <v>348</v>
      </c>
      <c r="B883" s="88" t="s">
        <v>1117</v>
      </c>
      <c r="C883" s="88" t="s">
        <v>7</v>
      </c>
      <c r="D883" s="88" t="s">
        <v>3141</v>
      </c>
      <c r="E883" s="88" t="s">
        <v>3142</v>
      </c>
      <c r="F883" s="88"/>
      <c r="G883" s="88"/>
      <c r="H883" s="88"/>
      <c r="I883" s="88"/>
      <c r="J883" s="88"/>
      <c r="K883" s="88"/>
      <c r="L883" s="88"/>
      <c r="M883" s="88"/>
      <c r="N883" s="88"/>
      <c r="O883" s="88"/>
      <c r="P883" s="88"/>
      <c r="Q883" s="88"/>
      <c r="R883" s="88"/>
      <c r="S883" s="88"/>
      <c r="T883" s="88"/>
      <c r="U883" s="88"/>
      <c r="V883" s="88"/>
      <c r="W883" s="88"/>
      <c r="X883" s="88"/>
      <c r="Y883" s="88"/>
      <c r="Z883" s="88"/>
      <c r="AA883" s="88"/>
      <c r="AB883" s="88"/>
      <c r="AC883" s="88"/>
      <c r="AD883" s="88"/>
      <c r="AE883" s="88"/>
      <c r="AF883" s="88"/>
      <c r="AG883" s="88"/>
      <c r="AH883" s="88"/>
      <c r="AI883" s="88"/>
      <c r="AJ883" s="88"/>
    </row>
    <row r="884" spans="1:36" ht="15">
      <c r="A884" s="88" t="s">
        <v>348</v>
      </c>
      <c r="B884" s="88" t="s">
        <v>1127</v>
      </c>
      <c r="C884" s="88" t="s">
        <v>7</v>
      </c>
      <c r="D884" s="88" t="s">
        <v>3143</v>
      </c>
      <c r="E884" s="88" t="s">
        <v>3144</v>
      </c>
      <c r="F884" s="88"/>
      <c r="G884" s="88"/>
      <c r="H884" s="88"/>
      <c r="I884" s="88"/>
      <c r="J884" s="88"/>
      <c r="K884" s="88"/>
      <c r="L884" s="88"/>
      <c r="M884" s="88"/>
      <c r="N884" s="88"/>
      <c r="O884" s="88"/>
      <c r="P884" s="88"/>
      <c r="Q884" s="88"/>
      <c r="R884" s="88"/>
      <c r="S884" s="88"/>
      <c r="T884" s="88"/>
      <c r="U884" s="88"/>
      <c r="V884" s="88"/>
      <c r="W884" s="88"/>
      <c r="X884" s="88"/>
      <c r="Y884" s="88"/>
      <c r="Z884" s="88"/>
      <c r="AA884" s="88"/>
      <c r="AB884" s="88"/>
      <c r="AC884" s="88"/>
      <c r="AD884" s="88"/>
      <c r="AE884" s="88"/>
      <c r="AF884" s="88"/>
      <c r="AG884" s="88"/>
      <c r="AH884" s="88"/>
      <c r="AI884" s="88"/>
      <c r="AJ884" s="88"/>
    </row>
    <row r="885" spans="1:36" ht="15">
      <c r="A885" s="88" t="s">
        <v>348</v>
      </c>
      <c r="B885" s="88" t="s">
        <v>708</v>
      </c>
      <c r="C885" s="88" t="s">
        <v>7</v>
      </c>
      <c r="D885" s="88" t="s">
        <v>3145</v>
      </c>
      <c r="E885" s="88" t="s">
        <v>3146</v>
      </c>
      <c r="F885" s="88"/>
      <c r="G885" s="88"/>
      <c r="H885" s="88"/>
      <c r="I885" s="88"/>
      <c r="J885" s="88"/>
      <c r="K885" s="88"/>
      <c r="L885" s="88"/>
      <c r="M885" s="88"/>
      <c r="N885" s="88"/>
      <c r="O885" s="88"/>
      <c r="P885" s="88"/>
      <c r="Q885" s="88"/>
      <c r="R885" s="88"/>
      <c r="S885" s="88"/>
      <c r="T885" s="88"/>
      <c r="U885" s="88"/>
      <c r="V885" s="88"/>
      <c r="W885" s="88"/>
      <c r="X885" s="88"/>
      <c r="Y885" s="88"/>
      <c r="Z885" s="88"/>
      <c r="AA885" s="88"/>
      <c r="AB885" s="88"/>
      <c r="AC885" s="88"/>
      <c r="AD885" s="88"/>
      <c r="AE885" s="88"/>
      <c r="AF885" s="88"/>
      <c r="AG885" s="88"/>
      <c r="AH885" s="88"/>
      <c r="AI885" s="88"/>
      <c r="AJ885" s="88"/>
    </row>
    <row r="886" spans="1:36" ht="15">
      <c r="A886" s="88" t="s">
        <v>348</v>
      </c>
      <c r="B886" s="88" t="s">
        <v>1148</v>
      </c>
      <c r="C886" s="88" t="s">
        <v>7</v>
      </c>
      <c r="D886" s="88" t="s">
        <v>3147</v>
      </c>
      <c r="E886" s="88" t="s">
        <v>3148</v>
      </c>
      <c r="F886" s="88"/>
      <c r="G886" s="88"/>
      <c r="H886" s="88"/>
      <c r="I886" s="88"/>
      <c r="J886" s="88"/>
      <c r="K886" s="88"/>
      <c r="L886" s="88"/>
      <c r="M886" s="88"/>
      <c r="N886" s="88"/>
      <c r="O886" s="88"/>
      <c r="P886" s="88"/>
      <c r="Q886" s="88"/>
      <c r="R886" s="88"/>
      <c r="S886" s="88"/>
      <c r="T886" s="88"/>
      <c r="U886" s="88"/>
      <c r="V886" s="88"/>
      <c r="W886" s="88"/>
      <c r="X886" s="88"/>
      <c r="Y886" s="88"/>
      <c r="Z886" s="88"/>
      <c r="AA886" s="88"/>
      <c r="AB886" s="88"/>
      <c r="AC886" s="88"/>
      <c r="AD886" s="88"/>
      <c r="AE886" s="88"/>
      <c r="AF886" s="88"/>
      <c r="AG886" s="88"/>
      <c r="AH886" s="88"/>
      <c r="AI886" s="88"/>
      <c r="AJ886" s="88"/>
    </row>
    <row r="887" spans="1:36" ht="15">
      <c r="A887" s="88" t="s">
        <v>348</v>
      </c>
      <c r="B887" s="88" t="s">
        <v>1159</v>
      </c>
      <c r="C887" s="88" t="s">
        <v>7</v>
      </c>
      <c r="D887" s="88" t="s">
        <v>3149</v>
      </c>
      <c r="E887" s="88" t="s">
        <v>3150</v>
      </c>
      <c r="F887" s="88"/>
      <c r="G887" s="88"/>
      <c r="H887" s="88"/>
      <c r="I887" s="88"/>
      <c r="J887" s="88"/>
      <c r="K887" s="88"/>
      <c r="L887" s="88"/>
      <c r="M887" s="88"/>
      <c r="N887" s="88"/>
      <c r="O887" s="88"/>
      <c r="P887" s="88"/>
      <c r="Q887" s="88"/>
      <c r="R887" s="88"/>
      <c r="S887" s="88"/>
      <c r="T887" s="88"/>
      <c r="U887" s="88"/>
      <c r="V887" s="88"/>
      <c r="W887" s="88"/>
      <c r="X887" s="88"/>
      <c r="Y887" s="88"/>
      <c r="Z887" s="88"/>
      <c r="AA887" s="88"/>
      <c r="AB887" s="88"/>
      <c r="AC887" s="88"/>
      <c r="AD887" s="88"/>
      <c r="AE887" s="88"/>
      <c r="AF887" s="88"/>
      <c r="AG887" s="88"/>
      <c r="AH887" s="88"/>
      <c r="AI887" s="88"/>
      <c r="AJ887" s="88"/>
    </row>
    <row r="888" spans="1:36" ht="15">
      <c r="A888" s="88" t="s">
        <v>348</v>
      </c>
      <c r="B888" s="88" t="s">
        <v>1170</v>
      </c>
      <c r="C888" s="88" t="s">
        <v>7</v>
      </c>
      <c r="D888" s="88" t="s">
        <v>3151</v>
      </c>
      <c r="E888" s="88" t="s">
        <v>3152</v>
      </c>
      <c r="F888" s="88"/>
      <c r="G888" s="88"/>
      <c r="H888" s="88"/>
      <c r="I888" s="88"/>
      <c r="J888" s="88"/>
      <c r="K888" s="88"/>
      <c r="L888" s="88"/>
      <c r="M888" s="88"/>
      <c r="N888" s="88"/>
      <c r="O888" s="88"/>
      <c r="P888" s="88"/>
      <c r="Q888" s="88"/>
      <c r="R888" s="88"/>
      <c r="S888" s="88"/>
      <c r="T888" s="88"/>
      <c r="U888" s="88"/>
      <c r="V888" s="88"/>
      <c r="W888" s="88"/>
      <c r="X888" s="88"/>
      <c r="Y888" s="88"/>
      <c r="Z888" s="88"/>
      <c r="AA888" s="88"/>
      <c r="AB888" s="88"/>
      <c r="AC888" s="88"/>
      <c r="AD888" s="88"/>
      <c r="AE888" s="88"/>
      <c r="AF888" s="88"/>
      <c r="AG888" s="88"/>
      <c r="AH888" s="88"/>
      <c r="AI888" s="88"/>
      <c r="AJ888" s="88"/>
    </row>
    <row r="889" spans="1:36" ht="15">
      <c r="A889" s="88" t="s">
        <v>348</v>
      </c>
      <c r="B889" s="88" t="s">
        <v>1181</v>
      </c>
      <c r="C889" s="88" t="s">
        <v>7</v>
      </c>
      <c r="D889" s="88" t="s">
        <v>1891</v>
      </c>
      <c r="E889" s="88" t="s">
        <v>3153</v>
      </c>
      <c r="F889" s="88"/>
      <c r="G889" s="88"/>
      <c r="H889" s="88"/>
      <c r="I889" s="88"/>
      <c r="J889" s="88"/>
      <c r="K889" s="88"/>
      <c r="L889" s="88"/>
      <c r="M889" s="88"/>
      <c r="N889" s="88"/>
      <c r="O889" s="88"/>
      <c r="P889" s="88"/>
      <c r="Q889" s="88"/>
      <c r="R889" s="88"/>
      <c r="S889" s="88"/>
      <c r="T889" s="88"/>
      <c r="U889" s="88"/>
      <c r="V889" s="88"/>
      <c r="W889" s="88"/>
      <c r="X889" s="88"/>
      <c r="Y889" s="88"/>
      <c r="Z889" s="88"/>
      <c r="AA889" s="88"/>
      <c r="AB889" s="88"/>
      <c r="AC889" s="88"/>
      <c r="AD889" s="88"/>
      <c r="AE889" s="88"/>
      <c r="AF889" s="88"/>
      <c r="AG889" s="88"/>
      <c r="AH889" s="88"/>
      <c r="AI889" s="88"/>
      <c r="AJ889" s="88"/>
    </row>
    <row r="890" spans="1:36" ht="15">
      <c r="A890" s="88" t="s">
        <v>348</v>
      </c>
      <c r="B890" s="88" t="s">
        <v>1191</v>
      </c>
      <c r="C890" s="88" t="s">
        <v>7</v>
      </c>
      <c r="D890" s="88" t="s">
        <v>3154</v>
      </c>
      <c r="E890" s="88" t="s">
        <v>3155</v>
      </c>
      <c r="F890" s="88"/>
      <c r="G890" s="88"/>
      <c r="H890" s="88"/>
      <c r="I890" s="88"/>
      <c r="J890" s="88"/>
      <c r="K890" s="88"/>
      <c r="L890" s="88"/>
      <c r="M890" s="88"/>
      <c r="N890" s="88"/>
      <c r="O890" s="88"/>
      <c r="P890" s="88"/>
      <c r="Q890" s="88"/>
      <c r="R890" s="88"/>
      <c r="S890" s="88"/>
      <c r="T890" s="88"/>
      <c r="U890" s="88"/>
      <c r="V890" s="88"/>
      <c r="W890" s="88"/>
      <c r="X890" s="88"/>
      <c r="Y890" s="88"/>
      <c r="Z890" s="88"/>
      <c r="AA890" s="88"/>
      <c r="AB890" s="88"/>
      <c r="AC890" s="88"/>
      <c r="AD890" s="88"/>
      <c r="AE890" s="88"/>
      <c r="AF890" s="88"/>
      <c r="AG890" s="88"/>
      <c r="AH890" s="88"/>
      <c r="AI890" s="88"/>
      <c r="AJ890" s="88"/>
    </row>
    <row r="891" spans="1:36" ht="15">
      <c r="A891" s="88" t="s">
        <v>348</v>
      </c>
      <c r="B891" s="88" t="s">
        <v>1199</v>
      </c>
      <c r="C891" s="88" t="s">
        <v>7</v>
      </c>
      <c r="D891" s="88" t="s">
        <v>3156</v>
      </c>
      <c r="E891" s="88" t="s">
        <v>3157</v>
      </c>
      <c r="F891" s="88"/>
      <c r="G891" s="88"/>
      <c r="H891" s="88"/>
      <c r="I891" s="88"/>
      <c r="J891" s="88"/>
      <c r="K891" s="88"/>
      <c r="L891" s="88"/>
      <c r="M891" s="88"/>
      <c r="N891" s="88"/>
      <c r="O891" s="88"/>
      <c r="P891" s="88"/>
      <c r="Q891" s="88"/>
      <c r="R891" s="88"/>
      <c r="S891" s="88"/>
      <c r="T891" s="88"/>
      <c r="U891" s="88"/>
      <c r="V891" s="88"/>
      <c r="W891" s="88"/>
      <c r="X891" s="88"/>
      <c r="Y891" s="88"/>
      <c r="Z891" s="88"/>
      <c r="AA891" s="88"/>
      <c r="AB891" s="88"/>
      <c r="AC891" s="88"/>
      <c r="AD891" s="88"/>
      <c r="AE891" s="88"/>
      <c r="AF891" s="88"/>
      <c r="AG891" s="88"/>
      <c r="AH891" s="88"/>
      <c r="AI891" s="88"/>
      <c r="AJ891" s="88"/>
    </row>
    <row r="892" spans="1:36" ht="15">
      <c r="A892" s="88" t="s">
        <v>348</v>
      </c>
      <c r="B892" s="88" t="s">
        <v>1207</v>
      </c>
      <c r="C892" s="88" t="s">
        <v>7</v>
      </c>
      <c r="D892" s="88" t="s">
        <v>3158</v>
      </c>
      <c r="E892" s="88" t="s">
        <v>3159</v>
      </c>
      <c r="F892" s="88"/>
      <c r="G892" s="88"/>
      <c r="H892" s="88"/>
      <c r="I892" s="88"/>
      <c r="J892" s="88"/>
      <c r="K892" s="88"/>
      <c r="L892" s="88"/>
      <c r="M892" s="88"/>
      <c r="N892" s="88"/>
      <c r="O892" s="88"/>
      <c r="P892" s="88"/>
      <c r="Q892" s="88"/>
      <c r="R892" s="88"/>
      <c r="S892" s="88"/>
      <c r="T892" s="88"/>
      <c r="U892" s="88"/>
      <c r="V892" s="88"/>
      <c r="W892" s="88"/>
      <c r="X892" s="88"/>
      <c r="Y892" s="88"/>
      <c r="Z892" s="88"/>
      <c r="AA892" s="88"/>
      <c r="AB892" s="88"/>
      <c r="AC892" s="88"/>
      <c r="AD892" s="88"/>
      <c r="AE892" s="88"/>
      <c r="AF892" s="88"/>
      <c r="AG892" s="88"/>
      <c r="AH892" s="88"/>
      <c r="AI892" s="88"/>
      <c r="AJ892" s="88"/>
    </row>
    <row r="893" spans="1:36" ht="15">
      <c r="A893" s="88" t="s">
        <v>348</v>
      </c>
      <c r="B893" s="88" t="s">
        <v>1216</v>
      </c>
      <c r="C893" s="88" t="s">
        <v>7</v>
      </c>
      <c r="D893" s="88" t="s">
        <v>3160</v>
      </c>
      <c r="E893" s="88" t="s">
        <v>3161</v>
      </c>
      <c r="F893" s="88"/>
      <c r="G893" s="88"/>
      <c r="H893" s="88"/>
      <c r="I893" s="88"/>
      <c r="J893" s="88"/>
      <c r="K893" s="88"/>
      <c r="L893" s="88"/>
      <c r="M893" s="88"/>
      <c r="N893" s="88"/>
      <c r="O893" s="88"/>
      <c r="P893" s="88"/>
      <c r="Q893" s="88"/>
      <c r="R893" s="88"/>
      <c r="S893" s="88"/>
      <c r="T893" s="88"/>
      <c r="U893" s="88"/>
      <c r="V893" s="88"/>
      <c r="W893" s="88"/>
      <c r="X893" s="88"/>
      <c r="Y893" s="88"/>
      <c r="Z893" s="88"/>
      <c r="AA893" s="88"/>
      <c r="AB893" s="88"/>
      <c r="AC893" s="88"/>
      <c r="AD893" s="88"/>
      <c r="AE893" s="88"/>
      <c r="AF893" s="88"/>
      <c r="AG893" s="88"/>
      <c r="AH893" s="88"/>
      <c r="AI893" s="88"/>
      <c r="AJ893" s="88"/>
    </row>
    <row r="894" spans="1:36" ht="15">
      <c r="A894" s="88" t="s">
        <v>348</v>
      </c>
      <c r="B894" s="88" t="s">
        <v>878</v>
      </c>
      <c r="C894" s="88" t="s">
        <v>7</v>
      </c>
      <c r="D894" s="88" t="s">
        <v>3162</v>
      </c>
      <c r="E894" s="88" t="s">
        <v>3163</v>
      </c>
      <c r="F894" s="88"/>
      <c r="G894" s="88"/>
      <c r="H894" s="88"/>
      <c r="I894" s="88"/>
      <c r="J894" s="88"/>
      <c r="K894" s="88"/>
      <c r="L894" s="88"/>
      <c r="M894" s="88"/>
      <c r="N894" s="88"/>
      <c r="O894" s="88"/>
      <c r="P894" s="88"/>
      <c r="Q894" s="88"/>
      <c r="R894" s="88"/>
      <c r="S894" s="88"/>
      <c r="T894" s="88"/>
      <c r="U894" s="88"/>
      <c r="V894" s="88"/>
      <c r="W894" s="88"/>
      <c r="X894" s="88"/>
      <c r="Y894" s="88"/>
      <c r="Z894" s="88"/>
      <c r="AA894" s="88"/>
      <c r="AB894" s="88"/>
      <c r="AC894" s="88"/>
      <c r="AD894" s="88"/>
      <c r="AE894" s="88"/>
      <c r="AF894" s="88"/>
      <c r="AG894" s="88"/>
      <c r="AH894" s="88"/>
      <c r="AI894" s="88"/>
      <c r="AJ894" s="88"/>
    </row>
    <row r="895" spans="1:36" ht="15">
      <c r="A895" s="88" t="s">
        <v>348</v>
      </c>
      <c r="B895" s="88" t="s">
        <v>1231</v>
      </c>
      <c r="C895" s="88" t="s">
        <v>7</v>
      </c>
      <c r="D895" s="88" t="s">
        <v>3164</v>
      </c>
      <c r="E895" s="88" t="s">
        <v>3165</v>
      </c>
      <c r="F895" s="88"/>
      <c r="G895" s="88"/>
      <c r="H895" s="88"/>
      <c r="I895" s="88"/>
      <c r="J895" s="88"/>
      <c r="K895" s="88"/>
      <c r="L895" s="88"/>
      <c r="M895" s="88"/>
      <c r="N895" s="88"/>
      <c r="O895" s="88"/>
      <c r="P895" s="88"/>
      <c r="Q895" s="88"/>
      <c r="R895" s="88"/>
      <c r="S895" s="88"/>
      <c r="T895" s="88"/>
      <c r="U895" s="88"/>
      <c r="V895" s="88"/>
      <c r="W895" s="88"/>
      <c r="X895" s="88"/>
      <c r="Y895" s="88"/>
      <c r="Z895" s="88"/>
      <c r="AA895" s="88"/>
      <c r="AB895" s="88"/>
      <c r="AC895" s="88"/>
      <c r="AD895" s="88"/>
      <c r="AE895" s="88"/>
      <c r="AF895" s="88"/>
      <c r="AG895" s="88"/>
      <c r="AH895" s="88"/>
      <c r="AI895" s="88"/>
      <c r="AJ895" s="88"/>
    </row>
    <row r="896" spans="1:36" ht="15">
      <c r="A896" s="88" t="s">
        <v>348</v>
      </c>
      <c r="B896" s="88" t="s">
        <v>1237</v>
      </c>
      <c r="C896" s="88" t="s">
        <v>7</v>
      </c>
      <c r="D896" s="88" t="s">
        <v>3166</v>
      </c>
      <c r="E896" s="88" t="s">
        <v>3167</v>
      </c>
      <c r="F896" s="88"/>
      <c r="G896" s="88"/>
      <c r="H896" s="88"/>
      <c r="I896" s="88"/>
      <c r="J896" s="88"/>
      <c r="K896" s="88"/>
      <c r="L896" s="88"/>
      <c r="M896" s="88"/>
      <c r="N896" s="88"/>
      <c r="O896" s="88"/>
      <c r="P896" s="88"/>
      <c r="Q896" s="88"/>
      <c r="R896" s="88"/>
      <c r="S896" s="88"/>
      <c r="T896" s="88"/>
      <c r="U896" s="88"/>
      <c r="V896" s="88"/>
      <c r="W896" s="88"/>
      <c r="X896" s="88"/>
      <c r="Y896" s="88"/>
      <c r="Z896" s="88"/>
      <c r="AA896" s="88"/>
      <c r="AB896" s="88"/>
      <c r="AC896" s="88"/>
      <c r="AD896" s="88"/>
      <c r="AE896" s="88"/>
      <c r="AF896" s="88"/>
      <c r="AG896" s="88"/>
      <c r="AH896" s="88"/>
      <c r="AI896" s="88"/>
      <c r="AJ896" s="88"/>
    </row>
    <row r="897" spans="1:36" ht="15">
      <c r="A897" s="88" t="s">
        <v>348</v>
      </c>
      <c r="B897" s="88" t="s">
        <v>1244</v>
      </c>
      <c r="C897" s="88" t="s">
        <v>7</v>
      </c>
      <c r="D897" s="88" t="s">
        <v>3168</v>
      </c>
      <c r="E897" s="88" t="s">
        <v>3169</v>
      </c>
      <c r="F897" s="88"/>
      <c r="G897" s="88"/>
      <c r="H897" s="88"/>
      <c r="I897" s="88"/>
      <c r="J897" s="88"/>
      <c r="K897" s="88"/>
      <c r="L897" s="88"/>
      <c r="M897" s="88"/>
      <c r="N897" s="88"/>
      <c r="O897" s="88"/>
      <c r="P897" s="88"/>
      <c r="Q897" s="88"/>
      <c r="R897" s="88"/>
      <c r="S897" s="88"/>
      <c r="T897" s="88"/>
      <c r="U897" s="88"/>
      <c r="V897" s="88"/>
      <c r="W897" s="88"/>
      <c r="X897" s="88"/>
      <c r="Y897" s="88"/>
      <c r="Z897" s="88"/>
      <c r="AA897" s="88"/>
      <c r="AB897" s="88"/>
      <c r="AC897" s="88"/>
      <c r="AD897" s="88"/>
      <c r="AE897" s="88"/>
      <c r="AF897" s="88"/>
      <c r="AG897" s="88"/>
      <c r="AH897" s="88"/>
      <c r="AI897" s="88"/>
      <c r="AJ897" s="88"/>
    </row>
    <row r="898" spans="1:36" ht="15">
      <c r="A898" s="88" t="s">
        <v>348</v>
      </c>
      <c r="B898" s="88" t="s">
        <v>1251</v>
      </c>
      <c r="C898" s="88" t="s">
        <v>7</v>
      </c>
      <c r="D898" s="88" t="s">
        <v>3170</v>
      </c>
      <c r="E898" s="88" t="s">
        <v>3171</v>
      </c>
      <c r="F898" s="88"/>
      <c r="G898" s="88"/>
      <c r="H898" s="88"/>
      <c r="I898" s="88"/>
      <c r="J898" s="88"/>
      <c r="K898" s="88"/>
      <c r="L898" s="88"/>
      <c r="M898" s="88"/>
      <c r="N898" s="88"/>
      <c r="O898" s="88"/>
      <c r="P898" s="88"/>
      <c r="Q898" s="88"/>
      <c r="R898" s="88"/>
      <c r="S898" s="88"/>
      <c r="T898" s="88"/>
      <c r="U898" s="88"/>
      <c r="V898" s="88"/>
      <c r="W898" s="88"/>
      <c r="X898" s="88"/>
      <c r="Y898" s="88"/>
      <c r="Z898" s="88"/>
      <c r="AA898" s="88"/>
      <c r="AB898" s="88"/>
      <c r="AC898" s="88"/>
      <c r="AD898" s="88"/>
      <c r="AE898" s="88"/>
      <c r="AF898" s="88"/>
      <c r="AG898" s="88"/>
      <c r="AH898" s="88"/>
      <c r="AI898" s="88"/>
      <c r="AJ898" s="88"/>
    </row>
    <row r="899" spans="1:36" ht="15">
      <c r="A899" s="88" t="s">
        <v>348</v>
      </c>
      <c r="B899" s="88" t="s">
        <v>1256</v>
      </c>
      <c r="C899" s="88" t="s">
        <v>7</v>
      </c>
      <c r="D899" s="88" t="s">
        <v>3172</v>
      </c>
      <c r="E899" s="88" t="s">
        <v>3173</v>
      </c>
      <c r="F899" s="88"/>
      <c r="G899" s="88"/>
      <c r="H899" s="88"/>
      <c r="I899" s="88"/>
      <c r="J899" s="88"/>
      <c r="K899" s="88"/>
      <c r="L899" s="88"/>
      <c r="M899" s="88"/>
      <c r="N899" s="88"/>
      <c r="O899" s="88"/>
      <c r="P899" s="88"/>
      <c r="Q899" s="88"/>
      <c r="R899" s="88"/>
      <c r="S899" s="88"/>
      <c r="T899" s="88"/>
      <c r="U899" s="88"/>
      <c r="V899" s="88"/>
      <c r="W899" s="88"/>
      <c r="X899" s="88"/>
      <c r="Y899" s="88"/>
      <c r="Z899" s="88"/>
      <c r="AA899" s="88"/>
      <c r="AB899" s="88"/>
      <c r="AC899" s="88"/>
      <c r="AD899" s="88"/>
      <c r="AE899" s="88"/>
      <c r="AF899" s="88"/>
      <c r="AG899" s="88"/>
      <c r="AH899" s="88"/>
      <c r="AI899" s="88"/>
      <c r="AJ899" s="88"/>
    </row>
    <row r="900" spans="1:36" ht="15">
      <c r="A900" s="88" t="s">
        <v>348</v>
      </c>
      <c r="B900" s="88" t="s">
        <v>1262</v>
      </c>
      <c r="C900" s="88" t="s">
        <v>7</v>
      </c>
      <c r="D900" s="88" t="s">
        <v>3174</v>
      </c>
      <c r="E900" s="88" t="s">
        <v>3175</v>
      </c>
      <c r="F900" s="88"/>
      <c r="G900" s="88"/>
      <c r="H900" s="88"/>
      <c r="I900" s="88"/>
      <c r="J900" s="88"/>
      <c r="K900" s="88"/>
      <c r="L900" s="88"/>
      <c r="M900" s="88"/>
      <c r="N900" s="88"/>
      <c r="O900" s="88"/>
      <c r="P900" s="88"/>
      <c r="Q900" s="88"/>
      <c r="R900" s="88"/>
      <c r="S900" s="88"/>
      <c r="T900" s="88"/>
      <c r="U900" s="88"/>
      <c r="V900" s="88"/>
      <c r="W900" s="88"/>
      <c r="X900" s="88"/>
      <c r="Y900" s="88"/>
      <c r="Z900" s="88"/>
      <c r="AA900" s="88"/>
      <c r="AB900" s="88"/>
      <c r="AC900" s="88"/>
      <c r="AD900" s="88"/>
      <c r="AE900" s="88"/>
      <c r="AF900" s="88"/>
      <c r="AG900" s="88"/>
      <c r="AH900" s="88"/>
      <c r="AI900" s="88"/>
      <c r="AJ900" s="88"/>
    </row>
    <row r="901" spans="1:36" ht="15">
      <c r="A901" s="88" t="s">
        <v>348</v>
      </c>
      <c r="B901" s="88" t="s">
        <v>1268</v>
      </c>
      <c r="C901" s="88" t="s">
        <v>7</v>
      </c>
      <c r="D901" s="88" t="s">
        <v>3176</v>
      </c>
      <c r="E901" s="88" t="s">
        <v>3177</v>
      </c>
      <c r="F901" s="88"/>
      <c r="G901" s="88"/>
      <c r="H901" s="88"/>
      <c r="I901" s="88"/>
      <c r="J901" s="88"/>
      <c r="K901" s="88"/>
      <c r="L901" s="88"/>
      <c r="M901" s="88"/>
      <c r="N901" s="88"/>
      <c r="O901" s="88"/>
      <c r="P901" s="88"/>
      <c r="Q901" s="88"/>
      <c r="R901" s="88"/>
      <c r="S901" s="88"/>
      <c r="T901" s="88"/>
      <c r="U901" s="88"/>
      <c r="V901" s="88"/>
      <c r="W901" s="88"/>
      <c r="X901" s="88"/>
      <c r="Y901" s="88"/>
      <c r="Z901" s="88"/>
      <c r="AA901" s="88"/>
      <c r="AB901" s="88"/>
      <c r="AC901" s="88"/>
      <c r="AD901" s="88"/>
      <c r="AE901" s="88"/>
      <c r="AF901" s="88"/>
      <c r="AG901" s="88"/>
      <c r="AH901" s="88"/>
      <c r="AI901" s="88"/>
      <c r="AJ901" s="88"/>
    </row>
    <row r="902" spans="1:36" ht="15">
      <c r="A902" s="88" t="s">
        <v>348</v>
      </c>
      <c r="B902" s="88" t="s">
        <v>1274</v>
      </c>
      <c r="C902" s="88" t="s">
        <v>7</v>
      </c>
      <c r="D902" s="88" t="s">
        <v>3178</v>
      </c>
      <c r="E902" s="88" t="s">
        <v>3179</v>
      </c>
      <c r="F902" s="88"/>
      <c r="G902" s="88"/>
      <c r="H902" s="88"/>
      <c r="I902" s="88"/>
      <c r="J902" s="88"/>
      <c r="K902" s="88"/>
      <c r="L902" s="88"/>
      <c r="M902" s="88"/>
      <c r="N902" s="88"/>
      <c r="O902" s="88"/>
      <c r="P902" s="88"/>
      <c r="Q902" s="88"/>
      <c r="R902" s="88"/>
      <c r="S902" s="88"/>
      <c r="T902" s="88"/>
      <c r="U902" s="88"/>
      <c r="V902" s="88"/>
      <c r="W902" s="88"/>
      <c r="X902" s="88"/>
      <c r="Y902" s="88"/>
      <c r="Z902" s="88"/>
      <c r="AA902" s="88"/>
      <c r="AB902" s="88"/>
      <c r="AC902" s="88"/>
      <c r="AD902" s="88"/>
      <c r="AE902" s="88"/>
      <c r="AF902" s="88"/>
      <c r="AG902" s="88"/>
      <c r="AH902" s="88"/>
      <c r="AI902" s="88"/>
      <c r="AJ902" s="88"/>
    </row>
    <row r="903" spans="1:36" ht="15">
      <c r="A903" s="88" t="s">
        <v>348</v>
      </c>
      <c r="B903" s="88" t="s">
        <v>1281</v>
      </c>
      <c r="C903" s="88" t="s">
        <v>7</v>
      </c>
      <c r="D903" s="88" t="s">
        <v>3180</v>
      </c>
      <c r="E903" s="88" t="s">
        <v>3181</v>
      </c>
      <c r="F903" s="88"/>
      <c r="G903" s="88"/>
      <c r="H903" s="88"/>
      <c r="I903" s="88"/>
      <c r="J903" s="88"/>
      <c r="K903" s="88"/>
      <c r="L903" s="88"/>
      <c r="M903" s="88"/>
      <c r="N903" s="88"/>
      <c r="O903" s="88"/>
      <c r="P903" s="88"/>
      <c r="Q903" s="88"/>
      <c r="R903" s="88"/>
      <c r="S903" s="88"/>
      <c r="T903" s="88"/>
      <c r="U903" s="88"/>
      <c r="V903" s="88"/>
      <c r="W903" s="88"/>
      <c r="X903" s="88"/>
      <c r="Y903" s="88"/>
      <c r="Z903" s="88"/>
      <c r="AA903" s="88"/>
      <c r="AB903" s="88"/>
      <c r="AC903" s="88"/>
      <c r="AD903" s="88"/>
      <c r="AE903" s="88"/>
      <c r="AF903" s="88"/>
      <c r="AG903" s="88"/>
      <c r="AH903" s="88"/>
      <c r="AI903" s="88"/>
      <c r="AJ903" s="88"/>
    </row>
    <row r="904" spans="1:36" ht="15">
      <c r="A904" s="88" t="s">
        <v>348</v>
      </c>
      <c r="B904" s="88" t="s">
        <v>1288</v>
      </c>
      <c r="C904" s="88" t="s">
        <v>7</v>
      </c>
      <c r="D904" s="88" t="s">
        <v>3182</v>
      </c>
      <c r="E904" s="88" t="s">
        <v>3183</v>
      </c>
      <c r="F904" s="88"/>
      <c r="G904" s="88"/>
      <c r="H904" s="88"/>
      <c r="I904" s="88"/>
      <c r="J904" s="88"/>
      <c r="K904" s="88"/>
      <c r="L904" s="88"/>
      <c r="M904" s="88"/>
      <c r="N904" s="88"/>
      <c r="O904" s="88"/>
      <c r="P904" s="88"/>
      <c r="Q904" s="88"/>
      <c r="R904" s="88"/>
      <c r="S904" s="88"/>
      <c r="T904" s="88"/>
      <c r="U904" s="88"/>
      <c r="V904" s="88"/>
      <c r="W904" s="88"/>
      <c r="X904" s="88"/>
      <c r="Y904" s="88"/>
      <c r="Z904" s="88"/>
      <c r="AA904" s="88"/>
      <c r="AB904" s="88"/>
      <c r="AC904" s="88"/>
      <c r="AD904" s="88"/>
      <c r="AE904" s="88"/>
      <c r="AF904" s="88"/>
      <c r="AG904" s="88"/>
      <c r="AH904" s="88"/>
      <c r="AI904" s="88"/>
      <c r="AJ904" s="88"/>
    </row>
    <row r="905" spans="1:36" ht="15">
      <c r="A905" s="88" t="s">
        <v>348</v>
      </c>
      <c r="B905" s="88" t="s">
        <v>1294</v>
      </c>
      <c r="C905" s="88" t="s">
        <v>7</v>
      </c>
      <c r="D905" s="88" t="s">
        <v>3184</v>
      </c>
      <c r="E905" s="88" t="s">
        <v>3185</v>
      </c>
      <c r="F905" s="88"/>
      <c r="G905" s="88"/>
      <c r="H905" s="88"/>
      <c r="I905" s="88"/>
      <c r="J905" s="88"/>
      <c r="K905" s="88"/>
      <c r="L905" s="88"/>
      <c r="M905" s="88"/>
      <c r="N905" s="88"/>
      <c r="O905" s="88"/>
      <c r="P905" s="88"/>
      <c r="Q905" s="88"/>
      <c r="R905" s="88"/>
      <c r="S905" s="88"/>
      <c r="T905" s="88"/>
      <c r="U905" s="88"/>
      <c r="V905" s="88"/>
      <c r="W905" s="88"/>
      <c r="X905" s="88"/>
      <c r="Y905" s="88"/>
      <c r="Z905" s="88"/>
      <c r="AA905" s="88"/>
      <c r="AB905" s="88"/>
      <c r="AC905" s="88"/>
      <c r="AD905" s="88"/>
      <c r="AE905" s="88"/>
      <c r="AF905" s="88"/>
      <c r="AG905" s="88"/>
      <c r="AH905" s="88"/>
      <c r="AI905" s="88"/>
      <c r="AJ905" s="88"/>
    </row>
    <row r="906" spans="1:36" ht="15">
      <c r="A906" s="88" t="s">
        <v>348</v>
      </c>
      <c r="B906" s="88" t="s">
        <v>1300</v>
      </c>
      <c r="C906" s="88" t="s">
        <v>7</v>
      </c>
      <c r="D906" s="88" t="s">
        <v>3186</v>
      </c>
      <c r="E906" s="88" t="s">
        <v>3187</v>
      </c>
      <c r="F906" s="88"/>
      <c r="G906" s="88"/>
      <c r="H906" s="88"/>
      <c r="I906" s="88"/>
      <c r="J906" s="88"/>
      <c r="K906" s="88"/>
      <c r="L906" s="88"/>
      <c r="M906" s="88"/>
      <c r="N906" s="88"/>
      <c r="O906" s="88"/>
      <c r="P906" s="88"/>
      <c r="Q906" s="88"/>
      <c r="R906" s="88"/>
      <c r="S906" s="88"/>
      <c r="T906" s="88"/>
      <c r="U906" s="88"/>
      <c r="V906" s="88"/>
      <c r="W906" s="88"/>
      <c r="X906" s="88"/>
      <c r="Y906" s="88"/>
      <c r="Z906" s="88"/>
      <c r="AA906" s="88"/>
      <c r="AB906" s="88"/>
      <c r="AC906" s="88"/>
      <c r="AD906" s="88"/>
      <c r="AE906" s="88"/>
      <c r="AF906" s="88"/>
      <c r="AG906" s="88"/>
      <c r="AH906" s="88"/>
      <c r="AI906" s="88"/>
      <c r="AJ906" s="88"/>
    </row>
    <row r="907" spans="1:36" ht="15">
      <c r="A907" s="88" t="s">
        <v>348</v>
      </c>
      <c r="B907" s="88" t="s">
        <v>1307</v>
      </c>
      <c r="C907" s="88" t="s">
        <v>7</v>
      </c>
      <c r="D907" s="88" t="s">
        <v>3188</v>
      </c>
      <c r="E907" s="88" t="s">
        <v>3189</v>
      </c>
      <c r="F907" s="88"/>
      <c r="G907" s="88"/>
      <c r="H907" s="88"/>
      <c r="I907" s="88"/>
      <c r="J907" s="88"/>
      <c r="K907" s="88"/>
      <c r="L907" s="88"/>
      <c r="M907" s="88"/>
      <c r="N907" s="88"/>
      <c r="O907" s="88"/>
      <c r="P907" s="88"/>
      <c r="Q907" s="88"/>
      <c r="R907" s="88"/>
      <c r="S907" s="88"/>
      <c r="T907" s="88"/>
      <c r="U907" s="88"/>
      <c r="V907" s="88"/>
      <c r="W907" s="88"/>
      <c r="X907" s="88"/>
      <c r="Y907" s="88"/>
      <c r="Z907" s="88"/>
      <c r="AA907" s="88"/>
      <c r="AB907" s="88"/>
      <c r="AC907" s="88"/>
      <c r="AD907" s="88"/>
      <c r="AE907" s="88"/>
      <c r="AF907" s="88"/>
      <c r="AG907" s="88"/>
      <c r="AH907" s="88"/>
      <c r="AI907" s="88"/>
      <c r="AJ907" s="88"/>
    </row>
    <row r="908" spans="1:36" ht="15">
      <c r="A908" s="88" t="s">
        <v>348</v>
      </c>
      <c r="B908" s="88" t="s">
        <v>1313</v>
      </c>
      <c r="C908" s="88" t="s">
        <v>7</v>
      </c>
      <c r="D908" s="88" t="s">
        <v>3190</v>
      </c>
      <c r="E908" s="88" t="s">
        <v>3191</v>
      </c>
      <c r="F908" s="88"/>
      <c r="G908" s="88"/>
      <c r="H908" s="88"/>
      <c r="I908" s="88"/>
      <c r="J908" s="88"/>
      <c r="K908" s="88"/>
      <c r="L908" s="88"/>
      <c r="M908" s="88"/>
      <c r="N908" s="88"/>
      <c r="O908" s="88"/>
      <c r="P908" s="88"/>
      <c r="Q908" s="88"/>
      <c r="R908" s="88"/>
      <c r="S908" s="88"/>
      <c r="T908" s="88"/>
      <c r="U908" s="88"/>
      <c r="V908" s="88"/>
      <c r="W908" s="88"/>
      <c r="X908" s="88"/>
      <c r="Y908" s="88"/>
      <c r="Z908" s="88"/>
      <c r="AA908" s="88"/>
      <c r="AB908" s="88"/>
      <c r="AC908" s="88"/>
      <c r="AD908" s="88"/>
      <c r="AE908" s="88"/>
      <c r="AF908" s="88"/>
      <c r="AG908" s="88"/>
      <c r="AH908" s="88"/>
      <c r="AI908" s="88"/>
      <c r="AJ908" s="88"/>
    </row>
    <row r="909" spans="1:36" ht="15">
      <c r="A909" s="88" t="s">
        <v>348</v>
      </c>
      <c r="B909" s="88" t="s">
        <v>1320</v>
      </c>
      <c r="C909" s="88" t="s">
        <v>7</v>
      </c>
      <c r="D909" s="88" t="s">
        <v>3192</v>
      </c>
      <c r="E909" s="88" t="s">
        <v>3193</v>
      </c>
      <c r="F909" s="88"/>
      <c r="G909" s="88"/>
      <c r="H909" s="88"/>
      <c r="I909" s="88"/>
      <c r="J909" s="88"/>
      <c r="K909" s="88"/>
      <c r="L909" s="88"/>
      <c r="M909" s="88"/>
      <c r="N909" s="88"/>
      <c r="O909" s="88"/>
      <c r="P909" s="88"/>
      <c r="Q909" s="88"/>
      <c r="R909" s="88"/>
      <c r="S909" s="88"/>
      <c r="T909" s="88"/>
      <c r="U909" s="88"/>
      <c r="V909" s="88"/>
      <c r="W909" s="88"/>
      <c r="X909" s="88"/>
      <c r="Y909" s="88"/>
      <c r="Z909" s="88"/>
      <c r="AA909" s="88"/>
      <c r="AB909" s="88"/>
      <c r="AC909" s="88"/>
      <c r="AD909" s="88"/>
      <c r="AE909" s="88"/>
      <c r="AF909" s="88"/>
      <c r="AG909" s="88"/>
      <c r="AH909" s="88"/>
      <c r="AI909" s="88"/>
      <c r="AJ909" s="88"/>
    </row>
    <row r="910" spans="1:36" ht="15">
      <c r="A910" s="88" t="s">
        <v>348</v>
      </c>
      <c r="B910" s="88" t="s">
        <v>1327</v>
      </c>
      <c r="C910" s="88" t="s">
        <v>7</v>
      </c>
      <c r="D910" s="88" t="s">
        <v>3194</v>
      </c>
      <c r="E910" s="88" t="s">
        <v>3195</v>
      </c>
      <c r="F910" s="88"/>
      <c r="G910" s="88"/>
      <c r="H910" s="88"/>
      <c r="I910" s="88"/>
      <c r="J910" s="88"/>
      <c r="K910" s="88"/>
      <c r="L910" s="88"/>
      <c r="M910" s="88"/>
      <c r="N910" s="88"/>
      <c r="O910" s="88"/>
      <c r="P910" s="88"/>
      <c r="Q910" s="88"/>
      <c r="R910" s="88"/>
      <c r="S910" s="88"/>
      <c r="T910" s="88"/>
      <c r="U910" s="88"/>
      <c r="V910" s="88"/>
      <c r="W910" s="88"/>
      <c r="X910" s="88"/>
      <c r="Y910" s="88"/>
      <c r="Z910" s="88"/>
      <c r="AA910" s="88"/>
      <c r="AB910" s="88"/>
      <c r="AC910" s="88"/>
      <c r="AD910" s="88"/>
      <c r="AE910" s="88"/>
      <c r="AF910" s="88"/>
      <c r="AG910" s="88"/>
      <c r="AH910" s="88"/>
      <c r="AI910" s="88"/>
      <c r="AJ910" s="88"/>
    </row>
    <row r="911" spans="1:36" ht="15">
      <c r="A911" s="88" t="s">
        <v>348</v>
      </c>
      <c r="B911" s="88" t="s">
        <v>1334</v>
      </c>
      <c r="C911" s="88" t="s">
        <v>7</v>
      </c>
      <c r="D911" s="88" t="s">
        <v>3196</v>
      </c>
      <c r="E911" s="88" t="s">
        <v>3197</v>
      </c>
      <c r="F911" s="88"/>
      <c r="G911" s="88"/>
      <c r="H911" s="88"/>
      <c r="I911" s="88"/>
      <c r="J911" s="88"/>
      <c r="K911" s="88"/>
      <c r="L911" s="88"/>
      <c r="M911" s="88"/>
      <c r="N911" s="88"/>
      <c r="O911" s="88"/>
      <c r="P911" s="88"/>
      <c r="Q911" s="88"/>
      <c r="R911" s="88"/>
      <c r="S911" s="88"/>
      <c r="T911" s="88"/>
      <c r="U911" s="88"/>
      <c r="V911" s="88"/>
      <c r="W911" s="88"/>
      <c r="X911" s="88"/>
      <c r="Y911" s="88"/>
      <c r="Z911" s="88"/>
      <c r="AA911" s="88"/>
      <c r="AB911" s="88"/>
      <c r="AC911" s="88"/>
      <c r="AD911" s="88"/>
      <c r="AE911" s="88"/>
      <c r="AF911" s="88"/>
      <c r="AG911" s="88"/>
      <c r="AH911" s="88"/>
      <c r="AI911" s="88"/>
      <c r="AJ911" s="88"/>
    </row>
    <row r="912" spans="1:36" ht="15">
      <c r="A912" s="88" t="s">
        <v>348</v>
      </c>
      <c r="B912" s="88" t="s">
        <v>1338</v>
      </c>
      <c r="C912" s="88" t="s">
        <v>7</v>
      </c>
      <c r="D912" s="88" t="s">
        <v>3198</v>
      </c>
      <c r="E912" s="88" t="s">
        <v>3199</v>
      </c>
      <c r="F912" s="88"/>
      <c r="G912" s="88"/>
      <c r="H912" s="88"/>
      <c r="I912" s="88"/>
      <c r="J912" s="88"/>
      <c r="K912" s="88"/>
      <c r="L912" s="88"/>
      <c r="M912" s="88"/>
      <c r="N912" s="88"/>
      <c r="O912" s="88"/>
      <c r="P912" s="88"/>
      <c r="Q912" s="88"/>
      <c r="R912" s="88"/>
      <c r="S912" s="88"/>
      <c r="T912" s="88"/>
      <c r="U912" s="88"/>
      <c r="V912" s="88"/>
      <c r="W912" s="88"/>
      <c r="X912" s="88"/>
      <c r="Y912" s="88"/>
      <c r="Z912" s="88"/>
      <c r="AA912" s="88"/>
      <c r="AB912" s="88"/>
      <c r="AC912" s="88"/>
      <c r="AD912" s="88"/>
      <c r="AE912" s="88"/>
      <c r="AF912" s="88"/>
      <c r="AG912" s="88"/>
      <c r="AH912" s="88"/>
      <c r="AI912" s="88"/>
      <c r="AJ912" s="88"/>
    </row>
    <row r="913" spans="1:36" ht="15">
      <c r="A913" s="88" t="s">
        <v>348</v>
      </c>
      <c r="B913" s="88" t="s">
        <v>1344</v>
      </c>
      <c r="C913" s="88" t="s">
        <v>7</v>
      </c>
      <c r="D913" s="88" t="s">
        <v>3200</v>
      </c>
      <c r="E913" s="88" t="s">
        <v>3201</v>
      </c>
      <c r="F913" s="88"/>
      <c r="G913" s="88"/>
      <c r="H913" s="88"/>
      <c r="I913" s="88"/>
      <c r="J913" s="88"/>
      <c r="K913" s="88"/>
      <c r="L913" s="88"/>
      <c r="M913" s="88"/>
      <c r="N913" s="88"/>
      <c r="O913" s="88"/>
      <c r="P913" s="88"/>
      <c r="Q913" s="88"/>
      <c r="R913" s="88"/>
      <c r="S913" s="88"/>
      <c r="T913" s="88"/>
      <c r="U913" s="88"/>
      <c r="V913" s="88"/>
      <c r="W913" s="88"/>
      <c r="X913" s="88"/>
      <c r="Y913" s="88"/>
      <c r="Z913" s="88"/>
      <c r="AA913" s="88"/>
      <c r="AB913" s="88"/>
      <c r="AC913" s="88"/>
      <c r="AD913" s="88"/>
      <c r="AE913" s="88"/>
      <c r="AF913" s="88"/>
      <c r="AG913" s="88"/>
      <c r="AH913" s="88"/>
      <c r="AI913" s="88"/>
      <c r="AJ913" s="88"/>
    </row>
    <row r="914" spans="1:36" ht="15">
      <c r="A914" s="88" t="s">
        <v>348</v>
      </c>
      <c r="B914" s="88" t="s">
        <v>1350</v>
      </c>
      <c r="C914" s="88" t="s">
        <v>7</v>
      </c>
      <c r="D914" s="88" t="s">
        <v>3202</v>
      </c>
      <c r="E914" s="88" t="s">
        <v>3203</v>
      </c>
      <c r="F914" s="88"/>
      <c r="G914" s="88"/>
      <c r="H914" s="88"/>
      <c r="I914" s="88"/>
      <c r="J914" s="88"/>
      <c r="K914" s="88"/>
      <c r="L914" s="88"/>
      <c r="M914" s="88"/>
      <c r="N914" s="88"/>
      <c r="O914" s="88"/>
      <c r="P914" s="88"/>
      <c r="Q914" s="88"/>
      <c r="R914" s="88"/>
      <c r="S914" s="88"/>
      <c r="T914" s="88"/>
      <c r="U914" s="88"/>
      <c r="V914" s="88"/>
      <c r="W914" s="88"/>
      <c r="X914" s="88"/>
      <c r="Y914" s="88"/>
      <c r="Z914" s="88"/>
      <c r="AA914" s="88"/>
      <c r="AB914" s="88"/>
      <c r="AC914" s="88"/>
      <c r="AD914" s="88"/>
      <c r="AE914" s="88"/>
      <c r="AF914" s="88"/>
      <c r="AG914" s="88"/>
      <c r="AH914" s="88"/>
      <c r="AI914" s="88"/>
      <c r="AJ914" s="88"/>
    </row>
    <row r="915" spans="1:36" ht="15">
      <c r="A915" s="88" t="s">
        <v>348</v>
      </c>
      <c r="B915" s="88" t="s">
        <v>1356</v>
      </c>
      <c r="C915" s="88" t="s">
        <v>7</v>
      </c>
      <c r="D915" s="88" t="s">
        <v>3204</v>
      </c>
      <c r="E915" s="88" t="s">
        <v>3205</v>
      </c>
      <c r="F915" s="88"/>
      <c r="G915" s="88"/>
      <c r="H915" s="88"/>
      <c r="I915" s="88"/>
      <c r="J915" s="88"/>
      <c r="K915" s="88"/>
      <c r="L915" s="88"/>
      <c r="M915" s="88"/>
      <c r="N915" s="88"/>
      <c r="O915" s="88"/>
      <c r="P915" s="88"/>
      <c r="Q915" s="88"/>
      <c r="R915" s="88"/>
      <c r="S915" s="88"/>
      <c r="T915" s="88"/>
      <c r="U915" s="88"/>
      <c r="V915" s="88"/>
      <c r="W915" s="88"/>
      <c r="X915" s="88"/>
      <c r="Y915" s="88"/>
      <c r="Z915" s="88"/>
      <c r="AA915" s="88"/>
      <c r="AB915" s="88"/>
      <c r="AC915" s="88"/>
      <c r="AD915" s="88"/>
      <c r="AE915" s="88"/>
      <c r="AF915" s="88"/>
      <c r="AG915" s="88"/>
      <c r="AH915" s="88"/>
      <c r="AI915" s="88"/>
      <c r="AJ915" s="88"/>
    </row>
    <row r="916" spans="1:36" ht="15">
      <c r="A916" s="88" t="s">
        <v>348</v>
      </c>
      <c r="B916" s="88" t="s">
        <v>1362</v>
      </c>
      <c r="C916" s="88" t="s">
        <v>7</v>
      </c>
      <c r="D916" s="88" t="s">
        <v>3206</v>
      </c>
      <c r="E916" s="88" t="s">
        <v>3207</v>
      </c>
      <c r="F916" s="88"/>
      <c r="G916" s="88"/>
      <c r="H916" s="88"/>
      <c r="I916" s="88"/>
      <c r="J916" s="88"/>
      <c r="K916" s="88"/>
      <c r="L916" s="88"/>
      <c r="M916" s="88"/>
      <c r="N916" s="88"/>
      <c r="O916" s="88"/>
      <c r="P916" s="88"/>
      <c r="Q916" s="88"/>
      <c r="R916" s="88"/>
      <c r="S916" s="88"/>
      <c r="T916" s="88"/>
      <c r="U916" s="88"/>
      <c r="V916" s="88"/>
      <c r="W916" s="88"/>
      <c r="X916" s="88"/>
      <c r="Y916" s="88"/>
      <c r="Z916" s="88"/>
      <c r="AA916" s="88"/>
      <c r="AB916" s="88"/>
      <c r="AC916" s="88"/>
      <c r="AD916" s="88"/>
      <c r="AE916" s="88"/>
      <c r="AF916" s="88"/>
      <c r="AG916" s="88"/>
      <c r="AH916" s="88"/>
      <c r="AI916" s="88"/>
      <c r="AJ916" s="88"/>
    </row>
    <row r="917" spans="1:36" ht="15">
      <c r="A917" s="88" t="s">
        <v>348</v>
      </c>
      <c r="B917" s="88" t="s">
        <v>1368</v>
      </c>
      <c r="C917" s="88" t="s">
        <v>7</v>
      </c>
      <c r="D917" s="88" t="s">
        <v>3208</v>
      </c>
      <c r="E917" s="88" t="s">
        <v>3209</v>
      </c>
      <c r="F917" s="88"/>
      <c r="G917" s="88"/>
      <c r="H917" s="88"/>
      <c r="I917" s="88"/>
      <c r="J917" s="88"/>
      <c r="K917" s="88"/>
      <c r="L917" s="88"/>
      <c r="M917" s="88"/>
      <c r="N917" s="88"/>
      <c r="O917" s="88"/>
      <c r="P917" s="88"/>
      <c r="Q917" s="88"/>
      <c r="R917" s="88"/>
      <c r="S917" s="88"/>
      <c r="T917" s="88"/>
      <c r="U917" s="88"/>
      <c r="V917" s="88"/>
      <c r="W917" s="88"/>
      <c r="X917" s="88"/>
      <c r="Y917" s="88"/>
      <c r="Z917" s="88"/>
      <c r="AA917" s="88"/>
      <c r="AB917" s="88"/>
      <c r="AC917" s="88"/>
      <c r="AD917" s="88"/>
      <c r="AE917" s="88"/>
      <c r="AF917" s="88"/>
      <c r="AG917" s="88"/>
      <c r="AH917" s="88"/>
      <c r="AI917" s="88"/>
      <c r="AJ917" s="88"/>
    </row>
    <row r="918" spans="1:36" ht="15">
      <c r="A918" s="88" t="s">
        <v>348</v>
      </c>
      <c r="B918" s="88" t="s">
        <v>1374</v>
      </c>
      <c r="C918" s="88" t="s">
        <v>7</v>
      </c>
      <c r="D918" s="88" t="s">
        <v>3210</v>
      </c>
      <c r="E918" s="88" t="s">
        <v>3211</v>
      </c>
      <c r="F918" s="88"/>
      <c r="G918" s="88"/>
      <c r="H918" s="88"/>
      <c r="I918" s="88"/>
      <c r="J918" s="88"/>
      <c r="K918" s="88"/>
      <c r="L918" s="88"/>
      <c r="M918" s="88"/>
      <c r="N918" s="88"/>
      <c r="O918" s="88"/>
      <c r="P918" s="88"/>
      <c r="Q918" s="88"/>
      <c r="R918" s="88"/>
      <c r="S918" s="88"/>
      <c r="T918" s="88"/>
      <c r="U918" s="88"/>
      <c r="V918" s="88"/>
      <c r="W918" s="88"/>
      <c r="X918" s="88"/>
      <c r="Y918" s="88"/>
      <c r="Z918" s="88"/>
      <c r="AA918" s="88"/>
      <c r="AB918" s="88"/>
      <c r="AC918" s="88"/>
      <c r="AD918" s="88"/>
      <c r="AE918" s="88"/>
      <c r="AF918" s="88"/>
      <c r="AG918" s="88"/>
      <c r="AH918" s="88"/>
      <c r="AI918" s="88"/>
      <c r="AJ918" s="88"/>
    </row>
    <row r="919" spans="1:36" ht="15">
      <c r="A919" s="88" t="s">
        <v>348</v>
      </c>
      <c r="B919" s="88" t="s">
        <v>1379</v>
      </c>
      <c r="C919" s="88" t="s">
        <v>7</v>
      </c>
      <c r="D919" s="88" t="s">
        <v>3212</v>
      </c>
      <c r="E919" s="88" t="s">
        <v>3213</v>
      </c>
      <c r="F919" s="88"/>
      <c r="G919" s="88"/>
      <c r="H919" s="88"/>
      <c r="I919" s="88"/>
      <c r="J919" s="88"/>
      <c r="K919" s="88"/>
      <c r="L919" s="88"/>
      <c r="M919" s="88"/>
      <c r="N919" s="88"/>
      <c r="O919" s="88"/>
      <c r="P919" s="88"/>
      <c r="Q919" s="88"/>
      <c r="R919" s="88"/>
      <c r="S919" s="88"/>
      <c r="T919" s="88"/>
      <c r="U919" s="88"/>
      <c r="V919" s="88"/>
      <c r="W919" s="88"/>
      <c r="X919" s="88"/>
      <c r="Y919" s="88"/>
      <c r="Z919" s="88"/>
      <c r="AA919" s="88"/>
      <c r="AB919" s="88"/>
      <c r="AC919" s="88"/>
      <c r="AD919" s="88"/>
      <c r="AE919" s="88"/>
      <c r="AF919" s="88"/>
      <c r="AG919" s="88"/>
      <c r="AH919" s="88"/>
      <c r="AI919" s="88"/>
      <c r="AJ919" s="88"/>
    </row>
    <row r="920" spans="1:36" ht="15">
      <c r="A920" s="88" t="s">
        <v>348</v>
      </c>
      <c r="B920" s="88" t="s">
        <v>639</v>
      </c>
      <c r="C920" s="88" t="s">
        <v>7</v>
      </c>
      <c r="D920" s="88" t="s">
        <v>3214</v>
      </c>
      <c r="E920" s="88" t="s">
        <v>3215</v>
      </c>
      <c r="F920" s="88"/>
      <c r="G920" s="88"/>
      <c r="H920" s="88"/>
      <c r="I920" s="88"/>
      <c r="J920" s="88"/>
      <c r="K920" s="88"/>
      <c r="L920" s="88"/>
      <c r="M920" s="88"/>
      <c r="N920" s="88"/>
      <c r="O920" s="88"/>
      <c r="P920" s="88"/>
      <c r="Q920" s="88"/>
      <c r="R920" s="88"/>
      <c r="S920" s="88"/>
      <c r="T920" s="88"/>
      <c r="U920" s="88"/>
      <c r="V920" s="88"/>
      <c r="W920" s="88"/>
      <c r="X920" s="88"/>
      <c r="Y920" s="88"/>
      <c r="Z920" s="88"/>
      <c r="AA920" s="88"/>
      <c r="AB920" s="88"/>
      <c r="AC920" s="88"/>
      <c r="AD920" s="88"/>
      <c r="AE920" s="88"/>
      <c r="AF920" s="88"/>
      <c r="AG920" s="88"/>
      <c r="AH920" s="88"/>
      <c r="AI920" s="88"/>
      <c r="AJ920" s="88"/>
    </row>
    <row r="921" spans="1:36" ht="15">
      <c r="A921" s="88" t="s">
        <v>348</v>
      </c>
      <c r="B921" s="88" t="s">
        <v>1390</v>
      </c>
      <c r="C921" s="88" t="s">
        <v>7</v>
      </c>
      <c r="D921" s="88" t="s">
        <v>3216</v>
      </c>
      <c r="E921" s="88" t="s">
        <v>3217</v>
      </c>
      <c r="F921" s="88"/>
      <c r="G921" s="88"/>
      <c r="H921" s="88"/>
      <c r="I921" s="88"/>
      <c r="J921" s="88"/>
      <c r="K921" s="88"/>
      <c r="L921" s="88"/>
      <c r="M921" s="88"/>
      <c r="N921" s="88"/>
      <c r="O921" s="88"/>
      <c r="P921" s="88"/>
      <c r="Q921" s="88"/>
      <c r="R921" s="88"/>
      <c r="S921" s="88"/>
      <c r="T921" s="88"/>
      <c r="U921" s="88"/>
      <c r="V921" s="88"/>
      <c r="W921" s="88"/>
      <c r="X921" s="88"/>
      <c r="Y921" s="88"/>
      <c r="Z921" s="88"/>
      <c r="AA921" s="88"/>
      <c r="AB921" s="88"/>
      <c r="AC921" s="88"/>
      <c r="AD921" s="88"/>
      <c r="AE921" s="88"/>
      <c r="AF921" s="88"/>
      <c r="AG921" s="88"/>
      <c r="AH921" s="88"/>
      <c r="AI921" s="88"/>
      <c r="AJ921" s="88"/>
    </row>
    <row r="922" spans="1:36" ht="15">
      <c r="A922" s="88" t="s">
        <v>348</v>
      </c>
      <c r="B922" s="88" t="s">
        <v>1287</v>
      </c>
      <c r="C922" s="88" t="s">
        <v>7</v>
      </c>
      <c r="D922" s="88" t="s">
        <v>3218</v>
      </c>
      <c r="E922" s="88" t="s">
        <v>3219</v>
      </c>
      <c r="F922" s="88"/>
      <c r="G922" s="88"/>
      <c r="H922" s="88"/>
      <c r="I922" s="88"/>
      <c r="J922" s="88"/>
      <c r="K922" s="88"/>
      <c r="L922" s="88"/>
      <c r="M922" s="88"/>
      <c r="N922" s="88"/>
      <c r="O922" s="88"/>
      <c r="P922" s="88"/>
      <c r="Q922" s="88"/>
      <c r="R922" s="88"/>
      <c r="S922" s="88"/>
      <c r="T922" s="88"/>
      <c r="U922" s="88"/>
      <c r="V922" s="88"/>
      <c r="W922" s="88"/>
      <c r="X922" s="88"/>
      <c r="Y922" s="88"/>
      <c r="Z922" s="88"/>
      <c r="AA922" s="88"/>
      <c r="AB922" s="88"/>
      <c r="AC922" s="88"/>
      <c r="AD922" s="88"/>
      <c r="AE922" s="88"/>
      <c r="AF922" s="88"/>
      <c r="AG922" s="88"/>
      <c r="AH922" s="88"/>
      <c r="AI922" s="88"/>
      <c r="AJ922" s="88"/>
    </row>
    <row r="923" spans="1:36" ht="15">
      <c r="A923" s="88" t="s">
        <v>348</v>
      </c>
      <c r="B923" s="88" t="s">
        <v>1400</v>
      </c>
      <c r="C923" s="88" t="s">
        <v>7</v>
      </c>
      <c r="D923" s="88" t="s">
        <v>3220</v>
      </c>
      <c r="E923" s="88" t="s">
        <v>3221</v>
      </c>
      <c r="F923" s="88"/>
      <c r="G923" s="88"/>
      <c r="H923" s="88"/>
      <c r="I923" s="88"/>
      <c r="J923" s="88"/>
      <c r="K923" s="88"/>
      <c r="L923" s="88"/>
      <c r="M923" s="88"/>
      <c r="N923" s="88"/>
      <c r="O923" s="88"/>
      <c r="P923" s="88"/>
      <c r="Q923" s="88"/>
      <c r="R923" s="88"/>
      <c r="S923" s="88"/>
      <c r="T923" s="88"/>
      <c r="U923" s="88"/>
      <c r="V923" s="88"/>
      <c r="W923" s="88"/>
      <c r="X923" s="88"/>
      <c r="Y923" s="88"/>
      <c r="Z923" s="88"/>
      <c r="AA923" s="88"/>
      <c r="AB923" s="88"/>
      <c r="AC923" s="88"/>
      <c r="AD923" s="88"/>
      <c r="AE923" s="88"/>
      <c r="AF923" s="88"/>
      <c r="AG923" s="88"/>
      <c r="AH923" s="88"/>
      <c r="AI923" s="88"/>
      <c r="AJ923" s="88"/>
    </row>
    <row r="924" spans="1:36" ht="15">
      <c r="A924" s="88" t="s">
        <v>348</v>
      </c>
      <c r="B924" s="88" t="s">
        <v>1406</v>
      </c>
      <c r="C924" s="88" t="s">
        <v>7</v>
      </c>
      <c r="D924" s="88" t="s">
        <v>3222</v>
      </c>
      <c r="E924" s="88" t="s">
        <v>3223</v>
      </c>
      <c r="F924" s="88"/>
      <c r="G924" s="88"/>
      <c r="H924" s="88"/>
      <c r="I924" s="88"/>
      <c r="J924" s="88"/>
      <c r="K924" s="88"/>
      <c r="L924" s="88"/>
      <c r="M924" s="88"/>
      <c r="N924" s="88"/>
      <c r="O924" s="88"/>
      <c r="P924" s="88"/>
      <c r="Q924" s="88"/>
      <c r="R924" s="88"/>
      <c r="S924" s="88"/>
      <c r="T924" s="88"/>
      <c r="U924" s="88"/>
      <c r="V924" s="88"/>
      <c r="W924" s="88"/>
      <c r="X924" s="88"/>
      <c r="Y924" s="88"/>
      <c r="Z924" s="88"/>
      <c r="AA924" s="88"/>
      <c r="AB924" s="88"/>
      <c r="AC924" s="88"/>
      <c r="AD924" s="88"/>
      <c r="AE924" s="88"/>
      <c r="AF924" s="88"/>
      <c r="AG924" s="88"/>
      <c r="AH924" s="88"/>
      <c r="AI924" s="88"/>
      <c r="AJ924" s="88"/>
    </row>
    <row r="925" spans="1:36" ht="15">
      <c r="A925" s="88" t="s">
        <v>348</v>
      </c>
      <c r="B925" s="88" t="s">
        <v>1411</v>
      </c>
      <c r="C925" s="88" t="s">
        <v>7</v>
      </c>
      <c r="D925" s="88" t="s">
        <v>3224</v>
      </c>
      <c r="E925" s="88" t="s">
        <v>3225</v>
      </c>
      <c r="F925" s="88"/>
      <c r="G925" s="88"/>
      <c r="H925" s="88"/>
      <c r="I925" s="88"/>
      <c r="J925" s="88"/>
      <c r="K925" s="88"/>
      <c r="L925" s="88"/>
      <c r="M925" s="88"/>
      <c r="N925" s="88"/>
      <c r="O925" s="88"/>
      <c r="P925" s="88"/>
      <c r="Q925" s="88"/>
      <c r="R925" s="88"/>
      <c r="S925" s="88"/>
      <c r="T925" s="88"/>
      <c r="U925" s="88"/>
      <c r="V925" s="88"/>
      <c r="W925" s="88"/>
      <c r="X925" s="88"/>
      <c r="Y925" s="88"/>
      <c r="Z925" s="88"/>
      <c r="AA925" s="88"/>
      <c r="AB925" s="88"/>
      <c r="AC925" s="88"/>
      <c r="AD925" s="88"/>
      <c r="AE925" s="88"/>
      <c r="AF925" s="88"/>
      <c r="AG925" s="88"/>
      <c r="AH925" s="88"/>
      <c r="AI925" s="88"/>
      <c r="AJ925" s="88"/>
    </row>
    <row r="926" spans="1:36" ht="15">
      <c r="A926" s="88" t="s">
        <v>348</v>
      </c>
      <c r="B926" s="88" t="s">
        <v>1416</v>
      </c>
      <c r="C926" s="88" t="s">
        <v>7</v>
      </c>
      <c r="D926" s="88" t="s">
        <v>3226</v>
      </c>
      <c r="E926" s="88" t="s">
        <v>3227</v>
      </c>
      <c r="F926" s="88"/>
      <c r="G926" s="88"/>
      <c r="H926" s="88"/>
      <c r="I926" s="88"/>
      <c r="J926" s="88"/>
      <c r="K926" s="88"/>
      <c r="L926" s="88"/>
      <c r="M926" s="88"/>
      <c r="N926" s="88"/>
      <c r="O926" s="88"/>
      <c r="P926" s="88"/>
      <c r="Q926" s="88"/>
      <c r="R926" s="88"/>
      <c r="S926" s="88"/>
      <c r="T926" s="88"/>
      <c r="U926" s="88"/>
      <c r="V926" s="88"/>
      <c r="W926" s="88"/>
      <c r="X926" s="88"/>
      <c r="Y926" s="88"/>
      <c r="Z926" s="88"/>
      <c r="AA926" s="88"/>
      <c r="AB926" s="88"/>
      <c r="AC926" s="88"/>
      <c r="AD926" s="88"/>
      <c r="AE926" s="88"/>
      <c r="AF926" s="88"/>
      <c r="AG926" s="88"/>
      <c r="AH926" s="88"/>
      <c r="AI926" s="88"/>
      <c r="AJ926" s="88"/>
    </row>
    <row r="927" spans="1:36" ht="15">
      <c r="A927" s="88" t="s">
        <v>348</v>
      </c>
      <c r="B927" s="88" t="s">
        <v>349</v>
      </c>
      <c r="C927" s="88" t="s">
        <v>7</v>
      </c>
      <c r="D927" s="88" t="s">
        <v>3228</v>
      </c>
      <c r="E927" s="88" t="s">
        <v>3229</v>
      </c>
      <c r="F927" s="88"/>
      <c r="G927" s="88"/>
      <c r="H927" s="88"/>
      <c r="I927" s="88"/>
      <c r="J927" s="88"/>
      <c r="K927" s="88"/>
      <c r="L927" s="88"/>
      <c r="M927" s="88"/>
      <c r="N927" s="88"/>
      <c r="O927" s="88"/>
      <c r="P927" s="88"/>
      <c r="Q927" s="88"/>
      <c r="R927" s="88"/>
      <c r="S927" s="88"/>
      <c r="T927" s="88"/>
      <c r="U927" s="88"/>
      <c r="V927" s="88"/>
      <c r="W927" s="88"/>
      <c r="X927" s="88"/>
      <c r="Y927" s="88"/>
      <c r="Z927" s="88"/>
      <c r="AA927" s="88"/>
      <c r="AB927" s="88"/>
      <c r="AC927" s="88"/>
      <c r="AD927" s="88"/>
      <c r="AE927" s="88"/>
      <c r="AF927" s="88"/>
      <c r="AG927" s="88"/>
      <c r="AH927" s="88"/>
      <c r="AI927" s="88"/>
      <c r="AJ927" s="88"/>
    </row>
    <row r="928" spans="1:36" ht="15">
      <c r="A928" s="88" t="s">
        <v>348</v>
      </c>
      <c r="B928" s="88" t="s">
        <v>1426</v>
      </c>
      <c r="C928" s="88" t="s">
        <v>7</v>
      </c>
      <c r="D928" s="88" t="s">
        <v>3230</v>
      </c>
      <c r="E928" s="88" t="s">
        <v>3231</v>
      </c>
      <c r="F928" s="88"/>
      <c r="G928" s="88"/>
      <c r="H928" s="88"/>
      <c r="I928" s="88"/>
      <c r="J928" s="88"/>
      <c r="K928" s="88"/>
      <c r="L928" s="88"/>
      <c r="M928" s="88"/>
      <c r="N928" s="88"/>
      <c r="O928" s="88"/>
      <c r="P928" s="88"/>
      <c r="Q928" s="88"/>
      <c r="R928" s="88"/>
      <c r="S928" s="88"/>
      <c r="T928" s="88"/>
      <c r="U928" s="88"/>
      <c r="V928" s="88"/>
      <c r="W928" s="88"/>
      <c r="X928" s="88"/>
      <c r="Y928" s="88"/>
      <c r="Z928" s="88"/>
      <c r="AA928" s="88"/>
      <c r="AB928" s="88"/>
      <c r="AC928" s="88"/>
      <c r="AD928" s="88"/>
      <c r="AE928" s="88"/>
      <c r="AF928" s="88"/>
      <c r="AG928" s="88"/>
      <c r="AH928" s="88"/>
      <c r="AI928" s="88"/>
      <c r="AJ928" s="88"/>
    </row>
    <row r="929" spans="1:36" ht="15">
      <c r="A929" s="88" t="s">
        <v>348</v>
      </c>
      <c r="B929" s="88" t="s">
        <v>1432</v>
      </c>
      <c r="C929" s="88" t="s">
        <v>7</v>
      </c>
      <c r="D929" s="88" t="s">
        <v>3232</v>
      </c>
      <c r="E929" s="88" t="s">
        <v>3233</v>
      </c>
      <c r="F929" s="88"/>
      <c r="G929" s="88"/>
      <c r="H929" s="88"/>
      <c r="I929" s="88"/>
      <c r="J929" s="88"/>
      <c r="K929" s="88"/>
      <c r="L929" s="88"/>
      <c r="M929" s="88"/>
      <c r="N929" s="88"/>
      <c r="O929" s="88"/>
      <c r="P929" s="88"/>
      <c r="Q929" s="88"/>
      <c r="R929" s="88"/>
      <c r="S929" s="88"/>
      <c r="T929" s="88"/>
      <c r="U929" s="88"/>
      <c r="V929" s="88"/>
      <c r="W929" s="88"/>
      <c r="X929" s="88"/>
      <c r="Y929" s="88"/>
      <c r="Z929" s="88"/>
      <c r="AA929" s="88"/>
      <c r="AB929" s="88"/>
      <c r="AC929" s="88"/>
      <c r="AD929" s="88"/>
      <c r="AE929" s="88"/>
      <c r="AF929" s="88"/>
      <c r="AG929" s="88"/>
      <c r="AH929" s="88"/>
      <c r="AI929" s="88"/>
      <c r="AJ929" s="88"/>
    </row>
    <row r="930" spans="1:36" ht="15">
      <c r="A930" s="88" t="s">
        <v>348</v>
      </c>
      <c r="B930" s="88" t="s">
        <v>1438</v>
      </c>
      <c r="C930" s="88" t="s">
        <v>7</v>
      </c>
      <c r="D930" s="88" t="s">
        <v>3234</v>
      </c>
      <c r="E930" s="88" t="s">
        <v>3235</v>
      </c>
      <c r="F930" s="88"/>
      <c r="G930" s="88"/>
      <c r="H930" s="88"/>
      <c r="I930" s="88"/>
      <c r="J930" s="88"/>
      <c r="K930" s="88"/>
      <c r="L930" s="88"/>
      <c r="M930" s="88"/>
      <c r="N930" s="88"/>
      <c r="O930" s="88"/>
      <c r="P930" s="88"/>
      <c r="Q930" s="88"/>
      <c r="R930" s="88"/>
      <c r="S930" s="88"/>
      <c r="T930" s="88"/>
      <c r="U930" s="88"/>
      <c r="V930" s="88"/>
      <c r="W930" s="88"/>
      <c r="X930" s="88"/>
      <c r="Y930" s="88"/>
      <c r="Z930" s="88"/>
      <c r="AA930" s="88"/>
      <c r="AB930" s="88"/>
      <c r="AC930" s="88"/>
      <c r="AD930" s="88"/>
      <c r="AE930" s="88"/>
      <c r="AF930" s="88"/>
      <c r="AG930" s="88"/>
      <c r="AH930" s="88"/>
      <c r="AI930" s="88"/>
      <c r="AJ930" s="88"/>
    </row>
    <row r="931" spans="1:36" ht="15">
      <c r="A931" s="88" t="s">
        <v>348</v>
      </c>
      <c r="B931" s="88" t="s">
        <v>1443</v>
      </c>
      <c r="C931" s="88" t="s">
        <v>7</v>
      </c>
      <c r="D931" s="88" t="s">
        <v>3236</v>
      </c>
      <c r="E931" s="88" t="s">
        <v>3237</v>
      </c>
      <c r="F931" s="88"/>
      <c r="G931" s="88"/>
      <c r="H931" s="88"/>
      <c r="I931" s="88"/>
      <c r="J931" s="88"/>
      <c r="K931" s="88"/>
      <c r="L931" s="88"/>
      <c r="M931" s="88"/>
      <c r="N931" s="88"/>
      <c r="O931" s="88"/>
      <c r="P931" s="88"/>
      <c r="Q931" s="88"/>
      <c r="R931" s="88"/>
      <c r="S931" s="88"/>
      <c r="T931" s="88"/>
      <c r="U931" s="88"/>
      <c r="V931" s="88"/>
      <c r="W931" s="88"/>
      <c r="X931" s="88"/>
      <c r="Y931" s="88"/>
      <c r="Z931" s="88"/>
      <c r="AA931" s="88"/>
      <c r="AB931" s="88"/>
      <c r="AC931" s="88"/>
      <c r="AD931" s="88"/>
      <c r="AE931" s="88"/>
      <c r="AF931" s="88"/>
      <c r="AG931" s="88"/>
      <c r="AH931" s="88"/>
      <c r="AI931" s="88"/>
      <c r="AJ931" s="88"/>
    </row>
    <row r="932" spans="1:36" ht="15">
      <c r="A932" s="88" t="s">
        <v>348</v>
      </c>
      <c r="B932" s="88" t="s">
        <v>1448</v>
      </c>
      <c r="C932" s="88" t="s">
        <v>7</v>
      </c>
      <c r="D932" s="88" t="s">
        <v>3238</v>
      </c>
      <c r="E932" s="88" t="s">
        <v>3239</v>
      </c>
      <c r="F932" s="88"/>
      <c r="G932" s="88"/>
      <c r="H932" s="88"/>
      <c r="I932" s="88"/>
      <c r="J932" s="88"/>
      <c r="K932" s="88"/>
      <c r="L932" s="88"/>
      <c r="M932" s="88"/>
      <c r="N932" s="88"/>
      <c r="O932" s="88"/>
      <c r="P932" s="88"/>
      <c r="Q932" s="88"/>
      <c r="R932" s="88"/>
      <c r="S932" s="88"/>
      <c r="T932" s="88"/>
      <c r="U932" s="88"/>
      <c r="V932" s="88"/>
      <c r="W932" s="88"/>
      <c r="X932" s="88"/>
      <c r="Y932" s="88"/>
      <c r="Z932" s="88"/>
      <c r="AA932" s="88"/>
      <c r="AB932" s="88"/>
      <c r="AC932" s="88"/>
      <c r="AD932" s="88"/>
      <c r="AE932" s="88"/>
      <c r="AF932" s="88"/>
      <c r="AG932" s="88"/>
      <c r="AH932" s="88"/>
      <c r="AI932" s="88"/>
      <c r="AJ932" s="88"/>
    </row>
    <row r="933" spans="1:36" ht="15">
      <c r="A933" s="88" t="s">
        <v>348</v>
      </c>
      <c r="B933" s="88" t="s">
        <v>756</v>
      </c>
      <c r="C933" s="88" t="s">
        <v>7</v>
      </c>
      <c r="D933" s="88" t="s">
        <v>3240</v>
      </c>
      <c r="E933" s="88" t="s">
        <v>3241</v>
      </c>
      <c r="F933" s="88"/>
      <c r="G933" s="88"/>
      <c r="H933" s="88"/>
      <c r="I933" s="88"/>
      <c r="J933" s="88"/>
      <c r="K933" s="88"/>
      <c r="L933" s="88"/>
      <c r="M933" s="88"/>
      <c r="N933" s="88"/>
      <c r="O933" s="88"/>
      <c r="P933" s="88"/>
      <c r="Q933" s="88"/>
      <c r="R933" s="88"/>
      <c r="S933" s="88"/>
      <c r="T933" s="88"/>
      <c r="U933" s="88"/>
      <c r="V933" s="88"/>
      <c r="W933" s="88"/>
      <c r="X933" s="88"/>
      <c r="Y933" s="88"/>
      <c r="Z933" s="88"/>
      <c r="AA933" s="88"/>
      <c r="AB933" s="88"/>
      <c r="AC933" s="88"/>
      <c r="AD933" s="88"/>
      <c r="AE933" s="88"/>
      <c r="AF933" s="88"/>
      <c r="AG933" s="88"/>
      <c r="AH933" s="88"/>
      <c r="AI933" s="88"/>
      <c r="AJ933" s="88"/>
    </row>
    <row r="934" spans="1:36" ht="15">
      <c r="A934" s="88" t="s">
        <v>348</v>
      </c>
      <c r="B934" s="88" t="s">
        <v>1459</v>
      </c>
      <c r="C934" s="88" t="s">
        <v>7</v>
      </c>
      <c r="D934" s="88" t="s">
        <v>3242</v>
      </c>
      <c r="E934" s="88" t="s">
        <v>3243</v>
      </c>
      <c r="F934" s="88"/>
      <c r="G934" s="88"/>
      <c r="H934" s="88"/>
      <c r="I934" s="88"/>
      <c r="J934" s="88"/>
      <c r="K934" s="88"/>
      <c r="L934" s="88"/>
      <c r="M934" s="88"/>
      <c r="N934" s="88"/>
      <c r="O934" s="88"/>
      <c r="P934" s="88"/>
      <c r="Q934" s="88"/>
      <c r="R934" s="88"/>
      <c r="S934" s="88"/>
      <c r="T934" s="88"/>
      <c r="U934" s="88"/>
      <c r="V934" s="88"/>
      <c r="W934" s="88"/>
      <c r="X934" s="88"/>
      <c r="Y934" s="88"/>
      <c r="Z934" s="88"/>
      <c r="AA934" s="88"/>
      <c r="AB934" s="88"/>
      <c r="AC934" s="88"/>
      <c r="AD934" s="88"/>
      <c r="AE934" s="88"/>
      <c r="AF934" s="88"/>
      <c r="AG934" s="88"/>
      <c r="AH934" s="88"/>
      <c r="AI934" s="88"/>
      <c r="AJ934" s="88"/>
    </row>
    <row r="935" spans="1:36" ht="15">
      <c r="A935" s="88" t="s">
        <v>349</v>
      </c>
      <c r="B935" s="88" t="s">
        <v>381</v>
      </c>
      <c r="C935" s="88" t="s">
        <v>7</v>
      </c>
      <c r="D935" s="88" t="s">
        <v>3244</v>
      </c>
      <c r="E935" s="88" t="s">
        <v>3245</v>
      </c>
      <c r="F935" s="88"/>
      <c r="G935" s="88"/>
      <c r="H935" s="88"/>
      <c r="I935" s="88"/>
      <c r="J935" s="88"/>
      <c r="K935" s="88"/>
      <c r="L935" s="88"/>
      <c r="M935" s="88"/>
      <c r="N935" s="88"/>
      <c r="O935" s="88"/>
      <c r="P935" s="88"/>
      <c r="Q935" s="88"/>
      <c r="R935" s="88"/>
      <c r="S935" s="88"/>
      <c r="T935" s="88"/>
      <c r="U935" s="88"/>
      <c r="V935" s="88"/>
      <c r="W935" s="88"/>
      <c r="X935" s="88"/>
      <c r="Y935" s="88"/>
      <c r="Z935" s="88"/>
      <c r="AA935" s="88"/>
      <c r="AB935" s="88"/>
      <c r="AC935" s="88"/>
      <c r="AD935" s="88"/>
      <c r="AE935" s="88"/>
      <c r="AF935" s="88"/>
      <c r="AG935" s="88"/>
      <c r="AH935" s="88"/>
      <c r="AI935" s="88"/>
      <c r="AJ935" s="88"/>
    </row>
    <row r="936" spans="1:36" ht="15">
      <c r="A936" s="88" t="s">
        <v>349</v>
      </c>
      <c r="B936" s="88" t="s">
        <v>408</v>
      </c>
      <c r="C936" s="88" t="s">
        <v>7</v>
      </c>
      <c r="D936" s="88" t="s">
        <v>3246</v>
      </c>
      <c r="E936" s="88" t="s">
        <v>3247</v>
      </c>
      <c r="F936" s="88"/>
      <c r="G936" s="88"/>
      <c r="H936" s="88"/>
      <c r="I936" s="88"/>
      <c r="J936" s="88"/>
      <c r="K936" s="88"/>
      <c r="L936" s="88"/>
      <c r="M936" s="88"/>
      <c r="N936" s="88"/>
      <c r="O936" s="88"/>
      <c r="P936" s="88"/>
      <c r="Q936" s="88"/>
      <c r="R936" s="88"/>
      <c r="S936" s="88"/>
      <c r="T936" s="88"/>
      <c r="U936" s="88"/>
      <c r="V936" s="88"/>
      <c r="W936" s="88"/>
      <c r="X936" s="88"/>
      <c r="Y936" s="88"/>
      <c r="Z936" s="88"/>
      <c r="AA936" s="88"/>
      <c r="AB936" s="88"/>
      <c r="AC936" s="88"/>
      <c r="AD936" s="88"/>
      <c r="AE936" s="88"/>
      <c r="AF936" s="88"/>
      <c r="AG936" s="88"/>
      <c r="AH936" s="88"/>
      <c r="AI936" s="88"/>
      <c r="AJ936" s="88"/>
    </row>
    <row r="937" spans="1:36" ht="15">
      <c r="A937" s="88" t="s">
        <v>349</v>
      </c>
      <c r="B937" s="88" t="s">
        <v>441</v>
      </c>
      <c r="C937" s="88" t="s">
        <v>7</v>
      </c>
      <c r="D937" s="88" t="s">
        <v>3248</v>
      </c>
      <c r="E937" s="88" t="s">
        <v>3249</v>
      </c>
      <c r="F937" s="88"/>
      <c r="G937" s="88"/>
      <c r="H937" s="88"/>
      <c r="I937" s="88"/>
      <c r="J937" s="88"/>
      <c r="K937" s="88"/>
      <c r="L937" s="88"/>
      <c r="M937" s="88"/>
      <c r="N937" s="88"/>
      <c r="O937" s="88"/>
      <c r="P937" s="88"/>
      <c r="Q937" s="88"/>
      <c r="R937" s="88"/>
      <c r="S937" s="88"/>
      <c r="T937" s="88"/>
      <c r="U937" s="88"/>
      <c r="V937" s="88"/>
      <c r="W937" s="88"/>
      <c r="X937" s="88"/>
      <c r="Y937" s="88"/>
      <c r="Z937" s="88"/>
      <c r="AA937" s="88"/>
      <c r="AB937" s="88"/>
      <c r="AC937" s="88"/>
      <c r="AD937" s="88"/>
      <c r="AE937" s="88"/>
      <c r="AF937" s="88"/>
      <c r="AG937" s="88"/>
      <c r="AH937" s="88"/>
      <c r="AI937" s="88"/>
      <c r="AJ937" s="88"/>
    </row>
    <row r="938" spans="1:36" ht="15">
      <c r="A938" s="88" t="s">
        <v>349</v>
      </c>
      <c r="B938" s="88" t="s">
        <v>473</v>
      </c>
      <c r="C938" s="88" t="s">
        <v>7</v>
      </c>
      <c r="D938" s="88" t="s">
        <v>3250</v>
      </c>
      <c r="E938" s="88" t="s">
        <v>3251</v>
      </c>
      <c r="F938" s="88"/>
      <c r="G938" s="88"/>
      <c r="H938" s="88"/>
      <c r="I938" s="88"/>
      <c r="J938" s="88"/>
      <c r="K938" s="88"/>
      <c r="L938" s="88"/>
      <c r="M938" s="88"/>
      <c r="N938" s="88"/>
      <c r="O938" s="88"/>
      <c r="P938" s="88"/>
      <c r="Q938" s="88"/>
      <c r="R938" s="88"/>
      <c r="S938" s="88"/>
      <c r="T938" s="88"/>
      <c r="U938" s="88"/>
      <c r="V938" s="88"/>
      <c r="W938" s="88"/>
      <c r="X938" s="88"/>
      <c r="Y938" s="88"/>
      <c r="Z938" s="88"/>
      <c r="AA938" s="88"/>
      <c r="AB938" s="88"/>
      <c r="AC938" s="88"/>
      <c r="AD938" s="88"/>
      <c r="AE938" s="88"/>
      <c r="AF938" s="88"/>
      <c r="AG938" s="88"/>
      <c r="AH938" s="88"/>
      <c r="AI938" s="88"/>
      <c r="AJ938" s="88"/>
    </row>
    <row r="939" spans="1:36" ht="15">
      <c r="A939" s="88" t="s">
        <v>349</v>
      </c>
      <c r="B939" s="88" t="s">
        <v>503</v>
      </c>
      <c r="C939" s="88" t="s">
        <v>7</v>
      </c>
      <c r="D939" s="88" t="s">
        <v>3252</v>
      </c>
      <c r="E939" s="88" t="s">
        <v>3253</v>
      </c>
      <c r="F939" s="88"/>
      <c r="G939" s="88"/>
      <c r="H939" s="88"/>
      <c r="I939" s="88"/>
      <c r="J939" s="88"/>
      <c r="K939" s="88"/>
      <c r="L939" s="88"/>
      <c r="M939" s="88"/>
      <c r="N939" s="88"/>
      <c r="O939" s="88"/>
      <c r="P939" s="88"/>
      <c r="Q939" s="88"/>
      <c r="R939" s="88"/>
      <c r="S939" s="88"/>
      <c r="T939" s="88"/>
      <c r="U939" s="88"/>
      <c r="V939" s="88"/>
      <c r="W939" s="88"/>
      <c r="X939" s="88"/>
      <c r="Y939" s="88"/>
      <c r="Z939" s="88"/>
      <c r="AA939" s="88"/>
      <c r="AB939" s="88"/>
      <c r="AC939" s="88"/>
      <c r="AD939" s="88"/>
      <c r="AE939" s="88"/>
      <c r="AF939" s="88"/>
      <c r="AG939" s="88"/>
      <c r="AH939" s="88"/>
      <c r="AI939" s="88"/>
      <c r="AJ939" s="88"/>
    </row>
    <row r="940" spans="1:36" ht="15">
      <c r="A940" s="88" t="s">
        <v>349</v>
      </c>
      <c r="B940" s="88" t="s">
        <v>533</v>
      </c>
      <c r="C940" s="88" t="s">
        <v>7</v>
      </c>
      <c r="D940" s="88" t="s">
        <v>3254</v>
      </c>
      <c r="E940" s="88" t="s">
        <v>3255</v>
      </c>
      <c r="F940" s="88"/>
      <c r="G940" s="88"/>
      <c r="H940" s="88"/>
      <c r="I940" s="88"/>
      <c r="J940" s="88"/>
      <c r="K940" s="88"/>
      <c r="L940" s="88"/>
      <c r="M940" s="88"/>
      <c r="N940" s="88"/>
      <c r="O940" s="88"/>
      <c r="P940" s="88"/>
      <c r="Q940" s="88"/>
      <c r="R940" s="88"/>
      <c r="S940" s="88"/>
      <c r="T940" s="88"/>
      <c r="U940" s="88"/>
      <c r="V940" s="88"/>
      <c r="W940" s="88"/>
      <c r="X940" s="88"/>
      <c r="Y940" s="88"/>
      <c r="Z940" s="88"/>
      <c r="AA940" s="88"/>
      <c r="AB940" s="88"/>
      <c r="AC940" s="88"/>
      <c r="AD940" s="88"/>
      <c r="AE940" s="88"/>
      <c r="AF940" s="88"/>
      <c r="AG940" s="88"/>
      <c r="AH940" s="88"/>
      <c r="AI940" s="88"/>
      <c r="AJ940" s="88"/>
    </row>
    <row r="941" spans="1:36" ht="15">
      <c r="A941" s="88" t="s">
        <v>349</v>
      </c>
      <c r="B941" s="88" t="s">
        <v>562</v>
      </c>
      <c r="C941" s="88" t="s">
        <v>7</v>
      </c>
      <c r="D941" s="88" t="s">
        <v>3256</v>
      </c>
      <c r="E941" s="88" t="s">
        <v>3257</v>
      </c>
      <c r="F941" s="88"/>
      <c r="G941" s="88"/>
      <c r="H941" s="88"/>
      <c r="I941" s="88"/>
      <c r="J941" s="88"/>
      <c r="K941" s="88"/>
      <c r="L941" s="88"/>
      <c r="M941" s="88"/>
      <c r="N941" s="88"/>
      <c r="O941" s="88"/>
      <c r="P941" s="88"/>
      <c r="Q941" s="88"/>
      <c r="R941" s="88"/>
      <c r="S941" s="88"/>
      <c r="T941" s="88"/>
      <c r="U941" s="88"/>
      <c r="V941" s="88"/>
      <c r="W941" s="88"/>
      <c r="X941" s="88"/>
      <c r="Y941" s="88"/>
      <c r="Z941" s="88"/>
      <c r="AA941" s="88"/>
      <c r="AB941" s="88"/>
      <c r="AC941" s="88"/>
      <c r="AD941" s="88"/>
      <c r="AE941" s="88"/>
      <c r="AF941" s="88"/>
      <c r="AG941" s="88"/>
      <c r="AH941" s="88"/>
      <c r="AI941" s="88"/>
      <c r="AJ941" s="88"/>
    </row>
    <row r="942" spans="1:36" ht="15">
      <c r="A942" s="88" t="s">
        <v>349</v>
      </c>
      <c r="B942" s="88" t="s">
        <v>590</v>
      </c>
      <c r="C942" s="88" t="s">
        <v>7</v>
      </c>
      <c r="D942" s="88" t="s">
        <v>3258</v>
      </c>
      <c r="E942" s="88" t="s">
        <v>3259</v>
      </c>
      <c r="F942" s="88"/>
      <c r="G942" s="88"/>
      <c r="H942" s="88"/>
      <c r="I942" s="88"/>
      <c r="J942" s="88"/>
      <c r="K942" s="88"/>
      <c r="L942" s="88"/>
      <c r="M942" s="88"/>
      <c r="N942" s="88"/>
      <c r="O942" s="88"/>
      <c r="P942" s="88"/>
      <c r="Q942" s="88"/>
      <c r="R942" s="88"/>
      <c r="S942" s="88"/>
      <c r="T942" s="88"/>
      <c r="U942" s="88"/>
      <c r="V942" s="88"/>
      <c r="W942" s="88"/>
      <c r="X942" s="88"/>
      <c r="Y942" s="88"/>
      <c r="Z942" s="88"/>
      <c r="AA942" s="88"/>
      <c r="AB942" s="88"/>
      <c r="AC942" s="88"/>
      <c r="AD942" s="88"/>
      <c r="AE942" s="88"/>
      <c r="AF942" s="88"/>
      <c r="AG942" s="88"/>
      <c r="AH942" s="88"/>
      <c r="AI942" s="88"/>
      <c r="AJ942" s="88"/>
    </row>
    <row r="943" spans="1:36" ht="15">
      <c r="A943" s="88" t="s">
        <v>349</v>
      </c>
      <c r="B943" s="88" t="s">
        <v>615</v>
      </c>
      <c r="C943" s="88" t="s">
        <v>7</v>
      </c>
      <c r="D943" s="88" t="s">
        <v>3260</v>
      </c>
      <c r="E943" s="88" t="s">
        <v>3261</v>
      </c>
      <c r="F943" s="88"/>
      <c r="G943" s="88"/>
      <c r="H943" s="88"/>
      <c r="I943" s="88"/>
      <c r="J943" s="88"/>
      <c r="K943" s="88"/>
      <c r="L943" s="88"/>
      <c r="M943" s="88"/>
      <c r="N943" s="88"/>
      <c r="O943" s="88"/>
      <c r="P943" s="88"/>
      <c r="Q943" s="88"/>
      <c r="R943" s="88"/>
      <c r="S943" s="88"/>
      <c r="T943" s="88"/>
      <c r="U943" s="88"/>
      <c r="V943" s="88"/>
      <c r="W943" s="88"/>
      <c r="X943" s="88"/>
      <c r="Y943" s="88"/>
      <c r="Z943" s="88"/>
      <c r="AA943" s="88"/>
      <c r="AB943" s="88"/>
      <c r="AC943" s="88"/>
      <c r="AD943" s="88"/>
      <c r="AE943" s="88"/>
      <c r="AF943" s="88"/>
      <c r="AG943" s="88"/>
      <c r="AH943" s="88"/>
      <c r="AI943" s="88"/>
      <c r="AJ943" s="88"/>
    </row>
    <row r="944" spans="1:36" ht="15">
      <c r="A944" s="88" t="s">
        <v>349</v>
      </c>
      <c r="B944" s="88" t="s">
        <v>642</v>
      </c>
      <c r="C944" s="88" t="s">
        <v>7</v>
      </c>
      <c r="D944" s="88" t="s">
        <v>3262</v>
      </c>
      <c r="E944" s="88" t="s">
        <v>3263</v>
      </c>
      <c r="F944" s="88"/>
      <c r="G944" s="88"/>
      <c r="H944" s="88"/>
      <c r="I944" s="88"/>
      <c r="J944" s="88"/>
      <c r="K944" s="88"/>
      <c r="L944" s="88"/>
      <c r="M944" s="88"/>
      <c r="N944" s="88"/>
      <c r="O944" s="88"/>
      <c r="P944" s="88"/>
      <c r="Q944" s="88"/>
      <c r="R944" s="88"/>
      <c r="S944" s="88"/>
      <c r="T944" s="88"/>
      <c r="U944" s="88"/>
      <c r="V944" s="88"/>
      <c r="W944" s="88"/>
      <c r="X944" s="88"/>
      <c r="Y944" s="88"/>
      <c r="Z944" s="88"/>
      <c r="AA944" s="88"/>
      <c r="AB944" s="88"/>
      <c r="AC944" s="88"/>
      <c r="AD944" s="88"/>
      <c r="AE944" s="88"/>
      <c r="AF944" s="88"/>
      <c r="AG944" s="88"/>
      <c r="AH944" s="88"/>
      <c r="AI944" s="88"/>
      <c r="AJ944" s="88"/>
    </row>
    <row r="945" spans="1:36" ht="15">
      <c r="A945" s="88" t="s">
        <v>349</v>
      </c>
      <c r="B945" s="88" t="s">
        <v>668</v>
      </c>
      <c r="C945" s="88" t="s">
        <v>7</v>
      </c>
      <c r="D945" s="88" t="s">
        <v>3264</v>
      </c>
      <c r="E945" s="88" t="s">
        <v>3265</v>
      </c>
      <c r="F945" s="88"/>
      <c r="G945" s="88"/>
      <c r="H945" s="88"/>
      <c r="I945" s="88"/>
      <c r="J945" s="88"/>
      <c r="K945" s="88"/>
      <c r="L945" s="88"/>
      <c r="M945" s="88"/>
      <c r="N945" s="88"/>
      <c r="O945" s="88"/>
      <c r="P945" s="88"/>
      <c r="Q945" s="88"/>
      <c r="R945" s="88"/>
      <c r="S945" s="88"/>
      <c r="T945" s="88"/>
      <c r="U945" s="88"/>
      <c r="V945" s="88"/>
      <c r="W945" s="88"/>
      <c r="X945" s="88"/>
      <c r="Y945" s="88"/>
      <c r="Z945" s="88"/>
      <c r="AA945" s="88"/>
      <c r="AB945" s="88"/>
      <c r="AC945" s="88"/>
      <c r="AD945" s="88"/>
      <c r="AE945" s="88"/>
      <c r="AF945" s="88"/>
      <c r="AG945" s="88"/>
      <c r="AH945" s="88"/>
      <c r="AI945" s="88"/>
      <c r="AJ945" s="88"/>
    </row>
    <row r="946" spans="1:36" ht="15">
      <c r="A946" s="88" t="s">
        <v>349</v>
      </c>
      <c r="B946" s="88" t="s">
        <v>693</v>
      </c>
      <c r="C946" s="88" t="s">
        <v>7</v>
      </c>
      <c r="D946" s="88" t="s">
        <v>3266</v>
      </c>
      <c r="E946" s="88" t="s">
        <v>3267</v>
      </c>
      <c r="F946" s="88"/>
      <c r="G946" s="88"/>
      <c r="H946" s="88"/>
      <c r="I946" s="88"/>
      <c r="J946" s="88"/>
      <c r="K946" s="88"/>
      <c r="L946" s="88"/>
      <c r="M946" s="88"/>
      <c r="N946" s="88"/>
      <c r="O946" s="88"/>
      <c r="P946" s="88"/>
      <c r="Q946" s="88"/>
      <c r="R946" s="88"/>
      <c r="S946" s="88"/>
      <c r="T946" s="88"/>
      <c r="U946" s="88"/>
      <c r="V946" s="88"/>
      <c r="W946" s="88"/>
      <c r="X946" s="88"/>
      <c r="Y946" s="88"/>
      <c r="Z946" s="88"/>
      <c r="AA946" s="88"/>
      <c r="AB946" s="88"/>
      <c r="AC946" s="88"/>
      <c r="AD946" s="88"/>
      <c r="AE946" s="88"/>
      <c r="AF946" s="88"/>
      <c r="AG946" s="88"/>
      <c r="AH946" s="88"/>
      <c r="AI946" s="88"/>
      <c r="AJ946" s="88"/>
    </row>
    <row r="947" spans="1:36" ht="15">
      <c r="A947" s="88" t="s">
        <v>349</v>
      </c>
      <c r="B947" s="88" t="s">
        <v>716</v>
      </c>
      <c r="C947" s="88" t="s">
        <v>7</v>
      </c>
      <c r="D947" s="88" t="s">
        <v>3268</v>
      </c>
      <c r="E947" s="88" t="s">
        <v>3269</v>
      </c>
      <c r="F947" s="88"/>
      <c r="G947" s="88"/>
      <c r="H947" s="88"/>
      <c r="I947" s="88"/>
      <c r="J947" s="88"/>
      <c r="K947" s="88"/>
      <c r="L947" s="88"/>
      <c r="M947" s="88"/>
      <c r="N947" s="88"/>
      <c r="O947" s="88"/>
      <c r="P947" s="88"/>
      <c r="Q947" s="88"/>
      <c r="R947" s="88"/>
      <c r="S947" s="88"/>
      <c r="T947" s="88"/>
      <c r="U947" s="88"/>
      <c r="V947" s="88"/>
      <c r="W947" s="88"/>
      <c r="X947" s="88"/>
      <c r="Y947" s="88"/>
      <c r="Z947" s="88"/>
      <c r="AA947" s="88"/>
      <c r="AB947" s="88"/>
      <c r="AC947" s="88"/>
      <c r="AD947" s="88"/>
      <c r="AE947" s="88"/>
      <c r="AF947" s="88"/>
      <c r="AG947" s="88"/>
      <c r="AH947" s="88"/>
      <c r="AI947" s="88"/>
      <c r="AJ947" s="88"/>
    </row>
    <row r="948" spans="1:36" ht="15">
      <c r="A948" s="88" t="s">
        <v>349</v>
      </c>
      <c r="B948" s="88" t="s">
        <v>739</v>
      </c>
      <c r="C948" s="88" t="s">
        <v>7</v>
      </c>
      <c r="D948" s="88" t="s">
        <v>3270</v>
      </c>
      <c r="E948" s="88" t="s">
        <v>3271</v>
      </c>
      <c r="F948" s="88"/>
      <c r="G948" s="88"/>
      <c r="H948" s="88"/>
      <c r="I948" s="88"/>
      <c r="J948" s="88"/>
      <c r="K948" s="88"/>
      <c r="L948" s="88"/>
      <c r="M948" s="88"/>
      <c r="N948" s="88"/>
      <c r="O948" s="88"/>
      <c r="P948" s="88"/>
      <c r="Q948" s="88"/>
      <c r="R948" s="88"/>
      <c r="S948" s="88"/>
      <c r="T948" s="88"/>
      <c r="U948" s="88"/>
      <c r="V948" s="88"/>
      <c r="W948" s="88"/>
      <c r="X948" s="88"/>
      <c r="Y948" s="88"/>
      <c r="Z948" s="88"/>
      <c r="AA948" s="88"/>
      <c r="AB948" s="88"/>
      <c r="AC948" s="88"/>
      <c r="AD948" s="88"/>
      <c r="AE948" s="88"/>
      <c r="AF948" s="88"/>
      <c r="AG948" s="88"/>
      <c r="AH948" s="88"/>
      <c r="AI948" s="88"/>
      <c r="AJ948" s="88"/>
    </row>
    <row r="949" spans="1:36" ht="15">
      <c r="A949" s="88" t="s">
        <v>349</v>
      </c>
      <c r="B949" s="88" t="s">
        <v>762</v>
      </c>
      <c r="C949" s="88" t="s">
        <v>7</v>
      </c>
      <c r="D949" s="88" t="s">
        <v>3272</v>
      </c>
      <c r="E949" s="88" t="s">
        <v>3273</v>
      </c>
      <c r="F949" s="88"/>
      <c r="G949" s="88"/>
      <c r="H949" s="88"/>
      <c r="I949" s="88"/>
      <c r="J949" s="88"/>
      <c r="K949" s="88"/>
      <c r="L949" s="88"/>
      <c r="M949" s="88"/>
      <c r="N949" s="88"/>
      <c r="O949" s="88"/>
      <c r="P949" s="88"/>
      <c r="Q949" s="88"/>
      <c r="R949" s="88"/>
      <c r="S949" s="88"/>
      <c r="T949" s="88"/>
      <c r="U949" s="88"/>
      <c r="V949" s="88"/>
      <c r="W949" s="88"/>
      <c r="X949" s="88"/>
      <c r="Y949" s="88"/>
      <c r="Z949" s="88"/>
      <c r="AA949" s="88"/>
      <c r="AB949" s="88"/>
      <c r="AC949" s="88"/>
      <c r="AD949" s="88"/>
      <c r="AE949" s="88"/>
      <c r="AF949" s="88"/>
      <c r="AG949" s="88"/>
      <c r="AH949" s="88"/>
      <c r="AI949" s="88"/>
      <c r="AJ949" s="88"/>
    </row>
    <row r="950" spans="1:36" ht="15">
      <c r="A950" s="88" t="s">
        <v>349</v>
      </c>
      <c r="B950" s="88" t="s">
        <v>784</v>
      </c>
      <c r="C950" s="88" t="s">
        <v>7</v>
      </c>
      <c r="D950" s="88" t="s">
        <v>3274</v>
      </c>
      <c r="E950" s="88" t="s">
        <v>3275</v>
      </c>
      <c r="F950" s="88"/>
      <c r="G950" s="88"/>
      <c r="H950" s="88"/>
      <c r="I950" s="88"/>
      <c r="J950" s="88"/>
      <c r="K950" s="88"/>
      <c r="L950" s="88"/>
      <c r="M950" s="88"/>
      <c r="N950" s="88"/>
      <c r="O950" s="88"/>
      <c r="P950" s="88"/>
      <c r="Q950" s="88"/>
      <c r="R950" s="88"/>
      <c r="S950" s="88"/>
      <c r="T950" s="88"/>
      <c r="U950" s="88"/>
      <c r="V950" s="88"/>
      <c r="W950" s="88"/>
      <c r="X950" s="88"/>
      <c r="Y950" s="88"/>
      <c r="Z950" s="88"/>
      <c r="AA950" s="88"/>
      <c r="AB950" s="88"/>
      <c r="AC950" s="88"/>
      <c r="AD950" s="88"/>
      <c r="AE950" s="88"/>
      <c r="AF950" s="88"/>
      <c r="AG950" s="88"/>
      <c r="AH950" s="88"/>
      <c r="AI950" s="88"/>
      <c r="AJ950" s="88"/>
    </row>
    <row r="951" spans="1:36" ht="15">
      <c r="A951" s="88" t="s">
        <v>349</v>
      </c>
      <c r="B951" s="88" t="s">
        <v>805</v>
      </c>
      <c r="C951" s="88" t="s">
        <v>7</v>
      </c>
      <c r="D951" s="88" t="s">
        <v>3276</v>
      </c>
      <c r="E951" s="88" t="s">
        <v>3277</v>
      </c>
      <c r="F951" s="88"/>
      <c r="G951" s="88"/>
      <c r="H951" s="88"/>
      <c r="I951" s="88"/>
      <c r="J951" s="88"/>
      <c r="K951" s="88"/>
      <c r="L951" s="88"/>
      <c r="M951" s="88"/>
      <c r="N951" s="88"/>
      <c r="O951" s="88"/>
      <c r="P951" s="88"/>
      <c r="Q951" s="88"/>
      <c r="R951" s="88"/>
      <c r="S951" s="88"/>
      <c r="T951" s="88"/>
      <c r="U951" s="88"/>
      <c r="V951" s="88"/>
      <c r="W951" s="88"/>
      <c r="X951" s="88"/>
      <c r="Y951" s="88"/>
      <c r="Z951" s="88"/>
      <c r="AA951" s="88"/>
      <c r="AB951" s="88"/>
      <c r="AC951" s="88"/>
      <c r="AD951" s="88"/>
      <c r="AE951" s="88"/>
      <c r="AF951" s="88"/>
      <c r="AG951" s="88"/>
      <c r="AH951" s="88"/>
      <c r="AI951" s="88"/>
      <c r="AJ951" s="88"/>
    </row>
    <row r="952" spans="1:36" ht="15">
      <c r="A952" s="88" t="s">
        <v>349</v>
      </c>
      <c r="B952" s="88" t="s">
        <v>827</v>
      </c>
      <c r="C952" s="88" t="s">
        <v>7</v>
      </c>
      <c r="D952" s="88" t="s">
        <v>3278</v>
      </c>
      <c r="E952" s="88" t="s">
        <v>3279</v>
      </c>
      <c r="F952" s="88"/>
      <c r="G952" s="88"/>
      <c r="H952" s="88"/>
      <c r="I952" s="88"/>
      <c r="J952" s="88"/>
      <c r="K952" s="88"/>
      <c r="L952" s="88"/>
      <c r="M952" s="88"/>
      <c r="N952" s="88"/>
      <c r="O952" s="88"/>
      <c r="P952" s="88"/>
      <c r="Q952" s="88"/>
      <c r="R952" s="88"/>
      <c r="S952" s="88"/>
      <c r="T952" s="88"/>
      <c r="U952" s="88"/>
      <c r="V952" s="88"/>
      <c r="W952" s="88"/>
      <c r="X952" s="88"/>
      <c r="Y952" s="88"/>
      <c r="Z952" s="88"/>
      <c r="AA952" s="88"/>
      <c r="AB952" s="88"/>
      <c r="AC952" s="88"/>
      <c r="AD952" s="88"/>
      <c r="AE952" s="88"/>
      <c r="AF952" s="88"/>
      <c r="AG952" s="88"/>
      <c r="AH952" s="88"/>
      <c r="AI952" s="88"/>
      <c r="AJ952" s="88"/>
    </row>
    <row r="953" spans="1:36" ht="15">
      <c r="A953" s="88" t="s">
        <v>349</v>
      </c>
      <c r="B953" s="88" t="s">
        <v>848</v>
      </c>
      <c r="C953" s="88" t="s">
        <v>7</v>
      </c>
      <c r="D953" s="88" t="s">
        <v>3280</v>
      </c>
      <c r="E953" s="88" t="s">
        <v>3281</v>
      </c>
      <c r="F953" s="88"/>
      <c r="G953" s="88"/>
      <c r="H953" s="88"/>
      <c r="I953" s="88"/>
      <c r="J953" s="88"/>
      <c r="K953" s="88"/>
      <c r="L953" s="88"/>
      <c r="M953" s="88"/>
      <c r="N953" s="88"/>
      <c r="O953" s="88"/>
      <c r="P953" s="88"/>
      <c r="Q953" s="88"/>
      <c r="R953" s="88"/>
      <c r="S953" s="88"/>
      <c r="T953" s="88"/>
      <c r="U953" s="88"/>
      <c r="V953" s="88"/>
      <c r="W953" s="88"/>
      <c r="X953" s="88"/>
      <c r="Y953" s="88"/>
      <c r="Z953" s="88"/>
      <c r="AA953" s="88"/>
      <c r="AB953" s="88"/>
      <c r="AC953" s="88"/>
      <c r="AD953" s="88"/>
      <c r="AE953" s="88"/>
      <c r="AF953" s="88"/>
      <c r="AG953" s="88"/>
      <c r="AH953" s="88"/>
      <c r="AI953" s="88"/>
      <c r="AJ953" s="88"/>
    </row>
    <row r="954" spans="1:36" ht="15">
      <c r="A954" s="88" t="s">
        <v>349</v>
      </c>
      <c r="B954" s="88" t="s">
        <v>867</v>
      </c>
      <c r="C954" s="88" t="s">
        <v>7</v>
      </c>
      <c r="D954" s="88" t="s">
        <v>3282</v>
      </c>
      <c r="E954" s="88" t="s">
        <v>3283</v>
      </c>
      <c r="F954" s="88"/>
      <c r="G954" s="88"/>
      <c r="H954" s="88"/>
      <c r="I954" s="88"/>
      <c r="J954" s="88"/>
      <c r="K954" s="88"/>
      <c r="L954" s="88"/>
      <c r="M954" s="88"/>
      <c r="N954" s="88"/>
      <c r="O954" s="88"/>
      <c r="P954" s="88"/>
      <c r="Q954" s="88"/>
      <c r="R954" s="88"/>
      <c r="S954" s="88"/>
      <c r="T954" s="88"/>
      <c r="U954" s="88"/>
      <c r="V954" s="88"/>
      <c r="W954" s="88"/>
      <c r="X954" s="88"/>
      <c r="Y954" s="88"/>
      <c r="Z954" s="88"/>
      <c r="AA954" s="88"/>
      <c r="AB954" s="88"/>
      <c r="AC954" s="88"/>
      <c r="AD954" s="88"/>
      <c r="AE954" s="88"/>
      <c r="AF954" s="88"/>
      <c r="AG954" s="88"/>
      <c r="AH954" s="88"/>
      <c r="AI954" s="88"/>
      <c r="AJ954" s="88"/>
    </row>
    <row r="955" spans="1:36" ht="15">
      <c r="A955" s="88" t="s">
        <v>349</v>
      </c>
      <c r="B955" s="88" t="s">
        <v>887</v>
      </c>
      <c r="C955" s="88" t="s">
        <v>7</v>
      </c>
      <c r="D955" s="88" t="s">
        <v>3284</v>
      </c>
      <c r="E955" s="88" t="s">
        <v>3285</v>
      </c>
      <c r="F955" s="88"/>
      <c r="G955" s="88"/>
      <c r="H955" s="88"/>
      <c r="I955" s="88"/>
      <c r="J955" s="88"/>
      <c r="K955" s="88"/>
      <c r="L955" s="88"/>
      <c r="M955" s="88"/>
      <c r="N955" s="88"/>
      <c r="O955" s="88"/>
      <c r="P955" s="88"/>
      <c r="Q955" s="88"/>
      <c r="R955" s="88"/>
      <c r="S955" s="88"/>
      <c r="T955" s="88"/>
      <c r="U955" s="88"/>
      <c r="V955" s="88"/>
      <c r="W955" s="88"/>
      <c r="X955" s="88"/>
      <c r="Y955" s="88"/>
      <c r="Z955" s="88"/>
      <c r="AA955" s="88"/>
      <c r="AB955" s="88"/>
      <c r="AC955" s="88"/>
      <c r="AD955" s="88"/>
      <c r="AE955" s="88"/>
      <c r="AF955" s="88"/>
      <c r="AG955" s="88"/>
      <c r="AH955" s="88"/>
      <c r="AI955" s="88"/>
      <c r="AJ955" s="88"/>
    </row>
    <row r="956" spans="1:36" ht="15">
      <c r="A956" s="88" t="s">
        <v>349</v>
      </c>
      <c r="B956" s="88" t="s">
        <v>906</v>
      </c>
      <c r="C956" s="88" t="s">
        <v>7</v>
      </c>
      <c r="D956" s="88" t="s">
        <v>3286</v>
      </c>
      <c r="E956" s="88" t="s">
        <v>3287</v>
      </c>
      <c r="F956" s="88"/>
      <c r="G956" s="88"/>
      <c r="H956" s="88"/>
      <c r="I956" s="88"/>
      <c r="J956" s="88"/>
      <c r="K956" s="88"/>
      <c r="L956" s="88"/>
      <c r="M956" s="88"/>
      <c r="N956" s="88"/>
      <c r="O956" s="88"/>
      <c r="P956" s="88"/>
      <c r="Q956" s="88"/>
      <c r="R956" s="88"/>
      <c r="S956" s="88"/>
      <c r="T956" s="88"/>
      <c r="U956" s="88"/>
      <c r="V956" s="88"/>
      <c r="W956" s="88"/>
      <c r="X956" s="88"/>
      <c r="Y956" s="88"/>
      <c r="Z956" s="88"/>
      <c r="AA956" s="88"/>
      <c r="AB956" s="88"/>
      <c r="AC956" s="88"/>
      <c r="AD956" s="88"/>
      <c r="AE956" s="88"/>
      <c r="AF956" s="88"/>
      <c r="AG956" s="88"/>
      <c r="AH956" s="88"/>
      <c r="AI956" s="88"/>
      <c r="AJ956" s="88"/>
    </row>
    <row r="957" spans="1:36" ht="15">
      <c r="A957" s="88" t="s">
        <v>349</v>
      </c>
      <c r="B957" s="88" t="s">
        <v>924</v>
      </c>
      <c r="C957" s="88" t="s">
        <v>7</v>
      </c>
      <c r="D957" s="88" t="s">
        <v>3288</v>
      </c>
      <c r="E957" s="88" t="s">
        <v>3289</v>
      </c>
      <c r="F957" s="88"/>
      <c r="G957" s="88"/>
      <c r="H957" s="88"/>
      <c r="I957" s="88"/>
      <c r="J957" s="88"/>
      <c r="K957" s="88"/>
      <c r="L957" s="88"/>
      <c r="M957" s="88"/>
      <c r="N957" s="88"/>
      <c r="O957" s="88"/>
      <c r="P957" s="88"/>
      <c r="Q957" s="88"/>
      <c r="R957" s="88"/>
      <c r="S957" s="88"/>
      <c r="T957" s="88"/>
      <c r="U957" s="88"/>
      <c r="V957" s="88"/>
      <c r="W957" s="88"/>
      <c r="X957" s="88"/>
      <c r="Y957" s="88"/>
      <c r="Z957" s="88"/>
      <c r="AA957" s="88"/>
      <c r="AB957" s="88"/>
      <c r="AC957" s="88"/>
      <c r="AD957" s="88"/>
      <c r="AE957" s="88"/>
      <c r="AF957" s="88"/>
      <c r="AG957" s="88"/>
      <c r="AH957" s="88"/>
      <c r="AI957" s="88"/>
      <c r="AJ957" s="88"/>
    </row>
    <row r="958" spans="1:36" ht="15">
      <c r="A958" s="88" t="s">
        <v>349</v>
      </c>
      <c r="B958" s="88" t="s">
        <v>349</v>
      </c>
      <c r="C958" s="88" t="s">
        <v>7</v>
      </c>
      <c r="D958" s="88" t="s">
        <v>3290</v>
      </c>
      <c r="E958" s="88" t="s">
        <v>3291</v>
      </c>
      <c r="F958" s="88"/>
      <c r="G958" s="88"/>
      <c r="H958" s="88"/>
      <c r="I958" s="88"/>
      <c r="J958" s="88"/>
      <c r="K958" s="88"/>
      <c r="L958" s="88"/>
      <c r="M958" s="88"/>
      <c r="N958" s="88"/>
      <c r="O958" s="88"/>
      <c r="P958" s="88"/>
      <c r="Q958" s="88"/>
      <c r="R958" s="88"/>
      <c r="S958" s="88"/>
      <c r="T958" s="88"/>
      <c r="U958" s="88"/>
      <c r="V958" s="88"/>
      <c r="W958" s="88"/>
      <c r="X958" s="88"/>
      <c r="Y958" s="88"/>
      <c r="Z958" s="88"/>
      <c r="AA958" s="88"/>
      <c r="AB958" s="88"/>
      <c r="AC958" s="88"/>
      <c r="AD958" s="88"/>
      <c r="AE958" s="88"/>
      <c r="AF958" s="88"/>
      <c r="AG958" s="88"/>
      <c r="AH958" s="88"/>
      <c r="AI958" s="88"/>
      <c r="AJ958" s="88"/>
    </row>
    <row r="959" spans="1:36" ht="15">
      <c r="A959" s="88" t="s">
        <v>349</v>
      </c>
      <c r="B959" s="88" t="s">
        <v>961</v>
      </c>
      <c r="C959" s="88" t="s">
        <v>7</v>
      </c>
      <c r="D959" s="88" t="s">
        <v>3292</v>
      </c>
      <c r="E959" s="88" t="s">
        <v>3293</v>
      </c>
      <c r="F959" s="88"/>
      <c r="G959" s="88"/>
      <c r="H959" s="88"/>
      <c r="I959" s="88"/>
      <c r="J959" s="88"/>
      <c r="K959" s="88"/>
      <c r="L959" s="88"/>
      <c r="M959" s="88"/>
      <c r="N959" s="88"/>
      <c r="O959" s="88"/>
      <c r="P959" s="88"/>
      <c r="Q959" s="88"/>
      <c r="R959" s="88"/>
      <c r="S959" s="88"/>
      <c r="T959" s="88"/>
      <c r="U959" s="88"/>
      <c r="V959" s="88"/>
      <c r="W959" s="88"/>
      <c r="X959" s="88"/>
      <c r="Y959" s="88"/>
      <c r="Z959" s="88"/>
      <c r="AA959" s="88"/>
      <c r="AB959" s="88"/>
      <c r="AC959" s="88"/>
      <c r="AD959" s="88"/>
      <c r="AE959" s="88"/>
      <c r="AF959" s="88"/>
      <c r="AG959" s="88"/>
      <c r="AH959" s="88"/>
      <c r="AI959" s="88"/>
      <c r="AJ959" s="88"/>
    </row>
    <row r="960" spans="1:36" ht="15">
      <c r="A960" s="88" t="s">
        <v>349</v>
      </c>
      <c r="B960" s="88" t="s">
        <v>977</v>
      </c>
      <c r="C960" s="88" t="s">
        <v>7</v>
      </c>
      <c r="D960" s="88" t="s">
        <v>3294</v>
      </c>
      <c r="E960" s="88" t="s">
        <v>3295</v>
      </c>
      <c r="F960" s="88"/>
      <c r="G960" s="88"/>
      <c r="H960" s="88"/>
      <c r="I960" s="88"/>
      <c r="J960" s="88"/>
      <c r="K960" s="88"/>
      <c r="L960" s="88"/>
      <c r="M960" s="88"/>
      <c r="N960" s="88"/>
      <c r="O960" s="88"/>
      <c r="P960" s="88"/>
      <c r="Q960" s="88"/>
      <c r="R960" s="88"/>
      <c r="S960" s="88"/>
      <c r="T960" s="88"/>
      <c r="U960" s="88"/>
      <c r="V960" s="88"/>
      <c r="W960" s="88"/>
      <c r="X960" s="88"/>
      <c r="Y960" s="88"/>
      <c r="Z960" s="88"/>
      <c r="AA960" s="88"/>
      <c r="AB960" s="88"/>
      <c r="AC960" s="88"/>
      <c r="AD960" s="88"/>
      <c r="AE960" s="88"/>
      <c r="AF960" s="88"/>
      <c r="AG960" s="88"/>
      <c r="AH960" s="88"/>
      <c r="AI960" s="88"/>
      <c r="AJ960" s="88"/>
    </row>
    <row r="961" spans="1:36" ht="15">
      <c r="A961" s="88" t="s">
        <v>350</v>
      </c>
      <c r="B961" s="88" t="s">
        <v>382</v>
      </c>
      <c r="C961" s="88" t="s">
        <v>7</v>
      </c>
      <c r="D961" s="88" t="s">
        <v>3296</v>
      </c>
      <c r="E961" s="88" t="s">
        <v>3297</v>
      </c>
      <c r="F961" s="88"/>
      <c r="G961" s="88"/>
      <c r="H961" s="88"/>
      <c r="I961" s="88"/>
      <c r="J961" s="88"/>
      <c r="K961" s="88"/>
      <c r="L961" s="88"/>
      <c r="M961" s="88"/>
      <c r="N961" s="88"/>
      <c r="O961" s="88"/>
      <c r="P961" s="88"/>
      <c r="Q961" s="88"/>
      <c r="R961" s="88"/>
      <c r="S961" s="88"/>
      <c r="T961" s="88"/>
      <c r="U961" s="88"/>
      <c r="V961" s="88"/>
      <c r="W961" s="88"/>
      <c r="X961" s="88"/>
      <c r="Y961" s="88"/>
      <c r="Z961" s="88"/>
      <c r="AA961" s="88"/>
      <c r="AB961" s="88"/>
      <c r="AC961" s="88"/>
      <c r="AD961" s="88"/>
      <c r="AE961" s="88"/>
      <c r="AF961" s="88"/>
      <c r="AG961" s="88"/>
      <c r="AH961" s="88"/>
      <c r="AI961" s="88"/>
      <c r="AJ961" s="88"/>
    </row>
    <row r="962" spans="1:36" ht="15">
      <c r="A962" s="88" t="s">
        <v>350</v>
      </c>
      <c r="B962" s="88" t="s">
        <v>411</v>
      </c>
      <c r="C962" s="88" t="s">
        <v>7</v>
      </c>
      <c r="D962" s="88" t="s">
        <v>3298</v>
      </c>
      <c r="E962" s="88" t="s">
        <v>3299</v>
      </c>
      <c r="F962" s="88"/>
      <c r="G962" s="88"/>
      <c r="H962" s="88"/>
      <c r="I962" s="88"/>
      <c r="J962" s="88"/>
      <c r="K962" s="88"/>
      <c r="L962" s="88"/>
      <c r="M962" s="88"/>
      <c r="N962" s="88"/>
      <c r="O962" s="88"/>
      <c r="P962" s="88"/>
      <c r="Q962" s="88"/>
      <c r="R962" s="88"/>
      <c r="S962" s="88"/>
      <c r="T962" s="88"/>
      <c r="U962" s="88"/>
      <c r="V962" s="88"/>
      <c r="W962" s="88"/>
      <c r="X962" s="88"/>
      <c r="Y962" s="88"/>
      <c r="Z962" s="88"/>
      <c r="AA962" s="88"/>
      <c r="AB962" s="88"/>
      <c r="AC962" s="88"/>
      <c r="AD962" s="88"/>
      <c r="AE962" s="88"/>
      <c r="AF962" s="88"/>
      <c r="AG962" s="88"/>
      <c r="AH962" s="88"/>
      <c r="AI962" s="88"/>
      <c r="AJ962" s="88"/>
    </row>
    <row r="963" spans="1:36" ht="15">
      <c r="A963" s="88" t="s">
        <v>350</v>
      </c>
      <c r="B963" s="88" t="s">
        <v>442</v>
      </c>
      <c r="C963" s="88" t="s">
        <v>7</v>
      </c>
      <c r="D963" s="88" t="s">
        <v>3300</v>
      </c>
      <c r="E963" s="88" t="s">
        <v>3301</v>
      </c>
      <c r="F963" s="88"/>
      <c r="G963" s="88"/>
      <c r="H963" s="88"/>
      <c r="I963" s="88"/>
      <c r="J963" s="88"/>
      <c r="K963" s="88"/>
      <c r="L963" s="88"/>
      <c r="M963" s="88"/>
      <c r="N963" s="88"/>
      <c r="O963" s="88"/>
      <c r="P963" s="88"/>
      <c r="Q963" s="88"/>
      <c r="R963" s="88"/>
      <c r="S963" s="88"/>
      <c r="T963" s="88"/>
      <c r="U963" s="88"/>
      <c r="V963" s="88"/>
      <c r="W963" s="88"/>
      <c r="X963" s="88"/>
      <c r="Y963" s="88"/>
      <c r="Z963" s="88"/>
      <c r="AA963" s="88"/>
      <c r="AB963" s="88"/>
      <c r="AC963" s="88"/>
      <c r="AD963" s="88"/>
      <c r="AE963" s="88"/>
      <c r="AF963" s="88"/>
      <c r="AG963" s="88"/>
      <c r="AH963" s="88"/>
      <c r="AI963" s="88"/>
      <c r="AJ963" s="88"/>
    </row>
    <row r="964" spans="1:36" ht="15">
      <c r="A964" s="88" t="s">
        <v>350</v>
      </c>
      <c r="B964" s="88" t="s">
        <v>474</v>
      </c>
      <c r="C964" s="88" t="s">
        <v>7</v>
      </c>
      <c r="D964" s="88" t="s">
        <v>3302</v>
      </c>
      <c r="E964" s="88" t="s">
        <v>3303</v>
      </c>
      <c r="F964" s="88"/>
      <c r="G964" s="88"/>
      <c r="H964" s="88"/>
      <c r="I964" s="88"/>
      <c r="J964" s="88"/>
      <c r="K964" s="88"/>
      <c r="L964" s="88"/>
      <c r="M964" s="88"/>
      <c r="N964" s="88"/>
      <c r="O964" s="88"/>
      <c r="P964" s="88"/>
      <c r="Q964" s="88"/>
      <c r="R964" s="88"/>
      <c r="S964" s="88"/>
      <c r="T964" s="88"/>
      <c r="U964" s="88"/>
      <c r="V964" s="88"/>
      <c r="W964" s="88"/>
      <c r="X964" s="88"/>
      <c r="Y964" s="88"/>
      <c r="Z964" s="88"/>
      <c r="AA964" s="88"/>
      <c r="AB964" s="88"/>
      <c r="AC964" s="88"/>
      <c r="AD964" s="88"/>
      <c r="AE964" s="88"/>
      <c r="AF964" s="88"/>
      <c r="AG964" s="88"/>
      <c r="AH964" s="88"/>
      <c r="AI964" s="88"/>
      <c r="AJ964" s="88"/>
    </row>
    <row r="965" spans="1:36" ht="15">
      <c r="A965" s="88" t="s">
        <v>350</v>
      </c>
      <c r="B965" s="88" t="s">
        <v>504</v>
      </c>
      <c r="C965" s="88" t="s">
        <v>7</v>
      </c>
      <c r="D965" s="88" t="s">
        <v>3304</v>
      </c>
      <c r="E965" s="88" t="s">
        <v>3305</v>
      </c>
      <c r="F965" s="88"/>
      <c r="G965" s="88"/>
      <c r="H965" s="88"/>
      <c r="I965" s="88"/>
      <c r="J965" s="88"/>
      <c r="K965" s="88"/>
      <c r="L965" s="88"/>
      <c r="M965" s="88"/>
      <c r="N965" s="88"/>
      <c r="O965" s="88"/>
      <c r="P965" s="88"/>
      <c r="Q965" s="88"/>
      <c r="R965" s="88"/>
      <c r="S965" s="88"/>
      <c r="T965" s="88"/>
      <c r="U965" s="88"/>
      <c r="V965" s="88"/>
      <c r="W965" s="88"/>
      <c r="X965" s="88"/>
      <c r="Y965" s="88"/>
      <c r="Z965" s="88"/>
      <c r="AA965" s="88"/>
      <c r="AB965" s="88"/>
      <c r="AC965" s="88"/>
      <c r="AD965" s="88"/>
      <c r="AE965" s="88"/>
      <c r="AF965" s="88"/>
      <c r="AG965" s="88"/>
      <c r="AH965" s="88"/>
      <c r="AI965" s="88"/>
      <c r="AJ965" s="88"/>
    </row>
    <row r="966" spans="1:36" ht="15">
      <c r="A966" s="88" t="s">
        <v>350</v>
      </c>
      <c r="B966" s="88" t="s">
        <v>534</v>
      </c>
      <c r="C966" s="88" t="s">
        <v>7</v>
      </c>
      <c r="D966" s="88" t="s">
        <v>3306</v>
      </c>
      <c r="E966" s="88" t="s">
        <v>3307</v>
      </c>
      <c r="F966" s="88"/>
      <c r="G966" s="88"/>
      <c r="H966" s="88"/>
      <c r="I966" s="88"/>
      <c r="J966" s="88"/>
      <c r="K966" s="88"/>
      <c r="L966" s="88"/>
      <c r="M966" s="88"/>
      <c r="N966" s="88"/>
      <c r="O966" s="88"/>
      <c r="P966" s="88"/>
      <c r="Q966" s="88"/>
      <c r="R966" s="88"/>
      <c r="S966" s="88"/>
      <c r="T966" s="88"/>
      <c r="U966" s="88"/>
      <c r="V966" s="88"/>
      <c r="W966" s="88"/>
      <c r="X966" s="88"/>
      <c r="Y966" s="88"/>
      <c r="Z966" s="88"/>
      <c r="AA966" s="88"/>
      <c r="AB966" s="88"/>
      <c r="AC966" s="88"/>
      <c r="AD966" s="88"/>
      <c r="AE966" s="88"/>
      <c r="AF966" s="88"/>
      <c r="AG966" s="88"/>
      <c r="AH966" s="88"/>
      <c r="AI966" s="88"/>
      <c r="AJ966" s="88"/>
    </row>
    <row r="967" spans="1:36" ht="15">
      <c r="A967" s="88" t="s">
        <v>350</v>
      </c>
      <c r="B967" s="88" t="s">
        <v>563</v>
      </c>
      <c r="C967" s="88" t="s">
        <v>7</v>
      </c>
      <c r="D967" s="88" t="s">
        <v>3308</v>
      </c>
      <c r="E967" s="88" t="s">
        <v>3309</v>
      </c>
      <c r="F967" s="88"/>
      <c r="G967" s="88"/>
      <c r="H967" s="88"/>
      <c r="I967" s="88"/>
      <c r="J967" s="88"/>
      <c r="K967" s="88"/>
      <c r="L967" s="88"/>
      <c r="M967" s="88"/>
      <c r="N967" s="88"/>
      <c r="O967" s="88"/>
      <c r="P967" s="88"/>
      <c r="Q967" s="88"/>
      <c r="R967" s="88"/>
      <c r="S967" s="88"/>
      <c r="T967" s="88"/>
      <c r="U967" s="88"/>
      <c r="V967" s="88"/>
      <c r="W967" s="88"/>
      <c r="X967" s="88"/>
      <c r="Y967" s="88"/>
      <c r="Z967" s="88"/>
      <c r="AA967" s="88"/>
      <c r="AB967" s="88"/>
      <c r="AC967" s="88"/>
      <c r="AD967" s="88"/>
      <c r="AE967" s="88"/>
      <c r="AF967" s="88"/>
      <c r="AG967" s="88"/>
      <c r="AH967" s="88"/>
      <c r="AI967" s="88"/>
      <c r="AJ967" s="88"/>
    </row>
    <row r="968" spans="1:36" ht="15">
      <c r="A968" s="88" t="s">
        <v>350</v>
      </c>
      <c r="B968" s="88" t="s">
        <v>591</v>
      </c>
      <c r="C968" s="88" t="s">
        <v>7</v>
      </c>
      <c r="D968" s="88" t="s">
        <v>3310</v>
      </c>
      <c r="E968" s="88" t="s">
        <v>3311</v>
      </c>
      <c r="F968" s="88"/>
      <c r="G968" s="88"/>
      <c r="H968" s="88"/>
      <c r="I968" s="88"/>
      <c r="J968" s="88"/>
      <c r="K968" s="88"/>
      <c r="L968" s="88"/>
      <c r="M968" s="88"/>
      <c r="N968" s="88"/>
      <c r="O968" s="88"/>
      <c r="P968" s="88"/>
      <c r="Q968" s="88"/>
      <c r="R968" s="88"/>
      <c r="S968" s="88"/>
      <c r="T968" s="88"/>
      <c r="U968" s="88"/>
      <c r="V968" s="88"/>
      <c r="W968" s="88"/>
      <c r="X968" s="88"/>
      <c r="Y968" s="88"/>
      <c r="Z968" s="88"/>
      <c r="AA968" s="88"/>
      <c r="AB968" s="88"/>
      <c r="AC968" s="88"/>
      <c r="AD968" s="88"/>
      <c r="AE968" s="88"/>
      <c r="AF968" s="88"/>
      <c r="AG968" s="88"/>
      <c r="AH968" s="88"/>
      <c r="AI968" s="88"/>
      <c r="AJ968" s="88"/>
    </row>
    <row r="969" spans="1:36" ht="15">
      <c r="A969" s="88" t="s">
        <v>350</v>
      </c>
      <c r="B969" s="88" t="s">
        <v>616</v>
      </c>
      <c r="C969" s="88" t="s">
        <v>7</v>
      </c>
      <c r="D969" s="88" t="s">
        <v>3312</v>
      </c>
      <c r="E969" s="88" t="s">
        <v>3313</v>
      </c>
      <c r="F969" s="88"/>
      <c r="G969" s="88"/>
      <c r="H969" s="88"/>
      <c r="I969" s="88"/>
      <c r="J969" s="88"/>
      <c r="K969" s="88"/>
      <c r="L969" s="88"/>
      <c r="M969" s="88"/>
      <c r="N969" s="88"/>
      <c r="O969" s="88"/>
      <c r="P969" s="88"/>
      <c r="Q969" s="88"/>
      <c r="R969" s="88"/>
      <c r="S969" s="88"/>
      <c r="T969" s="88"/>
      <c r="U969" s="88"/>
      <c r="V969" s="88"/>
      <c r="W969" s="88"/>
      <c r="X969" s="88"/>
      <c r="Y969" s="88"/>
      <c r="Z969" s="88"/>
      <c r="AA969" s="88"/>
      <c r="AB969" s="88"/>
      <c r="AC969" s="88"/>
      <c r="AD969" s="88"/>
      <c r="AE969" s="88"/>
      <c r="AF969" s="88"/>
      <c r="AG969" s="88"/>
      <c r="AH969" s="88"/>
      <c r="AI969" s="88"/>
      <c r="AJ969" s="88"/>
    </row>
    <row r="970" spans="1:36" ht="15">
      <c r="A970" s="88" t="s">
        <v>350</v>
      </c>
      <c r="B970" s="88" t="s">
        <v>643</v>
      </c>
      <c r="C970" s="88" t="s">
        <v>7</v>
      </c>
      <c r="D970" s="88" t="s">
        <v>3314</v>
      </c>
      <c r="E970" s="88" t="s">
        <v>3315</v>
      </c>
      <c r="F970" s="88"/>
      <c r="G970" s="88"/>
      <c r="H970" s="88"/>
      <c r="I970" s="88"/>
      <c r="J970" s="88"/>
      <c r="K970" s="88"/>
      <c r="L970" s="88"/>
      <c r="M970" s="88"/>
      <c r="N970" s="88"/>
      <c r="O970" s="88"/>
      <c r="P970" s="88"/>
      <c r="Q970" s="88"/>
      <c r="R970" s="88"/>
      <c r="S970" s="88"/>
      <c r="T970" s="88"/>
      <c r="U970" s="88"/>
      <c r="V970" s="88"/>
      <c r="W970" s="88"/>
      <c r="X970" s="88"/>
      <c r="Y970" s="88"/>
      <c r="Z970" s="88"/>
      <c r="AA970" s="88"/>
      <c r="AB970" s="88"/>
      <c r="AC970" s="88"/>
      <c r="AD970" s="88"/>
      <c r="AE970" s="88"/>
      <c r="AF970" s="88"/>
      <c r="AG970" s="88"/>
      <c r="AH970" s="88"/>
      <c r="AI970" s="88"/>
      <c r="AJ970" s="88"/>
    </row>
    <row r="971" spans="1:36" ht="15">
      <c r="A971" s="88" t="s">
        <v>350</v>
      </c>
      <c r="B971" s="88" t="s">
        <v>669</v>
      </c>
      <c r="C971" s="88" t="s">
        <v>7</v>
      </c>
      <c r="D971" s="88" t="s">
        <v>3316</v>
      </c>
      <c r="E971" s="88" t="s">
        <v>3317</v>
      </c>
      <c r="F971" s="88"/>
      <c r="G971" s="88"/>
      <c r="H971" s="88"/>
      <c r="I971" s="88"/>
      <c r="J971" s="88"/>
      <c r="K971" s="88"/>
      <c r="L971" s="88"/>
      <c r="M971" s="88"/>
      <c r="N971" s="88"/>
      <c r="O971" s="88"/>
      <c r="P971" s="88"/>
      <c r="Q971" s="88"/>
      <c r="R971" s="88"/>
      <c r="S971" s="88"/>
      <c r="T971" s="88"/>
      <c r="U971" s="88"/>
      <c r="V971" s="88"/>
      <c r="W971" s="88"/>
      <c r="X971" s="88"/>
      <c r="Y971" s="88"/>
      <c r="Z971" s="88"/>
      <c r="AA971" s="88"/>
      <c r="AB971" s="88"/>
      <c r="AC971" s="88"/>
      <c r="AD971" s="88"/>
      <c r="AE971" s="88"/>
      <c r="AF971" s="88"/>
      <c r="AG971" s="88"/>
      <c r="AH971" s="88"/>
      <c r="AI971" s="88"/>
      <c r="AJ971" s="88"/>
    </row>
    <row r="972" spans="1:36" ht="15">
      <c r="A972" s="88" t="s">
        <v>350</v>
      </c>
      <c r="B972" s="88" t="s">
        <v>694</v>
      </c>
      <c r="C972" s="88" t="s">
        <v>7</v>
      </c>
      <c r="D972" s="88" t="s">
        <v>3318</v>
      </c>
      <c r="E972" s="88" t="s">
        <v>3319</v>
      </c>
      <c r="F972" s="88"/>
      <c r="G972" s="88"/>
      <c r="H972" s="88"/>
      <c r="I972" s="88"/>
      <c r="J972" s="88"/>
      <c r="K972" s="88"/>
      <c r="L972" s="88"/>
      <c r="M972" s="88"/>
      <c r="N972" s="88"/>
      <c r="O972" s="88"/>
      <c r="P972" s="88"/>
      <c r="Q972" s="88"/>
      <c r="R972" s="88"/>
      <c r="S972" s="88"/>
      <c r="T972" s="88"/>
      <c r="U972" s="88"/>
      <c r="V972" s="88"/>
      <c r="W972" s="88"/>
      <c r="X972" s="88"/>
      <c r="Y972" s="88"/>
      <c r="Z972" s="88"/>
      <c r="AA972" s="88"/>
      <c r="AB972" s="88"/>
      <c r="AC972" s="88"/>
      <c r="AD972" s="88"/>
      <c r="AE972" s="88"/>
      <c r="AF972" s="88"/>
      <c r="AG972" s="88"/>
      <c r="AH972" s="88"/>
      <c r="AI972" s="88"/>
      <c r="AJ972" s="88"/>
    </row>
    <row r="973" spans="1:36" ht="15">
      <c r="A973" s="88" t="s">
        <v>350</v>
      </c>
      <c r="B973" s="88" t="s">
        <v>717</v>
      </c>
      <c r="C973" s="88" t="s">
        <v>7</v>
      </c>
      <c r="D973" s="88" t="s">
        <v>3320</v>
      </c>
      <c r="E973" s="88" t="s">
        <v>3321</v>
      </c>
      <c r="F973" s="88"/>
      <c r="G973" s="88"/>
      <c r="H973" s="88"/>
      <c r="I973" s="88"/>
      <c r="J973" s="88"/>
      <c r="K973" s="88"/>
      <c r="L973" s="88"/>
      <c r="M973" s="88"/>
      <c r="N973" s="88"/>
      <c r="O973" s="88"/>
      <c r="P973" s="88"/>
      <c r="Q973" s="88"/>
      <c r="R973" s="88"/>
      <c r="S973" s="88"/>
      <c r="T973" s="88"/>
      <c r="U973" s="88"/>
      <c r="V973" s="88"/>
      <c r="W973" s="88"/>
      <c r="X973" s="88"/>
      <c r="Y973" s="88"/>
      <c r="Z973" s="88"/>
      <c r="AA973" s="88"/>
      <c r="AB973" s="88"/>
      <c r="AC973" s="88"/>
      <c r="AD973" s="88"/>
      <c r="AE973" s="88"/>
      <c r="AF973" s="88"/>
      <c r="AG973" s="88"/>
      <c r="AH973" s="88"/>
      <c r="AI973" s="88"/>
      <c r="AJ973" s="88"/>
    </row>
    <row r="974" spans="1:36" ht="15">
      <c r="A974" s="88" t="s">
        <v>350</v>
      </c>
      <c r="B974" s="88" t="s">
        <v>740</v>
      </c>
      <c r="C974" s="88" t="s">
        <v>7</v>
      </c>
      <c r="D974" s="88" t="s">
        <v>3322</v>
      </c>
      <c r="E974" s="88" t="s">
        <v>3323</v>
      </c>
      <c r="F974" s="88"/>
      <c r="G974" s="88"/>
      <c r="H974" s="88"/>
      <c r="I974" s="88"/>
      <c r="J974" s="88"/>
      <c r="K974" s="88"/>
      <c r="L974" s="88"/>
      <c r="M974" s="88"/>
      <c r="N974" s="88"/>
      <c r="O974" s="88"/>
      <c r="P974" s="88"/>
      <c r="Q974" s="88"/>
      <c r="R974" s="88"/>
      <c r="S974" s="88"/>
      <c r="T974" s="88"/>
      <c r="U974" s="88"/>
      <c r="V974" s="88"/>
      <c r="W974" s="88"/>
      <c r="X974" s="88"/>
      <c r="Y974" s="88"/>
      <c r="Z974" s="88"/>
      <c r="AA974" s="88"/>
      <c r="AB974" s="88"/>
      <c r="AC974" s="88"/>
      <c r="AD974" s="88"/>
      <c r="AE974" s="88"/>
      <c r="AF974" s="88"/>
      <c r="AG974" s="88"/>
      <c r="AH974" s="88"/>
      <c r="AI974" s="88"/>
      <c r="AJ974" s="88"/>
    </row>
    <row r="975" spans="1:36" ht="15">
      <c r="A975" s="88" t="s">
        <v>350</v>
      </c>
      <c r="B975" s="88" t="s">
        <v>763</v>
      </c>
      <c r="C975" s="88" t="s">
        <v>7</v>
      </c>
      <c r="D975" s="88" t="s">
        <v>3324</v>
      </c>
      <c r="E975" s="88" t="s">
        <v>3325</v>
      </c>
      <c r="F975" s="88"/>
      <c r="G975" s="88"/>
      <c r="H975" s="88"/>
      <c r="I975" s="88"/>
      <c r="J975" s="88"/>
      <c r="K975" s="88"/>
      <c r="L975" s="88"/>
      <c r="M975" s="88"/>
      <c r="N975" s="88"/>
      <c r="O975" s="88"/>
      <c r="P975" s="88"/>
      <c r="Q975" s="88"/>
      <c r="R975" s="88"/>
      <c r="S975" s="88"/>
      <c r="T975" s="88"/>
      <c r="U975" s="88"/>
      <c r="V975" s="88"/>
      <c r="W975" s="88"/>
      <c r="X975" s="88"/>
      <c r="Y975" s="88"/>
      <c r="Z975" s="88"/>
      <c r="AA975" s="88"/>
      <c r="AB975" s="88"/>
      <c r="AC975" s="88"/>
      <c r="AD975" s="88"/>
      <c r="AE975" s="88"/>
      <c r="AF975" s="88"/>
      <c r="AG975" s="88"/>
      <c r="AH975" s="88"/>
      <c r="AI975" s="88"/>
      <c r="AJ975" s="88"/>
    </row>
    <row r="976" spans="1:36" ht="15">
      <c r="A976" s="88" t="s">
        <v>350</v>
      </c>
      <c r="B976" s="88" t="s">
        <v>785</v>
      </c>
      <c r="C976" s="88" t="s">
        <v>7</v>
      </c>
      <c r="D976" s="88" t="s">
        <v>3326</v>
      </c>
      <c r="E976" s="88" t="s">
        <v>3327</v>
      </c>
      <c r="F976" s="88"/>
      <c r="G976" s="88"/>
      <c r="H976" s="88"/>
      <c r="I976" s="88"/>
      <c r="J976" s="88"/>
      <c r="K976" s="88"/>
      <c r="L976" s="88"/>
      <c r="M976" s="88"/>
      <c r="N976" s="88"/>
      <c r="O976" s="88"/>
      <c r="P976" s="88"/>
      <c r="Q976" s="88"/>
      <c r="R976" s="88"/>
      <c r="S976" s="88"/>
      <c r="T976" s="88"/>
      <c r="U976" s="88"/>
      <c r="V976" s="88"/>
      <c r="W976" s="88"/>
      <c r="X976" s="88"/>
      <c r="Y976" s="88"/>
      <c r="Z976" s="88"/>
      <c r="AA976" s="88"/>
      <c r="AB976" s="88"/>
      <c r="AC976" s="88"/>
      <c r="AD976" s="88"/>
      <c r="AE976" s="88"/>
      <c r="AF976" s="88"/>
      <c r="AG976" s="88"/>
      <c r="AH976" s="88"/>
      <c r="AI976" s="88"/>
      <c r="AJ976" s="88"/>
    </row>
    <row r="977" spans="1:36" ht="15">
      <c r="A977" s="88" t="s">
        <v>350</v>
      </c>
      <c r="B977" s="88" t="s">
        <v>806</v>
      </c>
      <c r="C977" s="88" t="s">
        <v>7</v>
      </c>
      <c r="D977" s="88" t="s">
        <v>3328</v>
      </c>
      <c r="E977" s="88" t="s">
        <v>3329</v>
      </c>
      <c r="F977" s="88"/>
      <c r="G977" s="88"/>
      <c r="H977" s="88"/>
      <c r="I977" s="88"/>
      <c r="J977" s="88"/>
      <c r="K977" s="88"/>
      <c r="L977" s="88"/>
      <c r="M977" s="88"/>
      <c r="N977" s="88"/>
      <c r="O977" s="88"/>
      <c r="P977" s="88"/>
      <c r="Q977" s="88"/>
      <c r="R977" s="88"/>
      <c r="S977" s="88"/>
      <c r="T977" s="88"/>
      <c r="U977" s="88"/>
      <c r="V977" s="88"/>
      <c r="W977" s="88"/>
      <c r="X977" s="88"/>
      <c r="Y977" s="88"/>
      <c r="Z977" s="88"/>
      <c r="AA977" s="88"/>
      <c r="AB977" s="88"/>
      <c r="AC977" s="88"/>
      <c r="AD977" s="88"/>
      <c r="AE977" s="88"/>
      <c r="AF977" s="88"/>
      <c r="AG977" s="88"/>
      <c r="AH977" s="88"/>
      <c r="AI977" s="88"/>
      <c r="AJ977" s="88"/>
    </row>
    <row r="978" spans="1:36" ht="15">
      <c r="A978" s="88" t="s">
        <v>350</v>
      </c>
      <c r="B978" s="88" t="s">
        <v>828</v>
      </c>
      <c r="C978" s="88" t="s">
        <v>7</v>
      </c>
      <c r="D978" s="88" t="s">
        <v>3330</v>
      </c>
      <c r="E978" s="88" t="s">
        <v>3331</v>
      </c>
      <c r="F978" s="88"/>
      <c r="G978" s="88"/>
      <c r="H978" s="88"/>
      <c r="I978" s="88"/>
      <c r="J978" s="88"/>
      <c r="K978" s="88"/>
      <c r="L978" s="88"/>
      <c r="M978" s="88"/>
      <c r="N978" s="88"/>
      <c r="O978" s="88"/>
      <c r="P978" s="88"/>
      <c r="Q978" s="88"/>
      <c r="R978" s="88"/>
      <c r="S978" s="88"/>
      <c r="T978" s="88"/>
      <c r="U978" s="88"/>
      <c r="V978" s="88"/>
      <c r="W978" s="88"/>
      <c r="X978" s="88"/>
      <c r="Y978" s="88"/>
      <c r="Z978" s="88"/>
      <c r="AA978" s="88"/>
      <c r="AB978" s="88"/>
      <c r="AC978" s="88"/>
      <c r="AD978" s="88"/>
      <c r="AE978" s="88"/>
      <c r="AF978" s="88"/>
      <c r="AG978" s="88"/>
      <c r="AH978" s="88"/>
      <c r="AI978" s="88"/>
      <c r="AJ978" s="88"/>
    </row>
    <row r="979" spans="1:36" ht="15">
      <c r="A979" s="88" t="s">
        <v>350</v>
      </c>
      <c r="B979" s="88" t="s">
        <v>849</v>
      </c>
      <c r="C979" s="88" t="s">
        <v>7</v>
      </c>
      <c r="D979" s="88" t="s">
        <v>3332</v>
      </c>
      <c r="E979" s="88" t="s">
        <v>3333</v>
      </c>
      <c r="F979" s="88"/>
      <c r="G979" s="88"/>
      <c r="H979" s="88"/>
      <c r="I979" s="88"/>
      <c r="J979" s="88"/>
      <c r="K979" s="88"/>
      <c r="L979" s="88"/>
      <c r="M979" s="88"/>
      <c r="N979" s="88"/>
      <c r="O979" s="88"/>
      <c r="P979" s="88"/>
      <c r="Q979" s="88"/>
      <c r="R979" s="88"/>
      <c r="S979" s="88"/>
      <c r="T979" s="88"/>
      <c r="U979" s="88"/>
      <c r="V979" s="88"/>
      <c r="W979" s="88"/>
      <c r="X979" s="88"/>
      <c r="Y979" s="88"/>
      <c r="Z979" s="88"/>
      <c r="AA979" s="88"/>
      <c r="AB979" s="88"/>
      <c r="AC979" s="88"/>
      <c r="AD979" s="88"/>
      <c r="AE979" s="88"/>
      <c r="AF979" s="88"/>
      <c r="AG979" s="88"/>
      <c r="AH979" s="88"/>
      <c r="AI979" s="88"/>
      <c r="AJ979" s="88"/>
    </row>
    <row r="980" spans="1:36" ht="15">
      <c r="A980" s="88" t="s">
        <v>350</v>
      </c>
      <c r="B980" s="88" t="s">
        <v>868</v>
      </c>
      <c r="C980" s="88" t="s">
        <v>7</v>
      </c>
      <c r="D980" s="88" t="s">
        <v>3334</v>
      </c>
      <c r="E980" s="88" t="s">
        <v>3335</v>
      </c>
      <c r="F980" s="88"/>
      <c r="G980" s="88"/>
      <c r="H980" s="88"/>
      <c r="I980" s="88"/>
      <c r="J980" s="88"/>
      <c r="K980" s="88"/>
      <c r="L980" s="88"/>
      <c r="M980" s="88"/>
      <c r="N980" s="88"/>
      <c r="O980" s="88"/>
      <c r="P980" s="88"/>
      <c r="Q980" s="88"/>
      <c r="R980" s="88"/>
      <c r="S980" s="88"/>
      <c r="T980" s="88"/>
      <c r="U980" s="88"/>
      <c r="V980" s="88"/>
      <c r="W980" s="88"/>
      <c r="X980" s="88"/>
      <c r="Y980" s="88"/>
      <c r="Z980" s="88"/>
      <c r="AA980" s="88"/>
      <c r="AB980" s="88"/>
      <c r="AC980" s="88"/>
      <c r="AD980" s="88"/>
      <c r="AE980" s="88"/>
      <c r="AF980" s="88"/>
      <c r="AG980" s="88"/>
      <c r="AH980" s="88"/>
      <c r="AI980" s="88"/>
      <c r="AJ980" s="88"/>
    </row>
    <row r="981" spans="1:36" ht="15">
      <c r="A981" s="88" t="s">
        <v>350</v>
      </c>
      <c r="B981" s="88" t="s">
        <v>888</v>
      </c>
      <c r="C981" s="88" t="s">
        <v>7</v>
      </c>
      <c r="D981" s="88" t="s">
        <v>3336</v>
      </c>
      <c r="E981" s="88" t="s">
        <v>3337</v>
      </c>
      <c r="F981" s="88"/>
      <c r="G981" s="88"/>
      <c r="H981" s="88"/>
      <c r="I981" s="88"/>
      <c r="J981" s="88"/>
      <c r="K981" s="88"/>
      <c r="L981" s="88"/>
      <c r="M981" s="88"/>
      <c r="N981" s="88"/>
      <c r="O981" s="88"/>
      <c r="P981" s="88"/>
      <c r="Q981" s="88"/>
      <c r="R981" s="88"/>
      <c r="S981" s="88"/>
      <c r="T981" s="88"/>
      <c r="U981" s="88"/>
      <c r="V981" s="88"/>
      <c r="W981" s="88"/>
      <c r="X981" s="88"/>
      <c r="Y981" s="88"/>
      <c r="Z981" s="88"/>
      <c r="AA981" s="88"/>
      <c r="AB981" s="88"/>
      <c r="AC981" s="88"/>
      <c r="AD981" s="88"/>
      <c r="AE981" s="88"/>
      <c r="AF981" s="88"/>
      <c r="AG981" s="88"/>
      <c r="AH981" s="88"/>
      <c r="AI981" s="88"/>
      <c r="AJ981" s="88"/>
    </row>
    <row r="982" spans="1:36" ht="15">
      <c r="A982" s="88" t="s">
        <v>350</v>
      </c>
      <c r="B982" s="88" t="s">
        <v>907</v>
      </c>
      <c r="C982" s="88" t="s">
        <v>7</v>
      </c>
      <c r="D982" s="88" t="s">
        <v>3338</v>
      </c>
      <c r="E982" s="88" t="s">
        <v>3339</v>
      </c>
      <c r="F982" s="88"/>
      <c r="G982" s="88"/>
      <c r="H982" s="88"/>
      <c r="I982" s="88"/>
      <c r="J982" s="88"/>
      <c r="K982" s="88"/>
      <c r="L982" s="88"/>
      <c r="M982" s="88"/>
      <c r="N982" s="88"/>
      <c r="O982" s="88"/>
      <c r="P982" s="88"/>
      <c r="Q982" s="88"/>
      <c r="R982" s="88"/>
      <c r="S982" s="88"/>
      <c r="T982" s="88"/>
      <c r="U982" s="88"/>
      <c r="V982" s="88"/>
      <c r="W982" s="88"/>
      <c r="X982" s="88"/>
      <c r="Y982" s="88"/>
      <c r="Z982" s="88"/>
      <c r="AA982" s="88"/>
      <c r="AB982" s="88"/>
      <c r="AC982" s="88"/>
      <c r="AD982" s="88"/>
      <c r="AE982" s="88"/>
      <c r="AF982" s="88"/>
      <c r="AG982" s="88"/>
      <c r="AH982" s="88"/>
      <c r="AI982" s="88"/>
      <c r="AJ982" s="88"/>
    </row>
    <row r="983" spans="1:36" ht="15">
      <c r="A983" s="88" t="s">
        <v>350</v>
      </c>
      <c r="B983" s="88" t="s">
        <v>925</v>
      </c>
      <c r="C983" s="88" t="s">
        <v>7</v>
      </c>
      <c r="D983" s="88" t="s">
        <v>3340</v>
      </c>
      <c r="E983" s="88" t="s">
        <v>3341</v>
      </c>
      <c r="F983" s="88"/>
      <c r="G983" s="88"/>
      <c r="H983" s="88"/>
      <c r="I983" s="88"/>
      <c r="J983" s="88"/>
      <c r="K983" s="88"/>
      <c r="L983" s="88"/>
      <c r="M983" s="88"/>
      <c r="N983" s="88"/>
      <c r="O983" s="88"/>
      <c r="P983" s="88"/>
      <c r="Q983" s="88"/>
      <c r="R983" s="88"/>
      <c r="S983" s="88"/>
      <c r="T983" s="88"/>
      <c r="U983" s="88"/>
      <c r="V983" s="88"/>
      <c r="W983" s="88"/>
      <c r="X983" s="88"/>
      <c r="Y983" s="88"/>
      <c r="Z983" s="88"/>
      <c r="AA983" s="88"/>
      <c r="AB983" s="88"/>
      <c r="AC983" s="88"/>
      <c r="AD983" s="88"/>
      <c r="AE983" s="88"/>
      <c r="AF983" s="88"/>
      <c r="AG983" s="88"/>
      <c r="AH983" s="88"/>
      <c r="AI983" s="88"/>
      <c r="AJ983" s="88"/>
    </row>
    <row r="984" spans="1:36" ht="15">
      <c r="A984" s="88" t="s">
        <v>350</v>
      </c>
      <c r="B984" s="88" t="s">
        <v>943</v>
      </c>
      <c r="C984" s="88" t="s">
        <v>7</v>
      </c>
      <c r="D984" s="88" t="s">
        <v>3342</v>
      </c>
      <c r="E984" s="88" t="s">
        <v>3343</v>
      </c>
      <c r="F984" s="88"/>
      <c r="G984" s="88"/>
      <c r="H984" s="88"/>
      <c r="I984" s="88"/>
      <c r="J984" s="88"/>
      <c r="K984" s="88"/>
      <c r="L984" s="88"/>
      <c r="M984" s="88"/>
      <c r="N984" s="88"/>
      <c r="O984" s="88"/>
      <c r="P984" s="88"/>
      <c r="Q984" s="88"/>
      <c r="R984" s="88"/>
      <c r="S984" s="88"/>
      <c r="T984" s="88"/>
      <c r="U984" s="88"/>
      <c r="V984" s="88"/>
      <c r="W984" s="88"/>
      <c r="X984" s="88"/>
      <c r="Y984" s="88"/>
      <c r="Z984" s="88"/>
      <c r="AA984" s="88"/>
      <c r="AB984" s="88"/>
      <c r="AC984" s="88"/>
      <c r="AD984" s="88"/>
      <c r="AE984" s="88"/>
      <c r="AF984" s="88"/>
      <c r="AG984" s="88"/>
      <c r="AH984" s="88"/>
      <c r="AI984" s="88"/>
      <c r="AJ984" s="88"/>
    </row>
    <row r="985" spans="1:36" ht="15">
      <c r="A985" s="88" t="s">
        <v>350</v>
      </c>
      <c r="B985" s="88" t="s">
        <v>962</v>
      </c>
      <c r="C985" s="88" t="s">
        <v>7</v>
      </c>
      <c r="D985" s="88" t="s">
        <v>3344</v>
      </c>
      <c r="E985" s="88" t="s">
        <v>3345</v>
      </c>
      <c r="F985" s="88"/>
      <c r="G985" s="88"/>
      <c r="H985" s="88"/>
      <c r="I985" s="88"/>
      <c r="J985" s="88"/>
      <c r="K985" s="88"/>
      <c r="L985" s="88"/>
      <c r="M985" s="88"/>
      <c r="N985" s="88"/>
      <c r="O985" s="88"/>
      <c r="P985" s="88"/>
      <c r="Q985" s="88"/>
      <c r="R985" s="88"/>
      <c r="S985" s="88"/>
      <c r="T985" s="88"/>
      <c r="U985" s="88"/>
      <c r="V985" s="88"/>
      <c r="W985" s="88"/>
      <c r="X985" s="88"/>
      <c r="Y985" s="88"/>
      <c r="Z985" s="88"/>
      <c r="AA985" s="88"/>
      <c r="AB985" s="88"/>
      <c r="AC985" s="88"/>
      <c r="AD985" s="88"/>
      <c r="AE985" s="88"/>
      <c r="AF985" s="88"/>
      <c r="AG985" s="88"/>
      <c r="AH985" s="88"/>
      <c r="AI985" s="88"/>
      <c r="AJ985" s="88"/>
    </row>
    <row r="986" spans="1:36" ht="15">
      <c r="A986" s="88" t="s">
        <v>350</v>
      </c>
      <c r="B986" s="88" t="s">
        <v>978</v>
      </c>
      <c r="C986" s="88" t="s">
        <v>7</v>
      </c>
      <c r="D986" s="88" t="s">
        <v>3346</v>
      </c>
      <c r="E986" s="88" t="s">
        <v>3347</v>
      </c>
      <c r="F986" s="88"/>
      <c r="G986" s="88"/>
      <c r="H986" s="88"/>
      <c r="I986" s="88"/>
      <c r="J986" s="88"/>
      <c r="K986" s="88"/>
      <c r="L986" s="88"/>
      <c r="M986" s="88"/>
      <c r="N986" s="88"/>
      <c r="O986" s="88"/>
      <c r="P986" s="88"/>
      <c r="Q986" s="88"/>
      <c r="R986" s="88"/>
      <c r="S986" s="88"/>
      <c r="T986" s="88"/>
      <c r="U986" s="88"/>
      <c r="V986" s="88"/>
      <c r="W986" s="88"/>
      <c r="X986" s="88"/>
      <c r="Y986" s="88"/>
      <c r="Z986" s="88"/>
      <c r="AA986" s="88"/>
      <c r="AB986" s="88"/>
      <c r="AC986" s="88"/>
      <c r="AD986" s="88"/>
      <c r="AE986" s="88"/>
      <c r="AF986" s="88"/>
      <c r="AG986" s="88"/>
      <c r="AH986" s="88"/>
      <c r="AI986" s="88"/>
      <c r="AJ986" s="88"/>
    </row>
    <row r="987" spans="1:36" ht="15">
      <c r="A987" s="88" t="s">
        <v>350</v>
      </c>
      <c r="B987" s="88" t="s">
        <v>996</v>
      </c>
      <c r="C987" s="88" t="s">
        <v>7</v>
      </c>
      <c r="D987" s="88" t="s">
        <v>3348</v>
      </c>
      <c r="E987" s="88" t="s">
        <v>3349</v>
      </c>
      <c r="F987" s="88"/>
      <c r="G987" s="88"/>
      <c r="H987" s="88"/>
      <c r="I987" s="88"/>
      <c r="J987" s="88"/>
      <c r="K987" s="88"/>
      <c r="L987" s="88"/>
      <c r="M987" s="88"/>
      <c r="N987" s="88"/>
      <c r="O987" s="88"/>
      <c r="P987" s="88"/>
      <c r="Q987" s="88"/>
      <c r="R987" s="88"/>
      <c r="S987" s="88"/>
      <c r="T987" s="88"/>
      <c r="U987" s="88"/>
      <c r="V987" s="88"/>
      <c r="W987" s="88"/>
      <c r="X987" s="88"/>
      <c r="Y987" s="88"/>
      <c r="Z987" s="88"/>
      <c r="AA987" s="88"/>
      <c r="AB987" s="88"/>
      <c r="AC987" s="88"/>
      <c r="AD987" s="88"/>
      <c r="AE987" s="88"/>
      <c r="AF987" s="88"/>
      <c r="AG987" s="88"/>
      <c r="AH987" s="88"/>
      <c r="AI987" s="88"/>
      <c r="AJ987" s="88"/>
    </row>
    <row r="988" spans="1:36" ht="15">
      <c r="A988" s="88" t="s">
        <v>350</v>
      </c>
      <c r="B988" s="88" t="s">
        <v>1010</v>
      </c>
      <c r="C988" s="88" t="s">
        <v>7</v>
      </c>
      <c r="D988" s="88" t="s">
        <v>3350</v>
      </c>
      <c r="E988" s="88" t="s">
        <v>3351</v>
      </c>
      <c r="F988" s="88"/>
      <c r="G988" s="88"/>
      <c r="H988" s="88"/>
      <c r="I988" s="88"/>
      <c r="J988" s="88"/>
      <c r="K988" s="88"/>
      <c r="L988" s="88"/>
      <c r="M988" s="88"/>
      <c r="N988" s="88"/>
      <c r="O988" s="88"/>
      <c r="P988" s="88"/>
      <c r="Q988" s="88"/>
      <c r="R988" s="88"/>
      <c r="S988" s="88"/>
      <c r="T988" s="88"/>
      <c r="U988" s="88"/>
      <c r="V988" s="88"/>
      <c r="W988" s="88"/>
      <c r="X988" s="88"/>
      <c r="Y988" s="88"/>
      <c r="Z988" s="88"/>
      <c r="AA988" s="88"/>
      <c r="AB988" s="88"/>
      <c r="AC988" s="88"/>
      <c r="AD988" s="88"/>
      <c r="AE988" s="88"/>
      <c r="AF988" s="88"/>
      <c r="AG988" s="88"/>
      <c r="AH988" s="88"/>
      <c r="AI988" s="88"/>
      <c r="AJ988" s="88"/>
    </row>
    <row r="989" spans="1:36" ht="15">
      <c r="A989" s="88" t="s">
        <v>350</v>
      </c>
      <c r="B989" s="88" t="s">
        <v>1027</v>
      </c>
      <c r="C989" s="88" t="s">
        <v>7</v>
      </c>
      <c r="D989" s="88" t="s">
        <v>3352</v>
      </c>
      <c r="E989" s="88" t="s">
        <v>3353</v>
      </c>
      <c r="F989" s="88"/>
      <c r="G989" s="88"/>
      <c r="H989" s="88"/>
      <c r="I989" s="88"/>
      <c r="J989" s="88"/>
      <c r="K989" s="88"/>
      <c r="L989" s="88"/>
      <c r="M989" s="88"/>
      <c r="N989" s="88"/>
      <c r="O989" s="88"/>
      <c r="P989" s="88"/>
      <c r="Q989" s="88"/>
      <c r="R989" s="88"/>
      <c r="S989" s="88"/>
      <c r="T989" s="88"/>
      <c r="U989" s="88"/>
      <c r="V989" s="88"/>
      <c r="W989" s="88"/>
      <c r="X989" s="88"/>
      <c r="Y989" s="88"/>
      <c r="Z989" s="88"/>
      <c r="AA989" s="88"/>
      <c r="AB989" s="88"/>
      <c r="AC989" s="88"/>
      <c r="AD989" s="88"/>
      <c r="AE989" s="88"/>
      <c r="AF989" s="88"/>
      <c r="AG989" s="88"/>
      <c r="AH989" s="88"/>
      <c r="AI989" s="88"/>
      <c r="AJ989" s="88"/>
    </row>
    <row r="990" spans="1:36" ht="15">
      <c r="A990" s="88" t="s">
        <v>350</v>
      </c>
      <c r="B990" s="88" t="s">
        <v>1042</v>
      </c>
      <c r="C990" s="88" t="s">
        <v>7</v>
      </c>
      <c r="D990" s="88" t="s">
        <v>3354</v>
      </c>
      <c r="E990" s="88" t="s">
        <v>3355</v>
      </c>
      <c r="F990" s="88"/>
      <c r="G990" s="88"/>
      <c r="H990" s="88"/>
      <c r="I990" s="88"/>
      <c r="J990" s="88"/>
      <c r="K990" s="88"/>
      <c r="L990" s="88"/>
      <c r="M990" s="88"/>
      <c r="N990" s="88"/>
      <c r="O990" s="88"/>
      <c r="P990" s="88"/>
      <c r="Q990" s="88"/>
      <c r="R990" s="88"/>
      <c r="S990" s="88"/>
      <c r="T990" s="88"/>
      <c r="U990" s="88"/>
      <c r="V990" s="88"/>
      <c r="W990" s="88"/>
      <c r="X990" s="88"/>
      <c r="Y990" s="88"/>
      <c r="Z990" s="88"/>
      <c r="AA990" s="88"/>
      <c r="AB990" s="88"/>
      <c r="AC990" s="88"/>
      <c r="AD990" s="88"/>
      <c r="AE990" s="88"/>
      <c r="AF990" s="88"/>
      <c r="AG990" s="88"/>
      <c r="AH990" s="88"/>
      <c r="AI990" s="88"/>
      <c r="AJ990" s="88"/>
    </row>
    <row r="991" spans="1:36" ht="15">
      <c r="A991" s="88" t="s">
        <v>350</v>
      </c>
      <c r="B991" s="88" t="s">
        <v>1056</v>
      </c>
      <c r="C991" s="88" t="s">
        <v>7</v>
      </c>
      <c r="D991" s="88" t="s">
        <v>3356</v>
      </c>
      <c r="E991" s="88" t="s">
        <v>3357</v>
      </c>
      <c r="F991" s="88"/>
      <c r="G991" s="88"/>
      <c r="H991" s="88"/>
      <c r="I991" s="88"/>
      <c r="J991" s="88"/>
      <c r="K991" s="88"/>
      <c r="L991" s="88"/>
      <c r="M991" s="88"/>
      <c r="N991" s="88"/>
      <c r="O991" s="88"/>
      <c r="P991" s="88"/>
      <c r="Q991" s="88"/>
      <c r="R991" s="88"/>
      <c r="S991" s="88"/>
      <c r="T991" s="88"/>
      <c r="U991" s="88"/>
      <c r="V991" s="88"/>
      <c r="W991" s="88"/>
      <c r="X991" s="88"/>
      <c r="Y991" s="88"/>
      <c r="Z991" s="88"/>
      <c r="AA991" s="88"/>
      <c r="AB991" s="88"/>
      <c r="AC991" s="88"/>
      <c r="AD991" s="88"/>
      <c r="AE991" s="88"/>
      <c r="AF991" s="88"/>
      <c r="AG991" s="88"/>
      <c r="AH991" s="88"/>
      <c r="AI991" s="88"/>
      <c r="AJ991" s="88"/>
    </row>
    <row r="992" spans="1:36" ht="15">
      <c r="A992" s="88" t="s">
        <v>350</v>
      </c>
      <c r="B992" s="88" t="s">
        <v>1069</v>
      </c>
      <c r="C992" s="88" t="s">
        <v>7</v>
      </c>
      <c r="D992" s="88" t="s">
        <v>3358</v>
      </c>
      <c r="E992" s="88" t="s">
        <v>3359</v>
      </c>
      <c r="F992" s="88"/>
      <c r="G992" s="88"/>
      <c r="H992" s="88"/>
      <c r="I992" s="88"/>
      <c r="J992" s="88"/>
      <c r="K992" s="88"/>
      <c r="L992" s="88"/>
      <c r="M992" s="88"/>
      <c r="N992" s="88"/>
      <c r="O992" s="88"/>
      <c r="P992" s="88"/>
      <c r="Q992" s="88"/>
      <c r="R992" s="88"/>
      <c r="S992" s="88"/>
      <c r="T992" s="88"/>
      <c r="U992" s="88"/>
      <c r="V992" s="88"/>
      <c r="W992" s="88"/>
      <c r="X992" s="88"/>
      <c r="Y992" s="88"/>
      <c r="Z992" s="88"/>
      <c r="AA992" s="88"/>
      <c r="AB992" s="88"/>
      <c r="AC992" s="88"/>
      <c r="AD992" s="88"/>
      <c r="AE992" s="88"/>
      <c r="AF992" s="88"/>
      <c r="AG992" s="88"/>
      <c r="AH992" s="88"/>
      <c r="AI992" s="88"/>
      <c r="AJ992" s="88"/>
    </row>
    <row r="993" spans="1:36" ht="15">
      <c r="A993" s="88" t="s">
        <v>350</v>
      </c>
      <c r="B993" s="88" t="s">
        <v>1079</v>
      </c>
      <c r="C993" s="88" t="s">
        <v>7</v>
      </c>
      <c r="D993" s="88" t="s">
        <v>3360</v>
      </c>
      <c r="E993" s="88" t="s">
        <v>3361</v>
      </c>
      <c r="F993" s="88"/>
      <c r="G993" s="88"/>
      <c r="H993" s="88"/>
      <c r="I993" s="88"/>
      <c r="J993" s="88"/>
      <c r="K993" s="88"/>
      <c r="L993" s="88"/>
      <c r="M993" s="88"/>
      <c r="N993" s="88"/>
      <c r="O993" s="88"/>
      <c r="P993" s="88"/>
      <c r="Q993" s="88"/>
      <c r="R993" s="88"/>
      <c r="S993" s="88"/>
      <c r="T993" s="88"/>
      <c r="U993" s="88"/>
      <c r="V993" s="88"/>
      <c r="W993" s="88"/>
      <c r="X993" s="88"/>
      <c r="Y993" s="88"/>
      <c r="Z993" s="88"/>
      <c r="AA993" s="88"/>
      <c r="AB993" s="88"/>
      <c r="AC993" s="88"/>
      <c r="AD993" s="88"/>
      <c r="AE993" s="88"/>
      <c r="AF993" s="88"/>
      <c r="AG993" s="88"/>
      <c r="AH993" s="88"/>
      <c r="AI993" s="88"/>
      <c r="AJ993" s="88"/>
    </row>
    <row r="994" spans="1:36" ht="15">
      <c r="A994" s="88" t="s">
        <v>350</v>
      </c>
      <c r="B994" s="88" t="s">
        <v>1092</v>
      </c>
      <c r="C994" s="88" t="s">
        <v>7</v>
      </c>
      <c r="D994" s="88" t="s">
        <v>3362</v>
      </c>
      <c r="E994" s="88" t="s">
        <v>3363</v>
      </c>
      <c r="F994" s="88"/>
      <c r="G994" s="88"/>
      <c r="H994" s="88"/>
      <c r="I994" s="88"/>
      <c r="J994" s="88"/>
      <c r="K994" s="88"/>
      <c r="L994" s="88"/>
      <c r="M994" s="88"/>
      <c r="N994" s="88"/>
      <c r="O994" s="88"/>
      <c r="P994" s="88"/>
      <c r="Q994" s="88"/>
      <c r="R994" s="88"/>
      <c r="S994" s="88"/>
      <c r="T994" s="88"/>
      <c r="U994" s="88"/>
      <c r="V994" s="88"/>
      <c r="W994" s="88"/>
      <c r="X994" s="88"/>
      <c r="Y994" s="88"/>
      <c r="Z994" s="88"/>
      <c r="AA994" s="88"/>
      <c r="AB994" s="88"/>
      <c r="AC994" s="88"/>
      <c r="AD994" s="88"/>
      <c r="AE994" s="88"/>
      <c r="AF994" s="88"/>
      <c r="AG994" s="88"/>
      <c r="AH994" s="88"/>
      <c r="AI994" s="88"/>
      <c r="AJ994" s="88"/>
    </row>
    <row r="995" spans="1:36" ht="15">
      <c r="A995" s="88" t="s">
        <v>350</v>
      </c>
      <c r="B995" s="88" t="s">
        <v>1105</v>
      </c>
      <c r="C995" s="88" t="s">
        <v>7</v>
      </c>
      <c r="D995" s="88" t="s">
        <v>3364</v>
      </c>
      <c r="E995" s="88" t="s">
        <v>3365</v>
      </c>
      <c r="F995" s="88"/>
      <c r="G995" s="88"/>
      <c r="H995" s="88"/>
      <c r="I995" s="88"/>
      <c r="J995" s="88"/>
      <c r="K995" s="88"/>
      <c r="L995" s="88"/>
      <c r="M995" s="88"/>
      <c r="N995" s="88"/>
      <c r="O995" s="88"/>
      <c r="P995" s="88"/>
      <c r="Q995" s="88"/>
      <c r="R995" s="88"/>
      <c r="S995" s="88"/>
      <c r="T995" s="88"/>
      <c r="U995" s="88"/>
      <c r="V995" s="88"/>
      <c r="W995" s="88"/>
      <c r="X995" s="88"/>
      <c r="Y995" s="88"/>
      <c r="Z995" s="88"/>
      <c r="AA995" s="88"/>
      <c r="AB995" s="88"/>
      <c r="AC995" s="88"/>
      <c r="AD995" s="88"/>
      <c r="AE995" s="88"/>
      <c r="AF995" s="88"/>
      <c r="AG995" s="88"/>
      <c r="AH995" s="88"/>
      <c r="AI995" s="88"/>
      <c r="AJ995" s="88"/>
    </row>
    <row r="996" spans="1:36" ht="15">
      <c r="A996" s="88" t="s">
        <v>350</v>
      </c>
      <c r="B996" s="88" t="s">
        <v>1118</v>
      </c>
      <c r="C996" s="88" t="s">
        <v>7</v>
      </c>
      <c r="D996" s="88" t="s">
        <v>3366</v>
      </c>
      <c r="E996" s="88" t="s">
        <v>3367</v>
      </c>
      <c r="F996" s="88"/>
      <c r="G996" s="88"/>
      <c r="H996" s="88"/>
      <c r="I996" s="88"/>
      <c r="J996" s="88"/>
      <c r="K996" s="88"/>
      <c r="L996" s="88"/>
      <c r="M996" s="88"/>
      <c r="N996" s="88"/>
      <c r="O996" s="88"/>
      <c r="P996" s="88"/>
      <c r="Q996" s="88"/>
      <c r="R996" s="88"/>
      <c r="S996" s="88"/>
      <c r="T996" s="88"/>
      <c r="U996" s="88"/>
      <c r="V996" s="88"/>
      <c r="W996" s="88"/>
      <c r="X996" s="88"/>
      <c r="Y996" s="88"/>
      <c r="Z996" s="88"/>
      <c r="AA996" s="88"/>
      <c r="AB996" s="88"/>
      <c r="AC996" s="88"/>
      <c r="AD996" s="88"/>
      <c r="AE996" s="88"/>
      <c r="AF996" s="88"/>
      <c r="AG996" s="88"/>
      <c r="AH996" s="88"/>
      <c r="AI996" s="88"/>
      <c r="AJ996" s="88"/>
    </row>
    <row r="997" spans="1:36" ht="15">
      <c r="A997" s="88" t="s">
        <v>350</v>
      </c>
      <c r="B997" s="88" t="s">
        <v>1128</v>
      </c>
      <c r="C997" s="88" t="s">
        <v>7</v>
      </c>
      <c r="D997" s="88" t="s">
        <v>3368</v>
      </c>
      <c r="E997" s="88" t="s">
        <v>3369</v>
      </c>
      <c r="F997" s="88"/>
      <c r="G997" s="88"/>
      <c r="H997" s="88"/>
      <c r="I997" s="88"/>
      <c r="J997" s="88"/>
      <c r="K997" s="88"/>
      <c r="L997" s="88"/>
      <c r="M997" s="88"/>
      <c r="N997" s="88"/>
      <c r="O997" s="88"/>
      <c r="P997" s="88"/>
      <c r="Q997" s="88"/>
      <c r="R997" s="88"/>
      <c r="S997" s="88"/>
      <c r="T997" s="88"/>
      <c r="U997" s="88"/>
      <c r="V997" s="88"/>
      <c r="W997" s="88"/>
      <c r="X997" s="88"/>
      <c r="Y997" s="88"/>
      <c r="Z997" s="88"/>
      <c r="AA997" s="88"/>
      <c r="AB997" s="88"/>
      <c r="AC997" s="88"/>
      <c r="AD997" s="88"/>
      <c r="AE997" s="88"/>
      <c r="AF997" s="88"/>
      <c r="AG997" s="88"/>
      <c r="AH997" s="88"/>
      <c r="AI997" s="88"/>
      <c r="AJ997" s="88"/>
    </row>
    <row r="998" spans="1:36" ht="15">
      <c r="A998" s="88" t="s">
        <v>350</v>
      </c>
      <c r="B998" s="88" t="s">
        <v>1138</v>
      </c>
      <c r="C998" s="88" t="s">
        <v>7</v>
      </c>
      <c r="D998" s="88" t="s">
        <v>3370</v>
      </c>
      <c r="E998" s="88" t="s">
        <v>3371</v>
      </c>
      <c r="F998" s="88"/>
      <c r="G998" s="88"/>
      <c r="H998" s="88"/>
      <c r="I998" s="88"/>
      <c r="J998" s="88"/>
      <c r="K998" s="88"/>
      <c r="L998" s="88"/>
      <c r="M998" s="88"/>
      <c r="N998" s="88"/>
      <c r="O998" s="88"/>
      <c r="P998" s="88"/>
      <c r="Q998" s="88"/>
      <c r="R998" s="88"/>
      <c r="S998" s="88"/>
      <c r="T998" s="88"/>
      <c r="U998" s="88"/>
      <c r="V998" s="88"/>
      <c r="W998" s="88"/>
      <c r="X998" s="88"/>
      <c r="Y998" s="88"/>
      <c r="Z998" s="88"/>
      <c r="AA998" s="88"/>
      <c r="AB998" s="88"/>
      <c r="AC998" s="88"/>
      <c r="AD998" s="88"/>
      <c r="AE998" s="88"/>
      <c r="AF998" s="88"/>
      <c r="AG998" s="88"/>
      <c r="AH998" s="88"/>
      <c r="AI998" s="88"/>
      <c r="AJ998" s="88"/>
    </row>
    <row r="999" spans="1:36" ht="15">
      <c r="A999" s="88" t="s">
        <v>350</v>
      </c>
      <c r="B999" s="88" t="s">
        <v>1149</v>
      </c>
      <c r="C999" s="88" t="s">
        <v>7</v>
      </c>
      <c r="D999" s="88" t="s">
        <v>3372</v>
      </c>
      <c r="E999" s="88" t="s">
        <v>3373</v>
      </c>
      <c r="F999" s="88"/>
      <c r="G999" s="88"/>
      <c r="H999" s="88"/>
      <c r="I999" s="88"/>
      <c r="J999" s="88"/>
      <c r="K999" s="88"/>
      <c r="L999" s="88"/>
      <c r="M999" s="88"/>
      <c r="N999" s="88"/>
      <c r="O999" s="88"/>
      <c r="P999" s="88"/>
      <c r="Q999" s="88"/>
      <c r="R999" s="88"/>
      <c r="S999" s="88"/>
      <c r="T999" s="88"/>
      <c r="U999" s="88"/>
      <c r="V999" s="88"/>
      <c r="W999" s="88"/>
      <c r="X999" s="88"/>
      <c r="Y999" s="88"/>
      <c r="Z999" s="88"/>
      <c r="AA999" s="88"/>
      <c r="AB999" s="88"/>
      <c r="AC999" s="88"/>
      <c r="AD999" s="88"/>
      <c r="AE999" s="88"/>
      <c r="AF999" s="88"/>
      <c r="AG999" s="88"/>
      <c r="AH999" s="88"/>
      <c r="AI999" s="88"/>
      <c r="AJ999" s="88"/>
    </row>
    <row r="1000" spans="1:36" ht="15">
      <c r="A1000" s="88" t="s">
        <v>350</v>
      </c>
      <c r="B1000" s="88" t="s">
        <v>1160</v>
      </c>
      <c r="C1000" s="88" t="s">
        <v>7</v>
      </c>
      <c r="D1000" s="88" t="s">
        <v>3374</v>
      </c>
      <c r="E1000" s="88" t="s">
        <v>3375</v>
      </c>
      <c r="F1000" s="88"/>
      <c r="G1000" s="88"/>
      <c r="H1000" s="88"/>
      <c r="I1000" s="88"/>
      <c r="J1000" s="88"/>
      <c r="K1000" s="88"/>
      <c r="L1000" s="88"/>
      <c r="M1000" s="88"/>
      <c r="N1000" s="88"/>
      <c r="O1000" s="88"/>
      <c r="P1000" s="88"/>
      <c r="Q1000" s="88"/>
      <c r="R1000" s="88"/>
      <c r="S1000" s="88"/>
      <c r="T1000" s="88"/>
      <c r="U1000" s="88"/>
      <c r="V1000" s="88"/>
      <c r="W1000" s="88"/>
      <c r="X1000" s="88"/>
      <c r="Y1000" s="88"/>
      <c r="Z1000" s="88"/>
      <c r="AA1000" s="88"/>
      <c r="AB1000" s="88"/>
      <c r="AC1000" s="88"/>
      <c r="AD1000" s="88"/>
      <c r="AE1000" s="88"/>
      <c r="AF1000" s="88"/>
      <c r="AG1000" s="88"/>
      <c r="AH1000" s="88"/>
      <c r="AI1000" s="88"/>
      <c r="AJ1000" s="88"/>
    </row>
    <row r="1001" spans="1:36" ht="15">
      <c r="A1001" s="88" t="s">
        <v>350</v>
      </c>
      <c r="B1001" s="88" t="s">
        <v>1171</v>
      </c>
      <c r="C1001" s="88" t="s">
        <v>7</v>
      </c>
      <c r="D1001" s="88" t="s">
        <v>3376</v>
      </c>
      <c r="E1001" s="88" t="s">
        <v>3377</v>
      </c>
      <c r="F1001" s="88"/>
      <c r="G1001" s="88"/>
      <c r="H1001" s="88"/>
      <c r="I1001" s="88"/>
      <c r="J1001" s="88"/>
      <c r="K1001" s="88"/>
      <c r="L1001" s="88"/>
      <c r="M1001" s="88"/>
      <c r="N1001" s="88"/>
      <c r="O1001" s="88"/>
      <c r="P1001" s="88"/>
      <c r="Q1001" s="88"/>
      <c r="R1001" s="88"/>
      <c r="S1001" s="88"/>
      <c r="T1001" s="88"/>
      <c r="U1001" s="88"/>
      <c r="V1001" s="88"/>
      <c r="W1001" s="88"/>
      <c r="X1001" s="88"/>
      <c r="Y1001" s="88"/>
      <c r="Z1001" s="88"/>
      <c r="AA1001" s="88"/>
      <c r="AB1001" s="88"/>
      <c r="AC1001" s="88"/>
      <c r="AD1001" s="88"/>
      <c r="AE1001" s="88"/>
      <c r="AF1001" s="88"/>
      <c r="AG1001" s="88"/>
      <c r="AH1001" s="88"/>
      <c r="AI1001" s="88"/>
      <c r="AJ1001" s="88"/>
    </row>
    <row r="1002" spans="1:36" ht="15">
      <c r="A1002" s="88" t="s">
        <v>350</v>
      </c>
      <c r="B1002" s="88" t="s">
        <v>1182</v>
      </c>
      <c r="C1002" s="88" t="s">
        <v>7</v>
      </c>
      <c r="D1002" s="88" t="s">
        <v>3378</v>
      </c>
      <c r="E1002" s="88" t="s">
        <v>3379</v>
      </c>
      <c r="F1002" s="88"/>
      <c r="G1002" s="88"/>
      <c r="H1002" s="88"/>
      <c r="I1002" s="88"/>
      <c r="J1002" s="88"/>
      <c r="K1002" s="88"/>
      <c r="L1002" s="88"/>
      <c r="M1002" s="88"/>
      <c r="N1002" s="88"/>
      <c r="O1002" s="88"/>
      <c r="P1002" s="88"/>
      <c r="Q1002" s="88"/>
      <c r="R1002" s="88"/>
      <c r="S1002" s="88"/>
      <c r="T1002" s="88"/>
      <c r="U1002" s="88"/>
      <c r="V1002" s="88"/>
      <c r="W1002" s="88"/>
      <c r="X1002" s="88"/>
      <c r="Y1002" s="88"/>
      <c r="Z1002" s="88"/>
      <c r="AA1002" s="88"/>
      <c r="AB1002" s="88"/>
      <c r="AC1002" s="88"/>
      <c r="AD1002" s="88"/>
      <c r="AE1002" s="88"/>
      <c r="AF1002" s="88"/>
      <c r="AG1002" s="88"/>
      <c r="AH1002" s="88"/>
      <c r="AI1002" s="88"/>
      <c r="AJ1002" s="88"/>
    </row>
    <row r="1003" spans="1:36" ht="15">
      <c r="A1003" s="88" t="s">
        <v>350</v>
      </c>
      <c r="B1003" s="88" t="s">
        <v>1112</v>
      </c>
      <c r="C1003" s="88" t="s">
        <v>7</v>
      </c>
      <c r="D1003" s="88" t="s">
        <v>3380</v>
      </c>
      <c r="E1003" s="88" t="s">
        <v>3381</v>
      </c>
      <c r="F1003" s="88"/>
      <c r="G1003" s="88"/>
      <c r="H1003" s="88"/>
      <c r="I1003" s="88"/>
      <c r="J1003" s="88"/>
      <c r="K1003" s="88"/>
      <c r="L1003" s="88"/>
      <c r="M1003" s="88"/>
      <c r="N1003" s="88"/>
      <c r="O1003" s="88"/>
      <c r="P1003" s="88"/>
      <c r="Q1003" s="88"/>
      <c r="R1003" s="88"/>
      <c r="S1003" s="88"/>
      <c r="T1003" s="88"/>
      <c r="U1003" s="88"/>
      <c r="V1003" s="88"/>
      <c r="W1003" s="88"/>
      <c r="X1003" s="88"/>
      <c r="Y1003" s="88"/>
      <c r="Z1003" s="88"/>
      <c r="AA1003" s="88"/>
      <c r="AB1003" s="88"/>
      <c r="AC1003" s="88"/>
      <c r="AD1003" s="88"/>
      <c r="AE1003" s="88"/>
      <c r="AF1003" s="88"/>
      <c r="AG1003" s="88"/>
      <c r="AH1003" s="88"/>
      <c r="AI1003" s="88"/>
      <c r="AJ1003" s="88"/>
    </row>
    <row r="1004" spans="1:36" ht="15">
      <c r="A1004" s="88" t="s">
        <v>350</v>
      </c>
      <c r="B1004" s="88" t="s">
        <v>1200</v>
      </c>
      <c r="C1004" s="88" t="s">
        <v>7</v>
      </c>
      <c r="D1004" s="88" t="s">
        <v>3382</v>
      </c>
      <c r="E1004" s="88" t="s">
        <v>3383</v>
      </c>
      <c r="F1004" s="88"/>
      <c r="G1004" s="88"/>
      <c r="H1004" s="88"/>
      <c r="I1004" s="88"/>
      <c r="J1004" s="88"/>
      <c r="K1004" s="88"/>
      <c r="L1004" s="88"/>
      <c r="M1004" s="88"/>
      <c r="N1004" s="88"/>
      <c r="O1004" s="88"/>
      <c r="P1004" s="88"/>
      <c r="Q1004" s="88"/>
      <c r="R1004" s="88"/>
      <c r="S1004" s="88"/>
      <c r="T1004" s="88"/>
      <c r="U1004" s="88"/>
      <c r="V1004" s="88"/>
      <c r="W1004" s="88"/>
      <c r="X1004" s="88"/>
      <c r="Y1004" s="88"/>
      <c r="Z1004" s="88"/>
      <c r="AA1004" s="88"/>
      <c r="AB1004" s="88"/>
      <c r="AC1004" s="88"/>
      <c r="AD1004" s="88"/>
      <c r="AE1004" s="88"/>
      <c r="AF1004" s="88"/>
      <c r="AG1004" s="88"/>
      <c r="AH1004" s="88"/>
      <c r="AI1004" s="88"/>
      <c r="AJ1004" s="88"/>
    </row>
    <row r="1005" spans="1:36" ht="15">
      <c r="A1005" s="88" t="s">
        <v>350</v>
      </c>
      <c r="B1005" s="88" t="s">
        <v>1208</v>
      </c>
      <c r="C1005" s="88" t="s">
        <v>7</v>
      </c>
      <c r="D1005" s="88" t="s">
        <v>3384</v>
      </c>
      <c r="E1005" s="88" t="s">
        <v>3385</v>
      </c>
      <c r="F1005" s="88"/>
      <c r="G1005" s="88"/>
      <c r="H1005" s="88"/>
      <c r="I1005" s="88"/>
      <c r="J1005" s="88"/>
      <c r="K1005" s="88"/>
      <c r="L1005" s="88"/>
      <c r="M1005" s="88"/>
      <c r="N1005" s="88"/>
      <c r="O1005" s="88"/>
      <c r="P1005" s="88"/>
      <c r="Q1005" s="88"/>
      <c r="R1005" s="88"/>
      <c r="S1005" s="88"/>
      <c r="T1005" s="88"/>
      <c r="U1005" s="88"/>
      <c r="V1005" s="88"/>
      <c r="W1005" s="88"/>
      <c r="X1005" s="88"/>
      <c r="Y1005" s="88"/>
      <c r="Z1005" s="88"/>
      <c r="AA1005" s="88"/>
      <c r="AB1005" s="88"/>
      <c r="AC1005" s="88"/>
      <c r="AD1005" s="88"/>
      <c r="AE1005" s="88"/>
      <c r="AF1005" s="88"/>
      <c r="AG1005" s="88"/>
      <c r="AH1005" s="88"/>
      <c r="AI1005" s="88"/>
      <c r="AJ1005" s="88"/>
    </row>
    <row r="1006" spans="1:36" ht="15">
      <c r="A1006" s="88" t="s">
        <v>350</v>
      </c>
      <c r="B1006" s="88" t="s">
        <v>1217</v>
      </c>
      <c r="C1006" s="88" t="s">
        <v>7</v>
      </c>
      <c r="D1006" s="88" t="s">
        <v>3386</v>
      </c>
      <c r="E1006" s="88" t="s">
        <v>3387</v>
      </c>
      <c r="F1006" s="88"/>
      <c r="G1006" s="88"/>
      <c r="H1006" s="88"/>
      <c r="I1006" s="88"/>
      <c r="J1006" s="88"/>
      <c r="K1006" s="88"/>
      <c r="L1006" s="88"/>
      <c r="M1006" s="88"/>
      <c r="N1006" s="88"/>
      <c r="O1006" s="88"/>
      <c r="P1006" s="88"/>
      <c r="Q1006" s="88"/>
      <c r="R1006" s="88"/>
      <c r="S1006" s="88"/>
      <c r="T1006" s="88"/>
      <c r="U1006" s="88"/>
      <c r="V1006" s="88"/>
      <c r="W1006" s="88"/>
      <c r="X1006" s="88"/>
      <c r="Y1006" s="88"/>
      <c r="Z1006" s="88"/>
      <c r="AA1006" s="88"/>
      <c r="AB1006" s="88"/>
      <c r="AC1006" s="88"/>
      <c r="AD1006" s="88"/>
      <c r="AE1006" s="88"/>
      <c r="AF1006" s="88"/>
      <c r="AG1006" s="88"/>
      <c r="AH1006" s="88"/>
      <c r="AI1006" s="88"/>
      <c r="AJ1006" s="88"/>
    </row>
    <row r="1007" spans="1:36" ht="15">
      <c r="A1007" s="88" t="s">
        <v>350</v>
      </c>
      <c r="B1007" s="88" t="s">
        <v>1224</v>
      </c>
      <c r="C1007" s="88" t="s">
        <v>7</v>
      </c>
      <c r="D1007" s="88" t="s">
        <v>3388</v>
      </c>
      <c r="E1007" s="88" t="s">
        <v>3389</v>
      </c>
      <c r="F1007" s="88"/>
      <c r="G1007" s="88"/>
      <c r="H1007" s="88"/>
      <c r="I1007" s="88"/>
      <c r="J1007" s="88"/>
      <c r="K1007" s="88"/>
      <c r="L1007" s="88"/>
      <c r="M1007" s="88"/>
      <c r="N1007" s="88"/>
      <c r="O1007" s="88"/>
      <c r="P1007" s="88"/>
      <c r="Q1007" s="88"/>
      <c r="R1007" s="88"/>
      <c r="S1007" s="88"/>
      <c r="T1007" s="88"/>
      <c r="U1007" s="88"/>
      <c r="V1007" s="88"/>
      <c r="W1007" s="88"/>
      <c r="X1007" s="88"/>
      <c r="Y1007" s="88"/>
      <c r="Z1007" s="88"/>
      <c r="AA1007" s="88"/>
      <c r="AB1007" s="88"/>
      <c r="AC1007" s="88"/>
      <c r="AD1007" s="88"/>
      <c r="AE1007" s="88"/>
      <c r="AF1007" s="88"/>
      <c r="AG1007" s="88"/>
      <c r="AH1007" s="88"/>
      <c r="AI1007" s="88"/>
      <c r="AJ1007" s="88"/>
    </row>
    <row r="1008" spans="1:36" ht="15">
      <c r="A1008" s="88" t="s">
        <v>351</v>
      </c>
      <c r="B1008" s="88" t="s">
        <v>383</v>
      </c>
      <c r="C1008" s="88" t="s">
        <v>7</v>
      </c>
      <c r="D1008" s="88" t="s">
        <v>3390</v>
      </c>
      <c r="E1008" s="88" t="s">
        <v>3391</v>
      </c>
      <c r="F1008" s="88"/>
      <c r="G1008" s="88"/>
      <c r="H1008" s="88"/>
      <c r="I1008" s="88"/>
      <c r="J1008" s="88"/>
      <c r="K1008" s="88"/>
      <c r="L1008" s="88"/>
      <c r="M1008" s="88"/>
      <c r="N1008" s="88"/>
      <c r="O1008" s="88"/>
      <c r="P1008" s="88"/>
      <c r="Q1008" s="88"/>
      <c r="R1008" s="88"/>
      <c r="S1008" s="88"/>
      <c r="T1008" s="88"/>
      <c r="U1008" s="88"/>
      <c r="V1008" s="88"/>
      <c r="W1008" s="88"/>
      <c r="X1008" s="88"/>
      <c r="Y1008" s="88"/>
      <c r="Z1008" s="88"/>
      <c r="AA1008" s="88"/>
      <c r="AB1008" s="88"/>
      <c r="AC1008" s="88"/>
      <c r="AD1008" s="88"/>
      <c r="AE1008" s="88"/>
      <c r="AF1008" s="88"/>
      <c r="AG1008" s="88"/>
      <c r="AH1008" s="88"/>
      <c r="AI1008" s="88"/>
      <c r="AJ1008" s="88"/>
    </row>
    <row r="1009" spans="1:36" ht="15">
      <c r="A1009" s="88" t="s">
        <v>351</v>
      </c>
      <c r="B1009" s="88" t="s">
        <v>412</v>
      </c>
      <c r="C1009" s="88" t="s">
        <v>7</v>
      </c>
      <c r="D1009" s="88" t="s">
        <v>3392</v>
      </c>
      <c r="E1009" s="88" t="s">
        <v>3393</v>
      </c>
      <c r="F1009" s="88"/>
      <c r="G1009" s="88"/>
      <c r="H1009" s="88"/>
      <c r="I1009" s="88"/>
      <c r="J1009" s="88"/>
      <c r="K1009" s="88"/>
      <c r="L1009" s="88"/>
      <c r="M1009" s="88"/>
      <c r="N1009" s="88"/>
      <c r="O1009" s="88"/>
      <c r="P1009" s="88"/>
      <c r="Q1009" s="88"/>
      <c r="R1009" s="88"/>
      <c r="S1009" s="88"/>
      <c r="T1009" s="88"/>
      <c r="U1009" s="88"/>
      <c r="V1009" s="88"/>
      <c r="W1009" s="88"/>
      <c r="X1009" s="88"/>
      <c r="Y1009" s="88"/>
      <c r="Z1009" s="88"/>
      <c r="AA1009" s="88"/>
      <c r="AB1009" s="88"/>
      <c r="AC1009" s="88"/>
      <c r="AD1009" s="88"/>
      <c r="AE1009" s="88"/>
      <c r="AF1009" s="88"/>
      <c r="AG1009" s="88"/>
      <c r="AH1009" s="88"/>
      <c r="AI1009" s="88"/>
      <c r="AJ1009" s="88"/>
    </row>
    <row r="1010" spans="1:36" ht="15">
      <c r="A1010" s="88" t="s">
        <v>351</v>
      </c>
      <c r="B1010" s="88" t="s">
        <v>443</v>
      </c>
      <c r="C1010" s="88" t="s">
        <v>7</v>
      </c>
      <c r="D1010" s="88" t="s">
        <v>3394</v>
      </c>
      <c r="E1010" s="88" t="s">
        <v>3395</v>
      </c>
      <c r="F1010" s="88"/>
      <c r="G1010" s="88"/>
      <c r="H1010" s="88"/>
      <c r="I1010" s="88"/>
      <c r="J1010" s="88"/>
      <c r="K1010" s="88"/>
      <c r="L1010" s="88"/>
      <c r="M1010" s="88"/>
      <c r="N1010" s="88"/>
      <c r="O1010" s="88"/>
      <c r="P1010" s="88"/>
      <c r="Q1010" s="88"/>
      <c r="R1010" s="88"/>
      <c r="S1010" s="88"/>
      <c r="T1010" s="88"/>
      <c r="U1010" s="88"/>
      <c r="V1010" s="88"/>
      <c r="W1010" s="88"/>
      <c r="X1010" s="88"/>
      <c r="Y1010" s="88"/>
      <c r="Z1010" s="88"/>
      <c r="AA1010" s="88"/>
      <c r="AB1010" s="88"/>
      <c r="AC1010" s="88"/>
      <c r="AD1010" s="88"/>
      <c r="AE1010" s="88"/>
      <c r="AF1010" s="88"/>
      <c r="AG1010" s="88"/>
      <c r="AH1010" s="88"/>
      <c r="AI1010" s="88"/>
      <c r="AJ1010" s="88"/>
    </row>
    <row r="1011" spans="1:36" ht="15">
      <c r="A1011" s="88" t="s">
        <v>351</v>
      </c>
      <c r="B1011" s="88" t="s">
        <v>475</v>
      </c>
      <c r="C1011" s="88" t="s">
        <v>7</v>
      </c>
      <c r="D1011" s="88" t="s">
        <v>3396</v>
      </c>
      <c r="E1011" s="88" t="s">
        <v>3397</v>
      </c>
      <c r="F1011" s="88"/>
      <c r="G1011" s="88"/>
      <c r="H1011" s="88"/>
      <c r="I1011" s="88"/>
      <c r="J1011" s="88"/>
      <c r="K1011" s="88"/>
      <c r="L1011" s="88"/>
      <c r="M1011" s="88"/>
      <c r="N1011" s="88"/>
      <c r="O1011" s="88"/>
      <c r="P1011" s="88"/>
      <c r="Q1011" s="88"/>
      <c r="R1011" s="88"/>
      <c r="S1011" s="88"/>
      <c r="T1011" s="88"/>
      <c r="U1011" s="88"/>
      <c r="V1011" s="88"/>
      <c r="W1011" s="88"/>
      <c r="X1011" s="88"/>
      <c r="Y1011" s="88"/>
      <c r="Z1011" s="88"/>
      <c r="AA1011" s="88"/>
      <c r="AB1011" s="88"/>
      <c r="AC1011" s="88"/>
      <c r="AD1011" s="88"/>
      <c r="AE1011" s="88"/>
      <c r="AF1011" s="88"/>
      <c r="AG1011" s="88"/>
      <c r="AH1011" s="88"/>
      <c r="AI1011" s="88"/>
      <c r="AJ1011" s="88"/>
    </row>
    <row r="1012" spans="1:36" ht="15">
      <c r="A1012" s="88" t="s">
        <v>351</v>
      </c>
      <c r="B1012" s="88" t="s">
        <v>426</v>
      </c>
      <c r="C1012" s="88" t="s">
        <v>7</v>
      </c>
      <c r="D1012" s="88" t="s">
        <v>3398</v>
      </c>
      <c r="E1012" s="88" t="s">
        <v>3399</v>
      </c>
      <c r="F1012" s="88"/>
      <c r="G1012" s="88"/>
      <c r="H1012" s="88"/>
      <c r="I1012" s="88"/>
      <c r="J1012" s="88"/>
      <c r="K1012" s="88"/>
      <c r="L1012" s="88"/>
      <c r="M1012" s="88"/>
      <c r="N1012" s="88"/>
      <c r="O1012" s="88"/>
      <c r="P1012" s="88"/>
      <c r="Q1012" s="88"/>
      <c r="R1012" s="88"/>
      <c r="S1012" s="88"/>
      <c r="T1012" s="88"/>
      <c r="U1012" s="88"/>
      <c r="V1012" s="88"/>
      <c r="W1012" s="88"/>
      <c r="X1012" s="88"/>
      <c r="Y1012" s="88"/>
      <c r="Z1012" s="88"/>
      <c r="AA1012" s="88"/>
      <c r="AB1012" s="88"/>
      <c r="AC1012" s="88"/>
      <c r="AD1012" s="88"/>
      <c r="AE1012" s="88"/>
      <c r="AF1012" s="88"/>
      <c r="AG1012" s="88"/>
      <c r="AH1012" s="88"/>
      <c r="AI1012" s="88"/>
      <c r="AJ1012" s="88"/>
    </row>
    <row r="1013" spans="1:36" ht="15">
      <c r="A1013" s="88" t="s">
        <v>351</v>
      </c>
      <c r="B1013" s="88" t="s">
        <v>327</v>
      </c>
      <c r="C1013" s="88" t="s">
        <v>7</v>
      </c>
      <c r="D1013" s="88" t="s">
        <v>3400</v>
      </c>
      <c r="E1013" s="88" t="s">
        <v>3401</v>
      </c>
      <c r="F1013" s="88"/>
      <c r="G1013" s="88"/>
      <c r="H1013" s="88"/>
      <c r="I1013" s="88"/>
      <c r="J1013" s="88"/>
      <c r="K1013" s="88"/>
      <c r="L1013" s="88"/>
      <c r="M1013" s="88"/>
      <c r="N1013" s="88"/>
      <c r="O1013" s="88"/>
      <c r="P1013" s="88"/>
      <c r="Q1013" s="88"/>
      <c r="R1013" s="88"/>
      <c r="S1013" s="88"/>
      <c r="T1013" s="88"/>
      <c r="U1013" s="88"/>
      <c r="V1013" s="88"/>
      <c r="W1013" s="88"/>
      <c r="X1013" s="88"/>
      <c r="Y1013" s="88"/>
      <c r="Z1013" s="88"/>
      <c r="AA1013" s="88"/>
      <c r="AB1013" s="88"/>
      <c r="AC1013" s="88"/>
      <c r="AD1013" s="88"/>
      <c r="AE1013" s="88"/>
      <c r="AF1013" s="88"/>
      <c r="AG1013" s="88"/>
      <c r="AH1013" s="88"/>
      <c r="AI1013" s="88"/>
      <c r="AJ1013" s="88"/>
    </row>
    <row r="1014" spans="1:36" ht="15">
      <c r="A1014" s="88" t="s">
        <v>351</v>
      </c>
      <c r="B1014" s="88" t="s">
        <v>564</v>
      </c>
      <c r="C1014" s="88" t="s">
        <v>7</v>
      </c>
      <c r="D1014" s="88" t="s">
        <v>3402</v>
      </c>
      <c r="E1014" s="88" t="s">
        <v>3403</v>
      </c>
      <c r="F1014" s="88"/>
      <c r="G1014" s="88"/>
      <c r="H1014" s="88"/>
      <c r="I1014" s="88"/>
      <c r="J1014" s="88"/>
      <c r="K1014" s="88"/>
      <c r="L1014" s="88"/>
      <c r="M1014" s="88"/>
      <c r="N1014" s="88"/>
      <c r="O1014" s="88"/>
      <c r="P1014" s="88"/>
      <c r="Q1014" s="88"/>
      <c r="R1014" s="88"/>
      <c r="S1014" s="88"/>
      <c r="T1014" s="88"/>
      <c r="U1014" s="88"/>
      <c r="V1014" s="88"/>
      <c r="W1014" s="88"/>
      <c r="X1014" s="88"/>
      <c r="Y1014" s="88"/>
      <c r="Z1014" s="88"/>
      <c r="AA1014" s="88"/>
      <c r="AB1014" s="88"/>
      <c r="AC1014" s="88"/>
      <c r="AD1014" s="88"/>
      <c r="AE1014" s="88"/>
      <c r="AF1014" s="88"/>
      <c r="AG1014" s="88"/>
      <c r="AH1014" s="88"/>
      <c r="AI1014" s="88"/>
      <c r="AJ1014" s="88"/>
    </row>
    <row r="1015" spans="1:36" ht="15">
      <c r="A1015" s="88" t="s">
        <v>351</v>
      </c>
      <c r="B1015" s="88" t="s">
        <v>592</v>
      </c>
      <c r="C1015" s="88" t="s">
        <v>7</v>
      </c>
      <c r="D1015" s="88" t="s">
        <v>3404</v>
      </c>
      <c r="E1015" s="88" t="s">
        <v>3405</v>
      </c>
      <c r="F1015" s="88"/>
      <c r="G1015" s="88"/>
      <c r="H1015" s="88"/>
      <c r="I1015" s="88"/>
      <c r="J1015" s="88"/>
      <c r="K1015" s="88"/>
      <c r="L1015" s="88"/>
      <c r="M1015" s="88"/>
      <c r="N1015" s="88"/>
      <c r="O1015" s="88"/>
      <c r="P1015" s="88"/>
      <c r="Q1015" s="88"/>
      <c r="R1015" s="88"/>
      <c r="S1015" s="88"/>
      <c r="T1015" s="88"/>
      <c r="U1015" s="88"/>
      <c r="V1015" s="88"/>
      <c r="W1015" s="88"/>
      <c r="X1015" s="88"/>
      <c r="Y1015" s="88"/>
      <c r="Z1015" s="88"/>
      <c r="AA1015" s="88"/>
      <c r="AB1015" s="88"/>
      <c r="AC1015" s="88"/>
      <c r="AD1015" s="88"/>
      <c r="AE1015" s="88"/>
      <c r="AF1015" s="88"/>
      <c r="AG1015" s="88"/>
      <c r="AH1015" s="88"/>
      <c r="AI1015" s="88"/>
      <c r="AJ1015" s="88"/>
    </row>
    <row r="1016" spans="1:36" ht="15">
      <c r="A1016" s="88" t="s">
        <v>351</v>
      </c>
      <c r="B1016" s="88" t="s">
        <v>617</v>
      </c>
      <c r="C1016" s="88" t="s">
        <v>7</v>
      </c>
      <c r="D1016" s="88" t="s">
        <v>3406</v>
      </c>
      <c r="E1016" s="88" t="s">
        <v>3407</v>
      </c>
      <c r="F1016" s="88"/>
      <c r="G1016" s="88"/>
      <c r="H1016" s="88"/>
      <c r="I1016" s="88"/>
      <c r="J1016" s="88"/>
      <c r="K1016" s="88"/>
      <c r="L1016" s="88"/>
      <c r="M1016" s="88"/>
      <c r="N1016" s="88"/>
      <c r="O1016" s="88"/>
      <c r="P1016" s="88"/>
      <c r="Q1016" s="88"/>
      <c r="R1016" s="88"/>
      <c r="S1016" s="88"/>
      <c r="T1016" s="88"/>
      <c r="U1016" s="88"/>
      <c r="V1016" s="88"/>
      <c r="W1016" s="88"/>
      <c r="X1016" s="88"/>
      <c r="Y1016" s="88"/>
      <c r="Z1016" s="88"/>
      <c r="AA1016" s="88"/>
      <c r="AB1016" s="88"/>
      <c r="AC1016" s="88"/>
      <c r="AD1016" s="88"/>
      <c r="AE1016" s="88"/>
      <c r="AF1016" s="88"/>
      <c r="AG1016" s="88"/>
      <c r="AH1016" s="88"/>
      <c r="AI1016" s="88"/>
      <c r="AJ1016" s="88"/>
    </row>
    <row r="1017" spans="1:36" ht="15">
      <c r="A1017" s="88" t="s">
        <v>351</v>
      </c>
      <c r="B1017" s="88" t="s">
        <v>644</v>
      </c>
      <c r="C1017" s="88" t="s">
        <v>7</v>
      </c>
      <c r="D1017" s="88" t="s">
        <v>3408</v>
      </c>
      <c r="E1017" s="88" t="s">
        <v>3409</v>
      </c>
      <c r="F1017" s="88"/>
      <c r="G1017" s="88"/>
      <c r="H1017" s="88"/>
      <c r="I1017" s="88"/>
      <c r="J1017" s="88"/>
      <c r="K1017" s="88"/>
      <c r="L1017" s="88"/>
      <c r="M1017" s="88"/>
      <c r="N1017" s="88"/>
      <c r="O1017" s="88"/>
      <c r="P1017" s="88"/>
      <c r="Q1017" s="88"/>
      <c r="R1017" s="88"/>
      <c r="S1017" s="88"/>
      <c r="T1017" s="88"/>
      <c r="U1017" s="88"/>
      <c r="V1017" s="88"/>
      <c r="W1017" s="88"/>
      <c r="X1017" s="88"/>
      <c r="Y1017" s="88"/>
      <c r="Z1017" s="88"/>
      <c r="AA1017" s="88"/>
      <c r="AB1017" s="88"/>
      <c r="AC1017" s="88"/>
      <c r="AD1017" s="88"/>
      <c r="AE1017" s="88"/>
      <c r="AF1017" s="88"/>
      <c r="AG1017" s="88"/>
      <c r="AH1017" s="88"/>
      <c r="AI1017" s="88"/>
      <c r="AJ1017" s="88"/>
    </row>
    <row r="1018" spans="1:36" ht="15">
      <c r="A1018" s="88" t="s">
        <v>351</v>
      </c>
      <c r="B1018" s="88" t="s">
        <v>670</v>
      </c>
      <c r="C1018" s="88" t="s">
        <v>7</v>
      </c>
      <c r="D1018" s="88" t="s">
        <v>3410</v>
      </c>
      <c r="E1018" s="88" t="s">
        <v>3411</v>
      </c>
      <c r="F1018" s="88"/>
      <c r="G1018" s="88"/>
      <c r="H1018" s="88"/>
      <c r="I1018" s="88"/>
      <c r="J1018" s="88"/>
      <c r="K1018" s="88"/>
      <c r="L1018" s="88"/>
      <c r="M1018" s="88"/>
      <c r="N1018" s="88"/>
      <c r="O1018" s="88"/>
      <c r="P1018" s="88"/>
      <c r="Q1018" s="88"/>
      <c r="R1018" s="88"/>
      <c r="S1018" s="88"/>
      <c r="T1018" s="88"/>
      <c r="U1018" s="88"/>
      <c r="V1018" s="88"/>
      <c r="W1018" s="88"/>
      <c r="X1018" s="88"/>
      <c r="Y1018" s="88"/>
      <c r="Z1018" s="88"/>
      <c r="AA1018" s="88"/>
      <c r="AB1018" s="88"/>
      <c r="AC1018" s="88"/>
      <c r="AD1018" s="88"/>
      <c r="AE1018" s="88"/>
      <c r="AF1018" s="88"/>
      <c r="AG1018" s="88"/>
      <c r="AH1018" s="88"/>
      <c r="AI1018" s="88"/>
      <c r="AJ1018" s="88"/>
    </row>
    <row r="1019" spans="1:36" ht="15">
      <c r="A1019" s="88" t="s">
        <v>351</v>
      </c>
      <c r="B1019" s="88" t="s">
        <v>451</v>
      </c>
      <c r="C1019" s="88" t="s">
        <v>7</v>
      </c>
      <c r="D1019" s="88" t="s">
        <v>3412</v>
      </c>
      <c r="E1019" s="88" t="s">
        <v>3413</v>
      </c>
      <c r="F1019" s="88"/>
      <c r="G1019" s="88"/>
      <c r="H1019" s="88"/>
      <c r="I1019" s="88"/>
      <c r="J1019" s="88"/>
      <c r="K1019" s="88"/>
      <c r="L1019" s="88"/>
      <c r="M1019" s="88"/>
      <c r="N1019" s="88"/>
      <c r="O1019" s="88"/>
      <c r="P1019" s="88"/>
      <c r="Q1019" s="88"/>
      <c r="R1019" s="88"/>
      <c r="S1019" s="88"/>
      <c r="T1019" s="88"/>
      <c r="U1019" s="88"/>
      <c r="V1019" s="88"/>
      <c r="W1019" s="88"/>
      <c r="X1019" s="88"/>
      <c r="Y1019" s="88"/>
      <c r="Z1019" s="88"/>
      <c r="AA1019" s="88"/>
      <c r="AB1019" s="88"/>
      <c r="AC1019" s="88"/>
      <c r="AD1019" s="88"/>
      <c r="AE1019" s="88"/>
      <c r="AF1019" s="88"/>
      <c r="AG1019" s="88"/>
      <c r="AH1019" s="88"/>
      <c r="AI1019" s="88"/>
      <c r="AJ1019" s="88"/>
    </row>
    <row r="1020" spans="1:36" ht="15">
      <c r="A1020" s="88" t="s">
        <v>351</v>
      </c>
      <c r="B1020" s="88" t="s">
        <v>718</v>
      </c>
      <c r="C1020" s="88" t="s">
        <v>7</v>
      </c>
      <c r="D1020" s="88" t="s">
        <v>3414</v>
      </c>
      <c r="E1020" s="88" t="s">
        <v>3415</v>
      </c>
      <c r="F1020" s="88"/>
      <c r="G1020" s="88"/>
      <c r="H1020" s="88"/>
      <c r="I1020" s="88"/>
      <c r="J1020" s="88"/>
      <c r="K1020" s="88"/>
      <c r="L1020" s="88"/>
      <c r="M1020" s="88"/>
      <c r="N1020" s="88"/>
      <c r="O1020" s="88"/>
      <c r="P1020" s="88"/>
      <c r="Q1020" s="88"/>
      <c r="R1020" s="88"/>
      <c r="S1020" s="88"/>
      <c r="T1020" s="88"/>
      <c r="U1020" s="88"/>
      <c r="V1020" s="88"/>
      <c r="W1020" s="88"/>
      <c r="X1020" s="88"/>
      <c r="Y1020" s="88"/>
      <c r="Z1020" s="88"/>
      <c r="AA1020" s="88"/>
      <c r="AB1020" s="88"/>
      <c r="AC1020" s="88"/>
      <c r="AD1020" s="88"/>
      <c r="AE1020" s="88"/>
      <c r="AF1020" s="88"/>
      <c r="AG1020" s="88"/>
      <c r="AH1020" s="88"/>
      <c r="AI1020" s="88"/>
      <c r="AJ1020" s="88"/>
    </row>
    <row r="1021" spans="1:36" ht="15">
      <c r="A1021" s="88" t="s">
        <v>351</v>
      </c>
      <c r="B1021" s="88" t="s">
        <v>741</v>
      </c>
      <c r="C1021" s="88" t="s">
        <v>7</v>
      </c>
      <c r="D1021" s="88" t="s">
        <v>3416</v>
      </c>
      <c r="E1021" s="88" t="s">
        <v>3417</v>
      </c>
      <c r="F1021" s="88"/>
      <c r="G1021" s="88"/>
      <c r="H1021" s="88"/>
      <c r="I1021" s="88"/>
      <c r="J1021" s="88"/>
      <c r="K1021" s="88"/>
      <c r="L1021" s="88"/>
      <c r="M1021" s="88"/>
      <c r="N1021" s="88"/>
      <c r="O1021" s="88"/>
      <c r="P1021" s="88"/>
      <c r="Q1021" s="88"/>
      <c r="R1021" s="88"/>
      <c r="S1021" s="88"/>
      <c r="T1021" s="88"/>
      <c r="U1021" s="88"/>
      <c r="V1021" s="88"/>
      <c r="W1021" s="88"/>
      <c r="X1021" s="88"/>
      <c r="Y1021" s="88"/>
      <c r="Z1021" s="88"/>
      <c r="AA1021" s="88"/>
      <c r="AB1021" s="88"/>
      <c r="AC1021" s="88"/>
      <c r="AD1021" s="88"/>
      <c r="AE1021" s="88"/>
      <c r="AF1021" s="88"/>
      <c r="AG1021" s="88"/>
      <c r="AH1021" s="88"/>
      <c r="AI1021" s="88"/>
      <c r="AJ1021" s="88"/>
    </row>
    <row r="1022" spans="1:36" ht="15">
      <c r="A1022" s="88" t="s">
        <v>351</v>
      </c>
      <c r="B1022" s="88" t="s">
        <v>764</v>
      </c>
      <c r="C1022" s="88" t="s">
        <v>7</v>
      </c>
      <c r="D1022" s="88" t="s">
        <v>3418</v>
      </c>
      <c r="E1022" s="88" t="s">
        <v>3419</v>
      </c>
      <c r="F1022" s="88"/>
      <c r="G1022" s="88"/>
      <c r="H1022" s="88"/>
      <c r="I1022" s="88"/>
      <c r="J1022" s="88"/>
      <c r="K1022" s="88"/>
      <c r="L1022" s="88"/>
      <c r="M1022" s="88"/>
      <c r="N1022" s="88"/>
      <c r="O1022" s="88"/>
      <c r="P1022" s="88"/>
      <c r="Q1022" s="88"/>
      <c r="R1022" s="88"/>
      <c r="S1022" s="88"/>
      <c r="T1022" s="88"/>
      <c r="U1022" s="88"/>
      <c r="V1022" s="88"/>
      <c r="W1022" s="88"/>
      <c r="X1022" s="88"/>
      <c r="Y1022" s="88"/>
      <c r="Z1022" s="88"/>
      <c r="AA1022" s="88"/>
      <c r="AB1022" s="88"/>
      <c r="AC1022" s="88"/>
      <c r="AD1022" s="88"/>
      <c r="AE1022" s="88"/>
      <c r="AF1022" s="88"/>
      <c r="AG1022" s="88"/>
      <c r="AH1022" s="88"/>
      <c r="AI1022" s="88"/>
      <c r="AJ1022" s="88"/>
    </row>
    <row r="1023" spans="1:36" ht="15">
      <c r="A1023" s="88" t="s">
        <v>351</v>
      </c>
      <c r="B1023" s="88" t="s">
        <v>786</v>
      </c>
      <c r="C1023" s="88" t="s">
        <v>7</v>
      </c>
      <c r="D1023" s="88" t="s">
        <v>3420</v>
      </c>
      <c r="E1023" s="88" t="s">
        <v>3421</v>
      </c>
      <c r="F1023" s="88"/>
      <c r="G1023" s="88"/>
      <c r="H1023" s="88"/>
      <c r="I1023" s="88"/>
      <c r="J1023" s="88"/>
      <c r="K1023" s="88"/>
      <c r="L1023" s="88"/>
      <c r="M1023" s="88"/>
      <c r="N1023" s="88"/>
      <c r="O1023" s="88"/>
      <c r="P1023" s="88"/>
      <c r="Q1023" s="88"/>
      <c r="R1023" s="88"/>
      <c r="S1023" s="88"/>
      <c r="T1023" s="88"/>
      <c r="U1023" s="88"/>
      <c r="V1023" s="88"/>
      <c r="W1023" s="88"/>
      <c r="X1023" s="88"/>
      <c r="Y1023" s="88"/>
      <c r="Z1023" s="88"/>
      <c r="AA1023" s="88"/>
      <c r="AB1023" s="88"/>
      <c r="AC1023" s="88"/>
      <c r="AD1023" s="88"/>
      <c r="AE1023" s="88"/>
      <c r="AF1023" s="88"/>
      <c r="AG1023" s="88"/>
      <c r="AH1023" s="88"/>
      <c r="AI1023" s="88"/>
      <c r="AJ1023" s="88"/>
    </row>
    <row r="1024" spans="1:36" ht="15">
      <c r="A1024" s="88" t="s">
        <v>351</v>
      </c>
      <c r="B1024" s="88" t="s">
        <v>807</v>
      </c>
      <c r="C1024" s="88" t="s">
        <v>7</v>
      </c>
      <c r="D1024" s="88" t="s">
        <v>3422</v>
      </c>
      <c r="E1024" s="88" t="s">
        <v>3423</v>
      </c>
      <c r="F1024" s="88"/>
      <c r="G1024" s="88"/>
      <c r="H1024" s="88"/>
      <c r="I1024" s="88"/>
      <c r="J1024" s="88"/>
      <c r="K1024" s="88"/>
      <c r="L1024" s="88"/>
      <c r="M1024" s="88"/>
      <c r="N1024" s="88"/>
      <c r="O1024" s="88"/>
      <c r="P1024" s="88"/>
      <c r="Q1024" s="88"/>
      <c r="R1024" s="88"/>
      <c r="S1024" s="88"/>
      <c r="T1024" s="88"/>
      <c r="U1024" s="88"/>
      <c r="V1024" s="88"/>
      <c r="W1024" s="88"/>
      <c r="X1024" s="88"/>
      <c r="Y1024" s="88"/>
      <c r="Z1024" s="88"/>
      <c r="AA1024" s="88"/>
      <c r="AB1024" s="88"/>
      <c r="AC1024" s="88"/>
      <c r="AD1024" s="88"/>
      <c r="AE1024" s="88"/>
      <c r="AF1024" s="88"/>
      <c r="AG1024" s="88"/>
      <c r="AH1024" s="88"/>
      <c r="AI1024" s="88"/>
      <c r="AJ1024" s="88"/>
    </row>
    <row r="1025" spans="1:36" ht="15">
      <c r="A1025" s="88" t="s">
        <v>351</v>
      </c>
      <c r="B1025" s="88" t="s">
        <v>829</v>
      </c>
      <c r="C1025" s="88" t="s">
        <v>7</v>
      </c>
      <c r="D1025" s="88" t="s">
        <v>3424</v>
      </c>
      <c r="E1025" s="88" t="s">
        <v>3425</v>
      </c>
      <c r="F1025" s="88"/>
      <c r="G1025" s="88"/>
      <c r="H1025" s="88"/>
      <c r="I1025" s="88"/>
      <c r="J1025" s="88"/>
      <c r="K1025" s="88"/>
      <c r="L1025" s="88"/>
      <c r="M1025" s="88"/>
      <c r="N1025" s="88"/>
      <c r="O1025" s="88"/>
      <c r="P1025" s="88"/>
      <c r="Q1025" s="88"/>
      <c r="R1025" s="88"/>
      <c r="S1025" s="88"/>
      <c r="T1025" s="88"/>
      <c r="U1025" s="88"/>
      <c r="V1025" s="88"/>
      <c r="W1025" s="88"/>
      <c r="X1025" s="88"/>
      <c r="Y1025" s="88"/>
      <c r="Z1025" s="88"/>
      <c r="AA1025" s="88"/>
      <c r="AB1025" s="88"/>
      <c r="AC1025" s="88"/>
      <c r="AD1025" s="88"/>
      <c r="AE1025" s="88"/>
      <c r="AF1025" s="88"/>
      <c r="AG1025" s="88"/>
      <c r="AH1025" s="88"/>
      <c r="AI1025" s="88"/>
      <c r="AJ1025" s="88"/>
    </row>
    <row r="1026" spans="1:36" ht="15">
      <c r="A1026" s="88" t="s">
        <v>351</v>
      </c>
      <c r="B1026" s="88" t="s">
        <v>850</v>
      </c>
      <c r="C1026" s="88" t="s">
        <v>7</v>
      </c>
      <c r="D1026" s="88" t="s">
        <v>3426</v>
      </c>
      <c r="E1026" s="88" t="s">
        <v>3427</v>
      </c>
      <c r="F1026" s="88"/>
      <c r="G1026" s="88"/>
      <c r="H1026" s="88"/>
      <c r="I1026" s="88"/>
      <c r="J1026" s="88"/>
      <c r="K1026" s="88"/>
      <c r="L1026" s="88"/>
      <c r="M1026" s="88"/>
      <c r="N1026" s="88"/>
      <c r="O1026" s="88"/>
      <c r="P1026" s="88"/>
      <c r="Q1026" s="88"/>
      <c r="R1026" s="88"/>
      <c r="S1026" s="88"/>
      <c r="T1026" s="88"/>
      <c r="U1026" s="88"/>
      <c r="V1026" s="88"/>
      <c r="W1026" s="88"/>
      <c r="X1026" s="88"/>
      <c r="Y1026" s="88"/>
      <c r="Z1026" s="88"/>
      <c r="AA1026" s="88"/>
      <c r="AB1026" s="88"/>
      <c r="AC1026" s="88"/>
      <c r="AD1026" s="88"/>
      <c r="AE1026" s="88"/>
      <c r="AF1026" s="88"/>
      <c r="AG1026" s="88"/>
      <c r="AH1026" s="88"/>
      <c r="AI1026" s="88"/>
      <c r="AJ1026" s="88"/>
    </row>
    <row r="1027" spans="1:36" ht="15">
      <c r="A1027" s="88" t="s">
        <v>351</v>
      </c>
      <c r="B1027" s="88" t="s">
        <v>869</v>
      </c>
      <c r="C1027" s="88" t="s">
        <v>7</v>
      </c>
      <c r="D1027" s="88" t="s">
        <v>3428</v>
      </c>
      <c r="E1027" s="88" t="s">
        <v>3429</v>
      </c>
      <c r="F1027" s="88"/>
      <c r="G1027" s="88"/>
      <c r="H1027" s="88"/>
      <c r="I1027" s="88"/>
      <c r="J1027" s="88"/>
      <c r="K1027" s="88"/>
      <c r="L1027" s="88"/>
      <c r="M1027" s="88"/>
      <c r="N1027" s="88"/>
      <c r="O1027" s="88"/>
      <c r="P1027" s="88"/>
      <c r="Q1027" s="88"/>
      <c r="R1027" s="88"/>
      <c r="S1027" s="88"/>
      <c r="T1027" s="88"/>
      <c r="U1027" s="88"/>
      <c r="V1027" s="88"/>
      <c r="W1027" s="88"/>
      <c r="X1027" s="88"/>
      <c r="Y1027" s="88"/>
      <c r="Z1027" s="88"/>
      <c r="AA1027" s="88"/>
      <c r="AB1027" s="88"/>
      <c r="AC1027" s="88"/>
      <c r="AD1027" s="88"/>
      <c r="AE1027" s="88"/>
      <c r="AF1027" s="88"/>
      <c r="AG1027" s="88"/>
      <c r="AH1027" s="88"/>
      <c r="AI1027" s="88"/>
      <c r="AJ1027" s="88"/>
    </row>
    <row r="1028" spans="1:36" ht="15">
      <c r="A1028" s="88" t="s">
        <v>351</v>
      </c>
      <c r="B1028" s="88" t="s">
        <v>889</v>
      </c>
      <c r="C1028" s="88" t="s">
        <v>7</v>
      </c>
      <c r="D1028" s="88" t="s">
        <v>3430</v>
      </c>
      <c r="E1028" s="88" t="s">
        <v>3431</v>
      </c>
      <c r="F1028" s="88"/>
      <c r="G1028" s="88"/>
      <c r="H1028" s="88"/>
      <c r="I1028" s="88"/>
      <c r="J1028" s="88"/>
      <c r="K1028" s="88"/>
      <c r="L1028" s="88"/>
      <c r="M1028" s="88"/>
      <c r="N1028" s="88"/>
      <c r="O1028" s="88"/>
      <c r="P1028" s="88"/>
      <c r="Q1028" s="88"/>
      <c r="R1028" s="88"/>
      <c r="S1028" s="88"/>
      <c r="T1028" s="88"/>
      <c r="U1028" s="88"/>
      <c r="V1028" s="88"/>
      <c r="W1028" s="88"/>
      <c r="X1028" s="88"/>
      <c r="Y1028" s="88"/>
      <c r="Z1028" s="88"/>
      <c r="AA1028" s="88"/>
      <c r="AB1028" s="88"/>
      <c r="AC1028" s="88"/>
      <c r="AD1028" s="88"/>
      <c r="AE1028" s="88"/>
      <c r="AF1028" s="88"/>
      <c r="AG1028" s="88"/>
      <c r="AH1028" s="88"/>
      <c r="AI1028" s="88"/>
      <c r="AJ1028" s="88"/>
    </row>
    <row r="1029" spans="1:36" ht="15">
      <c r="A1029" s="88" t="s">
        <v>351</v>
      </c>
      <c r="B1029" s="88" t="s">
        <v>908</v>
      </c>
      <c r="C1029" s="88" t="s">
        <v>7</v>
      </c>
      <c r="D1029" s="88" t="s">
        <v>3432</v>
      </c>
      <c r="E1029" s="88" t="s">
        <v>3433</v>
      </c>
      <c r="F1029" s="88"/>
      <c r="G1029" s="88"/>
      <c r="H1029" s="88"/>
      <c r="I1029" s="88"/>
      <c r="J1029" s="88"/>
      <c r="K1029" s="88"/>
      <c r="L1029" s="88"/>
      <c r="M1029" s="88"/>
      <c r="N1029" s="88"/>
      <c r="O1029" s="88"/>
      <c r="P1029" s="88"/>
      <c r="Q1029" s="88"/>
      <c r="R1029" s="88"/>
      <c r="S1029" s="88"/>
      <c r="T1029" s="88"/>
      <c r="U1029" s="88"/>
      <c r="V1029" s="88"/>
      <c r="W1029" s="88"/>
      <c r="X1029" s="88"/>
      <c r="Y1029" s="88"/>
      <c r="Z1029" s="88"/>
      <c r="AA1029" s="88"/>
      <c r="AB1029" s="88"/>
      <c r="AC1029" s="88"/>
      <c r="AD1029" s="88"/>
      <c r="AE1029" s="88"/>
      <c r="AF1029" s="88"/>
      <c r="AG1029" s="88"/>
      <c r="AH1029" s="88"/>
      <c r="AI1029" s="88"/>
      <c r="AJ1029" s="88"/>
    </row>
    <row r="1030" spans="1:36" ht="15">
      <c r="A1030" s="88" t="s">
        <v>351</v>
      </c>
      <c r="B1030" s="88" t="s">
        <v>926</v>
      </c>
      <c r="C1030" s="88" t="s">
        <v>7</v>
      </c>
      <c r="D1030" s="88" t="s">
        <v>3434</v>
      </c>
      <c r="E1030" s="88" t="s">
        <v>3435</v>
      </c>
      <c r="F1030" s="88"/>
      <c r="G1030" s="88"/>
      <c r="H1030" s="88"/>
      <c r="I1030" s="88"/>
      <c r="J1030" s="88"/>
      <c r="K1030" s="88"/>
      <c r="L1030" s="88"/>
      <c r="M1030" s="88"/>
      <c r="N1030" s="88"/>
      <c r="O1030" s="88"/>
      <c r="P1030" s="88"/>
      <c r="Q1030" s="88"/>
      <c r="R1030" s="88"/>
      <c r="S1030" s="88"/>
      <c r="T1030" s="88"/>
      <c r="U1030" s="88"/>
      <c r="V1030" s="88"/>
      <c r="W1030" s="88"/>
      <c r="X1030" s="88"/>
      <c r="Y1030" s="88"/>
      <c r="Z1030" s="88"/>
      <c r="AA1030" s="88"/>
      <c r="AB1030" s="88"/>
      <c r="AC1030" s="88"/>
      <c r="AD1030" s="88"/>
      <c r="AE1030" s="88"/>
      <c r="AF1030" s="88"/>
      <c r="AG1030" s="88"/>
      <c r="AH1030" s="88"/>
      <c r="AI1030" s="88"/>
      <c r="AJ1030" s="88"/>
    </row>
    <row r="1031" spans="1:36" ht="15">
      <c r="A1031" s="88" t="s">
        <v>351</v>
      </c>
      <c r="B1031" s="88" t="s">
        <v>668</v>
      </c>
      <c r="C1031" s="88" t="s">
        <v>7</v>
      </c>
      <c r="D1031" s="88" t="s">
        <v>3436</v>
      </c>
      <c r="E1031" s="88" t="s">
        <v>3437</v>
      </c>
      <c r="F1031" s="88"/>
      <c r="G1031" s="88"/>
      <c r="H1031" s="88"/>
      <c r="I1031" s="88"/>
      <c r="J1031" s="88"/>
      <c r="K1031" s="88"/>
      <c r="L1031" s="88"/>
      <c r="M1031" s="88"/>
      <c r="N1031" s="88"/>
      <c r="O1031" s="88"/>
      <c r="P1031" s="88"/>
      <c r="Q1031" s="88"/>
      <c r="R1031" s="88"/>
      <c r="S1031" s="88"/>
      <c r="T1031" s="88"/>
      <c r="U1031" s="88"/>
      <c r="V1031" s="88"/>
      <c r="W1031" s="88"/>
      <c r="X1031" s="88"/>
      <c r="Y1031" s="88"/>
      <c r="Z1031" s="88"/>
      <c r="AA1031" s="88"/>
      <c r="AB1031" s="88"/>
      <c r="AC1031" s="88"/>
      <c r="AD1031" s="88"/>
      <c r="AE1031" s="88"/>
      <c r="AF1031" s="88"/>
      <c r="AG1031" s="88"/>
      <c r="AH1031" s="88"/>
      <c r="AI1031" s="88"/>
      <c r="AJ1031" s="88"/>
    </row>
    <row r="1032" spans="1:36" ht="15">
      <c r="A1032" s="88" t="s">
        <v>351</v>
      </c>
      <c r="B1032" s="88" t="s">
        <v>481</v>
      </c>
      <c r="C1032" s="88" t="s">
        <v>7</v>
      </c>
      <c r="D1032" s="88" t="s">
        <v>3438</v>
      </c>
      <c r="E1032" s="88" t="s">
        <v>3439</v>
      </c>
      <c r="F1032" s="88"/>
      <c r="G1032" s="88"/>
      <c r="H1032" s="88"/>
      <c r="I1032" s="88"/>
      <c r="J1032" s="88"/>
      <c r="K1032" s="88"/>
      <c r="L1032" s="88"/>
      <c r="M1032" s="88"/>
      <c r="N1032" s="88"/>
      <c r="O1032" s="88"/>
      <c r="P1032" s="88"/>
      <c r="Q1032" s="88"/>
      <c r="R1032" s="88"/>
      <c r="S1032" s="88"/>
      <c r="T1032" s="88"/>
      <c r="U1032" s="88"/>
      <c r="V1032" s="88"/>
      <c r="W1032" s="88"/>
      <c r="X1032" s="88"/>
      <c r="Y1032" s="88"/>
      <c r="Z1032" s="88"/>
      <c r="AA1032" s="88"/>
      <c r="AB1032" s="88"/>
      <c r="AC1032" s="88"/>
      <c r="AD1032" s="88"/>
      <c r="AE1032" s="88"/>
      <c r="AF1032" s="88"/>
      <c r="AG1032" s="88"/>
      <c r="AH1032" s="88"/>
      <c r="AI1032" s="88"/>
      <c r="AJ1032" s="88"/>
    </row>
    <row r="1033" spans="1:36" ht="15">
      <c r="A1033" s="88" t="s">
        <v>351</v>
      </c>
      <c r="B1033" s="88" t="s">
        <v>979</v>
      </c>
      <c r="C1033" s="88" t="s">
        <v>7</v>
      </c>
      <c r="D1033" s="88" t="s">
        <v>3440</v>
      </c>
      <c r="E1033" s="88" t="s">
        <v>3441</v>
      </c>
      <c r="F1033" s="88"/>
      <c r="G1033" s="88"/>
      <c r="H1033" s="88"/>
      <c r="I1033" s="88"/>
      <c r="J1033" s="88"/>
      <c r="K1033" s="88"/>
      <c r="L1033" s="88"/>
      <c r="M1033" s="88"/>
      <c r="N1033" s="88"/>
      <c r="O1033" s="88"/>
      <c r="P1033" s="88"/>
      <c r="Q1033" s="88"/>
      <c r="R1033" s="88"/>
      <c r="S1033" s="88"/>
      <c r="T1033" s="88"/>
      <c r="U1033" s="88"/>
      <c r="V1033" s="88"/>
      <c r="W1033" s="88"/>
      <c r="X1033" s="88"/>
      <c r="Y1033" s="88"/>
      <c r="Z1033" s="88"/>
      <c r="AA1033" s="88"/>
      <c r="AB1033" s="88"/>
      <c r="AC1033" s="88"/>
      <c r="AD1033" s="88"/>
      <c r="AE1033" s="88"/>
      <c r="AF1033" s="88"/>
      <c r="AG1033" s="88"/>
      <c r="AH1033" s="88"/>
      <c r="AI1033" s="88"/>
      <c r="AJ1033" s="88"/>
    </row>
    <row r="1034" spans="1:36" ht="15">
      <c r="A1034" s="88" t="s">
        <v>351</v>
      </c>
      <c r="B1034" s="88" t="s">
        <v>997</v>
      </c>
      <c r="C1034" s="88" t="s">
        <v>7</v>
      </c>
      <c r="D1034" s="88" t="s">
        <v>3442</v>
      </c>
      <c r="E1034" s="88" t="s">
        <v>3443</v>
      </c>
      <c r="F1034" s="88"/>
      <c r="G1034" s="88"/>
      <c r="H1034" s="88"/>
      <c r="I1034" s="88"/>
      <c r="J1034" s="88"/>
      <c r="K1034" s="88"/>
      <c r="L1034" s="88"/>
      <c r="M1034" s="88"/>
      <c r="N1034" s="88"/>
      <c r="O1034" s="88"/>
      <c r="P1034" s="88"/>
      <c r="Q1034" s="88"/>
      <c r="R1034" s="88"/>
      <c r="S1034" s="88"/>
      <c r="T1034" s="88"/>
      <c r="U1034" s="88"/>
      <c r="V1034" s="88"/>
      <c r="W1034" s="88"/>
      <c r="X1034" s="88"/>
      <c r="Y1034" s="88"/>
      <c r="Z1034" s="88"/>
      <c r="AA1034" s="88"/>
      <c r="AB1034" s="88"/>
      <c r="AC1034" s="88"/>
      <c r="AD1034" s="88"/>
      <c r="AE1034" s="88"/>
      <c r="AF1034" s="88"/>
      <c r="AG1034" s="88"/>
      <c r="AH1034" s="88"/>
      <c r="AI1034" s="88"/>
      <c r="AJ1034" s="88"/>
    </row>
    <row r="1035" spans="1:36" ht="15">
      <c r="A1035" s="88" t="s">
        <v>351</v>
      </c>
      <c r="B1035" s="88" t="s">
        <v>1011</v>
      </c>
      <c r="C1035" s="88" t="s">
        <v>7</v>
      </c>
      <c r="D1035" s="88" t="s">
        <v>3444</v>
      </c>
      <c r="E1035" s="88" t="s">
        <v>3445</v>
      </c>
      <c r="F1035" s="88"/>
      <c r="G1035" s="88"/>
      <c r="H1035" s="88"/>
      <c r="I1035" s="88"/>
      <c r="J1035" s="88"/>
      <c r="K1035" s="88"/>
      <c r="L1035" s="88"/>
      <c r="M1035" s="88"/>
      <c r="N1035" s="88"/>
      <c r="O1035" s="88"/>
      <c r="P1035" s="88"/>
      <c r="Q1035" s="88"/>
      <c r="R1035" s="88"/>
      <c r="S1035" s="88"/>
      <c r="T1035" s="88"/>
      <c r="U1035" s="88"/>
      <c r="V1035" s="88"/>
      <c r="W1035" s="88"/>
      <c r="X1035" s="88"/>
      <c r="Y1035" s="88"/>
      <c r="Z1035" s="88"/>
      <c r="AA1035" s="88"/>
      <c r="AB1035" s="88"/>
      <c r="AC1035" s="88"/>
      <c r="AD1035" s="88"/>
      <c r="AE1035" s="88"/>
      <c r="AF1035" s="88"/>
      <c r="AG1035" s="88"/>
      <c r="AH1035" s="88"/>
      <c r="AI1035" s="88"/>
      <c r="AJ1035" s="88"/>
    </row>
    <row r="1036" spans="1:36" ht="15">
      <c r="A1036" s="88" t="s">
        <v>351</v>
      </c>
      <c r="B1036" s="88" t="s">
        <v>939</v>
      </c>
      <c r="C1036" s="88" t="s">
        <v>7</v>
      </c>
      <c r="D1036" s="88" t="s">
        <v>3446</v>
      </c>
      <c r="E1036" s="88" t="s">
        <v>3447</v>
      </c>
      <c r="F1036" s="88"/>
      <c r="G1036" s="88"/>
      <c r="H1036" s="88"/>
      <c r="I1036" s="88"/>
      <c r="J1036" s="88"/>
      <c r="K1036" s="88"/>
      <c r="L1036" s="88"/>
      <c r="M1036" s="88"/>
      <c r="N1036" s="88"/>
      <c r="O1036" s="88"/>
      <c r="P1036" s="88"/>
      <c r="Q1036" s="88"/>
      <c r="R1036" s="88"/>
      <c r="S1036" s="88"/>
      <c r="T1036" s="88"/>
      <c r="U1036" s="88"/>
      <c r="V1036" s="88"/>
      <c r="W1036" s="88"/>
      <c r="X1036" s="88"/>
      <c r="Y1036" s="88"/>
      <c r="Z1036" s="88"/>
      <c r="AA1036" s="88"/>
      <c r="AB1036" s="88"/>
      <c r="AC1036" s="88"/>
      <c r="AD1036" s="88"/>
      <c r="AE1036" s="88"/>
      <c r="AF1036" s="88"/>
      <c r="AG1036" s="88"/>
      <c r="AH1036" s="88"/>
      <c r="AI1036" s="88"/>
      <c r="AJ1036" s="88"/>
    </row>
    <row r="1037" spans="1:36" ht="15">
      <c r="A1037" s="88" t="s">
        <v>351</v>
      </c>
      <c r="B1037" s="88" t="s">
        <v>1043</v>
      </c>
      <c r="C1037" s="88" t="s">
        <v>7</v>
      </c>
      <c r="D1037" s="88" t="s">
        <v>3448</v>
      </c>
      <c r="E1037" s="88" t="s">
        <v>3449</v>
      </c>
      <c r="F1037" s="88"/>
      <c r="G1037" s="88"/>
      <c r="H1037" s="88"/>
      <c r="I1037" s="88"/>
      <c r="J1037" s="88"/>
      <c r="K1037" s="88"/>
      <c r="L1037" s="88"/>
      <c r="M1037" s="88"/>
      <c r="N1037" s="88"/>
      <c r="O1037" s="88"/>
      <c r="P1037" s="88"/>
      <c r="Q1037" s="88"/>
      <c r="R1037" s="88"/>
      <c r="S1037" s="88"/>
      <c r="T1037" s="88"/>
      <c r="U1037" s="88"/>
      <c r="V1037" s="88"/>
      <c r="W1037" s="88"/>
      <c r="X1037" s="88"/>
      <c r="Y1037" s="88"/>
      <c r="Z1037" s="88"/>
      <c r="AA1037" s="88"/>
      <c r="AB1037" s="88"/>
      <c r="AC1037" s="88"/>
      <c r="AD1037" s="88"/>
      <c r="AE1037" s="88"/>
      <c r="AF1037" s="88"/>
      <c r="AG1037" s="88"/>
      <c r="AH1037" s="88"/>
      <c r="AI1037" s="88"/>
      <c r="AJ1037" s="88"/>
    </row>
    <row r="1038" spans="1:36" ht="15">
      <c r="A1038" s="88" t="s">
        <v>351</v>
      </c>
      <c r="B1038" s="88" t="s">
        <v>1057</v>
      </c>
      <c r="C1038" s="88" t="s">
        <v>7</v>
      </c>
      <c r="D1038" s="88" t="s">
        <v>3450</v>
      </c>
      <c r="E1038" s="88" t="s">
        <v>3451</v>
      </c>
      <c r="F1038" s="88"/>
      <c r="G1038" s="88"/>
      <c r="H1038" s="88"/>
      <c r="I1038" s="88"/>
      <c r="J1038" s="88"/>
      <c r="K1038" s="88"/>
      <c r="L1038" s="88"/>
      <c r="M1038" s="88"/>
      <c r="N1038" s="88"/>
      <c r="O1038" s="88"/>
      <c r="P1038" s="88"/>
      <c r="Q1038" s="88"/>
      <c r="R1038" s="88"/>
      <c r="S1038" s="88"/>
      <c r="T1038" s="88"/>
      <c r="U1038" s="88"/>
      <c r="V1038" s="88"/>
      <c r="W1038" s="88"/>
      <c r="X1038" s="88"/>
      <c r="Y1038" s="88"/>
      <c r="Z1038" s="88"/>
      <c r="AA1038" s="88"/>
      <c r="AB1038" s="88"/>
      <c r="AC1038" s="88"/>
      <c r="AD1038" s="88"/>
      <c r="AE1038" s="88"/>
      <c r="AF1038" s="88"/>
      <c r="AG1038" s="88"/>
      <c r="AH1038" s="88"/>
      <c r="AI1038" s="88"/>
      <c r="AJ1038" s="88"/>
    </row>
    <row r="1039" spans="1:36" ht="15">
      <c r="A1039" s="88" t="s">
        <v>351</v>
      </c>
      <c r="B1039" s="88" t="s">
        <v>906</v>
      </c>
      <c r="C1039" s="88" t="s">
        <v>7</v>
      </c>
      <c r="D1039" s="88" t="s">
        <v>3452</v>
      </c>
      <c r="E1039" s="88" t="s">
        <v>3453</v>
      </c>
      <c r="F1039" s="88"/>
      <c r="G1039" s="88"/>
      <c r="H1039" s="88"/>
      <c r="I1039" s="88"/>
      <c r="J1039" s="88"/>
      <c r="K1039" s="88"/>
      <c r="L1039" s="88"/>
      <c r="M1039" s="88"/>
      <c r="N1039" s="88"/>
      <c r="O1039" s="88"/>
      <c r="P1039" s="88"/>
      <c r="Q1039" s="88"/>
      <c r="R1039" s="88"/>
      <c r="S1039" s="88"/>
      <c r="T1039" s="88"/>
      <c r="U1039" s="88"/>
      <c r="V1039" s="88"/>
      <c r="W1039" s="88"/>
      <c r="X1039" s="88"/>
      <c r="Y1039" s="88"/>
      <c r="Z1039" s="88"/>
      <c r="AA1039" s="88"/>
      <c r="AB1039" s="88"/>
      <c r="AC1039" s="88"/>
      <c r="AD1039" s="88"/>
      <c r="AE1039" s="88"/>
      <c r="AF1039" s="88"/>
      <c r="AG1039" s="88"/>
      <c r="AH1039" s="88"/>
      <c r="AI1039" s="88"/>
      <c r="AJ1039" s="88"/>
    </row>
    <row r="1040" spans="1:36" ht="15">
      <c r="A1040" s="88" t="s">
        <v>351</v>
      </c>
      <c r="B1040" s="88" t="s">
        <v>1080</v>
      </c>
      <c r="C1040" s="88" t="s">
        <v>7</v>
      </c>
      <c r="D1040" s="88" t="s">
        <v>3454</v>
      </c>
      <c r="E1040" s="88" t="s">
        <v>3455</v>
      </c>
      <c r="F1040" s="88"/>
      <c r="G1040" s="88"/>
      <c r="H1040" s="88"/>
      <c r="I1040" s="88"/>
      <c r="J1040" s="88"/>
      <c r="K1040" s="88"/>
      <c r="L1040" s="88"/>
      <c r="M1040" s="88"/>
      <c r="N1040" s="88"/>
      <c r="O1040" s="88"/>
      <c r="P1040" s="88"/>
      <c r="Q1040" s="88"/>
      <c r="R1040" s="88"/>
      <c r="S1040" s="88"/>
      <c r="T1040" s="88"/>
      <c r="U1040" s="88"/>
      <c r="V1040" s="88"/>
      <c r="W1040" s="88"/>
      <c r="X1040" s="88"/>
      <c r="Y1040" s="88"/>
      <c r="Z1040" s="88"/>
      <c r="AA1040" s="88"/>
      <c r="AB1040" s="88"/>
      <c r="AC1040" s="88"/>
      <c r="AD1040" s="88"/>
      <c r="AE1040" s="88"/>
      <c r="AF1040" s="88"/>
      <c r="AG1040" s="88"/>
      <c r="AH1040" s="88"/>
      <c r="AI1040" s="88"/>
      <c r="AJ1040" s="88"/>
    </row>
    <row r="1041" spans="1:36" ht="15">
      <c r="A1041" s="88" t="s">
        <v>351</v>
      </c>
      <c r="B1041" s="88" t="s">
        <v>1093</v>
      </c>
      <c r="C1041" s="88" t="s">
        <v>7</v>
      </c>
      <c r="D1041" s="88" t="s">
        <v>3456</v>
      </c>
      <c r="E1041" s="88" t="s">
        <v>3457</v>
      </c>
      <c r="F1041" s="88"/>
      <c r="G1041" s="88"/>
      <c r="H1041" s="88"/>
      <c r="I1041" s="88"/>
      <c r="J1041" s="88"/>
      <c r="K1041" s="88"/>
      <c r="L1041" s="88"/>
      <c r="M1041" s="88"/>
      <c r="N1041" s="88"/>
      <c r="O1041" s="88"/>
      <c r="P1041" s="88"/>
      <c r="Q1041" s="88"/>
      <c r="R1041" s="88"/>
      <c r="S1041" s="88"/>
      <c r="T1041" s="88"/>
      <c r="U1041" s="88"/>
      <c r="V1041" s="88"/>
      <c r="W1041" s="88"/>
      <c r="X1041" s="88"/>
      <c r="Y1041" s="88"/>
      <c r="Z1041" s="88"/>
      <c r="AA1041" s="88"/>
      <c r="AB1041" s="88"/>
      <c r="AC1041" s="88"/>
      <c r="AD1041" s="88"/>
      <c r="AE1041" s="88"/>
      <c r="AF1041" s="88"/>
      <c r="AG1041" s="88"/>
      <c r="AH1041" s="88"/>
      <c r="AI1041" s="88"/>
      <c r="AJ1041" s="88"/>
    </row>
    <row r="1042" spans="1:36" ht="15">
      <c r="A1042" s="88" t="s">
        <v>351</v>
      </c>
      <c r="B1042" s="88" t="s">
        <v>1106</v>
      </c>
      <c r="C1042" s="88" t="s">
        <v>7</v>
      </c>
      <c r="D1042" s="88" t="s">
        <v>3458</v>
      </c>
      <c r="E1042" s="88" t="s">
        <v>3459</v>
      </c>
      <c r="F1042" s="88"/>
      <c r="G1042" s="88"/>
      <c r="H1042" s="88"/>
      <c r="I1042" s="88"/>
      <c r="J1042" s="88"/>
      <c r="K1042" s="88"/>
      <c r="L1042" s="88"/>
      <c r="M1042" s="88"/>
      <c r="N1042" s="88"/>
      <c r="O1042" s="88"/>
      <c r="P1042" s="88"/>
      <c r="Q1042" s="88"/>
      <c r="R1042" s="88"/>
      <c r="S1042" s="88"/>
      <c r="T1042" s="88"/>
      <c r="U1042" s="88"/>
      <c r="V1042" s="88"/>
      <c r="W1042" s="88"/>
      <c r="X1042" s="88"/>
      <c r="Y1042" s="88"/>
      <c r="Z1042" s="88"/>
      <c r="AA1042" s="88"/>
      <c r="AB1042" s="88"/>
      <c r="AC1042" s="88"/>
      <c r="AD1042" s="88"/>
      <c r="AE1042" s="88"/>
      <c r="AF1042" s="88"/>
      <c r="AG1042" s="88"/>
      <c r="AH1042" s="88"/>
      <c r="AI1042" s="88"/>
      <c r="AJ1042" s="88"/>
    </row>
    <row r="1043" spans="1:36" ht="15">
      <c r="A1043" s="88" t="s">
        <v>351</v>
      </c>
      <c r="B1043" s="88" t="s">
        <v>1119</v>
      </c>
      <c r="C1043" s="88" t="s">
        <v>7</v>
      </c>
      <c r="D1043" s="88" t="s">
        <v>3460</v>
      </c>
      <c r="E1043" s="88" t="s">
        <v>3461</v>
      </c>
      <c r="F1043" s="88"/>
      <c r="G1043" s="88"/>
      <c r="H1043" s="88"/>
      <c r="I1043" s="88"/>
      <c r="J1043" s="88"/>
      <c r="K1043" s="88"/>
      <c r="L1043" s="88"/>
      <c r="M1043" s="88"/>
      <c r="N1043" s="88"/>
      <c r="O1043" s="88"/>
      <c r="P1043" s="88"/>
      <c r="Q1043" s="88"/>
      <c r="R1043" s="88"/>
      <c r="S1043" s="88"/>
      <c r="T1043" s="88"/>
      <c r="U1043" s="88"/>
      <c r="V1043" s="88"/>
      <c r="W1043" s="88"/>
      <c r="X1043" s="88"/>
      <c r="Y1043" s="88"/>
      <c r="Z1043" s="88"/>
      <c r="AA1043" s="88"/>
      <c r="AB1043" s="88"/>
      <c r="AC1043" s="88"/>
      <c r="AD1043" s="88"/>
      <c r="AE1043" s="88"/>
      <c r="AF1043" s="88"/>
      <c r="AG1043" s="88"/>
      <c r="AH1043" s="88"/>
      <c r="AI1043" s="88"/>
      <c r="AJ1043" s="88"/>
    </row>
    <row r="1044" spans="1:36" ht="15">
      <c r="A1044" s="88" t="s">
        <v>351</v>
      </c>
      <c r="B1044" s="88" t="s">
        <v>1129</v>
      </c>
      <c r="C1044" s="88" t="s">
        <v>7</v>
      </c>
      <c r="D1044" s="88" t="s">
        <v>3462</v>
      </c>
      <c r="E1044" s="88" t="s">
        <v>3463</v>
      </c>
      <c r="F1044" s="88"/>
      <c r="G1044" s="88"/>
      <c r="H1044" s="88"/>
      <c r="I1044" s="88"/>
      <c r="J1044" s="88"/>
      <c r="K1044" s="88"/>
      <c r="L1044" s="88"/>
      <c r="M1044" s="88"/>
      <c r="N1044" s="88"/>
      <c r="O1044" s="88"/>
      <c r="P1044" s="88"/>
      <c r="Q1044" s="88"/>
      <c r="R1044" s="88"/>
      <c r="S1044" s="88"/>
      <c r="T1044" s="88"/>
      <c r="U1044" s="88"/>
      <c r="V1044" s="88"/>
      <c r="W1044" s="88"/>
      <c r="X1044" s="88"/>
      <c r="Y1044" s="88"/>
      <c r="Z1044" s="88"/>
      <c r="AA1044" s="88"/>
      <c r="AB1044" s="88"/>
      <c r="AC1044" s="88"/>
      <c r="AD1044" s="88"/>
      <c r="AE1044" s="88"/>
      <c r="AF1044" s="88"/>
      <c r="AG1044" s="88"/>
      <c r="AH1044" s="88"/>
      <c r="AI1044" s="88"/>
      <c r="AJ1044" s="88"/>
    </row>
    <row r="1045" spans="1:36" ht="15">
      <c r="A1045" s="88" t="s">
        <v>351</v>
      </c>
      <c r="B1045" s="88" t="s">
        <v>1139</v>
      </c>
      <c r="C1045" s="88" t="s">
        <v>7</v>
      </c>
      <c r="D1045" s="88" t="s">
        <v>3464</v>
      </c>
      <c r="E1045" s="88" t="s">
        <v>3465</v>
      </c>
      <c r="F1045" s="88"/>
      <c r="G1045" s="88"/>
      <c r="H1045" s="88"/>
      <c r="I1045" s="88"/>
      <c r="J1045" s="88"/>
      <c r="K1045" s="88"/>
      <c r="L1045" s="88"/>
      <c r="M1045" s="88"/>
      <c r="N1045" s="88"/>
      <c r="O1045" s="88"/>
      <c r="P1045" s="88"/>
      <c r="Q1045" s="88"/>
      <c r="R1045" s="88"/>
      <c r="S1045" s="88"/>
      <c r="T1045" s="88"/>
      <c r="U1045" s="88"/>
      <c r="V1045" s="88"/>
      <c r="W1045" s="88"/>
      <c r="X1045" s="88"/>
      <c r="Y1045" s="88"/>
      <c r="Z1045" s="88"/>
      <c r="AA1045" s="88"/>
      <c r="AB1045" s="88"/>
      <c r="AC1045" s="88"/>
      <c r="AD1045" s="88"/>
      <c r="AE1045" s="88"/>
      <c r="AF1045" s="88"/>
      <c r="AG1045" s="88"/>
      <c r="AH1045" s="88"/>
      <c r="AI1045" s="88"/>
      <c r="AJ1045" s="88"/>
    </row>
    <row r="1046" spans="1:36" ht="15">
      <c r="A1046" s="88" t="s">
        <v>351</v>
      </c>
      <c r="B1046" s="88" t="s">
        <v>1150</v>
      </c>
      <c r="C1046" s="88" t="s">
        <v>7</v>
      </c>
      <c r="D1046" s="88" t="s">
        <v>3466</v>
      </c>
      <c r="E1046" s="88" t="s">
        <v>3467</v>
      </c>
      <c r="F1046" s="88"/>
      <c r="G1046" s="88"/>
      <c r="H1046" s="88"/>
      <c r="I1046" s="88"/>
      <c r="J1046" s="88"/>
      <c r="K1046" s="88"/>
      <c r="L1046" s="88"/>
      <c r="M1046" s="88"/>
      <c r="N1046" s="88"/>
      <c r="O1046" s="88"/>
      <c r="P1046" s="88"/>
      <c r="Q1046" s="88"/>
      <c r="R1046" s="88"/>
      <c r="S1046" s="88"/>
      <c r="T1046" s="88"/>
      <c r="U1046" s="88"/>
      <c r="V1046" s="88"/>
      <c r="W1046" s="88"/>
      <c r="X1046" s="88"/>
      <c r="Y1046" s="88"/>
      <c r="Z1046" s="88"/>
      <c r="AA1046" s="88"/>
      <c r="AB1046" s="88"/>
      <c r="AC1046" s="88"/>
      <c r="AD1046" s="88"/>
      <c r="AE1046" s="88"/>
      <c r="AF1046" s="88"/>
      <c r="AG1046" s="88"/>
      <c r="AH1046" s="88"/>
      <c r="AI1046" s="88"/>
      <c r="AJ1046" s="88"/>
    </row>
    <row r="1047" spans="1:36" ht="15">
      <c r="A1047" s="88" t="s">
        <v>351</v>
      </c>
      <c r="B1047" s="88" t="s">
        <v>1161</v>
      </c>
      <c r="C1047" s="88" t="s">
        <v>7</v>
      </c>
      <c r="D1047" s="88" t="s">
        <v>3468</v>
      </c>
      <c r="E1047" s="88" t="s">
        <v>3469</v>
      </c>
      <c r="F1047" s="88"/>
      <c r="G1047" s="88"/>
      <c r="H1047" s="88"/>
      <c r="I1047" s="88"/>
      <c r="J1047" s="88"/>
      <c r="K1047" s="88"/>
      <c r="L1047" s="88"/>
      <c r="M1047" s="88"/>
      <c r="N1047" s="88"/>
      <c r="O1047" s="88"/>
      <c r="P1047" s="88"/>
      <c r="Q1047" s="88"/>
      <c r="R1047" s="88"/>
      <c r="S1047" s="88"/>
      <c r="T1047" s="88"/>
      <c r="U1047" s="88"/>
      <c r="V1047" s="88"/>
      <c r="W1047" s="88"/>
      <c r="X1047" s="88"/>
      <c r="Y1047" s="88"/>
      <c r="Z1047" s="88"/>
      <c r="AA1047" s="88"/>
      <c r="AB1047" s="88"/>
      <c r="AC1047" s="88"/>
      <c r="AD1047" s="88"/>
      <c r="AE1047" s="88"/>
      <c r="AF1047" s="88"/>
      <c r="AG1047" s="88"/>
      <c r="AH1047" s="88"/>
      <c r="AI1047" s="88"/>
      <c r="AJ1047" s="88"/>
    </row>
    <row r="1048" spans="1:36" ht="15">
      <c r="A1048" s="88" t="s">
        <v>351</v>
      </c>
      <c r="B1048" s="88" t="s">
        <v>1172</v>
      </c>
      <c r="C1048" s="88" t="s">
        <v>7</v>
      </c>
      <c r="D1048" s="88" t="s">
        <v>3470</v>
      </c>
      <c r="E1048" s="88" t="s">
        <v>3471</v>
      </c>
      <c r="F1048" s="88"/>
      <c r="G1048" s="88"/>
      <c r="H1048" s="88"/>
      <c r="I1048" s="88"/>
      <c r="J1048" s="88"/>
      <c r="K1048" s="88"/>
      <c r="L1048" s="88"/>
      <c r="M1048" s="88"/>
      <c r="N1048" s="88"/>
      <c r="O1048" s="88"/>
      <c r="P1048" s="88"/>
      <c r="Q1048" s="88"/>
      <c r="R1048" s="88"/>
      <c r="S1048" s="88"/>
      <c r="T1048" s="88"/>
      <c r="U1048" s="88"/>
      <c r="V1048" s="88"/>
      <c r="W1048" s="88"/>
      <c r="X1048" s="88"/>
      <c r="Y1048" s="88"/>
      <c r="Z1048" s="88"/>
      <c r="AA1048" s="88"/>
      <c r="AB1048" s="88"/>
      <c r="AC1048" s="88"/>
      <c r="AD1048" s="88"/>
      <c r="AE1048" s="88"/>
      <c r="AF1048" s="88"/>
      <c r="AG1048" s="88"/>
      <c r="AH1048" s="88"/>
      <c r="AI1048" s="88"/>
      <c r="AJ1048" s="88"/>
    </row>
    <row r="1049" spans="1:36" ht="15">
      <c r="A1049" s="88" t="s">
        <v>351</v>
      </c>
      <c r="B1049" s="88" t="s">
        <v>1183</v>
      </c>
      <c r="C1049" s="88" t="s">
        <v>7</v>
      </c>
      <c r="D1049" s="88" t="s">
        <v>3472</v>
      </c>
      <c r="E1049" s="88" t="s">
        <v>3473</v>
      </c>
      <c r="F1049" s="88"/>
      <c r="G1049" s="88"/>
      <c r="H1049" s="88"/>
      <c r="I1049" s="88"/>
      <c r="J1049" s="88"/>
      <c r="K1049" s="88"/>
      <c r="L1049" s="88"/>
      <c r="M1049" s="88"/>
      <c r="N1049" s="88"/>
      <c r="O1049" s="88"/>
      <c r="P1049" s="88"/>
      <c r="Q1049" s="88"/>
      <c r="R1049" s="88"/>
      <c r="S1049" s="88"/>
      <c r="T1049" s="88"/>
      <c r="U1049" s="88"/>
      <c r="V1049" s="88"/>
      <c r="W1049" s="88"/>
      <c r="X1049" s="88"/>
      <c r="Y1049" s="88"/>
      <c r="Z1049" s="88"/>
      <c r="AA1049" s="88"/>
      <c r="AB1049" s="88"/>
      <c r="AC1049" s="88"/>
      <c r="AD1049" s="88"/>
      <c r="AE1049" s="88"/>
      <c r="AF1049" s="88"/>
      <c r="AG1049" s="88"/>
      <c r="AH1049" s="88"/>
      <c r="AI1049" s="88"/>
      <c r="AJ1049" s="88"/>
    </row>
    <row r="1050" spans="1:36" ht="15">
      <c r="A1050" s="88" t="s">
        <v>325</v>
      </c>
      <c r="B1050" s="88" t="s">
        <v>325</v>
      </c>
      <c r="C1050" s="88" t="s">
        <v>7</v>
      </c>
      <c r="D1050" s="88" t="s">
        <v>3474</v>
      </c>
      <c r="E1050" s="88" t="s">
        <v>3475</v>
      </c>
      <c r="F1050" s="88"/>
      <c r="G1050" s="88"/>
      <c r="H1050" s="88"/>
      <c r="I1050" s="88"/>
      <c r="J1050" s="88"/>
      <c r="K1050" s="88"/>
      <c r="L1050" s="88"/>
      <c r="M1050" s="88"/>
      <c r="N1050" s="88"/>
      <c r="O1050" s="88"/>
      <c r="P1050" s="88"/>
      <c r="Q1050" s="88"/>
      <c r="R1050" s="88"/>
      <c r="S1050" s="88"/>
      <c r="T1050" s="88"/>
      <c r="U1050" s="88"/>
      <c r="V1050" s="88"/>
      <c r="W1050" s="88"/>
      <c r="X1050" s="88"/>
      <c r="Y1050" s="88"/>
      <c r="Z1050" s="88"/>
      <c r="AA1050" s="88"/>
      <c r="AB1050" s="88"/>
      <c r="AC1050" s="88"/>
      <c r="AD1050" s="88"/>
      <c r="AE1050" s="88"/>
      <c r="AF1050" s="88"/>
      <c r="AG1050" s="88"/>
      <c r="AH1050" s="88"/>
      <c r="AI1050" s="88"/>
      <c r="AJ1050" s="88"/>
    </row>
    <row r="1051" spans="1:36" ht="15">
      <c r="A1051" s="88" t="s">
        <v>325</v>
      </c>
      <c r="B1051" s="88" t="s">
        <v>389</v>
      </c>
      <c r="C1051" s="88" t="s">
        <v>7</v>
      </c>
      <c r="D1051" s="88" t="s">
        <v>3476</v>
      </c>
      <c r="E1051" s="88" t="s">
        <v>3477</v>
      </c>
      <c r="F1051" s="88"/>
      <c r="G1051" s="88"/>
      <c r="H1051" s="88"/>
      <c r="I1051" s="88"/>
      <c r="J1051" s="88"/>
      <c r="K1051" s="88"/>
      <c r="L1051" s="88"/>
      <c r="M1051" s="88"/>
      <c r="N1051" s="88"/>
      <c r="O1051" s="88"/>
      <c r="P1051" s="88"/>
      <c r="Q1051" s="88"/>
      <c r="R1051" s="88"/>
      <c r="S1051" s="88"/>
      <c r="T1051" s="88"/>
      <c r="U1051" s="88"/>
      <c r="V1051" s="88"/>
      <c r="W1051" s="88"/>
      <c r="X1051" s="88"/>
      <c r="Y1051" s="88"/>
      <c r="Z1051" s="88"/>
      <c r="AA1051" s="88"/>
      <c r="AB1051" s="88"/>
      <c r="AC1051" s="88"/>
      <c r="AD1051" s="88"/>
      <c r="AE1051" s="88"/>
      <c r="AF1051" s="88"/>
      <c r="AG1051" s="88"/>
      <c r="AH1051" s="88"/>
      <c r="AI1051" s="88"/>
      <c r="AJ1051" s="88"/>
    </row>
    <row r="1052" spans="1:36" ht="15">
      <c r="A1052" s="88" t="s">
        <v>325</v>
      </c>
      <c r="B1052" s="88" t="s">
        <v>419</v>
      </c>
      <c r="C1052" s="88" t="s">
        <v>7</v>
      </c>
      <c r="D1052" s="88" t="s">
        <v>3478</v>
      </c>
      <c r="E1052" s="88" t="s">
        <v>3479</v>
      </c>
      <c r="F1052" s="88"/>
      <c r="G1052" s="88"/>
      <c r="H1052" s="88"/>
      <c r="I1052" s="88"/>
      <c r="J1052" s="88"/>
      <c r="K1052" s="88"/>
      <c r="L1052" s="88"/>
      <c r="M1052" s="88"/>
      <c r="N1052" s="88"/>
      <c r="O1052" s="88"/>
      <c r="P1052" s="88"/>
      <c r="Q1052" s="88"/>
      <c r="R1052" s="88"/>
      <c r="S1052" s="88"/>
      <c r="T1052" s="88"/>
      <c r="U1052" s="88"/>
      <c r="V1052" s="88"/>
      <c r="W1052" s="88"/>
      <c r="X1052" s="88"/>
      <c r="Y1052" s="88"/>
      <c r="Z1052" s="88"/>
      <c r="AA1052" s="88"/>
      <c r="AB1052" s="88"/>
      <c r="AC1052" s="88"/>
      <c r="AD1052" s="88"/>
      <c r="AE1052" s="88"/>
      <c r="AF1052" s="88"/>
      <c r="AG1052" s="88"/>
      <c r="AH1052" s="88"/>
      <c r="AI1052" s="88"/>
      <c r="AJ1052" s="88"/>
    </row>
    <row r="1053" spans="1:36" ht="15">
      <c r="A1053" s="88" t="s">
        <v>325</v>
      </c>
      <c r="B1053" s="88" t="s">
        <v>450</v>
      </c>
      <c r="C1053" s="88" t="s">
        <v>7</v>
      </c>
      <c r="D1053" s="88" t="s">
        <v>3480</v>
      </c>
      <c r="E1053" s="88" t="s">
        <v>3481</v>
      </c>
      <c r="F1053" s="88"/>
      <c r="G1053" s="88"/>
      <c r="H1053" s="88"/>
      <c r="I1053" s="88"/>
      <c r="J1053" s="88"/>
      <c r="K1053" s="88"/>
      <c r="L1053" s="88"/>
      <c r="M1053" s="88"/>
      <c r="N1053" s="88"/>
      <c r="O1053" s="88"/>
      <c r="P1053" s="88"/>
      <c r="Q1053" s="88"/>
      <c r="R1053" s="88"/>
      <c r="S1053" s="88"/>
      <c r="T1053" s="88"/>
      <c r="U1053" s="88"/>
      <c r="V1053" s="88"/>
      <c r="W1053" s="88"/>
      <c r="X1053" s="88"/>
      <c r="Y1053" s="88"/>
      <c r="Z1053" s="88"/>
      <c r="AA1053" s="88"/>
      <c r="AB1053" s="88"/>
      <c r="AC1053" s="88"/>
      <c r="AD1053" s="88"/>
      <c r="AE1053" s="88"/>
      <c r="AF1053" s="88"/>
      <c r="AG1053" s="88"/>
      <c r="AH1053" s="88"/>
      <c r="AI1053" s="88"/>
      <c r="AJ1053" s="88"/>
    </row>
    <row r="1054" spans="1:36" ht="15">
      <c r="A1054" s="88" t="s">
        <v>325</v>
      </c>
      <c r="B1054" s="88" t="s">
        <v>482</v>
      </c>
      <c r="C1054" s="88" t="s">
        <v>7</v>
      </c>
      <c r="D1054" s="88" t="s">
        <v>3482</v>
      </c>
      <c r="E1054" s="88" t="s">
        <v>3483</v>
      </c>
      <c r="F1054" s="88"/>
      <c r="G1054" s="88"/>
      <c r="H1054" s="88"/>
      <c r="I1054" s="88"/>
      <c r="J1054" s="88"/>
      <c r="K1054" s="88"/>
      <c r="L1054" s="88"/>
      <c r="M1054" s="88"/>
      <c r="N1054" s="88"/>
      <c r="O1054" s="88"/>
      <c r="P1054" s="88"/>
      <c r="Q1054" s="88"/>
      <c r="R1054" s="88"/>
      <c r="S1054" s="88"/>
      <c r="T1054" s="88"/>
      <c r="U1054" s="88"/>
      <c r="V1054" s="88"/>
      <c r="W1054" s="88"/>
      <c r="X1054" s="88"/>
      <c r="Y1054" s="88"/>
      <c r="Z1054" s="88"/>
      <c r="AA1054" s="88"/>
      <c r="AB1054" s="88"/>
      <c r="AC1054" s="88"/>
      <c r="AD1054" s="88"/>
      <c r="AE1054" s="88"/>
      <c r="AF1054" s="88"/>
      <c r="AG1054" s="88"/>
      <c r="AH1054" s="88"/>
      <c r="AI1054" s="88"/>
      <c r="AJ1054" s="88"/>
    </row>
    <row r="1055" spans="1:36" ht="15">
      <c r="A1055" s="88" t="s">
        <v>325</v>
      </c>
      <c r="B1055" s="88" t="s">
        <v>510</v>
      </c>
      <c r="C1055" s="88" t="s">
        <v>7</v>
      </c>
      <c r="D1055" s="88" t="s">
        <v>3484</v>
      </c>
      <c r="E1055" s="88" t="s">
        <v>3485</v>
      </c>
      <c r="F1055" s="88"/>
      <c r="G1055" s="88"/>
      <c r="H1055" s="88"/>
      <c r="I1055" s="88"/>
      <c r="J1055" s="88"/>
      <c r="K1055" s="88"/>
      <c r="L1055" s="88"/>
      <c r="M1055" s="88"/>
      <c r="N1055" s="88"/>
      <c r="O1055" s="88"/>
      <c r="P1055" s="88"/>
      <c r="Q1055" s="88"/>
      <c r="R1055" s="88"/>
      <c r="S1055" s="88"/>
      <c r="T1055" s="88"/>
      <c r="U1055" s="88"/>
      <c r="V1055" s="88"/>
      <c r="W1055" s="88"/>
      <c r="X1055" s="88"/>
      <c r="Y1055" s="88"/>
      <c r="Z1055" s="88"/>
      <c r="AA1055" s="88"/>
      <c r="AB1055" s="88"/>
      <c r="AC1055" s="88"/>
      <c r="AD1055" s="88"/>
      <c r="AE1055" s="88"/>
      <c r="AF1055" s="88"/>
      <c r="AG1055" s="88"/>
      <c r="AH1055" s="88"/>
      <c r="AI1055" s="88"/>
      <c r="AJ1055" s="88"/>
    </row>
    <row r="1056" spans="1:36" ht="15">
      <c r="A1056" s="88" t="s">
        <v>325</v>
      </c>
      <c r="B1056" s="88" t="s">
        <v>540</v>
      </c>
      <c r="C1056" s="88" t="s">
        <v>7</v>
      </c>
      <c r="D1056" s="88" t="s">
        <v>3486</v>
      </c>
      <c r="E1056" s="88" t="s">
        <v>3487</v>
      </c>
      <c r="F1056" s="88"/>
      <c r="G1056" s="88"/>
      <c r="H1056" s="88"/>
      <c r="I1056" s="88"/>
      <c r="J1056" s="88"/>
      <c r="K1056" s="88"/>
      <c r="L1056" s="88"/>
      <c r="M1056" s="88"/>
      <c r="N1056" s="88"/>
      <c r="O1056" s="88"/>
      <c r="P1056" s="88"/>
      <c r="Q1056" s="88"/>
      <c r="R1056" s="88"/>
      <c r="S1056" s="88"/>
      <c r="T1056" s="88"/>
      <c r="U1056" s="88"/>
      <c r="V1056" s="88"/>
      <c r="W1056" s="88"/>
      <c r="X1056" s="88"/>
      <c r="Y1056" s="88"/>
      <c r="Z1056" s="88"/>
      <c r="AA1056" s="88"/>
      <c r="AB1056" s="88"/>
      <c r="AC1056" s="88"/>
      <c r="AD1056" s="88"/>
      <c r="AE1056" s="88"/>
      <c r="AF1056" s="88"/>
      <c r="AG1056" s="88"/>
      <c r="AH1056" s="88"/>
      <c r="AI1056" s="88"/>
      <c r="AJ1056" s="88"/>
    </row>
    <row r="1057" spans="1:36" ht="15">
      <c r="A1057" s="88" t="s">
        <v>331</v>
      </c>
      <c r="B1057" s="88" t="s">
        <v>363</v>
      </c>
      <c r="C1057" s="88" t="s">
        <v>7</v>
      </c>
      <c r="D1057" s="88" t="s">
        <v>3488</v>
      </c>
      <c r="E1057" s="88" t="s">
        <v>3489</v>
      </c>
      <c r="F1057" s="88"/>
      <c r="G1057" s="88"/>
      <c r="H1057" s="88"/>
      <c r="I1057" s="88"/>
      <c r="J1057" s="88"/>
      <c r="K1057" s="88"/>
      <c r="L1057" s="88"/>
      <c r="M1057" s="88"/>
      <c r="N1057" s="88"/>
      <c r="O1057" s="88"/>
      <c r="P1057" s="88"/>
      <c r="Q1057" s="88"/>
      <c r="R1057" s="88"/>
      <c r="S1057" s="88"/>
      <c r="T1057" s="88"/>
      <c r="U1057" s="88"/>
      <c r="V1057" s="88"/>
      <c r="W1057" s="88"/>
      <c r="X1057" s="88"/>
      <c r="Y1057" s="88"/>
      <c r="Z1057" s="88"/>
      <c r="AA1057" s="88"/>
      <c r="AB1057" s="88"/>
      <c r="AC1057" s="88"/>
      <c r="AD1057" s="88"/>
      <c r="AE1057" s="88"/>
      <c r="AF1057" s="88"/>
      <c r="AG1057" s="88"/>
      <c r="AH1057" s="88"/>
      <c r="AI1057" s="88"/>
      <c r="AJ1057" s="88"/>
    </row>
    <row r="1058" spans="1:36" ht="15">
      <c r="A1058" s="88" t="s">
        <v>331</v>
      </c>
      <c r="B1058" s="88" t="s">
        <v>395</v>
      </c>
      <c r="C1058" s="88" t="s">
        <v>7</v>
      </c>
      <c r="D1058" s="88" t="s">
        <v>3490</v>
      </c>
      <c r="E1058" s="88" t="s">
        <v>3491</v>
      </c>
      <c r="F1058" s="88"/>
      <c r="G1058" s="88"/>
      <c r="H1058" s="88"/>
      <c r="I1058" s="88"/>
      <c r="J1058" s="88"/>
      <c r="K1058" s="88"/>
      <c r="L1058" s="88"/>
      <c r="M1058" s="88"/>
      <c r="N1058" s="88"/>
      <c r="O1058" s="88"/>
      <c r="P1058" s="88"/>
      <c r="Q1058" s="88"/>
      <c r="R1058" s="88"/>
      <c r="S1058" s="88"/>
      <c r="T1058" s="88"/>
      <c r="U1058" s="88"/>
      <c r="V1058" s="88"/>
      <c r="W1058" s="88"/>
      <c r="X1058" s="88"/>
      <c r="Y1058" s="88"/>
      <c r="Z1058" s="88"/>
      <c r="AA1058" s="88"/>
      <c r="AB1058" s="88"/>
      <c r="AC1058" s="88"/>
      <c r="AD1058" s="88"/>
      <c r="AE1058" s="88"/>
      <c r="AF1058" s="88"/>
      <c r="AG1058" s="88"/>
      <c r="AH1058" s="88"/>
      <c r="AI1058" s="88"/>
      <c r="AJ1058" s="88"/>
    </row>
    <row r="1059" spans="1:36" ht="15">
      <c r="A1059" s="88" t="s">
        <v>331</v>
      </c>
      <c r="B1059" s="88" t="s">
        <v>425</v>
      </c>
      <c r="C1059" s="88" t="s">
        <v>7</v>
      </c>
      <c r="D1059" s="88" t="s">
        <v>3492</v>
      </c>
      <c r="E1059" s="88" t="s">
        <v>3493</v>
      </c>
      <c r="F1059" s="88"/>
      <c r="G1059" s="88"/>
      <c r="H1059" s="88"/>
      <c r="I1059" s="88"/>
      <c r="J1059" s="88"/>
      <c r="K1059" s="88"/>
      <c r="L1059" s="88"/>
      <c r="M1059" s="88"/>
      <c r="N1059" s="88"/>
      <c r="O1059" s="88"/>
      <c r="P1059" s="88"/>
      <c r="Q1059" s="88"/>
      <c r="R1059" s="88"/>
      <c r="S1059" s="88"/>
      <c r="T1059" s="88"/>
      <c r="U1059" s="88"/>
      <c r="V1059" s="88"/>
      <c r="W1059" s="88"/>
      <c r="X1059" s="88"/>
      <c r="Y1059" s="88"/>
      <c r="Z1059" s="88"/>
      <c r="AA1059" s="88"/>
      <c r="AB1059" s="88"/>
      <c r="AC1059" s="88"/>
      <c r="AD1059" s="88"/>
      <c r="AE1059" s="88"/>
      <c r="AF1059" s="88"/>
      <c r="AG1059" s="88"/>
      <c r="AH1059" s="88"/>
      <c r="AI1059" s="88"/>
      <c r="AJ1059" s="88"/>
    </row>
    <row r="1060" spans="1:36" ht="15">
      <c r="A1060" s="88" t="s">
        <v>331</v>
      </c>
      <c r="B1060" s="88" t="s">
        <v>456</v>
      </c>
      <c r="C1060" s="88" t="s">
        <v>7</v>
      </c>
      <c r="D1060" s="88" t="s">
        <v>3494</v>
      </c>
      <c r="E1060" s="88" t="s">
        <v>3495</v>
      </c>
      <c r="F1060" s="88"/>
      <c r="G1060" s="88"/>
      <c r="H1060" s="88"/>
      <c r="I1060" s="88"/>
      <c r="J1060" s="88"/>
      <c r="K1060" s="88"/>
      <c r="L1060" s="88"/>
      <c r="M1060" s="88"/>
      <c r="N1060" s="88"/>
      <c r="O1060" s="88"/>
      <c r="P1060" s="88"/>
      <c r="Q1060" s="88"/>
      <c r="R1060" s="88"/>
      <c r="S1060" s="88"/>
      <c r="T1060" s="88"/>
      <c r="U1060" s="88"/>
      <c r="V1060" s="88"/>
      <c r="W1060" s="88"/>
      <c r="X1060" s="88"/>
      <c r="Y1060" s="88"/>
      <c r="Z1060" s="88"/>
      <c r="AA1060" s="88"/>
      <c r="AB1060" s="88"/>
      <c r="AC1060" s="88"/>
      <c r="AD1060" s="88"/>
      <c r="AE1060" s="88"/>
      <c r="AF1060" s="88"/>
      <c r="AG1060" s="88"/>
      <c r="AH1060" s="88"/>
      <c r="AI1060" s="88"/>
      <c r="AJ1060" s="88"/>
    </row>
    <row r="1061" spans="1:36" ht="15">
      <c r="A1061" s="88" t="s">
        <v>331</v>
      </c>
      <c r="B1061" s="88" t="s">
        <v>488</v>
      </c>
      <c r="C1061" s="88" t="s">
        <v>7</v>
      </c>
      <c r="D1061" s="88" t="s">
        <v>3496</v>
      </c>
      <c r="E1061" s="88" t="s">
        <v>3497</v>
      </c>
      <c r="F1061" s="88"/>
      <c r="G1061" s="88"/>
      <c r="H1061" s="88"/>
      <c r="I1061" s="88"/>
      <c r="J1061" s="88"/>
      <c r="K1061" s="88"/>
      <c r="L1061" s="88"/>
      <c r="M1061" s="88"/>
      <c r="N1061" s="88"/>
      <c r="O1061" s="88"/>
      <c r="P1061" s="88"/>
      <c r="Q1061" s="88"/>
      <c r="R1061" s="88"/>
      <c r="S1061" s="88"/>
      <c r="T1061" s="88"/>
      <c r="U1061" s="88"/>
      <c r="V1061" s="88"/>
      <c r="W1061" s="88"/>
      <c r="X1061" s="88"/>
      <c r="Y1061" s="88"/>
      <c r="Z1061" s="88"/>
      <c r="AA1061" s="88"/>
      <c r="AB1061" s="88"/>
      <c r="AC1061" s="88"/>
      <c r="AD1061" s="88"/>
      <c r="AE1061" s="88"/>
      <c r="AF1061" s="88"/>
      <c r="AG1061" s="88"/>
      <c r="AH1061" s="88"/>
      <c r="AI1061" s="88"/>
      <c r="AJ1061" s="88"/>
    </row>
    <row r="1062" spans="1:36" ht="15">
      <c r="A1062" s="88" t="s">
        <v>331</v>
      </c>
      <c r="B1062" s="88" t="s">
        <v>516</v>
      </c>
      <c r="C1062" s="88" t="s">
        <v>7</v>
      </c>
      <c r="D1062" s="88" t="s">
        <v>3498</v>
      </c>
      <c r="E1062" s="88" t="s">
        <v>3499</v>
      </c>
      <c r="F1062" s="88"/>
      <c r="G1062" s="88"/>
      <c r="H1062" s="88"/>
      <c r="I1062" s="88"/>
      <c r="J1062" s="88"/>
      <c r="K1062" s="88"/>
      <c r="L1062" s="88"/>
      <c r="M1062" s="88"/>
      <c r="N1062" s="88"/>
      <c r="O1062" s="88"/>
      <c r="P1062" s="88"/>
      <c r="Q1062" s="88"/>
      <c r="R1062" s="88"/>
      <c r="S1062" s="88"/>
      <c r="T1062" s="88"/>
      <c r="U1062" s="88"/>
      <c r="V1062" s="88"/>
      <c r="W1062" s="88"/>
      <c r="X1062" s="88"/>
      <c r="Y1062" s="88"/>
      <c r="Z1062" s="88"/>
      <c r="AA1062" s="88"/>
      <c r="AB1062" s="88"/>
      <c r="AC1062" s="88"/>
      <c r="AD1062" s="88"/>
      <c r="AE1062" s="88"/>
      <c r="AF1062" s="88"/>
      <c r="AG1062" s="88"/>
      <c r="AH1062" s="88"/>
      <c r="AI1062" s="88"/>
      <c r="AJ1062" s="88"/>
    </row>
    <row r="1063" spans="1:36" ht="15">
      <c r="A1063" s="88" t="s">
        <v>331</v>
      </c>
      <c r="B1063" s="88" t="s">
        <v>546</v>
      </c>
      <c r="C1063" s="88" t="s">
        <v>7</v>
      </c>
      <c r="D1063" s="88" t="s">
        <v>3500</v>
      </c>
      <c r="E1063" s="88" t="s">
        <v>3501</v>
      </c>
      <c r="F1063" s="88"/>
      <c r="G1063" s="88"/>
      <c r="H1063" s="88"/>
      <c r="I1063" s="88"/>
      <c r="J1063" s="88"/>
      <c r="K1063" s="88"/>
      <c r="L1063" s="88"/>
      <c r="M1063" s="88"/>
      <c r="N1063" s="88"/>
      <c r="O1063" s="88"/>
      <c r="P1063" s="88"/>
      <c r="Q1063" s="88"/>
      <c r="R1063" s="88"/>
      <c r="S1063" s="88"/>
      <c r="T1063" s="88"/>
      <c r="U1063" s="88"/>
      <c r="V1063" s="88"/>
      <c r="W1063" s="88"/>
      <c r="X1063" s="88"/>
      <c r="Y1063" s="88"/>
      <c r="Z1063" s="88"/>
      <c r="AA1063" s="88"/>
      <c r="AB1063" s="88"/>
      <c r="AC1063" s="88"/>
      <c r="AD1063" s="88"/>
      <c r="AE1063" s="88"/>
      <c r="AF1063" s="88"/>
      <c r="AG1063" s="88"/>
      <c r="AH1063" s="88"/>
      <c r="AI1063" s="88"/>
      <c r="AJ1063" s="88"/>
    </row>
    <row r="1064" spans="1:36" ht="15">
      <c r="A1064" s="88" t="s">
        <v>331</v>
      </c>
      <c r="B1064" s="88" t="s">
        <v>573</v>
      </c>
      <c r="C1064" s="88" t="s">
        <v>7</v>
      </c>
      <c r="D1064" s="88" t="s">
        <v>3502</v>
      </c>
      <c r="E1064" s="88" t="s">
        <v>3503</v>
      </c>
      <c r="F1064" s="88"/>
      <c r="G1064" s="88"/>
      <c r="H1064" s="88"/>
      <c r="I1064" s="88"/>
      <c r="J1064" s="88"/>
      <c r="K1064" s="88"/>
      <c r="L1064" s="88"/>
      <c r="M1064" s="88"/>
      <c r="N1064" s="88"/>
      <c r="O1064" s="88"/>
      <c r="P1064" s="88"/>
      <c r="Q1064" s="88"/>
      <c r="R1064" s="88"/>
      <c r="S1064" s="88"/>
      <c r="T1064" s="88"/>
      <c r="U1064" s="88"/>
      <c r="V1064" s="88"/>
      <c r="W1064" s="88"/>
      <c r="X1064" s="88"/>
      <c r="Y1064" s="88"/>
      <c r="Z1064" s="88"/>
      <c r="AA1064" s="88"/>
      <c r="AB1064" s="88"/>
      <c r="AC1064" s="88"/>
      <c r="AD1064" s="88"/>
      <c r="AE1064" s="88"/>
      <c r="AF1064" s="88"/>
      <c r="AG1064" s="88"/>
      <c r="AH1064" s="88"/>
      <c r="AI1064" s="88"/>
      <c r="AJ1064" s="88"/>
    </row>
    <row r="1065" spans="1:36" ht="15">
      <c r="A1065" s="88" t="s">
        <v>331</v>
      </c>
      <c r="B1065" s="88" t="s">
        <v>601</v>
      </c>
      <c r="C1065" s="88" t="s">
        <v>7</v>
      </c>
      <c r="D1065" s="88" t="s">
        <v>3504</v>
      </c>
      <c r="E1065" s="88" t="s">
        <v>3505</v>
      </c>
      <c r="F1065" s="88"/>
      <c r="G1065" s="88"/>
      <c r="H1065" s="88"/>
      <c r="I1065" s="88"/>
      <c r="J1065" s="88"/>
      <c r="K1065" s="88"/>
      <c r="L1065" s="88"/>
      <c r="M1065" s="88"/>
      <c r="N1065" s="88"/>
      <c r="O1065" s="88"/>
      <c r="P1065" s="88"/>
      <c r="Q1065" s="88"/>
      <c r="R1065" s="88"/>
      <c r="S1065" s="88"/>
      <c r="T1065" s="88"/>
      <c r="U1065" s="88"/>
      <c r="V1065" s="88"/>
      <c r="W1065" s="88"/>
      <c r="X1065" s="88"/>
      <c r="Y1065" s="88"/>
      <c r="Z1065" s="88"/>
      <c r="AA1065" s="88"/>
      <c r="AB1065" s="88"/>
      <c r="AC1065" s="88"/>
      <c r="AD1065" s="88"/>
      <c r="AE1065" s="88"/>
      <c r="AF1065" s="88"/>
      <c r="AG1065" s="88"/>
      <c r="AH1065" s="88"/>
      <c r="AI1065" s="88"/>
      <c r="AJ1065" s="88"/>
    </row>
    <row r="1066" spans="1:36" ht="15">
      <c r="A1066" s="88" t="s">
        <v>331</v>
      </c>
      <c r="B1066" s="88" t="s">
        <v>627</v>
      </c>
      <c r="C1066" s="88" t="s">
        <v>7</v>
      </c>
      <c r="D1066" s="88" t="s">
        <v>3506</v>
      </c>
      <c r="E1066" s="88" t="s">
        <v>3507</v>
      </c>
      <c r="F1066" s="88"/>
      <c r="G1066" s="88"/>
      <c r="H1066" s="88"/>
      <c r="I1066" s="88"/>
      <c r="J1066" s="88"/>
      <c r="K1066" s="88"/>
      <c r="L1066" s="88"/>
      <c r="M1066" s="88"/>
      <c r="N1066" s="88"/>
      <c r="O1066" s="88"/>
      <c r="P1066" s="88"/>
      <c r="Q1066" s="88"/>
      <c r="R1066" s="88"/>
      <c r="S1066" s="88"/>
      <c r="T1066" s="88"/>
      <c r="U1066" s="88"/>
      <c r="V1066" s="88"/>
      <c r="W1066" s="88"/>
      <c r="X1066" s="88"/>
      <c r="Y1066" s="88"/>
      <c r="Z1066" s="88"/>
      <c r="AA1066" s="88"/>
      <c r="AB1066" s="88"/>
      <c r="AC1066" s="88"/>
      <c r="AD1066" s="88"/>
      <c r="AE1066" s="88"/>
      <c r="AF1066" s="88"/>
      <c r="AG1066" s="88"/>
      <c r="AH1066" s="88"/>
      <c r="AI1066" s="88"/>
      <c r="AJ1066" s="88"/>
    </row>
    <row r="1067" spans="1:36" ht="15">
      <c r="A1067" s="88" t="s">
        <v>331</v>
      </c>
      <c r="B1067" s="88" t="s">
        <v>652</v>
      </c>
      <c r="C1067" s="88" t="s">
        <v>7</v>
      </c>
      <c r="D1067" s="88" t="s">
        <v>3508</v>
      </c>
      <c r="E1067" s="88" t="s">
        <v>3509</v>
      </c>
      <c r="F1067" s="88"/>
      <c r="G1067" s="88"/>
      <c r="H1067" s="88"/>
      <c r="I1067" s="88"/>
      <c r="J1067" s="88"/>
      <c r="K1067" s="88"/>
      <c r="L1067" s="88"/>
      <c r="M1067" s="88"/>
      <c r="N1067" s="88"/>
      <c r="O1067" s="88"/>
      <c r="P1067" s="88"/>
      <c r="Q1067" s="88"/>
      <c r="R1067" s="88"/>
      <c r="S1067" s="88"/>
      <c r="T1067" s="88"/>
      <c r="U1067" s="88"/>
      <c r="V1067" s="88"/>
      <c r="W1067" s="88"/>
      <c r="X1067" s="88"/>
      <c r="Y1067" s="88"/>
      <c r="Z1067" s="88"/>
      <c r="AA1067" s="88"/>
      <c r="AB1067" s="88"/>
      <c r="AC1067" s="88"/>
      <c r="AD1067" s="88"/>
      <c r="AE1067" s="88"/>
      <c r="AF1067" s="88"/>
      <c r="AG1067" s="88"/>
      <c r="AH1067" s="88"/>
      <c r="AI1067" s="88"/>
      <c r="AJ1067" s="88"/>
    </row>
    <row r="1068" spans="1:36" ht="15">
      <c r="A1068" s="88" t="s">
        <v>331</v>
      </c>
      <c r="B1068" s="88" t="s">
        <v>679</v>
      </c>
      <c r="C1068" s="88" t="s">
        <v>7</v>
      </c>
      <c r="D1068" s="88" t="s">
        <v>3510</v>
      </c>
      <c r="E1068" s="88" t="s">
        <v>3511</v>
      </c>
      <c r="F1068" s="88"/>
      <c r="G1068" s="88"/>
      <c r="H1068" s="88"/>
      <c r="I1068" s="88"/>
      <c r="J1068" s="88"/>
      <c r="K1068" s="88"/>
      <c r="L1068" s="88"/>
      <c r="M1068" s="88"/>
      <c r="N1068" s="88"/>
      <c r="O1068" s="88"/>
      <c r="P1068" s="88"/>
      <c r="Q1068" s="88"/>
      <c r="R1068" s="88"/>
      <c r="S1068" s="88"/>
      <c r="T1068" s="88"/>
      <c r="U1068" s="88"/>
      <c r="V1068" s="88"/>
      <c r="W1068" s="88"/>
      <c r="X1068" s="88"/>
      <c r="Y1068" s="88"/>
      <c r="Z1068" s="88"/>
      <c r="AA1068" s="88"/>
      <c r="AB1068" s="88"/>
      <c r="AC1068" s="88"/>
      <c r="AD1068" s="88"/>
      <c r="AE1068" s="88"/>
      <c r="AF1068" s="88"/>
      <c r="AG1068" s="88"/>
      <c r="AH1068" s="88"/>
      <c r="AI1068" s="88"/>
      <c r="AJ1068" s="88"/>
    </row>
    <row r="1069" spans="1:36" ht="15">
      <c r="A1069" s="88" t="s">
        <v>331</v>
      </c>
      <c r="B1069" s="88" t="s">
        <v>702</v>
      </c>
      <c r="C1069" s="88" t="s">
        <v>7</v>
      </c>
      <c r="D1069" s="88" t="s">
        <v>3512</v>
      </c>
      <c r="E1069" s="88" t="s">
        <v>3513</v>
      </c>
      <c r="F1069" s="88"/>
      <c r="G1069" s="88"/>
      <c r="H1069" s="88"/>
      <c r="I1069" s="88"/>
      <c r="J1069" s="88"/>
      <c r="K1069" s="88"/>
      <c r="L1069" s="88"/>
      <c r="M1069" s="88"/>
      <c r="N1069" s="88"/>
      <c r="O1069" s="88"/>
      <c r="P1069" s="88"/>
      <c r="Q1069" s="88"/>
      <c r="R1069" s="88"/>
      <c r="S1069" s="88"/>
      <c r="T1069" s="88"/>
      <c r="U1069" s="88"/>
      <c r="V1069" s="88"/>
      <c r="W1069" s="88"/>
      <c r="X1069" s="88"/>
      <c r="Y1069" s="88"/>
      <c r="Z1069" s="88"/>
      <c r="AA1069" s="88"/>
      <c r="AB1069" s="88"/>
      <c r="AC1069" s="88"/>
      <c r="AD1069" s="88"/>
      <c r="AE1069" s="88"/>
      <c r="AF1069" s="88"/>
      <c r="AG1069" s="88"/>
      <c r="AH1069" s="88"/>
      <c r="AI1069" s="88"/>
      <c r="AJ1069" s="88"/>
    </row>
    <row r="1070" spans="1:36" ht="15">
      <c r="A1070" s="88" t="s">
        <v>331</v>
      </c>
      <c r="B1070" s="88" t="s">
        <v>725</v>
      </c>
      <c r="C1070" s="88" t="s">
        <v>7</v>
      </c>
      <c r="D1070" s="88" t="s">
        <v>3514</v>
      </c>
      <c r="E1070" s="88" t="s">
        <v>3515</v>
      </c>
      <c r="F1070" s="88"/>
      <c r="G1070" s="88"/>
      <c r="H1070" s="88"/>
      <c r="I1070" s="88"/>
      <c r="J1070" s="88"/>
      <c r="K1070" s="88"/>
      <c r="L1070" s="88"/>
      <c r="M1070" s="88"/>
      <c r="N1070" s="88"/>
      <c r="O1070" s="88"/>
      <c r="P1070" s="88"/>
      <c r="Q1070" s="88"/>
      <c r="R1070" s="88"/>
      <c r="S1070" s="88"/>
      <c r="T1070" s="88"/>
      <c r="U1070" s="88"/>
      <c r="V1070" s="88"/>
      <c r="W1070" s="88"/>
      <c r="X1070" s="88"/>
      <c r="Y1070" s="88"/>
      <c r="Z1070" s="88"/>
      <c r="AA1070" s="88"/>
      <c r="AB1070" s="88"/>
      <c r="AC1070" s="88"/>
      <c r="AD1070" s="88"/>
      <c r="AE1070" s="88"/>
      <c r="AF1070" s="88"/>
      <c r="AG1070" s="88"/>
      <c r="AH1070" s="88"/>
      <c r="AI1070" s="88"/>
      <c r="AJ1070" s="88"/>
    </row>
    <row r="1071" spans="1:36" ht="15">
      <c r="A1071" s="88" t="s">
        <v>331</v>
      </c>
      <c r="B1071" s="88" t="s">
        <v>749</v>
      </c>
      <c r="C1071" s="88" t="s">
        <v>7</v>
      </c>
      <c r="D1071" s="88" t="s">
        <v>3516</v>
      </c>
      <c r="E1071" s="88" t="s">
        <v>3517</v>
      </c>
      <c r="F1071" s="88"/>
      <c r="G1071" s="88"/>
      <c r="H1071" s="88"/>
      <c r="I1071" s="88"/>
      <c r="J1071" s="88"/>
      <c r="K1071" s="88"/>
      <c r="L1071" s="88"/>
      <c r="M1071" s="88"/>
      <c r="N1071" s="88"/>
      <c r="O1071" s="88"/>
      <c r="P1071" s="88"/>
      <c r="Q1071" s="88"/>
      <c r="R1071" s="88"/>
      <c r="S1071" s="88"/>
      <c r="T1071" s="88"/>
      <c r="U1071" s="88"/>
      <c r="V1071" s="88"/>
      <c r="W1071" s="88"/>
      <c r="X1071" s="88"/>
      <c r="Y1071" s="88"/>
      <c r="Z1071" s="88"/>
      <c r="AA1071" s="88"/>
      <c r="AB1071" s="88"/>
      <c r="AC1071" s="88"/>
      <c r="AD1071" s="88"/>
      <c r="AE1071" s="88"/>
      <c r="AF1071" s="88"/>
      <c r="AG1071" s="88"/>
      <c r="AH1071" s="88"/>
      <c r="AI1071" s="88"/>
      <c r="AJ1071" s="88"/>
    </row>
    <row r="1072" spans="1:36" ht="15">
      <c r="A1072" s="88" t="s">
        <v>331</v>
      </c>
      <c r="B1072" s="88" t="s">
        <v>772</v>
      </c>
      <c r="C1072" s="88" t="s">
        <v>7</v>
      </c>
      <c r="D1072" s="88" t="s">
        <v>3518</v>
      </c>
      <c r="E1072" s="88" t="s">
        <v>3519</v>
      </c>
      <c r="F1072" s="88"/>
      <c r="G1072" s="88"/>
      <c r="H1072" s="88"/>
      <c r="I1072" s="88"/>
      <c r="J1072" s="88"/>
      <c r="K1072" s="88"/>
      <c r="L1072" s="88"/>
      <c r="M1072" s="88"/>
      <c r="N1072" s="88"/>
      <c r="O1072" s="88"/>
      <c r="P1072" s="88"/>
      <c r="Q1072" s="88"/>
      <c r="R1072" s="88"/>
      <c r="S1072" s="88"/>
      <c r="T1072" s="88"/>
      <c r="U1072" s="88"/>
      <c r="V1072" s="88"/>
      <c r="W1072" s="88"/>
      <c r="X1072" s="88"/>
      <c r="Y1072" s="88"/>
      <c r="Z1072" s="88"/>
      <c r="AA1072" s="88"/>
      <c r="AB1072" s="88"/>
      <c r="AC1072" s="88"/>
      <c r="AD1072" s="88"/>
      <c r="AE1072" s="88"/>
      <c r="AF1072" s="88"/>
      <c r="AG1072" s="88"/>
      <c r="AH1072" s="88"/>
      <c r="AI1072" s="88"/>
      <c r="AJ1072" s="88"/>
    </row>
    <row r="1073" spans="1:36" ht="15">
      <c r="A1073" s="88" t="s">
        <v>331</v>
      </c>
      <c r="B1073" s="88" t="s">
        <v>793</v>
      </c>
      <c r="C1073" s="88" t="s">
        <v>7</v>
      </c>
      <c r="D1073" s="88" t="s">
        <v>3520</v>
      </c>
      <c r="E1073" s="88" t="s">
        <v>3521</v>
      </c>
      <c r="F1073" s="88"/>
      <c r="G1073" s="88"/>
      <c r="H1073" s="88"/>
      <c r="I1073" s="88"/>
      <c r="J1073" s="88"/>
      <c r="K1073" s="88"/>
      <c r="L1073" s="88"/>
      <c r="M1073" s="88"/>
      <c r="N1073" s="88"/>
      <c r="O1073" s="88"/>
      <c r="P1073" s="88"/>
      <c r="Q1073" s="88"/>
      <c r="R1073" s="88"/>
      <c r="S1073" s="88"/>
      <c r="T1073" s="88"/>
      <c r="U1073" s="88"/>
      <c r="V1073" s="88"/>
      <c r="W1073" s="88"/>
      <c r="X1073" s="88"/>
      <c r="Y1073" s="88"/>
      <c r="Z1073" s="88"/>
      <c r="AA1073" s="88"/>
      <c r="AB1073" s="88"/>
      <c r="AC1073" s="88"/>
      <c r="AD1073" s="88"/>
      <c r="AE1073" s="88"/>
      <c r="AF1073" s="88"/>
      <c r="AG1073" s="88"/>
      <c r="AH1073" s="88"/>
      <c r="AI1073" s="88"/>
      <c r="AJ1073" s="88"/>
    </row>
    <row r="1074" spans="1:36" ht="15">
      <c r="A1074" s="88" t="s">
        <v>331</v>
      </c>
      <c r="B1074" s="88" t="s">
        <v>815</v>
      </c>
      <c r="C1074" s="88" t="s">
        <v>7</v>
      </c>
      <c r="D1074" s="88" t="s">
        <v>3522</v>
      </c>
      <c r="E1074" s="88" t="s">
        <v>3523</v>
      </c>
      <c r="F1074" s="88"/>
      <c r="G1074" s="88"/>
      <c r="H1074" s="88"/>
      <c r="I1074" s="88"/>
      <c r="J1074" s="88"/>
      <c r="K1074" s="88"/>
      <c r="L1074" s="88"/>
      <c r="M1074" s="88"/>
      <c r="N1074" s="88"/>
      <c r="O1074" s="88"/>
      <c r="P1074" s="88"/>
      <c r="Q1074" s="88"/>
      <c r="R1074" s="88"/>
      <c r="S1074" s="88"/>
      <c r="T1074" s="88"/>
      <c r="U1074" s="88"/>
      <c r="V1074" s="88"/>
      <c r="W1074" s="88"/>
      <c r="X1074" s="88"/>
      <c r="Y1074" s="88"/>
      <c r="Z1074" s="88"/>
      <c r="AA1074" s="88"/>
      <c r="AB1074" s="88"/>
      <c r="AC1074" s="88"/>
      <c r="AD1074" s="88"/>
      <c r="AE1074" s="88"/>
      <c r="AF1074" s="88"/>
      <c r="AG1074" s="88"/>
      <c r="AH1074" s="88"/>
      <c r="AI1074" s="88"/>
      <c r="AJ1074" s="88"/>
    </row>
    <row r="1075" spans="1:36" ht="15">
      <c r="A1075" s="88" t="s">
        <v>331</v>
      </c>
      <c r="B1075" s="88" t="s">
        <v>756</v>
      </c>
      <c r="C1075" s="88" t="s">
        <v>7</v>
      </c>
      <c r="D1075" s="88" t="s">
        <v>3524</v>
      </c>
      <c r="E1075" s="88" t="s">
        <v>3525</v>
      </c>
      <c r="F1075" s="88"/>
      <c r="G1075" s="88"/>
      <c r="H1075" s="88"/>
      <c r="I1075" s="88"/>
      <c r="J1075" s="88"/>
      <c r="K1075" s="88"/>
      <c r="L1075" s="88"/>
      <c r="M1075" s="88"/>
      <c r="N1075" s="88"/>
      <c r="O1075" s="88"/>
      <c r="P1075" s="88"/>
      <c r="Q1075" s="88"/>
      <c r="R1075" s="88"/>
      <c r="S1075" s="88"/>
      <c r="T1075" s="88"/>
      <c r="U1075" s="88"/>
      <c r="V1075" s="88"/>
      <c r="W1075" s="88"/>
      <c r="X1075" s="88"/>
      <c r="Y1075" s="88"/>
      <c r="Z1075" s="88"/>
      <c r="AA1075" s="88"/>
      <c r="AB1075" s="88"/>
      <c r="AC1075" s="88"/>
      <c r="AD1075" s="88"/>
      <c r="AE1075" s="88"/>
      <c r="AF1075" s="88"/>
      <c r="AG1075" s="88"/>
      <c r="AH1075" s="88"/>
      <c r="AI1075" s="88"/>
      <c r="AJ1075" s="88"/>
    </row>
    <row r="1076" spans="1:36" ht="15">
      <c r="A1076" s="88" t="s">
        <v>345</v>
      </c>
      <c r="B1076" s="88" t="s">
        <v>377</v>
      </c>
      <c r="C1076" s="88" t="s">
        <v>7</v>
      </c>
      <c r="D1076" s="88" t="s">
        <v>3526</v>
      </c>
      <c r="E1076" s="88" t="s">
        <v>3527</v>
      </c>
      <c r="F1076" s="88"/>
      <c r="G1076" s="88"/>
      <c r="H1076" s="88"/>
      <c r="I1076" s="88"/>
      <c r="J1076" s="88"/>
      <c r="K1076" s="88"/>
      <c r="L1076" s="88"/>
      <c r="M1076" s="88"/>
      <c r="N1076" s="88"/>
      <c r="O1076" s="88"/>
      <c r="P1076" s="88"/>
      <c r="Q1076" s="88"/>
      <c r="R1076" s="88"/>
      <c r="S1076" s="88"/>
      <c r="T1076" s="88"/>
      <c r="U1076" s="88"/>
      <c r="V1076" s="88"/>
      <c r="W1076" s="88"/>
      <c r="X1076" s="88"/>
      <c r="Y1076" s="88"/>
      <c r="Z1076" s="88"/>
      <c r="AA1076" s="88"/>
      <c r="AB1076" s="88"/>
      <c r="AC1076" s="88"/>
      <c r="AD1076" s="88"/>
      <c r="AE1076" s="88"/>
      <c r="AF1076" s="88"/>
      <c r="AG1076" s="88"/>
      <c r="AH1076" s="88"/>
      <c r="AI1076" s="88"/>
      <c r="AJ1076" s="88"/>
    </row>
    <row r="1077" spans="1:36" ht="15">
      <c r="A1077" s="88" t="s">
        <v>345</v>
      </c>
      <c r="B1077" s="88" t="s">
        <v>407</v>
      </c>
      <c r="C1077" s="88" t="s">
        <v>7</v>
      </c>
      <c r="D1077" s="88" t="s">
        <v>3528</v>
      </c>
      <c r="E1077" s="88" t="s">
        <v>3529</v>
      </c>
      <c r="F1077" s="88"/>
      <c r="G1077" s="88"/>
      <c r="H1077" s="88"/>
      <c r="I1077" s="88"/>
      <c r="J1077" s="88"/>
      <c r="K1077" s="88"/>
      <c r="L1077" s="88"/>
      <c r="M1077" s="88"/>
      <c r="N1077" s="88"/>
      <c r="O1077" s="88"/>
      <c r="P1077" s="88"/>
      <c r="Q1077" s="88"/>
      <c r="R1077" s="88"/>
      <c r="S1077" s="88"/>
      <c r="T1077" s="88"/>
      <c r="U1077" s="88"/>
      <c r="V1077" s="88"/>
      <c r="W1077" s="88"/>
      <c r="X1077" s="88"/>
      <c r="Y1077" s="88"/>
      <c r="Z1077" s="88"/>
      <c r="AA1077" s="88"/>
      <c r="AB1077" s="88"/>
      <c r="AC1077" s="88"/>
      <c r="AD1077" s="88"/>
      <c r="AE1077" s="88"/>
      <c r="AF1077" s="88"/>
      <c r="AG1077" s="88"/>
      <c r="AH1077" s="88"/>
      <c r="AI1077" s="88"/>
      <c r="AJ1077" s="88"/>
    </row>
    <row r="1078" spans="1:36" ht="15">
      <c r="A1078" s="88" t="s">
        <v>345</v>
      </c>
      <c r="B1078" s="88" t="s">
        <v>438</v>
      </c>
      <c r="C1078" s="88" t="s">
        <v>7</v>
      </c>
      <c r="D1078" s="88" t="s">
        <v>3530</v>
      </c>
      <c r="E1078" s="88" t="s">
        <v>3531</v>
      </c>
      <c r="F1078" s="88"/>
      <c r="G1078" s="88"/>
      <c r="H1078" s="88"/>
      <c r="I1078" s="88"/>
      <c r="J1078" s="88"/>
      <c r="K1078" s="88"/>
      <c r="L1078" s="88"/>
      <c r="M1078" s="88"/>
      <c r="N1078" s="88"/>
      <c r="O1078" s="88"/>
      <c r="P1078" s="88"/>
      <c r="Q1078" s="88"/>
      <c r="R1078" s="88"/>
      <c r="S1078" s="88"/>
      <c r="T1078" s="88"/>
      <c r="U1078" s="88"/>
      <c r="V1078" s="88"/>
      <c r="W1078" s="88"/>
      <c r="X1078" s="88"/>
      <c r="Y1078" s="88"/>
      <c r="Z1078" s="88"/>
      <c r="AA1078" s="88"/>
      <c r="AB1078" s="88"/>
      <c r="AC1078" s="88"/>
      <c r="AD1078" s="88"/>
      <c r="AE1078" s="88"/>
      <c r="AF1078" s="88"/>
      <c r="AG1078" s="88"/>
      <c r="AH1078" s="88"/>
      <c r="AI1078" s="88"/>
      <c r="AJ1078" s="88"/>
    </row>
    <row r="1079" spans="1:36" ht="15">
      <c r="A1079" s="88" t="s">
        <v>345</v>
      </c>
      <c r="B1079" s="88" t="s">
        <v>469</v>
      </c>
      <c r="C1079" s="88" t="s">
        <v>7</v>
      </c>
      <c r="D1079" s="88" t="s">
        <v>3532</v>
      </c>
      <c r="E1079" s="88" t="s">
        <v>3533</v>
      </c>
      <c r="F1079" s="88"/>
      <c r="G1079" s="88"/>
      <c r="H1079" s="88"/>
      <c r="I1079" s="88"/>
      <c r="J1079" s="88"/>
      <c r="K1079" s="88"/>
      <c r="L1079" s="88"/>
      <c r="M1079" s="88"/>
      <c r="N1079" s="88"/>
      <c r="O1079" s="88"/>
      <c r="P1079" s="88"/>
      <c r="Q1079" s="88"/>
      <c r="R1079" s="88"/>
      <c r="S1079" s="88"/>
      <c r="T1079" s="88"/>
      <c r="U1079" s="88"/>
      <c r="V1079" s="88"/>
      <c r="W1079" s="88"/>
      <c r="X1079" s="88"/>
      <c r="Y1079" s="88"/>
      <c r="Z1079" s="88"/>
      <c r="AA1079" s="88"/>
      <c r="AB1079" s="88"/>
      <c r="AC1079" s="88"/>
      <c r="AD1079" s="88"/>
      <c r="AE1079" s="88"/>
      <c r="AF1079" s="88"/>
      <c r="AG1079" s="88"/>
      <c r="AH1079" s="88"/>
      <c r="AI1079" s="88"/>
      <c r="AJ1079" s="88"/>
    </row>
    <row r="1080" spans="1:36" ht="15">
      <c r="A1080" s="88" t="s">
        <v>345</v>
      </c>
      <c r="B1080" s="88" t="s">
        <v>500</v>
      </c>
      <c r="C1080" s="88" t="s">
        <v>7</v>
      </c>
      <c r="D1080" s="88" t="s">
        <v>3534</v>
      </c>
      <c r="E1080" s="88" t="s">
        <v>3535</v>
      </c>
      <c r="F1080" s="88"/>
      <c r="G1080" s="88"/>
      <c r="H1080" s="88"/>
      <c r="I1080" s="88"/>
      <c r="J1080" s="88"/>
      <c r="K1080" s="88"/>
      <c r="L1080" s="88"/>
      <c r="M1080" s="88"/>
      <c r="N1080" s="88"/>
      <c r="O1080" s="88"/>
      <c r="P1080" s="88"/>
      <c r="Q1080" s="88"/>
      <c r="R1080" s="88"/>
      <c r="S1080" s="88"/>
      <c r="T1080" s="88"/>
      <c r="U1080" s="88"/>
      <c r="V1080" s="88"/>
      <c r="W1080" s="88"/>
      <c r="X1080" s="88"/>
      <c r="Y1080" s="88"/>
      <c r="Z1080" s="88"/>
      <c r="AA1080" s="88"/>
      <c r="AB1080" s="88"/>
      <c r="AC1080" s="88"/>
      <c r="AD1080" s="88"/>
      <c r="AE1080" s="88"/>
      <c r="AF1080" s="88"/>
      <c r="AG1080" s="88"/>
      <c r="AH1080" s="88"/>
      <c r="AI1080" s="88"/>
      <c r="AJ1080" s="88"/>
    </row>
    <row r="1081" spans="1:36" ht="15">
      <c r="A1081" s="88" t="s">
        <v>345</v>
      </c>
      <c r="B1081" s="88" t="s">
        <v>529</v>
      </c>
      <c r="C1081" s="88" t="s">
        <v>7</v>
      </c>
      <c r="D1081" s="88" t="s">
        <v>3536</v>
      </c>
      <c r="E1081" s="88" t="s">
        <v>3537</v>
      </c>
      <c r="F1081" s="88"/>
      <c r="G1081" s="88"/>
      <c r="H1081" s="88"/>
      <c r="I1081" s="88"/>
      <c r="J1081" s="88"/>
      <c r="K1081" s="88"/>
      <c r="L1081" s="88"/>
      <c r="M1081" s="88"/>
      <c r="N1081" s="88"/>
      <c r="O1081" s="88"/>
      <c r="P1081" s="88"/>
      <c r="Q1081" s="88"/>
      <c r="R1081" s="88"/>
      <c r="S1081" s="88"/>
      <c r="T1081" s="88"/>
      <c r="U1081" s="88"/>
      <c r="V1081" s="88"/>
      <c r="W1081" s="88"/>
      <c r="X1081" s="88"/>
      <c r="Y1081" s="88"/>
      <c r="Z1081" s="88"/>
      <c r="AA1081" s="88"/>
      <c r="AB1081" s="88"/>
      <c r="AC1081" s="88"/>
      <c r="AD1081" s="88"/>
      <c r="AE1081" s="88"/>
      <c r="AF1081" s="88"/>
      <c r="AG1081" s="88"/>
      <c r="AH1081" s="88"/>
      <c r="AI1081" s="88"/>
      <c r="AJ1081" s="88"/>
    </row>
    <row r="1082" spans="1:36" ht="15">
      <c r="A1082" s="88" t="s">
        <v>345</v>
      </c>
      <c r="B1082" s="88" t="s">
        <v>558</v>
      </c>
      <c r="C1082" s="88" t="s">
        <v>7</v>
      </c>
      <c r="D1082" s="88" t="s">
        <v>3538</v>
      </c>
      <c r="E1082" s="88" t="s">
        <v>3539</v>
      </c>
      <c r="F1082" s="88"/>
      <c r="G1082" s="88"/>
      <c r="H1082" s="88"/>
      <c r="I1082" s="88"/>
      <c r="J1082" s="88"/>
      <c r="K1082" s="88"/>
      <c r="L1082" s="88"/>
      <c r="M1082" s="88"/>
      <c r="N1082" s="88"/>
      <c r="O1082" s="88"/>
      <c r="P1082" s="88"/>
      <c r="Q1082" s="88"/>
      <c r="R1082" s="88"/>
      <c r="S1082" s="88"/>
      <c r="T1082" s="88"/>
      <c r="U1082" s="88"/>
      <c r="V1082" s="88"/>
      <c r="W1082" s="88"/>
      <c r="X1082" s="88"/>
      <c r="Y1082" s="88"/>
      <c r="Z1082" s="88"/>
      <c r="AA1082" s="88"/>
      <c r="AB1082" s="88"/>
      <c r="AC1082" s="88"/>
      <c r="AD1082" s="88"/>
      <c r="AE1082" s="88"/>
      <c r="AF1082" s="88"/>
      <c r="AG1082" s="88"/>
      <c r="AH1082" s="88"/>
      <c r="AI1082" s="88"/>
      <c r="AJ1082" s="88"/>
    </row>
    <row r="1083" spans="1:36" ht="15">
      <c r="A1083" s="88" t="s">
        <v>345</v>
      </c>
      <c r="B1083" s="88" t="s">
        <v>586</v>
      </c>
      <c r="C1083" s="88" t="s">
        <v>7</v>
      </c>
      <c r="D1083" s="88" t="s">
        <v>3540</v>
      </c>
      <c r="E1083" s="88" t="s">
        <v>3541</v>
      </c>
      <c r="F1083" s="88"/>
      <c r="G1083" s="88"/>
      <c r="H1083" s="88"/>
      <c r="I1083" s="88"/>
      <c r="J1083" s="88"/>
      <c r="K1083" s="88"/>
      <c r="L1083" s="88"/>
      <c r="M1083" s="88"/>
      <c r="N1083" s="88"/>
      <c r="O1083" s="88"/>
      <c r="P1083" s="88"/>
      <c r="Q1083" s="88"/>
      <c r="R1083" s="88"/>
      <c r="S1083" s="88"/>
      <c r="T1083" s="88"/>
      <c r="U1083" s="88"/>
      <c r="V1083" s="88"/>
      <c r="W1083" s="88"/>
      <c r="X1083" s="88"/>
      <c r="Y1083" s="88"/>
      <c r="Z1083" s="88"/>
      <c r="AA1083" s="88"/>
      <c r="AB1083" s="88"/>
      <c r="AC1083" s="88"/>
      <c r="AD1083" s="88"/>
      <c r="AE1083" s="88"/>
      <c r="AF1083" s="88"/>
      <c r="AG1083" s="88"/>
      <c r="AH1083" s="88"/>
      <c r="AI1083" s="88"/>
      <c r="AJ1083" s="88"/>
    </row>
    <row r="1084" spans="1:36" ht="15">
      <c r="A1084" s="88" t="s">
        <v>345</v>
      </c>
      <c r="B1084" s="88" t="s">
        <v>612</v>
      </c>
      <c r="C1084" s="88" t="s">
        <v>7</v>
      </c>
      <c r="D1084" s="88" t="s">
        <v>3542</v>
      </c>
      <c r="E1084" s="88" t="s">
        <v>3543</v>
      </c>
      <c r="F1084" s="88"/>
      <c r="G1084" s="88"/>
      <c r="H1084" s="88"/>
      <c r="I1084" s="88"/>
      <c r="J1084" s="88"/>
      <c r="K1084" s="88"/>
      <c r="L1084" s="88"/>
      <c r="M1084" s="88"/>
      <c r="N1084" s="88"/>
      <c r="O1084" s="88"/>
      <c r="P1084" s="88"/>
      <c r="Q1084" s="88"/>
      <c r="R1084" s="88"/>
      <c r="S1084" s="88"/>
      <c r="T1084" s="88"/>
      <c r="U1084" s="88"/>
      <c r="V1084" s="88"/>
      <c r="W1084" s="88"/>
      <c r="X1084" s="88"/>
      <c r="Y1084" s="88"/>
      <c r="Z1084" s="88"/>
      <c r="AA1084" s="88"/>
      <c r="AB1084" s="88"/>
      <c r="AC1084" s="88"/>
      <c r="AD1084" s="88"/>
      <c r="AE1084" s="88"/>
      <c r="AF1084" s="88"/>
      <c r="AG1084" s="88"/>
      <c r="AH1084" s="88"/>
      <c r="AI1084" s="88"/>
      <c r="AJ1084" s="88"/>
    </row>
    <row r="1085" spans="1:36" ht="15">
      <c r="A1085" s="88" t="s">
        <v>345</v>
      </c>
      <c r="B1085" s="88" t="s">
        <v>639</v>
      </c>
      <c r="C1085" s="88" t="s">
        <v>7</v>
      </c>
      <c r="D1085" s="88" t="s">
        <v>3544</v>
      </c>
      <c r="E1085" s="88" t="s">
        <v>3545</v>
      </c>
      <c r="F1085" s="88"/>
      <c r="G1085" s="88"/>
      <c r="H1085" s="88"/>
      <c r="I1085" s="88"/>
      <c r="J1085" s="88"/>
      <c r="K1085" s="88"/>
      <c r="L1085" s="88"/>
      <c r="M1085" s="88"/>
      <c r="N1085" s="88"/>
      <c r="O1085" s="88"/>
      <c r="P1085" s="88"/>
      <c r="Q1085" s="88"/>
      <c r="R1085" s="88"/>
      <c r="S1085" s="88"/>
      <c r="T1085" s="88"/>
      <c r="U1085" s="88"/>
      <c r="V1085" s="88"/>
      <c r="W1085" s="88"/>
      <c r="X1085" s="88"/>
      <c r="Y1085" s="88"/>
      <c r="Z1085" s="88"/>
      <c r="AA1085" s="88"/>
      <c r="AB1085" s="88"/>
      <c r="AC1085" s="88"/>
      <c r="AD1085" s="88"/>
      <c r="AE1085" s="88"/>
      <c r="AF1085" s="88"/>
      <c r="AG1085" s="88"/>
      <c r="AH1085" s="88"/>
      <c r="AI1085" s="88"/>
      <c r="AJ1085" s="88"/>
    </row>
    <row r="1086" spans="1:36" ht="15">
      <c r="A1086" s="88" t="s">
        <v>345</v>
      </c>
      <c r="B1086" s="88" t="s">
        <v>664</v>
      </c>
      <c r="C1086" s="88" t="s">
        <v>7</v>
      </c>
      <c r="D1086" s="88" t="s">
        <v>3546</v>
      </c>
      <c r="E1086" s="88" t="s">
        <v>3547</v>
      </c>
      <c r="F1086" s="88"/>
      <c r="G1086" s="88"/>
      <c r="H1086" s="88"/>
      <c r="I1086" s="88"/>
      <c r="J1086" s="88"/>
      <c r="K1086" s="88"/>
      <c r="L1086" s="88"/>
      <c r="M1086" s="88"/>
      <c r="N1086" s="88"/>
      <c r="O1086" s="88"/>
      <c r="P1086" s="88"/>
      <c r="Q1086" s="88"/>
      <c r="R1086" s="88"/>
      <c r="S1086" s="88"/>
      <c r="T1086" s="88"/>
      <c r="U1086" s="88"/>
      <c r="V1086" s="88"/>
      <c r="W1086" s="88"/>
      <c r="X1086" s="88"/>
      <c r="Y1086" s="88"/>
      <c r="Z1086" s="88"/>
      <c r="AA1086" s="88"/>
      <c r="AB1086" s="88"/>
      <c r="AC1086" s="88"/>
      <c r="AD1086" s="88"/>
      <c r="AE1086" s="88"/>
      <c r="AF1086" s="88"/>
      <c r="AG1086" s="88"/>
      <c r="AH1086" s="88"/>
      <c r="AI1086" s="88"/>
      <c r="AJ1086" s="88"/>
    </row>
    <row r="1087" spans="1:36" ht="15">
      <c r="A1087" s="88" t="s">
        <v>345</v>
      </c>
      <c r="B1087" s="88" t="s">
        <v>689</v>
      </c>
      <c r="C1087" s="88" t="s">
        <v>7</v>
      </c>
      <c r="D1087" s="88" t="s">
        <v>3548</v>
      </c>
      <c r="E1087" s="88" t="s">
        <v>3549</v>
      </c>
      <c r="F1087" s="88"/>
      <c r="G1087" s="88"/>
      <c r="H1087" s="88"/>
      <c r="I1087" s="88"/>
      <c r="J1087" s="88"/>
      <c r="K1087" s="88"/>
      <c r="L1087" s="88"/>
      <c r="M1087" s="88"/>
      <c r="N1087" s="88"/>
      <c r="O1087" s="88"/>
      <c r="P1087" s="88"/>
      <c r="Q1087" s="88"/>
      <c r="R1087" s="88"/>
      <c r="S1087" s="88"/>
      <c r="T1087" s="88"/>
      <c r="U1087" s="88"/>
      <c r="V1087" s="88"/>
      <c r="W1087" s="88"/>
      <c r="X1087" s="88"/>
      <c r="Y1087" s="88"/>
      <c r="Z1087" s="88"/>
      <c r="AA1087" s="88"/>
      <c r="AB1087" s="88"/>
      <c r="AC1087" s="88"/>
      <c r="AD1087" s="88"/>
      <c r="AE1087" s="88"/>
      <c r="AF1087" s="88"/>
      <c r="AG1087" s="88"/>
      <c r="AH1087" s="88"/>
      <c r="AI1087" s="88"/>
      <c r="AJ1087" s="88"/>
    </row>
    <row r="1088" spans="1:36" ht="15">
      <c r="A1088" s="88" t="s">
        <v>345</v>
      </c>
      <c r="B1088" s="88" t="s">
        <v>713</v>
      </c>
      <c r="C1088" s="88" t="s">
        <v>7</v>
      </c>
      <c r="D1088" s="88" t="s">
        <v>3550</v>
      </c>
      <c r="E1088" s="88" t="s">
        <v>3551</v>
      </c>
      <c r="F1088" s="88"/>
      <c r="G1088" s="88"/>
      <c r="H1088" s="88"/>
      <c r="I1088" s="88"/>
      <c r="J1088" s="88"/>
      <c r="K1088" s="88"/>
      <c r="L1088" s="88"/>
      <c r="M1088" s="88"/>
      <c r="N1088" s="88"/>
      <c r="O1088" s="88"/>
      <c r="P1088" s="88"/>
      <c r="Q1088" s="88"/>
      <c r="R1088" s="88"/>
      <c r="S1088" s="88"/>
      <c r="T1088" s="88"/>
      <c r="U1088" s="88"/>
      <c r="V1088" s="88"/>
      <c r="W1088" s="88"/>
      <c r="X1088" s="88"/>
      <c r="Y1088" s="88"/>
      <c r="Z1088" s="88"/>
      <c r="AA1088" s="88"/>
      <c r="AB1088" s="88"/>
      <c r="AC1088" s="88"/>
      <c r="AD1088" s="88"/>
      <c r="AE1088" s="88"/>
      <c r="AF1088" s="88"/>
      <c r="AG1088" s="88"/>
      <c r="AH1088" s="88"/>
      <c r="AI1088" s="88"/>
      <c r="AJ1088" s="88"/>
    </row>
    <row r="1089" spans="1:36" ht="15">
      <c r="A1089" s="88" t="s">
        <v>3552</v>
      </c>
      <c r="B1089" s="88" t="s">
        <v>1356</v>
      </c>
      <c r="C1089" s="88" t="s">
        <v>3553</v>
      </c>
      <c r="D1089" s="88" t="s">
        <v>3554</v>
      </c>
      <c r="E1089" s="88" t="s">
        <v>3555</v>
      </c>
      <c r="F1089" s="88"/>
      <c r="G1089" s="88"/>
      <c r="H1089" s="88"/>
      <c r="I1089" s="88"/>
      <c r="J1089" s="88"/>
      <c r="K1089" s="88"/>
      <c r="L1089" s="88"/>
      <c r="M1089" s="88"/>
      <c r="N1089" s="88"/>
      <c r="O1089" s="88"/>
      <c r="P1089" s="88"/>
      <c r="Q1089" s="88"/>
      <c r="R1089" s="88"/>
      <c r="S1089" s="88"/>
      <c r="T1089" s="88"/>
      <c r="U1089" s="88"/>
      <c r="V1089" s="88"/>
      <c r="W1089" s="88"/>
      <c r="X1089" s="88"/>
      <c r="Y1089" s="88"/>
      <c r="Z1089" s="88"/>
      <c r="AA1089" s="88"/>
      <c r="AB1089" s="88"/>
      <c r="AC1089" s="88"/>
      <c r="AD1089" s="88"/>
      <c r="AE1089" s="88"/>
      <c r="AF1089" s="88"/>
      <c r="AG1089" s="88"/>
      <c r="AH1089" s="88"/>
      <c r="AI1089" s="88"/>
      <c r="AJ1089" s="88"/>
    </row>
    <row r="1090" spans="1:36" ht="15">
      <c r="A1090" s="88" t="s">
        <v>3552</v>
      </c>
      <c r="B1090" s="88" t="s">
        <v>1215</v>
      </c>
      <c r="C1090" s="88" t="s">
        <v>7</v>
      </c>
      <c r="D1090" s="88" t="s">
        <v>3556</v>
      </c>
      <c r="E1090" s="88" t="s">
        <v>3557</v>
      </c>
      <c r="F1090" s="88"/>
      <c r="G1090" s="88"/>
      <c r="H1090" s="88"/>
      <c r="I1090" s="88"/>
      <c r="J1090" s="88"/>
      <c r="K1090" s="88"/>
      <c r="L1090" s="88"/>
      <c r="M1090" s="88"/>
      <c r="N1090" s="88"/>
      <c r="O1090" s="88"/>
      <c r="P1090" s="88"/>
      <c r="Q1090" s="88"/>
      <c r="R1090" s="88"/>
      <c r="S1090" s="88"/>
      <c r="T1090" s="88"/>
      <c r="U1090" s="88"/>
      <c r="V1090" s="88"/>
      <c r="W1090" s="88"/>
      <c r="X1090" s="88"/>
      <c r="Y1090" s="88"/>
      <c r="Z1090" s="88"/>
      <c r="AA1090" s="88"/>
      <c r="AB1090" s="88"/>
      <c r="AC1090" s="88"/>
      <c r="AD1090" s="88"/>
      <c r="AE1090" s="88"/>
      <c r="AF1090" s="88"/>
      <c r="AG1090" s="88"/>
      <c r="AH1090" s="88"/>
      <c r="AI1090" s="88"/>
      <c r="AJ1090" s="88"/>
    </row>
    <row r="1091" spans="1:36" ht="15">
      <c r="A1091" s="88" t="s">
        <v>324</v>
      </c>
      <c r="B1091" s="88" t="s">
        <v>357</v>
      </c>
      <c r="C1091" s="88" t="s">
        <v>7</v>
      </c>
      <c r="D1091" s="88" t="s">
        <v>3558</v>
      </c>
      <c r="E1091" s="88" t="s">
        <v>3559</v>
      </c>
      <c r="F1091" s="88"/>
      <c r="G1091" s="88" t="s">
        <v>324</v>
      </c>
      <c r="H1091" s="88"/>
      <c r="I1091" s="88"/>
      <c r="J1091" s="88"/>
      <c r="K1091" s="88"/>
      <c r="L1091" s="88"/>
      <c r="M1091" s="88"/>
      <c r="N1091" s="88"/>
      <c r="O1091" s="88"/>
      <c r="P1091" s="88"/>
      <c r="Q1091" s="88"/>
      <c r="R1091" s="88"/>
      <c r="S1091" s="88"/>
      <c r="T1091" s="88"/>
      <c r="U1091" s="88"/>
      <c r="V1091" s="88"/>
      <c r="W1091" s="88"/>
      <c r="X1091" s="88"/>
      <c r="Y1091" s="88"/>
      <c r="Z1091" s="88"/>
      <c r="AA1091" s="88"/>
      <c r="AB1091" s="88"/>
      <c r="AC1091" s="88"/>
      <c r="AD1091" s="88"/>
      <c r="AE1091" s="88"/>
      <c r="AF1091" s="88"/>
      <c r="AG1091" s="88"/>
      <c r="AH1091" s="88"/>
      <c r="AI1091" s="88"/>
      <c r="AJ1091" s="88"/>
    </row>
    <row r="1092" spans="1:36" ht="15">
      <c r="A1092" s="88" t="s">
        <v>324</v>
      </c>
      <c r="B1092" s="88" t="s">
        <v>388</v>
      </c>
      <c r="C1092" s="88" t="s">
        <v>3560</v>
      </c>
      <c r="D1092" s="88" t="s">
        <v>3561</v>
      </c>
      <c r="E1092" s="88" t="s">
        <v>3562</v>
      </c>
      <c r="F1092" s="88"/>
      <c r="G1092" s="88" t="s">
        <v>6</v>
      </c>
      <c r="H1092" s="88"/>
      <c r="I1092" s="88"/>
      <c r="J1092" s="88"/>
      <c r="K1092" s="88"/>
      <c r="L1092" s="88"/>
      <c r="M1092" s="88"/>
      <c r="N1092" s="88"/>
      <c r="O1092" s="88"/>
      <c r="P1092" s="88"/>
      <c r="Q1092" s="88"/>
      <c r="R1092" s="88"/>
      <c r="S1092" s="88"/>
      <c r="T1092" s="88"/>
      <c r="U1092" s="88"/>
      <c r="V1092" s="88"/>
      <c r="W1092" s="88"/>
      <c r="X1092" s="88"/>
      <c r="Y1092" s="88"/>
      <c r="Z1092" s="88"/>
      <c r="AA1092" s="88"/>
      <c r="AB1092" s="88"/>
      <c r="AC1092" s="88"/>
      <c r="AD1092" s="88"/>
      <c r="AE1092" s="88"/>
      <c r="AF1092" s="88"/>
      <c r="AG1092" s="88"/>
      <c r="AH1092" s="88"/>
      <c r="AI1092" s="88"/>
      <c r="AJ1092" s="88"/>
    </row>
    <row r="1093" spans="1:36" ht="15">
      <c r="A1093" s="88" t="s">
        <v>324</v>
      </c>
      <c r="B1093" s="88" t="s">
        <v>418</v>
      </c>
      <c r="C1093" s="88" t="s">
        <v>3560</v>
      </c>
      <c r="D1093" s="88" t="s">
        <v>3563</v>
      </c>
      <c r="E1093" s="88" t="s">
        <v>3564</v>
      </c>
      <c r="F1093" s="88"/>
      <c r="G1093" s="88" t="s">
        <v>325</v>
      </c>
      <c r="H1093" s="88"/>
      <c r="I1093" s="88"/>
      <c r="J1093" s="88"/>
      <c r="K1093" s="88"/>
      <c r="L1093" s="88"/>
      <c r="M1093" s="88"/>
      <c r="N1093" s="88"/>
      <c r="O1093" s="88"/>
      <c r="P1093" s="88"/>
      <c r="Q1093" s="88"/>
      <c r="R1093" s="88"/>
      <c r="S1093" s="88"/>
      <c r="T1093" s="88"/>
      <c r="U1093" s="88"/>
      <c r="V1093" s="88"/>
      <c r="W1093" s="88"/>
      <c r="X1093" s="88"/>
      <c r="Y1093" s="88"/>
      <c r="Z1093" s="88"/>
      <c r="AA1093" s="88"/>
      <c r="AB1093" s="88"/>
      <c r="AC1093" s="88"/>
      <c r="AD1093" s="88"/>
      <c r="AE1093" s="88"/>
      <c r="AF1093" s="88"/>
      <c r="AG1093" s="88"/>
      <c r="AH1093" s="88"/>
      <c r="AI1093" s="88"/>
      <c r="AJ1093" s="88"/>
    </row>
    <row r="1094" spans="1:36" ht="15">
      <c r="A1094" s="88" t="s">
        <v>324</v>
      </c>
      <c r="B1094" s="88" t="s">
        <v>449</v>
      </c>
      <c r="C1094" s="88" t="s">
        <v>3560</v>
      </c>
      <c r="D1094" s="88" t="s">
        <v>3565</v>
      </c>
      <c r="E1094" s="88" t="s">
        <v>3566</v>
      </c>
      <c r="F1094" s="88"/>
      <c r="G1094" s="88" t="s">
        <v>3552</v>
      </c>
      <c r="H1094" s="88"/>
      <c r="I1094" s="88"/>
      <c r="J1094" s="88"/>
      <c r="K1094" s="88"/>
      <c r="L1094" s="88"/>
      <c r="M1094" s="88"/>
      <c r="N1094" s="88"/>
      <c r="O1094" s="88"/>
      <c r="P1094" s="88"/>
      <c r="Q1094" s="88"/>
      <c r="R1094" s="88"/>
      <c r="S1094" s="88"/>
      <c r="T1094" s="88"/>
      <c r="U1094" s="88"/>
      <c r="V1094" s="88"/>
      <c r="W1094" s="88"/>
      <c r="X1094" s="88"/>
      <c r="Y1094" s="88"/>
      <c r="Z1094" s="88"/>
      <c r="AA1094" s="88"/>
      <c r="AB1094" s="88"/>
      <c r="AC1094" s="88"/>
      <c r="AD1094" s="88"/>
      <c r="AE1094" s="88"/>
      <c r="AF1094" s="88"/>
      <c r="AG1094" s="88"/>
      <c r="AH1094" s="88"/>
      <c r="AI1094" s="88"/>
      <c r="AJ1094" s="88"/>
    </row>
    <row r="1095" spans="1:36" ht="15">
      <c r="A1095" s="88" t="s">
        <v>324</v>
      </c>
      <c r="B1095" s="88" t="s">
        <v>481</v>
      </c>
      <c r="C1095" s="88" t="s">
        <v>3560</v>
      </c>
      <c r="D1095" s="88" t="s">
        <v>3567</v>
      </c>
      <c r="E1095" s="88" t="s">
        <v>3568</v>
      </c>
      <c r="F1095" s="88"/>
      <c r="G1095" s="88" t="s">
        <v>326</v>
      </c>
      <c r="H1095" s="88"/>
      <c r="I1095" s="88"/>
      <c r="J1095" s="88"/>
      <c r="K1095" s="88"/>
      <c r="L1095" s="88"/>
      <c r="M1095" s="88"/>
      <c r="N1095" s="88"/>
      <c r="O1095" s="88"/>
      <c r="P1095" s="88"/>
      <c r="Q1095" s="88"/>
      <c r="R1095" s="88"/>
      <c r="S1095" s="88"/>
      <c r="T1095" s="88"/>
      <c r="U1095" s="88"/>
      <c r="V1095" s="88"/>
      <c r="W1095" s="88"/>
      <c r="X1095" s="88"/>
      <c r="Y1095" s="88"/>
      <c r="Z1095" s="88"/>
      <c r="AA1095" s="88"/>
      <c r="AB1095" s="88"/>
      <c r="AC1095" s="88"/>
      <c r="AD1095" s="88"/>
      <c r="AE1095" s="88"/>
      <c r="AF1095" s="88"/>
      <c r="AG1095" s="88"/>
      <c r="AH1095" s="88"/>
      <c r="AI1095" s="88"/>
      <c r="AJ1095" s="88"/>
    </row>
    <row r="1096" spans="1:36" ht="15">
      <c r="A1096" s="88" t="s">
        <v>324</v>
      </c>
      <c r="B1096" s="88" t="s">
        <v>509</v>
      </c>
      <c r="C1096" s="88" t="s">
        <v>3560</v>
      </c>
      <c r="D1096" s="88" t="s">
        <v>3569</v>
      </c>
      <c r="E1096" s="88" t="s">
        <v>3570</v>
      </c>
      <c r="F1096" s="88"/>
      <c r="G1096" s="88" t="s">
        <v>1674</v>
      </c>
      <c r="H1096" s="88"/>
      <c r="I1096" s="88"/>
      <c r="J1096" s="88"/>
      <c r="K1096" s="88"/>
      <c r="L1096" s="88"/>
      <c r="M1096" s="88"/>
      <c r="N1096" s="88"/>
      <c r="O1096" s="88"/>
      <c r="P1096" s="88"/>
      <c r="Q1096" s="88"/>
      <c r="R1096" s="88"/>
      <c r="S1096" s="88"/>
      <c r="T1096" s="88"/>
      <c r="U1096" s="88"/>
      <c r="V1096" s="88"/>
      <c r="W1096" s="88"/>
      <c r="X1096" s="88"/>
      <c r="Y1096" s="88"/>
      <c r="Z1096" s="88"/>
      <c r="AA1096" s="88"/>
      <c r="AB1096" s="88"/>
      <c r="AC1096" s="88"/>
      <c r="AD1096" s="88"/>
      <c r="AE1096" s="88"/>
      <c r="AF1096" s="88"/>
      <c r="AG1096" s="88"/>
      <c r="AH1096" s="88"/>
      <c r="AI1096" s="88"/>
      <c r="AJ1096" s="88"/>
    </row>
    <row r="1097" spans="1:36" ht="15">
      <c r="A1097" s="88" t="s">
        <v>324</v>
      </c>
      <c r="B1097" s="88" t="s">
        <v>539</v>
      </c>
      <c r="C1097" s="88" t="s">
        <v>3560</v>
      </c>
      <c r="D1097" s="88" t="s">
        <v>3571</v>
      </c>
      <c r="E1097" s="88" t="s">
        <v>3572</v>
      </c>
      <c r="F1097" s="88"/>
      <c r="G1097" s="88" t="s">
        <v>327</v>
      </c>
      <c r="H1097" s="88"/>
      <c r="I1097" s="88"/>
      <c r="J1097" s="88"/>
      <c r="K1097" s="88"/>
      <c r="L1097" s="88"/>
      <c r="M1097" s="88"/>
      <c r="N1097" s="88"/>
      <c r="O1097" s="88"/>
      <c r="P1097" s="88"/>
      <c r="Q1097" s="88"/>
      <c r="R1097" s="88"/>
      <c r="S1097" s="88"/>
      <c r="T1097" s="88"/>
      <c r="U1097" s="88"/>
      <c r="V1097" s="88"/>
      <c r="W1097" s="88"/>
      <c r="X1097" s="88"/>
      <c r="Y1097" s="88"/>
      <c r="Z1097" s="88"/>
      <c r="AA1097" s="88"/>
      <c r="AB1097" s="88"/>
      <c r="AC1097" s="88"/>
      <c r="AD1097" s="88"/>
      <c r="AE1097" s="88"/>
      <c r="AF1097" s="88"/>
      <c r="AG1097" s="88"/>
      <c r="AH1097" s="88"/>
      <c r="AI1097" s="88"/>
      <c r="AJ1097" s="88"/>
    </row>
    <row r="1098" spans="1:36" ht="15">
      <c r="A1098" s="88" t="s">
        <v>324</v>
      </c>
      <c r="B1098" s="88" t="s">
        <v>568</v>
      </c>
      <c r="C1098" s="88" t="s">
        <v>3560</v>
      </c>
      <c r="D1098" s="88" t="s">
        <v>3573</v>
      </c>
      <c r="E1098" s="88" t="s">
        <v>3574</v>
      </c>
      <c r="F1098" s="88"/>
      <c r="G1098" s="88" t="s">
        <v>328</v>
      </c>
      <c r="H1098" s="88"/>
      <c r="I1098" s="88"/>
      <c r="J1098" s="88"/>
      <c r="K1098" s="88"/>
      <c r="L1098" s="88"/>
      <c r="M1098" s="88"/>
      <c r="N1098" s="88"/>
      <c r="O1098" s="88"/>
      <c r="P1098" s="88"/>
      <c r="Q1098" s="88"/>
      <c r="R1098" s="88"/>
      <c r="S1098" s="88"/>
      <c r="T1098" s="88"/>
      <c r="U1098" s="88"/>
      <c r="V1098" s="88"/>
      <c r="W1098" s="88"/>
      <c r="X1098" s="88"/>
      <c r="Y1098" s="88"/>
      <c r="Z1098" s="88"/>
      <c r="AA1098" s="88"/>
      <c r="AB1098" s="88"/>
      <c r="AC1098" s="88"/>
      <c r="AD1098" s="88"/>
      <c r="AE1098" s="88"/>
      <c r="AF1098" s="88"/>
      <c r="AG1098" s="88"/>
      <c r="AH1098" s="88"/>
      <c r="AI1098" s="88"/>
      <c r="AJ1098" s="88"/>
    </row>
    <row r="1099" spans="1:36" ht="15">
      <c r="A1099" s="88" t="s">
        <v>324</v>
      </c>
      <c r="B1099" s="88" t="s">
        <v>596</v>
      </c>
      <c r="C1099" s="88" t="s">
        <v>7</v>
      </c>
      <c r="D1099" s="88" t="s">
        <v>3575</v>
      </c>
      <c r="E1099" s="88" t="s">
        <v>3576</v>
      </c>
      <c r="F1099" s="88"/>
      <c r="G1099" s="88" t="s">
        <v>329</v>
      </c>
      <c r="H1099" s="88"/>
      <c r="I1099" s="88"/>
      <c r="J1099" s="88"/>
      <c r="K1099" s="88"/>
      <c r="L1099" s="88"/>
      <c r="M1099" s="88"/>
      <c r="N1099" s="88"/>
      <c r="O1099" s="88"/>
      <c r="P1099" s="88"/>
      <c r="Q1099" s="88"/>
      <c r="R1099" s="88"/>
      <c r="S1099" s="88"/>
      <c r="T1099" s="88"/>
      <c r="U1099" s="88"/>
      <c r="V1099" s="88"/>
      <c r="W1099" s="88"/>
      <c r="X1099" s="88"/>
      <c r="Y1099" s="88"/>
      <c r="Z1099" s="88"/>
      <c r="AA1099" s="88"/>
      <c r="AB1099" s="88"/>
      <c r="AC1099" s="88"/>
      <c r="AD1099" s="88"/>
      <c r="AE1099" s="88"/>
      <c r="AF1099" s="88"/>
      <c r="AG1099" s="88"/>
      <c r="AH1099" s="88"/>
      <c r="AI1099" s="88"/>
      <c r="AJ1099" s="88"/>
    </row>
    <row r="1100" spans="1:36" ht="15">
      <c r="A1100" s="88" t="s">
        <v>324</v>
      </c>
      <c r="B1100" s="88" t="s">
        <v>621</v>
      </c>
      <c r="C1100" s="88" t="s">
        <v>3560</v>
      </c>
      <c r="D1100" s="88" t="s">
        <v>3577</v>
      </c>
      <c r="E1100" s="88" t="s">
        <v>3578</v>
      </c>
      <c r="F1100" s="88"/>
      <c r="G1100" s="88" t="s">
        <v>330</v>
      </c>
      <c r="H1100" s="88"/>
      <c r="I1100" s="88"/>
      <c r="J1100" s="88"/>
      <c r="K1100" s="88"/>
      <c r="L1100" s="88"/>
      <c r="M1100" s="88"/>
      <c r="N1100" s="88"/>
      <c r="O1100" s="88"/>
      <c r="P1100" s="88"/>
      <c r="Q1100" s="88"/>
      <c r="R1100" s="88"/>
      <c r="S1100" s="88"/>
      <c r="T1100" s="88"/>
      <c r="U1100" s="88"/>
      <c r="V1100" s="88"/>
      <c r="W1100" s="88"/>
      <c r="X1100" s="88"/>
      <c r="Y1100" s="88"/>
      <c r="Z1100" s="88"/>
      <c r="AA1100" s="88"/>
      <c r="AB1100" s="88"/>
      <c r="AC1100" s="88"/>
      <c r="AD1100" s="88"/>
      <c r="AE1100" s="88"/>
      <c r="AF1100" s="88"/>
      <c r="AG1100" s="88"/>
      <c r="AH1100" s="88"/>
      <c r="AI1100" s="88"/>
      <c r="AJ1100" s="88"/>
    </row>
    <row r="1101" spans="1:36" ht="15">
      <c r="A1101" s="88" t="s">
        <v>324</v>
      </c>
      <c r="B1101" s="88" t="s">
        <v>648</v>
      </c>
      <c r="C1101" s="88" t="s">
        <v>3560</v>
      </c>
      <c r="D1101" s="88" t="s">
        <v>3579</v>
      </c>
      <c r="E1101" s="88" t="s">
        <v>3580</v>
      </c>
      <c r="F1101" s="88"/>
      <c r="G1101" s="88" t="s">
        <v>331</v>
      </c>
      <c r="H1101" s="88"/>
      <c r="I1101" s="88"/>
      <c r="J1101" s="88"/>
      <c r="K1101" s="88"/>
      <c r="L1101" s="88"/>
      <c r="M1101" s="88"/>
      <c r="N1101" s="88"/>
      <c r="O1101" s="88"/>
      <c r="P1101" s="88"/>
      <c r="Q1101" s="88"/>
      <c r="R1101" s="88"/>
      <c r="S1101" s="88"/>
      <c r="T1101" s="88"/>
      <c r="U1101" s="88"/>
      <c r="V1101" s="88"/>
      <c r="W1101" s="88"/>
      <c r="X1101" s="88"/>
      <c r="Y1101" s="88"/>
      <c r="Z1101" s="88"/>
      <c r="AA1101" s="88"/>
      <c r="AB1101" s="88"/>
      <c r="AC1101" s="88"/>
      <c r="AD1101" s="88"/>
      <c r="AE1101" s="88"/>
      <c r="AF1101" s="88"/>
      <c r="AG1101" s="88"/>
      <c r="AH1101" s="88"/>
      <c r="AI1101" s="88"/>
      <c r="AJ1101" s="88"/>
    </row>
    <row r="1102" spans="1:36" ht="15">
      <c r="A1102" s="88" t="s">
        <v>337</v>
      </c>
      <c r="B1102" s="88" t="s">
        <v>369</v>
      </c>
      <c r="C1102" s="88" t="s">
        <v>7</v>
      </c>
      <c r="D1102" s="88" t="s">
        <v>3581</v>
      </c>
      <c r="E1102" s="88" t="s">
        <v>3582</v>
      </c>
      <c r="F1102" s="88"/>
      <c r="G1102" s="88" t="s">
        <v>332</v>
      </c>
      <c r="H1102" s="88"/>
      <c r="I1102" s="88"/>
      <c r="J1102" s="88"/>
      <c r="K1102" s="88"/>
      <c r="L1102" s="88"/>
      <c r="M1102" s="88"/>
      <c r="N1102" s="88"/>
      <c r="O1102" s="88"/>
      <c r="P1102" s="88"/>
      <c r="Q1102" s="88"/>
      <c r="R1102" s="88"/>
      <c r="S1102" s="88"/>
      <c r="T1102" s="88"/>
      <c r="U1102" s="88"/>
      <c r="V1102" s="88"/>
      <c r="W1102" s="88"/>
      <c r="X1102" s="88"/>
      <c r="Y1102" s="88"/>
      <c r="Z1102" s="88"/>
      <c r="AA1102" s="88"/>
      <c r="AB1102" s="88"/>
      <c r="AC1102" s="88"/>
      <c r="AD1102" s="88"/>
      <c r="AE1102" s="88"/>
      <c r="AF1102" s="88"/>
      <c r="AG1102" s="88"/>
      <c r="AH1102" s="88"/>
      <c r="AI1102" s="88"/>
      <c r="AJ1102" s="88"/>
    </row>
    <row r="1103" spans="1:36" ht="15">
      <c r="A1103" s="88" t="s">
        <v>337</v>
      </c>
      <c r="B1103" s="88" t="s">
        <v>401</v>
      </c>
      <c r="C1103" s="88" t="s">
        <v>7</v>
      </c>
      <c r="D1103" s="88" t="s">
        <v>3583</v>
      </c>
      <c r="E1103" s="88" t="s">
        <v>3584</v>
      </c>
      <c r="F1103" s="88"/>
      <c r="G1103" s="88" t="s">
        <v>333</v>
      </c>
      <c r="H1103" s="88"/>
      <c r="I1103" s="88"/>
      <c r="J1103" s="88"/>
      <c r="K1103" s="88"/>
      <c r="L1103" s="88"/>
      <c r="M1103" s="88"/>
      <c r="N1103" s="88"/>
      <c r="O1103" s="88"/>
      <c r="P1103" s="88"/>
      <c r="Q1103" s="88"/>
      <c r="R1103" s="88"/>
      <c r="S1103" s="88"/>
      <c r="T1103" s="88"/>
      <c r="U1103" s="88"/>
      <c r="V1103" s="88"/>
      <c r="W1103" s="88"/>
      <c r="X1103" s="88"/>
      <c r="Y1103" s="88"/>
      <c r="Z1103" s="88"/>
      <c r="AA1103" s="88"/>
      <c r="AB1103" s="88"/>
      <c r="AC1103" s="88"/>
      <c r="AD1103" s="88"/>
      <c r="AE1103" s="88"/>
      <c r="AF1103" s="88"/>
      <c r="AG1103" s="88"/>
      <c r="AH1103" s="88"/>
      <c r="AI1103" s="88"/>
      <c r="AJ1103" s="88"/>
    </row>
    <row r="1104" spans="1:36" ht="15">
      <c r="A1104" s="88" t="s">
        <v>337</v>
      </c>
      <c r="B1104" s="88" t="s">
        <v>430</v>
      </c>
      <c r="C1104" s="88" t="s">
        <v>3560</v>
      </c>
      <c r="D1104" s="88" t="s">
        <v>3585</v>
      </c>
      <c r="E1104" s="88" t="s">
        <v>3586</v>
      </c>
      <c r="F1104" s="88"/>
      <c r="G1104" s="88" t="s">
        <v>334</v>
      </c>
      <c r="H1104" s="88"/>
      <c r="I1104" s="88"/>
      <c r="J1104" s="88"/>
      <c r="K1104" s="88"/>
      <c r="L1104" s="88"/>
      <c r="M1104" s="88"/>
      <c r="N1104" s="88"/>
      <c r="O1104" s="88"/>
      <c r="P1104" s="88"/>
      <c r="Q1104" s="88"/>
      <c r="R1104" s="88"/>
      <c r="S1104" s="88"/>
      <c r="T1104" s="88"/>
      <c r="U1104" s="88"/>
      <c r="V1104" s="88"/>
      <c r="W1104" s="88"/>
      <c r="X1104" s="88"/>
      <c r="Y1104" s="88"/>
      <c r="Z1104" s="88"/>
      <c r="AA1104" s="88"/>
      <c r="AB1104" s="88"/>
      <c r="AC1104" s="88"/>
      <c r="AD1104" s="88"/>
      <c r="AE1104" s="88"/>
      <c r="AF1104" s="88"/>
      <c r="AG1104" s="88"/>
      <c r="AH1104" s="88"/>
      <c r="AI1104" s="88"/>
      <c r="AJ1104" s="88"/>
    </row>
    <row r="1105" spans="1:36" ht="15">
      <c r="A1105" s="88" t="s">
        <v>337</v>
      </c>
      <c r="B1105" s="88" t="s">
        <v>461</v>
      </c>
      <c r="C1105" s="88" t="s">
        <v>3560</v>
      </c>
      <c r="D1105" s="88" t="s">
        <v>3587</v>
      </c>
      <c r="E1105" s="88" t="s">
        <v>3588</v>
      </c>
      <c r="F1105" s="88"/>
      <c r="G1105" s="88" t="s">
        <v>335</v>
      </c>
      <c r="H1105" s="88"/>
      <c r="I1105" s="88"/>
      <c r="J1105" s="88"/>
      <c r="K1105" s="88"/>
      <c r="L1105" s="88"/>
      <c r="M1105" s="88"/>
      <c r="N1105" s="88"/>
      <c r="O1105" s="88"/>
      <c r="P1105" s="88"/>
      <c r="Q1105" s="88"/>
      <c r="R1105" s="88"/>
      <c r="S1105" s="88"/>
      <c r="T1105" s="88"/>
      <c r="U1105" s="88"/>
      <c r="V1105" s="88"/>
      <c r="W1105" s="88"/>
      <c r="X1105" s="88"/>
      <c r="Y1105" s="88"/>
      <c r="Z1105" s="88"/>
      <c r="AA1105" s="88"/>
      <c r="AB1105" s="88"/>
      <c r="AC1105" s="88"/>
      <c r="AD1105" s="88"/>
      <c r="AE1105" s="88"/>
      <c r="AF1105" s="88"/>
      <c r="AG1105" s="88"/>
      <c r="AH1105" s="88"/>
      <c r="AI1105" s="88"/>
      <c r="AJ1105" s="88"/>
    </row>
    <row r="1106" spans="1:36" ht="15">
      <c r="A1106" s="88" t="s">
        <v>337</v>
      </c>
      <c r="B1106" s="88" t="s">
        <v>493</v>
      </c>
      <c r="C1106" s="88" t="s">
        <v>3560</v>
      </c>
      <c r="D1106" s="88" t="s">
        <v>3589</v>
      </c>
      <c r="E1106" s="88" t="s">
        <v>3590</v>
      </c>
      <c r="F1106" s="88"/>
      <c r="G1106" s="88" t="s">
        <v>336</v>
      </c>
      <c r="H1106" s="88"/>
      <c r="I1106" s="88"/>
      <c r="J1106" s="88"/>
      <c r="K1106" s="88"/>
      <c r="L1106" s="88"/>
      <c r="M1106" s="88"/>
      <c r="N1106" s="88"/>
      <c r="O1106" s="88"/>
      <c r="P1106" s="88"/>
      <c r="Q1106" s="88"/>
      <c r="R1106" s="88"/>
      <c r="S1106" s="88"/>
      <c r="T1106" s="88"/>
      <c r="U1106" s="88"/>
      <c r="V1106" s="88"/>
      <c r="W1106" s="88"/>
      <c r="X1106" s="88"/>
      <c r="Y1106" s="88"/>
      <c r="Z1106" s="88"/>
      <c r="AA1106" s="88"/>
      <c r="AB1106" s="88"/>
      <c r="AC1106" s="88"/>
      <c r="AD1106" s="88"/>
      <c r="AE1106" s="88"/>
      <c r="AF1106" s="88"/>
      <c r="AG1106" s="88"/>
      <c r="AH1106" s="88"/>
      <c r="AI1106" s="88"/>
      <c r="AJ1106" s="88"/>
    </row>
    <row r="1107" spans="1:36" ht="15">
      <c r="A1107" s="88" t="s">
        <v>337</v>
      </c>
      <c r="B1107" s="88" t="s">
        <v>522</v>
      </c>
      <c r="C1107" s="88" t="s">
        <v>3560</v>
      </c>
      <c r="D1107" s="88" t="s">
        <v>3591</v>
      </c>
      <c r="E1107" s="88" t="s">
        <v>3592</v>
      </c>
      <c r="F1107" s="88"/>
      <c r="G1107" s="88" t="s">
        <v>337</v>
      </c>
      <c r="H1107" s="88"/>
      <c r="I1107" s="88"/>
      <c r="J1107" s="88"/>
      <c r="K1107" s="88"/>
      <c r="L1107" s="88"/>
      <c r="M1107" s="88"/>
      <c r="N1107" s="88"/>
      <c r="O1107" s="88"/>
      <c r="P1107" s="88"/>
      <c r="Q1107" s="88"/>
      <c r="R1107" s="88"/>
      <c r="S1107" s="88"/>
      <c r="T1107" s="88"/>
      <c r="U1107" s="88"/>
      <c r="V1107" s="88"/>
      <c r="W1107" s="88"/>
      <c r="X1107" s="88"/>
      <c r="Y1107" s="88"/>
      <c r="Z1107" s="88"/>
      <c r="AA1107" s="88"/>
      <c r="AB1107" s="88"/>
      <c r="AC1107" s="88"/>
      <c r="AD1107" s="88"/>
      <c r="AE1107" s="88"/>
      <c r="AF1107" s="88"/>
      <c r="AG1107" s="88"/>
      <c r="AH1107" s="88"/>
      <c r="AI1107" s="88"/>
      <c r="AJ1107" s="88"/>
    </row>
    <row r="1108" spans="1:36" ht="15">
      <c r="A1108" s="88" t="s">
        <v>337</v>
      </c>
      <c r="B1108" s="88" t="s">
        <v>552</v>
      </c>
      <c r="C1108" s="88" t="s">
        <v>3560</v>
      </c>
      <c r="D1108" s="88" t="s">
        <v>3593</v>
      </c>
      <c r="E1108" s="88" t="s">
        <v>3594</v>
      </c>
      <c r="F1108" s="88"/>
      <c r="G1108" s="88" t="s">
        <v>338</v>
      </c>
      <c r="H1108" s="88"/>
      <c r="I1108" s="88"/>
      <c r="J1108" s="88"/>
      <c r="K1108" s="88"/>
      <c r="L1108" s="88"/>
      <c r="M1108" s="88"/>
      <c r="N1108" s="88"/>
      <c r="O1108" s="88"/>
      <c r="P1108" s="88"/>
      <c r="Q1108" s="88"/>
      <c r="R1108" s="88"/>
      <c r="S1108" s="88"/>
      <c r="T1108" s="88"/>
      <c r="U1108" s="88"/>
      <c r="V1108" s="88"/>
      <c r="W1108" s="88"/>
      <c r="X1108" s="88"/>
      <c r="Y1108" s="88"/>
      <c r="Z1108" s="88"/>
      <c r="AA1108" s="88"/>
      <c r="AB1108" s="88"/>
      <c r="AC1108" s="88"/>
      <c r="AD1108" s="88"/>
      <c r="AE1108" s="88"/>
      <c r="AF1108" s="88"/>
      <c r="AG1108" s="88"/>
      <c r="AH1108" s="88"/>
      <c r="AI1108" s="88"/>
      <c r="AJ1108" s="88"/>
    </row>
    <row r="1109" spans="1:36" ht="15">
      <c r="A1109" s="88" t="s">
        <v>337</v>
      </c>
      <c r="B1109" s="88" t="s">
        <v>579</v>
      </c>
      <c r="C1109" s="88" t="s">
        <v>3560</v>
      </c>
      <c r="D1109" s="88" t="s">
        <v>3595</v>
      </c>
      <c r="E1109" s="88" t="s">
        <v>3596</v>
      </c>
      <c r="F1109" s="88"/>
      <c r="G1109" s="88" t="s">
        <v>339</v>
      </c>
      <c r="H1109" s="88"/>
      <c r="I1109" s="88"/>
      <c r="J1109" s="88"/>
      <c r="K1109" s="88"/>
      <c r="L1109" s="88"/>
      <c r="M1109" s="88"/>
      <c r="N1109" s="88"/>
      <c r="O1109" s="88"/>
      <c r="P1109" s="88"/>
      <c r="Q1109" s="88"/>
      <c r="R1109" s="88"/>
      <c r="S1109" s="88"/>
      <c r="T1109" s="88"/>
      <c r="U1109" s="88"/>
      <c r="V1109" s="88"/>
      <c r="W1109" s="88"/>
      <c r="X1109" s="88"/>
      <c r="Y1109" s="88"/>
      <c r="Z1109" s="88"/>
      <c r="AA1109" s="88"/>
      <c r="AB1109" s="88"/>
      <c r="AC1109" s="88"/>
      <c r="AD1109" s="88"/>
      <c r="AE1109" s="88"/>
      <c r="AF1109" s="88"/>
      <c r="AG1109" s="88"/>
      <c r="AH1109" s="88"/>
      <c r="AI1109" s="88"/>
      <c r="AJ1109" s="88"/>
    </row>
    <row r="1110" spans="1:36" ht="15">
      <c r="A1110" s="88" t="s">
        <v>338</v>
      </c>
      <c r="B1110" s="88" t="s">
        <v>370</v>
      </c>
      <c r="C1110" s="88" t="s">
        <v>7</v>
      </c>
      <c r="D1110" s="88" t="s">
        <v>3597</v>
      </c>
      <c r="E1110" s="88" t="s">
        <v>3598</v>
      </c>
      <c r="F1110" s="88"/>
      <c r="G1110" s="88" t="s">
        <v>340</v>
      </c>
      <c r="H1110" s="88"/>
      <c r="I1110" s="88"/>
      <c r="J1110" s="88"/>
      <c r="K1110" s="88"/>
      <c r="L1110" s="88"/>
      <c r="M1110" s="88"/>
      <c r="N1110" s="88"/>
      <c r="O1110" s="88"/>
      <c r="P1110" s="88"/>
      <c r="Q1110" s="88"/>
      <c r="R1110" s="88"/>
      <c r="S1110" s="88"/>
      <c r="T1110" s="88"/>
      <c r="U1110" s="88"/>
      <c r="V1110" s="88"/>
      <c r="W1110" s="88"/>
      <c r="X1110" s="88"/>
      <c r="Y1110" s="88"/>
      <c r="Z1110" s="88"/>
      <c r="AA1110" s="88"/>
      <c r="AB1110" s="88"/>
      <c r="AC1110" s="88"/>
      <c r="AD1110" s="88"/>
      <c r="AE1110" s="88"/>
      <c r="AF1110" s="88"/>
      <c r="AG1110" s="88"/>
      <c r="AH1110" s="88"/>
      <c r="AI1110" s="88"/>
      <c r="AJ1110" s="88"/>
    </row>
    <row r="1111" spans="1:36" ht="15">
      <c r="A1111" s="88" t="s">
        <v>338</v>
      </c>
      <c r="B1111" s="88" t="s">
        <v>402</v>
      </c>
      <c r="C1111" s="88" t="s">
        <v>7</v>
      </c>
      <c r="D1111" s="88" t="s">
        <v>3599</v>
      </c>
      <c r="E1111" s="88" t="s">
        <v>3600</v>
      </c>
      <c r="F1111" s="88"/>
      <c r="G1111" s="88" t="s">
        <v>341</v>
      </c>
      <c r="H1111" s="88"/>
      <c r="I1111" s="88"/>
      <c r="J1111" s="88"/>
      <c r="K1111" s="88"/>
      <c r="L1111" s="88"/>
      <c r="M1111" s="88"/>
      <c r="N1111" s="88"/>
      <c r="O1111" s="88"/>
      <c r="P1111" s="88"/>
      <c r="Q1111" s="88"/>
      <c r="R1111" s="88"/>
      <c r="S1111" s="88"/>
      <c r="T1111" s="88"/>
      <c r="U1111" s="88"/>
      <c r="V1111" s="88"/>
      <c r="W1111" s="88"/>
      <c r="X1111" s="88"/>
      <c r="Y1111" s="88"/>
      <c r="Z1111" s="88"/>
      <c r="AA1111" s="88"/>
      <c r="AB1111" s="88"/>
      <c r="AC1111" s="88"/>
      <c r="AD1111" s="88"/>
      <c r="AE1111" s="88"/>
      <c r="AF1111" s="88"/>
      <c r="AG1111" s="88"/>
      <c r="AH1111" s="88"/>
      <c r="AI1111" s="88"/>
      <c r="AJ1111" s="88"/>
    </row>
    <row r="1112" spans="1:36" ht="15">
      <c r="A1112" s="88" t="s">
        <v>338</v>
      </c>
      <c r="B1112" s="88" t="s">
        <v>431</v>
      </c>
      <c r="C1112" s="88" t="s">
        <v>7</v>
      </c>
      <c r="D1112" s="88" t="s">
        <v>3601</v>
      </c>
      <c r="E1112" s="88" t="s">
        <v>3602</v>
      </c>
      <c r="F1112" s="88"/>
      <c r="G1112" s="88" t="s">
        <v>342</v>
      </c>
      <c r="H1112" s="88"/>
      <c r="I1112" s="88"/>
      <c r="J1112" s="88"/>
      <c r="K1112" s="88"/>
      <c r="L1112" s="88"/>
      <c r="M1112" s="88"/>
      <c r="N1112" s="88"/>
      <c r="O1112" s="88"/>
      <c r="P1112" s="88"/>
      <c r="Q1112" s="88"/>
      <c r="R1112" s="88"/>
      <c r="S1112" s="88"/>
      <c r="T1112" s="88"/>
      <c r="U1112" s="88"/>
      <c r="V1112" s="88"/>
      <c r="W1112" s="88"/>
      <c r="X1112" s="88"/>
      <c r="Y1112" s="88"/>
      <c r="Z1112" s="88"/>
      <c r="AA1112" s="88"/>
      <c r="AB1112" s="88"/>
      <c r="AC1112" s="88"/>
      <c r="AD1112" s="88"/>
      <c r="AE1112" s="88"/>
      <c r="AF1112" s="88"/>
      <c r="AG1112" s="88"/>
      <c r="AH1112" s="88"/>
      <c r="AI1112" s="88"/>
      <c r="AJ1112" s="88"/>
    </row>
    <row r="1113" spans="1:36" ht="15">
      <c r="A1113" s="88" t="s">
        <v>338</v>
      </c>
      <c r="B1113" s="88" t="s">
        <v>462</v>
      </c>
      <c r="C1113" s="88" t="s">
        <v>7</v>
      </c>
      <c r="D1113" s="88" t="s">
        <v>3603</v>
      </c>
      <c r="E1113" s="88" t="s">
        <v>3604</v>
      </c>
      <c r="F1113" s="88"/>
      <c r="G1113" s="88" t="s">
        <v>343</v>
      </c>
      <c r="H1113" s="88"/>
      <c r="I1113" s="88"/>
      <c r="J1113" s="88"/>
      <c r="K1113" s="88"/>
      <c r="L1113" s="88"/>
      <c r="M1113" s="88"/>
      <c r="N1113" s="88"/>
      <c r="O1113" s="88"/>
      <c r="P1113" s="88"/>
      <c r="Q1113" s="88"/>
      <c r="R1113" s="88"/>
      <c r="S1113" s="88"/>
      <c r="T1113" s="88"/>
      <c r="U1113" s="88"/>
      <c r="V1113" s="88"/>
      <c r="W1113" s="88"/>
      <c r="X1113" s="88"/>
      <c r="Y1113" s="88"/>
      <c r="Z1113" s="88"/>
      <c r="AA1113" s="88"/>
      <c r="AB1113" s="88"/>
      <c r="AC1113" s="88"/>
      <c r="AD1113" s="88"/>
      <c r="AE1113" s="88"/>
      <c r="AF1113" s="88"/>
      <c r="AG1113" s="88"/>
      <c r="AH1113" s="88"/>
      <c r="AI1113" s="88"/>
      <c r="AJ1113" s="88"/>
    </row>
    <row r="1114" spans="1:36" ht="15">
      <c r="A1114" s="88" t="s">
        <v>352</v>
      </c>
      <c r="B1114" s="88" t="s">
        <v>384</v>
      </c>
      <c r="C1114" s="88" t="s">
        <v>7</v>
      </c>
      <c r="D1114" s="88" t="s">
        <v>3605</v>
      </c>
      <c r="E1114" s="88" t="s">
        <v>3606</v>
      </c>
      <c r="F1114" s="88"/>
      <c r="G1114" s="88" t="s">
        <v>344</v>
      </c>
      <c r="H1114" s="88"/>
      <c r="I1114" s="88"/>
      <c r="J1114" s="88"/>
      <c r="K1114" s="88"/>
      <c r="L1114" s="88"/>
      <c r="M1114" s="88"/>
      <c r="N1114" s="88"/>
      <c r="O1114" s="88"/>
      <c r="P1114" s="88"/>
      <c r="Q1114" s="88"/>
      <c r="R1114" s="88"/>
      <c r="S1114" s="88"/>
      <c r="T1114" s="88"/>
      <c r="U1114" s="88"/>
      <c r="V1114" s="88"/>
      <c r="W1114" s="88"/>
      <c r="X1114" s="88"/>
      <c r="Y1114" s="88"/>
      <c r="Z1114" s="88"/>
      <c r="AA1114" s="88"/>
      <c r="AB1114" s="88"/>
      <c r="AC1114" s="88"/>
      <c r="AD1114" s="88"/>
      <c r="AE1114" s="88"/>
      <c r="AF1114" s="88"/>
      <c r="AG1114" s="88"/>
      <c r="AH1114" s="88"/>
      <c r="AI1114" s="88"/>
      <c r="AJ1114" s="88"/>
    </row>
    <row r="1115" spans="1:36" ht="15">
      <c r="A1115" s="88" t="s">
        <v>352</v>
      </c>
      <c r="B1115" s="88" t="s">
        <v>413</v>
      </c>
      <c r="C1115" s="88" t="s">
        <v>7</v>
      </c>
      <c r="D1115" s="88" t="s">
        <v>3607</v>
      </c>
      <c r="E1115" s="88" t="s">
        <v>3608</v>
      </c>
      <c r="F1115" s="88"/>
      <c r="G1115" s="88" t="s">
        <v>345</v>
      </c>
      <c r="H1115" s="88"/>
      <c r="I1115" s="88"/>
      <c r="J1115" s="88"/>
      <c r="K1115" s="88"/>
      <c r="L1115" s="88"/>
      <c r="M1115" s="88"/>
      <c r="N1115" s="88"/>
      <c r="O1115" s="88"/>
      <c r="P1115" s="88"/>
      <c r="Q1115" s="88"/>
      <c r="R1115" s="88"/>
      <c r="S1115" s="88"/>
      <c r="T1115" s="88"/>
      <c r="U1115" s="88"/>
      <c r="V1115" s="88"/>
      <c r="W1115" s="88"/>
      <c r="X1115" s="88"/>
      <c r="Y1115" s="88"/>
      <c r="Z1115" s="88"/>
      <c r="AA1115" s="88"/>
      <c r="AB1115" s="88"/>
      <c r="AC1115" s="88"/>
      <c r="AD1115" s="88"/>
      <c r="AE1115" s="88"/>
      <c r="AF1115" s="88"/>
      <c r="AG1115" s="88"/>
      <c r="AH1115" s="88"/>
      <c r="AI1115" s="88"/>
      <c r="AJ1115" s="88"/>
    </row>
    <row r="1116" spans="1:36" ht="15">
      <c r="A1116" s="88" t="s">
        <v>352</v>
      </c>
      <c r="B1116" s="88" t="s">
        <v>444</v>
      </c>
      <c r="C1116" s="88" t="s">
        <v>3560</v>
      </c>
      <c r="D1116" s="88" t="s">
        <v>3609</v>
      </c>
      <c r="E1116" s="88" t="s">
        <v>3610</v>
      </c>
      <c r="F1116" s="88"/>
      <c r="G1116" s="88" t="s">
        <v>346</v>
      </c>
      <c r="H1116" s="88"/>
      <c r="I1116" s="88"/>
      <c r="J1116" s="88"/>
      <c r="K1116" s="88"/>
      <c r="L1116" s="88"/>
      <c r="M1116" s="88"/>
      <c r="N1116" s="88"/>
      <c r="O1116" s="88"/>
      <c r="P1116" s="88"/>
      <c r="Q1116" s="88"/>
      <c r="R1116" s="88"/>
      <c r="S1116" s="88"/>
      <c r="T1116" s="88"/>
      <c r="U1116" s="88"/>
      <c r="V1116" s="88"/>
      <c r="W1116" s="88"/>
      <c r="X1116" s="88"/>
      <c r="Y1116" s="88"/>
      <c r="Z1116" s="88"/>
      <c r="AA1116" s="88"/>
      <c r="AB1116" s="88"/>
      <c r="AC1116" s="88"/>
      <c r="AD1116" s="88"/>
      <c r="AE1116" s="88"/>
      <c r="AF1116" s="88"/>
      <c r="AG1116" s="88"/>
      <c r="AH1116" s="88"/>
      <c r="AI1116" s="88"/>
      <c r="AJ1116" s="88"/>
    </row>
    <row r="1117" spans="1:36" ht="15">
      <c r="A1117" s="88" t="s">
        <v>352</v>
      </c>
      <c r="B1117" s="88" t="s">
        <v>476</v>
      </c>
      <c r="C1117" s="88" t="s">
        <v>7</v>
      </c>
      <c r="D1117" s="88" t="s">
        <v>3611</v>
      </c>
      <c r="E1117" s="88" t="s">
        <v>3612</v>
      </c>
      <c r="F1117" s="88"/>
      <c r="G1117" s="88" t="s">
        <v>347</v>
      </c>
      <c r="H1117" s="88"/>
      <c r="I1117" s="88"/>
      <c r="J1117" s="88"/>
      <c r="K1117" s="88"/>
      <c r="L1117" s="88"/>
      <c r="M1117" s="88"/>
      <c r="N1117" s="88"/>
      <c r="O1117" s="88"/>
      <c r="P1117" s="88"/>
      <c r="Q1117" s="88"/>
      <c r="R1117" s="88"/>
      <c r="S1117" s="88"/>
      <c r="T1117" s="88"/>
      <c r="U1117" s="88"/>
      <c r="V1117" s="88"/>
      <c r="W1117" s="88"/>
      <c r="X1117" s="88"/>
      <c r="Y1117" s="88"/>
      <c r="Z1117" s="88"/>
      <c r="AA1117" s="88"/>
      <c r="AB1117" s="88"/>
      <c r="AC1117" s="88"/>
      <c r="AD1117" s="88"/>
      <c r="AE1117" s="88"/>
      <c r="AF1117" s="88"/>
      <c r="AG1117" s="88"/>
      <c r="AH1117" s="88"/>
      <c r="AI1117" s="88"/>
      <c r="AJ1117" s="88"/>
    </row>
    <row r="1118" spans="1:36" ht="15">
      <c r="A1118" s="88" t="s">
        <v>352</v>
      </c>
      <c r="B1118" s="88" t="s">
        <v>505</v>
      </c>
      <c r="C1118" s="88" t="s">
        <v>3560</v>
      </c>
      <c r="D1118" s="88" t="s">
        <v>3613</v>
      </c>
      <c r="E1118" s="88" t="s">
        <v>3614</v>
      </c>
      <c r="F1118" s="88"/>
      <c r="G1118" s="88" t="s">
        <v>348</v>
      </c>
      <c r="H1118" s="88"/>
      <c r="I1118" s="88"/>
      <c r="J1118" s="88"/>
      <c r="K1118" s="88"/>
      <c r="L1118" s="88"/>
      <c r="M1118" s="88"/>
      <c r="N1118" s="88"/>
      <c r="O1118" s="88"/>
      <c r="P1118" s="88"/>
      <c r="Q1118" s="88"/>
      <c r="R1118" s="88"/>
      <c r="S1118" s="88"/>
      <c r="T1118" s="88"/>
      <c r="U1118" s="88"/>
      <c r="V1118" s="88"/>
      <c r="W1118" s="88"/>
      <c r="X1118" s="88"/>
      <c r="Y1118" s="88"/>
      <c r="Z1118" s="88"/>
      <c r="AA1118" s="88"/>
      <c r="AB1118" s="88"/>
      <c r="AC1118" s="88"/>
      <c r="AD1118" s="88"/>
      <c r="AE1118" s="88"/>
      <c r="AF1118" s="88"/>
      <c r="AG1118" s="88"/>
      <c r="AH1118" s="88"/>
      <c r="AI1118" s="88"/>
      <c r="AJ1118" s="88"/>
    </row>
    <row r="1119" spans="1:36" ht="15">
      <c r="A1119" s="88" t="s">
        <v>352</v>
      </c>
      <c r="B1119" s="88" t="s">
        <v>535</v>
      </c>
      <c r="C1119" s="88" t="s">
        <v>3560</v>
      </c>
      <c r="D1119" s="88" t="s">
        <v>3615</v>
      </c>
      <c r="E1119" s="88" t="s">
        <v>3616</v>
      </c>
      <c r="F1119" s="88"/>
      <c r="G1119" s="88" t="s">
        <v>349</v>
      </c>
      <c r="H1119" s="88"/>
      <c r="I1119" s="88"/>
      <c r="J1119" s="88"/>
      <c r="K1119" s="88"/>
      <c r="L1119" s="88"/>
      <c r="M1119" s="88"/>
      <c r="N1119" s="88"/>
      <c r="O1119" s="88"/>
      <c r="P1119" s="88"/>
      <c r="Q1119" s="88"/>
      <c r="R1119" s="88"/>
      <c r="S1119" s="88"/>
      <c r="T1119" s="88"/>
      <c r="U1119" s="88"/>
      <c r="V1119" s="88"/>
      <c r="W1119" s="88"/>
      <c r="X1119" s="88"/>
      <c r="Y1119" s="88"/>
      <c r="Z1119" s="88"/>
      <c r="AA1119" s="88"/>
      <c r="AB1119" s="88"/>
      <c r="AC1119" s="88"/>
      <c r="AD1119" s="88"/>
      <c r="AE1119" s="88"/>
      <c r="AF1119" s="88"/>
      <c r="AG1119" s="88"/>
      <c r="AH1119" s="88"/>
      <c r="AI1119" s="88"/>
      <c r="AJ1119" s="88"/>
    </row>
    <row r="1120" spans="1:36" ht="15">
      <c r="A1120" s="88" t="s">
        <v>353</v>
      </c>
      <c r="B1120" s="88" t="s">
        <v>385</v>
      </c>
      <c r="C1120" s="88" t="s">
        <v>7</v>
      </c>
      <c r="D1120" s="88" t="s">
        <v>3617</v>
      </c>
      <c r="E1120" s="88" t="s">
        <v>3618</v>
      </c>
      <c r="F1120" s="88"/>
      <c r="G1120" s="88" t="s">
        <v>350</v>
      </c>
      <c r="H1120" s="88"/>
      <c r="I1120" s="88"/>
      <c r="J1120" s="88"/>
      <c r="K1120" s="88"/>
      <c r="L1120" s="88"/>
      <c r="M1120" s="88"/>
      <c r="N1120" s="88"/>
      <c r="O1120" s="88"/>
      <c r="P1120" s="88"/>
      <c r="Q1120" s="88"/>
      <c r="R1120" s="88"/>
      <c r="S1120" s="88"/>
      <c r="T1120" s="88"/>
      <c r="U1120" s="88"/>
      <c r="V1120" s="88"/>
      <c r="W1120" s="88"/>
      <c r="X1120" s="88"/>
      <c r="Y1120" s="88"/>
      <c r="Z1120" s="88"/>
      <c r="AA1120" s="88"/>
      <c r="AB1120" s="88"/>
      <c r="AC1120" s="88"/>
      <c r="AD1120" s="88"/>
      <c r="AE1120" s="88"/>
      <c r="AF1120" s="88"/>
      <c r="AG1120" s="88"/>
      <c r="AH1120" s="88"/>
      <c r="AI1120" s="88"/>
      <c r="AJ1120" s="88"/>
    </row>
    <row r="1121" spans="1:36" ht="15">
      <c r="A1121" s="88" t="s">
        <v>353</v>
      </c>
      <c r="B1121" s="88" t="s">
        <v>414</v>
      </c>
      <c r="C1121" s="88" t="s">
        <v>7</v>
      </c>
      <c r="D1121" s="88" t="s">
        <v>3619</v>
      </c>
      <c r="E1121" s="88" t="s">
        <v>3620</v>
      </c>
      <c r="F1121" s="88"/>
      <c r="G1121" s="88" t="s">
        <v>351</v>
      </c>
      <c r="H1121" s="88"/>
      <c r="I1121" s="88"/>
      <c r="J1121" s="88"/>
      <c r="K1121" s="88"/>
      <c r="L1121" s="88"/>
      <c r="M1121" s="88"/>
      <c r="N1121" s="88"/>
      <c r="O1121" s="88"/>
      <c r="P1121" s="88"/>
      <c r="Q1121" s="88"/>
      <c r="R1121" s="88"/>
      <c r="S1121" s="88"/>
      <c r="T1121" s="88"/>
      <c r="U1121" s="88"/>
      <c r="V1121" s="88"/>
      <c r="W1121" s="88"/>
      <c r="X1121" s="88"/>
      <c r="Y1121" s="88"/>
      <c r="Z1121" s="88"/>
      <c r="AA1121" s="88"/>
      <c r="AB1121" s="88"/>
      <c r="AC1121" s="88"/>
      <c r="AD1121" s="88"/>
      <c r="AE1121" s="88"/>
      <c r="AF1121" s="88"/>
      <c r="AG1121" s="88"/>
      <c r="AH1121" s="88"/>
      <c r="AI1121" s="88"/>
      <c r="AJ1121" s="88"/>
    </row>
    <row r="1122" spans="1:36" ht="15">
      <c r="A1122" s="88" t="s">
        <v>353</v>
      </c>
      <c r="B1122" s="88" t="s">
        <v>445</v>
      </c>
      <c r="C1122" s="88" t="s">
        <v>7</v>
      </c>
      <c r="D1122" s="88" t="s">
        <v>3621</v>
      </c>
      <c r="E1122" s="88" t="s">
        <v>3622</v>
      </c>
      <c r="F1122" s="88"/>
      <c r="G1122" s="88" t="s">
        <v>352</v>
      </c>
      <c r="H1122" s="88"/>
      <c r="I1122" s="88"/>
      <c r="J1122" s="88"/>
      <c r="K1122" s="88"/>
      <c r="L1122" s="88"/>
      <c r="M1122" s="88"/>
      <c r="N1122" s="88"/>
      <c r="O1122" s="88"/>
      <c r="P1122" s="88"/>
      <c r="Q1122" s="88"/>
      <c r="R1122" s="88"/>
      <c r="S1122" s="88"/>
      <c r="T1122" s="88"/>
      <c r="U1122" s="88"/>
      <c r="V1122" s="88"/>
      <c r="W1122" s="88"/>
      <c r="X1122" s="88"/>
      <c r="Y1122" s="88"/>
      <c r="Z1122" s="88"/>
      <c r="AA1122" s="88"/>
      <c r="AB1122" s="88"/>
      <c r="AC1122" s="88"/>
      <c r="AD1122" s="88"/>
      <c r="AE1122" s="88"/>
      <c r="AF1122" s="88"/>
      <c r="AG1122" s="88"/>
      <c r="AH1122" s="88"/>
      <c r="AI1122" s="88"/>
      <c r="AJ1122" s="88"/>
    </row>
    <row r="1123" spans="1:36" ht="15">
      <c r="A1123" s="88" t="s">
        <v>353</v>
      </c>
      <c r="B1123" s="88" t="s">
        <v>477</v>
      </c>
      <c r="C1123" s="88" t="s">
        <v>7</v>
      </c>
      <c r="D1123" s="88" t="s">
        <v>3623</v>
      </c>
      <c r="E1123" s="88" t="s">
        <v>3624</v>
      </c>
      <c r="F1123" s="88"/>
      <c r="G1123" s="88" t="s">
        <v>353</v>
      </c>
      <c r="H1123" s="88"/>
      <c r="I1123" s="88"/>
      <c r="J1123" s="88"/>
      <c r="K1123" s="88"/>
      <c r="L1123" s="88"/>
      <c r="M1123" s="88"/>
      <c r="N1123" s="88"/>
      <c r="O1123" s="88"/>
      <c r="P1123" s="88"/>
      <c r="Q1123" s="88"/>
      <c r="R1123" s="88"/>
      <c r="S1123" s="88"/>
      <c r="T1123" s="88"/>
      <c r="U1123" s="88"/>
      <c r="V1123" s="88"/>
      <c r="W1123" s="88"/>
      <c r="X1123" s="88"/>
      <c r="Y1123" s="88"/>
      <c r="Z1123" s="88"/>
      <c r="AA1123" s="88"/>
      <c r="AB1123" s="88"/>
      <c r="AC1123" s="88"/>
      <c r="AD1123" s="88"/>
      <c r="AE1123" s="88"/>
      <c r="AF1123" s="88"/>
      <c r="AG1123" s="88"/>
      <c r="AH1123" s="88"/>
      <c r="AI1123" s="88"/>
      <c r="AJ1123" s="88"/>
    </row>
    <row r="1124" spans="1:36">
      <c r="G1124"/>
    </row>
    <row r="1125" spans="1:36">
      <c r="G1125"/>
    </row>
    <row r="1126" spans="1:36">
      <c r="G1126"/>
    </row>
    <row r="1127" spans="1:36">
      <c r="G1127"/>
    </row>
    <row r="1128" spans="1:36">
      <c r="G1128"/>
    </row>
    <row r="1129" spans="1:36">
      <c r="G1129"/>
    </row>
    <row r="1130" spans="1:36">
      <c r="G1130"/>
    </row>
    <row r="1131" spans="1:36">
      <c r="G1131"/>
    </row>
    <row r="1132" spans="1:36">
      <c r="G1132"/>
    </row>
    <row r="1133" spans="1:36">
      <c r="G1133"/>
    </row>
    <row r="1134" spans="1:36">
      <c r="G1134"/>
    </row>
    <row r="1135" spans="1:36">
      <c r="G1135"/>
    </row>
    <row r="1136" spans="1:36">
      <c r="G1136"/>
    </row>
    <row r="1137" spans="7:7">
      <c r="G1137"/>
    </row>
    <row r="1138" spans="7:7">
      <c r="G1138"/>
    </row>
    <row r="1139" spans="7:7">
      <c r="G1139"/>
    </row>
    <row r="1140" spans="7:7">
      <c r="G1140"/>
    </row>
    <row r="1141" spans="7:7">
      <c r="G1141"/>
    </row>
    <row r="1142" spans="7:7">
      <c r="G1142"/>
    </row>
    <row r="1143" spans="7:7">
      <c r="G1143"/>
    </row>
    <row r="1144" spans="7:7">
      <c r="G1144"/>
    </row>
    <row r="1145" spans="7:7">
      <c r="G1145"/>
    </row>
    <row r="1146" spans="7:7">
      <c r="G1146"/>
    </row>
    <row r="1147" spans="7:7">
      <c r="G1147"/>
    </row>
    <row r="1148" spans="7:7">
      <c r="G1148"/>
    </row>
    <row r="1149" spans="7:7">
      <c r="G1149"/>
    </row>
    <row r="1150" spans="7:7">
      <c r="G1150"/>
    </row>
    <row r="1151" spans="7:7">
      <c r="G1151"/>
    </row>
    <row r="1152" spans="7:7">
      <c r="G1152"/>
    </row>
    <row r="1153" spans="7:7">
      <c r="G1153"/>
    </row>
    <row r="1154" spans="7:7">
      <c r="G1154"/>
    </row>
    <row r="1155" spans="7:7">
      <c r="G1155"/>
    </row>
    <row r="1156" spans="7:7">
      <c r="G1156"/>
    </row>
    <row r="1157" spans="7:7">
      <c r="G1157"/>
    </row>
    <row r="1158" spans="7:7">
      <c r="G1158"/>
    </row>
    <row r="1159" spans="7:7">
      <c r="G1159"/>
    </row>
    <row r="1160" spans="7:7">
      <c r="G1160"/>
    </row>
    <row r="1161" spans="7:7">
      <c r="G1161"/>
    </row>
    <row r="1162" spans="7:7">
      <c r="G1162"/>
    </row>
    <row r="1163" spans="7:7">
      <c r="G1163"/>
    </row>
    <row r="1164" spans="7:7">
      <c r="G1164"/>
    </row>
    <row r="1165" spans="7:7">
      <c r="G1165"/>
    </row>
    <row r="1166" spans="7:7">
      <c r="G1166"/>
    </row>
    <row r="1167" spans="7:7">
      <c r="G1167"/>
    </row>
    <row r="1168" spans="7:7">
      <c r="G1168"/>
    </row>
    <row r="1169" spans="7:7">
      <c r="G1169"/>
    </row>
    <row r="1170" spans="7:7">
      <c r="G1170"/>
    </row>
    <row r="1171" spans="7:7">
      <c r="G1171"/>
    </row>
    <row r="1172" spans="7:7">
      <c r="G1172"/>
    </row>
    <row r="1173" spans="7:7">
      <c r="G1173"/>
    </row>
    <row r="1174" spans="7:7">
      <c r="G1174"/>
    </row>
    <row r="1175" spans="7:7">
      <c r="G1175"/>
    </row>
    <row r="1176" spans="7:7">
      <c r="G1176"/>
    </row>
    <row r="1177" spans="7:7">
      <c r="G1177"/>
    </row>
    <row r="1178" spans="7:7">
      <c r="G1178"/>
    </row>
    <row r="1179" spans="7:7">
      <c r="G1179"/>
    </row>
    <row r="1180" spans="7:7">
      <c r="G1180"/>
    </row>
    <row r="1181" spans="7:7">
      <c r="G1181"/>
    </row>
    <row r="1182" spans="7:7">
      <c r="G1182"/>
    </row>
    <row r="1183" spans="7:7">
      <c r="G1183"/>
    </row>
    <row r="1184" spans="7:7">
      <c r="G1184"/>
    </row>
    <row r="1185" spans="7:7">
      <c r="G1185"/>
    </row>
    <row r="1186" spans="7:7">
      <c r="G1186"/>
    </row>
    <row r="1187" spans="7:7">
      <c r="G1187"/>
    </row>
    <row r="1188" spans="7:7">
      <c r="G1188"/>
    </row>
    <row r="1189" spans="7:7">
      <c r="G1189"/>
    </row>
    <row r="1190" spans="7:7">
      <c r="G1190"/>
    </row>
    <row r="1191" spans="7:7">
      <c r="G1191"/>
    </row>
    <row r="1192" spans="7:7">
      <c r="G1192"/>
    </row>
    <row r="1193" spans="7:7">
      <c r="G1193"/>
    </row>
    <row r="1194" spans="7:7">
      <c r="G1194"/>
    </row>
    <row r="1195" spans="7:7">
      <c r="G1195"/>
    </row>
    <row r="1196" spans="7:7">
      <c r="G1196"/>
    </row>
    <row r="1197" spans="7:7">
      <c r="G1197"/>
    </row>
    <row r="1198" spans="7:7">
      <c r="G1198"/>
    </row>
    <row r="1199" spans="7:7">
      <c r="G1199"/>
    </row>
    <row r="1200" spans="7:7">
      <c r="G1200"/>
    </row>
    <row r="1201" spans="7:7">
      <c r="G1201"/>
    </row>
    <row r="1202" spans="7:7">
      <c r="G1202"/>
    </row>
    <row r="1203" spans="7:7">
      <c r="G1203"/>
    </row>
    <row r="1204" spans="7:7">
      <c r="G1204"/>
    </row>
    <row r="1205" spans="7:7">
      <c r="G1205"/>
    </row>
    <row r="1206" spans="7:7">
      <c r="G1206"/>
    </row>
    <row r="1207" spans="7:7">
      <c r="G1207"/>
    </row>
    <row r="1208" spans="7:7">
      <c r="G1208"/>
    </row>
    <row r="1209" spans="7:7">
      <c r="G1209"/>
    </row>
    <row r="1210" spans="7:7">
      <c r="G1210"/>
    </row>
    <row r="1211" spans="7:7">
      <c r="G1211"/>
    </row>
    <row r="1212" spans="7:7">
      <c r="G1212"/>
    </row>
    <row r="1213" spans="7:7">
      <c r="G1213"/>
    </row>
    <row r="1214" spans="7:7">
      <c r="G1214"/>
    </row>
    <row r="1215" spans="7:7">
      <c r="G1215"/>
    </row>
    <row r="1216" spans="7:7">
      <c r="G1216"/>
    </row>
    <row r="1217" spans="7:7">
      <c r="G1217"/>
    </row>
    <row r="1218" spans="7:7">
      <c r="G1218"/>
    </row>
    <row r="1219" spans="7:7">
      <c r="G1219"/>
    </row>
    <row r="1220" spans="7:7">
      <c r="G1220"/>
    </row>
    <row r="1221" spans="7:7">
      <c r="G1221"/>
    </row>
    <row r="1222" spans="7:7">
      <c r="G1222"/>
    </row>
    <row r="1223" spans="7:7">
      <c r="G1223"/>
    </row>
    <row r="1224" spans="7:7">
      <c r="G1224"/>
    </row>
    <row r="1225" spans="7:7">
      <c r="G1225"/>
    </row>
    <row r="1226" spans="7:7">
      <c r="G1226"/>
    </row>
    <row r="1227" spans="7:7">
      <c r="G1227"/>
    </row>
    <row r="1228" spans="7:7">
      <c r="G1228"/>
    </row>
    <row r="1229" spans="7:7">
      <c r="G1229"/>
    </row>
    <row r="1230" spans="7:7">
      <c r="G1230"/>
    </row>
    <row r="1231" spans="7:7">
      <c r="G1231"/>
    </row>
    <row r="1232" spans="7:7">
      <c r="G1232"/>
    </row>
    <row r="1233" spans="7:7">
      <c r="G1233"/>
    </row>
    <row r="1234" spans="7:7">
      <c r="G1234"/>
    </row>
    <row r="1235" spans="7:7">
      <c r="G1235"/>
    </row>
    <row r="1236" spans="7:7">
      <c r="G1236"/>
    </row>
    <row r="1237" spans="7:7">
      <c r="G1237"/>
    </row>
    <row r="1238" spans="7:7">
      <c r="G1238"/>
    </row>
    <row r="1239" spans="7:7">
      <c r="G1239"/>
    </row>
    <row r="1240" spans="7:7">
      <c r="G1240"/>
    </row>
    <row r="1241" spans="7:7">
      <c r="G1241"/>
    </row>
    <row r="1242" spans="7:7">
      <c r="G1242"/>
    </row>
    <row r="1243" spans="7:7">
      <c r="G1243"/>
    </row>
    <row r="1244" spans="7:7">
      <c r="G1244"/>
    </row>
    <row r="1245" spans="7:7">
      <c r="G1245"/>
    </row>
    <row r="1246" spans="7:7">
      <c r="G1246"/>
    </row>
    <row r="1247" spans="7:7">
      <c r="G1247"/>
    </row>
    <row r="1248" spans="7:7">
      <c r="G1248"/>
    </row>
    <row r="1249" spans="7:7">
      <c r="G1249"/>
    </row>
    <row r="1250" spans="7:7">
      <c r="G1250"/>
    </row>
    <row r="1251" spans="7:7">
      <c r="G1251"/>
    </row>
    <row r="1252" spans="7:7">
      <c r="G1252"/>
    </row>
    <row r="1253" spans="7:7">
      <c r="G1253"/>
    </row>
    <row r="1254" spans="7:7">
      <c r="G1254"/>
    </row>
    <row r="1255" spans="7:7">
      <c r="G1255"/>
    </row>
    <row r="1256" spans="7:7">
      <c r="G1256"/>
    </row>
    <row r="1257" spans="7:7">
      <c r="G1257"/>
    </row>
    <row r="1258" spans="7:7">
      <c r="G1258"/>
    </row>
    <row r="1259" spans="7:7">
      <c r="G1259"/>
    </row>
    <row r="1260" spans="7:7">
      <c r="G1260"/>
    </row>
    <row r="1261" spans="7:7">
      <c r="G1261"/>
    </row>
    <row r="1262" spans="7:7">
      <c r="G1262"/>
    </row>
    <row r="1263" spans="7:7">
      <c r="G1263"/>
    </row>
    <row r="1264" spans="7:7">
      <c r="G1264"/>
    </row>
    <row r="1265" spans="7:7">
      <c r="G1265"/>
    </row>
    <row r="1266" spans="7:7">
      <c r="G1266"/>
    </row>
    <row r="1267" spans="7:7">
      <c r="G1267"/>
    </row>
    <row r="1268" spans="7:7">
      <c r="G1268"/>
    </row>
    <row r="1269" spans="7:7">
      <c r="G1269"/>
    </row>
    <row r="1270" spans="7:7">
      <c r="G1270"/>
    </row>
    <row r="1271" spans="7:7">
      <c r="G1271"/>
    </row>
    <row r="1272" spans="7:7">
      <c r="G1272"/>
    </row>
    <row r="1273" spans="7:7">
      <c r="G1273"/>
    </row>
    <row r="1274" spans="7:7">
      <c r="G1274"/>
    </row>
    <row r="1275" spans="7:7">
      <c r="G1275"/>
    </row>
    <row r="1276" spans="7:7">
      <c r="G1276"/>
    </row>
    <row r="1277" spans="7:7">
      <c r="G1277"/>
    </row>
    <row r="1278" spans="7:7">
      <c r="G1278"/>
    </row>
    <row r="1279" spans="7:7">
      <c r="G1279"/>
    </row>
    <row r="1280" spans="7:7">
      <c r="G1280"/>
    </row>
    <row r="1281" spans="7:7">
      <c r="G1281"/>
    </row>
    <row r="1282" spans="7:7">
      <c r="G1282"/>
    </row>
    <row r="1283" spans="7:7">
      <c r="G1283"/>
    </row>
    <row r="1284" spans="7:7">
      <c r="G1284"/>
    </row>
    <row r="1285" spans="7:7">
      <c r="G1285"/>
    </row>
    <row r="1286" spans="7:7">
      <c r="G1286"/>
    </row>
    <row r="1287" spans="7:7">
      <c r="G1287"/>
    </row>
    <row r="1288" spans="7:7">
      <c r="G1288"/>
    </row>
    <row r="1289" spans="7:7">
      <c r="G1289"/>
    </row>
    <row r="1290" spans="7:7">
      <c r="G1290"/>
    </row>
    <row r="1291" spans="7:7">
      <c r="G1291"/>
    </row>
    <row r="1292" spans="7:7">
      <c r="G1292"/>
    </row>
    <row r="1293" spans="7:7">
      <c r="G1293"/>
    </row>
    <row r="1294" spans="7:7">
      <c r="G1294"/>
    </row>
    <row r="1295" spans="7:7">
      <c r="G1295"/>
    </row>
    <row r="1296" spans="7:7">
      <c r="G1296"/>
    </row>
    <row r="1297" spans="7:7">
      <c r="G1297"/>
    </row>
    <row r="1298" spans="7:7">
      <c r="G1298"/>
    </row>
    <row r="1299" spans="7:7">
      <c r="G1299"/>
    </row>
    <row r="1300" spans="7:7">
      <c r="G1300"/>
    </row>
    <row r="1301" spans="7:7">
      <c r="G1301"/>
    </row>
    <row r="1302" spans="7:7">
      <c r="G1302"/>
    </row>
    <row r="1303" spans="7:7">
      <c r="G1303"/>
    </row>
    <row r="1304" spans="7:7">
      <c r="G1304"/>
    </row>
    <row r="1305" spans="7:7">
      <c r="G1305"/>
    </row>
    <row r="1306" spans="7:7">
      <c r="G1306"/>
    </row>
    <row r="1307" spans="7:7">
      <c r="G1307"/>
    </row>
    <row r="1308" spans="7:7">
      <c r="G1308"/>
    </row>
    <row r="1309" spans="7:7">
      <c r="G1309"/>
    </row>
    <row r="1310" spans="7:7">
      <c r="G1310"/>
    </row>
    <row r="1311" spans="7:7">
      <c r="G1311"/>
    </row>
    <row r="1312" spans="7:7">
      <c r="G1312"/>
    </row>
    <row r="1313" spans="7:7">
      <c r="G1313"/>
    </row>
    <row r="1314" spans="7:7">
      <c r="G1314"/>
    </row>
    <row r="1315" spans="7:7">
      <c r="G1315"/>
    </row>
    <row r="1316" spans="7:7">
      <c r="G1316"/>
    </row>
    <row r="1317" spans="7:7">
      <c r="G1317"/>
    </row>
    <row r="1318" spans="7:7">
      <c r="G1318"/>
    </row>
    <row r="1319" spans="7:7">
      <c r="G1319"/>
    </row>
    <row r="1320" spans="7:7">
      <c r="G1320"/>
    </row>
    <row r="1321" spans="7:7">
      <c r="G1321"/>
    </row>
    <row r="1322" spans="7:7">
      <c r="G1322"/>
    </row>
    <row r="1323" spans="7:7">
      <c r="G1323"/>
    </row>
    <row r="1324" spans="7:7">
      <c r="G1324"/>
    </row>
    <row r="1325" spans="7:7">
      <c r="G1325"/>
    </row>
    <row r="1326" spans="7:7">
      <c r="G1326"/>
    </row>
    <row r="1327" spans="7:7">
      <c r="G1327"/>
    </row>
    <row r="1328" spans="7:7">
      <c r="G1328"/>
    </row>
    <row r="1329" spans="7:7">
      <c r="G1329"/>
    </row>
    <row r="1330" spans="7:7">
      <c r="G1330"/>
    </row>
    <row r="1331" spans="7:7">
      <c r="G1331"/>
    </row>
    <row r="1332" spans="7:7">
      <c r="G1332"/>
    </row>
    <row r="1333" spans="7:7">
      <c r="G1333"/>
    </row>
    <row r="1334" spans="7:7">
      <c r="G1334"/>
    </row>
    <row r="1335" spans="7:7">
      <c r="G1335"/>
    </row>
    <row r="1336" spans="7:7">
      <c r="G1336"/>
    </row>
    <row r="1337" spans="7:7">
      <c r="G1337"/>
    </row>
    <row r="1338" spans="7:7">
      <c r="G1338"/>
    </row>
    <row r="1339" spans="7:7">
      <c r="G1339"/>
    </row>
    <row r="1340" spans="7:7">
      <c r="G1340"/>
    </row>
    <row r="1341" spans="7:7">
      <c r="G1341"/>
    </row>
    <row r="1342" spans="7:7">
      <c r="G1342"/>
    </row>
    <row r="1343" spans="7:7">
      <c r="G1343"/>
    </row>
    <row r="1344" spans="7:7">
      <c r="G1344"/>
    </row>
    <row r="1345" spans="7:7">
      <c r="G1345"/>
    </row>
    <row r="1346" spans="7:7">
      <c r="G1346"/>
    </row>
    <row r="1347" spans="7:7">
      <c r="G1347"/>
    </row>
    <row r="1348" spans="7:7">
      <c r="G1348"/>
    </row>
    <row r="1349" spans="7:7">
      <c r="G1349"/>
    </row>
    <row r="1350" spans="7:7">
      <c r="G1350"/>
    </row>
    <row r="1351" spans="7:7">
      <c r="G1351"/>
    </row>
    <row r="1352" spans="7:7">
      <c r="G1352"/>
    </row>
    <row r="1353" spans="7:7">
      <c r="G1353"/>
    </row>
    <row r="1354" spans="7:7">
      <c r="G1354"/>
    </row>
    <row r="1355" spans="7:7">
      <c r="G1355"/>
    </row>
    <row r="1356" spans="7:7">
      <c r="G1356"/>
    </row>
    <row r="1357" spans="7:7">
      <c r="G1357"/>
    </row>
    <row r="1358" spans="7:7">
      <c r="G1358"/>
    </row>
    <row r="1359" spans="7:7">
      <c r="G1359"/>
    </row>
    <row r="1360" spans="7:7">
      <c r="G1360"/>
    </row>
    <row r="1361" spans="7:7">
      <c r="G1361"/>
    </row>
    <row r="1362" spans="7:7">
      <c r="G1362"/>
    </row>
    <row r="1363" spans="7:7">
      <c r="G1363"/>
    </row>
    <row r="1364" spans="7:7">
      <c r="G1364"/>
    </row>
    <row r="1365" spans="7:7">
      <c r="G1365"/>
    </row>
    <row r="1366" spans="7:7">
      <c r="G1366"/>
    </row>
    <row r="1367" spans="7:7">
      <c r="G1367"/>
    </row>
    <row r="1368" spans="7:7">
      <c r="G1368"/>
    </row>
    <row r="1369" spans="7:7">
      <c r="G1369"/>
    </row>
    <row r="1370" spans="7:7">
      <c r="G1370"/>
    </row>
    <row r="1371" spans="7:7">
      <c r="G1371"/>
    </row>
    <row r="1372" spans="7:7">
      <c r="G1372"/>
    </row>
    <row r="1373" spans="7:7">
      <c r="G1373"/>
    </row>
    <row r="1374" spans="7:7">
      <c r="G1374"/>
    </row>
    <row r="1375" spans="7:7">
      <c r="G1375"/>
    </row>
    <row r="1376" spans="7:7">
      <c r="G1376"/>
    </row>
    <row r="1377" spans="7:7">
      <c r="G1377"/>
    </row>
    <row r="1378" spans="7:7">
      <c r="G1378"/>
    </row>
    <row r="1379" spans="7:7">
      <c r="G1379"/>
    </row>
    <row r="1380" spans="7:7">
      <c r="G1380"/>
    </row>
    <row r="1381" spans="7:7">
      <c r="G1381"/>
    </row>
    <row r="1382" spans="7:7">
      <c r="G1382"/>
    </row>
    <row r="1383" spans="7:7">
      <c r="G1383"/>
    </row>
    <row r="1384" spans="7:7">
      <c r="G1384"/>
    </row>
    <row r="1385" spans="7:7">
      <c r="G1385"/>
    </row>
    <row r="1386" spans="7:7">
      <c r="G1386"/>
    </row>
    <row r="1387" spans="7:7">
      <c r="G1387"/>
    </row>
    <row r="1388" spans="7:7">
      <c r="G1388"/>
    </row>
    <row r="1389" spans="7:7">
      <c r="G1389"/>
    </row>
    <row r="1390" spans="7:7">
      <c r="G1390"/>
    </row>
    <row r="1391" spans="7:7">
      <c r="G1391"/>
    </row>
    <row r="1392" spans="7:7">
      <c r="G1392"/>
    </row>
    <row r="1393" spans="7:7">
      <c r="G1393"/>
    </row>
    <row r="1394" spans="7:7">
      <c r="G1394"/>
    </row>
    <row r="1395" spans="7:7">
      <c r="G1395"/>
    </row>
    <row r="1396" spans="7:7">
      <c r="G1396"/>
    </row>
    <row r="1397" spans="7:7">
      <c r="G1397"/>
    </row>
    <row r="1398" spans="7:7">
      <c r="G1398"/>
    </row>
    <row r="1399" spans="7:7">
      <c r="G1399"/>
    </row>
    <row r="1400" spans="7:7">
      <c r="G1400"/>
    </row>
    <row r="1401" spans="7:7">
      <c r="G1401"/>
    </row>
    <row r="1402" spans="7:7">
      <c r="G1402"/>
    </row>
    <row r="1403" spans="7:7">
      <c r="G1403"/>
    </row>
    <row r="1404" spans="7:7">
      <c r="G1404"/>
    </row>
    <row r="1405" spans="7:7">
      <c r="G1405"/>
    </row>
    <row r="1406" spans="7:7">
      <c r="G1406"/>
    </row>
    <row r="1407" spans="7:7">
      <c r="G1407"/>
    </row>
    <row r="1408" spans="7:7">
      <c r="G1408"/>
    </row>
    <row r="1409" spans="7:7">
      <c r="G1409"/>
    </row>
    <row r="1410" spans="7:7">
      <c r="G1410"/>
    </row>
    <row r="1411" spans="7:7">
      <c r="G1411"/>
    </row>
    <row r="1412" spans="7:7">
      <c r="G1412"/>
    </row>
    <row r="1413" spans="7:7">
      <c r="G1413"/>
    </row>
    <row r="1414" spans="7:7">
      <c r="G1414"/>
    </row>
    <row r="1415" spans="7:7">
      <c r="G1415"/>
    </row>
    <row r="1416" spans="7:7">
      <c r="G1416"/>
    </row>
    <row r="1417" spans="7:7">
      <c r="G1417"/>
    </row>
    <row r="1418" spans="7:7">
      <c r="G1418"/>
    </row>
    <row r="1419" spans="7:7">
      <c r="G1419"/>
    </row>
    <row r="1420" spans="7:7">
      <c r="G1420"/>
    </row>
    <row r="1421" spans="7:7">
      <c r="G1421"/>
    </row>
    <row r="1422" spans="7:7">
      <c r="G1422"/>
    </row>
    <row r="1423" spans="7:7">
      <c r="G1423"/>
    </row>
    <row r="1424" spans="7:7">
      <c r="G1424"/>
    </row>
    <row r="1425" spans="7:7">
      <c r="G1425"/>
    </row>
    <row r="1426" spans="7:7">
      <c r="G1426"/>
    </row>
    <row r="1427" spans="7:7">
      <c r="G1427"/>
    </row>
    <row r="1428" spans="7:7">
      <c r="G1428"/>
    </row>
    <row r="1429" spans="7:7">
      <c r="G1429"/>
    </row>
    <row r="1430" spans="7:7">
      <c r="G1430"/>
    </row>
    <row r="1431" spans="7:7">
      <c r="G1431"/>
    </row>
    <row r="1432" spans="7:7">
      <c r="G1432"/>
    </row>
    <row r="1433" spans="7:7">
      <c r="G1433"/>
    </row>
    <row r="1434" spans="7:7">
      <c r="G1434"/>
    </row>
    <row r="1435" spans="7:7">
      <c r="G1435"/>
    </row>
    <row r="1436" spans="7:7">
      <c r="G1436"/>
    </row>
    <row r="1437" spans="7:7">
      <c r="G1437"/>
    </row>
    <row r="1438" spans="7:7">
      <c r="G1438"/>
    </row>
    <row r="1439" spans="7:7">
      <c r="G1439"/>
    </row>
    <row r="1440" spans="7:7">
      <c r="G1440"/>
    </row>
    <row r="1441" spans="7:7">
      <c r="G1441"/>
    </row>
    <row r="1442" spans="7:7">
      <c r="G1442"/>
    </row>
    <row r="1443" spans="7:7">
      <c r="G1443"/>
    </row>
    <row r="1444" spans="7:7">
      <c r="G1444"/>
    </row>
    <row r="1445" spans="7:7">
      <c r="G1445"/>
    </row>
    <row r="1446" spans="7:7">
      <c r="G1446"/>
    </row>
    <row r="1447" spans="7:7">
      <c r="G1447"/>
    </row>
    <row r="1448" spans="7:7">
      <c r="G1448"/>
    </row>
    <row r="1449" spans="7:7">
      <c r="G1449"/>
    </row>
    <row r="1450" spans="7:7">
      <c r="G1450"/>
    </row>
    <row r="1451" spans="7:7">
      <c r="G1451"/>
    </row>
    <row r="1452" spans="7:7">
      <c r="G1452"/>
    </row>
    <row r="1453" spans="7:7">
      <c r="G1453"/>
    </row>
    <row r="1454" spans="7:7">
      <c r="G1454"/>
    </row>
    <row r="1455" spans="7:7">
      <c r="G1455"/>
    </row>
    <row r="1456" spans="7:7">
      <c r="G1456"/>
    </row>
    <row r="1457" spans="7:7">
      <c r="G1457"/>
    </row>
    <row r="1458" spans="7:7">
      <c r="G1458"/>
    </row>
    <row r="1459" spans="7:7">
      <c r="G1459"/>
    </row>
    <row r="1460" spans="7:7">
      <c r="G1460"/>
    </row>
    <row r="1461" spans="7:7">
      <c r="G1461"/>
    </row>
    <row r="1462" spans="7:7">
      <c r="G1462"/>
    </row>
    <row r="1463" spans="7:7">
      <c r="G1463"/>
    </row>
    <row r="1464" spans="7:7">
      <c r="G1464"/>
    </row>
    <row r="1465" spans="7:7">
      <c r="G1465"/>
    </row>
    <row r="1466" spans="7:7">
      <c r="G1466"/>
    </row>
    <row r="1467" spans="7:7">
      <c r="G1467"/>
    </row>
    <row r="1468" spans="7:7">
      <c r="G1468"/>
    </row>
    <row r="1469" spans="7:7">
      <c r="G1469"/>
    </row>
    <row r="1470" spans="7:7">
      <c r="G1470"/>
    </row>
    <row r="1471" spans="7:7">
      <c r="G1471"/>
    </row>
    <row r="1472" spans="7:7">
      <c r="G1472"/>
    </row>
    <row r="1473" spans="7:7">
      <c r="G1473"/>
    </row>
    <row r="1474" spans="7:7">
      <c r="G1474"/>
    </row>
    <row r="1475" spans="7:7">
      <c r="G1475"/>
    </row>
    <row r="1476" spans="7:7">
      <c r="G1476"/>
    </row>
    <row r="1477" spans="7:7">
      <c r="G1477"/>
    </row>
    <row r="1478" spans="7:7">
      <c r="G1478"/>
    </row>
    <row r="1479" spans="7:7">
      <c r="G1479"/>
    </row>
    <row r="1480" spans="7:7">
      <c r="G1480"/>
    </row>
    <row r="1481" spans="7:7">
      <c r="G1481"/>
    </row>
    <row r="1482" spans="7:7">
      <c r="G1482"/>
    </row>
    <row r="1483" spans="7:7">
      <c r="G1483"/>
    </row>
    <row r="1484" spans="7:7">
      <c r="G1484"/>
    </row>
    <row r="1485" spans="7:7">
      <c r="G1485"/>
    </row>
    <row r="1486" spans="7:7">
      <c r="G1486"/>
    </row>
    <row r="1487" spans="7:7">
      <c r="G1487"/>
    </row>
    <row r="1488" spans="7:7">
      <c r="G1488"/>
    </row>
    <row r="1489" spans="7:7">
      <c r="G1489"/>
    </row>
    <row r="1490" spans="7:7">
      <c r="G1490"/>
    </row>
    <row r="1491" spans="7:7">
      <c r="G1491"/>
    </row>
    <row r="1492" spans="7:7">
      <c r="G1492"/>
    </row>
    <row r="1493" spans="7:7">
      <c r="G1493"/>
    </row>
    <row r="1494" spans="7:7">
      <c r="G1494"/>
    </row>
    <row r="1495" spans="7:7">
      <c r="G1495"/>
    </row>
    <row r="1496" spans="7:7">
      <c r="G1496"/>
    </row>
    <row r="1497" spans="7:7">
      <c r="G1497"/>
    </row>
    <row r="1498" spans="7:7">
      <c r="G1498"/>
    </row>
    <row r="1499" spans="7:7">
      <c r="G1499"/>
    </row>
    <row r="1500" spans="7:7">
      <c r="G1500"/>
    </row>
    <row r="1501" spans="7:7">
      <c r="G1501"/>
    </row>
    <row r="1502" spans="7:7">
      <c r="G1502"/>
    </row>
    <row r="1503" spans="7:7">
      <c r="G1503"/>
    </row>
    <row r="1504" spans="7:7">
      <c r="G1504"/>
    </row>
    <row r="1505" spans="7:7">
      <c r="G1505"/>
    </row>
    <row r="1506" spans="7:7">
      <c r="G1506"/>
    </row>
    <row r="1507" spans="7:7">
      <c r="G1507"/>
    </row>
    <row r="1508" spans="7:7">
      <c r="G1508"/>
    </row>
    <row r="1509" spans="7:7">
      <c r="G1509"/>
    </row>
    <row r="1510" spans="7:7">
      <c r="G1510"/>
    </row>
    <row r="1511" spans="7:7">
      <c r="G1511"/>
    </row>
    <row r="1512" spans="7:7">
      <c r="G1512"/>
    </row>
    <row r="1513" spans="7:7">
      <c r="G1513"/>
    </row>
    <row r="1514" spans="7:7">
      <c r="G1514"/>
    </row>
    <row r="1515" spans="7:7">
      <c r="G1515"/>
    </row>
    <row r="1516" spans="7:7">
      <c r="G1516"/>
    </row>
    <row r="1517" spans="7:7">
      <c r="G1517"/>
    </row>
    <row r="1518" spans="7:7">
      <c r="G1518"/>
    </row>
    <row r="1519" spans="7:7">
      <c r="G1519"/>
    </row>
    <row r="1520" spans="7:7">
      <c r="G1520"/>
    </row>
    <row r="1521" spans="7:7">
      <c r="G1521"/>
    </row>
    <row r="1522" spans="7:7">
      <c r="G1522"/>
    </row>
    <row r="1523" spans="7:7">
      <c r="G1523"/>
    </row>
    <row r="1524" spans="7:7">
      <c r="G1524"/>
    </row>
    <row r="1525" spans="7:7">
      <c r="G1525"/>
    </row>
    <row r="1526" spans="7:7">
      <c r="G1526"/>
    </row>
    <row r="1527" spans="7:7">
      <c r="G1527"/>
    </row>
    <row r="1528" spans="7:7">
      <c r="G1528"/>
    </row>
    <row r="1529" spans="7:7">
      <c r="G1529"/>
    </row>
    <row r="1530" spans="7:7">
      <c r="G1530"/>
    </row>
    <row r="1531" spans="7:7">
      <c r="G1531"/>
    </row>
    <row r="1532" spans="7:7">
      <c r="G1532"/>
    </row>
    <row r="1533" spans="7:7">
      <c r="G1533"/>
    </row>
    <row r="1534" spans="7:7">
      <c r="G1534"/>
    </row>
    <row r="1535" spans="7:7">
      <c r="G1535"/>
    </row>
    <row r="1536" spans="7:7">
      <c r="G1536"/>
    </row>
    <row r="1537" spans="7:7">
      <c r="G1537"/>
    </row>
    <row r="1538" spans="7:7">
      <c r="G1538"/>
    </row>
    <row r="1539" spans="7:7">
      <c r="G1539"/>
    </row>
    <row r="1540" spans="7:7">
      <c r="G1540"/>
    </row>
    <row r="1541" spans="7:7">
      <c r="G1541"/>
    </row>
    <row r="1542" spans="7:7">
      <c r="G1542"/>
    </row>
    <row r="1543" spans="7:7">
      <c r="G1543"/>
    </row>
    <row r="1544" spans="7:7">
      <c r="G1544"/>
    </row>
    <row r="1545" spans="7:7">
      <c r="G1545"/>
    </row>
    <row r="1546" spans="7:7">
      <c r="G1546"/>
    </row>
    <row r="1547" spans="7:7">
      <c r="G1547"/>
    </row>
    <row r="1548" spans="7:7">
      <c r="G1548"/>
    </row>
    <row r="1549" spans="7:7">
      <c r="G1549"/>
    </row>
    <row r="1550" spans="7:7">
      <c r="G1550"/>
    </row>
    <row r="1551" spans="7:7">
      <c r="G1551"/>
    </row>
    <row r="1552" spans="7:7">
      <c r="G1552"/>
    </row>
    <row r="1553" spans="7:7">
      <c r="G1553"/>
    </row>
    <row r="1554" spans="7:7">
      <c r="G1554"/>
    </row>
    <row r="1555" spans="7:7">
      <c r="G1555"/>
    </row>
    <row r="1556" spans="7:7">
      <c r="G1556"/>
    </row>
    <row r="1557" spans="7:7">
      <c r="G1557"/>
    </row>
    <row r="1558" spans="7:7">
      <c r="G1558"/>
    </row>
    <row r="1559" spans="7:7">
      <c r="G1559"/>
    </row>
    <row r="1560" spans="7:7">
      <c r="G1560"/>
    </row>
    <row r="1561" spans="7:7">
      <c r="G1561"/>
    </row>
    <row r="1562" spans="7:7">
      <c r="G1562"/>
    </row>
    <row r="1563" spans="7:7">
      <c r="G1563"/>
    </row>
    <row r="1564" spans="7:7">
      <c r="G1564"/>
    </row>
    <row r="1565" spans="7:7">
      <c r="G1565"/>
    </row>
    <row r="1566" spans="7:7">
      <c r="G1566"/>
    </row>
    <row r="1567" spans="7:7">
      <c r="G1567"/>
    </row>
    <row r="1568" spans="7:7">
      <c r="G1568"/>
    </row>
    <row r="1569" spans="7:7">
      <c r="G1569"/>
    </row>
    <row r="1570" spans="7:7">
      <c r="G1570"/>
    </row>
    <row r="1571" spans="7:7">
      <c r="G1571"/>
    </row>
    <row r="1572" spans="7:7">
      <c r="G1572"/>
    </row>
    <row r="1573" spans="7:7">
      <c r="G1573"/>
    </row>
    <row r="1574" spans="7:7">
      <c r="G1574"/>
    </row>
    <row r="1575" spans="7:7">
      <c r="G1575"/>
    </row>
    <row r="1576" spans="7:7">
      <c r="G1576"/>
    </row>
    <row r="1577" spans="7:7">
      <c r="G1577"/>
    </row>
    <row r="1578" spans="7:7">
      <c r="G1578"/>
    </row>
    <row r="1579" spans="7:7">
      <c r="G1579"/>
    </row>
    <row r="1580" spans="7:7">
      <c r="G1580"/>
    </row>
    <row r="1581" spans="7:7">
      <c r="G1581"/>
    </row>
    <row r="1582" spans="7:7">
      <c r="G1582"/>
    </row>
    <row r="1583" spans="7:7">
      <c r="G1583"/>
    </row>
    <row r="1584" spans="7:7">
      <c r="G1584"/>
    </row>
    <row r="1585" spans="7:7">
      <c r="G1585"/>
    </row>
    <row r="1586" spans="7:7">
      <c r="G1586"/>
    </row>
    <row r="1587" spans="7:7">
      <c r="G1587"/>
    </row>
    <row r="1588" spans="7:7">
      <c r="G1588"/>
    </row>
    <row r="1589" spans="7:7">
      <c r="G1589"/>
    </row>
    <row r="1590" spans="7:7">
      <c r="G1590"/>
    </row>
    <row r="1591" spans="7:7">
      <c r="G1591"/>
    </row>
    <row r="1592" spans="7:7">
      <c r="G1592"/>
    </row>
    <row r="1593" spans="7:7">
      <c r="G1593"/>
    </row>
    <row r="1594" spans="7:7">
      <c r="G1594"/>
    </row>
    <row r="1595" spans="7:7">
      <c r="G1595"/>
    </row>
    <row r="1596" spans="7:7">
      <c r="G1596"/>
    </row>
    <row r="1597" spans="7:7">
      <c r="G1597"/>
    </row>
    <row r="1598" spans="7:7">
      <c r="G1598"/>
    </row>
    <row r="1599" spans="7:7">
      <c r="G1599"/>
    </row>
    <row r="1600" spans="7:7">
      <c r="G1600"/>
    </row>
    <row r="1601" spans="7:7">
      <c r="G1601"/>
    </row>
    <row r="1602" spans="7:7">
      <c r="G1602"/>
    </row>
    <row r="1603" spans="7:7">
      <c r="G1603"/>
    </row>
    <row r="1604" spans="7:7">
      <c r="G1604"/>
    </row>
    <row r="1605" spans="7:7">
      <c r="G1605"/>
    </row>
    <row r="1606" spans="7:7">
      <c r="G1606"/>
    </row>
    <row r="1607" spans="7:7">
      <c r="G1607"/>
    </row>
    <row r="1608" spans="7:7">
      <c r="G1608"/>
    </row>
    <row r="1609" spans="7:7">
      <c r="G1609"/>
    </row>
    <row r="1610" spans="7:7">
      <c r="G1610"/>
    </row>
    <row r="1611" spans="7:7">
      <c r="G1611"/>
    </row>
    <row r="1612" spans="7:7">
      <c r="G1612"/>
    </row>
    <row r="1613" spans="7:7">
      <c r="G1613"/>
    </row>
    <row r="1614" spans="7:7">
      <c r="G1614"/>
    </row>
    <row r="1615" spans="7:7">
      <c r="G1615"/>
    </row>
    <row r="1616" spans="7:7">
      <c r="G1616"/>
    </row>
    <row r="1617" spans="7:7">
      <c r="G1617"/>
    </row>
    <row r="1618" spans="7:7">
      <c r="G1618"/>
    </row>
    <row r="1619" spans="7:7">
      <c r="G1619"/>
    </row>
    <row r="1620" spans="7:7">
      <c r="G1620"/>
    </row>
    <row r="1621" spans="7:7">
      <c r="G1621"/>
    </row>
    <row r="1622" spans="7:7">
      <c r="G1622"/>
    </row>
    <row r="1623" spans="7:7">
      <c r="G1623"/>
    </row>
    <row r="1624" spans="7:7">
      <c r="G1624"/>
    </row>
    <row r="1625" spans="7:7">
      <c r="G1625"/>
    </row>
    <row r="1626" spans="7:7">
      <c r="G1626"/>
    </row>
    <row r="1627" spans="7:7">
      <c r="G1627"/>
    </row>
    <row r="1628" spans="7:7">
      <c r="G1628"/>
    </row>
    <row r="1629" spans="7:7">
      <c r="G1629"/>
    </row>
    <row r="1630" spans="7:7">
      <c r="G1630"/>
    </row>
    <row r="1631" spans="7:7">
      <c r="G1631"/>
    </row>
    <row r="1632" spans="7:7">
      <c r="G1632"/>
    </row>
    <row r="1633" spans="7:7">
      <c r="G1633"/>
    </row>
    <row r="1634" spans="7:7">
      <c r="G1634"/>
    </row>
    <row r="1635" spans="7:7">
      <c r="G1635"/>
    </row>
    <row r="1636" spans="7:7">
      <c r="G1636"/>
    </row>
    <row r="1637" spans="7:7">
      <c r="G1637"/>
    </row>
    <row r="1638" spans="7:7">
      <c r="G1638"/>
    </row>
    <row r="1639" spans="7:7">
      <c r="G1639"/>
    </row>
    <row r="1640" spans="7:7">
      <c r="G1640"/>
    </row>
    <row r="1641" spans="7:7">
      <c r="G1641"/>
    </row>
    <row r="1642" spans="7:7">
      <c r="G1642"/>
    </row>
    <row r="1643" spans="7:7">
      <c r="G1643"/>
    </row>
    <row r="1644" spans="7:7">
      <c r="G1644"/>
    </row>
    <row r="1645" spans="7:7">
      <c r="G1645"/>
    </row>
    <row r="1646" spans="7:7">
      <c r="G1646"/>
    </row>
    <row r="1647" spans="7:7">
      <c r="G1647"/>
    </row>
    <row r="1648" spans="7:7">
      <c r="G1648"/>
    </row>
    <row r="1649" spans="7:7">
      <c r="G1649"/>
    </row>
    <row r="1650" spans="7:7">
      <c r="G1650"/>
    </row>
    <row r="1651" spans="7:7">
      <c r="G1651"/>
    </row>
    <row r="1652" spans="7:7">
      <c r="G1652"/>
    </row>
    <row r="1653" spans="7:7">
      <c r="G1653"/>
    </row>
    <row r="1654" spans="7:7">
      <c r="G1654"/>
    </row>
    <row r="1655" spans="7:7">
      <c r="G1655"/>
    </row>
    <row r="1656" spans="7:7">
      <c r="G1656"/>
    </row>
    <row r="1657" spans="7:7">
      <c r="G1657"/>
    </row>
    <row r="1658" spans="7:7">
      <c r="G1658"/>
    </row>
    <row r="1659" spans="7:7">
      <c r="G1659"/>
    </row>
    <row r="1660" spans="7:7">
      <c r="G1660"/>
    </row>
    <row r="1661" spans="7:7">
      <c r="G1661"/>
    </row>
    <row r="1662" spans="7:7">
      <c r="G1662"/>
    </row>
    <row r="1663" spans="7:7">
      <c r="G1663"/>
    </row>
    <row r="1664" spans="7:7">
      <c r="G1664"/>
    </row>
    <row r="1665" spans="7:7">
      <c r="G1665"/>
    </row>
    <row r="1666" spans="7:7">
      <c r="G1666"/>
    </row>
    <row r="1667" spans="7:7">
      <c r="G1667"/>
    </row>
    <row r="1668" spans="7:7">
      <c r="G1668"/>
    </row>
    <row r="1669" spans="7:7">
      <c r="G1669"/>
    </row>
    <row r="1670" spans="7:7">
      <c r="G1670"/>
    </row>
    <row r="1671" spans="7:7">
      <c r="G1671"/>
    </row>
    <row r="1672" spans="7:7">
      <c r="G1672"/>
    </row>
    <row r="1673" spans="7:7">
      <c r="G1673"/>
    </row>
    <row r="1674" spans="7:7">
      <c r="G1674"/>
    </row>
    <row r="1675" spans="7:7">
      <c r="G1675"/>
    </row>
    <row r="1676" spans="7:7">
      <c r="G1676"/>
    </row>
    <row r="1677" spans="7:7">
      <c r="G1677"/>
    </row>
    <row r="1678" spans="7:7">
      <c r="G1678"/>
    </row>
    <row r="1679" spans="7:7">
      <c r="G1679"/>
    </row>
    <row r="1680" spans="7:7">
      <c r="G1680"/>
    </row>
    <row r="1681" spans="7:7">
      <c r="G1681"/>
    </row>
    <row r="1682" spans="7:7">
      <c r="G1682"/>
    </row>
    <row r="1683" spans="7:7">
      <c r="G1683"/>
    </row>
    <row r="1684" spans="7:7">
      <c r="G1684"/>
    </row>
    <row r="1685" spans="7:7">
      <c r="G1685"/>
    </row>
    <row r="1686" spans="7:7">
      <c r="G1686"/>
    </row>
    <row r="1687" spans="7:7">
      <c r="G1687"/>
    </row>
    <row r="1688" spans="7:7">
      <c r="G1688"/>
    </row>
    <row r="1689" spans="7:7">
      <c r="G1689"/>
    </row>
    <row r="1690" spans="7:7">
      <c r="G1690"/>
    </row>
    <row r="1691" spans="7:7">
      <c r="G1691"/>
    </row>
    <row r="1692" spans="7:7">
      <c r="G1692"/>
    </row>
    <row r="1693" spans="7:7">
      <c r="G1693"/>
    </row>
    <row r="1694" spans="7:7">
      <c r="G1694"/>
    </row>
    <row r="1695" spans="7:7">
      <c r="G1695"/>
    </row>
    <row r="1696" spans="7:7">
      <c r="G1696"/>
    </row>
    <row r="1697" spans="7:7">
      <c r="G1697"/>
    </row>
    <row r="1698" spans="7:7">
      <c r="G1698"/>
    </row>
    <row r="1699" spans="7:7">
      <c r="G1699"/>
    </row>
    <row r="1700" spans="7:7">
      <c r="G1700"/>
    </row>
    <row r="1701" spans="7:7">
      <c r="G1701"/>
    </row>
    <row r="1702" spans="7:7">
      <c r="G1702"/>
    </row>
    <row r="1703" spans="7:7">
      <c r="G1703"/>
    </row>
    <row r="1704" spans="7:7">
      <c r="G1704"/>
    </row>
    <row r="1705" spans="7:7">
      <c r="G1705"/>
    </row>
    <row r="1706" spans="7:7">
      <c r="G1706"/>
    </row>
    <row r="1707" spans="7:7">
      <c r="G1707"/>
    </row>
    <row r="1708" spans="7:7">
      <c r="G1708"/>
    </row>
    <row r="1709" spans="7:7">
      <c r="G1709"/>
    </row>
    <row r="1710" spans="7:7">
      <c r="G1710"/>
    </row>
    <row r="1711" spans="7:7">
      <c r="G1711"/>
    </row>
    <row r="1712" spans="7:7">
      <c r="G1712"/>
    </row>
    <row r="1713" spans="7:7">
      <c r="G1713"/>
    </row>
    <row r="1714" spans="7:7">
      <c r="G1714"/>
    </row>
    <row r="1715" spans="7:7">
      <c r="G1715"/>
    </row>
    <row r="1716" spans="7:7">
      <c r="G1716"/>
    </row>
    <row r="1717" spans="7:7">
      <c r="G1717"/>
    </row>
    <row r="1718" spans="7:7">
      <c r="G1718"/>
    </row>
    <row r="1719" spans="7:7">
      <c r="G1719"/>
    </row>
    <row r="1720" spans="7:7">
      <c r="G1720"/>
    </row>
    <row r="1721" spans="7:7">
      <c r="G1721"/>
    </row>
    <row r="1722" spans="7:7">
      <c r="G1722"/>
    </row>
    <row r="1723" spans="7:7">
      <c r="G1723"/>
    </row>
    <row r="1724" spans="7:7">
      <c r="G1724"/>
    </row>
    <row r="1725" spans="7:7">
      <c r="G1725"/>
    </row>
    <row r="1726" spans="7:7">
      <c r="G1726"/>
    </row>
    <row r="1727" spans="7:7">
      <c r="G1727"/>
    </row>
    <row r="1728" spans="7:7">
      <c r="G1728"/>
    </row>
    <row r="1729" spans="7:7">
      <c r="G1729"/>
    </row>
    <row r="1730" spans="7:7">
      <c r="G1730"/>
    </row>
    <row r="1731" spans="7:7">
      <c r="G1731"/>
    </row>
    <row r="1732" spans="7:7">
      <c r="G1732"/>
    </row>
    <row r="1733" spans="7:7">
      <c r="G1733"/>
    </row>
    <row r="1734" spans="7:7">
      <c r="G1734"/>
    </row>
    <row r="1735" spans="7:7">
      <c r="G1735"/>
    </row>
    <row r="1736" spans="7:7">
      <c r="G1736"/>
    </row>
    <row r="1737" spans="7:7">
      <c r="G1737"/>
    </row>
    <row r="1738" spans="7:7">
      <c r="G1738"/>
    </row>
    <row r="1739" spans="7:7">
      <c r="G1739"/>
    </row>
    <row r="1740" spans="7:7">
      <c r="G1740"/>
    </row>
    <row r="1741" spans="7:7">
      <c r="G1741"/>
    </row>
    <row r="1742" spans="7:7">
      <c r="G1742"/>
    </row>
    <row r="1743" spans="7:7">
      <c r="G1743"/>
    </row>
    <row r="1744" spans="7:7">
      <c r="G1744"/>
    </row>
    <row r="1745" spans="7:7">
      <c r="G1745"/>
    </row>
    <row r="1746" spans="7:7">
      <c r="G1746"/>
    </row>
    <row r="1747" spans="7:7">
      <c r="G1747"/>
    </row>
    <row r="1748" spans="7:7">
      <c r="G1748"/>
    </row>
    <row r="1749" spans="7:7">
      <c r="G1749"/>
    </row>
    <row r="1750" spans="7:7">
      <c r="G1750"/>
    </row>
    <row r="1751" spans="7:7">
      <c r="G1751"/>
    </row>
    <row r="1752" spans="7:7">
      <c r="G1752"/>
    </row>
    <row r="1753" spans="7:7">
      <c r="G1753"/>
    </row>
    <row r="1754" spans="7:7">
      <c r="G1754"/>
    </row>
    <row r="1755" spans="7:7">
      <c r="G1755"/>
    </row>
    <row r="1756" spans="7:7">
      <c r="G1756"/>
    </row>
    <row r="1757" spans="7:7">
      <c r="G1757"/>
    </row>
    <row r="1758" spans="7:7">
      <c r="G1758"/>
    </row>
    <row r="1759" spans="7:7">
      <c r="G1759"/>
    </row>
    <row r="1760" spans="7:7">
      <c r="G1760"/>
    </row>
    <row r="1761" spans="7:7">
      <c r="G1761"/>
    </row>
    <row r="1762" spans="7:7">
      <c r="G1762"/>
    </row>
    <row r="1763" spans="7:7">
      <c r="G1763"/>
    </row>
    <row r="1764" spans="7:7">
      <c r="G1764"/>
    </row>
    <row r="1765" spans="7:7">
      <c r="G1765"/>
    </row>
    <row r="1766" spans="7:7">
      <c r="G1766"/>
    </row>
    <row r="1767" spans="7:7">
      <c r="G1767"/>
    </row>
    <row r="1768" spans="7:7">
      <c r="G1768"/>
    </row>
    <row r="1769" spans="7:7">
      <c r="G1769"/>
    </row>
    <row r="1770" spans="7:7">
      <c r="G1770"/>
    </row>
    <row r="1771" spans="7:7">
      <c r="G1771"/>
    </row>
    <row r="1772" spans="7:7">
      <c r="G1772"/>
    </row>
    <row r="1773" spans="7:7">
      <c r="G1773"/>
    </row>
    <row r="1774" spans="7:7">
      <c r="G1774"/>
    </row>
    <row r="1775" spans="7:7">
      <c r="G1775"/>
    </row>
    <row r="1776" spans="7:7">
      <c r="G1776"/>
    </row>
    <row r="1777" spans="7:7">
      <c r="G1777"/>
    </row>
    <row r="1778" spans="7:7">
      <c r="G1778"/>
    </row>
    <row r="1779" spans="7:7">
      <c r="G1779"/>
    </row>
    <row r="1780" spans="7:7">
      <c r="G1780"/>
    </row>
    <row r="1781" spans="7:7">
      <c r="G1781"/>
    </row>
    <row r="1782" spans="7:7">
      <c r="G1782"/>
    </row>
    <row r="1783" spans="7:7">
      <c r="G1783"/>
    </row>
    <row r="1784" spans="7:7">
      <c r="G1784"/>
    </row>
    <row r="1785" spans="7:7">
      <c r="G1785"/>
    </row>
    <row r="1786" spans="7:7">
      <c r="G1786"/>
    </row>
    <row r="1787" spans="7:7">
      <c r="G1787"/>
    </row>
    <row r="1788" spans="7:7">
      <c r="G1788"/>
    </row>
    <row r="1789" spans="7:7">
      <c r="G1789"/>
    </row>
    <row r="1790" spans="7:7">
      <c r="G1790"/>
    </row>
    <row r="1791" spans="7:7">
      <c r="G1791"/>
    </row>
    <row r="1792" spans="7:7">
      <c r="G1792"/>
    </row>
    <row r="1793" spans="7:7">
      <c r="G1793"/>
    </row>
    <row r="1794" spans="7:7">
      <c r="G1794"/>
    </row>
    <row r="1795" spans="7:7">
      <c r="G1795"/>
    </row>
    <row r="1796" spans="7:7">
      <c r="G1796"/>
    </row>
    <row r="1797" spans="7:7">
      <c r="G1797"/>
    </row>
    <row r="1798" spans="7:7">
      <c r="G1798"/>
    </row>
    <row r="1799" spans="7:7">
      <c r="G1799"/>
    </row>
    <row r="1800" spans="7:7">
      <c r="G1800"/>
    </row>
    <row r="1801" spans="7:7">
      <c r="G1801"/>
    </row>
    <row r="1802" spans="7:7">
      <c r="G1802"/>
    </row>
    <row r="1803" spans="7:7">
      <c r="G1803"/>
    </row>
    <row r="1804" spans="7:7">
      <c r="G1804"/>
    </row>
    <row r="1805" spans="7:7">
      <c r="G1805"/>
    </row>
    <row r="1806" spans="7:7">
      <c r="G1806"/>
    </row>
    <row r="1807" spans="7:7">
      <c r="G1807"/>
    </row>
    <row r="1808" spans="7:7">
      <c r="G1808"/>
    </row>
    <row r="1809" spans="7:7">
      <c r="G1809"/>
    </row>
    <row r="1810" spans="7:7">
      <c r="G1810"/>
    </row>
    <row r="1811" spans="7:7">
      <c r="G1811"/>
    </row>
    <row r="1812" spans="7:7">
      <c r="G1812"/>
    </row>
    <row r="1813" spans="7:7">
      <c r="G1813"/>
    </row>
    <row r="1814" spans="7:7">
      <c r="G1814"/>
    </row>
    <row r="1815" spans="7:7">
      <c r="G1815"/>
    </row>
    <row r="1816" spans="7:7">
      <c r="G1816"/>
    </row>
    <row r="1817" spans="7:7">
      <c r="G1817"/>
    </row>
    <row r="1818" spans="7:7">
      <c r="G1818"/>
    </row>
    <row r="1819" spans="7:7">
      <c r="G1819"/>
    </row>
    <row r="1820" spans="7:7">
      <c r="G1820"/>
    </row>
    <row r="1821" spans="7:7">
      <c r="G1821"/>
    </row>
    <row r="1822" spans="7:7">
      <c r="G1822"/>
    </row>
    <row r="1823" spans="7:7">
      <c r="G1823"/>
    </row>
    <row r="1824" spans="7:7">
      <c r="G1824"/>
    </row>
    <row r="1825" spans="7:7">
      <c r="G1825"/>
    </row>
    <row r="1826" spans="7:7">
      <c r="G1826"/>
    </row>
    <row r="1827" spans="7:7">
      <c r="G1827"/>
    </row>
    <row r="1828" spans="7:7">
      <c r="G1828"/>
    </row>
    <row r="1829" spans="7:7">
      <c r="G1829"/>
    </row>
    <row r="1830" spans="7:7">
      <c r="G1830"/>
    </row>
    <row r="1831" spans="7:7">
      <c r="G1831"/>
    </row>
    <row r="1832" spans="7:7">
      <c r="G1832"/>
    </row>
    <row r="1833" spans="7:7">
      <c r="G1833"/>
    </row>
    <row r="1834" spans="7:7">
      <c r="G1834"/>
    </row>
    <row r="1835" spans="7:7">
      <c r="G1835"/>
    </row>
    <row r="1836" spans="7:7">
      <c r="G1836"/>
    </row>
    <row r="1837" spans="7:7">
      <c r="G1837"/>
    </row>
    <row r="1838" spans="7:7">
      <c r="G1838"/>
    </row>
    <row r="1839" spans="7:7">
      <c r="G1839"/>
    </row>
    <row r="1840" spans="7:7">
      <c r="G1840"/>
    </row>
    <row r="1841" spans="7:7">
      <c r="G1841"/>
    </row>
    <row r="1842" spans="7:7">
      <c r="G1842"/>
    </row>
    <row r="1843" spans="7:7">
      <c r="G1843"/>
    </row>
    <row r="1844" spans="7:7">
      <c r="G1844"/>
    </row>
    <row r="1845" spans="7:7">
      <c r="G1845"/>
    </row>
    <row r="1846" spans="7:7">
      <c r="G1846"/>
    </row>
    <row r="1847" spans="7:7">
      <c r="G1847"/>
    </row>
    <row r="1848" spans="7:7">
      <c r="G1848"/>
    </row>
    <row r="1849" spans="7:7">
      <c r="G1849"/>
    </row>
    <row r="1850" spans="7:7">
      <c r="G1850"/>
    </row>
    <row r="1851" spans="7:7">
      <c r="G1851"/>
    </row>
    <row r="1852" spans="7:7">
      <c r="G1852"/>
    </row>
    <row r="1853" spans="7:7">
      <c r="G1853"/>
    </row>
    <row r="1854" spans="7:7">
      <c r="G1854"/>
    </row>
    <row r="1855" spans="7:7">
      <c r="G1855"/>
    </row>
    <row r="1856" spans="7:7">
      <c r="G1856"/>
    </row>
    <row r="1857" spans="7:7">
      <c r="G1857"/>
    </row>
    <row r="1858" spans="7:7">
      <c r="G1858"/>
    </row>
    <row r="1859" spans="7:7">
      <c r="G1859"/>
    </row>
    <row r="1860" spans="7:7">
      <c r="G1860"/>
    </row>
    <row r="1861" spans="7:7">
      <c r="G1861"/>
    </row>
    <row r="1862" spans="7:7">
      <c r="G1862"/>
    </row>
    <row r="1863" spans="7:7">
      <c r="G1863"/>
    </row>
    <row r="1864" spans="7:7">
      <c r="G1864"/>
    </row>
    <row r="1865" spans="7:7">
      <c r="G1865"/>
    </row>
    <row r="1866" spans="7:7">
      <c r="G1866"/>
    </row>
    <row r="1867" spans="7:7">
      <c r="G1867"/>
    </row>
    <row r="1868" spans="7:7">
      <c r="G1868"/>
    </row>
    <row r="1869" spans="7:7">
      <c r="G1869"/>
    </row>
    <row r="1870" spans="7:7">
      <c r="G1870"/>
    </row>
    <row r="1871" spans="7:7">
      <c r="G1871"/>
    </row>
    <row r="1872" spans="7:7">
      <c r="G1872"/>
    </row>
    <row r="1873" spans="7:7">
      <c r="G1873"/>
    </row>
    <row r="1874" spans="7:7">
      <c r="G1874"/>
    </row>
    <row r="1875" spans="7:7">
      <c r="G1875"/>
    </row>
    <row r="1876" spans="7:7">
      <c r="G1876"/>
    </row>
    <row r="1877" spans="7:7">
      <c r="G1877"/>
    </row>
    <row r="1878" spans="7:7">
      <c r="G1878"/>
    </row>
    <row r="1879" spans="7:7">
      <c r="G1879"/>
    </row>
    <row r="1880" spans="7:7">
      <c r="G1880"/>
    </row>
    <row r="1881" spans="7:7">
      <c r="G1881"/>
    </row>
    <row r="1882" spans="7:7">
      <c r="G1882"/>
    </row>
    <row r="1883" spans="7:7">
      <c r="G1883"/>
    </row>
    <row r="1884" spans="7:7">
      <c r="G1884"/>
    </row>
    <row r="1885" spans="7:7">
      <c r="G1885"/>
    </row>
    <row r="1886" spans="7:7">
      <c r="G1886"/>
    </row>
    <row r="1887" spans="7:7">
      <c r="G1887"/>
    </row>
    <row r="1888" spans="7:7">
      <c r="G1888"/>
    </row>
    <row r="1889" spans="7:7">
      <c r="G1889"/>
    </row>
    <row r="1890" spans="7:7">
      <c r="G1890"/>
    </row>
    <row r="1891" spans="7:7">
      <c r="G1891"/>
    </row>
    <row r="1892" spans="7:7">
      <c r="G1892"/>
    </row>
    <row r="1893" spans="7:7">
      <c r="G1893"/>
    </row>
    <row r="1894" spans="7:7">
      <c r="G1894"/>
    </row>
    <row r="1895" spans="7:7">
      <c r="G1895"/>
    </row>
    <row r="1896" spans="7:7">
      <c r="G1896"/>
    </row>
    <row r="1897" spans="7:7">
      <c r="G1897"/>
    </row>
    <row r="1898" spans="7:7">
      <c r="G1898"/>
    </row>
    <row r="1899" spans="7:7">
      <c r="G1899"/>
    </row>
    <row r="1900" spans="7:7">
      <c r="G1900"/>
    </row>
    <row r="1901" spans="7:7">
      <c r="G1901"/>
    </row>
    <row r="1902" spans="7:7">
      <c r="G1902"/>
    </row>
    <row r="1903" spans="7:7">
      <c r="G1903"/>
    </row>
    <row r="1904" spans="7:7">
      <c r="G1904"/>
    </row>
    <row r="1905" spans="7:7">
      <c r="G1905"/>
    </row>
    <row r="1906" spans="7:7">
      <c r="G1906"/>
    </row>
    <row r="1907" spans="7:7">
      <c r="G1907"/>
    </row>
    <row r="1908" spans="7:7">
      <c r="G1908"/>
    </row>
    <row r="1909" spans="7:7">
      <c r="G1909"/>
    </row>
    <row r="1910" spans="7:7">
      <c r="G1910"/>
    </row>
    <row r="1911" spans="7:7">
      <c r="G1911"/>
    </row>
    <row r="1912" spans="7:7">
      <c r="G1912"/>
    </row>
    <row r="1913" spans="7:7">
      <c r="G1913"/>
    </row>
    <row r="1914" spans="7:7">
      <c r="G1914"/>
    </row>
    <row r="1915" spans="7:7">
      <c r="G1915"/>
    </row>
    <row r="1916" spans="7:7">
      <c r="G1916"/>
    </row>
    <row r="1917" spans="7:7">
      <c r="G1917"/>
    </row>
    <row r="1918" spans="7:7">
      <c r="G1918"/>
    </row>
    <row r="1919" spans="7:7">
      <c r="G1919"/>
    </row>
    <row r="1920" spans="7:7">
      <c r="G1920"/>
    </row>
    <row r="1921" spans="7:7">
      <c r="G1921"/>
    </row>
    <row r="1922" spans="7:7">
      <c r="G1922"/>
    </row>
    <row r="1923" spans="7:7">
      <c r="G1923"/>
    </row>
    <row r="1924" spans="7:7">
      <c r="G1924"/>
    </row>
    <row r="1925" spans="7:7">
      <c r="G1925"/>
    </row>
    <row r="1926" spans="7:7">
      <c r="G1926"/>
    </row>
    <row r="1927" spans="7:7">
      <c r="G1927"/>
    </row>
    <row r="1928" spans="7:7">
      <c r="G1928"/>
    </row>
    <row r="1929" spans="7:7">
      <c r="G1929"/>
    </row>
    <row r="1930" spans="7:7">
      <c r="G1930"/>
    </row>
    <row r="1931" spans="7:7">
      <c r="G1931"/>
    </row>
    <row r="1932" spans="7:7">
      <c r="G1932"/>
    </row>
    <row r="1933" spans="7:7">
      <c r="G1933"/>
    </row>
    <row r="1934" spans="7:7">
      <c r="G1934"/>
    </row>
    <row r="1935" spans="7:7">
      <c r="G1935"/>
    </row>
    <row r="1936" spans="7:7">
      <c r="G1936"/>
    </row>
    <row r="1937" spans="7:7">
      <c r="G1937"/>
    </row>
    <row r="1938" spans="7:7">
      <c r="G1938"/>
    </row>
    <row r="1939" spans="7:7">
      <c r="G1939"/>
    </row>
    <row r="1940" spans="7:7">
      <c r="G1940"/>
    </row>
    <row r="1941" spans="7:7">
      <c r="G1941"/>
    </row>
    <row r="1942" spans="7:7">
      <c r="G1942"/>
    </row>
    <row r="1943" spans="7:7">
      <c r="G1943"/>
    </row>
    <row r="1944" spans="7:7">
      <c r="G1944"/>
    </row>
    <row r="1945" spans="7:7">
      <c r="G1945"/>
    </row>
    <row r="1946" spans="7:7">
      <c r="G1946"/>
    </row>
    <row r="1947" spans="7:7">
      <c r="G1947"/>
    </row>
    <row r="1948" spans="7:7">
      <c r="G1948"/>
    </row>
    <row r="1949" spans="7:7">
      <c r="G1949"/>
    </row>
    <row r="1950" spans="7:7">
      <c r="G1950"/>
    </row>
    <row r="1951" spans="7:7">
      <c r="G1951"/>
    </row>
    <row r="1952" spans="7:7">
      <c r="G1952"/>
    </row>
    <row r="1953" spans="7:7">
      <c r="G1953"/>
    </row>
    <row r="1954" spans="7:7">
      <c r="G1954"/>
    </row>
    <row r="1955" spans="7:7">
      <c r="G1955"/>
    </row>
    <row r="1956" spans="7:7">
      <c r="G1956"/>
    </row>
    <row r="1957" spans="7:7">
      <c r="G1957"/>
    </row>
    <row r="1958" spans="7:7">
      <c r="G1958"/>
    </row>
    <row r="1959" spans="7:7">
      <c r="G1959"/>
    </row>
    <row r="1960" spans="7:7">
      <c r="G1960"/>
    </row>
    <row r="1961" spans="7:7">
      <c r="G1961"/>
    </row>
    <row r="1962" spans="7:7">
      <c r="G1962"/>
    </row>
    <row r="1963" spans="7:7">
      <c r="G1963"/>
    </row>
    <row r="1964" spans="7:7">
      <c r="G1964"/>
    </row>
    <row r="1965" spans="7:7">
      <c r="G1965"/>
    </row>
    <row r="1966" spans="7:7">
      <c r="G1966"/>
    </row>
    <row r="1967" spans="7:7">
      <c r="G1967"/>
    </row>
    <row r="1968" spans="7:7">
      <c r="G1968"/>
    </row>
    <row r="1969" spans="7:7">
      <c r="G1969"/>
    </row>
    <row r="1970" spans="7:7">
      <c r="G1970"/>
    </row>
    <row r="1971" spans="7:7">
      <c r="G1971"/>
    </row>
    <row r="1972" spans="7:7">
      <c r="G1972"/>
    </row>
    <row r="1973" spans="7:7">
      <c r="G1973"/>
    </row>
    <row r="1974" spans="7:7">
      <c r="G1974"/>
    </row>
    <row r="1975" spans="7:7">
      <c r="G1975"/>
    </row>
    <row r="1976" spans="7:7">
      <c r="G1976"/>
    </row>
    <row r="1977" spans="7:7">
      <c r="G1977"/>
    </row>
    <row r="1978" spans="7:7">
      <c r="G1978"/>
    </row>
    <row r="1979" spans="7:7">
      <c r="G1979"/>
    </row>
    <row r="1980" spans="7:7">
      <c r="G1980"/>
    </row>
    <row r="1981" spans="7:7">
      <c r="G1981"/>
    </row>
    <row r="1982" spans="7:7">
      <c r="G1982"/>
    </row>
    <row r="1983" spans="7:7">
      <c r="G1983"/>
    </row>
    <row r="1984" spans="7:7">
      <c r="G1984"/>
    </row>
    <row r="1985" spans="7:7">
      <c r="G1985"/>
    </row>
    <row r="1986" spans="7:7">
      <c r="G1986"/>
    </row>
    <row r="1987" spans="7:7">
      <c r="G1987"/>
    </row>
    <row r="1988" spans="7:7">
      <c r="G1988"/>
    </row>
    <row r="1989" spans="7:7">
      <c r="G1989"/>
    </row>
    <row r="1990" spans="7:7">
      <c r="G1990"/>
    </row>
    <row r="1991" spans="7:7">
      <c r="G1991"/>
    </row>
    <row r="1992" spans="7:7">
      <c r="G1992"/>
    </row>
    <row r="1993" spans="7:7">
      <c r="G1993"/>
    </row>
    <row r="1994" spans="7:7">
      <c r="G1994"/>
    </row>
    <row r="1995" spans="7:7">
      <c r="G1995"/>
    </row>
    <row r="1996" spans="7:7">
      <c r="G1996"/>
    </row>
    <row r="1997" spans="7:7">
      <c r="G1997"/>
    </row>
    <row r="1998" spans="7:7">
      <c r="G1998"/>
    </row>
    <row r="1999" spans="7:7">
      <c r="G1999"/>
    </row>
    <row r="2000" spans="7:7">
      <c r="G2000"/>
    </row>
    <row r="2001" spans="7:7">
      <c r="G2001"/>
    </row>
    <row r="2002" spans="7:7">
      <c r="G2002"/>
    </row>
    <row r="2003" spans="7:7">
      <c r="G2003"/>
    </row>
    <row r="2004" spans="7:7">
      <c r="G2004"/>
    </row>
    <row r="2005" spans="7:7">
      <c r="G2005"/>
    </row>
    <row r="2006" spans="7:7">
      <c r="G2006"/>
    </row>
    <row r="2007" spans="7:7">
      <c r="G2007"/>
    </row>
    <row r="2008" spans="7:7">
      <c r="G2008"/>
    </row>
    <row r="2009" spans="7:7">
      <c r="G2009"/>
    </row>
    <row r="2010" spans="7:7">
      <c r="G2010"/>
    </row>
    <row r="2011" spans="7:7">
      <c r="G2011"/>
    </row>
    <row r="2012" spans="7:7">
      <c r="G2012"/>
    </row>
    <row r="2013" spans="7:7">
      <c r="G2013"/>
    </row>
    <row r="2014" spans="7:7">
      <c r="G2014"/>
    </row>
    <row r="2015" spans="7:7">
      <c r="G2015"/>
    </row>
    <row r="2016" spans="7:7">
      <c r="G2016"/>
    </row>
    <row r="2017" spans="7:7">
      <c r="G2017"/>
    </row>
    <row r="2018" spans="7:7">
      <c r="G2018"/>
    </row>
    <row r="2019" spans="7:7">
      <c r="G2019"/>
    </row>
    <row r="2020" spans="7:7">
      <c r="G2020"/>
    </row>
    <row r="2021" spans="7:7">
      <c r="G2021"/>
    </row>
    <row r="2022" spans="7:7">
      <c r="G2022"/>
    </row>
    <row r="2023" spans="7:7">
      <c r="G2023"/>
    </row>
    <row r="2024" spans="7:7">
      <c r="G2024"/>
    </row>
    <row r="2025" spans="7:7">
      <c r="G2025"/>
    </row>
    <row r="2026" spans="7:7">
      <c r="G2026"/>
    </row>
    <row r="2027" spans="7:7">
      <c r="G2027"/>
    </row>
    <row r="2028" spans="7:7">
      <c r="G2028"/>
    </row>
    <row r="2029" spans="7:7">
      <c r="G2029"/>
    </row>
    <row r="2030" spans="7:7">
      <c r="G2030"/>
    </row>
    <row r="2031" spans="7:7">
      <c r="G2031"/>
    </row>
    <row r="2032" spans="7:7">
      <c r="G2032"/>
    </row>
    <row r="2033" spans="7:7">
      <c r="G2033"/>
    </row>
    <row r="2034" spans="7:7">
      <c r="G2034"/>
    </row>
    <row r="2035" spans="7:7">
      <c r="G2035"/>
    </row>
    <row r="2036" spans="7:7">
      <c r="G2036"/>
    </row>
    <row r="2037" spans="7:7">
      <c r="G2037"/>
    </row>
    <row r="2038" spans="7:7">
      <c r="G2038"/>
    </row>
    <row r="2039" spans="7:7">
      <c r="G2039"/>
    </row>
    <row r="2040" spans="7:7">
      <c r="G2040"/>
    </row>
    <row r="2041" spans="7:7">
      <c r="G2041"/>
    </row>
    <row r="2042" spans="7:7">
      <c r="G2042"/>
    </row>
    <row r="2043" spans="7:7">
      <c r="G2043"/>
    </row>
    <row r="2044" spans="7:7">
      <c r="G2044"/>
    </row>
    <row r="2045" spans="7:7">
      <c r="G2045"/>
    </row>
    <row r="2046" spans="7:7">
      <c r="G2046"/>
    </row>
    <row r="2047" spans="7:7">
      <c r="G2047"/>
    </row>
    <row r="2048" spans="7:7">
      <c r="G2048"/>
    </row>
    <row r="2049" spans="7:7">
      <c r="G2049"/>
    </row>
    <row r="2050" spans="7:7">
      <c r="G2050"/>
    </row>
    <row r="2051" spans="7:7">
      <c r="G2051"/>
    </row>
    <row r="2052" spans="7:7">
      <c r="G2052"/>
    </row>
    <row r="2053" spans="7:7">
      <c r="G2053"/>
    </row>
    <row r="2054" spans="7:7">
      <c r="G2054"/>
    </row>
    <row r="2055" spans="7:7">
      <c r="G2055"/>
    </row>
    <row r="2056" spans="7:7">
      <c r="G2056"/>
    </row>
    <row r="2057" spans="7:7">
      <c r="G2057"/>
    </row>
    <row r="2058" spans="7:7">
      <c r="G2058"/>
    </row>
    <row r="2059" spans="7:7">
      <c r="G2059"/>
    </row>
    <row r="2060" spans="7:7">
      <c r="G2060"/>
    </row>
    <row r="2061" spans="7:7">
      <c r="G2061"/>
    </row>
    <row r="2062" spans="7:7">
      <c r="G2062"/>
    </row>
    <row r="2063" spans="7:7">
      <c r="G2063"/>
    </row>
    <row r="2064" spans="7:7">
      <c r="G2064"/>
    </row>
    <row r="2065" spans="7:7">
      <c r="G2065"/>
    </row>
    <row r="2066" spans="7:7">
      <c r="G2066"/>
    </row>
    <row r="2067" spans="7:7">
      <c r="G2067"/>
    </row>
    <row r="2068" spans="7:7">
      <c r="G2068"/>
    </row>
    <row r="2069" spans="7:7">
      <c r="G2069"/>
    </row>
    <row r="2070" spans="7:7">
      <c r="G2070"/>
    </row>
    <row r="2071" spans="7:7">
      <c r="G2071"/>
    </row>
    <row r="2072" spans="7:7">
      <c r="G2072"/>
    </row>
    <row r="2073" spans="7:7">
      <c r="G2073"/>
    </row>
    <row r="2074" spans="7:7">
      <c r="G2074"/>
    </row>
    <row r="2075" spans="7:7">
      <c r="G2075"/>
    </row>
    <row r="2076" spans="7:7">
      <c r="G2076"/>
    </row>
    <row r="2077" spans="7:7">
      <c r="G2077"/>
    </row>
    <row r="2078" spans="7:7">
      <c r="G2078"/>
    </row>
    <row r="2079" spans="7:7">
      <c r="G2079"/>
    </row>
    <row r="2080" spans="7:7">
      <c r="G2080"/>
    </row>
    <row r="2081" spans="7:7">
      <c r="G2081"/>
    </row>
    <row r="2082" spans="7:7">
      <c r="G2082"/>
    </row>
    <row r="2083" spans="7:7">
      <c r="G2083"/>
    </row>
    <row r="2084" spans="7:7">
      <c r="G2084"/>
    </row>
    <row r="2085" spans="7:7">
      <c r="G2085"/>
    </row>
    <row r="2086" spans="7:7">
      <c r="G2086"/>
    </row>
    <row r="2087" spans="7:7">
      <c r="G2087"/>
    </row>
    <row r="2088" spans="7:7">
      <c r="G2088"/>
    </row>
    <row r="2089" spans="7:7">
      <c r="G2089"/>
    </row>
    <row r="2090" spans="7:7">
      <c r="G2090"/>
    </row>
    <row r="2091" spans="7:7">
      <c r="G2091"/>
    </row>
    <row r="2092" spans="7:7">
      <c r="G2092"/>
    </row>
    <row r="2093" spans="7:7">
      <c r="G2093"/>
    </row>
    <row r="2094" spans="7:7">
      <c r="G2094"/>
    </row>
    <row r="2095" spans="7:7">
      <c r="G2095"/>
    </row>
    <row r="2096" spans="7:7">
      <c r="G2096"/>
    </row>
    <row r="2097" spans="7:7">
      <c r="G2097"/>
    </row>
    <row r="2098" spans="7:7">
      <c r="G2098"/>
    </row>
    <row r="2099" spans="7:7">
      <c r="G2099"/>
    </row>
    <row r="2100" spans="7:7">
      <c r="G2100"/>
    </row>
    <row r="2101" spans="7:7">
      <c r="G2101"/>
    </row>
    <row r="2102" spans="7:7">
      <c r="G2102"/>
    </row>
    <row r="2103" spans="7:7">
      <c r="G2103"/>
    </row>
    <row r="2104" spans="7:7">
      <c r="G2104"/>
    </row>
    <row r="2105" spans="7:7">
      <c r="G2105"/>
    </row>
    <row r="2106" spans="7:7">
      <c r="G2106"/>
    </row>
    <row r="2107" spans="7:7">
      <c r="G2107"/>
    </row>
    <row r="2108" spans="7:7">
      <c r="G2108"/>
    </row>
    <row r="2109" spans="7:7">
      <c r="G2109"/>
    </row>
    <row r="2110" spans="7:7">
      <c r="G2110"/>
    </row>
    <row r="2111" spans="7:7">
      <c r="G2111"/>
    </row>
    <row r="2112" spans="7:7">
      <c r="G2112"/>
    </row>
    <row r="2113" spans="7:7">
      <c r="G2113"/>
    </row>
    <row r="2114" spans="7:7">
      <c r="G2114"/>
    </row>
    <row r="2115" spans="7:7">
      <c r="G2115"/>
    </row>
    <row r="2116" spans="7:7">
      <c r="G2116"/>
    </row>
    <row r="2117" spans="7:7">
      <c r="G2117"/>
    </row>
    <row r="2118" spans="7:7">
      <c r="G2118"/>
    </row>
    <row r="2119" spans="7:7">
      <c r="G2119"/>
    </row>
    <row r="2120" spans="7:7">
      <c r="G2120"/>
    </row>
    <row r="2121" spans="7:7">
      <c r="G2121"/>
    </row>
    <row r="2122" spans="7:7">
      <c r="G2122"/>
    </row>
    <row r="2123" spans="7:7">
      <c r="G2123"/>
    </row>
    <row r="2124" spans="7:7">
      <c r="G2124"/>
    </row>
    <row r="2125" spans="7:7">
      <c r="G2125"/>
    </row>
    <row r="2126" spans="7:7">
      <c r="G2126"/>
    </row>
    <row r="2127" spans="7:7">
      <c r="G2127"/>
    </row>
    <row r="2128" spans="7:7">
      <c r="G2128"/>
    </row>
    <row r="2129" spans="7:7">
      <c r="G2129"/>
    </row>
    <row r="2130" spans="7:7">
      <c r="G2130"/>
    </row>
    <row r="2131" spans="7:7">
      <c r="G2131"/>
    </row>
    <row r="2132" spans="7:7">
      <c r="G2132"/>
    </row>
    <row r="2133" spans="7:7">
      <c r="G2133"/>
    </row>
    <row r="2134" spans="7:7">
      <c r="G2134"/>
    </row>
    <row r="2135" spans="7:7">
      <c r="G2135"/>
    </row>
    <row r="2136" spans="7:7">
      <c r="G2136"/>
    </row>
    <row r="2137" spans="7:7">
      <c r="G2137"/>
    </row>
    <row r="2138" spans="7:7">
      <c r="G2138"/>
    </row>
    <row r="2139" spans="7:7">
      <c r="G2139"/>
    </row>
    <row r="2140" spans="7:7">
      <c r="G2140"/>
    </row>
    <row r="2141" spans="7:7">
      <c r="G2141"/>
    </row>
    <row r="2142" spans="7:7">
      <c r="G2142"/>
    </row>
    <row r="2143" spans="7:7">
      <c r="G2143"/>
    </row>
    <row r="2144" spans="7:7">
      <c r="G2144"/>
    </row>
    <row r="2145" spans="7:7">
      <c r="G2145"/>
    </row>
    <row r="2146" spans="7:7">
      <c r="G2146"/>
    </row>
    <row r="2147" spans="7:7">
      <c r="G2147"/>
    </row>
    <row r="2148" spans="7:7">
      <c r="G2148"/>
    </row>
    <row r="2149" spans="7:7">
      <c r="G2149"/>
    </row>
    <row r="2150" spans="7:7">
      <c r="G2150"/>
    </row>
    <row r="2151" spans="7:7">
      <c r="G2151"/>
    </row>
    <row r="2152" spans="7:7">
      <c r="G2152"/>
    </row>
    <row r="2153" spans="7:7">
      <c r="G2153"/>
    </row>
    <row r="2154" spans="7:7">
      <c r="G2154"/>
    </row>
    <row r="2155" spans="7:7">
      <c r="G2155"/>
    </row>
    <row r="2156" spans="7:7">
      <c r="G2156"/>
    </row>
    <row r="2157" spans="7:7">
      <c r="G2157"/>
    </row>
    <row r="2158" spans="7:7">
      <c r="G2158"/>
    </row>
    <row r="2159" spans="7:7">
      <c r="G2159"/>
    </row>
    <row r="2160" spans="7:7">
      <c r="G2160"/>
    </row>
    <row r="2161" spans="7:7">
      <c r="G2161"/>
    </row>
    <row r="2162" spans="7:7">
      <c r="G2162"/>
    </row>
    <row r="2163" spans="7:7">
      <c r="G2163"/>
    </row>
    <row r="2164" spans="7:7">
      <c r="G2164"/>
    </row>
    <row r="2165" spans="7:7">
      <c r="G2165"/>
    </row>
    <row r="2166" spans="7:7">
      <c r="G2166"/>
    </row>
    <row r="2167" spans="7:7">
      <c r="G2167"/>
    </row>
    <row r="2168" spans="7:7">
      <c r="G2168"/>
    </row>
    <row r="2169" spans="7:7">
      <c r="G2169"/>
    </row>
    <row r="2170" spans="7:7">
      <c r="G2170"/>
    </row>
    <row r="2171" spans="7:7">
      <c r="G2171"/>
    </row>
    <row r="2172" spans="7:7">
      <c r="G2172"/>
    </row>
    <row r="2173" spans="7:7">
      <c r="G2173"/>
    </row>
    <row r="2174" spans="7:7">
      <c r="G2174"/>
    </row>
    <row r="2175" spans="7:7">
      <c r="G2175"/>
    </row>
    <row r="2176" spans="7:7">
      <c r="G2176"/>
    </row>
    <row r="2177" spans="7:7">
      <c r="G2177"/>
    </row>
    <row r="2178" spans="7:7">
      <c r="G2178"/>
    </row>
    <row r="2179" spans="7:7">
      <c r="G2179"/>
    </row>
    <row r="2180" spans="7:7">
      <c r="G2180"/>
    </row>
    <row r="2181" spans="7:7">
      <c r="G2181"/>
    </row>
    <row r="2182" spans="7:7">
      <c r="G2182"/>
    </row>
    <row r="2183" spans="7:7">
      <c r="G2183"/>
    </row>
    <row r="2184" spans="7:7">
      <c r="G2184"/>
    </row>
    <row r="2185" spans="7:7">
      <c r="G2185"/>
    </row>
    <row r="2186" spans="7:7">
      <c r="G2186"/>
    </row>
    <row r="2187" spans="7:7">
      <c r="G2187"/>
    </row>
    <row r="2188" spans="7:7">
      <c r="G2188"/>
    </row>
    <row r="2189" spans="7:7">
      <c r="G2189"/>
    </row>
    <row r="2190" spans="7:7">
      <c r="G2190"/>
    </row>
    <row r="2191" spans="7:7">
      <c r="G2191"/>
    </row>
    <row r="2192" spans="7:7">
      <c r="G2192"/>
    </row>
    <row r="2193" spans="7:7">
      <c r="G2193"/>
    </row>
    <row r="2194" spans="7:7">
      <c r="G2194"/>
    </row>
    <row r="2195" spans="7:7">
      <c r="G2195"/>
    </row>
    <row r="2196" spans="7:7">
      <c r="G2196"/>
    </row>
    <row r="2197" spans="7:7">
      <c r="G2197"/>
    </row>
    <row r="2198" spans="7:7">
      <c r="G2198"/>
    </row>
    <row r="2199" spans="7:7">
      <c r="G2199"/>
    </row>
    <row r="2200" spans="7:7">
      <c r="G2200"/>
    </row>
    <row r="2201" spans="7:7">
      <c r="G2201"/>
    </row>
    <row r="2202" spans="7:7">
      <c r="G2202"/>
    </row>
    <row r="2203" spans="7:7">
      <c r="G2203"/>
    </row>
    <row r="2204" spans="7:7">
      <c r="G2204"/>
    </row>
    <row r="2205" spans="7:7">
      <c r="G2205"/>
    </row>
    <row r="2206" spans="7:7">
      <c r="G2206"/>
    </row>
    <row r="2207" spans="7:7">
      <c r="G2207"/>
    </row>
    <row r="2208" spans="7:7">
      <c r="G2208"/>
    </row>
    <row r="2209" spans="7:7">
      <c r="G2209"/>
    </row>
    <row r="2210" spans="7:7">
      <c r="G2210"/>
    </row>
    <row r="2211" spans="7:7">
      <c r="G2211"/>
    </row>
    <row r="2212" spans="7:7">
      <c r="G2212"/>
    </row>
  </sheetData>
  <autoFilter ref="A1:E1123" xr:uid="{2B3BEDE2-0AC0-4A80-A47B-F8AC4B11CACF}"/>
  <sortState xmlns:xlrd2="http://schemas.microsoft.com/office/spreadsheetml/2017/richdata2" ref="G1091:G1123">
    <sortCondition ref="G1091:G1123"/>
  </sortState>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614B8-21FC-419F-8034-5E3D1F2667C7}">
  <sheetPr codeName="Hoja28">
    <tabColor rgb="FF37474F"/>
  </sheetPr>
  <dimension ref="A1:X1215"/>
  <sheetViews>
    <sheetView showGridLines="0" topLeftCell="J1" zoomScale="60" zoomScaleNormal="108" workbookViewId="0">
      <pane ySplit="1" topLeftCell="A485" activePane="bottomLeft" state="frozen"/>
      <selection activeCell="L1" sqref="L1"/>
      <selection pane="bottomLeft" activeCell="N499" sqref="N499"/>
    </sheetView>
    <sheetView workbookViewId="1"/>
  </sheetViews>
  <sheetFormatPr baseColWidth="10" defaultColWidth="11" defaultRowHeight="14.25" outlineLevelCol="1"/>
  <cols>
    <col min="1" max="1" width="13" customWidth="1"/>
    <col min="2" max="2" width="23.125" style="63" customWidth="1" outlineLevel="1"/>
    <col min="3" max="3" width="31.125" customWidth="1" outlineLevel="1"/>
    <col min="4" max="4" width="16.5" customWidth="1" outlineLevel="1"/>
    <col min="5" max="5" width="16.625" customWidth="1" outlineLevel="1"/>
    <col min="6" max="6" width="17.375" customWidth="1" outlineLevel="1"/>
    <col min="7" max="7" width="21.5" customWidth="1" outlineLevel="1"/>
    <col min="8" max="8" width="14.625" customWidth="1" outlineLevel="1"/>
    <col min="9" max="9" width="43.125" bestFit="1" customWidth="1"/>
    <col min="10" max="10" width="57" bestFit="1" customWidth="1"/>
    <col min="11" max="11" width="43.5" bestFit="1" customWidth="1"/>
    <col min="12" max="12" width="21.125" customWidth="1"/>
    <col min="13" max="13" width="18.625" style="2" customWidth="1"/>
    <col min="14" max="14" width="17.875" bestFit="1" customWidth="1"/>
    <col min="15" max="15" width="20.625" customWidth="1"/>
    <col min="16" max="16" width="33.875" bestFit="1" customWidth="1"/>
    <col min="17" max="17" width="29.875" hidden="1" customWidth="1"/>
    <col min="18" max="18" width="48.625" customWidth="1"/>
    <col min="19" max="19" width="28.625" customWidth="1"/>
    <col min="20" max="20" width="24" customWidth="1"/>
    <col min="21" max="21" width="31" customWidth="1"/>
    <col min="22" max="22" width="39" customWidth="1"/>
    <col min="23" max="23" width="27.375" customWidth="1"/>
    <col min="24" max="24" width="25.375" customWidth="1"/>
  </cols>
  <sheetData>
    <row r="1" spans="1:24" ht="20.100000000000001" customHeight="1" thickBot="1"/>
    <row r="2" spans="1:24" ht="30">
      <c r="A2" s="193" t="s">
        <v>26</v>
      </c>
      <c r="B2" s="194" t="s">
        <v>27</v>
      </c>
      <c r="C2" s="194" t="s">
        <v>28</v>
      </c>
      <c r="D2" s="194" t="s">
        <v>29</v>
      </c>
      <c r="E2" s="194" t="s">
        <v>30</v>
      </c>
      <c r="F2" s="194" t="s">
        <v>31</v>
      </c>
      <c r="G2" s="194" t="s">
        <v>32</v>
      </c>
      <c r="H2" s="194" t="s">
        <v>33</v>
      </c>
      <c r="I2" s="195" t="s">
        <v>34</v>
      </c>
      <c r="J2" s="194" t="s">
        <v>35</v>
      </c>
      <c r="K2" s="196" t="s">
        <v>36</v>
      </c>
      <c r="L2" s="197"/>
      <c r="M2" s="198" t="s">
        <v>70</v>
      </c>
      <c r="N2" s="197" t="str" cm="1">
        <f t="array" ref="N2">IF(TRIM(K2)="Mano de Obra",IF(Formulario!$L$23&lt;&gt;"",Formulario!$L$23,IFERROR(VLOOKUP(TRIM($M$4),Jornalesdeppto!A:C,3,0),"")),_xlfn.XLOOKUP(1,(Tabla_Costos_Insumos!$A$2:$A$2928=TRIM($M$4))*(Tabla_Costos_Insumos!$C$2:$C$2928=TRIM(K2)),Tabla_Costos_Insumos!$E$2:$E$2928,"",0))</f>
        <v/>
      </c>
      <c r="O2" s="197"/>
      <c r="P2" s="197"/>
      <c r="Q2" s="197"/>
      <c r="R2" s="197"/>
      <c r="S2" s="197"/>
      <c r="T2" s="197"/>
      <c r="U2" s="197"/>
      <c r="V2" s="197"/>
      <c r="W2" s="197"/>
      <c r="X2" s="197"/>
    </row>
    <row r="3" spans="1:24" ht="49.5" customHeight="1">
      <c r="A3" s="130" t="str">
        <f>Formulario!$A$22</f>
        <v>Plátano</v>
      </c>
      <c r="B3" s="377" t="str">
        <f>Formulario!$B$22</f>
        <v>Domínico hartón</v>
      </c>
      <c r="C3" s="131" t="str">
        <f>Formulario!C$22</f>
        <v>Permanente</v>
      </c>
      <c r="D3" s="131" t="str">
        <f>Formulario!D$22</f>
        <v xml:space="preserve">Convencional </v>
      </c>
      <c r="E3" s="131">
        <f>Formulario!E$22</f>
        <v>6</v>
      </c>
      <c r="F3" s="131" t="str">
        <f>Formulario!F$22</f>
        <v>BUENO</v>
      </c>
      <c r="G3" s="131">
        <f>Formulario!G$22</f>
        <v>3</v>
      </c>
      <c r="H3" s="131">
        <f>Formulario!H$22</f>
        <v>2.5</v>
      </c>
      <c r="I3" s="131">
        <f>Formulario!I$22</f>
        <v>1540</v>
      </c>
      <c r="J3" s="131">
        <f>Formulario!J$22</f>
        <v>1</v>
      </c>
      <c r="K3" s="199">
        <f>Formulario!K$22</f>
        <v>0</v>
      </c>
      <c r="L3" s="197"/>
      <c r="M3" s="200" t="str">
        <f>CONCATENATE(A3," ",B3)</f>
        <v>Plátano Domínico hartón</v>
      </c>
      <c r="N3" s="197" t="str" cm="1">
        <f t="array" ref="N3">IF(TRIM(K3)="Mano de Obra",IF(Formulario!$L$23&lt;&gt;"",Formulario!$L$23,IFERROR(VLOOKUP(TRIM($M$4),Jornalesdeppto!A:C,3,0),"")),_xlfn.XLOOKUP(1,(Tabla_Costos_Insumos!$A$2:$A$2928=TRIM($M$4))*(Tabla_Costos_Insumos!$C$2:$C$2928=TRIM(K3)),Tabla_Costos_Insumos!$E$2:$E$2928,"",0))</f>
        <v/>
      </c>
      <c r="O3" s="197"/>
      <c r="P3" s="197"/>
      <c r="Q3" s="197"/>
      <c r="R3" s="197"/>
      <c r="S3" s="197"/>
      <c r="T3" s="197"/>
      <c r="U3" s="197"/>
      <c r="V3" s="197"/>
      <c r="W3" s="197"/>
      <c r="X3" s="197"/>
    </row>
    <row r="4" spans="1:24" ht="45">
      <c r="A4" s="201" t="s">
        <v>42</v>
      </c>
      <c r="B4" s="377" t="str">
        <f>Formulario!B$23</f>
        <v>Con disponibilidad de agua permanente</v>
      </c>
      <c r="C4" s="131" t="str">
        <f>Formulario!C$23</f>
        <v>Regimen de lluvias</v>
      </c>
      <c r="D4" s="131" t="str">
        <f>Formulario!D$23</f>
        <v>Bimodal</v>
      </c>
      <c r="E4" s="131" t="str">
        <f>Formulario!E$23</f>
        <v>Precipitacion anual (mm/año)</v>
      </c>
      <c r="F4" s="131">
        <f>Formulario!F$23</f>
        <v>1200</v>
      </c>
      <c r="G4" s="131" t="str">
        <f>Formulario!G$23</f>
        <v>MARCO DE PLANTACIÓN</v>
      </c>
      <c r="H4" s="131" t="str">
        <f>Formulario!H$23</f>
        <v>tres bolillo</v>
      </c>
      <c r="I4" s="131" t="str">
        <f>Formulario!I$23</f>
        <v>COSTO DE ARRIENDO Ha/AÑO</v>
      </c>
      <c r="J4" s="202">
        <f>Formulario!$J$23</f>
        <v>500000</v>
      </c>
      <c r="K4" s="203"/>
      <c r="L4" s="197"/>
      <c r="M4" s="200" t="str">
        <f>Formulario!B7</f>
        <v>CAUCA</v>
      </c>
      <c r="N4" s="204"/>
      <c r="O4" s="197"/>
      <c r="P4" s="197" t="str">
        <f>IF(H23="aguacate hass", (G22 * H22) / 480, "")</f>
        <v/>
      </c>
      <c r="Q4" s="197"/>
      <c r="R4" s="197"/>
      <c r="S4" s="197"/>
      <c r="T4" s="197"/>
      <c r="U4" s="197"/>
      <c r="V4" s="197"/>
      <c r="W4" s="197"/>
      <c r="X4" s="197"/>
    </row>
    <row r="5" spans="1:24" ht="15">
      <c r="A5" s="136" t="s">
        <v>49</v>
      </c>
      <c r="B5" s="377">
        <f>Formulario!$L$23</f>
        <v>0</v>
      </c>
      <c r="C5" s="135" t="s">
        <v>71</v>
      </c>
      <c r="D5" s="120">
        <f>Formulario!G17</f>
        <v>25</v>
      </c>
      <c r="E5" s="141"/>
      <c r="F5" s="100"/>
      <c r="G5" s="139"/>
      <c r="H5" s="96"/>
      <c r="I5" s="139"/>
      <c r="J5" s="96"/>
      <c r="K5" s="96"/>
      <c r="L5" s="197"/>
      <c r="M5" s="378"/>
      <c r="N5" s="197"/>
      <c r="O5" s="197"/>
      <c r="P5" s="197"/>
      <c r="Q5" s="197"/>
      <c r="R5" s="197"/>
      <c r="S5" s="197"/>
      <c r="T5" s="197"/>
      <c r="U5" s="197"/>
      <c r="V5" s="197"/>
      <c r="W5" s="197"/>
      <c r="X5" s="197"/>
    </row>
    <row r="6" spans="1:24" ht="15">
      <c r="A6" s="79"/>
      <c r="B6" s="100"/>
      <c r="C6" s="96"/>
      <c r="D6" s="100"/>
      <c r="E6" s="141"/>
      <c r="F6" s="100"/>
      <c r="G6" s="139"/>
      <c r="H6" s="96"/>
      <c r="I6" s="139"/>
      <c r="J6" s="96"/>
      <c r="K6" s="96"/>
      <c r="L6" s="197"/>
      <c r="M6" s="378"/>
      <c r="N6" s="197"/>
      <c r="O6" s="197"/>
      <c r="P6" s="197"/>
      <c r="Q6" s="197"/>
      <c r="R6" s="197"/>
      <c r="S6" s="197"/>
      <c r="T6" s="197"/>
      <c r="U6" s="197"/>
      <c r="V6" s="197"/>
      <c r="W6" s="197"/>
      <c r="X6" s="197"/>
    </row>
    <row r="7" spans="1:24" ht="15">
      <c r="A7" s="197" t="s">
        <v>50</v>
      </c>
      <c r="B7" s="100"/>
      <c r="C7" s="80"/>
      <c r="D7" s="80"/>
      <c r="E7" s="80"/>
      <c r="F7" s="80"/>
      <c r="G7" s="80"/>
      <c r="H7" s="80"/>
      <c r="I7" s="80"/>
      <c r="J7" s="80"/>
      <c r="K7" s="80"/>
      <c r="L7" s="197"/>
      <c r="M7" s="378"/>
      <c r="N7" s="197"/>
      <c r="O7" s="197"/>
      <c r="P7" s="197"/>
      <c r="Q7" s="197"/>
      <c r="R7" s="197"/>
      <c r="S7" s="197"/>
      <c r="T7" s="197"/>
      <c r="U7" s="197"/>
      <c r="V7" s="197"/>
      <c r="W7" s="197"/>
      <c r="X7" s="197"/>
    </row>
    <row r="8" spans="1:24" ht="15">
      <c r="A8" s="88"/>
      <c r="B8" s="100"/>
      <c r="C8" s="88"/>
      <c r="D8" s="88"/>
      <c r="E8" s="88"/>
      <c r="F8" s="88"/>
      <c r="G8" s="88"/>
      <c r="H8" s="88"/>
      <c r="I8" s="88"/>
      <c r="J8" s="88"/>
      <c r="K8" s="88"/>
      <c r="L8" s="197"/>
      <c r="M8" s="378"/>
      <c r="N8" s="197"/>
      <c r="O8" s="197"/>
      <c r="P8" s="197"/>
      <c r="Q8" s="197"/>
      <c r="R8" s="197"/>
      <c r="S8" s="197"/>
      <c r="T8" s="197"/>
      <c r="U8" s="197"/>
      <c r="V8" s="197"/>
      <c r="W8" s="197"/>
      <c r="X8" s="197"/>
    </row>
    <row r="9" spans="1:24" ht="15">
      <c r="A9" s="100" t="s">
        <v>72</v>
      </c>
      <c r="B9" s="100" t="str">
        <f>A3</f>
        <v>Plátano</v>
      </c>
      <c r="C9" s="100" t="s">
        <v>73</v>
      </c>
      <c r="D9" s="88" t="str">
        <f>B3</f>
        <v>Domínico hartón</v>
      </c>
      <c r="E9" s="100" t="s">
        <v>52</v>
      </c>
      <c r="F9" s="88" t="s">
        <v>53</v>
      </c>
      <c r="G9" s="88"/>
      <c r="H9" s="88" t="s">
        <v>56</v>
      </c>
      <c r="I9" s="88"/>
      <c r="J9" s="205" t="s">
        <v>55</v>
      </c>
      <c r="K9" s="88"/>
      <c r="L9" s="197"/>
      <c r="M9" s="378"/>
      <c r="N9" s="197"/>
      <c r="O9" s="197"/>
      <c r="P9" s="197"/>
      <c r="Q9" s="197"/>
      <c r="R9" s="197"/>
      <c r="S9" s="197"/>
      <c r="T9" s="197"/>
      <c r="U9" s="197"/>
      <c r="V9" s="197"/>
      <c r="W9" s="197"/>
      <c r="X9" s="197"/>
    </row>
    <row r="10" spans="1:24" ht="15">
      <c r="A10" s="100"/>
      <c r="B10" s="100"/>
      <c r="C10" s="100"/>
      <c r="D10" s="88"/>
      <c r="E10" s="100"/>
      <c r="F10" s="88"/>
      <c r="G10" s="88"/>
      <c r="H10" s="88"/>
      <c r="I10" s="88"/>
      <c r="J10" s="88"/>
      <c r="K10" s="88"/>
      <c r="L10" s="197"/>
      <c r="M10" s="378"/>
      <c r="N10" s="197"/>
      <c r="O10" s="197"/>
      <c r="P10" s="197"/>
      <c r="Q10" s="197"/>
      <c r="R10" s="197"/>
      <c r="S10" s="197"/>
      <c r="T10" s="197"/>
      <c r="U10" s="197"/>
      <c r="V10" s="197"/>
      <c r="W10" s="197"/>
      <c r="X10" s="197"/>
    </row>
    <row r="11" spans="1:24" ht="15">
      <c r="A11" s="197"/>
      <c r="B11" s="262"/>
      <c r="C11" s="197"/>
      <c r="D11" s="197"/>
      <c r="E11" s="197"/>
      <c r="F11" s="197"/>
      <c r="G11" s="197"/>
      <c r="H11" s="197"/>
      <c r="I11" s="197"/>
      <c r="J11" s="197"/>
      <c r="K11" s="197"/>
      <c r="L11" s="197"/>
      <c r="M11" s="378"/>
      <c r="N11" s="197"/>
      <c r="O11" s="197"/>
      <c r="P11" s="197"/>
      <c r="Q11" s="197"/>
      <c r="R11" s="197"/>
      <c r="S11" s="197"/>
      <c r="T11" s="197"/>
      <c r="U11" s="197"/>
      <c r="V11" s="197"/>
      <c r="W11" s="197"/>
      <c r="X11" s="197"/>
    </row>
    <row r="12" spans="1:24" ht="15">
      <c r="A12" s="197"/>
      <c r="B12" s="262"/>
      <c r="C12" s="197"/>
      <c r="D12" s="197"/>
      <c r="E12" s="197"/>
      <c r="F12" s="197"/>
      <c r="G12" s="197"/>
      <c r="H12" s="197"/>
      <c r="I12" s="197"/>
      <c r="J12" s="197"/>
      <c r="K12" s="197"/>
      <c r="L12" s="197"/>
      <c r="M12" s="378"/>
      <c r="N12" s="197"/>
      <c r="O12" s="197"/>
      <c r="P12" s="197"/>
      <c r="Q12" s="197"/>
      <c r="R12" s="197"/>
      <c r="S12" s="197"/>
      <c r="T12" s="197"/>
      <c r="U12" s="197"/>
      <c r="V12" s="197"/>
      <c r="W12" s="197"/>
      <c r="X12" s="197"/>
    </row>
    <row r="13" spans="1:24" ht="15">
      <c r="A13" s="197"/>
      <c r="B13" s="262"/>
      <c r="C13" s="197"/>
      <c r="D13" s="197"/>
      <c r="E13" s="197"/>
      <c r="F13" s="197"/>
      <c r="G13" s="197"/>
      <c r="H13" s="197"/>
      <c r="I13" s="197"/>
      <c r="J13" s="197"/>
      <c r="K13" s="197"/>
      <c r="L13" s="197"/>
      <c r="M13" s="378"/>
      <c r="N13" s="197"/>
      <c r="O13" s="197"/>
      <c r="P13" s="197"/>
      <c r="Q13" s="197"/>
      <c r="R13" s="197"/>
      <c r="S13" s="197"/>
      <c r="T13" s="197"/>
      <c r="U13" s="197"/>
      <c r="V13" s="197"/>
      <c r="W13" s="197"/>
      <c r="X13" s="197"/>
    </row>
    <row r="14" spans="1:24" ht="15">
      <c r="A14" s="197"/>
      <c r="B14" s="262"/>
      <c r="C14" s="197"/>
      <c r="D14" s="197"/>
      <c r="E14" s="197"/>
      <c r="F14" s="197"/>
      <c r="G14" s="197"/>
      <c r="H14" s="197"/>
      <c r="I14" s="197"/>
      <c r="J14" s="197"/>
      <c r="K14" s="197"/>
      <c r="L14" s="197"/>
      <c r="M14" s="378"/>
      <c r="N14" s="197"/>
      <c r="O14" s="197"/>
      <c r="P14" s="197"/>
      <c r="Q14" s="197"/>
      <c r="R14" s="197"/>
      <c r="S14" s="197"/>
      <c r="T14" s="197"/>
      <c r="U14" s="197"/>
      <c r="V14" s="197"/>
      <c r="W14" s="197"/>
      <c r="X14" s="197"/>
    </row>
    <row r="15" spans="1:24" ht="15">
      <c r="A15" s="197"/>
      <c r="B15" s="262"/>
      <c r="C15" s="197"/>
      <c r="D15" s="197"/>
      <c r="E15" s="197"/>
      <c r="F15" s="197"/>
      <c r="G15" s="197"/>
      <c r="H15" s="197"/>
      <c r="I15" s="197"/>
      <c r="J15" s="197"/>
      <c r="K15" s="197"/>
      <c r="L15" s="197"/>
      <c r="M15" s="378"/>
      <c r="N15" s="197"/>
      <c r="O15" s="197"/>
      <c r="P15" s="197"/>
      <c r="Q15" s="197"/>
      <c r="R15" s="197"/>
      <c r="S15" s="197"/>
      <c r="T15" s="197"/>
      <c r="U15" s="197"/>
      <c r="V15" s="197"/>
      <c r="W15" s="197"/>
      <c r="X15" s="197"/>
    </row>
    <row r="16" spans="1:24" ht="15">
      <c r="A16" s="206" t="s">
        <v>74</v>
      </c>
      <c r="B16" s="206" t="s">
        <v>75</v>
      </c>
      <c r="C16" s="206" t="s">
        <v>76</v>
      </c>
      <c r="D16" s="206" t="s">
        <v>77</v>
      </c>
      <c r="E16" s="206" t="s">
        <v>78</v>
      </c>
      <c r="F16" s="206" t="s">
        <v>79</v>
      </c>
      <c r="G16" s="206" t="s">
        <v>80</v>
      </c>
      <c r="H16" s="206" t="s">
        <v>81</v>
      </c>
      <c r="I16" s="207" t="s">
        <v>82</v>
      </c>
      <c r="J16" s="206" t="s">
        <v>83</v>
      </c>
      <c r="K16" s="206" t="s">
        <v>84</v>
      </c>
      <c r="L16" s="206" t="s">
        <v>85</v>
      </c>
      <c r="M16" s="208" t="s">
        <v>86</v>
      </c>
      <c r="N16" s="209" t="s">
        <v>87</v>
      </c>
      <c r="O16" s="206" t="s">
        <v>88</v>
      </c>
      <c r="P16" s="206" t="s">
        <v>89</v>
      </c>
      <c r="Q16" s="206" t="s">
        <v>90</v>
      </c>
      <c r="R16" s="206" t="s">
        <v>91</v>
      </c>
      <c r="S16" s="206" t="s">
        <v>92</v>
      </c>
      <c r="T16" s="206" t="s">
        <v>93</v>
      </c>
      <c r="U16" s="206" t="s">
        <v>94</v>
      </c>
      <c r="V16" s="206" t="s">
        <v>95</v>
      </c>
      <c r="W16" s="206" t="s">
        <v>96</v>
      </c>
      <c r="X16" s="210" t="s">
        <v>4215</v>
      </c>
    </row>
    <row r="17" spans="1:24" ht="15">
      <c r="A17" s="211" t="s">
        <v>3766</v>
      </c>
      <c r="B17" s="225" t="s">
        <v>98</v>
      </c>
      <c r="C17" s="212" t="s">
        <v>69</v>
      </c>
      <c r="D17" s="212" t="s">
        <v>99</v>
      </c>
      <c r="E17" s="212" t="s">
        <v>100</v>
      </c>
      <c r="F17" s="212" t="s">
        <v>101</v>
      </c>
      <c r="G17" s="212" t="s">
        <v>102</v>
      </c>
      <c r="H17" s="212" t="s">
        <v>103</v>
      </c>
      <c r="I17" s="212" t="s">
        <v>104</v>
      </c>
      <c r="J17" s="212" t="s">
        <v>105</v>
      </c>
      <c r="K17" s="212" t="s">
        <v>106</v>
      </c>
      <c r="L17" s="212" t="s">
        <v>107</v>
      </c>
      <c r="M17" s="213">
        <f t="shared" ref="M17:M28" si="0">IF(W17&lt;&gt;"", W17, ROUNDUP(X17*T17, 0))</f>
        <v>7</v>
      </c>
      <c r="N17" s="441" cm="1">
        <f t="array" ref="N17">IF(TRIM(K17)="Mano de Obra",IF(Formulario!$L$23&lt;&gt;"",Formulario!$L$23,IFERROR(VLOOKUP(TRIM($M$4),Jornalesdeppto!A:C,3,0),"")),_xlfn.XLOOKUP(1,(Tabla_Costos_Insumos!$A$2:$A$3199=TRIM($M$4))*(Tabla_Costos_Insumos!$C$2:$C$3199=TRIM(K17)),Tabla_Costos_Insumos!$E$2:$E$3199,"",0))</f>
        <v>46666.666666666664</v>
      </c>
      <c r="O17" s="441">
        <f>IF(OR(N17=0,N17=""),"",N17*M17)</f>
        <v>326666.66666666663</v>
      </c>
      <c r="P17" s="212" t="str">
        <f>CONCATENATE(A17," ",B17)</f>
        <v>Aguacate Hass</v>
      </c>
      <c r="Q17" s="212" t="s">
        <v>108</v>
      </c>
      <c r="R17" s="212">
        <v>5</v>
      </c>
      <c r="S17" s="212" t="str">
        <f>IF($M$3="Aguacate Hass",($I$3*R17) / 480,"")</f>
        <v/>
      </c>
      <c r="T17" s="212" cm="1">
        <f t="array" ref="T17">_xlfn.IFS($D$5&lt;=7, 1.1, $D$5&lt;=12,1.2, $D$5&lt;=25, 1.3, $D$5&gt;25,1.4)</f>
        <v>1.3</v>
      </c>
      <c r="U17" s="212" t="str">
        <f>IFERROR(S17*T17,"")</f>
        <v/>
      </c>
      <c r="V17" s="212">
        <v>1</v>
      </c>
      <c r="W17" s="212" t="str">
        <f>IFERROR(ROUNDUP(V17*U17,0),"")</f>
        <v/>
      </c>
      <c r="X17" s="214">
        <v>5</v>
      </c>
    </row>
    <row r="18" spans="1:24" ht="15">
      <c r="A18" s="211" t="s">
        <v>3766</v>
      </c>
      <c r="B18" s="225" t="s">
        <v>98</v>
      </c>
      <c r="C18" s="212" t="s">
        <v>69</v>
      </c>
      <c r="D18" s="212" t="s">
        <v>99</v>
      </c>
      <c r="E18" s="212" t="s">
        <v>100</v>
      </c>
      <c r="F18" s="212" t="s">
        <v>109</v>
      </c>
      <c r="G18" s="212" t="s">
        <v>110</v>
      </c>
      <c r="H18" s="212" t="s">
        <v>111</v>
      </c>
      <c r="I18" s="212" t="s">
        <v>112</v>
      </c>
      <c r="J18" s="212" t="s">
        <v>105</v>
      </c>
      <c r="K18" s="212" t="s">
        <v>106</v>
      </c>
      <c r="L18" s="212" t="s">
        <v>107</v>
      </c>
      <c r="M18" s="213">
        <f t="shared" si="0"/>
        <v>13</v>
      </c>
      <c r="N18" s="441" cm="1">
        <f t="array" ref="N18">IF(TRIM(K18)="Mano de Obra",IF(Formulario!$L$23&lt;&gt;"",Formulario!$L$23,IFERROR(VLOOKUP(TRIM($M$4),Jornalesdeppto!A:C,3,0),"")),_xlfn.XLOOKUP(1,(Tabla_Costos_Insumos!$A$2:$A$3199=TRIM($M$4))*(Tabla_Costos_Insumos!$C$2:$C$3199=TRIM(K18)),Tabla_Costos_Insumos!$E$2:$E$3199,"",0))</f>
        <v>46666.666666666664</v>
      </c>
      <c r="O18" s="441">
        <f t="shared" ref="O18:O81" si="1">IF(OR(N18=0,N18=""),"",N18*M18)</f>
        <v>606666.66666666663</v>
      </c>
      <c r="P18" s="212" t="str">
        <f t="shared" ref="P18:P81" si="2">CONCATENATE(A18," ",B18)</f>
        <v>Aguacate Hass</v>
      </c>
      <c r="Q18" s="212" t="s">
        <v>108</v>
      </c>
      <c r="R18" s="212">
        <v>0.4</v>
      </c>
      <c r="S18" s="212" t="str">
        <f t="shared" ref="S18:S21" si="3">IF($M$3="Aguacate Hass",($I$3*R18) / 480,"")</f>
        <v/>
      </c>
      <c r="T18" s="212" cm="1">
        <f t="array" ref="T18">_xlfn.IFS($D$5&lt;=7, 1.1, $D$5&lt;=12,1.2, $D$5&lt;=25, 1.3, $D$5&gt;25,1.4)</f>
        <v>1.3</v>
      </c>
      <c r="U18" s="212" t="str">
        <f t="shared" ref="U18:U23" si="4">IFERROR(S18*T18,"")</f>
        <v/>
      </c>
      <c r="V18" s="212">
        <v>2</v>
      </c>
      <c r="W18" s="212" t="str">
        <f t="shared" ref="W18:W21" si="5">IFERROR(ROUNDUP(V18*U18,0),"")</f>
        <v/>
      </c>
      <c r="X18" s="214">
        <v>10</v>
      </c>
    </row>
    <row r="19" spans="1:24" ht="15">
      <c r="A19" s="211" t="s">
        <v>3766</v>
      </c>
      <c r="B19" s="225" t="s">
        <v>98</v>
      </c>
      <c r="C19" s="212" t="s">
        <v>69</v>
      </c>
      <c r="D19" s="212" t="s">
        <v>99</v>
      </c>
      <c r="E19" s="212" t="s">
        <v>100</v>
      </c>
      <c r="F19" s="212" t="s">
        <v>113</v>
      </c>
      <c r="G19" s="212" t="s">
        <v>114</v>
      </c>
      <c r="H19" s="212" t="s">
        <v>115</v>
      </c>
      <c r="I19" s="212" t="s">
        <v>116</v>
      </c>
      <c r="J19" s="212" t="s">
        <v>105</v>
      </c>
      <c r="K19" s="212" t="s">
        <v>106</v>
      </c>
      <c r="L19" s="212" t="s">
        <v>107</v>
      </c>
      <c r="M19" s="213">
        <f t="shared" si="0"/>
        <v>13</v>
      </c>
      <c r="N19" s="441" cm="1">
        <f t="array" ref="N19">IF(TRIM(K19)="Mano de Obra",IF(Formulario!$L$23&lt;&gt;"",Formulario!$L$23,IFERROR(VLOOKUP(TRIM($M$4),Jornalesdeppto!A:C,3,0),"")),_xlfn.XLOOKUP(1,(Tabla_Costos_Insumos!$A$2:$A$3199=TRIM($M$4))*(Tabla_Costos_Insumos!$C$2:$C$3199=TRIM(K19)),Tabla_Costos_Insumos!$E$2:$E$3199,"",0))</f>
        <v>46666.666666666664</v>
      </c>
      <c r="O19" s="441">
        <f t="shared" si="1"/>
        <v>606666.66666666663</v>
      </c>
      <c r="P19" s="212" t="str">
        <f t="shared" si="2"/>
        <v>Aguacate Hass</v>
      </c>
      <c r="Q19" s="212" t="s">
        <v>108</v>
      </c>
      <c r="R19" s="212">
        <v>3</v>
      </c>
      <c r="S19" s="212" t="str">
        <f t="shared" si="3"/>
        <v/>
      </c>
      <c r="T19" s="212" cm="1">
        <f t="array" ref="T19">_xlfn.IFS($D$5&lt;=7, 1.1, $D$5&lt;=12,1.2, $D$5&lt;=25, 1.3, $D$5&gt;25,1.4)</f>
        <v>1.3</v>
      </c>
      <c r="U19" s="212" t="str">
        <f t="shared" si="4"/>
        <v/>
      </c>
      <c r="V19" s="212">
        <v>2</v>
      </c>
      <c r="W19" s="212" t="str">
        <f t="shared" si="5"/>
        <v/>
      </c>
      <c r="X19" s="214">
        <v>10</v>
      </c>
    </row>
    <row r="20" spans="1:24" ht="15">
      <c r="A20" s="211" t="s">
        <v>3766</v>
      </c>
      <c r="B20" s="225" t="s">
        <v>98</v>
      </c>
      <c r="C20" s="212" t="s">
        <v>69</v>
      </c>
      <c r="D20" s="212" t="s">
        <v>99</v>
      </c>
      <c r="E20" s="212" t="s">
        <v>100</v>
      </c>
      <c r="F20" s="212" t="s">
        <v>117</v>
      </c>
      <c r="G20" s="212" t="s">
        <v>118</v>
      </c>
      <c r="H20" s="212" t="s">
        <v>119</v>
      </c>
      <c r="I20" s="212" t="s">
        <v>120</v>
      </c>
      <c r="J20" s="212" t="s">
        <v>105</v>
      </c>
      <c r="K20" s="212" t="s">
        <v>106</v>
      </c>
      <c r="L20" s="212" t="s">
        <v>107</v>
      </c>
      <c r="M20" s="213">
        <f t="shared" si="0"/>
        <v>11</v>
      </c>
      <c r="N20" s="441" cm="1">
        <f t="array" ref="N20">IF(TRIM(K20)="Mano de Obra",IF(Formulario!$L$23&lt;&gt;"",Formulario!$L$23,IFERROR(VLOOKUP(TRIM($M$4),Jornalesdeppto!A:C,3,0),"")),_xlfn.XLOOKUP(1,(Tabla_Costos_Insumos!$A$2:$A$3199=TRIM($M$4))*(Tabla_Costos_Insumos!$C$2:$C$3199=TRIM(K20)),Tabla_Costos_Insumos!$E$2:$E$3199,"",0))</f>
        <v>46666.666666666664</v>
      </c>
      <c r="O20" s="441">
        <f t="shared" si="1"/>
        <v>513333.33333333331</v>
      </c>
      <c r="P20" s="212" t="str">
        <f t="shared" si="2"/>
        <v>Aguacate Hass</v>
      </c>
      <c r="Q20" s="212" t="s">
        <v>108</v>
      </c>
      <c r="R20" s="212">
        <v>3</v>
      </c>
      <c r="S20" s="212" t="str">
        <f t="shared" si="3"/>
        <v/>
      </c>
      <c r="T20" s="212" cm="1">
        <f t="array" ref="T20">_xlfn.IFS($D$5&lt;=7, 1.1, $D$5&lt;=12,1.2, $D$5&lt;=25, 1.3, $D$5&gt;25,1.4)</f>
        <v>1.3</v>
      </c>
      <c r="U20" s="212" t="str">
        <f t="shared" si="4"/>
        <v/>
      </c>
      <c r="V20" s="212">
        <v>9</v>
      </c>
      <c r="W20" s="212" t="str">
        <f t="shared" si="5"/>
        <v/>
      </c>
      <c r="X20" s="214">
        <v>8</v>
      </c>
    </row>
    <row r="21" spans="1:24" ht="15">
      <c r="A21" s="211" t="s">
        <v>3766</v>
      </c>
      <c r="B21" s="225" t="s">
        <v>98</v>
      </c>
      <c r="C21" s="212" t="s">
        <v>69</v>
      </c>
      <c r="D21" s="212" t="s">
        <v>99</v>
      </c>
      <c r="E21" s="212" t="s">
        <v>100</v>
      </c>
      <c r="F21" s="212" t="s">
        <v>117</v>
      </c>
      <c r="G21" s="212" t="s">
        <v>118</v>
      </c>
      <c r="H21" s="212" t="s">
        <v>121</v>
      </c>
      <c r="I21" s="212" t="s">
        <v>122</v>
      </c>
      <c r="J21" s="212" t="s">
        <v>105</v>
      </c>
      <c r="K21" s="212" t="s">
        <v>106</v>
      </c>
      <c r="L21" s="212" t="s">
        <v>107</v>
      </c>
      <c r="M21" s="213">
        <f t="shared" si="0"/>
        <v>11</v>
      </c>
      <c r="N21" s="441" cm="1">
        <f t="array" ref="N21">IF(TRIM(K21)="Mano de Obra",IF(Formulario!$L$23&lt;&gt;"",Formulario!$L$23,IFERROR(VLOOKUP(TRIM($M$4),Jornalesdeppto!A:C,3,0),"")),_xlfn.XLOOKUP(1,(Tabla_Costos_Insumos!$A$2:$A$3199=TRIM($M$4))*(Tabla_Costos_Insumos!$C$2:$C$3199=TRIM(K21)),Tabla_Costos_Insumos!$E$2:$E$3199,"",0))</f>
        <v>46666.666666666664</v>
      </c>
      <c r="O21" s="441">
        <f t="shared" si="1"/>
        <v>513333.33333333331</v>
      </c>
      <c r="P21" s="212" t="str">
        <f t="shared" si="2"/>
        <v>Aguacate Hass</v>
      </c>
      <c r="Q21" s="212" t="s">
        <v>108</v>
      </c>
      <c r="R21" s="212">
        <v>3</v>
      </c>
      <c r="S21" s="212" t="str">
        <f t="shared" si="3"/>
        <v/>
      </c>
      <c r="T21" s="212" cm="1">
        <f t="array" ref="T21">_xlfn.IFS($D$5&lt;=7, 1.1, $D$5&lt;=12,1.2, $D$5&lt;=25, 1.3, $D$5&gt;25,1.4)</f>
        <v>1.3</v>
      </c>
      <c r="U21" s="212" t="str">
        <f t="shared" si="4"/>
        <v/>
      </c>
      <c r="V21" s="212">
        <v>9</v>
      </c>
      <c r="W21" s="212" t="str">
        <f t="shared" si="5"/>
        <v/>
      </c>
      <c r="X21" s="214">
        <v>8</v>
      </c>
    </row>
    <row r="22" spans="1:24" ht="15">
      <c r="A22" s="211" t="s">
        <v>3766</v>
      </c>
      <c r="B22" s="225" t="s">
        <v>98</v>
      </c>
      <c r="C22" s="212" t="s">
        <v>69</v>
      </c>
      <c r="D22" s="212" t="s">
        <v>99</v>
      </c>
      <c r="E22" s="212" t="s">
        <v>100</v>
      </c>
      <c r="F22" s="212" t="s">
        <v>123</v>
      </c>
      <c r="G22" s="212" t="s">
        <v>124</v>
      </c>
      <c r="H22" s="212" t="s">
        <v>125</v>
      </c>
      <c r="I22" s="212" t="s">
        <v>126</v>
      </c>
      <c r="J22" s="212" t="s">
        <v>105</v>
      </c>
      <c r="K22" s="212" t="s">
        <v>106</v>
      </c>
      <c r="L22" s="212" t="s">
        <v>107</v>
      </c>
      <c r="M22" s="213">
        <f t="shared" si="0"/>
        <v>7</v>
      </c>
      <c r="N22" s="441" cm="1">
        <f t="array" ref="N22">IF(TRIM(K22)="Mano de Obra",IF(Formulario!$L$23&lt;&gt;"",Formulario!$L$23,IFERROR(VLOOKUP(TRIM($M$4),Jornalesdeppto!A:C,3,0),"")),_xlfn.XLOOKUP(1,(Tabla_Costos_Insumos!$A$2:$A$3199=TRIM($M$4))*(Tabla_Costos_Insumos!$C$2:$C$3199=TRIM(K22)),Tabla_Costos_Insumos!$E$2:$E$3199,"",0))</f>
        <v>46666.666666666664</v>
      </c>
      <c r="O22" s="441">
        <f t="shared" si="1"/>
        <v>326666.66666666663</v>
      </c>
      <c r="P22" s="212" t="str">
        <f t="shared" si="2"/>
        <v>Aguacate Hass</v>
      </c>
      <c r="Q22" s="212" t="s">
        <v>127</v>
      </c>
      <c r="R22" s="212">
        <v>0.09</v>
      </c>
      <c r="S22" s="212">
        <f>10000*R22/480</f>
        <v>1.875</v>
      </c>
      <c r="T22" s="212" cm="1">
        <f t="array" ref="T22">_xlfn.IFS($D$5&lt;=7, 1.1, $D$5&lt;=12,1.2, $D$5&lt;=25, 1.3, $D$5&gt;25,1.4)</f>
        <v>1.3</v>
      </c>
      <c r="U22" s="212">
        <f t="shared" si="4"/>
        <v>2.4375</v>
      </c>
      <c r="V22" s="212">
        <v>2</v>
      </c>
      <c r="W22" s="212"/>
      <c r="X22" s="214">
        <v>5</v>
      </c>
    </row>
    <row r="23" spans="1:24" ht="15">
      <c r="A23" s="211" t="s">
        <v>3766</v>
      </c>
      <c r="B23" s="225" t="s">
        <v>98</v>
      </c>
      <c r="C23" s="212" t="s">
        <v>69</v>
      </c>
      <c r="D23" s="212" t="s">
        <v>99</v>
      </c>
      <c r="E23" s="212" t="s">
        <v>100</v>
      </c>
      <c r="F23" s="212" t="s">
        <v>123</v>
      </c>
      <c r="G23" s="212" t="s">
        <v>124</v>
      </c>
      <c r="H23" s="212" t="s">
        <v>128</v>
      </c>
      <c r="I23" s="212" t="s">
        <v>129</v>
      </c>
      <c r="J23" s="212" t="s">
        <v>105</v>
      </c>
      <c r="K23" s="212" t="s">
        <v>106</v>
      </c>
      <c r="L23" s="212" t="s">
        <v>107</v>
      </c>
      <c r="M23" s="213">
        <f>IF(W23&lt;&gt;"", W23, ROUNDUP(X23*T23, 0))</f>
        <v>7</v>
      </c>
      <c r="N23" s="441" cm="1">
        <f t="array" ref="N23">IF(TRIM(K23)="Mano de Obra",IF(Formulario!$L$23&lt;&gt;"",Formulario!$L$23,IFERROR(VLOOKUP(TRIM($M$4),Jornalesdeppto!A:C,3,0),"")),_xlfn.XLOOKUP(1,(Tabla_Costos_Insumos!$A$2:$A$3199=TRIM($M$4))*(Tabla_Costos_Insumos!$C$2:$C$3199=TRIM(K23)),Tabla_Costos_Insumos!$E$2:$E$3199,"",0))</f>
        <v>46666.666666666664</v>
      </c>
      <c r="O23" s="441">
        <f t="shared" si="1"/>
        <v>326666.66666666663</v>
      </c>
      <c r="P23" s="212" t="str">
        <f t="shared" si="2"/>
        <v>Aguacate Hass</v>
      </c>
      <c r="Q23" s="212" t="s">
        <v>127</v>
      </c>
      <c r="R23" s="212">
        <v>0.8</v>
      </c>
      <c r="S23" s="212">
        <f>10000*R23/480</f>
        <v>16.666666666666668</v>
      </c>
      <c r="T23" s="212" cm="1">
        <f t="array" ref="T23">_xlfn.IFS($D$5&lt;=7, 1.1, $D$5&lt;=12,1.2, $D$5&lt;=25, 1.3, $D$5&gt;25,1.4)</f>
        <v>1.3</v>
      </c>
      <c r="U23" s="212">
        <f t="shared" si="4"/>
        <v>21.666666666666668</v>
      </c>
      <c r="V23" s="212">
        <v>2</v>
      </c>
      <c r="W23" s="212"/>
      <c r="X23" s="214">
        <v>5</v>
      </c>
    </row>
    <row r="24" spans="1:24" ht="15">
      <c r="A24" s="211" t="s">
        <v>3766</v>
      </c>
      <c r="B24" s="225" t="s">
        <v>98</v>
      </c>
      <c r="C24" s="212" t="s">
        <v>69</v>
      </c>
      <c r="D24" s="212" t="s">
        <v>99</v>
      </c>
      <c r="E24" s="212" t="s">
        <v>100</v>
      </c>
      <c r="F24" s="212" t="s">
        <v>130</v>
      </c>
      <c r="G24" s="212" t="s">
        <v>131</v>
      </c>
      <c r="H24" s="212" t="s">
        <v>132</v>
      </c>
      <c r="I24" s="212" t="s">
        <v>133</v>
      </c>
      <c r="J24" s="212" t="s">
        <v>105</v>
      </c>
      <c r="K24" s="212" t="s">
        <v>106</v>
      </c>
      <c r="L24" s="212" t="s">
        <v>107</v>
      </c>
      <c r="M24" s="213">
        <f t="shared" si="0"/>
        <v>10</v>
      </c>
      <c r="N24" s="441" cm="1">
        <f t="array" ref="N24">IF(TRIM(K24)="Mano de Obra",IF(Formulario!$L$23&lt;&gt;"",Formulario!$L$23,IFERROR(VLOOKUP(TRIM($M$4),Jornalesdeppto!A:C,3,0),"")),_xlfn.XLOOKUP(1,(Tabla_Costos_Insumos!$A$2:$A$3199=TRIM($M$4))*(Tabla_Costos_Insumos!$C$2:$C$3199=TRIM(K24)),Tabla_Costos_Insumos!$E$2:$E$3199,"",0))</f>
        <v>46666.666666666664</v>
      </c>
      <c r="O24" s="441">
        <f t="shared" si="1"/>
        <v>466666.66666666663</v>
      </c>
      <c r="P24" s="212" t="str">
        <f t="shared" si="2"/>
        <v>Aguacate Hass</v>
      </c>
      <c r="Q24" s="212" t="s">
        <v>108</v>
      </c>
      <c r="R24" s="212">
        <v>0.8</v>
      </c>
      <c r="S24" s="212" t="str">
        <f t="shared" ref="S24:S26" si="6">IF($M$3="Aguacate Hass",($I$3*R24) / 480,"")</f>
        <v/>
      </c>
      <c r="T24" s="212" cm="1">
        <f t="array" ref="T24">_xlfn.IFS($D$5&lt;=7, 1.1, $D$5&lt;=12,1.2, $D$5&lt;=25, 1.3, $D$5&gt;25,1.4)</f>
        <v>1.3</v>
      </c>
      <c r="U24" s="212" t="str">
        <f t="shared" ref="U24:U26" si="7">IFERROR(S24*T24,"")</f>
        <v/>
      </c>
      <c r="V24" s="212">
        <v>4</v>
      </c>
      <c r="W24" s="212" t="str">
        <f t="shared" ref="W24:W26" si="8">IFERROR(ROUNDUP(V24*U24,0),"")</f>
        <v/>
      </c>
      <c r="X24" s="214">
        <v>7</v>
      </c>
    </row>
    <row r="25" spans="1:24" ht="15">
      <c r="A25" s="211" t="s">
        <v>3766</v>
      </c>
      <c r="B25" s="225" t="s">
        <v>98</v>
      </c>
      <c r="C25" s="212" t="s">
        <v>69</v>
      </c>
      <c r="D25" s="212" t="s">
        <v>99</v>
      </c>
      <c r="E25" s="212" t="s">
        <v>100</v>
      </c>
      <c r="F25" s="212" t="s">
        <v>130</v>
      </c>
      <c r="G25" s="212" t="s">
        <v>131</v>
      </c>
      <c r="H25" s="212" t="s">
        <v>134</v>
      </c>
      <c r="I25" s="212" t="s">
        <v>135</v>
      </c>
      <c r="J25" s="212" t="s">
        <v>105</v>
      </c>
      <c r="K25" s="212" t="s">
        <v>106</v>
      </c>
      <c r="L25" s="212" t="s">
        <v>107</v>
      </c>
      <c r="M25" s="213">
        <f t="shared" si="0"/>
        <v>6</v>
      </c>
      <c r="N25" s="441" cm="1">
        <f t="array" ref="N25">IF(TRIM(K25)="Mano de Obra",IF(Formulario!$L$23&lt;&gt;"",Formulario!$L$23,IFERROR(VLOOKUP(TRIM($M$4),Jornalesdeppto!A:C,3,0),"")),_xlfn.XLOOKUP(1,(Tabla_Costos_Insumos!$A$2:$A$3199=TRIM($M$4))*(Tabla_Costos_Insumos!$C$2:$C$3199=TRIM(K25)),Tabla_Costos_Insumos!$E$2:$E$3199,"",0))</f>
        <v>46666.666666666664</v>
      </c>
      <c r="O25" s="441">
        <f t="shared" si="1"/>
        <v>280000</v>
      </c>
      <c r="P25" s="212" t="str">
        <f t="shared" si="2"/>
        <v>Aguacate Hass</v>
      </c>
      <c r="Q25" s="212" t="s">
        <v>108</v>
      </c>
      <c r="R25" s="212">
        <v>0.5</v>
      </c>
      <c r="S25" s="212" t="str">
        <f t="shared" si="6"/>
        <v/>
      </c>
      <c r="T25" s="212" cm="1">
        <f t="array" ref="T25">_xlfn.IFS($D$5&lt;=7, 1.1, $D$5&lt;=12,1.2, $D$5&lt;=25, 1.3, $D$5&gt;25,1.4)</f>
        <v>1.3</v>
      </c>
      <c r="U25" s="212" t="str">
        <f t="shared" si="7"/>
        <v/>
      </c>
      <c r="V25" s="212">
        <v>4</v>
      </c>
      <c r="W25" s="212" t="str">
        <f t="shared" si="8"/>
        <v/>
      </c>
      <c r="X25" s="214">
        <v>4</v>
      </c>
    </row>
    <row r="26" spans="1:24" ht="15">
      <c r="A26" s="211" t="s">
        <v>3766</v>
      </c>
      <c r="B26" s="225" t="s">
        <v>98</v>
      </c>
      <c r="C26" s="212" t="s">
        <v>69</v>
      </c>
      <c r="D26" s="212" t="s">
        <v>99</v>
      </c>
      <c r="E26" s="212" t="s">
        <v>100</v>
      </c>
      <c r="F26" s="212" t="s">
        <v>130</v>
      </c>
      <c r="G26" s="212" t="s">
        <v>131</v>
      </c>
      <c r="H26" s="212" t="s">
        <v>136</v>
      </c>
      <c r="I26" s="212" t="s">
        <v>137</v>
      </c>
      <c r="J26" s="212" t="s">
        <v>105</v>
      </c>
      <c r="K26" s="212" t="s">
        <v>106</v>
      </c>
      <c r="L26" s="212" t="s">
        <v>107</v>
      </c>
      <c r="M26" s="213">
        <f t="shared" si="0"/>
        <v>6</v>
      </c>
      <c r="N26" s="441" cm="1">
        <f t="array" ref="N26">IF(TRIM(K26)="Mano de Obra",IF(Formulario!$L$23&lt;&gt;"",Formulario!$L$23,IFERROR(VLOOKUP(TRIM($M$4),Jornalesdeppto!A:C,3,0),"")),_xlfn.XLOOKUP(1,(Tabla_Costos_Insumos!$A$2:$A$3199=TRIM($M$4))*(Tabla_Costos_Insumos!$C$2:$C$3199=TRIM(K26)),Tabla_Costos_Insumos!$E$2:$E$3199,"",0))</f>
        <v>46666.666666666664</v>
      </c>
      <c r="O26" s="441">
        <f t="shared" si="1"/>
        <v>280000</v>
      </c>
      <c r="P26" s="212" t="str">
        <f t="shared" si="2"/>
        <v>Aguacate Hass</v>
      </c>
      <c r="Q26" s="212" t="s">
        <v>108</v>
      </c>
      <c r="R26" s="212">
        <v>4</v>
      </c>
      <c r="S26" s="212" t="str">
        <f t="shared" si="6"/>
        <v/>
      </c>
      <c r="T26" s="212" cm="1">
        <f t="array" ref="T26">_xlfn.IFS($D$5&lt;=7, 1.1, $D$5&lt;=12,1.2, $D$5&lt;=25, 1.3, $D$5&gt;25,1.4)</f>
        <v>1.3</v>
      </c>
      <c r="U26" s="212" t="str">
        <f t="shared" si="7"/>
        <v/>
      </c>
      <c r="V26" s="212">
        <v>4</v>
      </c>
      <c r="W26" s="212" t="str">
        <f t="shared" si="8"/>
        <v/>
      </c>
      <c r="X26" s="214">
        <v>4</v>
      </c>
    </row>
    <row r="27" spans="1:24" ht="15">
      <c r="A27" s="211" t="s">
        <v>3766</v>
      </c>
      <c r="B27" s="225" t="s">
        <v>98</v>
      </c>
      <c r="C27" s="212" t="s">
        <v>69</v>
      </c>
      <c r="D27" s="212" t="s">
        <v>99</v>
      </c>
      <c r="E27" s="212" t="s">
        <v>100</v>
      </c>
      <c r="F27" s="212" t="s">
        <v>138</v>
      </c>
      <c r="G27" s="212" t="s">
        <v>139</v>
      </c>
      <c r="H27" s="212" t="s">
        <v>140</v>
      </c>
      <c r="I27" s="212" t="s">
        <v>141</v>
      </c>
      <c r="J27" s="212" t="s">
        <v>105</v>
      </c>
      <c r="K27" s="212" t="s">
        <v>106</v>
      </c>
      <c r="L27" s="212" t="s">
        <v>107</v>
      </c>
      <c r="M27" s="213">
        <f t="shared" si="0"/>
        <v>33</v>
      </c>
      <c r="N27" s="441" cm="1">
        <f t="array" ref="N27">IF(TRIM(K27)="Mano de Obra",IF(Formulario!$L$23&lt;&gt;"",Formulario!$L$23,IFERROR(VLOOKUP(TRIM($M$4),Jornalesdeppto!A:C,3,0),"")),_xlfn.XLOOKUP(1,(Tabla_Costos_Insumos!$A$2:$A$3199=TRIM($M$4))*(Tabla_Costos_Insumos!$C$2:$C$3199=TRIM(K27)),Tabla_Costos_Insumos!$E$2:$E$3199,"",0))</f>
        <v>46666.666666666664</v>
      </c>
      <c r="O27" s="441">
        <f t="shared" si="1"/>
        <v>1540000</v>
      </c>
      <c r="P27" s="212" t="str">
        <f t="shared" si="2"/>
        <v>Aguacate Hass</v>
      </c>
      <c r="Q27" s="212" t="s">
        <v>142</v>
      </c>
      <c r="R27" s="212" t="s">
        <v>142</v>
      </c>
      <c r="S27" s="212"/>
      <c r="T27" s="212" cm="1">
        <f t="array" ref="T27">_xlfn.IFS($D$5&lt;=7, 1.1, $D$5&lt;=12,1.2, $D$5&lt;=25, 1.3, $D$5&gt;25,1.4)</f>
        <v>1.3</v>
      </c>
      <c r="U27" s="212"/>
      <c r="V27" s="212" t="s">
        <v>142</v>
      </c>
      <c r="W27" s="212"/>
      <c r="X27" s="214">
        <v>25</v>
      </c>
    </row>
    <row r="28" spans="1:24" ht="15">
      <c r="A28" s="211" t="s">
        <v>3766</v>
      </c>
      <c r="B28" s="225" t="s">
        <v>98</v>
      </c>
      <c r="C28" s="212" t="s">
        <v>69</v>
      </c>
      <c r="D28" s="212" t="s">
        <v>99</v>
      </c>
      <c r="E28" s="212" t="s">
        <v>100</v>
      </c>
      <c r="F28" s="212" t="s">
        <v>138</v>
      </c>
      <c r="G28" s="212" t="s">
        <v>139</v>
      </c>
      <c r="H28" s="212" t="s">
        <v>143</v>
      </c>
      <c r="I28" s="212" t="s">
        <v>144</v>
      </c>
      <c r="J28" s="212" t="s">
        <v>105</v>
      </c>
      <c r="K28" s="212" t="s">
        <v>106</v>
      </c>
      <c r="L28" s="212" t="s">
        <v>107</v>
      </c>
      <c r="M28" s="213">
        <f t="shared" si="0"/>
        <v>39</v>
      </c>
      <c r="N28" s="441" cm="1">
        <f t="array" ref="N28">IF(TRIM(K28)="Mano de Obra",IF(Formulario!$L$23&lt;&gt;"",Formulario!$L$23,IFERROR(VLOOKUP(TRIM($M$4),Jornalesdeppto!A:C,3,0),"")),_xlfn.XLOOKUP(1,(Tabla_Costos_Insumos!$A$2:$A$3199=TRIM($M$4))*(Tabla_Costos_Insumos!$C$2:$C$3199=TRIM(K28)),Tabla_Costos_Insumos!$E$2:$E$3199,"",0))</f>
        <v>46666.666666666664</v>
      </c>
      <c r="O28" s="441">
        <f t="shared" si="1"/>
        <v>1820000</v>
      </c>
      <c r="P28" s="212" t="str">
        <f t="shared" si="2"/>
        <v>Aguacate Hass</v>
      </c>
      <c r="Q28" s="212" t="s">
        <v>142</v>
      </c>
      <c r="R28" s="212" t="s">
        <v>142</v>
      </c>
      <c r="S28" s="212"/>
      <c r="T28" s="212" cm="1">
        <f t="array" ref="T28">_xlfn.IFS($D$5&lt;=7, 1.1, $D$5&lt;=12,1.2, $D$5&lt;=25, 1.3, $D$5&gt;25,1.4)</f>
        <v>1.3</v>
      </c>
      <c r="U28" s="212"/>
      <c r="V28" s="212" t="s">
        <v>142</v>
      </c>
      <c r="W28" s="212"/>
      <c r="X28" s="214">
        <v>30</v>
      </c>
    </row>
    <row r="29" spans="1:24" ht="15">
      <c r="A29" s="211" t="s">
        <v>3766</v>
      </c>
      <c r="B29" s="225" t="s">
        <v>98</v>
      </c>
      <c r="C29" s="212" t="s">
        <v>69</v>
      </c>
      <c r="D29" s="212" t="s">
        <v>145</v>
      </c>
      <c r="E29" s="212" t="s">
        <v>146</v>
      </c>
      <c r="F29" s="212" t="s">
        <v>147</v>
      </c>
      <c r="G29" s="212" t="s">
        <v>131</v>
      </c>
      <c r="H29" s="212" t="s">
        <v>148</v>
      </c>
      <c r="I29" s="212" t="s">
        <v>299</v>
      </c>
      <c r="J29" s="212" t="s">
        <v>149</v>
      </c>
      <c r="K29" s="212" t="s">
        <v>150</v>
      </c>
      <c r="L29" s="212" t="s">
        <v>151</v>
      </c>
      <c r="M29" s="213">
        <v>2</v>
      </c>
      <c r="N29" s="441" cm="1">
        <f t="array" ref="N29">IF(TRIM(K29)="Mano de Obra",IF(Formulario!$L$23&lt;&gt;"",Formulario!$L$23,IFERROR(VLOOKUP(TRIM($M$4),Jornalesdeppto!A:C,3,0),"")),_xlfn.XLOOKUP(1,(Tabla_Costos_Insumos!$A$2:$A$3199=TRIM($M$4))*(Tabla_Costos_Insumos!$C$2:$C$3199=TRIM(K29)),Tabla_Costos_Insumos!$E$2:$E$3199,"",0))</f>
        <v>198055.68333333</v>
      </c>
      <c r="O29" s="441">
        <f t="shared" si="1"/>
        <v>396111.36666666</v>
      </c>
      <c r="P29" s="212" t="str">
        <f t="shared" si="2"/>
        <v>Aguacate Hass</v>
      </c>
      <c r="Q29" s="212" t="s">
        <v>142</v>
      </c>
      <c r="R29" s="212" t="s">
        <v>142</v>
      </c>
      <c r="S29" s="212"/>
      <c r="T29" s="212" cm="1">
        <f t="array" ref="T29">_xlfn.IFS($D$5&lt;=7, 1.1, $D$5&lt;=12,1.2, $D$5&lt;=25, 1.3, $D$5&gt;25,1.4)</f>
        <v>1.3</v>
      </c>
      <c r="U29" s="212"/>
      <c r="V29" s="212" t="s">
        <v>142</v>
      </c>
      <c r="W29" s="212"/>
      <c r="X29" s="214"/>
    </row>
    <row r="30" spans="1:24" ht="15">
      <c r="A30" s="211" t="s">
        <v>3766</v>
      </c>
      <c r="B30" s="225" t="s">
        <v>98</v>
      </c>
      <c r="C30" s="212" t="s">
        <v>69</v>
      </c>
      <c r="D30" s="212" t="s">
        <v>145</v>
      </c>
      <c r="E30" s="212" t="s">
        <v>146</v>
      </c>
      <c r="F30" s="212" t="s">
        <v>147</v>
      </c>
      <c r="G30" s="212" t="s">
        <v>131</v>
      </c>
      <c r="H30" s="212" t="s">
        <v>152</v>
      </c>
      <c r="I30" s="212" t="s">
        <v>153</v>
      </c>
      <c r="J30" s="212" t="s">
        <v>149</v>
      </c>
      <c r="K30" s="212" t="s">
        <v>4216</v>
      </c>
      <c r="L30" s="212" t="s">
        <v>151</v>
      </c>
      <c r="M30" s="213">
        <v>8</v>
      </c>
      <c r="N30" s="441" cm="1">
        <f t="array" ref="N30">IF(TRIM(K30)="Mano de Obra",IF(Formulario!$L$23&lt;&gt;"",Formulario!$L$23,IFERROR(VLOOKUP(TRIM($M$4),Jornalesdeppto!A:C,3,0),"")),_xlfn.XLOOKUP(1,(Tabla_Costos_Insumos!$A$2:$A$3199=TRIM($M$4))*(Tabla_Costos_Insumos!$C$2:$C$3199=TRIM(K30)),Tabla_Costos_Insumos!$E$2:$E$3199,"",0))</f>
        <v>125849.2424242409</v>
      </c>
      <c r="O30" s="441">
        <f t="shared" si="1"/>
        <v>1006793.9393939272</v>
      </c>
      <c r="P30" s="212" t="str">
        <f t="shared" si="2"/>
        <v>Aguacate Hass</v>
      </c>
      <c r="Q30" s="212" t="s">
        <v>142</v>
      </c>
      <c r="R30" s="212" t="s">
        <v>142</v>
      </c>
      <c r="S30" s="212"/>
      <c r="T30" s="212"/>
      <c r="U30" s="212"/>
      <c r="V30" s="212" t="s">
        <v>142</v>
      </c>
      <c r="W30" s="212"/>
      <c r="X30" s="214"/>
    </row>
    <row r="31" spans="1:24" ht="15">
      <c r="A31" s="211" t="s">
        <v>3766</v>
      </c>
      <c r="B31" s="225" t="s">
        <v>98</v>
      </c>
      <c r="C31" s="212" t="s">
        <v>69</v>
      </c>
      <c r="D31" s="212" t="s">
        <v>145</v>
      </c>
      <c r="E31" s="212" t="s">
        <v>146</v>
      </c>
      <c r="F31" s="212" t="s">
        <v>147</v>
      </c>
      <c r="G31" s="212" t="s">
        <v>131</v>
      </c>
      <c r="H31" s="212" t="s">
        <v>154</v>
      </c>
      <c r="I31" s="212" t="s">
        <v>155</v>
      </c>
      <c r="J31" s="212" t="s">
        <v>149</v>
      </c>
      <c r="K31" s="212" t="s">
        <v>156</v>
      </c>
      <c r="L31" s="212" t="s">
        <v>151</v>
      </c>
      <c r="M31" s="213">
        <v>2</v>
      </c>
      <c r="N31" s="441" cm="1">
        <f t="array" ref="N31">IF(TRIM(K31)="Mano de Obra",IF(Formulario!$L$23&lt;&gt;"",Formulario!$L$23,IFERROR(VLOOKUP(TRIM($M$4),Jornalesdeppto!A:C,3,0),"")),_xlfn.XLOOKUP(1,(Tabla_Costos_Insumos!$A$2:$A$3199=TRIM($M$4))*(Tabla_Costos_Insumos!$C$2:$C$3199=TRIM(K31)),Tabla_Costos_Insumos!$E$2:$E$3199,"",0))</f>
        <v>17212.5</v>
      </c>
      <c r="O31" s="441">
        <f t="shared" si="1"/>
        <v>34425</v>
      </c>
      <c r="P31" s="212" t="str">
        <f t="shared" si="2"/>
        <v>Aguacate Hass</v>
      </c>
      <c r="Q31" s="212" t="s">
        <v>142</v>
      </c>
      <c r="R31" s="212" t="s">
        <v>142</v>
      </c>
      <c r="S31" s="212"/>
      <c r="T31" s="212"/>
      <c r="U31" s="212"/>
      <c r="V31" s="212" t="s">
        <v>142</v>
      </c>
      <c r="W31" s="212"/>
      <c r="X31" s="214"/>
    </row>
    <row r="32" spans="1:24" ht="15">
      <c r="A32" s="211" t="s">
        <v>3766</v>
      </c>
      <c r="B32" s="225" t="s">
        <v>98</v>
      </c>
      <c r="C32" s="212" t="s">
        <v>69</v>
      </c>
      <c r="D32" s="212" t="s">
        <v>145</v>
      </c>
      <c r="E32" s="212" t="s">
        <v>146</v>
      </c>
      <c r="F32" s="212" t="s">
        <v>147</v>
      </c>
      <c r="G32" s="212" t="s">
        <v>131</v>
      </c>
      <c r="H32" s="212" t="s">
        <v>157</v>
      </c>
      <c r="I32" s="212" t="s">
        <v>158</v>
      </c>
      <c r="J32" s="212" t="s">
        <v>149</v>
      </c>
      <c r="K32" s="212" t="s">
        <v>159</v>
      </c>
      <c r="L32" s="212" t="s">
        <v>4228</v>
      </c>
      <c r="M32" s="213">
        <v>7</v>
      </c>
      <c r="N32" s="441" cm="1">
        <f t="array" ref="N32">IF(TRIM(K32)="Mano de Obra",IF(Formulario!$L$23&lt;&gt;"",Formulario!$L$23,IFERROR(VLOOKUP(TRIM($M$4),Jornalesdeppto!A:C,3,0),"")),_xlfn.XLOOKUP(1,(Tabla_Costos_Insumos!$A$2:$A$3199=TRIM($M$4))*(Tabla_Costos_Insumos!$C$2:$C$3199=TRIM(K32)),Tabla_Costos_Insumos!$E$2:$E$3199,"",0))</f>
        <v>11619.375925925555</v>
      </c>
      <c r="O32" s="441">
        <f t="shared" si="1"/>
        <v>81335.631481478878</v>
      </c>
      <c r="P32" s="212" t="str">
        <f t="shared" si="2"/>
        <v>Aguacate Hass</v>
      </c>
      <c r="Q32" s="212" t="s">
        <v>142</v>
      </c>
      <c r="R32" s="212" t="s">
        <v>142</v>
      </c>
      <c r="S32" s="212"/>
      <c r="T32" s="212"/>
      <c r="U32" s="212"/>
      <c r="V32" s="212" t="s">
        <v>142</v>
      </c>
      <c r="W32" s="212"/>
      <c r="X32" s="214"/>
    </row>
    <row r="33" spans="1:24" ht="15">
      <c r="A33" s="211" t="s">
        <v>3766</v>
      </c>
      <c r="B33" s="225" t="s">
        <v>98</v>
      </c>
      <c r="C33" s="212" t="s">
        <v>69</v>
      </c>
      <c r="D33" s="212" t="s">
        <v>145</v>
      </c>
      <c r="E33" s="212" t="s">
        <v>146</v>
      </c>
      <c r="F33" s="212" t="s">
        <v>147</v>
      </c>
      <c r="G33" s="212" t="s">
        <v>131</v>
      </c>
      <c r="H33" s="212" t="s">
        <v>161</v>
      </c>
      <c r="I33" s="212" t="s">
        <v>162</v>
      </c>
      <c r="J33" s="212" t="s">
        <v>149</v>
      </c>
      <c r="K33" s="212" t="s">
        <v>163</v>
      </c>
      <c r="L33" s="212" t="s">
        <v>164</v>
      </c>
      <c r="M33" s="213">
        <v>2</v>
      </c>
      <c r="N33" s="441" cm="1">
        <f t="array" ref="N33">IF(TRIM(K33)="Mano de Obra",IF(Formulario!$L$23&lt;&gt;"",Formulario!$L$23,IFERROR(VLOOKUP(TRIM($M$4),Jornalesdeppto!A:C,3,0),"")),_xlfn.XLOOKUP(1,(Tabla_Costos_Insumos!$A$2:$A$3199=TRIM($M$4))*(Tabla_Costos_Insumos!$C$2:$C$3199=TRIM(K33)),Tabla_Costos_Insumos!$E$2:$E$3199,"",0))</f>
        <v>128084.44444445</v>
      </c>
      <c r="O33" s="441">
        <f t="shared" si="1"/>
        <v>256168.88888889999</v>
      </c>
      <c r="P33" s="212" t="str">
        <f t="shared" si="2"/>
        <v>Aguacate Hass</v>
      </c>
      <c r="Q33" s="212" t="s">
        <v>142</v>
      </c>
      <c r="R33" s="212" t="s">
        <v>142</v>
      </c>
      <c r="S33" s="212"/>
      <c r="T33" s="212"/>
      <c r="U33" s="212"/>
      <c r="V33" s="212" t="s">
        <v>142</v>
      </c>
      <c r="W33" s="212"/>
      <c r="X33" s="214"/>
    </row>
    <row r="34" spans="1:24" ht="15">
      <c r="A34" s="211" t="s">
        <v>3766</v>
      </c>
      <c r="B34" s="225" t="s">
        <v>98</v>
      </c>
      <c r="C34" s="212" t="s">
        <v>69</v>
      </c>
      <c r="D34" s="212" t="s">
        <v>145</v>
      </c>
      <c r="E34" s="212" t="s">
        <v>146</v>
      </c>
      <c r="F34" s="212" t="s">
        <v>147</v>
      </c>
      <c r="G34" s="212" t="s">
        <v>131</v>
      </c>
      <c r="H34" s="212" t="s">
        <v>165</v>
      </c>
      <c r="I34" s="212" t="s">
        <v>153</v>
      </c>
      <c r="J34" s="212" t="s">
        <v>149</v>
      </c>
      <c r="K34" s="212" t="s">
        <v>166</v>
      </c>
      <c r="L34" s="212" t="s">
        <v>151</v>
      </c>
      <c r="M34" s="213">
        <v>8</v>
      </c>
      <c r="N34" s="441" cm="1">
        <f t="array" ref="N34">IF(TRIM(K34)="Mano de Obra",IF(Formulario!$L$23&lt;&gt;"",Formulario!$L$23,IFERROR(VLOOKUP(TRIM($M$4),Jornalesdeppto!A:C,3,0),"")),_xlfn.XLOOKUP(1,(Tabla_Costos_Insumos!$A$2:$A$3199=TRIM($M$4))*(Tabla_Costos_Insumos!$C$2:$C$3199=TRIM(K34)),Tabla_Costos_Insumos!$E$2:$E$3199,"",0))</f>
        <v>110000</v>
      </c>
      <c r="O34" s="441">
        <f t="shared" si="1"/>
        <v>880000</v>
      </c>
      <c r="P34" s="212" t="str">
        <f t="shared" si="2"/>
        <v>Aguacate Hass</v>
      </c>
      <c r="Q34" s="212" t="s">
        <v>142</v>
      </c>
      <c r="R34" s="212" t="s">
        <v>142</v>
      </c>
      <c r="S34" s="212"/>
      <c r="T34" s="212"/>
      <c r="U34" s="212"/>
      <c r="V34" s="212" t="s">
        <v>142</v>
      </c>
      <c r="W34" s="212"/>
      <c r="X34" s="214"/>
    </row>
    <row r="35" spans="1:24" ht="15">
      <c r="A35" s="211" t="s">
        <v>3766</v>
      </c>
      <c r="B35" s="225" t="s">
        <v>98</v>
      </c>
      <c r="C35" s="212" t="s">
        <v>69</v>
      </c>
      <c r="D35" s="212" t="s">
        <v>145</v>
      </c>
      <c r="E35" s="212" t="s">
        <v>146</v>
      </c>
      <c r="F35" s="212" t="s">
        <v>167</v>
      </c>
      <c r="G35" s="212" t="s">
        <v>118</v>
      </c>
      <c r="H35" s="212" t="s">
        <v>168</v>
      </c>
      <c r="I35" s="212" t="s">
        <v>169</v>
      </c>
      <c r="J35" s="212" t="s">
        <v>170</v>
      </c>
      <c r="K35" s="212" t="s">
        <v>171</v>
      </c>
      <c r="L35" s="212" t="s">
        <v>172</v>
      </c>
      <c r="M35" s="213">
        <v>14</v>
      </c>
      <c r="N35" s="441" cm="1">
        <f t="array" ref="N35">IF(TRIM(K35)="Mano de Obra",IF(Formulario!$L$23&lt;&gt;"",Formulario!$L$23,IFERROR(VLOOKUP(TRIM($M$4),Jornalesdeppto!A:C,3,0),"")),_xlfn.XLOOKUP(1,(Tabla_Costos_Insumos!$A$2:$A$3199=TRIM($M$4))*(Tabla_Costos_Insumos!$C$2:$C$3199=TRIM(K35)),Tabla_Costos_Insumos!$E$2:$E$3199,"",0))</f>
        <v>115879.72</v>
      </c>
      <c r="O35" s="441">
        <f t="shared" si="1"/>
        <v>1622316.08</v>
      </c>
      <c r="P35" s="212" t="str">
        <f t="shared" si="2"/>
        <v>Aguacate Hass</v>
      </c>
      <c r="Q35" s="212" t="s">
        <v>142</v>
      </c>
      <c r="R35" s="212" t="s">
        <v>142</v>
      </c>
      <c r="S35" s="212"/>
      <c r="T35" s="212"/>
      <c r="U35" s="212"/>
      <c r="V35" s="212" t="s">
        <v>142</v>
      </c>
      <c r="W35" s="212"/>
      <c r="X35" s="214"/>
    </row>
    <row r="36" spans="1:24" ht="15">
      <c r="A36" s="211" t="s">
        <v>3766</v>
      </c>
      <c r="B36" s="225" t="s">
        <v>98</v>
      </c>
      <c r="C36" s="212" t="s">
        <v>69</v>
      </c>
      <c r="D36" s="212" t="s">
        <v>145</v>
      </c>
      <c r="E36" s="212" t="s">
        <v>146</v>
      </c>
      <c r="F36" s="212" t="s">
        <v>167</v>
      </c>
      <c r="G36" s="212" t="s">
        <v>118</v>
      </c>
      <c r="H36" s="212" t="s">
        <v>168</v>
      </c>
      <c r="I36" s="212" t="s">
        <v>169</v>
      </c>
      <c r="J36" s="212" t="s">
        <v>170</v>
      </c>
      <c r="K36" s="212" t="s">
        <v>227</v>
      </c>
      <c r="L36" s="212" t="s">
        <v>172</v>
      </c>
      <c r="M36" s="213">
        <v>11</v>
      </c>
      <c r="N36" s="441" cm="1">
        <f t="array" ref="N36">IF(TRIM(K36)="Mano de Obra",IF(Formulario!$L$23&lt;&gt;"",Formulario!$L$23,IFERROR(VLOOKUP(TRIM($M$4),Jornalesdeppto!A:C,3,0),"")),_xlfn.XLOOKUP(1,(Tabla_Costos_Insumos!$A$2:$A$3199=TRIM($M$4))*(Tabla_Costos_Insumos!$C$2:$C$3199=TRIM(K36)),Tabla_Costos_Insumos!$E$2:$E$3199,"",0))</f>
        <v>153430.65</v>
      </c>
      <c r="O36" s="441">
        <f t="shared" si="1"/>
        <v>1687737.15</v>
      </c>
      <c r="P36" s="212" t="str">
        <f t="shared" si="2"/>
        <v>Aguacate Hass</v>
      </c>
      <c r="Q36" s="212" t="s">
        <v>142</v>
      </c>
      <c r="R36" s="212" t="s">
        <v>142</v>
      </c>
      <c r="S36" s="212"/>
      <c r="T36" s="212"/>
      <c r="U36" s="212"/>
      <c r="V36" s="212" t="s">
        <v>142</v>
      </c>
      <c r="W36" s="212"/>
      <c r="X36" s="214"/>
    </row>
    <row r="37" spans="1:24" ht="15">
      <c r="A37" s="211" t="s">
        <v>3766</v>
      </c>
      <c r="B37" s="225" t="s">
        <v>98</v>
      </c>
      <c r="C37" s="212" t="s">
        <v>69</v>
      </c>
      <c r="D37" s="212" t="s">
        <v>145</v>
      </c>
      <c r="E37" s="212" t="s">
        <v>146</v>
      </c>
      <c r="F37" s="212" t="s">
        <v>167</v>
      </c>
      <c r="G37" s="212" t="s">
        <v>118</v>
      </c>
      <c r="H37" s="212" t="s">
        <v>174</v>
      </c>
      <c r="I37" s="212" t="s">
        <v>175</v>
      </c>
      <c r="J37" s="212" t="s">
        <v>176</v>
      </c>
      <c r="K37" s="212" t="s">
        <v>177</v>
      </c>
      <c r="L37" s="212" t="s">
        <v>172</v>
      </c>
      <c r="M37" s="213">
        <v>14</v>
      </c>
      <c r="N37" s="441" cm="1">
        <f t="array" ref="N37">IF(TRIM(K37)="Mano de Obra",IF(Formulario!$L$23&lt;&gt;"",Formulario!$L$23,IFERROR(VLOOKUP(TRIM($M$4),Jornalesdeppto!A:C,3,0),"")),_xlfn.XLOOKUP(1,(Tabla_Costos_Insumos!$A$2:$A$3199=TRIM($M$4))*(Tabla_Costos_Insumos!$C$2:$C$3199=TRIM(K37)),Tabla_Costos_Insumos!$E$2:$E$3199,"",0))</f>
        <v>20153.830000000002</v>
      </c>
      <c r="O37" s="441">
        <f t="shared" si="1"/>
        <v>282153.62</v>
      </c>
      <c r="P37" s="212" t="str">
        <f t="shared" si="2"/>
        <v>Aguacate Hass</v>
      </c>
      <c r="Q37" s="212" t="s">
        <v>142</v>
      </c>
      <c r="R37" s="212" t="s">
        <v>142</v>
      </c>
      <c r="S37" s="212"/>
      <c r="T37" s="212"/>
      <c r="U37" s="212"/>
      <c r="V37" s="212" t="s">
        <v>142</v>
      </c>
      <c r="W37" s="212"/>
      <c r="X37" s="214"/>
    </row>
    <row r="38" spans="1:24" ht="15">
      <c r="A38" s="211" t="s">
        <v>3766</v>
      </c>
      <c r="B38" s="225" t="s">
        <v>98</v>
      </c>
      <c r="C38" s="212" t="s">
        <v>69</v>
      </c>
      <c r="D38" s="212" t="s">
        <v>145</v>
      </c>
      <c r="E38" s="212" t="s">
        <v>146</v>
      </c>
      <c r="F38" s="212" t="s">
        <v>167</v>
      </c>
      <c r="G38" s="212" t="s">
        <v>118</v>
      </c>
      <c r="H38" s="212" t="s">
        <v>178</v>
      </c>
      <c r="I38" s="212" t="s">
        <v>179</v>
      </c>
      <c r="J38" s="212" t="s">
        <v>180</v>
      </c>
      <c r="K38" s="215" t="s">
        <v>181</v>
      </c>
      <c r="L38" s="212" t="s">
        <v>172</v>
      </c>
      <c r="M38" s="213">
        <v>4</v>
      </c>
      <c r="N38" s="441" cm="1">
        <f t="array" ref="N38">IF(TRIM(K38)="Mano de Obra",IF(Formulario!$L$23&lt;&gt;"",Formulario!$L$23,IFERROR(VLOOKUP(TRIM($M$4),Jornalesdeppto!A:C,3,0),"")),_xlfn.XLOOKUP(1,(Tabla_Costos_Insumos!$A$2:$A$3199=TRIM($M$4))*(Tabla_Costos_Insumos!$C$2:$C$3199=TRIM(K38)),Tabla_Costos_Insumos!$E$2:$E$3199,"",0))</f>
        <v>34056.25</v>
      </c>
      <c r="O38" s="441">
        <f t="shared" si="1"/>
        <v>136225</v>
      </c>
      <c r="P38" s="212" t="str">
        <f t="shared" si="2"/>
        <v>Aguacate Hass</v>
      </c>
      <c r="Q38" s="212" t="s">
        <v>142</v>
      </c>
      <c r="R38" s="212" t="s">
        <v>142</v>
      </c>
      <c r="S38" s="212"/>
      <c r="T38" s="212"/>
      <c r="U38" s="212"/>
      <c r="V38" s="212" t="s">
        <v>142</v>
      </c>
      <c r="W38" s="212"/>
      <c r="X38" s="214"/>
    </row>
    <row r="39" spans="1:24" ht="15">
      <c r="A39" s="211" t="s">
        <v>3766</v>
      </c>
      <c r="B39" s="225" t="s">
        <v>98</v>
      </c>
      <c r="C39" s="212" t="s">
        <v>69</v>
      </c>
      <c r="D39" s="212" t="s">
        <v>145</v>
      </c>
      <c r="E39" s="212" t="s">
        <v>146</v>
      </c>
      <c r="F39" s="212" t="s">
        <v>167</v>
      </c>
      <c r="G39" s="212" t="s">
        <v>118</v>
      </c>
      <c r="H39" s="212" t="s">
        <v>178</v>
      </c>
      <c r="I39" s="212" t="s">
        <v>179</v>
      </c>
      <c r="J39" s="212" t="s">
        <v>180</v>
      </c>
      <c r="K39" s="212" t="s">
        <v>182</v>
      </c>
      <c r="L39" s="212" t="s">
        <v>172</v>
      </c>
      <c r="M39" s="213">
        <v>14</v>
      </c>
      <c r="N39" s="441" cm="1">
        <f t="array" ref="N39">IF(TRIM(K39)="Mano de Obra",IF(Formulario!$L$23&lt;&gt;"",Formulario!$L$23,IFERROR(VLOOKUP(TRIM($M$4),Jornalesdeppto!A:C,3,0),"")),_xlfn.XLOOKUP(1,(Tabla_Costos_Insumos!$A$2:$A$3199=TRIM($M$4))*(Tabla_Costos_Insumos!$C$2:$C$3199=TRIM(K39)),Tabla_Costos_Insumos!$E$2:$E$3199,"",0))</f>
        <v>151029.59</v>
      </c>
      <c r="O39" s="441">
        <f t="shared" si="1"/>
        <v>2114414.2599999998</v>
      </c>
      <c r="P39" s="212" t="str">
        <f t="shared" si="2"/>
        <v>Aguacate Hass</v>
      </c>
      <c r="Q39" s="212" t="s">
        <v>142</v>
      </c>
      <c r="R39" s="212" t="s">
        <v>142</v>
      </c>
      <c r="S39" s="212"/>
      <c r="T39" s="212"/>
      <c r="U39" s="212"/>
      <c r="V39" s="212" t="s">
        <v>142</v>
      </c>
      <c r="W39" s="212"/>
      <c r="X39" s="214"/>
    </row>
    <row r="40" spans="1:24" ht="15">
      <c r="A40" s="211" t="s">
        <v>3766</v>
      </c>
      <c r="B40" s="225" t="s">
        <v>98</v>
      </c>
      <c r="C40" s="212" t="s">
        <v>69</v>
      </c>
      <c r="D40" s="212" t="s">
        <v>145</v>
      </c>
      <c r="E40" s="212" t="s">
        <v>146</v>
      </c>
      <c r="F40" s="212" t="s">
        <v>183</v>
      </c>
      <c r="G40" s="212" t="s">
        <v>184</v>
      </c>
      <c r="H40" s="212" t="s">
        <v>185</v>
      </c>
      <c r="I40" s="212" t="s">
        <v>186</v>
      </c>
      <c r="J40" s="212" t="s">
        <v>105</v>
      </c>
      <c r="K40" s="212" t="s">
        <v>187</v>
      </c>
      <c r="L40" s="212" t="s">
        <v>188</v>
      </c>
      <c r="M40" s="213">
        <v>0.1</v>
      </c>
      <c r="N40" s="441" cm="1">
        <f t="array" ref="N40">IF(TRIM(K40)="Mano de Obra",IF(Formulario!$L$23&lt;&gt;"",Formulario!$L$23,IFERROR(VLOOKUP(TRIM($M$4),Jornalesdeppto!A:C,3,0),"")),_xlfn.XLOOKUP(1,(Tabla_Costos_Insumos!$A$2:$A$3199=TRIM($M$4))*(Tabla_Costos_Insumos!$C$2:$C$3199=TRIM(K40)),Tabla_Costos_Insumos!$E$2:$E$3199,"",0))</f>
        <v>175000</v>
      </c>
      <c r="O40" s="441">
        <f t="shared" si="1"/>
        <v>17500</v>
      </c>
      <c r="P40" s="212" t="str">
        <f t="shared" si="2"/>
        <v>Aguacate Hass</v>
      </c>
      <c r="Q40" s="212" t="s">
        <v>142</v>
      </c>
      <c r="R40" s="212" t="s">
        <v>142</v>
      </c>
      <c r="S40" s="212"/>
      <c r="T40" s="212"/>
      <c r="U40" s="212"/>
      <c r="V40" s="212" t="s">
        <v>142</v>
      </c>
      <c r="W40" s="212"/>
      <c r="X40" s="214"/>
    </row>
    <row r="41" spans="1:24" ht="15">
      <c r="A41" s="211" t="s">
        <v>3766</v>
      </c>
      <c r="B41" s="225" t="s">
        <v>98</v>
      </c>
      <c r="C41" s="212" t="s">
        <v>69</v>
      </c>
      <c r="D41" s="212" t="s">
        <v>189</v>
      </c>
      <c r="E41" s="212" t="s">
        <v>190</v>
      </c>
      <c r="F41" s="212" t="s">
        <v>191</v>
      </c>
      <c r="G41" s="212" t="s">
        <v>192</v>
      </c>
      <c r="H41" s="212" t="s">
        <v>193</v>
      </c>
      <c r="I41" s="212" t="s">
        <v>194</v>
      </c>
      <c r="J41" s="212" t="s">
        <v>195</v>
      </c>
      <c r="K41" s="212" t="s">
        <v>196</v>
      </c>
      <c r="L41" s="212" t="s">
        <v>197</v>
      </c>
      <c r="M41" s="213">
        <v>1</v>
      </c>
      <c r="N41" s="441">
        <f>IFERROR(SUM(O17:$O$40)*0.08,0)</f>
        <v>1289747.8082478102</v>
      </c>
      <c r="O41" s="441">
        <f t="shared" si="1"/>
        <v>1289747.8082478102</v>
      </c>
      <c r="P41" s="212" t="str">
        <f t="shared" si="2"/>
        <v>Aguacate Hass</v>
      </c>
      <c r="Q41" s="212" t="s">
        <v>142</v>
      </c>
      <c r="R41" s="212" t="s">
        <v>142</v>
      </c>
      <c r="S41" s="212"/>
      <c r="T41" s="212"/>
      <c r="U41" s="212"/>
      <c r="V41" s="212" t="s">
        <v>142</v>
      </c>
      <c r="W41" s="212"/>
      <c r="X41" s="214"/>
    </row>
    <row r="42" spans="1:24" ht="15">
      <c r="A42" s="211" t="s">
        <v>3766</v>
      </c>
      <c r="B42" s="225" t="s">
        <v>98</v>
      </c>
      <c r="C42" s="212" t="s">
        <v>69</v>
      </c>
      <c r="D42" s="212" t="s">
        <v>189</v>
      </c>
      <c r="E42" s="212" t="s">
        <v>190</v>
      </c>
      <c r="F42" s="212" t="s">
        <v>198</v>
      </c>
      <c r="G42" s="212" t="s">
        <v>199</v>
      </c>
      <c r="H42" s="212" t="s">
        <v>200</v>
      </c>
      <c r="I42" s="212" t="s">
        <v>201</v>
      </c>
      <c r="J42" s="212" t="s">
        <v>105</v>
      </c>
      <c r="K42" s="212" t="s">
        <v>202</v>
      </c>
      <c r="L42" s="212" t="s">
        <v>203</v>
      </c>
      <c r="M42" s="213">
        <v>1</v>
      </c>
      <c r="N42" s="441" cm="1">
        <f t="array" ref="N42">IF(TRIM(K42)="Mano de Obra",IF(Formulario!$L$23&lt;&gt;"",Formulario!$L$23,IFERROR(VLOOKUP(TRIM($M$4),Jornalesdeppto!A:C,3,0),"")),_xlfn.XLOOKUP(1,(Tabla_Costos_Insumos!$A$2:$A$3199=TRIM($M$4))*(Tabla_Costos_Insumos!$C$2:$C$3199=TRIM(K42)),Tabla_Costos_Insumos!$E$2:$E$3199,"",0))</f>
        <v>120000</v>
      </c>
      <c r="O42" s="441">
        <f t="shared" si="1"/>
        <v>120000</v>
      </c>
      <c r="P42" s="212" t="str">
        <f t="shared" si="2"/>
        <v>Aguacate Hass</v>
      </c>
      <c r="Q42" s="212" t="s">
        <v>142</v>
      </c>
      <c r="R42" s="212" t="s">
        <v>142</v>
      </c>
      <c r="S42" s="212"/>
      <c r="T42" s="212"/>
      <c r="U42" s="212"/>
      <c r="V42" s="212" t="s">
        <v>142</v>
      </c>
      <c r="W42" s="212"/>
      <c r="X42" s="214"/>
    </row>
    <row r="43" spans="1:24" ht="15">
      <c r="A43" s="211" t="s">
        <v>3766</v>
      </c>
      <c r="B43" s="225" t="s">
        <v>98</v>
      </c>
      <c r="C43" s="212" t="s">
        <v>69</v>
      </c>
      <c r="D43" s="212" t="s">
        <v>189</v>
      </c>
      <c r="E43" s="212" t="s">
        <v>190</v>
      </c>
      <c r="F43" s="212" t="s">
        <v>204</v>
      </c>
      <c r="G43" s="212" t="s">
        <v>205</v>
      </c>
      <c r="H43" s="212" t="s">
        <v>206</v>
      </c>
      <c r="I43" s="212" t="s">
        <v>207</v>
      </c>
      <c r="J43" s="212" t="s">
        <v>4127</v>
      </c>
      <c r="K43" s="212" t="s">
        <v>228</v>
      </c>
      <c r="L43" s="212" t="s">
        <v>197</v>
      </c>
      <c r="M43" s="213">
        <v>1</v>
      </c>
      <c r="N43" s="441">
        <f>$J$4</f>
        <v>500000</v>
      </c>
      <c r="O43" s="441">
        <f t="shared" si="1"/>
        <v>500000</v>
      </c>
      <c r="P43" s="212" t="str">
        <f t="shared" si="2"/>
        <v>Aguacate Hass</v>
      </c>
      <c r="Q43" s="212" t="s">
        <v>142</v>
      </c>
      <c r="R43" s="212" t="s">
        <v>142</v>
      </c>
      <c r="S43" s="212"/>
      <c r="T43" s="212"/>
      <c r="U43" s="212"/>
      <c r="V43" s="212" t="s">
        <v>142</v>
      </c>
      <c r="W43" s="212"/>
      <c r="X43" s="214"/>
    </row>
    <row r="44" spans="1:24" ht="15">
      <c r="A44" s="211" t="s">
        <v>3766</v>
      </c>
      <c r="B44" s="225" t="s">
        <v>98</v>
      </c>
      <c r="C44" s="216" t="s">
        <v>53</v>
      </c>
      <c r="D44" s="216" t="s">
        <v>99</v>
      </c>
      <c r="E44" s="216" t="s">
        <v>100</v>
      </c>
      <c r="F44" s="216" t="s">
        <v>101</v>
      </c>
      <c r="G44" s="216" t="s">
        <v>102</v>
      </c>
      <c r="H44" s="216" t="s">
        <v>209</v>
      </c>
      <c r="I44" s="216" t="s">
        <v>210</v>
      </c>
      <c r="J44" s="216" t="s">
        <v>105</v>
      </c>
      <c r="K44" s="216" t="s">
        <v>106</v>
      </c>
      <c r="L44" s="216" t="s">
        <v>107</v>
      </c>
      <c r="M44" s="217">
        <f t="shared" ref="M44:M58" si="9">IF(W44&lt;&gt;"", W44, ROUNDUP(X44*T44, 0))</f>
        <v>4</v>
      </c>
      <c r="N44" s="442" cm="1">
        <f t="array" ref="N44">IF(TRIM(K44)="Mano de Obra",IF(Formulario!$L$23&lt;&gt;"",Formulario!$L$23,IFERROR(VLOOKUP(TRIM($M$4),Jornalesdeppto!A:C,3,0),"")),_xlfn.XLOOKUP(1,(Tabla_Costos_Insumos!$A$2:$A$3199=TRIM($M$4))*(Tabla_Costos_Insumos!$C$2:$C$3199=TRIM(K44)),Tabla_Costos_Insumos!$E$2:$E$3199,"",0))</f>
        <v>46666.666666666664</v>
      </c>
      <c r="O44" s="442">
        <f t="shared" si="1"/>
        <v>186666.66666666666</v>
      </c>
      <c r="P44" s="216" t="str">
        <f t="shared" si="2"/>
        <v>Aguacate Hass</v>
      </c>
      <c r="Q44" s="212" t="s">
        <v>211</v>
      </c>
      <c r="R44" s="212">
        <v>5</v>
      </c>
      <c r="S44" s="212">
        <v>0</v>
      </c>
      <c r="T44" s="212" cm="1">
        <f t="array" ref="T44">_xlfn.IFS($D$5&lt;=7, 1.1, $D$5&lt;=12,1.2, $D$5&lt;=25, 1.3, $D$5&gt;25,1.4)</f>
        <v>1.3</v>
      </c>
      <c r="U44" s="212"/>
      <c r="V44" s="212">
        <v>1</v>
      </c>
      <c r="W44" s="212"/>
      <c r="X44" s="214">
        <v>3</v>
      </c>
    </row>
    <row r="45" spans="1:24" ht="15">
      <c r="A45" s="211" t="s">
        <v>3766</v>
      </c>
      <c r="B45" s="225" t="s">
        <v>98</v>
      </c>
      <c r="C45" s="216" t="s">
        <v>53</v>
      </c>
      <c r="D45" s="216" t="s">
        <v>99</v>
      </c>
      <c r="E45" s="216" t="s">
        <v>100</v>
      </c>
      <c r="F45" s="216" t="s">
        <v>101</v>
      </c>
      <c r="G45" s="216" t="s">
        <v>102</v>
      </c>
      <c r="H45" s="216" t="s">
        <v>103</v>
      </c>
      <c r="I45" s="216" t="s">
        <v>104</v>
      </c>
      <c r="J45" s="216" t="s">
        <v>105</v>
      </c>
      <c r="K45" s="216" t="s">
        <v>106</v>
      </c>
      <c r="L45" s="216" t="s">
        <v>107</v>
      </c>
      <c r="M45" s="217">
        <f t="shared" si="9"/>
        <v>21</v>
      </c>
      <c r="N45" s="442" cm="1">
        <f t="array" ref="N45">IF(TRIM(K45)="Mano de Obra",IF(Formulario!$L$23&lt;&gt;"",Formulario!$L$23,IFERROR(VLOOKUP(TRIM($M$4),Jornalesdeppto!A:C,3,0),"")),_xlfn.XLOOKUP(1,(Tabla_Costos_Insumos!$A$2:$A$3199=TRIM($M$4))*(Tabla_Costos_Insumos!$C$2:$C$3199=TRIM(K45)),Tabla_Costos_Insumos!$E$2:$E$3199,"",0))</f>
        <v>46666.666666666664</v>
      </c>
      <c r="O45" s="442">
        <f t="shared" si="1"/>
        <v>980000</v>
      </c>
      <c r="P45" s="216" t="str">
        <f t="shared" si="2"/>
        <v>Aguacate Hass</v>
      </c>
      <c r="Q45" s="212" t="s">
        <v>108</v>
      </c>
      <c r="R45" s="212">
        <v>7</v>
      </c>
      <c r="S45" s="212" t="str">
        <f t="shared" ref="S45:S47" si="10">IF($M$3="Aguacate Hass",($I$3*R45) / 480,"")</f>
        <v/>
      </c>
      <c r="T45" s="212" cm="1">
        <f t="array" ref="T45">_xlfn.IFS($D$5&lt;=7, 1.1, $D$5&lt;=12,1.2, $D$5&lt;=25, 1.3, $D$5&gt;25,1.4)</f>
        <v>1.3</v>
      </c>
      <c r="U45" s="212" t="str">
        <f t="shared" ref="U45:U47" si="11">IFERROR(S45*T45,"")</f>
        <v/>
      </c>
      <c r="V45" s="212">
        <v>1</v>
      </c>
      <c r="W45" s="212" t="str">
        <f t="shared" ref="W45:W47" si="12">IFERROR(ROUNDUP(V45*U45,0),"")</f>
        <v/>
      </c>
      <c r="X45" s="214">
        <v>16</v>
      </c>
    </row>
    <row r="46" spans="1:24" ht="15">
      <c r="A46" s="211" t="s">
        <v>3766</v>
      </c>
      <c r="B46" s="225" t="s">
        <v>98</v>
      </c>
      <c r="C46" s="216" t="s">
        <v>53</v>
      </c>
      <c r="D46" s="216" t="s">
        <v>99</v>
      </c>
      <c r="E46" s="216" t="s">
        <v>100</v>
      </c>
      <c r="F46" s="216" t="s">
        <v>101</v>
      </c>
      <c r="G46" s="216" t="s">
        <v>102</v>
      </c>
      <c r="H46" s="216" t="s">
        <v>212</v>
      </c>
      <c r="I46" s="216" t="s">
        <v>213</v>
      </c>
      <c r="J46" s="216" t="s">
        <v>105</v>
      </c>
      <c r="K46" s="216" t="s">
        <v>106</v>
      </c>
      <c r="L46" s="216" t="s">
        <v>107</v>
      </c>
      <c r="M46" s="217">
        <f t="shared" si="9"/>
        <v>10</v>
      </c>
      <c r="N46" s="442" cm="1">
        <f t="array" ref="N46">IF(TRIM(K46)="Mano de Obra",IF(Formulario!$L$23&lt;&gt;"",Formulario!$L$23,IFERROR(VLOOKUP(TRIM($M$4),Jornalesdeppto!A:C,3,0),"")),_xlfn.XLOOKUP(1,(Tabla_Costos_Insumos!$A$2:$A$3199=TRIM($M$4))*(Tabla_Costos_Insumos!$C$2:$C$3199=TRIM(K46)),Tabla_Costos_Insumos!$E$2:$E$3199,"",0))</f>
        <v>46666.666666666664</v>
      </c>
      <c r="O46" s="442">
        <f t="shared" si="1"/>
        <v>466666.66666666663</v>
      </c>
      <c r="P46" s="216" t="str">
        <f t="shared" si="2"/>
        <v>Aguacate Hass</v>
      </c>
      <c r="Q46" s="212" t="s">
        <v>108</v>
      </c>
      <c r="R46" s="212">
        <v>14</v>
      </c>
      <c r="S46" s="212" t="str">
        <f t="shared" si="10"/>
        <v/>
      </c>
      <c r="T46" s="212" cm="1">
        <f t="array" ref="T46">_xlfn.IFS($D$5&lt;=7, 1.1, $D$5&lt;=12,1.2, $D$5&lt;=25, 1.3, $D$5&gt;25,1.4)</f>
        <v>1.3</v>
      </c>
      <c r="U46" s="212" t="str">
        <f t="shared" si="11"/>
        <v/>
      </c>
      <c r="V46" s="212">
        <v>1</v>
      </c>
      <c r="W46" s="212" t="str">
        <f t="shared" si="12"/>
        <v/>
      </c>
      <c r="X46" s="214">
        <v>7</v>
      </c>
    </row>
    <row r="47" spans="1:24" ht="15">
      <c r="A47" s="211" t="s">
        <v>3766</v>
      </c>
      <c r="B47" s="225" t="s">
        <v>98</v>
      </c>
      <c r="C47" s="216" t="s">
        <v>53</v>
      </c>
      <c r="D47" s="216" t="s">
        <v>99</v>
      </c>
      <c r="E47" s="216" t="s">
        <v>100</v>
      </c>
      <c r="F47" s="216" t="s">
        <v>101</v>
      </c>
      <c r="G47" s="216" t="s">
        <v>102</v>
      </c>
      <c r="H47" s="216" t="s">
        <v>214</v>
      </c>
      <c r="I47" s="216" t="s">
        <v>20</v>
      </c>
      <c r="J47" s="216" t="s">
        <v>105</v>
      </c>
      <c r="K47" s="216" t="s">
        <v>106</v>
      </c>
      <c r="L47" s="216" t="s">
        <v>107</v>
      </c>
      <c r="M47" s="217">
        <f t="shared" si="9"/>
        <v>8</v>
      </c>
      <c r="N47" s="442" cm="1">
        <f t="array" ref="N47">IF(TRIM(K47)="Mano de Obra",IF(Formulario!$L$23&lt;&gt;"",Formulario!$L$23,IFERROR(VLOOKUP(TRIM($M$4),Jornalesdeppto!A:C,3,0),"")),_xlfn.XLOOKUP(1,(Tabla_Costos_Insumos!$A$2:$A$3199=TRIM($M$4))*(Tabla_Costos_Insumos!$C$2:$C$3199=TRIM(K47)),Tabla_Costos_Insumos!$E$2:$E$3199,"",0))</f>
        <v>46666.666666666664</v>
      </c>
      <c r="O47" s="442">
        <f t="shared" si="1"/>
        <v>373333.33333333331</v>
      </c>
      <c r="P47" s="216" t="str">
        <f t="shared" si="2"/>
        <v>Aguacate Hass</v>
      </c>
      <c r="Q47" s="212" t="s">
        <v>108</v>
      </c>
      <c r="R47" s="212">
        <v>0.2</v>
      </c>
      <c r="S47" s="212" t="str">
        <f t="shared" si="10"/>
        <v/>
      </c>
      <c r="T47" s="212" cm="1">
        <f t="array" ref="T47">_xlfn.IFS($D$5&lt;=7, 1.1, $D$5&lt;=12,1.2, $D$5&lt;=25, 1.3, $D$5&gt;25,1.4)</f>
        <v>1.3</v>
      </c>
      <c r="U47" s="212" t="str">
        <f t="shared" si="11"/>
        <v/>
      </c>
      <c r="V47" s="212">
        <v>1</v>
      </c>
      <c r="W47" s="212" t="str">
        <f t="shared" si="12"/>
        <v/>
      </c>
      <c r="X47" s="214">
        <v>6</v>
      </c>
    </row>
    <row r="48" spans="1:24" ht="15">
      <c r="A48" s="211" t="s">
        <v>3766</v>
      </c>
      <c r="B48" s="225" t="s">
        <v>98</v>
      </c>
      <c r="C48" s="216" t="s">
        <v>53</v>
      </c>
      <c r="D48" s="216" t="s">
        <v>99</v>
      </c>
      <c r="E48" s="216" t="s">
        <v>100</v>
      </c>
      <c r="F48" s="216" t="s">
        <v>109</v>
      </c>
      <c r="G48" s="216" t="s">
        <v>110</v>
      </c>
      <c r="H48" s="216" t="s">
        <v>111</v>
      </c>
      <c r="I48" s="216" t="s">
        <v>112</v>
      </c>
      <c r="J48" s="216" t="s">
        <v>105</v>
      </c>
      <c r="K48" s="216" t="s">
        <v>106</v>
      </c>
      <c r="L48" s="216" t="s">
        <v>107</v>
      </c>
      <c r="M48" s="217">
        <f t="shared" si="9"/>
        <v>6</v>
      </c>
      <c r="N48" s="442" cm="1">
        <f t="array" ref="N48">IF(TRIM(K48)="Mano de Obra",IF(Formulario!$L$23&lt;&gt;"",Formulario!$L$23,IFERROR(VLOOKUP(TRIM($M$4),Jornalesdeppto!A:C,3,0),"")),_xlfn.XLOOKUP(1,(Tabla_Costos_Insumos!$A$2:$A$3199=TRIM($M$4))*(Tabla_Costos_Insumos!$C$2:$C$3199=TRIM(K48)),Tabla_Costos_Insumos!$E$2:$E$3199,"",0))</f>
        <v>46666.666666666664</v>
      </c>
      <c r="O48" s="442">
        <f t="shared" si="1"/>
        <v>280000</v>
      </c>
      <c r="P48" s="216" t="str">
        <f t="shared" si="2"/>
        <v>Aguacate Hass</v>
      </c>
      <c r="Q48" s="212" t="s">
        <v>108</v>
      </c>
      <c r="R48" s="212">
        <v>0.4</v>
      </c>
      <c r="S48" s="212" t="str">
        <f t="shared" ref="S48:S53" si="13">IF($M$3="Aguacate Hass",($I$3*R48) / 480,"")</f>
        <v/>
      </c>
      <c r="T48" s="212" cm="1">
        <f t="array" ref="T48">_xlfn.IFS($D$5&lt;=7, 1.1, $D$5&lt;=12,1.2, $D$5&lt;=25, 1.3, $D$5&gt;25,1.4)</f>
        <v>1.3</v>
      </c>
      <c r="U48" s="212" t="str">
        <f t="shared" ref="U48:U55" si="14">IFERROR(S48*T48,"")</f>
        <v/>
      </c>
      <c r="V48" s="212">
        <v>2</v>
      </c>
      <c r="W48" s="212" t="str">
        <f t="shared" ref="W48:W53" si="15">IFERROR(ROUNDUP(V48*U48,0),"")</f>
        <v/>
      </c>
      <c r="X48" s="214">
        <v>4</v>
      </c>
    </row>
    <row r="49" spans="1:24" ht="15">
      <c r="A49" s="211" t="s">
        <v>3766</v>
      </c>
      <c r="B49" s="225" t="s">
        <v>98</v>
      </c>
      <c r="C49" s="216" t="s">
        <v>53</v>
      </c>
      <c r="D49" s="216" t="s">
        <v>99</v>
      </c>
      <c r="E49" s="216" t="s">
        <v>100</v>
      </c>
      <c r="F49" s="216" t="s">
        <v>109</v>
      </c>
      <c r="G49" s="216" t="s">
        <v>110</v>
      </c>
      <c r="H49" s="216" t="s">
        <v>215</v>
      </c>
      <c r="I49" s="216" t="s">
        <v>216</v>
      </c>
      <c r="J49" s="216" t="s">
        <v>105</v>
      </c>
      <c r="K49" s="216" t="s">
        <v>106</v>
      </c>
      <c r="L49" s="216" t="s">
        <v>107</v>
      </c>
      <c r="M49" s="217">
        <f t="shared" si="9"/>
        <v>3</v>
      </c>
      <c r="N49" s="442" cm="1">
        <f t="array" ref="N49">IF(TRIM(K49)="Mano de Obra",IF(Formulario!$L$23&lt;&gt;"",Formulario!$L$23,IFERROR(VLOOKUP(TRIM($M$4),Jornalesdeppto!A:C,3,0),"")),_xlfn.XLOOKUP(1,(Tabla_Costos_Insumos!$A$2:$A$3199=TRIM($M$4))*(Tabla_Costos_Insumos!$C$2:$C$3199=TRIM(K49)),Tabla_Costos_Insumos!$E$2:$E$3199,"",0))</f>
        <v>46666.666666666664</v>
      </c>
      <c r="O49" s="442">
        <f t="shared" si="1"/>
        <v>140000</v>
      </c>
      <c r="P49" s="216" t="str">
        <f t="shared" si="2"/>
        <v>Aguacate Hass</v>
      </c>
      <c r="Q49" s="212" t="s">
        <v>108</v>
      </c>
      <c r="R49" s="212">
        <v>15</v>
      </c>
      <c r="S49" s="212" t="str">
        <f t="shared" si="13"/>
        <v/>
      </c>
      <c r="T49" s="212" cm="1">
        <f t="array" ref="T49">_xlfn.IFS($D$5&lt;=7, 1.1, $D$5&lt;=12,1.2, $D$5&lt;=25, 1.3, $D$5&gt;25,1.4)</f>
        <v>1.3</v>
      </c>
      <c r="U49" s="212" t="str">
        <f t="shared" si="14"/>
        <v/>
      </c>
      <c r="V49" s="212">
        <v>1</v>
      </c>
      <c r="W49" s="212" t="str">
        <f t="shared" si="15"/>
        <v/>
      </c>
      <c r="X49" s="214">
        <v>2</v>
      </c>
    </row>
    <row r="50" spans="1:24" ht="15">
      <c r="A50" s="211" t="s">
        <v>3766</v>
      </c>
      <c r="B50" s="225" t="s">
        <v>98</v>
      </c>
      <c r="C50" s="216" t="s">
        <v>53</v>
      </c>
      <c r="D50" s="216" t="s">
        <v>99</v>
      </c>
      <c r="E50" s="216" t="s">
        <v>100</v>
      </c>
      <c r="F50" s="216" t="s">
        <v>109</v>
      </c>
      <c r="G50" s="216" t="s">
        <v>110</v>
      </c>
      <c r="H50" s="216" t="s">
        <v>217</v>
      </c>
      <c r="I50" s="216" t="s">
        <v>218</v>
      </c>
      <c r="J50" s="216" t="s">
        <v>105</v>
      </c>
      <c r="K50" s="216" t="s">
        <v>106</v>
      </c>
      <c r="L50" s="216" t="s">
        <v>107</v>
      </c>
      <c r="M50" s="217">
        <f t="shared" si="9"/>
        <v>6</v>
      </c>
      <c r="N50" s="442" cm="1">
        <f t="array" ref="N50">IF(TRIM(K50)="Mano de Obra",IF(Formulario!$L$23&lt;&gt;"",Formulario!$L$23,IFERROR(VLOOKUP(TRIM($M$4),Jornalesdeppto!A:C,3,0),"")),_xlfn.XLOOKUP(1,(Tabla_Costos_Insumos!$A$2:$A$3199=TRIM($M$4))*(Tabla_Costos_Insumos!$C$2:$C$3199=TRIM(K50)),Tabla_Costos_Insumos!$E$2:$E$3199,"",0))</f>
        <v>46666.666666666664</v>
      </c>
      <c r="O50" s="442">
        <f t="shared" si="1"/>
        <v>280000</v>
      </c>
      <c r="P50" s="216" t="str">
        <f t="shared" si="2"/>
        <v>Aguacate Hass</v>
      </c>
      <c r="Q50" s="212" t="s">
        <v>108</v>
      </c>
      <c r="R50" s="212">
        <v>16</v>
      </c>
      <c r="S50" s="212" t="str">
        <f t="shared" si="13"/>
        <v/>
      </c>
      <c r="T50" s="212" cm="1">
        <f t="array" ref="T50">_xlfn.IFS($D$5&lt;=7, 1.1, $D$5&lt;=12,1.2, $D$5&lt;=25, 1.3, $D$5&gt;25,1.4)</f>
        <v>1.3</v>
      </c>
      <c r="U50" s="212" t="str">
        <f t="shared" si="14"/>
        <v/>
      </c>
      <c r="V50" s="212">
        <v>1</v>
      </c>
      <c r="W50" s="212" t="str">
        <f t="shared" si="15"/>
        <v/>
      </c>
      <c r="X50" s="214">
        <v>4</v>
      </c>
    </row>
    <row r="51" spans="1:24" ht="15">
      <c r="A51" s="211" t="s">
        <v>3766</v>
      </c>
      <c r="B51" s="225" t="s">
        <v>98</v>
      </c>
      <c r="C51" s="216" t="s">
        <v>53</v>
      </c>
      <c r="D51" s="216" t="s">
        <v>99</v>
      </c>
      <c r="E51" s="216" t="s">
        <v>100</v>
      </c>
      <c r="F51" s="216" t="s">
        <v>113</v>
      </c>
      <c r="G51" s="216" t="s">
        <v>114</v>
      </c>
      <c r="H51" s="216" t="s">
        <v>115</v>
      </c>
      <c r="I51" s="216" t="s">
        <v>116</v>
      </c>
      <c r="J51" s="216" t="s">
        <v>105</v>
      </c>
      <c r="K51" s="216" t="s">
        <v>106</v>
      </c>
      <c r="L51" s="216" t="s">
        <v>107</v>
      </c>
      <c r="M51" s="217">
        <f t="shared" si="9"/>
        <v>8</v>
      </c>
      <c r="N51" s="442" cm="1">
        <f t="array" ref="N51">IF(TRIM(K51)="Mano de Obra",IF(Formulario!$L$23&lt;&gt;"",Formulario!$L$23,IFERROR(VLOOKUP(TRIM($M$4),Jornalesdeppto!A:C,3,0),"")),_xlfn.XLOOKUP(1,(Tabla_Costos_Insumos!$A$2:$A$3199=TRIM($M$4))*(Tabla_Costos_Insumos!$C$2:$C$3199=TRIM(K51)),Tabla_Costos_Insumos!$E$2:$E$3199,"",0))</f>
        <v>46666.666666666664</v>
      </c>
      <c r="O51" s="442">
        <f t="shared" si="1"/>
        <v>373333.33333333331</v>
      </c>
      <c r="P51" s="216" t="str">
        <f t="shared" si="2"/>
        <v>Aguacate Hass</v>
      </c>
      <c r="Q51" s="212" t="s">
        <v>108</v>
      </c>
      <c r="R51" s="212">
        <v>3</v>
      </c>
      <c r="S51" s="212" t="str">
        <f t="shared" si="13"/>
        <v/>
      </c>
      <c r="T51" s="212" cm="1">
        <f t="array" ref="T51">_xlfn.IFS($D$5&lt;=7, 1.1, $D$5&lt;=12,1.2, $D$5&lt;=25, 1.3, $D$5&gt;25,1.4)</f>
        <v>1.3</v>
      </c>
      <c r="U51" s="212" t="str">
        <f t="shared" si="14"/>
        <v/>
      </c>
      <c r="V51" s="212">
        <v>2</v>
      </c>
      <c r="W51" s="212" t="str">
        <f t="shared" si="15"/>
        <v/>
      </c>
      <c r="X51" s="214">
        <v>6</v>
      </c>
    </row>
    <row r="52" spans="1:24" ht="15">
      <c r="A52" s="211" t="s">
        <v>3766</v>
      </c>
      <c r="B52" s="225" t="s">
        <v>98</v>
      </c>
      <c r="C52" s="216" t="s">
        <v>53</v>
      </c>
      <c r="D52" s="216" t="s">
        <v>99</v>
      </c>
      <c r="E52" s="216" t="s">
        <v>100</v>
      </c>
      <c r="F52" s="216" t="s">
        <v>117</v>
      </c>
      <c r="G52" s="216" t="s">
        <v>118</v>
      </c>
      <c r="H52" s="216" t="s">
        <v>119</v>
      </c>
      <c r="I52" s="216" t="s">
        <v>120</v>
      </c>
      <c r="J52" s="216" t="s">
        <v>105</v>
      </c>
      <c r="K52" s="216" t="s">
        <v>106</v>
      </c>
      <c r="L52" s="216" t="s">
        <v>107</v>
      </c>
      <c r="M52" s="217">
        <f t="shared" si="9"/>
        <v>10</v>
      </c>
      <c r="N52" s="442" cm="1">
        <f t="array" ref="N52">IF(TRIM(K52)="Mano de Obra",IF(Formulario!$L$23&lt;&gt;"",Formulario!$L$23,IFERROR(VLOOKUP(TRIM($M$4),Jornalesdeppto!A:C,3,0),"")),_xlfn.XLOOKUP(1,(Tabla_Costos_Insumos!$A$2:$A$3199=TRIM($M$4))*(Tabla_Costos_Insumos!$C$2:$C$3199=TRIM(K52)),Tabla_Costos_Insumos!$E$2:$E$3199,"",0))</f>
        <v>46666.666666666664</v>
      </c>
      <c r="O52" s="442">
        <f t="shared" si="1"/>
        <v>466666.66666666663</v>
      </c>
      <c r="P52" s="216" t="str">
        <f t="shared" si="2"/>
        <v>Aguacate Hass</v>
      </c>
      <c r="Q52" s="212" t="s">
        <v>108</v>
      </c>
      <c r="R52" s="212">
        <v>4</v>
      </c>
      <c r="S52" s="212" t="str">
        <f t="shared" si="13"/>
        <v/>
      </c>
      <c r="T52" s="212" cm="1">
        <f t="array" ref="T52">_xlfn.IFS($D$5&lt;=7, 1.1, $D$5&lt;=12,1.2, $D$5&lt;=25, 1.3, $D$5&gt;25,1.4)</f>
        <v>1.3</v>
      </c>
      <c r="U52" s="212" t="str">
        <f t="shared" si="14"/>
        <v/>
      </c>
      <c r="V52" s="212">
        <v>9</v>
      </c>
      <c r="W52" s="212" t="str">
        <f t="shared" si="15"/>
        <v/>
      </c>
      <c r="X52" s="214">
        <v>7</v>
      </c>
    </row>
    <row r="53" spans="1:24" ht="15">
      <c r="A53" s="211" t="s">
        <v>3766</v>
      </c>
      <c r="B53" s="225" t="s">
        <v>98</v>
      </c>
      <c r="C53" s="216" t="s">
        <v>53</v>
      </c>
      <c r="D53" s="216" t="s">
        <v>99</v>
      </c>
      <c r="E53" s="216" t="s">
        <v>100</v>
      </c>
      <c r="F53" s="216" t="s">
        <v>117</v>
      </c>
      <c r="G53" s="216" t="s">
        <v>118</v>
      </c>
      <c r="H53" s="216" t="s">
        <v>121</v>
      </c>
      <c r="I53" s="216" t="s">
        <v>122</v>
      </c>
      <c r="J53" s="216" t="s">
        <v>105</v>
      </c>
      <c r="K53" s="216" t="s">
        <v>106</v>
      </c>
      <c r="L53" s="216" t="s">
        <v>107</v>
      </c>
      <c r="M53" s="217">
        <f t="shared" si="9"/>
        <v>10</v>
      </c>
      <c r="N53" s="442" cm="1">
        <f t="array" ref="N53">IF(TRIM(K53)="Mano de Obra",IF(Formulario!$L$23&lt;&gt;"",Formulario!$L$23,IFERROR(VLOOKUP(TRIM($M$4),Jornalesdeppto!A:C,3,0),"")),_xlfn.XLOOKUP(1,(Tabla_Costos_Insumos!$A$2:$A$3199=TRIM($M$4))*(Tabla_Costos_Insumos!$C$2:$C$3199=TRIM(K53)),Tabla_Costos_Insumos!$E$2:$E$3199,"",0))</f>
        <v>46666.666666666664</v>
      </c>
      <c r="O53" s="442">
        <f t="shared" si="1"/>
        <v>466666.66666666663</v>
      </c>
      <c r="P53" s="216" t="str">
        <f t="shared" si="2"/>
        <v>Aguacate Hass</v>
      </c>
      <c r="Q53" s="212" t="s">
        <v>108</v>
      </c>
      <c r="R53" s="212">
        <v>4</v>
      </c>
      <c r="S53" s="212" t="str">
        <f t="shared" si="13"/>
        <v/>
      </c>
      <c r="T53" s="212" cm="1">
        <f t="array" ref="T53">_xlfn.IFS($D$5&lt;=7, 1.1, $D$5&lt;=12,1.2, $D$5&lt;=25, 1.3, $D$5&gt;25,1.4)</f>
        <v>1.3</v>
      </c>
      <c r="U53" s="212" t="str">
        <f t="shared" si="14"/>
        <v/>
      </c>
      <c r="V53" s="212">
        <v>9</v>
      </c>
      <c r="W53" s="212" t="str">
        <f t="shared" si="15"/>
        <v/>
      </c>
      <c r="X53" s="214">
        <v>7</v>
      </c>
    </row>
    <row r="54" spans="1:24" ht="15">
      <c r="A54" s="211" t="s">
        <v>3766</v>
      </c>
      <c r="B54" s="225" t="s">
        <v>98</v>
      </c>
      <c r="C54" s="216" t="s">
        <v>53</v>
      </c>
      <c r="D54" s="216" t="s">
        <v>99</v>
      </c>
      <c r="E54" s="216" t="s">
        <v>100</v>
      </c>
      <c r="F54" s="216" t="s">
        <v>123</v>
      </c>
      <c r="G54" s="216" t="s">
        <v>124</v>
      </c>
      <c r="H54" s="216" t="s">
        <v>125</v>
      </c>
      <c r="I54" s="216" t="s">
        <v>126</v>
      </c>
      <c r="J54" s="216" t="s">
        <v>105</v>
      </c>
      <c r="K54" s="216" t="s">
        <v>106</v>
      </c>
      <c r="L54" s="216" t="s">
        <v>107</v>
      </c>
      <c r="M54" s="217">
        <f t="shared" si="9"/>
        <v>7</v>
      </c>
      <c r="N54" s="442" cm="1">
        <f t="array" ref="N54">IF(TRIM(K54)="Mano de Obra",IF(Formulario!$L$23&lt;&gt;"",Formulario!$L$23,IFERROR(VLOOKUP(TRIM($M$4),Jornalesdeppto!A:C,3,0),"")),_xlfn.XLOOKUP(1,(Tabla_Costos_Insumos!$A$2:$A$3199=TRIM($M$4))*(Tabla_Costos_Insumos!$C$2:$C$3199=TRIM(K54)),Tabla_Costos_Insumos!$E$2:$E$3199,"",0))</f>
        <v>46666.666666666664</v>
      </c>
      <c r="O54" s="442">
        <f t="shared" si="1"/>
        <v>326666.66666666663</v>
      </c>
      <c r="P54" s="216" t="str">
        <f t="shared" si="2"/>
        <v>Aguacate Hass</v>
      </c>
      <c r="Q54" s="212" t="s">
        <v>127</v>
      </c>
      <c r="R54" s="212">
        <v>0.09</v>
      </c>
      <c r="S54" s="212">
        <f t="shared" ref="S54:S55" si="16">10000*R54/480</f>
        <v>1.875</v>
      </c>
      <c r="T54" s="212" cm="1">
        <f t="array" ref="T54">_xlfn.IFS($D$5&lt;=7, 1.1, $D$5&lt;=12,1.2, $D$5&lt;=25, 1.3, $D$5&gt;25,1.4)</f>
        <v>1.3</v>
      </c>
      <c r="U54" s="212">
        <f t="shared" si="14"/>
        <v>2.4375</v>
      </c>
      <c r="V54" s="212">
        <v>2</v>
      </c>
      <c r="W54" s="212"/>
      <c r="X54" s="214">
        <v>5</v>
      </c>
    </row>
    <row r="55" spans="1:24" ht="15">
      <c r="A55" s="211" t="s">
        <v>3766</v>
      </c>
      <c r="B55" s="225" t="s">
        <v>98</v>
      </c>
      <c r="C55" s="216" t="s">
        <v>53</v>
      </c>
      <c r="D55" s="216" t="s">
        <v>99</v>
      </c>
      <c r="E55" s="216" t="s">
        <v>100</v>
      </c>
      <c r="F55" s="216" t="s">
        <v>123</v>
      </c>
      <c r="G55" s="216" t="s">
        <v>124</v>
      </c>
      <c r="H55" s="216" t="s">
        <v>128</v>
      </c>
      <c r="I55" s="216" t="s">
        <v>129</v>
      </c>
      <c r="J55" s="216" t="s">
        <v>105</v>
      </c>
      <c r="K55" s="216" t="s">
        <v>106</v>
      </c>
      <c r="L55" s="216" t="s">
        <v>107</v>
      </c>
      <c r="M55" s="217">
        <f t="shared" si="9"/>
        <v>39</v>
      </c>
      <c r="N55" s="442" cm="1">
        <f t="array" ref="N55">IF(TRIM(K55)="Mano de Obra",IF(Formulario!$L$23&lt;&gt;"",Formulario!$L$23,IFERROR(VLOOKUP(TRIM($M$4),Jornalesdeppto!A:C,3,0),"")),_xlfn.XLOOKUP(1,(Tabla_Costos_Insumos!$A$2:$A$3199=TRIM($M$4))*(Tabla_Costos_Insumos!$C$2:$C$3199=TRIM(K55)),Tabla_Costos_Insumos!$E$2:$E$3199,"",0))</f>
        <v>46666.666666666664</v>
      </c>
      <c r="O55" s="442">
        <f t="shared" si="1"/>
        <v>1820000</v>
      </c>
      <c r="P55" s="216" t="str">
        <f t="shared" si="2"/>
        <v>Aguacate Hass</v>
      </c>
      <c r="Q55" s="212" t="s">
        <v>127</v>
      </c>
      <c r="R55" s="212">
        <v>0.09</v>
      </c>
      <c r="S55" s="212">
        <f t="shared" si="16"/>
        <v>1.875</v>
      </c>
      <c r="T55" s="212" cm="1">
        <f t="array" ref="T55">_xlfn.IFS($D$5&lt;=7, 1.1, $D$5&lt;=12,1.2, $D$5&lt;=25, 1.3, $D$5&gt;25,1.4)</f>
        <v>1.3</v>
      </c>
      <c r="U55" s="212">
        <f t="shared" si="14"/>
        <v>2.4375</v>
      </c>
      <c r="V55" s="212">
        <v>2</v>
      </c>
      <c r="W55" s="212"/>
      <c r="X55" s="214">
        <v>30</v>
      </c>
    </row>
    <row r="56" spans="1:24" ht="15">
      <c r="A56" s="211" t="s">
        <v>3766</v>
      </c>
      <c r="B56" s="225" t="s">
        <v>98</v>
      </c>
      <c r="C56" s="216" t="s">
        <v>53</v>
      </c>
      <c r="D56" s="216" t="s">
        <v>99</v>
      </c>
      <c r="E56" s="216" t="s">
        <v>100</v>
      </c>
      <c r="F56" s="216" t="s">
        <v>130</v>
      </c>
      <c r="G56" s="216" t="s">
        <v>131</v>
      </c>
      <c r="H56" s="216" t="s">
        <v>132</v>
      </c>
      <c r="I56" s="216" t="s">
        <v>133</v>
      </c>
      <c r="J56" s="216" t="s">
        <v>105</v>
      </c>
      <c r="K56" s="216" t="s">
        <v>106</v>
      </c>
      <c r="L56" s="216" t="s">
        <v>107</v>
      </c>
      <c r="M56" s="217">
        <f t="shared" si="9"/>
        <v>10</v>
      </c>
      <c r="N56" s="442" cm="1">
        <f t="array" ref="N56">IF(TRIM(K56)="Mano de Obra",IF(Formulario!$L$23&lt;&gt;"",Formulario!$L$23,IFERROR(VLOOKUP(TRIM($M$4),Jornalesdeppto!A:C,3,0),"")),_xlfn.XLOOKUP(1,(Tabla_Costos_Insumos!$A$2:$A$3199=TRIM($M$4))*(Tabla_Costos_Insumos!$C$2:$C$3199=TRIM(K56)),Tabla_Costos_Insumos!$E$2:$E$3199,"",0))</f>
        <v>46666.666666666664</v>
      </c>
      <c r="O56" s="442">
        <f t="shared" si="1"/>
        <v>466666.66666666663</v>
      </c>
      <c r="P56" s="216" t="str">
        <f t="shared" si="2"/>
        <v>Aguacate Hass</v>
      </c>
      <c r="Q56" s="212" t="s">
        <v>108</v>
      </c>
      <c r="R56" s="212">
        <v>1.5</v>
      </c>
      <c r="S56" s="212" t="str">
        <f t="shared" ref="S56:S58" si="17">IF($M$3="Aguacate Hass",($I$3*R56) / 480,"")</f>
        <v/>
      </c>
      <c r="T56" s="212" cm="1">
        <f t="array" ref="T56">_xlfn.IFS($D$5&lt;=7, 1.1, $D$5&lt;=12,1.2, $D$5&lt;=25, 1.3, $D$5&gt;25,1.4)</f>
        <v>1.3</v>
      </c>
      <c r="U56" s="212" t="str">
        <f t="shared" ref="U56:U58" si="18">IFERROR(S56*T56,"")</f>
        <v/>
      </c>
      <c r="V56" s="212">
        <v>4</v>
      </c>
      <c r="W56" s="212" t="str">
        <f t="shared" ref="W56:W58" si="19">IFERROR(ROUNDUP(V56*U56,0),"")</f>
        <v/>
      </c>
      <c r="X56" s="214">
        <v>7</v>
      </c>
    </row>
    <row r="57" spans="1:24" ht="15">
      <c r="A57" s="211" t="s">
        <v>3766</v>
      </c>
      <c r="B57" s="225" t="s">
        <v>98</v>
      </c>
      <c r="C57" s="216" t="s">
        <v>53</v>
      </c>
      <c r="D57" s="216" t="s">
        <v>99</v>
      </c>
      <c r="E57" s="216" t="s">
        <v>100</v>
      </c>
      <c r="F57" s="216" t="s">
        <v>130</v>
      </c>
      <c r="G57" s="216" t="s">
        <v>131</v>
      </c>
      <c r="H57" s="216" t="s">
        <v>134</v>
      </c>
      <c r="I57" s="216" t="s">
        <v>135</v>
      </c>
      <c r="J57" s="216" t="s">
        <v>105</v>
      </c>
      <c r="K57" s="216" t="s">
        <v>106</v>
      </c>
      <c r="L57" s="216" t="s">
        <v>107</v>
      </c>
      <c r="M57" s="217">
        <f t="shared" si="9"/>
        <v>4</v>
      </c>
      <c r="N57" s="442" cm="1">
        <f t="array" ref="N57">IF(TRIM(K57)="Mano de Obra",IF(Formulario!$L$23&lt;&gt;"",Formulario!$L$23,IFERROR(VLOOKUP(TRIM($M$4),Jornalesdeppto!A:C,3,0),"")),_xlfn.XLOOKUP(1,(Tabla_Costos_Insumos!$A$2:$A$3199=TRIM($M$4))*(Tabla_Costos_Insumos!$C$2:$C$3199=TRIM(K57)),Tabla_Costos_Insumos!$E$2:$E$3199,"",0))</f>
        <v>46666.666666666664</v>
      </c>
      <c r="O57" s="442">
        <f t="shared" si="1"/>
        <v>186666.66666666666</v>
      </c>
      <c r="P57" s="216" t="str">
        <f t="shared" si="2"/>
        <v>Aguacate Hass</v>
      </c>
      <c r="Q57" s="212" t="s">
        <v>108</v>
      </c>
      <c r="R57" s="212">
        <v>1.5</v>
      </c>
      <c r="S57" s="212" t="str">
        <f>IF($M$3="Aguacate Hass",($I$3*R57) / 480,"")</f>
        <v/>
      </c>
      <c r="T57" s="212" cm="1">
        <f t="array" ref="T57">_xlfn.IFS($D$5&lt;=7, 1.1, $D$5&lt;=12,1.2, $D$5&lt;=25, 1.3, $D$5&gt;25,1.4)</f>
        <v>1.3</v>
      </c>
      <c r="U57" s="212" t="str">
        <f t="shared" si="18"/>
        <v/>
      </c>
      <c r="V57" s="212">
        <v>4</v>
      </c>
      <c r="W57" s="212" t="str">
        <f t="shared" si="19"/>
        <v/>
      </c>
      <c r="X57" s="214">
        <v>3</v>
      </c>
    </row>
    <row r="58" spans="1:24" ht="15">
      <c r="A58" s="211" t="s">
        <v>3766</v>
      </c>
      <c r="B58" s="225" t="s">
        <v>98</v>
      </c>
      <c r="C58" s="216" t="s">
        <v>53</v>
      </c>
      <c r="D58" s="216" t="s">
        <v>99</v>
      </c>
      <c r="E58" s="216" t="s">
        <v>100</v>
      </c>
      <c r="F58" s="216" t="s">
        <v>130</v>
      </c>
      <c r="G58" s="216" t="s">
        <v>131</v>
      </c>
      <c r="H58" s="216" t="s">
        <v>136</v>
      </c>
      <c r="I58" s="216" t="s">
        <v>137</v>
      </c>
      <c r="J58" s="216" t="s">
        <v>105</v>
      </c>
      <c r="K58" s="216" t="s">
        <v>106</v>
      </c>
      <c r="L58" s="216" t="s">
        <v>107</v>
      </c>
      <c r="M58" s="217">
        <f t="shared" si="9"/>
        <v>6</v>
      </c>
      <c r="N58" s="442" cm="1">
        <f t="array" ref="N58">IF(TRIM(K58)="Mano de Obra",IF(Formulario!$L$23&lt;&gt;"",Formulario!$L$23,IFERROR(VLOOKUP(TRIM($M$4),Jornalesdeppto!A:C,3,0),"")),_xlfn.XLOOKUP(1,(Tabla_Costos_Insumos!$A$2:$A$3199=TRIM($M$4))*(Tabla_Costos_Insumos!$C$2:$C$3199=TRIM(K58)),Tabla_Costos_Insumos!$E$2:$E$3199,"",0))</f>
        <v>46666.666666666664</v>
      </c>
      <c r="O58" s="442">
        <f t="shared" si="1"/>
        <v>280000</v>
      </c>
      <c r="P58" s="216" t="str">
        <f t="shared" si="2"/>
        <v>Aguacate Hass</v>
      </c>
      <c r="Q58" s="212" t="s">
        <v>108</v>
      </c>
      <c r="R58" s="212">
        <v>4</v>
      </c>
      <c r="S58" s="212" t="str">
        <f t="shared" si="17"/>
        <v/>
      </c>
      <c r="T58" s="212" cm="1">
        <f t="array" ref="T58">_xlfn.IFS($D$5&lt;=7, 1.1, $D$5&lt;=12,1.2, $D$5&lt;=25, 1.3, $D$5&gt;25,1.4)</f>
        <v>1.3</v>
      </c>
      <c r="U58" s="212" t="str">
        <f t="shared" si="18"/>
        <v/>
      </c>
      <c r="V58" s="212">
        <v>4</v>
      </c>
      <c r="W58" s="212" t="str">
        <f t="shared" si="19"/>
        <v/>
      </c>
      <c r="X58" s="214">
        <v>4</v>
      </c>
    </row>
    <row r="59" spans="1:24" ht="15">
      <c r="A59" s="211" t="s">
        <v>3766</v>
      </c>
      <c r="B59" s="225" t="s">
        <v>98</v>
      </c>
      <c r="C59" s="216" t="s">
        <v>53</v>
      </c>
      <c r="D59" s="216" t="s">
        <v>145</v>
      </c>
      <c r="E59" s="216" t="s">
        <v>146</v>
      </c>
      <c r="F59" s="216" t="s">
        <v>219</v>
      </c>
      <c r="G59" s="216" t="s">
        <v>220</v>
      </c>
      <c r="H59" s="216" t="s">
        <v>221</v>
      </c>
      <c r="I59" s="216" t="s">
        <v>222</v>
      </c>
      <c r="J59" s="216" t="s">
        <v>223</v>
      </c>
      <c r="K59" s="216" t="s">
        <v>224</v>
      </c>
      <c r="L59" s="216" t="s">
        <v>197</v>
      </c>
      <c r="M59" s="217">
        <v>260</v>
      </c>
      <c r="N59" s="442">
        <v>16000</v>
      </c>
      <c r="O59" s="442">
        <f t="shared" si="1"/>
        <v>4160000</v>
      </c>
      <c r="P59" s="216" t="str">
        <f t="shared" si="2"/>
        <v>Aguacate Hass</v>
      </c>
      <c r="Q59" s="212" t="s">
        <v>142</v>
      </c>
      <c r="R59" s="212" t="s">
        <v>142</v>
      </c>
      <c r="S59" s="212"/>
      <c r="T59" s="212"/>
      <c r="U59" s="212"/>
      <c r="V59" s="212" t="s">
        <v>142</v>
      </c>
      <c r="W59" s="212"/>
      <c r="X59" s="213">
        <v>260</v>
      </c>
    </row>
    <row r="60" spans="1:24" ht="15">
      <c r="A60" s="211" t="s">
        <v>3766</v>
      </c>
      <c r="B60" s="225" t="s">
        <v>98</v>
      </c>
      <c r="C60" s="216" t="s">
        <v>53</v>
      </c>
      <c r="D60" s="216" t="s">
        <v>145</v>
      </c>
      <c r="E60" s="216" t="s">
        <v>146</v>
      </c>
      <c r="F60" s="216" t="s">
        <v>147</v>
      </c>
      <c r="G60" s="216" t="s">
        <v>131</v>
      </c>
      <c r="H60" s="216" t="s">
        <v>148</v>
      </c>
      <c r="I60" s="216" t="s">
        <v>299</v>
      </c>
      <c r="J60" s="216" t="s">
        <v>149</v>
      </c>
      <c r="K60" s="216" t="s">
        <v>150</v>
      </c>
      <c r="L60" s="216" t="s">
        <v>151</v>
      </c>
      <c r="M60" s="217">
        <v>1</v>
      </c>
      <c r="N60" s="442" cm="1">
        <f t="array" ref="N60">IF(TRIM(K60)="Mano de Obra",IF(Formulario!$L$23&lt;&gt;"",Formulario!$L$23,IFERROR(VLOOKUP(TRIM($M$4),Jornalesdeppto!A:C,3,0),"")),_xlfn.XLOOKUP(1,(Tabla_Costos_Insumos!$A$2:$A$3199=TRIM($M$4))*(Tabla_Costos_Insumos!$C$2:$C$3199=TRIM(K60)),Tabla_Costos_Insumos!$E$2:$E$3199,"",0))</f>
        <v>198055.68333333</v>
      </c>
      <c r="O60" s="442">
        <f t="shared" si="1"/>
        <v>198055.68333333</v>
      </c>
      <c r="P60" s="216" t="str">
        <f t="shared" si="2"/>
        <v>Aguacate Hass</v>
      </c>
      <c r="Q60" s="212" t="s">
        <v>142</v>
      </c>
      <c r="R60" s="212" t="s">
        <v>142</v>
      </c>
      <c r="S60" s="212"/>
      <c r="T60" s="212"/>
      <c r="U60" s="212"/>
      <c r="V60" s="212" t="s">
        <v>142</v>
      </c>
      <c r="W60" s="212"/>
      <c r="X60" s="213">
        <v>1</v>
      </c>
    </row>
    <row r="61" spans="1:24" ht="15">
      <c r="A61" s="211" t="s">
        <v>3766</v>
      </c>
      <c r="B61" s="225" t="s">
        <v>98</v>
      </c>
      <c r="C61" s="216" t="s">
        <v>53</v>
      </c>
      <c r="D61" s="216" t="s">
        <v>145</v>
      </c>
      <c r="E61" s="216" t="s">
        <v>146</v>
      </c>
      <c r="F61" s="216" t="s">
        <v>147</v>
      </c>
      <c r="G61" s="216" t="s">
        <v>131</v>
      </c>
      <c r="H61" s="216" t="s">
        <v>152</v>
      </c>
      <c r="I61" s="216" t="s">
        <v>153</v>
      </c>
      <c r="J61" s="216" t="s">
        <v>149</v>
      </c>
      <c r="K61" s="218" t="s">
        <v>166</v>
      </c>
      <c r="L61" s="216" t="s">
        <v>151</v>
      </c>
      <c r="M61" s="217">
        <v>3</v>
      </c>
      <c r="N61" s="442" cm="1">
        <f t="array" ref="N61">IF(TRIM(K61)="Mano de Obra",IF(Formulario!$L$23&lt;&gt;"",Formulario!$L$23,IFERROR(VLOOKUP(TRIM($M$4),Jornalesdeppto!A:C,3,0),"")),_xlfn.XLOOKUP(1,(Tabla_Costos_Insumos!$A$2:$A$3199=TRIM($M$4))*(Tabla_Costos_Insumos!$C$2:$C$3199=TRIM(K61)),Tabla_Costos_Insumos!$E$2:$E$3199,"",0))</f>
        <v>110000</v>
      </c>
      <c r="O61" s="442">
        <f t="shared" si="1"/>
        <v>330000</v>
      </c>
      <c r="P61" s="216" t="str">
        <f t="shared" si="2"/>
        <v>Aguacate Hass</v>
      </c>
      <c r="Q61" s="212" t="s">
        <v>142</v>
      </c>
      <c r="R61" s="212" t="s">
        <v>142</v>
      </c>
      <c r="S61" s="212"/>
      <c r="T61" s="212"/>
      <c r="U61" s="212"/>
      <c r="V61" s="212" t="s">
        <v>142</v>
      </c>
      <c r="W61" s="212"/>
      <c r="X61" s="213">
        <v>3</v>
      </c>
    </row>
    <row r="62" spans="1:24" ht="15">
      <c r="A62" s="211" t="s">
        <v>3766</v>
      </c>
      <c r="B62" s="225" t="s">
        <v>98</v>
      </c>
      <c r="C62" s="216" t="s">
        <v>53</v>
      </c>
      <c r="D62" s="216" t="s">
        <v>145</v>
      </c>
      <c r="E62" s="216" t="s">
        <v>146</v>
      </c>
      <c r="F62" s="216" t="s">
        <v>147</v>
      </c>
      <c r="G62" s="216" t="s">
        <v>131</v>
      </c>
      <c r="H62" s="216" t="s">
        <v>154</v>
      </c>
      <c r="I62" s="216" t="s">
        <v>155</v>
      </c>
      <c r="J62" s="216" t="s">
        <v>149</v>
      </c>
      <c r="K62" s="216" t="s">
        <v>156</v>
      </c>
      <c r="L62" s="216" t="s">
        <v>151</v>
      </c>
      <c r="M62" s="217">
        <v>5</v>
      </c>
      <c r="N62" s="442" cm="1">
        <f t="array" ref="N62">IF(TRIM(K62)="Mano de Obra",IF(Formulario!$L$23&lt;&gt;"",Formulario!$L$23,IFERROR(VLOOKUP(TRIM($M$4),Jornalesdeppto!A:C,3,0),"")),_xlfn.XLOOKUP(1,(Tabla_Costos_Insumos!$A$2:$A$3199=TRIM($M$4))*(Tabla_Costos_Insumos!$C$2:$C$3199=TRIM(K62)),Tabla_Costos_Insumos!$E$2:$E$3199,"",0))</f>
        <v>17212.5</v>
      </c>
      <c r="O62" s="442">
        <f t="shared" si="1"/>
        <v>86062.5</v>
      </c>
      <c r="P62" s="216" t="str">
        <f t="shared" si="2"/>
        <v>Aguacate Hass</v>
      </c>
      <c r="Q62" s="212" t="s">
        <v>142</v>
      </c>
      <c r="R62" s="212" t="s">
        <v>142</v>
      </c>
      <c r="S62" s="212"/>
      <c r="T62" s="212"/>
      <c r="U62" s="212"/>
      <c r="V62" s="212" t="s">
        <v>142</v>
      </c>
      <c r="W62" s="212"/>
      <c r="X62" s="213">
        <v>5</v>
      </c>
    </row>
    <row r="63" spans="1:24" ht="15">
      <c r="A63" s="211" t="s">
        <v>3766</v>
      </c>
      <c r="B63" s="225" t="s">
        <v>98</v>
      </c>
      <c r="C63" s="216" t="s">
        <v>53</v>
      </c>
      <c r="D63" s="216" t="s">
        <v>145</v>
      </c>
      <c r="E63" s="216" t="s">
        <v>146</v>
      </c>
      <c r="F63" s="216" t="s">
        <v>147</v>
      </c>
      <c r="G63" s="216" t="s">
        <v>131</v>
      </c>
      <c r="H63" s="216" t="s">
        <v>157</v>
      </c>
      <c r="I63" s="216" t="s">
        <v>158</v>
      </c>
      <c r="J63" s="216" t="s">
        <v>149</v>
      </c>
      <c r="K63" s="216" t="s">
        <v>159</v>
      </c>
      <c r="L63" s="216" t="s">
        <v>160</v>
      </c>
      <c r="M63" s="217">
        <v>7</v>
      </c>
      <c r="N63" s="442" cm="1">
        <f t="array" ref="N63">IF(TRIM(K63)="Mano de Obra",IF(Formulario!$L$23&lt;&gt;"",Formulario!$L$23,IFERROR(VLOOKUP(TRIM($M$4),Jornalesdeppto!A:C,3,0),"")),_xlfn.XLOOKUP(1,(Tabla_Costos_Insumos!$A$2:$A$3199=TRIM($M$4))*(Tabla_Costos_Insumos!$C$2:$C$3199=TRIM(K63)),Tabla_Costos_Insumos!$E$2:$E$3199,"",0))</f>
        <v>11619.375925925555</v>
      </c>
      <c r="O63" s="442">
        <f t="shared" si="1"/>
        <v>81335.631481478878</v>
      </c>
      <c r="P63" s="216" t="str">
        <f t="shared" si="2"/>
        <v>Aguacate Hass</v>
      </c>
      <c r="Q63" s="212" t="s">
        <v>142</v>
      </c>
      <c r="R63" s="212" t="s">
        <v>142</v>
      </c>
      <c r="S63" s="212"/>
      <c r="T63" s="212"/>
      <c r="U63" s="212"/>
      <c r="V63" s="212" t="s">
        <v>142</v>
      </c>
      <c r="W63" s="212"/>
      <c r="X63" s="213">
        <v>7</v>
      </c>
    </row>
    <row r="64" spans="1:24" ht="15">
      <c r="A64" s="211" t="s">
        <v>3766</v>
      </c>
      <c r="B64" s="225" t="s">
        <v>98</v>
      </c>
      <c r="C64" s="216" t="s">
        <v>53</v>
      </c>
      <c r="D64" s="216" t="s">
        <v>145</v>
      </c>
      <c r="E64" s="216" t="s">
        <v>146</v>
      </c>
      <c r="F64" s="216" t="s">
        <v>147</v>
      </c>
      <c r="G64" s="216" t="s">
        <v>131</v>
      </c>
      <c r="H64" s="216" t="s">
        <v>161</v>
      </c>
      <c r="I64" s="216" t="s">
        <v>162</v>
      </c>
      <c r="J64" s="216" t="s">
        <v>149</v>
      </c>
      <c r="K64" s="216" t="s">
        <v>163</v>
      </c>
      <c r="L64" s="216" t="s">
        <v>164</v>
      </c>
      <c r="M64" s="217">
        <v>2</v>
      </c>
      <c r="N64" s="442" cm="1">
        <f t="array" ref="N64">IF(TRIM(K64)="Mano de Obra",IF(Formulario!$L$23&lt;&gt;"",Formulario!$L$23,IFERROR(VLOOKUP(TRIM($M$4),Jornalesdeppto!A:C,3,0),"")),_xlfn.XLOOKUP(1,(Tabla_Costos_Insumos!$A$2:$A$3199=TRIM($M$4))*(Tabla_Costos_Insumos!$C$2:$C$3199=TRIM(K64)),Tabla_Costos_Insumos!$E$2:$E$3199,"",0))</f>
        <v>128084.44444445</v>
      </c>
      <c r="O64" s="442">
        <f t="shared" si="1"/>
        <v>256168.88888889999</v>
      </c>
      <c r="P64" s="216" t="str">
        <f t="shared" si="2"/>
        <v>Aguacate Hass</v>
      </c>
      <c r="Q64" s="212" t="s">
        <v>142</v>
      </c>
      <c r="R64" s="212" t="s">
        <v>142</v>
      </c>
      <c r="S64" s="212"/>
      <c r="T64" s="212"/>
      <c r="U64" s="212"/>
      <c r="V64" s="212" t="s">
        <v>142</v>
      </c>
      <c r="W64" s="212"/>
      <c r="X64" s="213">
        <v>2</v>
      </c>
    </row>
    <row r="65" spans="1:24" ht="15">
      <c r="A65" s="211" t="s">
        <v>3766</v>
      </c>
      <c r="B65" s="225" t="s">
        <v>98</v>
      </c>
      <c r="C65" s="216" t="s">
        <v>53</v>
      </c>
      <c r="D65" s="216" t="s">
        <v>145</v>
      </c>
      <c r="E65" s="216" t="s">
        <v>146</v>
      </c>
      <c r="F65" s="216" t="s">
        <v>147</v>
      </c>
      <c r="G65" s="216" t="s">
        <v>131</v>
      </c>
      <c r="H65" s="216" t="s">
        <v>165</v>
      </c>
      <c r="I65" s="216" t="s">
        <v>153</v>
      </c>
      <c r="J65" s="216" t="s">
        <v>149</v>
      </c>
      <c r="K65" s="216" t="s">
        <v>4110</v>
      </c>
      <c r="L65" s="216" t="s">
        <v>151</v>
      </c>
      <c r="M65" s="217">
        <v>4</v>
      </c>
      <c r="N65" s="442" cm="1">
        <f t="array" ref="N65">IF(TRIM(K65)="Mano de Obra",IF(Formulario!$L$23&lt;&gt;"",Formulario!$L$23,IFERROR(VLOOKUP(TRIM($M$4),Jornalesdeppto!A:C,3,0),"")),_xlfn.XLOOKUP(1,(Tabla_Costos_Insumos!$A$2:$A$3199=TRIM($M$4))*(Tabla_Costos_Insumos!$C$2:$C$3199=TRIM(K65)),Tabla_Costos_Insumos!$E$2:$E$3199,"",0))</f>
        <v>125849.2424242409</v>
      </c>
      <c r="O65" s="442">
        <f t="shared" si="1"/>
        <v>503396.96969696361</v>
      </c>
      <c r="P65" s="216" t="str">
        <f t="shared" si="2"/>
        <v>Aguacate Hass</v>
      </c>
      <c r="Q65" s="212" t="s">
        <v>142</v>
      </c>
      <c r="R65" s="212" t="s">
        <v>142</v>
      </c>
      <c r="S65" s="212"/>
      <c r="T65" s="212"/>
      <c r="U65" s="212"/>
      <c r="V65" s="212" t="s">
        <v>142</v>
      </c>
      <c r="W65" s="212"/>
      <c r="X65" s="213">
        <v>4</v>
      </c>
    </row>
    <row r="66" spans="1:24" ht="15">
      <c r="A66" s="211" t="s">
        <v>3766</v>
      </c>
      <c r="B66" s="225" t="s">
        <v>98</v>
      </c>
      <c r="C66" s="216" t="s">
        <v>53</v>
      </c>
      <c r="D66" s="216" t="s">
        <v>145</v>
      </c>
      <c r="E66" s="216" t="s">
        <v>146</v>
      </c>
      <c r="F66" s="216" t="s">
        <v>167</v>
      </c>
      <c r="G66" s="216" t="s">
        <v>118</v>
      </c>
      <c r="H66" s="216" t="s">
        <v>168</v>
      </c>
      <c r="I66" s="216" t="s">
        <v>169</v>
      </c>
      <c r="J66" s="216" t="s">
        <v>170</v>
      </c>
      <c r="K66" s="218" t="s">
        <v>225</v>
      </c>
      <c r="L66" s="216" t="s">
        <v>226</v>
      </c>
      <c r="M66" s="217">
        <v>50</v>
      </c>
      <c r="N66" s="442" cm="1">
        <f t="array" ref="N66">IF(TRIM(K66)="Mano de Obra",IF(Formulario!$L$23&lt;&gt;"",Formulario!$L$23,IFERROR(VLOOKUP(TRIM($M$4),Jornalesdeppto!A:C,3,0),"")),_xlfn.XLOOKUP(1,(Tabla_Costos_Insumos!$A$2:$A$3199=TRIM($M$4))*(Tabla_Costos_Insumos!$C$2:$C$3199=TRIM(K66)),Tabla_Costos_Insumos!$E$2:$E$3199,"",0))</f>
        <v>37977.24</v>
      </c>
      <c r="O66" s="442">
        <f t="shared" si="1"/>
        <v>1898862</v>
      </c>
      <c r="P66" s="216" t="str">
        <f t="shared" si="2"/>
        <v>Aguacate Hass</v>
      </c>
      <c r="Q66" s="212" t="s">
        <v>142</v>
      </c>
      <c r="R66" s="212" t="s">
        <v>142</v>
      </c>
      <c r="S66" s="212"/>
      <c r="T66" s="212"/>
      <c r="U66" s="212"/>
      <c r="V66" s="212" t="s">
        <v>142</v>
      </c>
      <c r="W66" s="212"/>
      <c r="X66" s="213">
        <v>50</v>
      </c>
    </row>
    <row r="67" spans="1:24" ht="15">
      <c r="A67" s="211" t="s">
        <v>3766</v>
      </c>
      <c r="B67" s="225" t="s">
        <v>98</v>
      </c>
      <c r="C67" s="216" t="s">
        <v>53</v>
      </c>
      <c r="D67" s="216" t="s">
        <v>145</v>
      </c>
      <c r="E67" s="216" t="s">
        <v>146</v>
      </c>
      <c r="F67" s="216" t="s">
        <v>167</v>
      </c>
      <c r="G67" s="216" t="s">
        <v>118</v>
      </c>
      <c r="H67" s="216" t="s">
        <v>168</v>
      </c>
      <c r="I67" s="216" t="s">
        <v>169</v>
      </c>
      <c r="J67" s="216" t="s">
        <v>170</v>
      </c>
      <c r="K67" s="218" t="s">
        <v>227</v>
      </c>
      <c r="L67" s="216" t="s">
        <v>172</v>
      </c>
      <c r="M67" s="217">
        <v>11</v>
      </c>
      <c r="N67" s="442" cm="1">
        <f t="array" ref="N67">IF(TRIM(K67)="Mano de Obra",IF(Formulario!$L$23&lt;&gt;"",Formulario!$L$23,IFERROR(VLOOKUP(TRIM($M$4),Jornalesdeppto!A:C,3,0),"")),_xlfn.XLOOKUP(1,(Tabla_Costos_Insumos!$A$2:$A$3199=TRIM($M$4))*(Tabla_Costos_Insumos!$C$2:$C$3199=TRIM(K67)),Tabla_Costos_Insumos!$E$2:$E$3199,"",0))</f>
        <v>153430.65</v>
      </c>
      <c r="O67" s="442">
        <f t="shared" si="1"/>
        <v>1687737.15</v>
      </c>
      <c r="P67" s="216" t="str">
        <f t="shared" si="2"/>
        <v>Aguacate Hass</v>
      </c>
      <c r="Q67" s="212" t="s">
        <v>142</v>
      </c>
      <c r="R67" s="212" t="s">
        <v>142</v>
      </c>
      <c r="S67" s="212"/>
      <c r="T67" s="212"/>
      <c r="U67" s="212"/>
      <c r="V67" s="212" t="s">
        <v>142</v>
      </c>
      <c r="W67" s="212"/>
      <c r="X67" s="213">
        <v>11</v>
      </c>
    </row>
    <row r="68" spans="1:24" ht="15">
      <c r="A68" s="211" t="s">
        <v>3766</v>
      </c>
      <c r="B68" s="225" t="s">
        <v>98</v>
      </c>
      <c r="C68" s="216" t="s">
        <v>53</v>
      </c>
      <c r="D68" s="216" t="s">
        <v>145</v>
      </c>
      <c r="E68" s="216" t="s">
        <v>146</v>
      </c>
      <c r="F68" s="216" t="s">
        <v>167</v>
      </c>
      <c r="G68" s="216" t="s">
        <v>118</v>
      </c>
      <c r="H68" s="216" t="s">
        <v>174</v>
      </c>
      <c r="I68" s="216" t="s">
        <v>175</v>
      </c>
      <c r="J68" s="216" t="s">
        <v>176</v>
      </c>
      <c r="K68" s="219" t="s">
        <v>177</v>
      </c>
      <c r="L68" s="216" t="s">
        <v>172</v>
      </c>
      <c r="M68" s="217">
        <v>11</v>
      </c>
      <c r="N68" s="442" cm="1">
        <f t="array" ref="N68">IF(TRIM(K68)="Mano de Obra",IF(Formulario!$L$23&lt;&gt;"",Formulario!$L$23,IFERROR(VLOOKUP(TRIM($M$4),Jornalesdeppto!A:C,3,0),"")),_xlfn.XLOOKUP(1,(Tabla_Costos_Insumos!$A$2:$A$3199=TRIM($M$4))*(Tabla_Costos_Insumos!$C$2:$C$3199=TRIM(K68)),Tabla_Costos_Insumos!$E$2:$E$3199,"",0))</f>
        <v>20153.830000000002</v>
      </c>
      <c r="O68" s="442">
        <f t="shared" si="1"/>
        <v>221692.13</v>
      </c>
      <c r="P68" s="216" t="str">
        <f t="shared" si="2"/>
        <v>Aguacate Hass</v>
      </c>
      <c r="Q68" s="212" t="s">
        <v>142</v>
      </c>
      <c r="R68" s="212" t="s">
        <v>142</v>
      </c>
      <c r="S68" s="212"/>
      <c r="T68" s="212"/>
      <c r="U68" s="212"/>
      <c r="V68" s="212" t="s">
        <v>142</v>
      </c>
      <c r="W68" s="212"/>
      <c r="X68" s="213">
        <v>11</v>
      </c>
    </row>
    <row r="69" spans="1:24" ht="15">
      <c r="A69" s="211" t="s">
        <v>3766</v>
      </c>
      <c r="B69" s="225" t="s">
        <v>98</v>
      </c>
      <c r="C69" s="216" t="s">
        <v>53</v>
      </c>
      <c r="D69" s="216" t="s">
        <v>145</v>
      </c>
      <c r="E69" s="216" t="s">
        <v>146</v>
      </c>
      <c r="F69" s="216" t="s">
        <v>167</v>
      </c>
      <c r="G69" s="216" t="s">
        <v>118</v>
      </c>
      <c r="H69" s="216" t="s">
        <v>178</v>
      </c>
      <c r="I69" s="216" t="s">
        <v>179</v>
      </c>
      <c r="J69" s="216" t="s">
        <v>180</v>
      </c>
      <c r="K69" s="218" t="s">
        <v>181</v>
      </c>
      <c r="L69" s="216" t="s">
        <v>172</v>
      </c>
      <c r="M69" s="217">
        <v>3</v>
      </c>
      <c r="N69" s="442" cm="1">
        <f t="array" ref="N69">IF(TRIM(K69)="Mano de Obra",IF(Formulario!$L$23&lt;&gt;"",Formulario!$L$23,IFERROR(VLOOKUP(TRIM($M$4),Jornalesdeppto!A:C,3,0),"")),_xlfn.XLOOKUP(1,(Tabla_Costos_Insumos!$A$2:$A$3199=TRIM($M$4))*(Tabla_Costos_Insumos!$C$2:$C$3199=TRIM(K69)),Tabla_Costos_Insumos!$E$2:$E$3199,"",0))</f>
        <v>34056.25</v>
      </c>
      <c r="O69" s="442">
        <f t="shared" si="1"/>
        <v>102168.75</v>
      </c>
      <c r="P69" s="216" t="str">
        <f t="shared" si="2"/>
        <v>Aguacate Hass</v>
      </c>
      <c r="Q69" s="212" t="s">
        <v>142</v>
      </c>
      <c r="R69" s="212" t="s">
        <v>142</v>
      </c>
      <c r="S69" s="212"/>
      <c r="T69" s="212"/>
      <c r="U69" s="212"/>
      <c r="V69" s="212" t="s">
        <v>142</v>
      </c>
      <c r="W69" s="212"/>
      <c r="X69" s="213">
        <v>3</v>
      </c>
    </row>
    <row r="70" spans="1:24" ht="15">
      <c r="A70" s="211" t="s">
        <v>3766</v>
      </c>
      <c r="B70" s="225" t="s">
        <v>98</v>
      </c>
      <c r="C70" s="216" t="s">
        <v>53</v>
      </c>
      <c r="D70" s="216" t="s">
        <v>145</v>
      </c>
      <c r="E70" s="216" t="s">
        <v>146</v>
      </c>
      <c r="F70" s="216" t="s">
        <v>167</v>
      </c>
      <c r="G70" s="216" t="s">
        <v>118</v>
      </c>
      <c r="H70" s="216" t="s">
        <v>178</v>
      </c>
      <c r="I70" s="216" t="s">
        <v>179</v>
      </c>
      <c r="J70" s="216" t="s">
        <v>180</v>
      </c>
      <c r="K70" s="218" t="s">
        <v>182</v>
      </c>
      <c r="L70" s="216" t="s">
        <v>172</v>
      </c>
      <c r="M70" s="217">
        <v>11</v>
      </c>
      <c r="N70" s="442" cm="1">
        <f t="array" ref="N70">IF(TRIM(K70)="Mano de Obra",IF(Formulario!$L$23&lt;&gt;"",Formulario!$L$23,IFERROR(VLOOKUP(TRIM($M$4),Jornalesdeppto!A:C,3,0),"")),_xlfn.XLOOKUP(1,(Tabla_Costos_Insumos!$A$2:$A$3199=TRIM($M$4))*(Tabla_Costos_Insumos!$C$2:$C$3199=TRIM(K70)),Tabla_Costos_Insumos!$E$2:$E$3199,"",0))</f>
        <v>151029.59</v>
      </c>
      <c r="O70" s="442">
        <f t="shared" si="1"/>
        <v>1661325.49</v>
      </c>
      <c r="P70" s="216" t="str">
        <f t="shared" si="2"/>
        <v>Aguacate Hass</v>
      </c>
      <c r="Q70" s="212" t="s">
        <v>142</v>
      </c>
      <c r="R70" s="212" t="s">
        <v>142</v>
      </c>
      <c r="S70" s="212"/>
      <c r="T70" s="212"/>
      <c r="U70" s="212"/>
      <c r="V70" s="212" t="s">
        <v>142</v>
      </c>
      <c r="W70" s="212"/>
      <c r="X70" s="213">
        <v>11</v>
      </c>
    </row>
    <row r="71" spans="1:24" ht="15">
      <c r="A71" s="211" t="s">
        <v>3766</v>
      </c>
      <c r="B71" s="225" t="s">
        <v>98</v>
      </c>
      <c r="C71" s="216" t="s">
        <v>53</v>
      </c>
      <c r="D71" s="216" t="s">
        <v>145</v>
      </c>
      <c r="E71" s="216" t="s">
        <v>146</v>
      </c>
      <c r="F71" s="216" t="s">
        <v>183</v>
      </c>
      <c r="G71" s="216" t="s">
        <v>184</v>
      </c>
      <c r="H71" s="216" t="s">
        <v>185</v>
      </c>
      <c r="I71" s="216" t="s">
        <v>186</v>
      </c>
      <c r="J71" s="216" t="s">
        <v>105</v>
      </c>
      <c r="K71" s="216" t="s">
        <v>187</v>
      </c>
      <c r="L71" s="216" t="s">
        <v>188</v>
      </c>
      <c r="M71" s="217">
        <v>0.1</v>
      </c>
      <c r="N71" s="442" cm="1">
        <f t="array" ref="N71">IF(TRIM(K71)="Mano de Obra",IF(Formulario!$L$23&lt;&gt;"",Formulario!$L$23,IFERROR(VLOOKUP(TRIM($M$4),Jornalesdeppto!A:C,3,0),"")),_xlfn.XLOOKUP(1,(Tabla_Costos_Insumos!$A$2:$A$3199=TRIM($M$4))*(Tabla_Costos_Insumos!$C$2:$C$3199=TRIM(K71)),Tabla_Costos_Insumos!$E$2:$E$3199,"",0))</f>
        <v>175000</v>
      </c>
      <c r="O71" s="442">
        <f t="shared" si="1"/>
        <v>17500</v>
      </c>
      <c r="P71" s="216" t="str">
        <f t="shared" si="2"/>
        <v>Aguacate Hass</v>
      </c>
      <c r="Q71" s="212" t="s">
        <v>142</v>
      </c>
      <c r="R71" s="212" t="s">
        <v>142</v>
      </c>
      <c r="S71" s="212"/>
      <c r="T71" s="212"/>
      <c r="U71" s="212"/>
      <c r="V71" s="212" t="s">
        <v>142</v>
      </c>
      <c r="W71" s="212"/>
      <c r="X71" s="213">
        <v>0.1</v>
      </c>
    </row>
    <row r="72" spans="1:24" ht="15">
      <c r="A72" s="211" t="s">
        <v>3766</v>
      </c>
      <c r="B72" s="225" t="s">
        <v>98</v>
      </c>
      <c r="C72" s="216" t="s">
        <v>53</v>
      </c>
      <c r="D72" s="216" t="s">
        <v>189</v>
      </c>
      <c r="E72" s="216" t="s">
        <v>190</v>
      </c>
      <c r="F72" s="216" t="s">
        <v>191</v>
      </c>
      <c r="G72" s="216" t="s">
        <v>192</v>
      </c>
      <c r="H72" s="216" t="s">
        <v>193</v>
      </c>
      <c r="I72" s="216" t="s">
        <v>194</v>
      </c>
      <c r="J72" s="216" t="s">
        <v>195</v>
      </c>
      <c r="K72" s="216" t="s">
        <v>196</v>
      </c>
      <c r="L72" s="216" t="s">
        <v>197</v>
      </c>
      <c r="M72" s="217">
        <v>1</v>
      </c>
      <c r="N72" s="442">
        <f>IFERROR(SUM(O54:$O$71)*0.08,0)</f>
        <v>1142744.4154720539</v>
      </c>
      <c r="O72" s="442">
        <f t="shared" si="1"/>
        <v>1142744.4154720539</v>
      </c>
      <c r="P72" s="216" t="str">
        <f t="shared" si="2"/>
        <v>Aguacate Hass</v>
      </c>
      <c r="Q72" s="212" t="s">
        <v>142</v>
      </c>
      <c r="R72" s="212" t="s">
        <v>142</v>
      </c>
      <c r="S72" s="212"/>
      <c r="T72" s="212"/>
      <c r="U72" s="212"/>
      <c r="V72" s="212" t="s">
        <v>142</v>
      </c>
      <c r="W72" s="212"/>
      <c r="X72" s="213">
        <v>1</v>
      </c>
    </row>
    <row r="73" spans="1:24" ht="15">
      <c r="A73" s="211" t="s">
        <v>3766</v>
      </c>
      <c r="B73" s="225" t="s">
        <v>98</v>
      </c>
      <c r="C73" s="216" t="s">
        <v>53</v>
      </c>
      <c r="D73" s="216" t="s">
        <v>189</v>
      </c>
      <c r="E73" s="216" t="s">
        <v>190</v>
      </c>
      <c r="F73" s="216" t="s">
        <v>198</v>
      </c>
      <c r="G73" s="216" t="s">
        <v>199</v>
      </c>
      <c r="H73" s="216" t="s">
        <v>200</v>
      </c>
      <c r="I73" s="216" t="s">
        <v>201</v>
      </c>
      <c r="J73" s="216" t="s">
        <v>105</v>
      </c>
      <c r="K73" s="216" t="s">
        <v>202</v>
      </c>
      <c r="L73" s="216" t="s">
        <v>203</v>
      </c>
      <c r="M73" s="217">
        <v>1</v>
      </c>
      <c r="N73" s="442" cm="1">
        <f t="array" ref="N73">IF(TRIM(K73)="Mano de Obra",IF(Formulario!$L$23&lt;&gt;"",Formulario!$L$23,IFERROR(VLOOKUP(TRIM($M$4),Jornalesdeppto!A:C,3,0),"")),_xlfn.XLOOKUP(1,(Tabla_Costos_Insumos!$A$2:$A$3199=TRIM($M$4))*(Tabla_Costos_Insumos!$C$2:$C$3199=TRIM(K73)),Tabla_Costos_Insumos!$E$2:$E$3199,"",0))</f>
        <v>120000</v>
      </c>
      <c r="O73" s="442">
        <f t="shared" si="1"/>
        <v>120000</v>
      </c>
      <c r="P73" s="216" t="str">
        <f t="shared" si="2"/>
        <v>Aguacate Hass</v>
      </c>
      <c r="Q73" s="212" t="s">
        <v>142</v>
      </c>
      <c r="R73" s="212" t="s">
        <v>142</v>
      </c>
      <c r="S73" s="212"/>
      <c r="T73" s="212"/>
      <c r="U73" s="212"/>
      <c r="V73" s="212" t="s">
        <v>142</v>
      </c>
      <c r="W73" s="212"/>
      <c r="X73" s="214"/>
    </row>
    <row r="74" spans="1:24" ht="15">
      <c r="A74" s="211" t="s">
        <v>3766</v>
      </c>
      <c r="B74" s="225" t="s">
        <v>98</v>
      </c>
      <c r="C74" s="216" t="s">
        <v>53</v>
      </c>
      <c r="D74" s="216" t="s">
        <v>189</v>
      </c>
      <c r="E74" s="216" t="s">
        <v>190</v>
      </c>
      <c r="F74" s="216" t="s">
        <v>204</v>
      </c>
      <c r="G74" s="216" t="s">
        <v>205</v>
      </c>
      <c r="H74" s="216" t="s">
        <v>206</v>
      </c>
      <c r="I74" s="216" t="s">
        <v>207</v>
      </c>
      <c r="J74" s="216" t="s">
        <v>4127</v>
      </c>
      <c r="K74" s="216" t="s">
        <v>228</v>
      </c>
      <c r="L74" s="216" t="s">
        <v>197</v>
      </c>
      <c r="M74" s="217">
        <v>1</v>
      </c>
      <c r="N74" s="442">
        <f>$J$4</f>
        <v>500000</v>
      </c>
      <c r="O74" s="442">
        <f t="shared" si="1"/>
        <v>500000</v>
      </c>
      <c r="P74" s="216" t="str">
        <f t="shared" si="2"/>
        <v>Aguacate Hass</v>
      </c>
      <c r="Q74" s="212" t="s">
        <v>142</v>
      </c>
      <c r="R74" s="212" t="s">
        <v>142</v>
      </c>
      <c r="S74" s="212"/>
      <c r="T74" s="212"/>
      <c r="U74" s="212"/>
      <c r="V74" s="212" t="s">
        <v>142</v>
      </c>
      <c r="W74" s="212"/>
      <c r="X74" s="214"/>
    </row>
    <row r="75" spans="1:24" ht="15">
      <c r="A75" s="211" t="s">
        <v>3766</v>
      </c>
      <c r="B75" s="225" t="s">
        <v>98</v>
      </c>
      <c r="C75" s="220" t="s">
        <v>68</v>
      </c>
      <c r="D75" s="220" t="s">
        <v>99</v>
      </c>
      <c r="E75" s="220" t="s">
        <v>100</v>
      </c>
      <c r="F75" s="220" t="s">
        <v>101</v>
      </c>
      <c r="G75" s="220" t="s">
        <v>102</v>
      </c>
      <c r="H75" s="220" t="s">
        <v>103</v>
      </c>
      <c r="I75" s="220" t="s">
        <v>104</v>
      </c>
      <c r="J75" s="220" t="s">
        <v>105</v>
      </c>
      <c r="K75" s="220" t="s">
        <v>106</v>
      </c>
      <c r="L75" s="220" t="s">
        <v>107</v>
      </c>
      <c r="M75" s="221">
        <f t="shared" ref="M75:M84" si="20">IF(W75&lt;&gt;"", W75, ROUNDUP(X75*T75, 0))</f>
        <v>3</v>
      </c>
      <c r="N75" s="443" cm="1">
        <f t="array" ref="N75">IF(TRIM(K75)="Mano de Obra",IF(Formulario!$L$23&lt;&gt;"",Formulario!$L$23,IFERROR(VLOOKUP(TRIM($M$4),Jornalesdeppto!A:C,3,0),"")),_xlfn.XLOOKUP(1,(Tabla_Costos_Insumos!$A$2:$A$3199=TRIM($M$4))*(Tabla_Costos_Insumos!$C$2:$C$3199=TRIM(K75)),Tabla_Costos_Insumos!$E$2:$E$3199,"",0))</f>
        <v>46666.666666666664</v>
      </c>
      <c r="O75" s="443">
        <f t="shared" si="1"/>
        <v>140000</v>
      </c>
      <c r="P75" s="220" t="str">
        <f t="shared" si="2"/>
        <v>Aguacate Hass</v>
      </c>
      <c r="Q75" s="212" t="s">
        <v>108</v>
      </c>
      <c r="R75" s="212">
        <v>7</v>
      </c>
      <c r="S75" s="212" t="str">
        <f t="shared" ref="S75:S79" si="21">IF($M$3="Aguacate Hass",($I$3*R75) / 480,"")</f>
        <v/>
      </c>
      <c r="T75" s="212" cm="1">
        <f t="array" ref="T75">_xlfn.IFS($D$5&lt;=7, 1.1, $D$5&lt;=12,1.2, $D$5&lt;=25, 1.3, $D$5&gt;25,1.4)</f>
        <v>1.3</v>
      </c>
      <c r="U75" s="212" t="str">
        <f t="shared" ref="U75:U81" si="22">IFERROR(S75*T75,"")</f>
        <v/>
      </c>
      <c r="V75" s="212">
        <v>1</v>
      </c>
      <c r="W75" s="212" t="str">
        <f t="shared" ref="W75:W79" si="23">IFERROR(ROUNDUP(V75*U75,0),"")</f>
        <v/>
      </c>
      <c r="X75" s="214">
        <v>2</v>
      </c>
    </row>
    <row r="76" spans="1:24" ht="15">
      <c r="A76" s="211" t="s">
        <v>3766</v>
      </c>
      <c r="B76" s="225" t="s">
        <v>98</v>
      </c>
      <c r="C76" s="220" t="s">
        <v>68</v>
      </c>
      <c r="D76" s="220" t="s">
        <v>99</v>
      </c>
      <c r="E76" s="220" t="s">
        <v>100</v>
      </c>
      <c r="F76" s="220" t="s">
        <v>109</v>
      </c>
      <c r="G76" s="220" t="s">
        <v>110</v>
      </c>
      <c r="H76" s="220" t="s">
        <v>111</v>
      </c>
      <c r="I76" s="220" t="s">
        <v>112</v>
      </c>
      <c r="J76" s="220" t="s">
        <v>105</v>
      </c>
      <c r="K76" s="220" t="s">
        <v>106</v>
      </c>
      <c r="L76" s="220" t="s">
        <v>107</v>
      </c>
      <c r="M76" s="221">
        <f t="shared" si="20"/>
        <v>21</v>
      </c>
      <c r="N76" s="443" cm="1">
        <f t="array" ref="N76">IF(TRIM(K76)="Mano de Obra",IF(Formulario!$L$23&lt;&gt;"",Formulario!$L$23,IFERROR(VLOOKUP(TRIM($M$4),Jornalesdeppto!A:C,3,0),"")),_xlfn.XLOOKUP(1,(Tabla_Costos_Insumos!$A$2:$A$3199=TRIM($M$4))*(Tabla_Costos_Insumos!$C$2:$C$3199=TRIM(K76)),Tabla_Costos_Insumos!$E$2:$E$3199,"",0))</f>
        <v>46666.666666666664</v>
      </c>
      <c r="O76" s="443">
        <f t="shared" si="1"/>
        <v>980000</v>
      </c>
      <c r="P76" s="220" t="str">
        <f t="shared" si="2"/>
        <v>Aguacate Hass</v>
      </c>
      <c r="Q76" s="212" t="s">
        <v>108</v>
      </c>
      <c r="R76" s="212">
        <v>0.4</v>
      </c>
      <c r="S76" s="212" t="str">
        <f t="shared" si="21"/>
        <v/>
      </c>
      <c r="T76" s="212" cm="1">
        <f t="array" ref="T76">_xlfn.IFS($D$5&lt;=7, 1.1, $D$5&lt;=12,1.2, $D$5&lt;=25, 1.3, $D$5&gt;25,1.4)</f>
        <v>1.3</v>
      </c>
      <c r="U76" s="212" t="str">
        <f t="shared" si="22"/>
        <v/>
      </c>
      <c r="V76" s="212">
        <v>2</v>
      </c>
      <c r="W76" s="212" t="str">
        <f t="shared" si="23"/>
        <v/>
      </c>
      <c r="X76" s="214">
        <v>16</v>
      </c>
    </row>
    <row r="77" spans="1:24" ht="15">
      <c r="A77" s="211" t="s">
        <v>3766</v>
      </c>
      <c r="B77" s="225" t="s">
        <v>98</v>
      </c>
      <c r="C77" s="220" t="s">
        <v>68</v>
      </c>
      <c r="D77" s="220" t="s">
        <v>99</v>
      </c>
      <c r="E77" s="220" t="s">
        <v>100</v>
      </c>
      <c r="F77" s="220" t="s">
        <v>113</v>
      </c>
      <c r="G77" s="220" t="s">
        <v>114</v>
      </c>
      <c r="H77" s="220" t="s">
        <v>115</v>
      </c>
      <c r="I77" s="220" t="s">
        <v>116</v>
      </c>
      <c r="J77" s="220" t="s">
        <v>105</v>
      </c>
      <c r="K77" s="220" t="s">
        <v>106</v>
      </c>
      <c r="L77" s="220" t="s">
        <v>107</v>
      </c>
      <c r="M77" s="221">
        <f t="shared" si="20"/>
        <v>11</v>
      </c>
      <c r="N77" s="443" cm="1">
        <f t="array" ref="N77">IF(TRIM(K77)="Mano de Obra",IF(Formulario!$L$23&lt;&gt;"",Formulario!$L$23,IFERROR(VLOOKUP(TRIM($M$4),Jornalesdeppto!A:C,3,0),"")),_xlfn.XLOOKUP(1,(Tabla_Costos_Insumos!$A$2:$A$3199=TRIM($M$4))*(Tabla_Costos_Insumos!$C$2:$C$3199=TRIM(K77)),Tabla_Costos_Insumos!$E$2:$E$3199,"",0))</f>
        <v>46666.666666666664</v>
      </c>
      <c r="O77" s="443">
        <f t="shared" si="1"/>
        <v>513333.33333333331</v>
      </c>
      <c r="P77" s="220" t="str">
        <f t="shared" si="2"/>
        <v>Aguacate Hass</v>
      </c>
      <c r="Q77" s="212" t="s">
        <v>108</v>
      </c>
      <c r="R77" s="212">
        <v>3</v>
      </c>
      <c r="S77" s="212" t="str">
        <f t="shared" si="21"/>
        <v/>
      </c>
      <c r="T77" s="212" cm="1">
        <f t="array" ref="T77">_xlfn.IFS($D$5&lt;=7, 1.1, $D$5&lt;=12,1.2, $D$5&lt;=25, 1.3, $D$5&gt;25,1.4)</f>
        <v>1.3</v>
      </c>
      <c r="U77" s="212" t="str">
        <f t="shared" si="22"/>
        <v/>
      </c>
      <c r="V77" s="212">
        <v>2</v>
      </c>
      <c r="W77" s="212" t="str">
        <f t="shared" si="23"/>
        <v/>
      </c>
      <c r="X77" s="214">
        <v>8</v>
      </c>
    </row>
    <row r="78" spans="1:24" ht="15">
      <c r="A78" s="211" t="s">
        <v>3766</v>
      </c>
      <c r="B78" s="225" t="s">
        <v>98</v>
      </c>
      <c r="C78" s="220" t="s">
        <v>68</v>
      </c>
      <c r="D78" s="220" t="s">
        <v>99</v>
      </c>
      <c r="E78" s="220" t="s">
        <v>100</v>
      </c>
      <c r="F78" s="220" t="s">
        <v>117</v>
      </c>
      <c r="G78" s="220" t="s">
        <v>118</v>
      </c>
      <c r="H78" s="220" t="s">
        <v>119</v>
      </c>
      <c r="I78" s="220" t="s">
        <v>120</v>
      </c>
      <c r="J78" s="220" t="s">
        <v>105</v>
      </c>
      <c r="K78" s="220" t="s">
        <v>106</v>
      </c>
      <c r="L78" s="220" t="s">
        <v>107</v>
      </c>
      <c r="M78" s="221">
        <f t="shared" si="20"/>
        <v>21</v>
      </c>
      <c r="N78" s="443" cm="1">
        <f t="array" ref="N78">IF(TRIM(K78)="Mano de Obra",IF(Formulario!$L$23&lt;&gt;"",Formulario!$L$23,IFERROR(VLOOKUP(TRIM($M$4),Jornalesdeppto!A:C,3,0),"")),_xlfn.XLOOKUP(1,(Tabla_Costos_Insumos!$A$2:$A$3199=TRIM($M$4))*(Tabla_Costos_Insumos!$C$2:$C$3199=TRIM(K78)),Tabla_Costos_Insumos!$E$2:$E$3199,"",0))</f>
        <v>46666.666666666664</v>
      </c>
      <c r="O78" s="443">
        <f t="shared" si="1"/>
        <v>980000</v>
      </c>
      <c r="P78" s="220" t="str">
        <f t="shared" si="2"/>
        <v>Aguacate Hass</v>
      </c>
      <c r="Q78" s="212" t="s">
        <v>108</v>
      </c>
      <c r="R78" s="212">
        <v>4</v>
      </c>
      <c r="S78" s="212" t="str">
        <f t="shared" si="21"/>
        <v/>
      </c>
      <c r="T78" s="212" cm="1">
        <f t="array" ref="T78">_xlfn.IFS($D$5&lt;=7, 1.1, $D$5&lt;=12,1.2, $D$5&lt;=25, 1.3, $D$5&gt;25,1.4)</f>
        <v>1.3</v>
      </c>
      <c r="U78" s="212" t="str">
        <f t="shared" si="22"/>
        <v/>
      </c>
      <c r="V78" s="212">
        <v>9</v>
      </c>
      <c r="W78" s="212" t="str">
        <f t="shared" si="23"/>
        <v/>
      </c>
      <c r="X78" s="214">
        <v>16</v>
      </c>
    </row>
    <row r="79" spans="1:24" ht="15">
      <c r="A79" s="211" t="s">
        <v>3766</v>
      </c>
      <c r="B79" s="225" t="s">
        <v>98</v>
      </c>
      <c r="C79" s="220" t="s">
        <v>68</v>
      </c>
      <c r="D79" s="220" t="s">
        <v>99</v>
      </c>
      <c r="E79" s="220" t="s">
        <v>100</v>
      </c>
      <c r="F79" s="220" t="s">
        <v>117</v>
      </c>
      <c r="G79" s="220" t="s">
        <v>118</v>
      </c>
      <c r="H79" s="220" t="s">
        <v>121</v>
      </c>
      <c r="I79" s="220" t="s">
        <v>122</v>
      </c>
      <c r="J79" s="220" t="s">
        <v>105</v>
      </c>
      <c r="K79" s="220" t="s">
        <v>106</v>
      </c>
      <c r="L79" s="220" t="s">
        <v>107</v>
      </c>
      <c r="M79" s="221">
        <f t="shared" si="20"/>
        <v>21</v>
      </c>
      <c r="N79" s="443" cm="1">
        <f t="array" ref="N79">IF(TRIM(K79)="Mano de Obra",IF(Formulario!$L$23&lt;&gt;"",Formulario!$L$23,IFERROR(VLOOKUP(TRIM($M$4),Jornalesdeppto!A:C,3,0),"")),_xlfn.XLOOKUP(1,(Tabla_Costos_Insumos!$A$2:$A$3199=TRIM($M$4))*(Tabla_Costos_Insumos!$C$2:$C$3199=TRIM(K79)),Tabla_Costos_Insumos!$E$2:$E$3199,"",0))</f>
        <v>46666.666666666664</v>
      </c>
      <c r="O79" s="443">
        <f t="shared" si="1"/>
        <v>980000</v>
      </c>
      <c r="P79" s="220" t="str">
        <f t="shared" si="2"/>
        <v>Aguacate Hass</v>
      </c>
      <c r="Q79" s="212" t="s">
        <v>108</v>
      </c>
      <c r="R79" s="212">
        <v>4</v>
      </c>
      <c r="S79" s="212" t="str">
        <f t="shared" si="21"/>
        <v/>
      </c>
      <c r="T79" s="212" cm="1">
        <f t="array" ref="T79">_xlfn.IFS($D$5&lt;=7, 1.1, $D$5&lt;=12,1.2, $D$5&lt;=25, 1.3, $D$5&gt;25,1.4)</f>
        <v>1.3</v>
      </c>
      <c r="U79" s="212" t="str">
        <f t="shared" si="22"/>
        <v/>
      </c>
      <c r="V79" s="212">
        <v>9</v>
      </c>
      <c r="W79" s="212" t="str">
        <f t="shared" si="23"/>
        <v/>
      </c>
      <c r="X79" s="214">
        <v>16</v>
      </c>
    </row>
    <row r="80" spans="1:24" ht="15">
      <c r="A80" s="211" t="s">
        <v>3766</v>
      </c>
      <c r="B80" s="225" t="s">
        <v>98</v>
      </c>
      <c r="C80" s="220" t="s">
        <v>68</v>
      </c>
      <c r="D80" s="220" t="s">
        <v>99</v>
      </c>
      <c r="E80" s="220" t="s">
        <v>100</v>
      </c>
      <c r="F80" s="220" t="s">
        <v>123</v>
      </c>
      <c r="G80" s="220" t="s">
        <v>124</v>
      </c>
      <c r="H80" s="220" t="s">
        <v>125</v>
      </c>
      <c r="I80" s="220" t="s">
        <v>126</v>
      </c>
      <c r="J80" s="220" t="s">
        <v>105</v>
      </c>
      <c r="K80" s="220" t="s">
        <v>106</v>
      </c>
      <c r="L80" s="220" t="s">
        <v>107</v>
      </c>
      <c r="M80" s="221">
        <f t="shared" si="20"/>
        <v>7</v>
      </c>
      <c r="N80" s="443" cm="1">
        <f t="array" ref="N80">IF(TRIM(K80)="Mano de Obra",IF(Formulario!$L$23&lt;&gt;"",Formulario!$L$23,IFERROR(VLOOKUP(TRIM($M$4),Jornalesdeppto!A:C,3,0),"")),_xlfn.XLOOKUP(1,(Tabla_Costos_Insumos!$A$2:$A$3199=TRIM($M$4))*(Tabla_Costos_Insumos!$C$2:$C$3199=TRIM(K80)),Tabla_Costos_Insumos!$E$2:$E$3199,"",0))</f>
        <v>46666.666666666664</v>
      </c>
      <c r="O80" s="443">
        <f t="shared" si="1"/>
        <v>326666.66666666663</v>
      </c>
      <c r="P80" s="220" t="str">
        <f t="shared" si="2"/>
        <v>Aguacate Hass</v>
      </c>
      <c r="Q80" s="212" t="s">
        <v>127</v>
      </c>
      <c r="R80" s="212">
        <v>0.09</v>
      </c>
      <c r="S80" s="212">
        <f t="shared" ref="S80:S81" si="24">10000*R80/480</f>
        <v>1.875</v>
      </c>
      <c r="T80" s="212" cm="1">
        <f t="array" ref="T80">_xlfn.IFS($D$5&lt;=7, 1.1, $D$5&lt;=12,1.2, $D$5&lt;=25, 1.3, $D$5&gt;25,1.4)</f>
        <v>1.3</v>
      </c>
      <c r="U80" s="212">
        <f t="shared" si="22"/>
        <v>2.4375</v>
      </c>
      <c r="V80" s="212">
        <v>2</v>
      </c>
      <c r="W80" s="212"/>
      <c r="X80" s="214">
        <v>5</v>
      </c>
    </row>
    <row r="81" spans="1:24" ht="15">
      <c r="A81" s="211" t="s">
        <v>3766</v>
      </c>
      <c r="B81" s="225" t="s">
        <v>98</v>
      </c>
      <c r="C81" s="220" t="s">
        <v>68</v>
      </c>
      <c r="D81" s="220" t="s">
        <v>99</v>
      </c>
      <c r="E81" s="220" t="s">
        <v>100</v>
      </c>
      <c r="F81" s="220" t="s">
        <v>123</v>
      </c>
      <c r="G81" s="220" t="s">
        <v>124</v>
      </c>
      <c r="H81" s="220" t="s">
        <v>128</v>
      </c>
      <c r="I81" s="220" t="s">
        <v>129</v>
      </c>
      <c r="J81" s="220" t="s">
        <v>105</v>
      </c>
      <c r="K81" s="220" t="s">
        <v>106</v>
      </c>
      <c r="L81" s="220" t="s">
        <v>107</v>
      </c>
      <c r="M81" s="221">
        <f t="shared" si="20"/>
        <v>26</v>
      </c>
      <c r="N81" s="443" cm="1">
        <f t="array" ref="N81">IF(TRIM(K81)="Mano de Obra",IF(Formulario!$L$23&lt;&gt;"",Formulario!$L$23,IFERROR(VLOOKUP(TRIM($M$4),Jornalesdeppto!A:C,3,0),"")),_xlfn.XLOOKUP(1,(Tabla_Costos_Insumos!$A$2:$A$3199=TRIM($M$4))*(Tabla_Costos_Insumos!$C$2:$C$3199=TRIM(K81)),Tabla_Costos_Insumos!$E$2:$E$3199,"",0))</f>
        <v>46666.666666666664</v>
      </c>
      <c r="O81" s="443">
        <f t="shared" si="1"/>
        <v>1213333.3333333333</v>
      </c>
      <c r="P81" s="220" t="str">
        <f t="shared" si="2"/>
        <v>Aguacate Hass</v>
      </c>
      <c r="Q81" s="212" t="s">
        <v>127</v>
      </c>
      <c r="R81" s="212">
        <v>0.09</v>
      </c>
      <c r="S81" s="212">
        <f t="shared" si="24"/>
        <v>1.875</v>
      </c>
      <c r="T81" s="212" cm="1">
        <f t="array" ref="T81">_xlfn.IFS($D$5&lt;=7, 1.1, $D$5&lt;=12,1.2, $D$5&lt;=25, 1.3, $D$5&gt;25,1.4)</f>
        <v>1.3</v>
      </c>
      <c r="U81" s="212">
        <f t="shared" si="22"/>
        <v>2.4375</v>
      </c>
      <c r="V81" s="212">
        <v>2</v>
      </c>
      <c r="W81" s="212"/>
      <c r="X81" s="214">
        <v>20</v>
      </c>
    </row>
    <row r="82" spans="1:24" ht="15">
      <c r="A82" s="211" t="s">
        <v>3766</v>
      </c>
      <c r="B82" s="225" t="s">
        <v>98</v>
      </c>
      <c r="C82" s="220" t="s">
        <v>68</v>
      </c>
      <c r="D82" s="220" t="s">
        <v>99</v>
      </c>
      <c r="E82" s="220" t="s">
        <v>100</v>
      </c>
      <c r="F82" s="220" t="s">
        <v>130</v>
      </c>
      <c r="G82" s="220" t="s">
        <v>131</v>
      </c>
      <c r="H82" s="220" t="s">
        <v>132</v>
      </c>
      <c r="I82" s="220" t="s">
        <v>133</v>
      </c>
      <c r="J82" s="220" t="s">
        <v>105</v>
      </c>
      <c r="K82" s="220" t="s">
        <v>106</v>
      </c>
      <c r="L82" s="220" t="s">
        <v>107</v>
      </c>
      <c r="M82" s="221">
        <f t="shared" si="20"/>
        <v>6</v>
      </c>
      <c r="N82" s="443" cm="1">
        <f t="array" ref="N82">IF(TRIM(K82)="Mano de Obra",IF(Formulario!$L$23&lt;&gt;"",Formulario!$L$23,IFERROR(VLOOKUP(TRIM($M$4),Jornalesdeppto!A:C,3,0),"")),_xlfn.XLOOKUP(1,(Tabla_Costos_Insumos!$A$2:$A$3199=TRIM($M$4))*(Tabla_Costos_Insumos!$C$2:$C$3199=TRIM(K82)),Tabla_Costos_Insumos!$E$2:$E$3199,"",0))</f>
        <v>46666.666666666664</v>
      </c>
      <c r="O82" s="443">
        <f t="shared" ref="O82:O145" si="25">IF(OR(N82=0,N82=""),"",N82*M82)</f>
        <v>280000</v>
      </c>
      <c r="P82" s="220" t="str">
        <f t="shared" ref="P82:P97" si="26">CONCATENATE(A82," ",B82)</f>
        <v>Aguacate Hass</v>
      </c>
      <c r="Q82" s="212" t="s">
        <v>108</v>
      </c>
      <c r="R82" s="212">
        <v>1.5</v>
      </c>
      <c r="S82" s="212" t="str">
        <f t="shared" ref="S82:S84" si="27">IF($M$3="Aguacate Hass",($I$3*R82) / 480,"")</f>
        <v/>
      </c>
      <c r="T82" s="212" cm="1">
        <f t="array" ref="T82">_xlfn.IFS($D$5&lt;=7, 1.1, $D$5&lt;=12,1.2, $D$5&lt;=25, 1.3, $D$5&gt;25,1.4)</f>
        <v>1.3</v>
      </c>
      <c r="U82" s="212" t="str">
        <f t="shared" ref="U82:U84" si="28">IFERROR(S82*T82,"")</f>
        <v/>
      </c>
      <c r="V82" s="212">
        <v>4</v>
      </c>
      <c r="W82" s="212" t="str">
        <f t="shared" ref="W82:W84" si="29">IFERROR(ROUNDUP(V82*U82,0),"")</f>
        <v/>
      </c>
      <c r="X82" s="214">
        <v>4</v>
      </c>
    </row>
    <row r="83" spans="1:24" ht="15">
      <c r="A83" s="211" t="s">
        <v>3766</v>
      </c>
      <c r="B83" s="225" t="s">
        <v>98</v>
      </c>
      <c r="C83" s="220" t="s">
        <v>68</v>
      </c>
      <c r="D83" s="220" t="s">
        <v>99</v>
      </c>
      <c r="E83" s="220" t="s">
        <v>100</v>
      </c>
      <c r="F83" s="220" t="s">
        <v>130</v>
      </c>
      <c r="G83" s="220" t="s">
        <v>131</v>
      </c>
      <c r="H83" s="220" t="s">
        <v>134</v>
      </c>
      <c r="I83" s="220" t="s">
        <v>135</v>
      </c>
      <c r="J83" s="220" t="s">
        <v>105</v>
      </c>
      <c r="K83" s="220" t="s">
        <v>106</v>
      </c>
      <c r="L83" s="220" t="s">
        <v>107</v>
      </c>
      <c r="M83" s="221">
        <f t="shared" si="20"/>
        <v>6</v>
      </c>
      <c r="N83" s="443" cm="1">
        <f t="array" ref="N83">IF(TRIM(K83)="Mano de Obra",IF(Formulario!$L$23&lt;&gt;"",Formulario!$L$23,IFERROR(VLOOKUP(TRIM($M$4),Jornalesdeppto!A:C,3,0),"")),_xlfn.XLOOKUP(1,(Tabla_Costos_Insumos!$A$2:$A$3199=TRIM($M$4))*(Tabla_Costos_Insumos!$C$2:$C$3199=TRIM(K83)),Tabla_Costos_Insumos!$E$2:$E$3199,"",0))</f>
        <v>46666.666666666664</v>
      </c>
      <c r="O83" s="443">
        <f t="shared" si="25"/>
        <v>280000</v>
      </c>
      <c r="P83" s="220" t="str">
        <f t="shared" si="26"/>
        <v>Aguacate Hass</v>
      </c>
      <c r="Q83" s="212" t="s">
        <v>108</v>
      </c>
      <c r="R83" s="212">
        <v>1.5</v>
      </c>
      <c r="S83" s="212" t="str">
        <f t="shared" si="27"/>
        <v/>
      </c>
      <c r="T83" s="212" cm="1">
        <f t="array" ref="T83">_xlfn.IFS($D$5&lt;=7, 1.1, $D$5&lt;=12,1.2, $D$5&lt;=25, 1.3, $D$5&gt;25,1.4)</f>
        <v>1.3</v>
      </c>
      <c r="U83" s="212" t="str">
        <f t="shared" si="28"/>
        <v/>
      </c>
      <c r="V83" s="212">
        <v>4</v>
      </c>
      <c r="W83" s="212" t="str">
        <f t="shared" si="29"/>
        <v/>
      </c>
      <c r="X83" s="214">
        <v>4</v>
      </c>
    </row>
    <row r="84" spans="1:24" ht="15">
      <c r="A84" s="211" t="s">
        <v>3766</v>
      </c>
      <c r="B84" s="225" t="s">
        <v>98</v>
      </c>
      <c r="C84" s="220" t="s">
        <v>68</v>
      </c>
      <c r="D84" s="220" t="s">
        <v>99</v>
      </c>
      <c r="E84" s="220" t="s">
        <v>100</v>
      </c>
      <c r="F84" s="220" t="s">
        <v>130</v>
      </c>
      <c r="G84" s="220" t="s">
        <v>131</v>
      </c>
      <c r="H84" s="220" t="s">
        <v>136</v>
      </c>
      <c r="I84" s="220" t="s">
        <v>137</v>
      </c>
      <c r="J84" s="220" t="s">
        <v>105</v>
      </c>
      <c r="K84" s="220" t="s">
        <v>106</v>
      </c>
      <c r="L84" s="220" t="s">
        <v>107</v>
      </c>
      <c r="M84" s="221">
        <f t="shared" si="20"/>
        <v>6</v>
      </c>
      <c r="N84" s="443" cm="1">
        <f t="array" ref="N84">IF(TRIM(K84)="Mano de Obra",IF(Formulario!$L$23&lt;&gt;"",Formulario!$L$23,IFERROR(VLOOKUP(TRIM($M$4),Jornalesdeppto!A:C,3,0),"")),_xlfn.XLOOKUP(1,(Tabla_Costos_Insumos!$A$2:$A$3199=TRIM($M$4))*(Tabla_Costos_Insumos!$C$2:$C$3199=TRIM(K84)),Tabla_Costos_Insumos!$E$2:$E$3199,"",0))</f>
        <v>46666.666666666664</v>
      </c>
      <c r="O84" s="443">
        <f t="shared" si="25"/>
        <v>280000</v>
      </c>
      <c r="P84" s="220" t="str">
        <f t="shared" si="26"/>
        <v>Aguacate Hass</v>
      </c>
      <c r="Q84" s="212" t="s">
        <v>108</v>
      </c>
      <c r="R84" s="212">
        <v>4</v>
      </c>
      <c r="S84" s="212" t="str">
        <f t="shared" si="27"/>
        <v/>
      </c>
      <c r="T84" s="212" cm="1">
        <f t="array" ref="T84">_xlfn.IFS($D$5&lt;=7, 1.1, $D$5&lt;=12,1.2, $D$5&lt;=25, 1.3, $D$5&gt;25,1.4)</f>
        <v>1.3</v>
      </c>
      <c r="U84" s="212" t="str">
        <f t="shared" si="28"/>
        <v/>
      </c>
      <c r="V84" s="212">
        <v>3</v>
      </c>
      <c r="W84" s="212" t="str">
        <f t="shared" si="29"/>
        <v/>
      </c>
      <c r="X84" s="214">
        <v>4</v>
      </c>
    </row>
    <row r="85" spans="1:24" ht="15">
      <c r="A85" s="211" t="s">
        <v>3766</v>
      </c>
      <c r="B85" s="225" t="s">
        <v>98</v>
      </c>
      <c r="C85" s="220" t="s">
        <v>68</v>
      </c>
      <c r="D85" s="220" t="s">
        <v>145</v>
      </c>
      <c r="E85" s="220" t="s">
        <v>146</v>
      </c>
      <c r="F85" s="220" t="s">
        <v>147</v>
      </c>
      <c r="G85" s="220" t="s">
        <v>131</v>
      </c>
      <c r="H85" s="220" t="s">
        <v>229</v>
      </c>
      <c r="I85" s="220" t="s">
        <v>153</v>
      </c>
      <c r="J85" s="220" t="s">
        <v>149</v>
      </c>
      <c r="K85" s="220" t="s">
        <v>4110</v>
      </c>
      <c r="L85" s="220" t="s">
        <v>151</v>
      </c>
      <c r="M85" s="221">
        <v>5</v>
      </c>
      <c r="N85" s="443" cm="1">
        <f t="array" ref="N85">IF(TRIM(K85)="Mano de Obra",IF(Formulario!$L$23&lt;&gt;"",Formulario!$L$23,IFERROR(VLOOKUP(TRIM($M$4),Jornalesdeppto!A:C,3,0),"")),_xlfn.XLOOKUP(1,(Tabla_Costos_Insumos!$A$2:$A$3199=TRIM($M$4))*(Tabla_Costos_Insumos!$C$2:$C$3199=TRIM(K85)),Tabla_Costos_Insumos!$E$2:$E$3199,"",0))</f>
        <v>125849.2424242409</v>
      </c>
      <c r="O85" s="443">
        <f t="shared" si="25"/>
        <v>629246.21212120447</v>
      </c>
      <c r="P85" s="220" t="str">
        <f t="shared" si="26"/>
        <v>Aguacate Hass</v>
      </c>
      <c r="Q85" s="212" t="s">
        <v>142</v>
      </c>
      <c r="R85" s="212" t="s">
        <v>142</v>
      </c>
      <c r="S85" s="212"/>
      <c r="T85" s="212"/>
      <c r="U85" s="212"/>
      <c r="V85" s="212" t="s">
        <v>142</v>
      </c>
      <c r="W85" s="212"/>
      <c r="X85" s="214">
        <v>5</v>
      </c>
    </row>
    <row r="86" spans="1:24" ht="15">
      <c r="A86" s="211" t="s">
        <v>3766</v>
      </c>
      <c r="B86" s="225" t="s">
        <v>98</v>
      </c>
      <c r="C86" s="220" t="s">
        <v>68</v>
      </c>
      <c r="D86" s="220" t="s">
        <v>145</v>
      </c>
      <c r="E86" s="220" t="s">
        <v>146</v>
      </c>
      <c r="F86" s="220" t="s">
        <v>147</v>
      </c>
      <c r="G86" s="220" t="s">
        <v>131</v>
      </c>
      <c r="H86" s="220" t="s">
        <v>148</v>
      </c>
      <c r="I86" s="220" t="s">
        <v>299</v>
      </c>
      <c r="J86" s="220" t="s">
        <v>149</v>
      </c>
      <c r="K86" s="220" t="s">
        <v>150</v>
      </c>
      <c r="L86" s="220" t="s">
        <v>151</v>
      </c>
      <c r="M86" s="221">
        <v>1</v>
      </c>
      <c r="N86" s="443" cm="1">
        <f t="array" ref="N86">IF(TRIM(K86)="Mano de Obra",IF(Formulario!$L$23&lt;&gt;"",Formulario!$L$23,IFERROR(VLOOKUP(TRIM($M$4),Jornalesdeppto!A:C,3,0),"")),_xlfn.XLOOKUP(1,(Tabla_Costos_Insumos!$A$2:$A$3199=TRIM($M$4))*(Tabla_Costos_Insumos!$C$2:$C$3199=TRIM(K86)),Tabla_Costos_Insumos!$E$2:$E$3199,"",0))</f>
        <v>198055.68333333</v>
      </c>
      <c r="O86" s="443">
        <f t="shared" si="25"/>
        <v>198055.68333333</v>
      </c>
      <c r="P86" s="220" t="str">
        <f t="shared" si="26"/>
        <v>Aguacate Hass</v>
      </c>
      <c r="Q86" s="212" t="s">
        <v>142</v>
      </c>
      <c r="R86" s="212" t="s">
        <v>142</v>
      </c>
      <c r="S86" s="212"/>
      <c r="T86" s="212"/>
      <c r="U86" s="212"/>
      <c r="V86" s="212" t="s">
        <v>142</v>
      </c>
      <c r="W86" s="212"/>
      <c r="X86" s="214">
        <v>1</v>
      </c>
    </row>
    <row r="87" spans="1:24" ht="15">
      <c r="A87" s="211" t="s">
        <v>3766</v>
      </c>
      <c r="B87" s="225" t="s">
        <v>98</v>
      </c>
      <c r="C87" s="220" t="s">
        <v>68</v>
      </c>
      <c r="D87" s="220" t="s">
        <v>145</v>
      </c>
      <c r="E87" s="220" t="s">
        <v>146</v>
      </c>
      <c r="F87" s="220" t="s">
        <v>147</v>
      </c>
      <c r="G87" s="220" t="s">
        <v>131</v>
      </c>
      <c r="H87" s="220" t="s">
        <v>154</v>
      </c>
      <c r="I87" s="220" t="s">
        <v>155</v>
      </c>
      <c r="J87" s="220" t="s">
        <v>149</v>
      </c>
      <c r="K87" s="220" t="s">
        <v>156</v>
      </c>
      <c r="L87" s="220" t="s">
        <v>151</v>
      </c>
      <c r="M87" s="221">
        <v>2</v>
      </c>
      <c r="N87" s="443" cm="1">
        <f t="array" ref="N87">IF(TRIM(K87)="Mano de Obra",IF(Formulario!$L$23&lt;&gt;"",Formulario!$L$23,IFERROR(VLOOKUP(TRIM($M$4),Jornalesdeppto!A:C,3,0),"")),_xlfn.XLOOKUP(1,(Tabla_Costos_Insumos!$A$2:$A$3199=TRIM($M$4))*(Tabla_Costos_Insumos!$C$2:$C$3199=TRIM(K87)),Tabla_Costos_Insumos!$E$2:$E$3199,"",0))</f>
        <v>17212.5</v>
      </c>
      <c r="O87" s="443">
        <f t="shared" si="25"/>
        <v>34425</v>
      </c>
      <c r="P87" s="220" t="str">
        <f t="shared" si="26"/>
        <v>Aguacate Hass</v>
      </c>
      <c r="Q87" s="212" t="s">
        <v>142</v>
      </c>
      <c r="R87" s="212" t="s">
        <v>142</v>
      </c>
      <c r="S87" s="212"/>
      <c r="T87" s="212"/>
      <c r="U87" s="212"/>
      <c r="V87" s="212" t="s">
        <v>142</v>
      </c>
      <c r="W87" s="212"/>
      <c r="X87" s="214">
        <v>2</v>
      </c>
    </row>
    <row r="88" spans="1:24" ht="15">
      <c r="A88" s="211" t="s">
        <v>3766</v>
      </c>
      <c r="B88" s="225" t="s">
        <v>98</v>
      </c>
      <c r="C88" s="220" t="s">
        <v>68</v>
      </c>
      <c r="D88" s="220" t="s">
        <v>145</v>
      </c>
      <c r="E88" s="220" t="s">
        <v>146</v>
      </c>
      <c r="F88" s="220" t="s">
        <v>147</v>
      </c>
      <c r="G88" s="220" t="s">
        <v>131</v>
      </c>
      <c r="H88" s="220" t="s">
        <v>161</v>
      </c>
      <c r="I88" s="220" t="s">
        <v>162</v>
      </c>
      <c r="J88" s="220" t="s">
        <v>149</v>
      </c>
      <c r="K88" s="220" t="s">
        <v>163</v>
      </c>
      <c r="L88" s="220" t="s">
        <v>164</v>
      </c>
      <c r="M88" s="221">
        <v>2</v>
      </c>
      <c r="N88" s="443" cm="1">
        <f t="array" ref="N88">IF(TRIM(K88)="Mano de Obra",IF(Formulario!$L$23&lt;&gt;"",Formulario!$L$23,IFERROR(VLOOKUP(TRIM($M$4),Jornalesdeppto!A:C,3,0),"")),_xlfn.XLOOKUP(1,(Tabla_Costos_Insumos!$A$2:$A$3199=TRIM($M$4))*(Tabla_Costos_Insumos!$C$2:$C$3199=TRIM(K88)),Tabla_Costos_Insumos!$E$2:$E$3199,"",0))</f>
        <v>128084.44444445</v>
      </c>
      <c r="O88" s="443">
        <f t="shared" si="25"/>
        <v>256168.88888889999</v>
      </c>
      <c r="P88" s="220" t="str">
        <f t="shared" si="26"/>
        <v>Aguacate Hass</v>
      </c>
      <c r="Q88" s="212" t="s">
        <v>142</v>
      </c>
      <c r="R88" s="212" t="s">
        <v>142</v>
      </c>
      <c r="S88" s="212"/>
      <c r="T88" s="212"/>
      <c r="U88" s="212"/>
      <c r="V88" s="212" t="s">
        <v>142</v>
      </c>
      <c r="W88" s="212"/>
      <c r="X88" s="214">
        <v>2</v>
      </c>
    </row>
    <row r="89" spans="1:24" ht="15">
      <c r="A89" s="211" t="s">
        <v>3766</v>
      </c>
      <c r="B89" s="225" t="s">
        <v>98</v>
      </c>
      <c r="C89" s="220" t="s">
        <v>68</v>
      </c>
      <c r="D89" s="220" t="s">
        <v>145</v>
      </c>
      <c r="E89" s="220" t="s">
        <v>146</v>
      </c>
      <c r="F89" s="220" t="s">
        <v>147</v>
      </c>
      <c r="G89" s="220" t="s">
        <v>131</v>
      </c>
      <c r="H89" s="220" t="s">
        <v>165</v>
      </c>
      <c r="I89" s="220" t="s">
        <v>153</v>
      </c>
      <c r="J89" s="220" t="s">
        <v>149</v>
      </c>
      <c r="K89" s="220" t="s">
        <v>166</v>
      </c>
      <c r="L89" s="220" t="s">
        <v>151</v>
      </c>
      <c r="M89" s="221">
        <v>4</v>
      </c>
      <c r="N89" s="443" cm="1">
        <f t="array" ref="N89">IF(TRIM(K89)="Mano de Obra",IF(Formulario!$L$23&lt;&gt;"",Formulario!$L$23,IFERROR(VLOOKUP(TRIM($M$4),Jornalesdeppto!A:C,3,0),"")),_xlfn.XLOOKUP(1,(Tabla_Costos_Insumos!$A$2:$A$3199=TRIM($M$4))*(Tabla_Costos_Insumos!$C$2:$C$3199=TRIM(K89)),Tabla_Costos_Insumos!$E$2:$E$3199,"",0))</f>
        <v>110000</v>
      </c>
      <c r="O89" s="443">
        <f t="shared" si="25"/>
        <v>440000</v>
      </c>
      <c r="P89" s="220" t="str">
        <f t="shared" si="26"/>
        <v>Aguacate Hass</v>
      </c>
      <c r="Q89" s="212" t="s">
        <v>142</v>
      </c>
      <c r="R89" s="212" t="s">
        <v>142</v>
      </c>
      <c r="S89" s="212"/>
      <c r="T89" s="212"/>
      <c r="U89" s="212"/>
      <c r="V89" s="212" t="s">
        <v>142</v>
      </c>
      <c r="W89" s="212"/>
      <c r="X89" s="214">
        <v>4</v>
      </c>
    </row>
    <row r="90" spans="1:24" ht="15">
      <c r="A90" s="211" t="s">
        <v>3766</v>
      </c>
      <c r="B90" s="225" t="s">
        <v>98</v>
      </c>
      <c r="C90" s="220" t="s">
        <v>68</v>
      </c>
      <c r="D90" s="220" t="s">
        <v>145</v>
      </c>
      <c r="E90" s="220" t="s">
        <v>146</v>
      </c>
      <c r="F90" s="220" t="s">
        <v>167</v>
      </c>
      <c r="G90" s="220" t="s">
        <v>118</v>
      </c>
      <c r="H90" s="220" t="s">
        <v>168</v>
      </c>
      <c r="I90" s="220" t="s">
        <v>169</v>
      </c>
      <c r="J90" s="220" t="s">
        <v>170</v>
      </c>
      <c r="K90" s="220" t="s">
        <v>230</v>
      </c>
      <c r="L90" s="220" t="s">
        <v>172</v>
      </c>
      <c r="M90" s="221">
        <v>3</v>
      </c>
      <c r="N90" s="443" cm="1">
        <f t="array" ref="N90">IF(TRIM(K90)="Mano de Obra",IF(Formulario!$L$23&lt;&gt;"",Formulario!$L$23,IFERROR(VLOOKUP(TRIM($M$4),Jornalesdeppto!A:C,3,0),"")),_xlfn.XLOOKUP(1,(Tabla_Costos_Insumos!$A$2:$A$3199=TRIM($M$4))*(Tabla_Costos_Insumos!$C$2:$C$3199=TRIM(K90)),Tabla_Costos_Insumos!$E$2:$E$3199,"",0))</f>
        <v>264979.26829268539</v>
      </c>
      <c r="O90" s="443">
        <f t="shared" si="25"/>
        <v>794937.80487805617</v>
      </c>
      <c r="P90" s="220" t="str">
        <f t="shared" si="26"/>
        <v>Aguacate Hass</v>
      </c>
      <c r="Q90" s="212" t="s">
        <v>142</v>
      </c>
      <c r="R90" s="212" t="s">
        <v>142</v>
      </c>
      <c r="S90" s="212"/>
      <c r="T90" s="212"/>
      <c r="U90" s="212"/>
      <c r="V90" s="212" t="s">
        <v>142</v>
      </c>
      <c r="W90" s="212"/>
      <c r="X90" s="214">
        <v>3</v>
      </c>
    </row>
    <row r="91" spans="1:24" ht="15">
      <c r="A91" s="211" t="s">
        <v>3766</v>
      </c>
      <c r="B91" s="225" t="s">
        <v>98</v>
      </c>
      <c r="C91" s="220" t="s">
        <v>68</v>
      </c>
      <c r="D91" s="220" t="s">
        <v>145</v>
      </c>
      <c r="E91" s="220" t="s">
        <v>146</v>
      </c>
      <c r="F91" s="220" t="s">
        <v>167</v>
      </c>
      <c r="G91" s="220" t="s">
        <v>118</v>
      </c>
      <c r="H91" s="220" t="s">
        <v>168</v>
      </c>
      <c r="I91" s="220" t="s">
        <v>169</v>
      </c>
      <c r="J91" s="220" t="s">
        <v>170</v>
      </c>
      <c r="K91" s="220" t="s">
        <v>227</v>
      </c>
      <c r="L91" s="220" t="s">
        <v>172</v>
      </c>
      <c r="M91" s="221">
        <v>6</v>
      </c>
      <c r="N91" s="443" cm="1">
        <f t="array" ref="N91">IF(TRIM(K91)="Mano de Obra",IF(Formulario!$L$23&lt;&gt;"",Formulario!$L$23,IFERROR(VLOOKUP(TRIM($M$4),Jornalesdeppto!A:C,3,0),"")),_xlfn.XLOOKUP(1,(Tabla_Costos_Insumos!$A$2:$A$3199=TRIM($M$4))*(Tabla_Costos_Insumos!$C$2:$C$3199=TRIM(K91)),Tabla_Costos_Insumos!$E$2:$E$3199,"",0))</f>
        <v>153430.65</v>
      </c>
      <c r="O91" s="443">
        <f t="shared" si="25"/>
        <v>920583.89999999991</v>
      </c>
      <c r="P91" s="220" t="str">
        <f t="shared" si="26"/>
        <v>Aguacate Hass</v>
      </c>
      <c r="Q91" s="212" t="s">
        <v>142</v>
      </c>
      <c r="R91" s="212" t="s">
        <v>142</v>
      </c>
      <c r="S91" s="212"/>
      <c r="T91" s="212"/>
      <c r="U91" s="212"/>
      <c r="V91" s="212" t="s">
        <v>142</v>
      </c>
      <c r="W91" s="212"/>
      <c r="X91" s="214">
        <v>6</v>
      </c>
    </row>
    <row r="92" spans="1:24" ht="15">
      <c r="A92" s="211" t="s">
        <v>3766</v>
      </c>
      <c r="B92" s="225" t="s">
        <v>98</v>
      </c>
      <c r="C92" s="220" t="s">
        <v>68</v>
      </c>
      <c r="D92" s="220" t="s">
        <v>145</v>
      </c>
      <c r="E92" s="220" t="s">
        <v>146</v>
      </c>
      <c r="F92" s="220" t="s">
        <v>167</v>
      </c>
      <c r="G92" s="220" t="s">
        <v>118</v>
      </c>
      <c r="H92" s="220" t="s">
        <v>174</v>
      </c>
      <c r="I92" s="220" t="s">
        <v>175</v>
      </c>
      <c r="J92" s="220" t="s">
        <v>176</v>
      </c>
      <c r="K92" s="220" t="s">
        <v>231</v>
      </c>
      <c r="L92" s="220" t="s">
        <v>172</v>
      </c>
      <c r="M92" s="221">
        <v>4</v>
      </c>
      <c r="N92" s="443" cm="1">
        <f t="array" ref="N92">IF(TRIM(K92)="Mano de Obra",IF(Formulario!$L$23&lt;&gt;"",Formulario!$L$23,IFERROR(VLOOKUP(TRIM($M$4),Jornalesdeppto!A:C,3,0),"")),_xlfn.XLOOKUP(1,(Tabla_Costos_Insumos!$A$2:$A$3199=TRIM($M$4))*(Tabla_Costos_Insumos!$C$2:$C$3199=TRIM(K92)),Tabla_Costos_Insumos!$E$2:$E$3199,"",0))</f>
        <v>23177.15</v>
      </c>
      <c r="O92" s="443">
        <f t="shared" si="25"/>
        <v>92708.6</v>
      </c>
      <c r="P92" s="220" t="str">
        <f t="shared" si="26"/>
        <v>Aguacate Hass</v>
      </c>
      <c r="Q92" s="212" t="s">
        <v>142</v>
      </c>
      <c r="R92" s="212" t="s">
        <v>142</v>
      </c>
      <c r="S92" s="212"/>
      <c r="T92" s="212"/>
      <c r="U92" s="212"/>
      <c r="V92" s="212" t="s">
        <v>142</v>
      </c>
      <c r="W92" s="212"/>
      <c r="X92" s="214">
        <v>4</v>
      </c>
    </row>
    <row r="93" spans="1:24" ht="15">
      <c r="A93" s="211" t="s">
        <v>3766</v>
      </c>
      <c r="B93" s="225" t="s">
        <v>98</v>
      </c>
      <c r="C93" s="220" t="s">
        <v>68</v>
      </c>
      <c r="D93" s="220" t="s">
        <v>145</v>
      </c>
      <c r="E93" s="220" t="s">
        <v>146</v>
      </c>
      <c r="F93" s="220" t="s">
        <v>167</v>
      </c>
      <c r="G93" s="220" t="s">
        <v>118</v>
      </c>
      <c r="H93" s="220" t="s">
        <v>178</v>
      </c>
      <c r="I93" s="220" t="s">
        <v>179</v>
      </c>
      <c r="J93" s="220" t="s">
        <v>180</v>
      </c>
      <c r="K93" s="220" t="s">
        <v>181</v>
      </c>
      <c r="L93" s="220" t="s">
        <v>172</v>
      </c>
      <c r="M93" s="221">
        <v>4</v>
      </c>
      <c r="N93" s="443" cm="1">
        <f t="array" ref="N93">IF(TRIM(K93)="Mano de Obra",IF(Formulario!$L$23&lt;&gt;"",Formulario!$L$23,IFERROR(VLOOKUP(TRIM($M$4),Jornalesdeppto!A:C,3,0),"")),_xlfn.XLOOKUP(1,(Tabla_Costos_Insumos!$A$2:$A$3199=TRIM($M$4))*(Tabla_Costos_Insumos!$C$2:$C$3199=TRIM(K93)),Tabla_Costos_Insumos!$E$2:$E$3199,"",0))</f>
        <v>34056.25</v>
      </c>
      <c r="O93" s="443">
        <f t="shared" si="25"/>
        <v>136225</v>
      </c>
      <c r="P93" s="220" t="str">
        <f t="shared" si="26"/>
        <v>Aguacate Hass</v>
      </c>
      <c r="Q93" s="212" t="s">
        <v>142</v>
      </c>
      <c r="R93" s="212" t="s">
        <v>142</v>
      </c>
      <c r="S93" s="212"/>
      <c r="T93" s="212"/>
      <c r="U93" s="212"/>
      <c r="V93" s="212" t="s">
        <v>142</v>
      </c>
      <c r="W93" s="212"/>
      <c r="X93" s="214">
        <v>4</v>
      </c>
    </row>
    <row r="94" spans="1:24" ht="15">
      <c r="A94" s="211" t="s">
        <v>3766</v>
      </c>
      <c r="B94" s="225" t="s">
        <v>98</v>
      </c>
      <c r="C94" s="220" t="s">
        <v>68</v>
      </c>
      <c r="D94" s="220" t="s">
        <v>145</v>
      </c>
      <c r="E94" s="220" t="s">
        <v>146</v>
      </c>
      <c r="F94" s="220" t="s">
        <v>167</v>
      </c>
      <c r="G94" s="220" t="s">
        <v>118</v>
      </c>
      <c r="H94" s="220" t="s">
        <v>178</v>
      </c>
      <c r="I94" s="220" t="s">
        <v>179</v>
      </c>
      <c r="J94" s="220" t="s">
        <v>180</v>
      </c>
      <c r="K94" s="220" t="s">
        <v>182</v>
      </c>
      <c r="L94" s="220" t="s">
        <v>172</v>
      </c>
      <c r="M94" s="221">
        <v>14</v>
      </c>
      <c r="N94" s="443" cm="1">
        <f t="array" ref="N94">IF(TRIM(K94)="Mano de Obra",IF(Formulario!$L$23&lt;&gt;"",Formulario!$L$23,IFERROR(VLOOKUP(TRIM($M$4),Jornalesdeppto!A:C,3,0),"")),_xlfn.XLOOKUP(1,(Tabla_Costos_Insumos!$A$2:$A$3199=TRIM($M$4))*(Tabla_Costos_Insumos!$C$2:$C$3199=TRIM(K94)),Tabla_Costos_Insumos!$E$2:$E$3199,"",0))</f>
        <v>151029.59</v>
      </c>
      <c r="O94" s="443">
        <f t="shared" si="25"/>
        <v>2114414.2599999998</v>
      </c>
      <c r="P94" s="220" t="str">
        <f t="shared" si="26"/>
        <v>Aguacate Hass</v>
      </c>
      <c r="Q94" s="212" t="s">
        <v>142</v>
      </c>
      <c r="R94" s="212" t="s">
        <v>142</v>
      </c>
      <c r="S94" s="212"/>
      <c r="T94" s="212"/>
      <c r="U94" s="212"/>
      <c r="V94" s="212" t="s">
        <v>142</v>
      </c>
      <c r="W94" s="212"/>
      <c r="X94" s="214">
        <v>14</v>
      </c>
    </row>
    <row r="95" spans="1:24" ht="15">
      <c r="A95" s="211" t="s">
        <v>3766</v>
      </c>
      <c r="B95" s="225" t="s">
        <v>98</v>
      </c>
      <c r="C95" s="220" t="s">
        <v>68</v>
      </c>
      <c r="D95" s="220" t="s">
        <v>145</v>
      </c>
      <c r="E95" s="220" t="s">
        <v>146</v>
      </c>
      <c r="F95" s="220" t="s">
        <v>183</v>
      </c>
      <c r="G95" s="220" t="s">
        <v>184</v>
      </c>
      <c r="H95" s="220" t="s">
        <v>185</v>
      </c>
      <c r="I95" s="220" t="s">
        <v>186</v>
      </c>
      <c r="J95" s="220" t="s">
        <v>105</v>
      </c>
      <c r="K95" s="220" t="s">
        <v>187</v>
      </c>
      <c r="L95" s="220" t="s">
        <v>188</v>
      </c>
      <c r="M95" s="221">
        <v>0.1</v>
      </c>
      <c r="N95" s="443" cm="1">
        <f t="array" ref="N95">IF(TRIM(K95)="Mano de Obra",IF(Formulario!$L$23&lt;&gt;"",Formulario!$L$23,IFERROR(VLOOKUP(TRIM($M$4),Jornalesdeppto!A:C,3,0),"")),_xlfn.XLOOKUP(1,(Tabla_Costos_Insumos!$A$2:$A$3199=TRIM($M$4))*(Tabla_Costos_Insumos!$C$2:$C$3199=TRIM(K95)),Tabla_Costos_Insumos!$E$2:$E$3199,"",0))</f>
        <v>175000</v>
      </c>
      <c r="O95" s="443">
        <f t="shared" si="25"/>
        <v>17500</v>
      </c>
      <c r="P95" s="220" t="str">
        <f t="shared" si="26"/>
        <v>Aguacate Hass</v>
      </c>
      <c r="Q95" s="212" t="s">
        <v>142</v>
      </c>
      <c r="R95" s="212" t="s">
        <v>142</v>
      </c>
      <c r="S95" s="212"/>
      <c r="T95" s="212"/>
      <c r="U95" s="212"/>
      <c r="V95" s="212" t="s">
        <v>142</v>
      </c>
      <c r="W95" s="212"/>
      <c r="X95" s="214">
        <v>0.1</v>
      </c>
    </row>
    <row r="96" spans="1:24" ht="15">
      <c r="A96" s="211" t="s">
        <v>3766</v>
      </c>
      <c r="B96" s="225" t="s">
        <v>98</v>
      </c>
      <c r="C96" s="220" t="s">
        <v>68</v>
      </c>
      <c r="D96" s="220" t="s">
        <v>189</v>
      </c>
      <c r="E96" s="220" t="s">
        <v>190</v>
      </c>
      <c r="F96" s="220" t="s">
        <v>191</v>
      </c>
      <c r="G96" s="220" t="s">
        <v>192</v>
      </c>
      <c r="H96" s="220" t="s">
        <v>193</v>
      </c>
      <c r="I96" s="220" t="s">
        <v>194</v>
      </c>
      <c r="J96" s="220" t="s">
        <v>195</v>
      </c>
      <c r="K96" s="220" t="s">
        <v>196</v>
      </c>
      <c r="L96" s="220" t="s">
        <v>197</v>
      </c>
      <c r="M96" s="221">
        <v>1</v>
      </c>
      <c r="N96" s="443">
        <f>IFERROR(SUM(O78:$O$95)*0.08,0)</f>
        <v>797941.2279377192</v>
      </c>
      <c r="O96" s="443">
        <f t="shared" si="25"/>
        <v>797941.2279377192</v>
      </c>
      <c r="P96" s="220" t="str">
        <f t="shared" si="26"/>
        <v>Aguacate Hass</v>
      </c>
      <c r="Q96" s="212" t="s">
        <v>142</v>
      </c>
      <c r="R96" s="212" t="s">
        <v>142</v>
      </c>
      <c r="S96" s="212"/>
      <c r="T96" s="212"/>
      <c r="U96" s="212"/>
      <c r="V96" s="212" t="s">
        <v>142</v>
      </c>
      <c r="W96" s="212"/>
      <c r="X96" s="214">
        <v>1</v>
      </c>
    </row>
    <row r="97" spans="1:24" ht="15">
      <c r="A97" s="211" t="s">
        <v>3766</v>
      </c>
      <c r="B97" s="225" t="s">
        <v>98</v>
      </c>
      <c r="C97" s="220" t="s">
        <v>68</v>
      </c>
      <c r="D97" s="220" t="s">
        <v>189</v>
      </c>
      <c r="E97" s="220" t="s">
        <v>190</v>
      </c>
      <c r="F97" s="220" t="s">
        <v>198</v>
      </c>
      <c r="G97" s="220" t="s">
        <v>199</v>
      </c>
      <c r="H97" s="220" t="s">
        <v>200</v>
      </c>
      <c r="I97" s="220" t="s">
        <v>201</v>
      </c>
      <c r="J97" s="220" t="s">
        <v>105</v>
      </c>
      <c r="K97" s="220" t="s">
        <v>202</v>
      </c>
      <c r="L97" s="220" t="s">
        <v>203</v>
      </c>
      <c r="M97" s="221">
        <v>1</v>
      </c>
      <c r="N97" s="443" cm="1">
        <f t="array" ref="N97">IF(TRIM(K97)="Mano de Obra",IF(Formulario!$L$23&lt;&gt;"",Formulario!$L$23,IFERROR(VLOOKUP(TRIM($M$4),Jornalesdeppto!A:C,3,0),"")),_xlfn.XLOOKUP(1,(Tabla_Costos_Insumos!$A$2:$A$3199=TRIM($M$4))*(Tabla_Costos_Insumos!$C$2:$C$3199=TRIM(K97)),Tabla_Costos_Insumos!$E$2:$E$3199,"",0))</f>
        <v>120000</v>
      </c>
      <c r="O97" s="443">
        <f t="shared" si="25"/>
        <v>120000</v>
      </c>
      <c r="P97" s="220" t="str">
        <f t="shared" si="26"/>
        <v>Aguacate Hass</v>
      </c>
      <c r="Q97" s="212" t="s">
        <v>142</v>
      </c>
      <c r="R97" s="212" t="s">
        <v>142</v>
      </c>
      <c r="S97" s="212"/>
      <c r="T97" s="212"/>
      <c r="U97" s="212"/>
      <c r="V97" s="212" t="s">
        <v>142</v>
      </c>
      <c r="W97" s="212"/>
      <c r="X97" s="214">
        <v>1</v>
      </c>
    </row>
    <row r="98" spans="1:24" ht="15">
      <c r="A98" s="211" t="s">
        <v>3766</v>
      </c>
      <c r="B98" s="225" t="s">
        <v>98</v>
      </c>
      <c r="C98" s="220" t="s">
        <v>68</v>
      </c>
      <c r="D98" s="220" t="s">
        <v>189</v>
      </c>
      <c r="E98" s="220" t="s">
        <v>190</v>
      </c>
      <c r="F98" s="220" t="s">
        <v>204</v>
      </c>
      <c r="G98" s="220" t="s">
        <v>205</v>
      </c>
      <c r="H98" s="220" t="s">
        <v>206</v>
      </c>
      <c r="I98" s="220" t="s">
        <v>207</v>
      </c>
      <c r="J98" s="220" t="s">
        <v>4127</v>
      </c>
      <c r="K98" s="220" t="s">
        <v>228</v>
      </c>
      <c r="L98" s="220" t="s">
        <v>197</v>
      </c>
      <c r="M98" s="221">
        <v>1</v>
      </c>
      <c r="N98" s="443">
        <f>$J$4</f>
        <v>500000</v>
      </c>
      <c r="O98" s="443">
        <f t="shared" si="25"/>
        <v>500000</v>
      </c>
      <c r="P98" s="220" t="str">
        <f>CONCATENATE(A98," ",B98)</f>
        <v>Aguacate Hass</v>
      </c>
      <c r="Q98" s="212" t="s">
        <v>142</v>
      </c>
      <c r="R98" s="212" t="s">
        <v>142</v>
      </c>
      <c r="S98" s="212"/>
      <c r="T98" s="212"/>
      <c r="U98" s="212"/>
      <c r="V98" s="212" t="s">
        <v>142</v>
      </c>
      <c r="W98" s="212"/>
      <c r="X98" s="214">
        <v>1</v>
      </c>
    </row>
    <row r="99" spans="1:24" ht="15">
      <c r="A99" s="211" t="s">
        <v>232</v>
      </c>
      <c r="B99" s="225" t="s">
        <v>233</v>
      </c>
      <c r="C99" s="216" t="s">
        <v>53</v>
      </c>
      <c r="D99" s="216" t="s">
        <v>99</v>
      </c>
      <c r="E99" s="216" t="s">
        <v>100</v>
      </c>
      <c r="F99" s="216" t="s">
        <v>101</v>
      </c>
      <c r="G99" s="216" t="s">
        <v>102</v>
      </c>
      <c r="H99" s="216" t="s">
        <v>209</v>
      </c>
      <c r="I99" s="216" t="s">
        <v>210</v>
      </c>
      <c r="J99" s="216" t="s">
        <v>105</v>
      </c>
      <c r="K99" s="216" t="s">
        <v>106</v>
      </c>
      <c r="L99" s="216" t="s">
        <v>107</v>
      </c>
      <c r="M99" s="217">
        <f t="shared" ref="M99:M109" si="30">IF(W99&lt;&gt;"", W99, ROUNDUP(X99*T99, 0))</f>
        <v>6</v>
      </c>
      <c r="N99" s="442" cm="1">
        <f t="array" ref="N99">IF(TRIM(K99)="Mano de Obra",IF(Formulario!$L$23&lt;&gt;"",Formulario!$L$23,IFERROR(VLOOKUP(TRIM($M$4),Jornalesdeppto!A:C,3,0),"")),_xlfn.XLOOKUP(1,(Tabla_Costos_Insumos!$A$2:$A$3199=TRIM($M$4))*(Tabla_Costos_Insumos!$C$2:$C$3199=TRIM(K99)),Tabla_Costos_Insumos!$E$2:$E$3199,"",0))</f>
        <v>46666.666666666664</v>
      </c>
      <c r="O99" s="442">
        <f t="shared" si="25"/>
        <v>280000</v>
      </c>
      <c r="P99" s="216" t="str">
        <f t="shared" ref="P99:P160" si="31">CONCATENATE(A99," ",B99)</f>
        <v>Cacao Criollo</v>
      </c>
      <c r="Q99" s="212" t="s">
        <v>211</v>
      </c>
      <c r="R99" s="212">
        <v>0.8</v>
      </c>
      <c r="S99" s="212" t="str">
        <f>IF($M$3="Cacao criollo",($I$3*R99) / 480,"")</f>
        <v/>
      </c>
      <c r="T99" s="212" cm="1">
        <f t="array" ref="T99">_xlfn.IFS($D$5&lt;=7, 1.1, $D$5&lt;=12,1.2, $D$5&lt;=25, 1.3, $D$5&gt;25,1.4)</f>
        <v>1.3</v>
      </c>
      <c r="U99" s="212" t="str">
        <f t="shared" ref="U99:U109" si="32">IFERROR(S99*T99,"")</f>
        <v/>
      </c>
      <c r="V99" s="212">
        <v>1</v>
      </c>
      <c r="W99" s="212" t="str">
        <f t="shared" ref="W99:W109" si="33">IFERROR(ROUNDUP(V99*U99,0),"")</f>
        <v/>
      </c>
      <c r="X99" s="214">
        <v>4</v>
      </c>
    </row>
    <row r="100" spans="1:24" ht="15">
      <c r="A100" s="211" t="s">
        <v>232</v>
      </c>
      <c r="B100" s="225" t="s">
        <v>233</v>
      </c>
      <c r="C100" s="216" t="s">
        <v>53</v>
      </c>
      <c r="D100" s="216" t="s">
        <v>99</v>
      </c>
      <c r="E100" s="216" t="s">
        <v>100</v>
      </c>
      <c r="F100" s="216" t="s">
        <v>101</v>
      </c>
      <c r="G100" s="216" t="s">
        <v>102</v>
      </c>
      <c r="H100" s="216" t="s">
        <v>212</v>
      </c>
      <c r="I100" s="216" t="s">
        <v>213</v>
      </c>
      <c r="J100" s="216" t="s">
        <v>105</v>
      </c>
      <c r="K100" s="216" t="s">
        <v>106</v>
      </c>
      <c r="L100" s="216" t="s">
        <v>107</v>
      </c>
      <c r="M100" s="217">
        <f t="shared" si="30"/>
        <v>10</v>
      </c>
      <c r="N100" s="442" cm="1">
        <f t="array" ref="N100">IF(TRIM(K100)="Mano de Obra",IF(Formulario!$L$23&lt;&gt;"",Formulario!$L$23,IFERROR(VLOOKUP(TRIM($M$4),Jornalesdeppto!A:C,3,0),"")),_xlfn.XLOOKUP(1,(Tabla_Costos_Insumos!$A$2:$A$3199=TRIM($M$4))*(Tabla_Costos_Insumos!$C$2:$C$3199=TRIM(K100)),Tabla_Costos_Insumos!$E$2:$E$3199,"",0))</f>
        <v>46666.666666666664</v>
      </c>
      <c r="O100" s="442">
        <f t="shared" si="25"/>
        <v>466666.66666666663</v>
      </c>
      <c r="P100" s="216" t="str">
        <f t="shared" si="31"/>
        <v>Cacao Criollo</v>
      </c>
      <c r="Q100" s="212" t="s">
        <v>108</v>
      </c>
      <c r="R100" s="212">
        <v>6</v>
      </c>
      <c r="S100" s="212" t="str">
        <f>IF($M$3="Cacao criollo",($I$3*R100) / 480,"")</f>
        <v/>
      </c>
      <c r="T100" s="212" cm="1">
        <f t="array" ref="T100">_xlfn.IFS($D$5&lt;=7, 1.1, $D$5&lt;=12,1.2, $D$5&lt;=25, 1.3, $D$5&gt;25,1.4)</f>
        <v>1.3</v>
      </c>
      <c r="U100" s="212" t="str">
        <f t="shared" si="32"/>
        <v/>
      </c>
      <c r="V100" s="212">
        <v>1</v>
      </c>
      <c r="W100" s="212" t="str">
        <f t="shared" si="33"/>
        <v/>
      </c>
      <c r="X100" s="214">
        <v>7</v>
      </c>
    </row>
    <row r="101" spans="1:24" ht="15">
      <c r="A101" s="211" t="s">
        <v>232</v>
      </c>
      <c r="B101" s="225" t="s">
        <v>233</v>
      </c>
      <c r="C101" s="216" t="s">
        <v>53</v>
      </c>
      <c r="D101" s="216" t="s">
        <v>99</v>
      </c>
      <c r="E101" s="216" t="s">
        <v>100</v>
      </c>
      <c r="F101" s="216" t="s">
        <v>109</v>
      </c>
      <c r="G101" s="216" t="s">
        <v>110</v>
      </c>
      <c r="H101" s="216" t="s">
        <v>234</v>
      </c>
      <c r="I101" s="216" t="s">
        <v>235</v>
      </c>
      <c r="J101" s="216" t="s">
        <v>105</v>
      </c>
      <c r="K101" s="216" t="s">
        <v>106</v>
      </c>
      <c r="L101" s="216" t="s">
        <v>107</v>
      </c>
      <c r="M101" s="217">
        <f t="shared" si="30"/>
        <v>8</v>
      </c>
      <c r="N101" s="442" cm="1">
        <f t="array" ref="N101">IF(TRIM(K101)="Mano de Obra",IF(Formulario!$L$23&lt;&gt;"",Formulario!$L$23,IFERROR(VLOOKUP(TRIM($M$4),Jornalesdeppto!A:C,3,0),"")),_xlfn.XLOOKUP(1,(Tabla_Costos_Insumos!$A$2:$A$3199=TRIM($M$4))*(Tabla_Costos_Insumos!$C$2:$C$3199=TRIM(K101)),Tabla_Costos_Insumos!$E$2:$E$3199,"",0))</f>
        <v>46666.666666666664</v>
      </c>
      <c r="O101" s="442">
        <f t="shared" si="25"/>
        <v>373333.33333333331</v>
      </c>
      <c r="P101" s="216" t="str">
        <f t="shared" si="31"/>
        <v>Cacao Criollo</v>
      </c>
      <c r="Q101" s="212" t="s">
        <v>108</v>
      </c>
      <c r="R101" s="212">
        <v>2</v>
      </c>
      <c r="S101" s="212" t="str">
        <f t="shared" ref="S101:S109" si="34">IF($M$3="Cacao criollo",($I$3*R101) / 480,"")</f>
        <v/>
      </c>
      <c r="T101" s="212" cm="1">
        <f t="array" ref="T101">_xlfn.IFS($D$5&lt;=7, 1.1, $D$5&lt;=12,1.2, $D$5&lt;=25, 1.3, $D$5&gt;25,1.4)</f>
        <v>1.3</v>
      </c>
      <c r="U101" s="212" t="str">
        <f t="shared" si="32"/>
        <v/>
      </c>
      <c r="V101" s="212">
        <v>4</v>
      </c>
      <c r="W101" s="212" t="str">
        <f t="shared" si="33"/>
        <v/>
      </c>
      <c r="X101" s="214">
        <v>6</v>
      </c>
    </row>
    <row r="102" spans="1:24" ht="15">
      <c r="A102" s="211" t="s">
        <v>232</v>
      </c>
      <c r="B102" s="225" t="s">
        <v>233</v>
      </c>
      <c r="C102" s="216" t="s">
        <v>53</v>
      </c>
      <c r="D102" s="216" t="s">
        <v>99</v>
      </c>
      <c r="E102" s="216" t="s">
        <v>100</v>
      </c>
      <c r="F102" s="216" t="s">
        <v>109</v>
      </c>
      <c r="G102" s="216" t="s">
        <v>110</v>
      </c>
      <c r="H102" s="216" t="s">
        <v>215</v>
      </c>
      <c r="I102" s="216" t="s">
        <v>216</v>
      </c>
      <c r="J102" s="216" t="s">
        <v>105</v>
      </c>
      <c r="K102" s="216" t="s">
        <v>106</v>
      </c>
      <c r="L102" s="216" t="s">
        <v>107</v>
      </c>
      <c r="M102" s="217">
        <f t="shared" si="30"/>
        <v>3</v>
      </c>
      <c r="N102" s="442" cm="1">
        <f t="array" ref="N102">IF(TRIM(K102)="Mano de Obra",IF(Formulario!$L$23&lt;&gt;"",Formulario!$L$23,IFERROR(VLOOKUP(TRIM($M$4),Jornalesdeppto!A:C,3,0),"")),_xlfn.XLOOKUP(1,(Tabla_Costos_Insumos!$A$2:$A$3199=TRIM($M$4))*(Tabla_Costos_Insumos!$C$2:$C$3199=TRIM(K102)),Tabla_Costos_Insumos!$E$2:$E$3199,"",0))</f>
        <v>46666.666666666664</v>
      </c>
      <c r="O102" s="442">
        <f t="shared" si="25"/>
        <v>140000</v>
      </c>
      <c r="P102" s="216" t="str">
        <f t="shared" si="31"/>
        <v>Cacao Criollo</v>
      </c>
      <c r="Q102" s="212" t="s">
        <v>108</v>
      </c>
      <c r="R102" s="212">
        <v>6</v>
      </c>
      <c r="S102" s="212" t="str">
        <f>IF($M$3="Cacao criollo",($I$3*0.1*R102) / 480,"")</f>
        <v/>
      </c>
      <c r="T102" s="212" cm="1">
        <f t="array" ref="T102">_xlfn.IFS($D$5&lt;=7, 1.1, $D$5&lt;=12,1.2, $D$5&lt;=25, 1.3, $D$5&gt;25,1.4)</f>
        <v>1.3</v>
      </c>
      <c r="U102" s="212" t="str">
        <f t="shared" si="32"/>
        <v/>
      </c>
      <c r="V102" s="212">
        <v>1</v>
      </c>
      <c r="W102" s="212" t="str">
        <f t="shared" si="33"/>
        <v/>
      </c>
      <c r="X102" s="214">
        <v>2</v>
      </c>
    </row>
    <row r="103" spans="1:24" ht="15">
      <c r="A103" s="211" t="s">
        <v>232</v>
      </c>
      <c r="B103" s="225" t="s">
        <v>233</v>
      </c>
      <c r="C103" s="216" t="s">
        <v>53</v>
      </c>
      <c r="D103" s="216" t="s">
        <v>99</v>
      </c>
      <c r="E103" s="216" t="s">
        <v>100</v>
      </c>
      <c r="F103" s="216" t="s">
        <v>109</v>
      </c>
      <c r="G103" s="216" t="s">
        <v>110</v>
      </c>
      <c r="H103" s="216" t="s">
        <v>217</v>
      </c>
      <c r="I103" s="216" t="s">
        <v>218</v>
      </c>
      <c r="J103" s="216" t="s">
        <v>105</v>
      </c>
      <c r="K103" s="216" t="s">
        <v>106</v>
      </c>
      <c r="L103" s="216" t="s">
        <v>107</v>
      </c>
      <c r="M103" s="217">
        <f t="shared" si="30"/>
        <v>13</v>
      </c>
      <c r="N103" s="442" cm="1">
        <f t="array" ref="N103">IF(TRIM(K103)="Mano de Obra",IF(Formulario!$L$23&lt;&gt;"",Formulario!$L$23,IFERROR(VLOOKUP(TRIM($M$4),Jornalesdeppto!A:C,3,0),"")),_xlfn.XLOOKUP(1,(Tabla_Costos_Insumos!$A$2:$A$3199=TRIM($M$4))*(Tabla_Costos_Insumos!$C$2:$C$3199=TRIM(K103)),Tabla_Costos_Insumos!$E$2:$E$3199,"",0))</f>
        <v>46666.666666666664</v>
      </c>
      <c r="O103" s="442">
        <f t="shared" si="25"/>
        <v>606666.66666666663</v>
      </c>
      <c r="P103" s="216" t="str">
        <f t="shared" si="31"/>
        <v>Cacao Criollo</v>
      </c>
      <c r="Q103" s="212" t="s">
        <v>108</v>
      </c>
      <c r="R103" s="212">
        <v>4</v>
      </c>
      <c r="S103" s="212" t="str">
        <f t="shared" si="34"/>
        <v/>
      </c>
      <c r="T103" s="212" cm="1">
        <f t="array" ref="T103">_xlfn.IFS($D$5&lt;=7, 1.1, $D$5&lt;=12,1.2, $D$5&lt;=25, 1.3, $D$5&gt;25,1.4)</f>
        <v>1.3</v>
      </c>
      <c r="U103" s="212" t="str">
        <f t="shared" si="32"/>
        <v/>
      </c>
      <c r="V103" s="212">
        <v>1</v>
      </c>
      <c r="W103" s="212" t="str">
        <f t="shared" si="33"/>
        <v/>
      </c>
      <c r="X103" s="214">
        <v>10</v>
      </c>
    </row>
    <row r="104" spans="1:24" ht="15">
      <c r="A104" s="211" t="s">
        <v>232</v>
      </c>
      <c r="B104" s="225" t="s">
        <v>233</v>
      </c>
      <c r="C104" s="216" t="s">
        <v>53</v>
      </c>
      <c r="D104" s="216" t="s">
        <v>99</v>
      </c>
      <c r="E104" s="216" t="s">
        <v>100</v>
      </c>
      <c r="F104" s="216" t="s">
        <v>113</v>
      </c>
      <c r="G104" s="216" t="s">
        <v>114</v>
      </c>
      <c r="H104" s="216" t="s">
        <v>115</v>
      </c>
      <c r="I104" s="216" t="s">
        <v>116</v>
      </c>
      <c r="J104" s="216" t="s">
        <v>105</v>
      </c>
      <c r="K104" s="216" t="s">
        <v>106</v>
      </c>
      <c r="L104" s="216" t="s">
        <v>107</v>
      </c>
      <c r="M104" s="217">
        <f t="shared" si="30"/>
        <v>11</v>
      </c>
      <c r="N104" s="442" cm="1">
        <f t="array" ref="N104">IF(TRIM(K104)="Mano de Obra",IF(Formulario!$L$23&lt;&gt;"",Formulario!$L$23,IFERROR(VLOOKUP(TRIM($M$4),Jornalesdeppto!A:C,3,0),"")),_xlfn.XLOOKUP(1,(Tabla_Costos_Insumos!$A$2:$A$3199=TRIM($M$4))*(Tabla_Costos_Insumos!$C$2:$C$3199=TRIM(K104)),Tabla_Costos_Insumos!$E$2:$E$3199,"",0))</f>
        <v>46666.666666666664</v>
      </c>
      <c r="O104" s="442">
        <f t="shared" si="25"/>
        <v>513333.33333333331</v>
      </c>
      <c r="P104" s="216" t="str">
        <f t="shared" si="31"/>
        <v>Cacao Criollo</v>
      </c>
      <c r="Q104" s="212" t="s">
        <v>108</v>
      </c>
      <c r="R104" s="212">
        <v>4</v>
      </c>
      <c r="S104" s="212" t="str">
        <f t="shared" si="34"/>
        <v/>
      </c>
      <c r="T104" s="212" cm="1">
        <f t="array" ref="T104">_xlfn.IFS($D$5&lt;=7, 1.1, $D$5&lt;=12,1.2, $D$5&lt;=25, 1.3, $D$5&gt;25,1.4)</f>
        <v>1.3</v>
      </c>
      <c r="U104" s="212" t="str">
        <f t="shared" si="32"/>
        <v/>
      </c>
      <c r="V104" s="212">
        <v>2</v>
      </c>
      <c r="W104" s="212" t="str">
        <f t="shared" si="33"/>
        <v/>
      </c>
      <c r="X104" s="214">
        <v>8</v>
      </c>
    </row>
    <row r="105" spans="1:24" ht="15">
      <c r="A105" s="211" t="s">
        <v>232</v>
      </c>
      <c r="B105" s="225" t="s">
        <v>233</v>
      </c>
      <c r="C105" s="216" t="s">
        <v>53</v>
      </c>
      <c r="D105" s="216" t="s">
        <v>99</v>
      </c>
      <c r="E105" s="216" t="s">
        <v>100</v>
      </c>
      <c r="F105" s="216" t="s">
        <v>117</v>
      </c>
      <c r="G105" s="216" t="s">
        <v>118</v>
      </c>
      <c r="H105" s="216" t="s">
        <v>119</v>
      </c>
      <c r="I105" s="216" t="s">
        <v>120</v>
      </c>
      <c r="J105" s="216" t="s">
        <v>105</v>
      </c>
      <c r="K105" s="216" t="s">
        <v>106</v>
      </c>
      <c r="L105" s="216" t="s">
        <v>107</v>
      </c>
      <c r="M105" s="217">
        <f t="shared" si="30"/>
        <v>12</v>
      </c>
      <c r="N105" s="442" cm="1">
        <f t="array" ref="N105">IF(TRIM(K105)="Mano de Obra",IF(Formulario!$L$23&lt;&gt;"",Formulario!$L$23,IFERROR(VLOOKUP(TRIM($M$4),Jornalesdeppto!A:C,3,0),"")),_xlfn.XLOOKUP(1,(Tabla_Costos_Insumos!$A$2:$A$3199=TRIM($M$4))*(Tabla_Costos_Insumos!$C$2:$C$3199=TRIM(K105)),Tabla_Costos_Insumos!$E$2:$E$3199,"",0))</f>
        <v>46666.666666666664</v>
      </c>
      <c r="O105" s="442">
        <f t="shared" si="25"/>
        <v>560000</v>
      </c>
      <c r="P105" s="216" t="str">
        <f t="shared" si="31"/>
        <v>Cacao Criollo</v>
      </c>
      <c r="Q105" s="212" t="s">
        <v>108</v>
      </c>
      <c r="R105" s="212">
        <v>0.8</v>
      </c>
      <c r="S105" s="212" t="str">
        <f t="shared" si="34"/>
        <v/>
      </c>
      <c r="T105" s="212" cm="1">
        <f t="array" ref="T105">_xlfn.IFS($D$5&lt;=7, 1.1, $D$5&lt;=12,1.2, $D$5&lt;=25, 1.3, $D$5&gt;25,1.4)</f>
        <v>1.3</v>
      </c>
      <c r="U105" s="212" t="str">
        <f t="shared" si="32"/>
        <v/>
      </c>
      <c r="V105" s="212">
        <v>9</v>
      </c>
      <c r="W105" s="212" t="str">
        <f t="shared" si="33"/>
        <v/>
      </c>
      <c r="X105" s="214">
        <v>9</v>
      </c>
    </row>
    <row r="106" spans="1:24" ht="15">
      <c r="A106" s="211" t="s">
        <v>232</v>
      </c>
      <c r="B106" s="225" t="s">
        <v>233</v>
      </c>
      <c r="C106" s="216" t="s">
        <v>53</v>
      </c>
      <c r="D106" s="216" t="s">
        <v>99</v>
      </c>
      <c r="E106" s="216" t="s">
        <v>100</v>
      </c>
      <c r="F106" s="216" t="s">
        <v>117</v>
      </c>
      <c r="G106" s="216" t="s">
        <v>118</v>
      </c>
      <c r="H106" s="216" t="s">
        <v>121</v>
      </c>
      <c r="I106" s="216" t="s">
        <v>122</v>
      </c>
      <c r="J106" s="216" t="s">
        <v>105</v>
      </c>
      <c r="K106" s="216" t="s">
        <v>106</v>
      </c>
      <c r="L106" s="216" t="s">
        <v>107</v>
      </c>
      <c r="M106" s="217">
        <f t="shared" si="30"/>
        <v>12</v>
      </c>
      <c r="N106" s="442" cm="1">
        <f t="array" ref="N106">IF(TRIM(K106)="Mano de Obra",IF(Formulario!$L$23&lt;&gt;"",Formulario!$L$23,IFERROR(VLOOKUP(TRIM($M$4),Jornalesdeppto!A:C,3,0),"")),_xlfn.XLOOKUP(1,(Tabla_Costos_Insumos!$A$2:$A$3199=TRIM($M$4))*(Tabla_Costos_Insumos!$C$2:$C$3199=TRIM(K106)),Tabla_Costos_Insumos!$E$2:$E$3199,"",0))</f>
        <v>46666.666666666664</v>
      </c>
      <c r="O106" s="442">
        <f t="shared" si="25"/>
        <v>560000</v>
      </c>
      <c r="P106" s="216" t="str">
        <f t="shared" si="31"/>
        <v>Cacao Criollo</v>
      </c>
      <c r="Q106" s="212" t="s">
        <v>108</v>
      </c>
      <c r="R106" s="212">
        <v>0.8</v>
      </c>
      <c r="S106" s="212" t="str">
        <f t="shared" si="34"/>
        <v/>
      </c>
      <c r="T106" s="212" cm="1">
        <f t="array" ref="T106">_xlfn.IFS($D$5&lt;=7, 1.1, $D$5&lt;=12,1.2, $D$5&lt;=25, 1.3, $D$5&gt;25,1.4)</f>
        <v>1.3</v>
      </c>
      <c r="U106" s="212" t="str">
        <f t="shared" si="32"/>
        <v/>
      </c>
      <c r="V106" s="212">
        <v>9</v>
      </c>
      <c r="W106" s="212" t="str">
        <f t="shared" si="33"/>
        <v/>
      </c>
      <c r="X106" s="214">
        <v>9</v>
      </c>
    </row>
    <row r="107" spans="1:24" ht="15">
      <c r="A107" s="211" t="s">
        <v>232</v>
      </c>
      <c r="B107" s="225" t="s">
        <v>233</v>
      </c>
      <c r="C107" s="216" t="s">
        <v>53</v>
      </c>
      <c r="D107" s="216" t="s">
        <v>99</v>
      </c>
      <c r="E107" s="216" t="s">
        <v>100</v>
      </c>
      <c r="F107" s="216" t="s">
        <v>123</v>
      </c>
      <c r="G107" s="216" t="s">
        <v>124</v>
      </c>
      <c r="H107" s="216" t="s">
        <v>125</v>
      </c>
      <c r="I107" s="216" t="s">
        <v>126</v>
      </c>
      <c r="J107" s="216" t="s">
        <v>105</v>
      </c>
      <c r="K107" s="216" t="s">
        <v>106</v>
      </c>
      <c r="L107" s="216" t="s">
        <v>107</v>
      </c>
      <c r="M107" s="217">
        <f t="shared" si="30"/>
        <v>3</v>
      </c>
      <c r="N107" s="442" cm="1">
        <f t="array" ref="N107">IF(TRIM(K107)="Mano de Obra",IF(Formulario!$L$23&lt;&gt;"",Formulario!$L$23,IFERROR(VLOOKUP(TRIM($M$4),Jornalesdeppto!A:C,3,0),"")),_xlfn.XLOOKUP(1,(Tabla_Costos_Insumos!$A$2:$A$3199=TRIM($M$4))*(Tabla_Costos_Insumos!$C$2:$C$3199=TRIM(K107)),Tabla_Costos_Insumos!$E$2:$E$3199,"",0))</f>
        <v>46666.666666666664</v>
      </c>
      <c r="O107" s="442">
        <f t="shared" si="25"/>
        <v>140000</v>
      </c>
      <c r="P107" s="216" t="str">
        <f t="shared" si="31"/>
        <v>Cacao Criollo</v>
      </c>
      <c r="Q107" s="212" t="s">
        <v>108</v>
      </c>
      <c r="R107" s="212">
        <v>0.09</v>
      </c>
      <c r="S107" s="212" t="str">
        <f t="shared" si="34"/>
        <v/>
      </c>
      <c r="T107" s="212" cm="1">
        <f t="array" ref="T107">_xlfn.IFS($D$5&lt;=7, 1.1, $D$5&lt;=12,1.2, $D$5&lt;=25, 1.3, $D$5&gt;25,1.4)</f>
        <v>1.3</v>
      </c>
      <c r="U107" s="212" t="str">
        <f t="shared" si="32"/>
        <v/>
      </c>
      <c r="V107" s="212">
        <v>4</v>
      </c>
      <c r="W107" s="212" t="str">
        <f t="shared" si="33"/>
        <v/>
      </c>
      <c r="X107" s="214">
        <v>2</v>
      </c>
    </row>
    <row r="108" spans="1:24" ht="15">
      <c r="A108" s="211" t="s">
        <v>232</v>
      </c>
      <c r="B108" s="225" t="s">
        <v>233</v>
      </c>
      <c r="C108" s="216" t="s">
        <v>53</v>
      </c>
      <c r="D108" s="216" t="s">
        <v>99</v>
      </c>
      <c r="E108" s="216" t="s">
        <v>100</v>
      </c>
      <c r="F108" s="216" t="s">
        <v>123</v>
      </c>
      <c r="G108" s="216" t="s">
        <v>124</v>
      </c>
      <c r="H108" s="216" t="s">
        <v>128</v>
      </c>
      <c r="I108" s="216" t="s">
        <v>129</v>
      </c>
      <c r="J108" s="216" t="s">
        <v>105</v>
      </c>
      <c r="K108" s="216" t="s">
        <v>106</v>
      </c>
      <c r="L108" s="216" t="s">
        <v>107</v>
      </c>
      <c r="M108" s="217">
        <f t="shared" si="30"/>
        <v>10</v>
      </c>
      <c r="N108" s="442" cm="1">
        <f t="array" ref="N108">IF(TRIM(K108)="Mano de Obra",IF(Formulario!$L$23&lt;&gt;"",Formulario!$L$23,IFERROR(VLOOKUP(TRIM($M$4),Jornalesdeppto!A:C,3,0),"")),_xlfn.XLOOKUP(1,(Tabla_Costos_Insumos!$A$2:$A$3199=TRIM($M$4))*(Tabla_Costos_Insumos!$C$2:$C$3199=TRIM(K108)),Tabla_Costos_Insumos!$E$2:$E$3199,"",0))</f>
        <v>46666.666666666664</v>
      </c>
      <c r="O108" s="442">
        <f t="shared" si="25"/>
        <v>466666.66666666663</v>
      </c>
      <c r="P108" s="216" t="str">
        <f t="shared" si="31"/>
        <v>Cacao Criollo</v>
      </c>
      <c r="Q108" s="212" t="s">
        <v>108</v>
      </c>
      <c r="R108" s="212">
        <v>0.09</v>
      </c>
      <c r="S108" s="212" t="str">
        <f t="shared" si="34"/>
        <v/>
      </c>
      <c r="T108" s="212" cm="1">
        <f t="array" ref="T108">_xlfn.IFS($D$5&lt;=7, 1.1, $D$5&lt;=12,1.2, $D$5&lt;=25, 1.3, $D$5&gt;25,1.4)</f>
        <v>1.3</v>
      </c>
      <c r="U108" s="212" t="str">
        <f t="shared" si="32"/>
        <v/>
      </c>
      <c r="V108" s="212">
        <v>4</v>
      </c>
      <c r="W108" s="212" t="str">
        <f t="shared" si="33"/>
        <v/>
      </c>
      <c r="X108" s="214">
        <v>7</v>
      </c>
    </row>
    <row r="109" spans="1:24" ht="15">
      <c r="A109" s="211" t="s">
        <v>232</v>
      </c>
      <c r="B109" s="225" t="s">
        <v>233</v>
      </c>
      <c r="C109" s="216" t="s">
        <v>53</v>
      </c>
      <c r="D109" s="216" t="s">
        <v>99</v>
      </c>
      <c r="E109" s="216" t="s">
        <v>100</v>
      </c>
      <c r="F109" s="216" t="s">
        <v>130</v>
      </c>
      <c r="G109" s="216" t="s">
        <v>131</v>
      </c>
      <c r="H109" s="216" t="s">
        <v>134</v>
      </c>
      <c r="I109" s="216" t="s">
        <v>135</v>
      </c>
      <c r="J109" s="216" t="s">
        <v>105</v>
      </c>
      <c r="K109" s="216" t="s">
        <v>106</v>
      </c>
      <c r="L109" s="216" t="s">
        <v>107</v>
      </c>
      <c r="M109" s="217">
        <f t="shared" si="30"/>
        <v>6</v>
      </c>
      <c r="N109" s="442" cm="1">
        <f t="array" ref="N109">IF(TRIM(K109)="Mano de Obra",IF(Formulario!$L$23&lt;&gt;"",Formulario!$L$23,IFERROR(VLOOKUP(TRIM($M$4),Jornalesdeppto!A:C,3,0),"")),_xlfn.XLOOKUP(1,(Tabla_Costos_Insumos!$A$2:$A$3199=TRIM($M$4))*(Tabla_Costos_Insumos!$C$2:$C$3199=TRIM(K109)),Tabla_Costos_Insumos!$E$2:$E$3199,"",0))</f>
        <v>46666.666666666664</v>
      </c>
      <c r="O109" s="442">
        <f t="shared" si="25"/>
        <v>280000</v>
      </c>
      <c r="P109" s="216" t="str">
        <f t="shared" si="31"/>
        <v>Cacao Criollo</v>
      </c>
      <c r="Q109" s="212" t="s">
        <v>108</v>
      </c>
      <c r="R109" s="212">
        <v>3</v>
      </c>
      <c r="S109" s="212" t="str">
        <f t="shared" si="34"/>
        <v/>
      </c>
      <c r="T109" s="212" cm="1">
        <f t="array" ref="T109">_xlfn.IFS($D$5&lt;=7, 1.1, $D$5&lt;=12,1.2, $D$5&lt;=25, 1.3, $D$5&gt;25,1.4)</f>
        <v>1.3</v>
      </c>
      <c r="U109" s="212" t="str">
        <f t="shared" si="32"/>
        <v/>
      </c>
      <c r="V109" s="212">
        <v>2</v>
      </c>
      <c r="W109" s="212" t="str">
        <f t="shared" si="33"/>
        <v/>
      </c>
      <c r="X109" s="214">
        <v>4</v>
      </c>
    </row>
    <row r="110" spans="1:24" ht="15">
      <c r="A110" s="211" t="s">
        <v>232</v>
      </c>
      <c r="B110" s="225" t="s">
        <v>233</v>
      </c>
      <c r="C110" s="216" t="s">
        <v>53</v>
      </c>
      <c r="D110" s="216" t="s">
        <v>145</v>
      </c>
      <c r="E110" s="216" t="s">
        <v>146</v>
      </c>
      <c r="F110" s="216" t="s">
        <v>219</v>
      </c>
      <c r="G110" s="216" t="s">
        <v>220</v>
      </c>
      <c r="H110" s="216" t="s">
        <v>221</v>
      </c>
      <c r="I110" s="216" t="s">
        <v>222</v>
      </c>
      <c r="J110" s="216" t="s">
        <v>223</v>
      </c>
      <c r="K110" s="216" t="s">
        <v>236</v>
      </c>
      <c r="L110" s="216" t="s">
        <v>197</v>
      </c>
      <c r="M110" s="217">
        <f>$I$3</f>
        <v>1540</v>
      </c>
      <c r="N110" s="442">
        <v>3000</v>
      </c>
      <c r="O110" s="442">
        <f t="shared" si="25"/>
        <v>4620000</v>
      </c>
      <c r="P110" s="216" t="str">
        <f t="shared" si="31"/>
        <v>Cacao Criollo</v>
      </c>
      <c r="Q110" s="212" t="s">
        <v>142</v>
      </c>
      <c r="R110" s="212" t="s">
        <v>142</v>
      </c>
      <c r="S110" s="212"/>
      <c r="T110" s="212"/>
      <c r="U110" s="212"/>
      <c r="V110" s="212" t="s">
        <v>142</v>
      </c>
      <c r="W110" s="212"/>
      <c r="X110" s="214"/>
    </row>
    <row r="111" spans="1:24" ht="15">
      <c r="A111" s="211" t="s">
        <v>232</v>
      </c>
      <c r="B111" s="225" t="s">
        <v>233</v>
      </c>
      <c r="C111" s="216" t="s">
        <v>53</v>
      </c>
      <c r="D111" s="216" t="s">
        <v>145</v>
      </c>
      <c r="E111" s="216" t="s">
        <v>146</v>
      </c>
      <c r="F111" s="216" t="s">
        <v>147</v>
      </c>
      <c r="G111" s="216" t="s">
        <v>131</v>
      </c>
      <c r="H111" s="216" t="s">
        <v>165</v>
      </c>
      <c r="I111" s="216" t="s">
        <v>153</v>
      </c>
      <c r="J111" s="216" t="s">
        <v>149</v>
      </c>
      <c r="K111" s="216" t="s">
        <v>4110</v>
      </c>
      <c r="L111" s="216" t="s">
        <v>151</v>
      </c>
      <c r="M111" s="217">
        <v>4</v>
      </c>
      <c r="N111" s="442" cm="1">
        <f t="array" ref="N111">IF(TRIM(K111)="Mano de Obra",IF(Formulario!$L$23&lt;&gt;"",Formulario!$L$23,IFERROR(VLOOKUP(TRIM($M$4),Jornalesdeppto!A:C,3,0),"")),_xlfn.XLOOKUP(1,(Tabla_Costos_Insumos!$A$2:$A$3199=TRIM($M$4))*(Tabla_Costos_Insumos!$C$2:$C$3199=TRIM(K111)),Tabla_Costos_Insumos!$E$2:$E$3199,"",0))</f>
        <v>125849.2424242409</v>
      </c>
      <c r="O111" s="442">
        <f t="shared" si="25"/>
        <v>503396.96969696361</v>
      </c>
      <c r="P111" s="216" t="str">
        <f t="shared" si="31"/>
        <v>Cacao Criollo</v>
      </c>
      <c r="Q111" s="212" t="s">
        <v>142</v>
      </c>
      <c r="R111" s="212" t="s">
        <v>142</v>
      </c>
      <c r="S111" s="212"/>
      <c r="T111" s="212"/>
      <c r="U111" s="212"/>
      <c r="V111" s="212" t="s">
        <v>142</v>
      </c>
      <c r="W111" s="212"/>
      <c r="X111" s="214"/>
    </row>
    <row r="112" spans="1:24" ht="15">
      <c r="A112" s="211" t="s">
        <v>232</v>
      </c>
      <c r="B112" s="225" t="s">
        <v>233</v>
      </c>
      <c r="C112" s="216" t="s">
        <v>53</v>
      </c>
      <c r="D112" s="216" t="s">
        <v>145</v>
      </c>
      <c r="E112" s="216" t="s">
        <v>146</v>
      </c>
      <c r="F112" s="216" t="s">
        <v>147</v>
      </c>
      <c r="G112" s="216" t="s">
        <v>131</v>
      </c>
      <c r="H112" s="216" t="s">
        <v>148</v>
      </c>
      <c r="I112" s="216" t="s">
        <v>299</v>
      </c>
      <c r="J112" s="216" t="s">
        <v>149</v>
      </c>
      <c r="K112" s="216" t="s">
        <v>150</v>
      </c>
      <c r="L112" s="216" t="s">
        <v>151</v>
      </c>
      <c r="M112" s="217">
        <v>1</v>
      </c>
      <c r="N112" s="442" cm="1">
        <f t="array" ref="N112">IF(TRIM(K112)="Mano de Obra",IF(Formulario!$L$23&lt;&gt;"",Formulario!$L$23,IFERROR(VLOOKUP(TRIM($M$4),Jornalesdeppto!A:C,3,0),"")),_xlfn.XLOOKUP(1,(Tabla_Costos_Insumos!$A$2:$A$3199=TRIM($M$4))*(Tabla_Costos_Insumos!$C$2:$C$3199=TRIM(K112)),Tabla_Costos_Insumos!$E$2:$E$3199,"",0))</f>
        <v>198055.68333333</v>
      </c>
      <c r="O112" s="442">
        <f t="shared" si="25"/>
        <v>198055.68333333</v>
      </c>
      <c r="P112" s="216" t="str">
        <f t="shared" si="31"/>
        <v>Cacao Criollo</v>
      </c>
      <c r="Q112" s="212" t="s">
        <v>142</v>
      </c>
      <c r="R112" s="212" t="s">
        <v>142</v>
      </c>
      <c r="S112" s="212"/>
      <c r="T112" s="212"/>
      <c r="U112" s="212"/>
      <c r="V112" s="212" t="s">
        <v>142</v>
      </c>
      <c r="W112" s="212"/>
      <c r="X112" s="214"/>
    </row>
    <row r="113" spans="1:24" ht="15">
      <c r="A113" s="211" t="s">
        <v>232</v>
      </c>
      <c r="B113" s="225" t="s">
        <v>233</v>
      </c>
      <c r="C113" s="216" t="s">
        <v>53</v>
      </c>
      <c r="D113" s="216" t="s">
        <v>145</v>
      </c>
      <c r="E113" s="216" t="s">
        <v>146</v>
      </c>
      <c r="F113" s="216" t="s">
        <v>147</v>
      </c>
      <c r="G113" s="216" t="s">
        <v>131</v>
      </c>
      <c r="H113" s="216" t="s">
        <v>154</v>
      </c>
      <c r="I113" s="216" t="s">
        <v>155</v>
      </c>
      <c r="J113" s="216" t="s">
        <v>149</v>
      </c>
      <c r="K113" s="216" t="s">
        <v>156</v>
      </c>
      <c r="L113" s="216" t="s">
        <v>151</v>
      </c>
      <c r="M113" s="217">
        <v>2</v>
      </c>
      <c r="N113" s="442" cm="1">
        <f t="array" ref="N113">IF(TRIM(K113)="Mano de Obra",IF(Formulario!$L$23&lt;&gt;"",Formulario!$L$23,IFERROR(VLOOKUP(TRIM($M$4),Jornalesdeppto!A:C,3,0),"")),_xlfn.XLOOKUP(1,(Tabla_Costos_Insumos!$A$2:$A$3199=TRIM($M$4))*(Tabla_Costos_Insumos!$C$2:$C$3199=TRIM(K113)),Tabla_Costos_Insumos!$E$2:$E$3199,"",0))</f>
        <v>17212.5</v>
      </c>
      <c r="O113" s="442">
        <f t="shared" si="25"/>
        <v>34425</v>
      </c>
      <c r="P113" s="216" t="str">
        <f t="shared" si="31"/>
        <v>Cacao Criollo</v>
      </c>
      <c r="Q113" s="212" t="s">
        <v>142</v>
      </c>
      <c r="R113" s="212" t="s">
        <v>142</v>
      </c>
      <c r="S113" s="212"/>
      <c r="T113" s="212"/>
      <c r="U113" s="212"/>
      <c r="V113" s="212" t="s">
        <v>142</v>
      </c>
      <c r="W113" s="212"/>
      <c r="X113" s="214"/>
    </row>
    <row r="114" spans="1:24" ht="15">
      <c r="A114" s="211" t="s">
        <v>232</v>
      </c>
      <c r="B114" s="225" t="s">
        <v>233</v>
      </c>
      <c r="C114" s="216" t="s">
        <v>53</v>
      </c>
      <c r="D114" s="216" t="s">
        <v>145</v>
      </c>
      <c r="E114" s="216" t="s">
        <v>146</v>
      </c>
      <c r="F114" s="216" t="s">
        <v>147</v>
      </c>
      <c r="G114" s="216" t="s">
        <v>131</v>
      </c>
      <c r="H114" s="216" t="s">
        <v>157</v>
      </c>
      <c r="I114" s="216" t="s">
        <v>158</v>
      </c>
      <c r="J114" s="216" t="s">
        <v>149</v>
      </c>
      <c r="K114" s="216" t="s">
        <v>237</v>
      </c>
      <c r="L114" s="216" t="s">
        <v>172</v>
      </c>
      <c r="M114" s="217">
        <v>9</v>
      </c>
      <c r="N114" s="442" cm="1">
        <f t="array" ref="N114">IF(TRIM(K114)="Mano de Obra",IF(Formulario!$L$23&lt;&gt;"",Formulario!$L$23,IFERROR(VLOOKUP(TRIM($M$4),Jornalesdeppto!A:C,3,0),"")),_xlfn.XLOOKUP(1,(Tabla_Costos_Insumos!$A$2:$A$3199=TRIM($M$4))*(Tabla_Costos_Insumos!$C$2:$C$3199=TRIM(K114)),Tabla_Costos_Insumos!$E$2:$E$3199,"",0))</f>
        <v>26190.48</v>
      </c>
      <c r="O114" s="442">
        <f t="shared" si="25"/>
        <v>235714.32</v>
      </c>
      <c r="P114" s="216" t="str">
        <f t="shared" si="31"/>
        <v>Cacao Criollo</v>
      </c>
      <c r="Q114" s="212" t="s">
        <v>142</v>
      </c>
      <c r="R114" s="212" t="s">
        <v>142</v>
      </c>
      <c r="S114" s="212"/>
      <c r="T114" s="212"/>
      <c r="U114" s="212"/>
      <c r="V114" s="212" t="s">
        <v>142</v>
      </c>
      <c r="W114" s="212"/>
      <c r="X114" s="214"/>
    </row>
    <row r="115" spans="1:24" ht="15">
      <c r="A115" s="211" t="s">
        <v>232</v>
      </c>
      <c r="B115" s="225" t="s">
        <v>233</v>
      </c>
      <c r="C115" s="216" t="s">
        <v>53</v>
      </c>
      <c r="D115" s="216" t="s">
        <v>145</v>
      </c>
      <c r="E115" s="216" t="s">
        <v>146</v>
      </c>
      <c r="F115" s="216" t="s">
        <v>147</v>
      </c>
      <c r="G115" s="216" t="s">
        <v>131</v>
      </c>
      <c r="H115" s="216" t="s">
        <v>161</v>
      </c>
      <c r="I115" s="216" t="s">
        <v>162</v>
      </c>
      <c r="J115" s="216" t="s">
        <v>149</v>
      </c>
      <c r="K115" s="216" t="s">
        <v>163</v>
      </c>
      <c r="L115" s="216" t="s">
        <v>164</v>
      </c>
      <c r="M115" s="217">
        <v>2</v>
      </c>
      <c r="N115" s="442" cm="1">
        <f t="array" ref="N115">IF(TRIM(K115)="Mano de Obra",IF(Formulario!$L$23&lt;&gt;"",Formulario!$L$23,IFERROR(VLOOKUP(TRIM($M$4),Jornalesdeppto!A:C,3,0),"")),_xlfn.XLOOKUP(1,(Tabla_Costos_Insumos!$A$2:$A$3199=TRIM($M$4))*(Tabla_Costos_Insumos!$C$2:$C$3199=TRIM(K115)),Tabla_Costos_Insumos!$E$2:$E$3199,"",0))</f>
        <v>128084.44444445</v>
      </c>
      <c r="O115" s="442">
        <f t="shared" si="25"/>
        <v>256168.88888889999</v>
      </c>
      <c r="P115" s="216" t="str">
        <f t="shared" si="31"/>
        <v>Cacao Criollo</v>
      </c>
      <c r="Q115" s="212" t="s">
        <v>142</v>
      </c>
      <c r="R115" s="212" t="s">
        <v>142</v>
      </c>
      <c r="S115" s="212"/>
      <c r="T115" s="212"/>
      <c r="U115" s="212"/>
      <c r="V115" s="212" t="s">
        <v>142</v>
      </c>
      <c r="W115" s="212"/>
      <c r="X115" s="214"/>
    </row>
    <row r="116" spans="1:24" ht="15">
      <c r="A116" s="211" t="s">
        <v>232</v>
      </c>
      <c r="B116" s="225" t="s">
        <v>233</v>
      </c>
      <c r="C116" s="216" t="s">
        <v>53</v>
      </c>
      <c r="D116" s="216" t="s">
        <v>145</v>
      </c>
      <c r="E116" s="216" t="s">
        <v>146</v>
      </c>
      <c r="F116" s="216" t="s">
        <v>147</v>
      </c>
      <c r="G116" s="216" t="s">
        <v>131</v>
      </c>
      <c r="H116" s="216" t="s">
        <v>165</v>
      </c>
      <c r="I116" s="216" t="s">
        <v>153</v>
      </c>
      <c r="J116" s="216" t="s">
        <v>149</v>
      </c>
      <c r="K116" s="216" t="s">
        <v>166</v>
      </c>
      <c r="L116" s="216" t="s">
        <v>151</v>
      </c>
      <c r="M116" s="217">
        <v>4</v>
      </c>
      <c r="N116" s="442" cm="1">
        <f t="array" ref="N116">IF(TRIM(K116)="Mano de Obra",IF(Formulario!$L$23&lt;&gt;"",Formulario!$L$23,IFERROR(VLOOKUP(TRIM($M$4),Jornalesdeppto!A:C,3,0),"")),_xlfn.XLOOKUP(1,(Tabla_Costos_Insumos!$A$2:$A$3199=TRIM($M$4))*(Tabla_Costos_Insumos!$C$2:$C$3199=TRIM(K116)),Tabla_Costos_Insumos!$E$2:$E$3199,"",0))</f>
        <v>110000</v>
      </c>
      <c r="O116" s="442">
        <f t="shared" si="25"/>
        <v>440000</v>
      </c>
      <c r="P116" s="216" t="str">
        <f t="shared" si="31"/>
        <v>Cacao Criollo</v>
      </c>
      <c r="Q116" s="212" t="s">
        <v>142</v>
      </c>
      <c r="R116" s="212" t="s">
        <v>142</v>
      </c>
      <c r="S116" s="212"/>
      <c r="T116" s="212"/>
      <c r="U116" s="212"/>
      <c r="V116" s="212" t="s">
        <v>142</v>
      </c>
      <c r="W116" s="212"/>
      <c r="X116" s="214"/>
    </row>
    <row r="117" spans="1:24" ht="15">
      <c r="A117" s="211" t="s">
        <v>232</v>
      </c>
      <c r="B117" s="225" t="s">
        <v>233</v>
      </c>
      <c r="C117" s="216" t="s">
        <v>53</v>
      </c>
      <c r="D117" s="216" t="s">
        <v>145</v>
      </c>
      <c r="E117" s="216" t="s">
        <v>146</v>
      </c>
      <c r="F117" s="216" t="s">
        <v>167</v>
      </c>
      <c r="G117" s="216" t="s">
        <v>118</v>
      </c>
      <c r="H117" s="216" t="s">
        <v>168</v>
      </c>
      <c r="I117" s="216" t="s">
        <v>169</v>
      </c>
      <c r="J117" s="216" t="s">
        <v>170</v>
      </c>
      <c r="K117" s="216" t="s">
        <v>238</v>
      </c>
      <c r="L117" s="216" t="s">
        <v>239</v>
      </c>
      <c r="M117" s="217">
        <v>18</v>
      </c>
      <c r="N117" s="442" cm="1">
        <f t="array" ref="N117">IF(TRIM(K117)="Mano de Obra",IF(Formulario!$L$23&lt;&gt;"",Formulario!$L$23,IFERROR(VLOOKUP(TRIM($M$4),Jornalesdeppto!A:C,3,0),"")),_xlfn.XLOOKUP(1,(Tabla_Costos_Insumos!$A$2:$A$3199=TRIM($M$4))*(Tabla_Costos_Insumos!$C$2:$C$3199=TRIM(K117)),Tabla_Costos_Insumos!$E$2:$E$3199,"",0))</f>
        <v>29539.195833332098</v>
      </c>
      <c r="O117" s="442">
        <f t="shared" si="25"/>
        <v>531705.52499997779</v>
      </c>
      <c r="P117" s="216" t="str">
        <f t="shared" si="31"/>
        <v>Cacao Criollo</v>
      </c>
      <c r="Q117" s="212" t="s">
        <v>142</v>
      </c>
      <c r="R117" s="212" t="s">
        <v>142</v>
      </c>
      <c r="S117" s="212"/>
      <c r="T117" s="212"/>
      <c r="U117" s="212"/>
      <c r="V117" s="212" t="s">
        <v>142</v>
      </c>
      <c r="W117" s="212"/>
      <c r="X117" s="214"/>
    </row>
    <row r="118" spans="1:24" ht="15">
      <c r="A118" s="211" t="s">
        <v>232</v>
      </c>
      <c r="B118" s="225" t="s">
        <v>233</v>
      </c>
      <c r="C118" s="216" t="s">
        <v>53</v>
      </c>
      <c r="D118" s="216" t="s">
        <v>145</v>
      </c>
      <c r="E118" s="216" t="s">
        <v>146</v>
      </c>
      <c r="F118" s="216" t="s">
        <v>167</v>
      </c>
      <c r="G118" s="216" t="s">
        <v>118</v>
      </c>
      <c r="H118" s="216" t="s">
        <v>168</v>
      </c>
      <c r="I118" s="216" t="s">
        <v>169</v>
      </c>
      <c r="J118" s="216" t="s">
        <v>170</v>
      </c>
      <c r="K118" s="216" t="s">
        <v>240</v>
      </c>
      <c r="L118" s="216" t="s">
        <v>172</v>
      </c>
      <c r="M118" s="217">
        <v>9</v>
      </c>
      <c r="N118" s="442" cm="1">
        <f t="array" ref="N118">IF(TRIM(K118)="Mano de Obra",IF(Formulario!$L$23&lt;&gt;"",Formulario!$L$23,IFERROR(VLOOKUP(TRIM($M$4),Jornalesdeppto!A:C,3,0),"")),_xlfn.XLOOKUP(1,(Tabla_Costos_Insumos!$A$2:$A$3199=TRIM($M$4))*(Tabla_Costos_Insumos!$C$2:$C$3199=TRIM(K118)),Tabla_Costos_Insumos!$E$2:$E$3199,"",0))</f>
        <v>23574.34</v>
      </c>
      <c r="O118" s="442">
        <f t="shared" si="25"/>
        <v>212169.06</v>
      </c>
      <c r="P118" s="216" t="str">
        <f t="shared" si="31"/>
        <v>Cacao Criollo</v>
      </c>
      <c r="Q118" s="212" t="s">
        <v>142</v>
      </c>
      <c r="R118" s="212" t="s">
        <v>142</v>
      </c>
      <c r="S118" s="212"/>
      <c r="T118" s="212"/>
      <c r="U118" s="212"/>
      <c r="V118" s="212" t="s">
        <v>142</v>
      </c>
      <c r="W118" s="212"/>
      <c r="X118" s="214"/>
    </row>
    <row r="119" spans="1:24" ht="15">
      <c r="A119" s="211" t="s">
        <v>232</v>
      </c>
      <c r="B119" s="225" t="s">
        <v>233</v>
      </c>
      <c r="C119" s="216" t="s">
        <v>53</v>
      </c>
      <c r="D119" s="216" t="s">
        <v>145</v>
      </c>
      <c r="E119" s="216" t="s">
        <v>146</v>
      </c>
      <c r="F119" s="216" t="s">
        <v>167</v>
      </c>
      <c r="G119" s="216" t="s">
        <v>118</v>
      </c>
      <c r="H119" s="216" t="s">
        <v>174</v>
      </c>
      <c r="I119" s="216" t="s">
        <v>175</v>
      </c>
      <c r="J119" s="216" t="s">
        <v>176</v>
      </c>
      <c r="K119" s="216" t="s">
        <v>231</v>
      </c>
      <c r="L119" s="216" t="s">
        <v>172</v>
      </c>
      <c r="M119" s="217">
        <v>16</v>
      </c>
      <c r="N119" s="442" cm="1">
        <f t="array" ref="N119">IF(TRIM(K119)="Mano de Obra",IF(Formulario!$L$23&lt;&gt;"",Formulario!$L$23,IFERROR(VLOOKUP(TRIM($M$4),Jornalesdeppto!A:C,3,0),"")),_xlfn.XLOOKUP(1,(Tabla_Costos_Insumos!$A$2:$A$3199=TRIM($M$4))*(Tabla_Costos_Insumos!$C$2:$C$3199=TRIM(K119)),Tabla_Costos_Insumos!$E$2:$E$3199,"",0))</f>
        <v>23177.15</v>
      </c>
      <c r="O119" s="442">
        <f t="shared" si="25"/>
        <v>370834.4</v>
      </c>
      <c r="P119" s="216" t="str">
        <f t="shared" si="31"/>
        <v>Cacao Criollo</v>
      </c>
      <c r="Q119" s="212" t="s">
        <v>142</v>
      </c>
      <c r="R119" s="212" t="s">
        <v>142</v>
      </c>
      <c r="S119" s="212"/>
      <c r="T119" s="212"/>
      <c r="U119" s="212"/>
      <c r="V119" s="212" t="s">
        <v>142</v>
      </c>
      <c r="W119" s="212"/>
      <c r="X119" s="214"/>
    </row>
    <row r="120" spans="1:24" ht="15">
      <c r="A120" s="211" t="s">
        <v>232</v>
      </c>
      <c r="B120" s="225" t="s">
        <v>233</v>
      </c>
      <c r="C120" s="216" t="s">
        <v>53</v>
      </c>
      <c r="D120" s="216" t="s">
        <v>145</v>
      </c>
      <c r="E120" s="216" t="s">
        <v>146</v>
      </c>
      <c r="F120" s="216" t="s">
        <v>167</v>
      </c>
      <c r="G120" s="216" t="s">
        <v>118</v>
      </c>
      <c r="H120" s="216" t="s">
        <v>178</v>
      </c>
      <c r="I120" s="216" t="s">
        <v>179</v>
      </c>
      <c r="J120" s="216" t="s">
        <v>180</v>
      </c>
      <c r="K120" s="216" t="s">
        <v>241</v>
      </c>
      <c r="L120" s="216" t="s">
        <v>172</v>
      </c>
      <c r="M120" s="217">
        <v>2</v>
      </c>
      <c r="N120" s="442" cm="1">
        <f t="array" ref="N120">IF(TRIM(K120)="Mano de Obra",IF(Formulario!$L$23&lt;&gt;"",Formulario!$L$23,IFERROR(VLOOKUP(TRIM($M$4),Jornalesdeppto!A:C,3,0),"")),_xlfn.XLOOKUP(1,(Tabla_Costos_Insumos!$A$2:$A$3199=TRIM($M$4))*(Tabla_Costos_Insumos!$C$2:$C$3199=TRIM(K120)),Tabla_Costos_Insumos!$E$2:$E$3199,"",0))</f>
        <v>27783.173860907915</v>
      </c>
      <c r="O120" s="442">
        <f t="shared" si="25"/>
        <v>55566.34772181583</v>
      </c>
      <c r="P120" s="216" t="str">
        <f t="shared" si="31"/>
        <v>Cacao Criollo</v>
      </c>
      <c r="Q120" s="212" t="s">
        <v>142</v>
      </c>
      <c r="R120" s="212" t="s">
        <v>142</v>
      </c>
      <c r="S120" s="212"/>
      <c r="T120" s="212"/>
      <c r="U120" s="212"/>
      <c r="V120" s="212" t="s">
        <v>142</v>
      </c>
      <c r="W120" s="212"/>
      <c r="X120" s="214"/>
    </row>
    <row r="121" spans="1:24" ht="15">
      <c r="A121" s="211" t="s">
        <v>232</v>
      </c>
      <c r="B121" s="225" t="s">
        <v>233</v>
      </c>
      <c r="C121" s="216" t="s">
        <v>53</v>
      </c>
      <c r="D121" s="216" t="s">
        <v>145</v>
      </c>
      <c r="E121" s="216" t="s">
        <v>146</v>
      </c>
      <c r="F121" s="216" t="s">
        <v>167</v>
      </c>
      <c r="G121" s="216" t="s">
        <v>118</v>
      </c>
      <c r="H121" s="216" t="s">
        <v>178</v>
      </c>
      <c r="I121" s="216" t="s">
        <v>179</v>
      </c>
      <c r="J121" s="216" t="s">
        <v>180</v>
      </c>
      <c r="K121" s="216" t="s">
        <v>242</v>
      </c>
      <c r="L121" s="216" t="s">
        <v>172</v>
      </c>
      <c r="M121" s="217">
        <v>3</v>
      </c>
      <c r="N121" s="442" cm="1">
        <f t="array" ref="N121">IF(TRIM(K121)="Mano de Obra",IF(Formulario!$L$23&lt;&gt;"",Formulario!$L$23,IFERROR(VLOOKUP(TRIM($M$4),Jornalesdeppto!A:C,3,0),"")),_xlfn.XLOOKUP(1,(Tabla_Costos_Insumos!$A$2:$A$3199=TRIM($M$4))*(Tabla_Costos_Insumos!$C$2:$C$3199=TRIM(K121)),Tabla_Costos_Insumos!$E$2:$E$3199,"",0))</f>
        <v>30026.06</v>
      </c>
      <c r="O121" s="442">
        <f t="shared" si="25"/>
        <v>90078.180000000008</v>
      </c>
      <c r="P121" s="216" t="str">
        <f t="shared" si="31"/>
        <v>Cacao Criollo</v>
      </c>
      <c r="Q121" s="212" t="s">
        <v>142</v>
      </c>
      <c r="R121" s="212" t="s">
        <v>142</v>
      </c>
      <c r="S121" s="212"/>
      <c r="T121" s="212"/>
      <c r="U121" s="212"/>
      <c r="V121" s="212" t="s">
        <v>142</v>
      </c>
      <c r="W121" s="212"/>
      <c r="X121" s="214"/>
    </row>
    <row r="122" spans="1:24" ht="15">
      <c r="A122" s="211" t="s">
        <v>232</v>
      </c>
      <c r="B122" s="225" t="s">
        <v>233</v>
      </c>
      <c r="C122" s="216" t="s">
        <v>53</v>
      </c>
      <c r="D122" s="216" t="s">
        <v>145</v>
      </c>
      <c r="E122" s="216" t="s">
        <v>146</v>
      </c>
      <c r="F122" s="216" t="s">
        <v>183</v>
      </c>
      <c r="G122" s="216" t="s">
        <v>184</v>
      </c>
      <c r="H122" s="216" t="s">
        <v>185</v>
      </c>
      <c r="I122" s="216" t="s">
        <v>186</v>
      </c>
      <c r="J122" s="216" t="s">
        <v>105</v>
      </c>
      <c r="K122" s="216" t="s">
        <v>187</v>
      </c>
      <c r="L122" s="216" t="s">
        <v>188</v>
      </c>
      <c r="M122" s="217">
        <v>0.1</v>
      </c>
      <c r="N122" s="442" cm="1">
        <f t="array" ref="N122">IF(TRIM(K122)="Mano de Obra",IF(Formulario!$L$23&lt;&gt;"",Formulario!$L$23,IFERROR(VLOOKUP(TRIM($M$4),Jornalesdeppto!A:C,3,0),"")),_xlfn.XLOOKUP(1,(Tabla_Costos_Insumos!$A$2:$A$3199=TRIM($M$4))*(Tabla_Costos_Insumos!$C$2:$C$3199=TRIM(K122)),Tabla_Costos_Insumos!$E$2:$E$3199,"",0))</f>
        <v>175000</v>
      </c>
      <c r="O122" s="442">
        <f t="shared" si="25"/>
        <v>17500</v>
      </c>
      <c r="P122" s="216" t="str">
        <f t="shared" si="31"/>
        <v>Cacao Criollo</v>
      </c>
      <c r="Q122" s="212" t="s">
        <v>142</v>
      </c>
      <c r="R122" s="212" t="s">
        <v>142</v>
      </c>
      <c r="S122" s="212"/>
      <c r="T122" s="212"/>
      <c r="U122" s="212"/>
      <c r="V122" s="212" t="s">
        <v>142</v>
      </c>
      <c r="W122" s="212"/>
      <c r="X122" s="214"/>
    </row>
    <row r="123" spans="1:24" ht="15">
      <c r="A123" s="211" t="s">
        <v>232</v>
      </c>
      <c r="B123" s="225" t="s">
        <v>233</v>
      </c>
      <c r="C123" s="216" t="s">
        <v>53</v>
      </c>
      <c r="D123" s="216" t="s">
        <v>189</v>
      </c>
      <c r="E123" s="216" t="s">
        <v>190</v>
      </c>
      <c r="F123" s="216" t="s">
        <v>191</v>
      </c>
      <c r="G123" s="216" t="s">
        <v>192</v>
      </c>
      <c r="H123" s="216" t="s">
        <v>193</v>
      </c>
      <c r="I123" s="216" t="s">
        <v>194</v>
      </c>
      <c r="J123" s="216" t="s">
        <v>195</v>
      </c>
      <c r="K123" s="216" t="s">
        <v>196</v>
      </c>
      <c r="L123" s="216" t="s">
        <v>197</v>
      </c>
      <c r="M123" s="217">
        <v>1</v>
      </c>
      <c r="N123" s="442">
        <f>IFERROR(SUM(O105:$O$122)*0.08,0)</f>
        <v>765782.48330461222</v>
      </c>
      <c r="O123" s="442">
        <f t="shared" si="25"/>
        <v>765782.48330461222</v>
      </c>
      <c r="P123" s="216" t="str">
        <f t="shared" si="31"/>
        <v>Cacao Criollo</v>
      </c>
      <c r="Q123" s="212" t="s">
        <v>142</v>
      </c>
      <c r="R123" s="212" t="s">
        <v>142</v>
      </c>
      <c r="S123" s="212"/>
      <c r="T123" s="212"/>
      <c r="U123" s="212"/>
      <c r="V123" s="212" t="s">
        <v>142</v>
      </c>
      <c r="W123" s="212"/>
      <c r="X123" s="214"/>
    </row>
    <row r="124" spans="1:24" ht="15">
      <c r="A124" s="211" t="s">
        <v>232</v>
      </c>
      <c r="B124" s="225" t="s">
        <v>233</v>
      </c>
      <c r="C124" s="216" t="s">
        <v>53</v>
      </c>
      <c r="D124" s="216" t="s">
        <v>189</v>
      </c>
      <c r="E124" s="216" t="s">
        <v>190</v>
      </c>
      <c r="F124" s="216" t="s">
        <v>198</v>
      </c>
      <c r="G124" s="216" t="s">
        <v>199</v>
      </c>
      <c r="H124" s="216" t="s">
        <v>200</v>
      </c>
      <c r="I124" s="216" t="s">
        <v>201</v>
      </c>
      <c r="J124" s="216" t="s">
        <v>105</v>
      </c>
      <c r="K124" s="216" t="s">
        <v>202</v>
      </c>
      <c r="L124" s="216" t="s">
        <v>203</v>
      </c>
      <c r="M124" s="217">
        <v>1</v>
      </c>
      <c r="N124" s="442" cm="1">
        <f t="array" ref="N124">IF(TRIM(K124)="Mano de Obra",IF(Formulario!$L$23&lt;&gt;"",Formulario!$L$23,IFERROR(VLOOKUP(TRIM($M$4),Jornalesdeppto!A:C,3,0),"")),_xlfn.XLOOKUP(1,(Tabla_Costos_Insumos!$A$2:$A$3199=TRIM($M$4))*(Tabla_Costos_Insumos!$C$2:$C$3199=TRIM(K124)),Tabla_Costos_Insumos!$E$2:$E$3199,"",0))</f>
        <v>120000</v>
      </c>
      <c r="O124" s="442">
        <f t="shared" si="25"/>
        <v>120000</v>
      </c>
      <c r="P124" s="216" t="str">
        <f t="shared" si="31"/>
        <v>Cacao Criollo</v>
      </c>
      <c r="Q124" s="212" t="s">
        <v>142</v>
      </c>
      <c r="R124" s="212" t="s">
        <v>142</v>
      </c>
      <c r="S124" s="212"/>
      <c r="T124" s="212"/>
      <c r="U124" s="212"/>
      <c r="V124" s="212" t="s">
        <v>142</v>
      </c>
      <c r="W124" s="212"/>
      <c r="X124" s="214"/>
    </row>
    <row r="125" spans="1:24" ht="15">
      <c r="A125" s="211" t="s">
        <v>232</v>
      </c>
      <c r="B125" s="225" t="s">
        <v>233</v>
      </c>
      <c r="C125" s="216" t="s">
        <v>53</v>
      </c>
      <c r="D125" s="216" t="s">
        <v>189</v>
      </c>
      <c r="E125" s="216" t="s">
        <v>190</v>
      </c>
      <c r="F125" s="216" t="s">
        <v>204</v>
      </c>
      <c r="G125" s="216" t="s">
        <v>205</v>
      </c>
      <c r="H125" s="216" t="s">
        <v>206</v>
      </c>
      <c r="I125" s="216" t="s">
        <v>207</v>
      </c>
      <c r="J125" s="216" t="s">
        <v>4127</v>
      </c>
      <c r="K125" s="216" t="s">
        <v>228</v>
      </c>
      <c r="L125" s="216" t="s">
        <v>197</v>
      </c>
      <c r="M125" s="217">
        <v>1</v>
      </c>
      <c r="N125" s="442">
        <f>$J$4</f>
        <v>500000</v>
      </c>
      <c r="O125" s="442">
        <f t="shared" si="25"/>
        <v>500000</v>
      </c>
      <c r="P125" s="216" t="str">
        <f t="shared" si="31"/>
        <v>Cacao Criollo</v>
      </c>
      <c r="Q125" s="212" t="s">
        <v>142</v>
      </c>
      <c r="R125" s="212" t="s">
        <v>142</v>
      </c>
      <c r="S125" s="212"/>
      <c r="T125" s="212"/>
      <c r="U125" s="212"/>
      <c r="V125" s="212" t="s">
        <v>142</v>
      </c>
      <c r="W125" s="212"/>
      <c r="X125" s="214"/>
    </row>
    <row r="126" spans="1:24" ht="15">
      <c r="A126" s="211" t="s">
        <v>232</v>
      </c>
      <c r="B126" s="225" t="s">
        <v>233</v>
      </c>
      <c r="C126" s="220" t="s">
        <v>68</v>
      </c>
      <c r="D126" s="220" t="s">
        <v>99</v>
      </c>
      <c r="E126" s="220" t="s">
        <v>100</v>
      </c>
      <c r="F126" s="220" t="s">
        <v>109</v>
      </c>
      <c r="G126" s="220" t="s">
        <v>110</v>
      </c>
      <c r="H126" s="220" t="s">
        <v>234</v>
      </c>
      <c r="I126" s="220" t="s">
        <v>235</v>
      </c>
      <c r="J126" s="220" t="s">
        <v>105</v>
      </c>
      <c r="K126" s="220" t="s">
        <v>106</v>
      </c>
      <c r="L126" s="220" t="s">
        <v>107</v>
      </c>
      <c r="M126" s="221">
        <f t="shared" ref="M126:M131" si="35">IF(W126&lt;&gt;"", W126, ROUNDUP(X126*T126, 0))</f>
        <v>8</v>
      </c>
      <c r="N126" s="443" cm="1">
        <f t="array" ref="N126">IF(TRIM(K126)="Mano de Obra",IF(Formulario!$L$23&lt;&gt;"",Formulario!$L$23,IFERROR(VLOOKUP(TRIM($M$4),Jornalesdeppto!A:C,3,0),"")),_xlfn.XLOOKUP(1,(Tabla_Costos_Insumos!$A$2:$A$3199=TRIM($M$4))*(Tabla_Costos_Insumos!$C$2:$C$3199=TRIM(K126)),Tabla_Costos_Insumos!$E$2:$E$3199,"",0))</f>
        <v>46666.666666666664</v>
      </c>
      <c r="O126" s="443">
        <f t="shared" si="25"/>
        <v>373333.33333333331</v>
      </c>
      <c r="P126" s="220" t="str">
        <f t="shared" si="31"/>
        <v>Cacao Criollo</v>
      </c>
      <c r="Q126" s="212" t="s">
        <v>108</v>
      </c>
      <c r="R126" s="212">
        <v>2</v>
      </c>
      <c r="S126" s="212" t="str">
        <f t="shared" ref="S126:S131" si="36">IF($M$3="Cacao criollo",($I$3*R126) / 480,"")</f>
        <v/>
      </c>
      <c r="T126" s="212" cm="1">
        <f t="array" ref="T126">_xlfn.IFS($D$5&lt;=7, 1.1, $D$5&lt;=12,1.2, $D$5&lt;=25, 1.3, $D$5&gt;25,1.4)</f>
        <v>1.3</v>
      </c>
      <c r="U126" s="212" t="str">
        <f t="shared" ref="U126:U131" si="37">IFERROR(S126*T126,"")</f>
        <v/>
      </c>
      <c r="V126" s="212">
        <v>4</v>
      </c>
      <c r="W126" s="212" t="str">
        <f t="shared" ref="W126:W131" si="38">IFERROR(ROUNDUP(V126*U126,0),"")</f>
        <v/>
      </c>
      <c r="X126" s="214">
        <v>6</v>
      </c>
    </row>
    <row r="127" spans="1:24" ht="15">
      <c r="A127" s="211" t="s">
        <v>232</v>
      </c>
      <c r="B127" s="225" t="s">
        <v>233</v>
      </c>
      <c r="C127" s="220" t="s">
        <v>68</v>
      </c>
      <c r="D127" s="220" t="s">
        <v>99</v>
      </c>
      <c r="E127" s="220" t="s">
        <v>100</v>
      </c>
      <c r="F127" s="220" t="s">
        <v>113</v>
      </c>
      <c r="G127" s="220" t="s">
        <v>114</v>
      </c>
      <c r="H127" s="220" t="s">
        <v>115</v>
      </c>
      <c r="I127" s="220" t="s">
        <v>116</v>
      </c>
      <c r="J127" s="220" t="s">
        <v>105</v>
      </c>
      <c r="K127" s="220" t="s">
        <v>106</v>
      </c>
      <c r="L127" s="220" t="s">
        <v>107</v>
      </c>
      <c r="M127" s="221">
        <f t="shared" si="35"/>
        <v>13</v>
      </c>
      <c r="N127" s="443" cm="1">
        <f t="array" ref="N127">IF(TRIM(K127)="Mano de Obra",IF(Formulario!$L$23&lt;&gt;"",Formulario!$L$23,IFERROR(VLOOKUP(TRIM($M$4),Jornalesdeppto!A:C,3,0),"")),_xlfn.XLOOKUP(1,(Tabla_Costos_Insumos!$A$2:$A$3199=TRIM($M$4))*(Tabla_Costos_Insumos!$C$2:$C$3199=TRIM(K127)),Tabla_Costos_Insumos!$E$2:$E$3199,"",0))</f>
        <v>46666.666666666664</v>
      </c>
      <c r="O127" s="443">
        <f t="shared" si="25"/>
        <v>606666.66666666663</v>
      </c>
      <c r="P127" s="220" t="str">
        <f t="shared" si="31"/>
        <v>Cacao Criollo</v>
      </c>
      <c r="Q127" s="212" t="s">
        <v>108</v>
      </c>
      <c r="R127" s="212">
        <v>4</v>
      </c>
      <c r="S127" s="212" t="str">
        <f t="shared" si="36"/>
        <v/>
      </c>
      <c r="T127" s="212" cm="1">
        <f t="array" ref="T127">_xlfn.IFS($D$5&lt;=7, 1.1, $D$5&lt;=12,1.2, $D$5&lt;=25, 1.3, $D$5&gt;25,1.4)</f>
        <v>1.3</v>
      </c>
      <c r="U127" s="212" t="str">
        <f t="shared" si="37"/>
        <v/>
      </c>
      <c r="V127" s="212">
        <v>2</v>
      </c>
      <c r="W127" s="212" t="str">
        <f t="shared" si="38"/>
        <v/>
      </c>
      <c r="X127" s="214">
        <v>10</v>
      </c>
    </row>
    <row r="128" spans="1:24" ht="15">
      <c r="A128" s="211" t="s">
        <v>232</v>
      </c>
      <c r="B128" s="225" t="s">
        <v>233</v>
      </c>
      <c r="C128" s="220" t="s">
        <v>68</v>
      </c>
      <c r="D128" s="220" t="s">
        <v>99</v>
      </c>
      <c r="E128" s="220" t="s">
        <v>100</v>
      </c>
      <c r="F128" s="220" t="s">
        <v>117</v>
      </c>
      <c r="G128" s="220" t="s">
        <v>118</v>
      </c>
      <c r="H128" s="220" t="s">
        <v>119</v>
      </c>
      <c r="I128" s="220" t="s">
        <v>120</v>
      </c>
      <c r="J128" s="220" t="s">
        <v>105</v>
      </c>
      <c r="K128" s="220" t="s">
        <v>106</v>
      </c>
      <c r="L128" s="220" t="s">
        <v>107</v>
      </c>
      <c r="M128" s="221">
        <f t="shared" si="35"/>
        <v>20</v>
      </c>
      <c r="N128" s="443" cm="1">
        <f t="array" ref="N128">IF(TRIM(K128)="Mano de Obra",IF(Formulario!$L$23&lt;&gt;"",Formulario!$L$23,IFERROR(VLOOKUP(TRIM($M$4),Jornalesdeppto!A:C,3,0),"")),_xlfn.XLOOKUP(1,(Tabla_Costos_Insumos!$A$2:$A$3199=TRIM($M$4))*(Tabla_Costos_Insumos!$C$2:$C$3199=TRIM(K128)),Tabla_Costos_Insumos!$E$2:$E$3199,"",0))</f>
        <v>46666.666666666664</v>
      </c>
      <c r="O128" s="443">
        <f t="shared" si="25"/>
        <v>933333.33333333326</v>
      </c>
      <c r="P128" s="220" t="str">
        <f t="shared" si="31"/>
        <v>Cacao Criollo</v>
      </c>
      <c r="Q128" s="212" t="s">
        <v>108</v>
      </c>
      <c r="R128" s="212">
        <v>2.25</v>
      </c>
      <c r="S128" s="212" t="str">
        <f t="shared" si="36"/>
        <v/>
      </c>
      <c r="T128" s="212" cm="1">
        <f t="array" ref="T128">_xlfn.IFS($D$5&lt;=7, 1.1, $D$5&lt;=12,1.2, $D$5&lt;=25, 1.3, $D$5&gt;25,1.4)</f>
        <v>1.3</v>
      </c>
      <c r="U128" s="212" t="str">
        <f t="shared" si="37"/>
        <v/>
      </c>
      <c r="V128" s="212">
        <v>9</v>
      </c>
      <c r="W128" s="212" t="str">
        <f t="shared" si="38"/>
        <v/>
      </c>
      <c r="X128" s="214">
        <v>15</v>
      </c>
    </row>
    <row r="129" spans="1:24" ht="15">
      <c r="A129" s="211" t="s">
        <v>232</v>
      </c>
      <c r="B129" s="225" t="s">
        <v>233</v>
      </c>
      <c r="C129" s="220" t="s">
        <v>68</v>
      </c>
      <c r="D129" s="220" t="s">
        <v>99</v>
      </c>
      <c r="E129" s="220" t="s">
        <v>100</v>
      </c>
      <c r="F129" s="220" t="s">
        <v>117</v>
      </c>
      <c r="G129" s="220" t="s">
        <v>118</v>
      </c>
      <c r="H129" s="220" t="s">
        <v>121</v>
      </c>
      <c r="I129" s="220" t="s">
        <v>122</v>
      </c>
      <c r="J129" s="220" t="s">
        <v>105</v>
      </c>
      <c r="K129" s="220" t="s">
        <v>106</v>
      </c>
      <c r="L129" s="220" t="s">
        <v>107</v>
      </c>
      <c r="M129" s="221">
        <f t="shared" si="35"/>
        <v>20</v>
      </c>
      <c r="N129" s="443" cm="1">
        <f t="array" ref="N129">IF(TRIM(K129)="Mano de Obra",IF(Formulario!$L$23&lt;&gt;"",Formulario!$L$23,IFERROR(VLOOKUP(TRIM($M$4),Jornalesdeppto!A:C,3,0),"")),_xlfn.XLOOKUP(1,(Tabla_Costos_Insumos!$A$2:$A$3199=TRIM($M$4))*(Tabla_Costos_Insumos!$C$2:$C$3199=TRIM(K129)),Tabla_Costos_Insumos!$E$2:$E$3199,"",0))</f>
        <v>46666.666666666664</v>
      </c>
      <c r="O129" s="443">
        <f t="shared" si="25"/>
        <v>933333.33333333326</v>
      </c>
      <c r="P129" s="220" t="str">
        <f t="shared" si="31"/>
        <v>Cacao Criollo</v>
      </c>
      <c r="Q129" s="212" t="s">
        <v>108</v>
      </c>
      <c r="R129" s="212">
        <v>1.01</v>
      </c>
      <c r="S129" s="212" t="str">
        <f t="shared" si="36"/>
        <v/>
      </c>
      <c r="T129" s="212" cm="1">
        <f t="array" ref="T129">_xlfn.IFS($D$5&lt;=7, 1.1, $D$5&lt;=12,1.2, $D$5&lt;=25, 1.3, $D$5&gt;25,1.4)</f>
        <v>1.3</v>
      </c>
      <c r="U129" s="212" t="str">
        <f t="shared" si="37"/>
        <v/>
      </c>
      <c r="V129" s="212">
        <v>9</v>
      </c>
      <c r="W129" s="212" t="str">
        <f t="shared" si="38"/>
        <v/>
      </c>
      <c r="X129" s="214">
        <v>15</v>
      </c>
    </row>
    <row r="130" spans="1:24" ht="15">
      <c r="A130" s="211" t="s">
        <v>232</v>
      </c>
      <c r="B130" s="225" t="s">
        <v>233</v>
      </c>
      <c r="C130" s="220" t="s">
        <v>68</v>
      </c>
      <c r="D130" s="220" t="s">
        <v>99</v>
      </c>
      <c r="E130" s="220" t="s">
        <v>100</v>
      </c>
      <c r="F130" s="220" t="s">
        <v>123</v>
      </c>
      <c r="G130" s="220" t="s">
        <v>124</v>
      </c>
      <c r="H130" s="220" t="s">
        <v>128</v>
      </c>
      <c r="I130" s="220" t="s">
        <v>129</v>
      </c>
      <c r="J130" s="220" t="s">
        <v>105</v>
      </c>
      <c r="K130" s="220" t="s">
        <v>106</v>
      </c>
      <c r="L130" s="220" t="s">
        <v>107</v>
      </c>
      <c r="M130" s="221">
        <f t="shared" si="35"/>
        <v>10</v>
      </c>
      <c r="N130" s="443" cm="1">
        <f t="array" ref="N130">IF(TRIM(K130)="Mano de Obra",IF(Formulario!$L$23&lt;&gt;"",Formulario!$L$23,IFERROR(VLOOKUP(TRIM($M$4),Jornalesdeppto!A:C,3,0),"")),_xlfn.XLOOKUP(1,(Tabla_Costos_Insumos!$A$2:$A$3199=TRIM($M$4))*(Tabla_Costos_Insumos!$C$2:$C$3199=TRIM(K130)),Tabla_Costos_Insumos!$E$2:$E$3199,"",0))</f>
        <v>46666.666666666664</v>
      </c>
      <c r="O130" s="443">
        <f t="shared" si="25"/>
        <v>466666.66666666663</v>
      </c>
      <c r="P130" s="220" t="str">
        <f t="shared" si="31"/>
        <v>Cacao Criollo</v>
      </c>
      <c r="Q130" s="212" t="s">
        <v>108</v>
      </c>
      <c r="R130" s="212">
        <v>1.01</v>
      </c>
      <c r="S130" s="212" t="str">
        <f t="shared" si="36"/>
        <v/>
      </c>
      <c r="T130" s="212" cm="1">
        <f t="array" ref="T130">_xlfn.IFS($D$5&lt;=7, 1.1, $D$5&lt;=12,1.2, $D$5&lt;=25, 1.3, $D$5&gt;25,1.4)</f>
        <v>1.3</v>
      </c>
      <c r="U130" s="212" t="str">
        <f t="shared" si="37"/>
        <v/>
      </c>
      <c r="V130" s="212">
        <v>4</v>
      </c>
      <c r="W130" s="212" t="str">
        <f t="shared" si="38"/>
        <v/>
      </c>
      <c r="X130" s="214">
        <v>7</v>
      </c>
    </row>
    <row r="131" spans="1:24" ht="15">
      <c r="A131" s="211" t="s">
        <v>232</v>
      </c>
      <c r="B131" s="225" t="s">
        <v>233</v>
      </c>
      <c r="C131" s="220" t="s">
        <v>68</v>
      </c>
      <c r="D131" s="220" t="s">
        <v>99</v>
      </c>
      <c r="E131" s="220" t="s">
        <v>100</v>
      </c>
      <c r="F131" s="220" t="s">
        <v>130</v>
      </c>
      <c r="G131" s="220" t="s">
        <v>131</v>
      </c>
      <c r="H131" s="220" t="s">
        <v>134</v>
      </c>
      <c r="I131" s="220" t="s">
        <v>135</v>
      </c>
      <c r="J131" s="220" t="s">
        <v>105</v>
      </c>
      <c r="K131" s="220" t="s">
        <v>106</v>
      </c>
      <c r="L131" s="220" t="s">
        <v>107</v>
      </c>
      <c r="M131" s="221">
        <f t="shared" si="35"/>
        <v>2</v>
      </c>
      <c r="N131" s="443" cm="1">
        <f t="array" ref="N131">IF(TRIM(K131)="Mano de Obra",IF(Formulario!$L$23&lt;&gt;"",Formulario!$L$23,IFERROR(VLOOKUP(TRIM($M$4),Jornalesdeppto!A:C,3,0),"")),_xlfn.XLOOKUP(1,(Tabla_Costos_Insumos!$A$2:$A$3199=TRIM($M$4))*(Tabla_Costos_Insumos!$C$2:$C$3199=TRIM(K131)),Tabla_Costos_Insumos!$E$2:$E$3199,"",0))</f>
        <v>46666.666666666664</v>
      </c>
      <c r="O131" s="443">
        <f t="shared" si="25"/>
        <v>93333.333333333328</v>
      </c>
      <c r="P131" s="220" t="str">
        <f t="shared" si="31"/>
        <v>Cacao Criollo</v>
      </c>
      <c r="Q131" s="212" t="s">
        <v>108</v>
      </c>
      <c r="R131" s="212">
        <v>3</v>
      </c>
      <c r="S131" s="212" t="str">
        <f t="shared" si="36"/>
        <v/>
      </c>
      <c r="T131" s="212" cm="1">
        <f t="array" ref="T131">_xlfn.IFS($D$5&lt;=7, 1.1, $D$5&lt;=12,1.2, $D$5&lt;=25, 1.3, $D$5&gt;25,1.4)</f>
        <v>1.3</v>
      </c>
      <c r="U131" s="212" t="str">
        <f t="shared" si="37"/>
        <v/>
      </c>
      <c r="V131" s="212">
        <v>2</v>
      </c>
      <c r="W131" s="212" t="str">
        <f t="shared" si="38"/>
        <v/>
      </c>
      <c r="X131" s="214">
        <v>1</v>
      </c>
    </row>
    <row r="132" spans="1:24" ht="15">
      <c r="A132" s="211" t="s">
        <v>232</v>
      </c>
      <c r="B132" s="225" t="s">
        <v>233</v>
      </c>
      <c r="C132" s="220" t="s">
        <v>68</v>
      </c>
      <c r="D132" s="220" t="s">
        <v>145</v>
      </c>
      <c r="E132" s="220" t="s">
        <v>146</v>
      </c>
      <c r="F132" s="220" t="s">
        <v>147</v>
      </c>
      <c r="G132" s="220" t="s">
        <v>131</v>
      </c>
      <c r="H132" s="220" t="s">
        <v>165</v>
      </c>
      <c r="I132" s="220" t="s">
        <v>153</v>
      </c>
      <c r="J132" s="220" t="s">
        <v>149</v>
      </c>
      <c r="K132" s="220" t="s">
        <v>4110</v>
      </c>
      <c r="L132" s="220" t="s">
        <v>151</v>
      </c>
      <c r="M132" s="221">
        <v>6</v>
      </c>
      <c r="N132" s="443" cm="1">
        <f t="array" ref="N132">IF(TRIM(K132)="Mano de Obra",IF(Formulario!$L$23&lt;&gt;"",Formulario!$L$23,IFERROR(VLOOKUP(TRIM($M$4),Jornalesdeppto!A:C,3,0),"")),_xlfn.XLOOKUP(1,(Tabla_Costos_Insumos!$A$2:$A$3199=TRIM($M$4))*(Tabla_Costos_Insumos!$C$2:$C$3199=TRIM(K132)),Tabla_Costos_Insumos!$E$2:$E$3199,"",0))</f>
        <v>125849.2424242409</v>
      </c>
      <c r="O132" s="443">
        <f t="shared" si="25"/>
        <v>755095.45454544539</v>
      </c>
      <c r="P132" s="220" t="str">
        <f t="shared" si="31"/>
        <v>Cacao Criollo</v>
      </c>
      <c r="Q132" s="212" t="s">
        <v>142</v>
      </c>
      <c r="R132" s="212" t="s">
        <v>142</v>
      </c>
      <c r="S132" s="212"/>
      <c r="T132" s="212"/>
      <c r="U132" s="212"/>
      <c r="V132" s="212" t="s">
        <v>142</v>
      </c>
      <c r="W132" s="212"/>
      <c r="X132" s="214"/>
    </row>
    <row r="133" spans="1:24" ht="15">
      <c r="A133" s="211" t="s">
        <v>232</v>
      </c>
      <c r="B133" s="225" t="s">
        <v>233</v>
      </c>
      <c r="C133" s="220" t="s">
        <v>68</v>
      </c>
      <c r="D133" s="220" t="s">
        <v>145</v>
      </c>
      <c r="E133" s="220" t="s">
        <v>146</v>
      </c>
      <c r="F133" s="220" t="s">
        <v>147</v>
      </c>
      <c r="G133" s="220" t="s">
        <v>131</v>
      </c>
      <c r="H133" s="220" t="s">
        <v>152</v>
      </c>
      <c r="I133" s="220" t="s">
        <v>299</v>
      </c>
      <c r="J133" s="220" t="s">
        <v>149</v>
      </c>
      <c r="K133" s="220" t="s">
        <v>150</v>
      </c>
      <c r="L133" s="220" t="s">
        <v>151</v>
      </c>
      <c r="M133" s="221">
        <v>1</v>
      </c>
      <c r="N133" s="443" cm="1">
        <f t="array" ref="N133">IF(TRIM(K133)="Mano de Obra",IF(Formulario!$L$23&lt;&gt;"",Formulario!$L$23,IFERROR(VLOOKUP(TRIM($M$4),Jornalesdeppto!A:C,3,0),"")),_xlfn.XLOOKUP(1,(Tabla_Costos_Insumos!$A$2:$A$3199=TRIM($M$4))*(Tabla_Costos_Insumos!$C$2:$C$3199=TRIM(K133)),Tabla_Costos_Insumos!$E$2:$E$3199,"",0))</f>
        <v>198055.68333333</v>
      </c>
      <c r="O133" s="443">
        <f t="shared" si="25"/>
        <v>198055.68333333</v>
      </c>
      <c r="P133" s="220" t="str">
        <f t="shared" si="31"/>
        <v>Cacao Criollo</v>
      </c>
      <c r="Q133" s="212" t="s">
        <v>142</v>
      </c>
      <c r="R133" s="212" t="s">
        <v>142</v>
      </c>
      <c r="S133" s="212"/>
      <c r="T133" s="212"/>
      <c r="U133" s="212"/>
      <c r="V133" s="212" t="s">
        <v>142</v>
      </c>
      <c r="W133" s="212"/>
      <c r="X133" s="214"/>
    </row>
    <row r="134" spans="1:24" ht="15">
      <c r="A134" s="211" t="s">
        <v>232</v>
      </c>
      <c r="B134" s="225" t="s">
        <v>233</v>
      </c>
      <c r="C134" s="220" t="s">
        <v>68</v>
      </c>
      <c r="D134" s="220" t="s">
        <v>145</v>
      </c>
      <c r="E134" s="220" t="s">
        <v>146</v>
      </c>
      <c r="F134" s="220" t="s">
        <v>147</v>
      </c>
      <c r="G134" s="220" t="s">
        <v>131</v>
      </c>
      <c r="H134" s="220" t="s">
        <v>154</v>
      </c>
      <c r="I134" s="220" t="s">
        <v>155</v>
      </c>
      <c r="J134" s="220" t="s">
        <v>149</v>
      </c>
      <c r="K134" s="220" t="s">
        <v>156</v>
      </c>
      <c r="L134" s="220" t="s">
        <v>151</v>
      </c>
      <c r="M134" s="221">
        <v>6</v>
      </c>
      <c r="N134" s="443" cm="1">
        <f t="array" ref="N134">IF(TRIM(K134)="Mano de Obra",IF(Formulario!$L$23&lt;&gt;"",Formulario!$L$23,IFERROR(VLOOKUP(TRIM($M$4),Jornalesdeppto!A:C,3,0),"")),_xlfn.XLOOKUP(1,(Tabla_Costos_Insumos!$A$2:$A$3199=TRIM($M$4))*(Tabla_Costos_Insumos!$C$2:$C$3199=TRIM(K134)),Tabla_Costos_Insumos!$E$2:$E$3199,"",0))</f>
        <v>17212.5</v>
      </c>
      <c r="O134" s="443">
        <f t="shared" si="25"/>
        <v>103275</v>
      </c>
      <c r="P134" s="220" t="str">
        <f t="shared" si="31"/>
        <v>Cacao Criollo</v>
      </c>
      <c r="Q134" s="212" t="s">
        <v>142</v>
      </c>
      <c r="R134" s="212" t="s">
        <v>142</v>
      </c>
      <c r="S134" s="212"/>
      <c r="T134" s="212"/>
      <c r="U134" s="212"/>
      <c r="V134" s="212" t="s">
        <v>142</v>
      </c>
      <c r="W134" s="212"/>
      <c r="X134" s="214"/>
    </row>
    <row r="135" spans="1:24" ht="15">
      <c r="A135" s="211" t="s">
        <v>232</v>
      </c>
      <c r="B135" s="225" t="s">
        <v>233</v>
      </c>
      <c r="C135" s="220" t="s">
        <v>68</v>
      </c>
      <c r="D135" s="220" t="s">
        <v>145</v>
      </c>
      <c r="E135" s="220" t="s">
        <v>146</v>
      </c>
      <c r="F135" s="220" t="s">
        <v>147</v>
      </c>
      <c r="G135" s="220" t="s">
        <v>131</v>
      </c>
      <c r="H135" s="220" t="s">
        <v>157</v>
      </c>
      <c r="I135" s="220" t="s">
        <v>158</v>
      </c>
      <c r="J135" s="220" t="s">
        <v>149</v>
      </c>
      <c r="K135" s="220" t="s">
        <v>243</v>
      </c>
      <c r="L135" s="220" t="s">
        <v>172</v>
      </c>
      <c r="M135" s="221">
        <v>18</v>
      </c>
      <c r="N135" s="443" cm="1">
        <f t="array" ref="N135">IF(TRIM(K135)="Mano de Obra",IF(Formulario!$L$23&lt;&gt;"",Formulario!$L$23,IFERROR(VLOOKUP(TRIM($M$4),Jornalesdeppto!A:C,3,0),"")),_xlfn.XLOOKUP(1,(Tabla_Costos_Insumos!$A$2:$A$3199=TRIM($M$4))*(Tabla_Costos_Insumos!$C$2:$C$3199=TRIM(K135)),Tabla_Costos_Insumos!$E$2:$E$3199,"",0))</f>
        <v>26208.33</v>
      </c>
      <c r="O135" s="443">
        <f t="shared" si="25"/>
        <v>471749.94000000006</v>
      </c>
      <c r="P135" s="220" t="str">
        <f t="shared" si="31"/>
        <v>Cacao Criollo</v>
      </c>
      <c r="Q135" s="212" t="s">
        <v>142</v>
      </c>
      <c r="R135" s="212" t="s">
        <v>142</v>
      </c>
      <c r="S135" s="212"/>
      <c r="T135" s="212"/>
      <c r="U135" s="212"/>
      <c r="V135" s="212" t="s">
        <v>142</v>
      </c>
      <c r="W135" s="212"/>
      <c r="X135" s="214"/>
    </row>
    <row r="136" spans="1:24" ht="15">
      <c r="A136" s="211" t="s">
        <v>232</v>
      </c>
      <c r="B136" s="225" t="s">
        <v>233</v>
      </c>
      <c r="C136" s="220" t="s">
        <v>68</v>
      </c>
      <c r="D136" s="220" t="s">
        <v>145</v>
      </c>
      <c r="E136" s="220" t="s">
        <v>146</v>
      </c>
      <c r="F136" s="220" t="s">
        <v>147</v>
      </c>
      <c r="G136" s="220" t="s">
        <v>131</v>
      </c>
      <c r="H136" s="220" t="s">
        <v>161</v>
      </c>
      <c r="I136" s="220" t="s">
        <v>162</v>
      </c>
      <c r="J136" s="220" t="s">
        <v>149</v>
      </c>
      <c r="K136" s="220" t="s">
        <v>163</v>
      </c>
      <c r="L136" s="220" t="s">
        <v>164</v>
      </c>
      <c r="M136" s="221">
        <v>2</v>
      </c>
      <c r="N136" s="443" cm="1">
        <f t="array" ref="N136">IF(TRIM(K136)="Mano de Obra",IF(Formulario!$L$23&lt;&gt;"",Formulario!$L$23,IFERROR(VLOOKUP(TRIM($M$4),Jornalesdeppto!A:C,3,0),"")),_xlfn.XLOOKUP(1,(Tabla_Costos_Insumos!$A$2:$A$3199=TRIM($M$4))*(Tabla_Costos_Insumos!$C$2:$C$3199=TRIM(K136)),Tabla_Costos_Insumos!$E$2:$E$3199,"",0))</f>
        <v>128084.44444445</v>
      </c>
      <c r="O136" s="443">
        <f t="shared" si="25"/>
        <v>256168.88888889999</v>
      </c>
      <c r="P136" s="220" t="str">
        <f t="shared" si="31"/>
        <v>Cacao Criollo</v>
      </c>
      <c r="Q136" s="212" t="s">
        <v>142</v>
      </c>
      <c r="R136" s="212" t="s">
        <v>142</v>
      </c>
      <c r="S136" s="212"/>
      <c r="T136" s="212"/>
      <c r="U136" s="212"/>
      <c r="V136" s="212" t="s">
        <v>142</v>
      </c>
      <c r="W136" s="212"/>
      <c r="X136" s="214"/>
    </row>
    <row r="137" spans="1:24" ht="15">
      <c r="A137" s="211" t="s">
        <v>232</v>
      </c>
      <c r="B137" s="225" t="s">
        <v>233</v>
      </c>
      <c r="C137" s="220" t="s">
        <v>68</v>
      </c>
      <c r="D137" s="220" t="s">
        <v>145</v>
      </c>
      <c r="E137" s="220" t="s">
        <v>146</v>
      </c>
      <c r="F137" s="220" t="s">
        <v>147</v>
      </c>
      <c r="G137" s="220" t="s">
        <v>131</v>
      </c>
      <c r="H137" s="220" t="s">
        <v>165</v>
      </c>
      <c r="I137" s="220" t="s">
        <v>153</v>
      </c>
      <c r="J137" s="220" t="s">
        <v>149</v>
      </c>
      <c r="K137" s="220" t="s">
        <v>166</v>
      </c>
      <c r="L137" s="220" t="s">
        <v>151</v>
      </c>
      <c r="M137" s="221">
        <v>6</v>
      </c>
      <c r="N137" s="443" cm="1">
        <f t="array" ref="N137">IF(TRIM(K137)="Mano de Obra",IF(Formulario!$L$23&lt;&gt;"",Formulario!$L$23,IFERROR(VLOOKUP(TRIM($M$4),Jornalesdeppto!A:C,3,0),"")),_xlfn.XLOOKUP(1,(Tabla_Costos_Insumos!$A$2:$A$3199=TRIM($M$4))*(Tabla_Costos_Insumos!$C$2:$C$3199=TRIM(K137)),Tabla_Costos_Insumos!$E$2:$E$3199,"",0))</f>
        <v>110000</v>
      </c>
      <c r="O137" s="443">
        <f t="shared" si="25"/>
        <v>660000</v>
      </c>
      <c r="P137" s="220" t="str">
        <f t="shared" si="31"/>
        <v>Cacao Criollo</v>
      </c>
      <c r="Q137" s="212" t="s">
        <v>142</v>
      </c>
      <c r="R137" s="212" t="s">
        <v>142</v>
      </c>
      <c r="S137" s="212"/>
      <c r="T137" s="212"/>
      <c r="U137" s="212"/>
      <c r="V137" s="212" t="s">
        <v>142</v>
      </c>
      <c r="W137" s="212"/>
      <c r="X137" s="214"/>
    </row>
    <row r="138" spans="1:24" ht="15">
      <c r="A138" s="211" t="s">
        <v>232</v>
      </c>
      <c r="B138" s="225" t="s">
        <v>233</v>
      </c>
      <c r="C138" s="220" t="s">
        <v>68</v>
      </c>
      <c r="D138" s="220" t="s">
        <v>145</v>
      </c>
      <c r="E138" s="220" t="s">
        <v>146</v>
      </c>
      <c r="F138" s="220" t="s">
        <v>167</v>
      </c>
      <c r="G138" s="220" t="s">
        <v>118</v>
      </c>
      <c r="H138" s="220" t="s">
        <v>168</v>
      </c>
      <c r="I138" s="220" t="s">
        <v>169</v>
      </c>
      <c r="J138" s="220" t="s">
        <v>170</v>
      </c>
      <c r="K138" s="220" t="s">
        <v>238</v>
      </c>
      <c r="L138" s="220" t="s">
        <v>239</v>
      </c>
      <c r="M138" s="221">
        <v>25</v>
      </c>
      <c r="N138" s="443" cm="1">
        <f t="array" ref="N138">IF(TRIM(K138)="Mano de Obra",IF(Formulario!$L$23&lt;&gt;"",Formulario!$L$23,IFERROR(VLOOKUP(TRIM($M$4),Jornalesdeppto!A:C,3,0),"")),_xlfn.XLOOKUP(1,(Tabla_Costos_Insumos!$A$2:$A$3199=TRIM($M$4))*(Tabla_Costos_Insumos!$C$2:$C$3199=TRIM(K138)),Tabla_Costos_Insumos!$E$2:$E$3199,"",0))</f>
        <v>29539.195833332098</v>
      </c>
      <c r="O138" s="443">
        <f t="shared" si="25"/>
        <v>738479.89583330241</v>
      </c>
      <c r="P138" s="220" t="str">
        <f t="shared" si="31"/>
        <v>Cacao Criollo</v>
      </c>
      <c r="Q138" s="212" t="s">
        <v>142</v>
      </c>
      <c r="R138" s="212" t="s">
        <v>142</v>
      </c>
      <c r="S138" s="212"/>
      <c r="T138" s="212"/>
      <c r="U138" s="212"/>
      <c r="V138" s="212" t="s">
        <v>142</v>
      </c>
      <c r="W138" s="212"/>
      <c r="X138" s="214"/>
    </row>
    <row r="139" spans="1:24" ht="15">
      <c r="A139" s="211" t="s">
        <v>232</v>
      </c>
      <c r="B139" s="225" t="s">
        <v>233</v>
      </c>
      <c r="C139" s="220" t="s">
        <v>68</v>
      </c>
      <c r="D139" s="220" t="s">
        <v>145</v>
      </c>
      <c r="E139" s="220" t="s">
        <v>146</v>
      </c>
      <c r="F139" s="220" t="s">
        <v>167</v>
      </c>
      <c r="G139" s="220" t="s">
        <v>118</v>
      </c>
      <c r="H139" s="220" t="s">
        <v>168</v>
      </c>
      <c r="I139" s="220" t="s">
        <v>169</v>
      </c>
      <c r="J139" s="220" t="s">
        <v>170</v>
      </c>
      <c r="K139" s="220" t="s">
        <v>240</v>
      </c>
      <c r="L139" s="220" t="s">
        <v>172</v>
      </c>
      <c r="M139" s="221">
        <v>9</v>
      </c>
      <c r="N139" s="443" cm="1">
        <f t="array" ref="N139">IF(TRIM(K139)="Mano de Obra",IF(Formulario!$L$23&lt;&gt;"",Formulario!$L$23,IFERROR(VLOOKUP(TRIM($M$4),Jornalesdeppto!A:C,3,0),"")),_xlfn.XLOOKUP(1,(Tabla_Costos_Insumos!$A$2:$A$3199=TRIM($M$4))*(Tabla_Costos_Insumos!$C$2:$C$3199=TRIM(K139)),Tabla_Costos_Insumos!$E$2:$E$3199,"",0))</f>
        <v>23574.34</v>
      </c>
      <c r="O139" s="443">
        <f t="shared" si="25"/>
        <v>212169.06</v>
      </c>
      <c r="P139" s="220" t="str">
        <f t="shared" si="31"/>
        <v>Cacao Criollo</v>
      </c>
      <c r="Q139" s="212" t="s">
        <v>142</v>
      </c>
      <c r="R139" s="212" t="s">
        <v>142</v>
      </c>
      <c r="S139" s="212"/>
      <c r="T139" s="212"/>
      <c r="U139" s="212"/>
      <c r="V139" s="212" t="s">
        <v>142</v>
      </c>
      <c r="W139" s="212"/>
      <c r="X139" s="214"/>
    </row>
    <row r="140" spans="1:24" ht="15">
      <c r="A140" s="211" t="s">
        <v>232</v>
      </c>
      <c r="B140" s="225" t="s">
        <v>233</v>
      </c>
      <c r="C140" s="220" t="s">
        <v>68</v>
      </c>
      <c r="D140" s="220" t="s">
        <v>145</v>
      </c>
      <c r="E140" s="220" t="s">
        <v>146</v>
      </c>
      <c r="F140" s="220" t="s">
        <v>167</v>
      </c>
      <c r="G140" s="220" t="s">
        <v>118</v>
      </c>
      <c r="H140" s="220" t="s">
        <v>174</v>
      </c>
      <c r="I140" s="220" t="s">
        <v>175</v>
      </c>
      <c r="J140" s="220" t="s">
        <v>176</v>
      </c>
      <c r="K140" s="220" t="s">
        <v>231</v>
      </c>
      <c r="L140" s="220" t="s">
        <v>172</v>
      </c>
      <c r="M140" s="221">
        <v>14</v>
      </c>
      <c r="N140" s="443" cm="1">
        <f t="array" ref="N140">IF(TRIM(K140)="Mano de Obra",IF(Formulario!$L$23&lt;&gt;"",Formulario!$L$23,IFERROR(VLOOKUP(TRIM($M$4),Jornalesdeppto!A:C,3,0),"")),_xlfn.XLOOKUP(1,(Tabla_Costos_Insumos!$A$2:$A$3199=TRIM($M$4))*(Tabla_Costos_Insumos!$C$2:$C$3199=TRIM(K140)),Tabla_Costos_Insumos!$E$2:$E$3199,"",0))</f>
        <v>23177.15</v>
      </c>
      <c r="O140" s="443">
        <f t="shared" si="25"/>
        <v>324480.10000000003</v>
      </c>
      <c r="P140" s="220" t="str">
        <f t="shared" si="31"/>
        <v>Cacao Criollo</v>
      </c>
      <c r="Q140" s="212" t="s">
        <v>142</v>
      </c>
      <c r="R140" s="212" t="s">
        <v>142</v>
      </c>
      <c r="S140" s="212"/>
      <c r="T140" s="212"/>
      <c r="U140" s="212"/>
      <c r="V140" s="212" t="s">
        <v>142</v>
      </c>
      <c r="W140" s="212"/>
      <c r="X140" s="214"/>
    </row>
    <row r="141" spans="1:24" ht="15">
      <c r="A141" s="211" t="s">
        <v>232</v>
      </c>
      <c r="B141" s="225" t="s">
        <v>233</v>
      </c>
      <c r="C141" s="220" t="s">
        <v>68</v>
      </c>
      <c r="D141" s="220" t="s">
        <v>145</v>
      </c>
      <c r="E141" s="220" t="s">
        <v>146</v>
      </c>
      <c r="F141" s="220" t="s">
        <v>167</v>
      </c>
      <c r="G141" s="220" t="s">
        <v>118</v>
      </c>
      <c r="H141" s="220" t="s">
        <v>178</v>
      </c>
      <c r="I141" s="220" t="s">
        <v>179</v>
      </c>
      <c r="J141" s="220" t="s">
        <v>180</v>
      </c>
      <c r="K141" s="220" t="s">
        <v>241</v>
      </c>
      <c r="L141" s="220" t="s">
        <v>172</v>
      </c>
      <c r="M141" s="221">
        <v>3</v>
      </c>
      <c r="N141" s="443" cm="1">
        <f t="array" ref="N141">IF(TRIM(K141)="Mano de Obra",IF(Formulario!$L$23&lt;&gt;"",Formulario!$L$23,IFERROR(VLOOKUP(TRIM($M$4),Jornalesdeppto!A:C,3,0),"")),_xlfn.XLOOKUP(1,(Tabla_Costos_Insumos!$A$2:$A$3199=TRIM($M$4))*(Tabla_Costos_Insumos!$C$2:$C$3199=TRIM(K141)),Tabla_Costos_Insumos!$E$2:$E$3199,"",0))</f>
        <v>27783.173860907915</v>
      </c>
      <c r="O141" s="443">
        <f t="shared" si="25"/>
        <v>83349.521582723741</v>
      </c>
      <c r="P141" s="220" t="str">
        <f t="shared" si="31"/>
        <v>Cacao Criollo</v>
      </c>
      <c r="Q141" s="212" t="s">
        <v>142</v>
      </c>
      <c r="R141" s="212" t="s">
        <v>142</v>
      </c>
      <c r="S141" s="212"/>
      <c r="T141" s="212"/>
      <c r="U141" s="212"/>
      <c r="V141" s="212" t="s">
        <v>142</v>
      </c>
      <c r="W141" s="212"/>
      <c r="X141" s="214"/>
    </row>
    <row r="142" spans="1:24" ht="15">
      <c r="A142" s="211" t="s">
        <v>232</v>
      </c>
      <c r="B142" s="225" t="s">
        <v>233</v>
      </c>
      <c r="C142" s="220" t="s">
        <v>68</v>
      </c>
      <c r="D142" s="220" t="s">
        <v>145</v>
      </c>
      <c r="E142" s="220" t="s">
        <v>146</v>
      </c>
      <c r="F142" s="220" t="s">
        <v>167</v>
      </c>
      <c r="G142" s="220" t="s">
        <v>118</v>
      </c>
      <c r="H142" s="220" t="s">
        <v>178</v>
      </c>
      <c r="I142" s="220" t="s">
        <v>179</v>
      </c>
      <c r="J142" s="220" t="s">
        <v>180</v>
      </c>
      <c r="K142" s="220" t="s">
        <v>242</v>
      </c>
      <c r="L142" s="220" t="s">
        <v>172</v>
      </c>
      <c r="M142" s="221">
        <v>4</v>
      </c>
      <c r="N142" s="443" cm="1">
        <f t="array" ref="N142">IF(TRIM(K142)="Mano de Obra",IF(Formulario!$L$23&lt;&gt;"",Formulario!$L$23,IFERROR(VLOOKUP(TRIM($M$4),Jornalesdeppto!A:C,3,0),"")),_xlfn.XLOOKUP(1,(Tabla_Costos_Insumos!$A$2:$A$3199=TRIM($M$4))*(Tabla_Costos_Insumos!$C$2:$C$3199=TRIM(K142)),Tabla_Costos_Insumos!$E$2:$E$3199,"",0))</f>
        <v>30026.06</v>
      </c>
      <c r="O142" s="443">
        <f t="shared" si="25"/>
        <v>120104.24</v>
      </c>
      <c r="P142" s="220" t="str">
        <f t="shared" si="31"/>
        <v>Cacao Criollo</v>
      </c>
      <c r="Q142" s="212" t="s">
        <v>142</v>
      </c>
      <c r="R142" s="212" t="s">
        <v>142</v>
      </c>
      <c r="S142" s="212"/>
      <c r="T142" s="212"/>
      <c r="U142" s="212"/>
      <c r="V142" s="212" t="s">
        <v>142</v>
      </c>
      <c r="W142" s="212"/>
      <c r="X142" s="214"/>
    </row>
    <row r="143" spans="1:24" ht="15">
      <c r="A143" s="211" t="s">
        <v>232</v>
      </c>
      <c r="B143" s="225" t="s">
        <v>233</v>
      </c>
      <c r="C143" s="220" t="s">
        <v>68</v>
      </c>
      <c r="D143" s="220" t="s">
        <v>145</v>
      </c>
      <c r="E143" s="220" t="s">
        <v>146</v>
      </c>
      <c r="F143" s="220" t="s">
        <v>183</v>
      </c>
      <c r="G143" s="220" t="s">
        <v>184</v>
      </c>
      <c r="H143" s="220" t="s">
        <v>185</v>
      </c>
      <c r="I143" s="220" t="s">
        <v>186</v>
      </c>
      <c r="J143" s="220" t="s">
        <v>105</v>
      </c>
      <c r="K143" s="220" t="s">
        <v>187</v>
      </c>
      <c r="L143" s="220" t="s">
        <v>188</v>
      </c>
      <c r="M143" s="221">
        <v>0.1</v>
      </c>
      <c r="N143" s="443" cm="1">
        <f t="array" ref="N143">IF(TRIM(K143)="Mano de Obra",IF(Formulario!$L$23&lt;&gt;"",Formulario!$L$23,IFERROR(VLOOKUP(TRIM($M$4),Jornalesdeppto!A:C,3,0),"")),_xlfn.XLOOKUP(1,(Tabla_Costos_Insumos!$A$2:$A$3199=TRIM($M$4))*(Tabla_Costos_Insumos!$C$2:$C$3199=TRIM(K143)),Tabla_Costos_Insumos!$E$2:$E$3199,"",0))</f>
        <v>175000</v>
      </c>
      <c r="O143" s="443">
        <f t="shared" si="25"/>
        <v>17500</v>
      </c>
      <c r="P143" s="220" t="str">
        <f t="shared" si="31"/>
        <v>Cacao Criollo</v>
      </c>
      <c r="Q143" s="212" t="s">
        <v>142</v>
      </c>
      <c r="R143" s="212" t="s">
        <v>142</v>
      </c>
      <c r="S143" s="212"/>
      <c r="T143" s="212"/>
      <c r="U143" s="212"/>
      <c r="V143" s="212" t="s">
        <v>142</v>
      </c>
      <c r="W143" s="212"/>
      <c r="X143" s="214"/>
    </row>
    <row r="144" spans="1:24" ht="15">
      <c r="A144" s="211" t="s">
        <v>232</v>
      </c>
      <c r="B144" s="225" t="s">
        <v>233</v>
      </c>
      <c r="C144" s="220" t="s">
        <v>68</v>
      </c>
      <c r="D144" s="220" t="s">
        <v>189</v>
      </c>
      <c r="E144" s="220" t="s">
        <v>190</v>
      </c>
      <c r="F144" s="220" t="s">
        <v>191</v>
      </c>
      <c r="G144" s="220" t="s">
        <v>192</v>
      </c>
      <c r="H144" s="220" t="s">
        <v>193</v>
      </c>
      <c r="I144" s="220" t="s">
        <v>194</v>
      </c>
      <c r="J144" s="220" t="s">
        <v>195</v>
      </c>
      <c r="K144" s="220" t="s">
        <v>196</v>
      </c>
      <c r="L144" s="220" t="s">
        <v>197</v>
      </c>
      <c r="M144" s="221">
        <v>1</v>
      </c>
      <c r="N144" s="443">
        <f>IFERROR(SUM(O126:$O$143)*0.08,0)</f>
        <v>587767.55606802937</v>
      </c>
      <c r="O144" s="443">
        <f t="shared" si="25"/>
        <v>587767.55606802937</v>
      </c>
      <c r="P144" s="220" t="str">
        <f t="shared" si="31"/>
        <v>Cacao Criollo</v>
      </c>
      <c r="Q144" s="212" t="s">
        <v>142</v>
      </c>
      <c r="R144" s="212" t="s">
        <v>142</v>
      </c>
      <c r="S144" s="212"/>
      <c r="T144" s="212"/>
      <c r="U144" s="212"/>
      <c r="V144" s="212" t="s">
        <v>142</v>
      </c>
      <c r="W144" s="212"/>
      <c r="X144" s="214"/>
    </row>
    <row r="145" spans="1:24" ht="15">
      <c r="A145" s="211" t="s">
        <v>232</v>
      </c>
      <c r="B145" s="225" t="s">
        <v>233</v>
      </c>
      <c r="C145" s="220" t="s">
        <v>68</v>
      </c>
      <c r="D145" s="220" t="s">
        <v>189</v>
      </c>
      <c r="E145" s="220" t="s">
        <v>190</v>
      </c>
      <c r="F145" s="220" t="s">
        <v>198</v>
      </c>
      <c r="G145" s="220" t="s">
        <v>199</v>
      </c>
      <c r="H145" s="220" t="s">
        <v>200</v>
      </c>
      <c r="I145" s="220" t="s">
        <v>201</v>
      </c>
      <c r="J145" s="220" t="s">
        <v>105</v>
      </c>
      <c r="K145" s="220" t="s">
        <v>202</v>
      </c>
      <c r="L145" s="220" t="s">
        <v>203</v>
      </c>
      <c r="M145" s="221">
        <v>1</v>
      </c>
      <c r="N145" s="443" cm="1">
        <f t="array" ref="N145">IF(TRIM(K145)="Mano de Obra",IF(Formulario!$L$23&lt;&gt;"",Formulario!$L$23,IFERROR(VLOOKUP(TRIM($M$4),Jornalesdeppto!A:C,3,0),"")),_xlfn.XLOOKUP(1,(Tabla_Costos_Insumos!$A$2:$A$3199=TRIM($M$4))*(Tabla_Costos_Insumos!$C$2:$C$3199=TRIM(K145)),Tabla_Costos_Insumos!$E$2:$E$3199,"",0))</f>
        <v>120000</v>
      </c>
      <c r="O145" s="443">
        <f t="shared" si="25"/>
        <v>120000</v>
      </c>
      <c r="P145" s="220" t="str">
        <f t="shared" si="31"/>
        <v>Cacao Criollo</v>
      </c>
      <c r="Q145" s="212" t="s">
        <v>142</v>
      </c>
      <c r="R145" s="212" t="s">
        <v>142</v>
      </c>
      <c r="S145" s="212"/>
      <c r="T145" s="212"/>
      <c r="U145" s="212"/>
      <c r="V145" s="212" t="s">
        <v>142</v>
      </c>
      <c r="W145" s="212"/>
      <c r="X145" s="214"/>
    </row>
    <row r="146" spans="1:24" ht="15">
      <c r="A146" s="211" t="s">
        <v>232</v>
      </c>
      <c r="B146" s="225" t="s">
        <v>233</v>
      </c>
      <c r="C146" s="220" t="s">
        <v>68</v>
      </c>
      <c r="D146" s="220" t="s">
        <v>189</v>
      </c>
      <c r="E146" s="220" t="s">
        <v>190</v>
      </c>
      <c r="F146" s="220" t="s">
        <v>204</v>
      </c>
      <c r="G146" s="220" t="s">
        <v>205</v>
      </c>
      <c r="H146" s="220" t="s">
        <v>206</v>
      </c>
      <c r="I146" s="220" t="s">
        <v>207</v>
      </c>
      <c r="J146" s="220" t="s">
        <v>4127</v>
      </c>
      <c r="K146" s="220" t="s">
        <v>228</v>
      </c>
      <c r="L146" s="220" t="s">
        <v>197</v>
      </c>
      <c r="M146" s="221">
        <v>1</v>
      </c>
      <c r="N146" s="443" t="str">
        <f>IF($M$3="Cacao criollo",$J$4,"")</f>
        <v/>
      </c>
      <c r="O146" s="443" t="str">
        <f t="shared" ref="O146:O209" si="39">IF(OR(N146=0,N146=""),"",N146*M146)</f>
        <v/>
      </c>
      <c r="P146" s="220" t="str">
        <f t="shared" si="31"/>
        <v>Cacao Criollo</v>
      </c>
      <c r="Q146" s="212" t="s">
        <v>142</v>
      </c>
      <c r="R146" s="212" t="s">
        <v>142</v>
      </c>
      <c r="S146" s="212"/>
      <c r="T146" s="212"/>
      <c r="U146" s="212"/>
      <c r="V146" s="212" t="s">
        <v>142</v>
      </c>
      <c r="W146" s="212"/>
      <c r="X146" s="214"/>
    </row>
    <row r="147" spans="1:24" ht="15">
      <c r="A147" s="211" t="s">
        <v>232</v>
      </c>
      <c r="B147" s="225" t="s">
        <v>233</v>
      </c>
      <c r="C147" s="212" t="s">
        <v>69</v>
      </c>
      <c r="D147" s="212" t="s">
        <v>99</v>
      </c>
      <c r="E147" s="212" t="s">
        <v>100</v>
      </c>
      <c r="F147" s="212" t="s">
        <v>109</v>
      </c>
      <c r="G147" s="212" t="s">
        <v>110</v>
      </c>
      <c r="H147" s="212" t="s">
        <v>234</v>
      </c>
      <c r="I147" s="212" t="s">
        <v>235</v>
      </c>
      <c r="J147" s="212" t="s">
        <v>105</v>
      </c>
      <c r="K147" s="212" t="s">
        <v>106</v>
      </c>
      <c r="L147" s="212" t="s">
        <v>107</v>
      </c>
      <c r="M147" s="213">
        <f t="shared" ref="M147:M156" si="40">IF(W147&lt;&gt;"", W147, ROUNDUP(X147*T147, 0))</f>
        <v>8</v>
      </c>
      <c r="N147" s="441" cm="1">
        <f t="array" ref="N147">IF(TRIM(K147)="Mano de Obra",IF(Formulario!$L$23&lt;&gt;"",Formulario!$L$23,IFERROR(VLOOKUP(TRIM($M$4),Jornalesdeppto!A:C,3,0),"")),_xlfn.XLOOKUP(1,(Tabla_Costos_Insumos!$A$2:$A$3199=TRIM($M$4))*(Tabla_Costos_Insumos!$C$2:$C$3199=TRIM(K147)),Tabla_Costos_Insumos!$E$2:$E$3199,"",0))</f>
        <v>46666.666666666664</v>
      </c>
      <c r="O147" s="441">
        <f t="shared" si="39"/>
        <v>373333.33333333331</v>
      </c>
      <c r="P147" s="212" t="str">
        <f t="shared" si="31"/>
        <v>Cacao Criollo</v>
      </c>
      <c r="Q147" s="212" t="s">
        <v>108</v>
      </c>
      <c r="R147" s="212">
        <v>2</v>
      </c>
      <c r="S147" s="212" t="str">
        <f t="shared" ref="S147:S154" si="41">IF($M$3="Cacao criollo",($I$3*R147) / 480,"")</f>
        <v/>
      </c>
      <c r="T147" s="212" cm="1">
        <f t="array" ref="T147">_xlfn.IFS($D$5&lt;=7, 1.1, $D$5&lt;=12,1.2, $D$5&lt;=25, 1.3, $D$5&gt;25,1.4)</f>
        <v>1.3</v>
      </c>
      <c r="U147" s="212" t="str">
        <f t="shared" ref="U147:U154" si="42">IFERROR(S147*T147,"")</f>
        <v/>
      </c>
      <c r="V147" s="212">
        <v>4</v>
      </c>
      <c r="W147" s="212" t="str">
        <f t="shared" ref="W147:W209" si="43">IFERROR(ROUNDUP(V147*U147,0),"")</f>
        <v/>
      </c>
      <c r="X147" s="214">
        <v>6</v>
      </c>
    </row>
    <row r="148" spans="1:24" ht="15">
      <c r="A148" s="211" t="s">
        <v>232</v>
      </c>
      <c r="B148" s="225" t="s">
        <v>233</v>
      </c>
      <c r="C148" s="212" t="s">
        <v>69</v>
      </c>
      <c r="D148" s="212" t="s">
        <v>99</v>
      </c>
      <c r="E148" s="212" t="s">
        <v>100</v>
      </c>
      <c r="F148" s="212" t="s">
        <v>113</v>
      </c>
      <c r="G148" s="212" t="s">
        <v>114</v>
      </c>
      <c r="H148" s="212" t="s">
        <v>115</v>
      </c>
      <c r="I148" s="212" t="s">
        <v>116</v>
      </c>
      <c r="J148" s="212" t="s">
        <v>105</v>
      </c>
      <c r="K148" s="212" t="s">
        <v>106</v>
      </c>
      <c r="L148" s="212" t="s">
        <v>107</v>
      </c>
      <c r="M148" s="213">
        <f t="shared" si="40"/>
        <v>13</v>
      </c>
      <c r="N148" s="441" cm="1">
        <f t="array" ref="N148">IF(TRIM(K148)="Mano de Obra",IF(Formulario!$L$23&lt;&gt;"",Formulario!$L$23,IFERROR(VLOOKUP(TRIM($M$4),Jornalesdeppto!A:C,3,0),"")),_xlfn.XLOOKUP(1,(Tabla_Costos_Insumos!$A$2:$A$3199=TRIM($M$4))*(Tabla_Costos_Insumos!$C$2:$C$3199=TRIM(K148)),Tabla_Costos_Insumos!$E$2:$E$3199,"",0))</f>
        <v>46666.666666666664</v>
      </c>
      <c r="O148" s="441">
        <f t="shared" si="39"/>
        <v>606666.66666666663</v>
      </c>
      <c r="P148" s="212" t="str">
        <f t="shared" si="31"/>
        <v>Cacao Criollo</v>
      </c>
      <c r="Q148" s="212" t="s">
        <v>108</v>
      </c>
      <c r="R148" s="212">
        <v>4</v>
      </c>
      <c r="S148" s="212" t="str">
        <f t="shared" si="41"/>
        <v/>
      </c>
      <c r="T148" s="212" cm="1">
        <f t="array" ref="T148">_xlfn.IFS($D$5&lt;=7, 1.1, $D$5&lt;=12,1.2, $D$5&lt;=25, 1.3, $D$5&gt;25,1.4)</f>
        <v>1.3</v>
      </c>
      <c r="U148" s="212" t="str">
        <f t="shared" si="42"/>
        <v/>
      </c>
      <c r="V148" s="212">
        <v>2</v>
      </c>
      <c r="W148" s="212" t="str">
        <f t="shared" si="43"/>
        <v/>
      </c>
      <c r="X148" s="214">
        <v>10</v>
      </c>
    </row>
    <row r="149" spans="1:24" ht="15">
      <c r="A149" s="211" t="s">
        <v>232</v>
      </c>
      <c r="B149" s="225" t="s">
        <v>233</v>
      </c>
      <c r="C149" s="212" t="s">
        <v>69</v>
      </c>
      <c r="D149" s="212" t="s">
        <v>99</v>
      </c>
      <c r="E149" s="212" t="s">
        <v>100</v>
      </c>
      <c r="F149" s="212" t="s">
        <v>117</v>
      </c>
      <c r="G149" s="212" t="s">
        <v>118</v>
      </c>
      <c r="H149" s="212" t="s">
        <v>119</v>
      </c>
      <c r="I149" s="212" t="s">
        <v>120</v>
      </c>
      <c r="J149" s="212" t="s">
        <v>105</v>
      </c>
      <c r="K149" s="212" t="s">
        <v>106</v>
      </c>
      <c r="L149" s="212" t="s">
        <v>107</v>
      </c>
      <c r="M149" s="213">
        <f t="shared" si="40"/>
        <v>4</v>
      </c>
      <c r="N149" s="441" cm="1">
        <f t="array" ref="N149">IF(TRIM(K149)="Mano de Obra",IF(Formulario!$L$23&lt;&gt;"",Formulario!$L$23,IFERROR(VLOOKUP(TRIM($M$4),Jornalesdeppto!A:C,3,0),"")),_xlfn.XLOOKUP(1,(Tabla_Costos_Insumos!$A$2:$A$3199=TRIM($M$4))*(Tabla_Costos_Insumos!$C$2:$C$3199=TRIM(K149)),Tabla_Costos_Insumos!$E$2:$E$3199,"",0))</f>
        <v>46666.666666666664</v>
      </c>
      <c r="O149" s="441">
        <f t="shared" si="39"/>
        <v>186666.66666666666</v>
      </c>
      <c r="P149" s="212" t="str">
        <f t="shared" si="31"/>
        <v>Cacao Criollo</v>
      </c>
      <c r="Q149" s="212" t="s">
        <v>108</v>
      </c>
      <c r="R149" s="212">
        <v>1.01</v>
      </c>
      <c r="S149" s="212" t="str">
        <f t="shared" si="41"/>
        <v/>
      </c>
      <c r="T149" s="212" cm="1">
        <f t="array" ref="T149">_xlfn.IFS($D$5&lt;=7, 1.1, $D$5&lt;=12,1.2, $D$5&lt;=25, 1.3, $D$5&gt;25,1.4)</f>
        <v>1.3</v>
      </c>
      <c r="U149" s="212" t="str">
        <f t="shared" si="42"/>
        <v/>
      </c>
      <c r="V149" s="212">
        <v>9</v>
      </c>
      <c r="W149" s="212" t="str">
        <f t="shared" si="43"/>
        <v/>
      </c>
      <c r="X149" s="214">
        <v>3</v>
      </c>
    </row>
    <row r="150" spans="1:24" ht="15">
      <c r="A150" s="211" t="s">
        <v>232</v>
      </c>
      <c r="B150" s="225" t="s">
        <v>233</v>
      </c>
      <c r="C150" s="212" t="s">
        <v>69</v>
      </c>
      <c r="D150" s="212" t="s">
        <v>99</v>
      </c>
      <c r="E150" s="212" t="s">
        <v>100</v>
      </c>
      <c r="F150" s="212" t="s">
        <v>117</v>
      </c>
      <c r="G150" s="212" t="s">
        <v>118</v>
      </c>
      <c r="H150" s="212" t="s">
        <v>121</v>
      </c>
      <c r="I150" s="212" t="s">
        <v>122</v>
      </c>
      <c r="J150" s="212" t="s">
        <v>105</v>
      </c>
      <c r="K150" s="212" t="s">
        <v>106</v>
      </c>
      <c r="L150" s="212" t="s">
        <v>107</v>
      </c>
      <c r="M150" s="213">
        <f t="shared" si="40"/>
        <v>20</v>
      </c>
      <c r="N150" s="441" cm="1">
        <f t="array" ref="N150">IF(TRIM(K150)="Mano de Obra",IF(Formulario!$L$23&lt;&gt;"",Formulario!$L$23,IFERROR(VLOOKUP(TRIM($M$4),Jornalesdeppto!A:C,3,0),"")),_xlfn.XLOOKUP(1,(Tabla_Costos_Insumos!$A$2:$A$3199=TRIM($M$4))*(Tabla_Costos_Insumos!$C$2:$C$3199=TRIM(K150)),Tabla_Costos_Insumos!$E$2:$E$3199,"",0))</f>
        <v>46666.666666666664</v>
      </c>
      <c r="O150" s="441">
        <f t="shared" si="39"/>
        <v>933333.33333333326</v>
      </c>
      <c r="P150" s="212" t="str">
        <f t="shared" si="31"/>
        <v>Cacao Criollo</v>
      </c>
      <c r="Q150" s="212" t="s">
        <v>108</v>
      </c>
      <c r="R150" s="212">
        <v>1.01</v>
      </c>
      <c r="S150" s="212" t="str">
        <f t="shared" si="41"/>
        <v/>
      </c>
      <c r="T150" s="212" cm="1">
        <f t="array" ref="T150">_xlfn.IFS($D$5&lt;=7, 1.1, $D$5&lt;=12,1.2, $D$5&lt;=25, 1.3, $D$5&gt;25,1.4)</f>
        <v>1.3</v>
      </c>
      <c r="U150" s="212" t="str">
        <f t="shared" si="42"/>
        <v/>
      </c>
      <c r="V150" s="212">
        <v>9</v>
      </c>
      <c r="W150" s="212" t="str">
        <f t="shared" si="43"/>
        <v/>
      </c>
      <c r="X150" s="214">
        <v>15</v>
      </c>
    </row>
    <row r="151" spans="1:24" ht="15">
      <c r="A151" s="211" t="s">
        <v>232</v>
      </c>
      <c r="B151" s="225" t="s">
        <v>233</v>
      </c>
      <c r="C151" s="212" t="s">
        <v>69</v>
      </c>
      <c r="D151" s="212" t="s">
        <v>99</v>
      </c>
      <c r="E151" s="212" t="s">
        <v>100</v>
      </c>
      <c r="F151" s="212" t="s">
        <v>123</v>
      </c>
      <c r="G151" s="212" t="s">
        <v>124</v>
      </c>
      <c r="H151" s="212" t="s">
        <v>125</v>
      </c>
      <c r="I151" s="212" t="s">
        <v>126</v>
      </c>
      <c r="J151" s="212" t="s">
        <v>105</v>
      </c>
      <c r="K151" s="212" t="s">
        <v>106</v>
      </c>
      <c r="L151" s="212" t="s">
        <v>107</v>
      </c>
      <c r="M151" s="213">
        <f t="shared" si="40"/>
        <v>20</v>
      </c>
      <c r="N151" s="441" cm="1">
        <f t="array" ref="N151">IF(TRIM(K151)="Mano de Obra",IF(Formulario!$L$23&lt;&gt;"",Formulario!$L$23,IFERROR(VLOOKUP(TRIM($M$4),Jornalesdeppto!A:C,3,0),"")),_xlfn.XLOOKUP(1,(Tabla_Costos_Insumos!$A$2:$A$3199=TRIM($M$4))*(Tabla_Costos_Insumos!$C$2:$C$3199=TRIM(K151)),Tabla_Costos_Insumos!$E$2:$E$3199,"",0))</f>
        <v>46666.666666666664</v>
      </c>
      <c r="O151" s="441">
        <f t="shared" si="39"/>
        <v>933333.33333333326</v>
      </c>
      <c r="P151" s="212" t="str">
        <f t="shared" si="31"/>
        <v>Cacao Criollo</v>
      </c>
      <c r="Q151" s="212" t="s">
        <v>108</v>
      </c>
      <c r="R151" s="212">
        <v>0.09</v>
      </c>
      <c r="S151" s="212" t="str">
        <f t="shared" si="41"/>
        <v/>
      </c>
      <c r="T151" s="212" cm="1">
        <f t="array" ref="T151">_xlfn.IFS($D$5&lt;=7, 1.1, $D$5&lt;=12,1.2, $D$5&lt;=25, 1.3, $D$5&gt;25,1.4)</f>
        <v>1.3</v>
      </c>
      <c r="U151" s="212" t="str">
        <f t="shared" si="42"/>
        <v/>
      </c>
      <c r="V151" s="212">
        <v>4</v>
      </c>
      <c r="W151" s="212" t="str">
        <f t="shared" si="43"/>
        <v/>
      </c>
      <c r="X151" s="214">
        <v>15</v>
      </c>
    </row>
    <row r="152" spans="1:24" ht="15">
      <c r="A152" s="211" t="s">
        <v>232</v>
      </c>
      <c r="B152" s="225" t="s">
        <v>233</v>
      </c>
      <c r="C152" s="212" t="s">
        <v>69</v>
      </c>
      <c r="D152" s="212" t="s">
        <v>99</v>
      </c>
      <c r="E152" s="212" t="s">
        <v>100</v>
      </c>
      <c r="F152" s="212" t="s">
        <v>123</v>
      </c>
      <c r="G152" s="212" t="s">
        <v>124</v>
      </c>
      <c r="H152" s="212" t="s">
        <v>128</v>
      </c>
      <c r="I152" s="212" t="s">
        <v>129</v>
      </c>
      <c r="J152" s="212" t="s">
        <v>105</v>
      </c>
      <c r="K152" s="212" t="s">
        <v>106</v>
      </c>
      <c r="L152" s="212" t="s">
        <v>107</v>
      </c>
      <c r="M152" s="213">
        <f t="shared" si="40"/>
        <v>10</v>
      </c>
      <c r="N152" s="441" cm="1">
        <f t="array" ref="N152">IF(TRIM(K152)="Mano de Obra",IF(Formulario!$L$23&lt;&gt;"",Formulario!$L$23,IFERROR(VLOOKUP(TRIM($M$4),Jornalesdeppto!A:C,3,0),"")),_xlfn.XLOOKUP(1,(Tabla_Costos_Insumos!$A$2:$A$3199=TRIM($M$4))*(Tabla_Costos_Insumos!$C$2:$C$3199=TRIM(K152)),Tabla_Costos_Insumos!$E$2:$E$3199,"",0))</f>
        <v>46666.666666666664</v>
      </c>
      <c r="O152" s="441">
        <f t="shared" si="39"/>
        <v>466666.66666666663</v>
      </c>
      <c r="P152" s="212" t="str">
        <f t="shared" si="31"/>
        <v>Cacao Criollo</v>
      </c>
      <c r="Q152" s="212" t="s">
        <v>108</v>
      </c>
      <c r="R152" s="212">
        <v>0.09</v>
      </c>
      <c r="S152" s="212" t="str">
        <f t="shared" si="41"/>
        <v/>
      </c>
      <c r="T152" s="212" cm="1">
        <f t="array" ref="T152">_xlfn.IFS($D$5&lt;=7, 1.1, $D$5&lt;=12,1.2, $D$5&lt;=25, 1.3, $D$5&gt;25,1.4)</f>
        <v>1.3</v>
      </c>
      <c r="U152" s="212" t="str">
        <f t="shared" si="42"/>
        <v/>
      </c>
      <c r="V152" s="212">
        <v>4</v>
      </c>
      <c r="W152" s="212" t="str">
        <f t="shared" si="43"/>
        <v/>
      </c>
      <c r="X152" s="214">
        <v>7</v>
      </c>
    </row>
    <row r="153" spans="1:24" ht="15">
      <c r="A153" s="211" t="s">
        <v>232</v>
      </c>
      <c r="B153" s="225" t="s">
        <v>233</v>
      </c>
      <c r="C153" s="212" t="s">
        <v>69</v>
      </c>
      <c r="D153" s="212" t="s">
        <v>99</v>
      </c>
      <c r="E153" s="212" t="s">
        <v>100</v>
      </c>
      <c r="F153" s="212" t="s">
        <v>130</v>
      </c>
      <c r="G153" s="212" t="s">
        <v>131</v>
      </c>
      <c r="H153" s="212" t="s">
        <v>132</v>
      </c>
      <c r="I153" s="212" t="s">
        <v>133</v>
      </c>
      <c r="J153" s="212" t="s">
        <v>105</v>
      </c>
      <c r="K153" s="212" t="s">
        <v>106</v>
      </c>
      <c r="L153" s="212" t="s">
        <v>107</v>
      </c>
      <c r="M153" s="213">
        <f t="shared" si="40"/>
        <v>3</v>
      </c>
      <c r="N153" s="441" cm="1">
        <f t="array" ref="N153">IF(TRIM(K153)="Mano de Obra",IF(Formulario!$L$23&lt;&gt;"",Formulario!$L$23,IFERROR(VLOOKUP(TRIM($M$4),Jornalesdeppto!A:C,3,0),"")),_xlfn.XLOOKUP(1,(Tabla_Costos_Insumos!$A$2:$A$3199=TRIM($M$4))*(Tabla_Costos_Insumos!$C$2:$C$3199=TRIM(K153)),Tabla_Costos_Insumos!$E$2:$E$3199,"",0))</f>
        <v>46666.666666666664</v>
      </c>
      <c r="O153" s="441">
        <f t="shared" si="39"/>
        <v>140000</v>
      </c>
      <c r="P153" s="212" t="str">
        <f t="shared" si="31"/>
        <v>Cacao Criollo</v>
      </c>
      <c r="Q153" s="212" t="s">
        <v>108</v>
      </c>
      <c r="R153" s="212">
        <v>3</v>
      </c>
      <c r="S153" s="212" t="str">
        <f t="shared" si="41"/>
        <v/>
      </c>
      <c r="T153" s="212" cm="1">
        <f t="array" ref="T153">_xlfn.IFS($D$5&lt;=7, 1.1, $D$5&lt;=12,1.2, $D$5&lt;=25, 1.3, $D$5&gt;25,1.4)</f>
        <v>1.3</v>
      </c>
      <c r="U153" s="212" t="str">
        <f t="shared" si="42"/>
        <v/>
      </c>
      <c r="V153" s="212">
        <v>2</v>
      </c>
      <c r="W153" s="212" t="str">
        <f t="shared" si="43"/>
        <v/>
      </c>
      <c r="X153" s="214">
        <v>2</v>
      </c>
    </row>
    <row r="154" spans="1:24" ht="15">
      <c r="A154" s="211" t="s">
        <v>232</v>
      </c>
      <c r="B154" s="225" t="s">
        <v>233</v>
      </c>
      <c r="C154" s="212" t="s">
        <v>69</v>
      </c>
      <c r="D154" s="212" t="s">
        <v>99</v>
      </c>
      <c r="E154" s="212" t="s">
        <v>100</v>
      </c>
      <c r="F154" s="212" t="s">
        <v>130</v>
      </c>
      <c r="G154" s="212" t="s">
        <v>131</v>
      </c>
      <c r="H154" s="212" t="s">
        <v>134</v>
      </c>
      <c r="I154" s="212" t="s">
        <v>135</v>
      </c>
      <c r="J154" s="212" t="s">
        <v>105</v>
      </c>
      <c r="K154" s="212" t="s">
        <v>106</v>
      </c>
      <c r="L154" s="212" t="s">
        <v>107</v>
      </c>
      <c r="M154" s="213">
        <f t="shared" si="40"/>
        <v>2</v>
      </c>
      <c r="N154" s="441" cm="1">
        <f t="array" ref="N154">IF(TRIM(K154)="Mano de Obra",IF(Formulario!$L$23&lt;&gt;"",Formulario!$L$23,IFERROR(VLOOKUP(TRIM($M$4),Jornalesdeppto!A:C,3,0),"")),_xlfn.XLOOKUP(1,(Tabla_Costos_Insumos!$A$2:$A$3199=TRIM($M$4))*(Tabla_Costos_Insumos!$C$2:$C$3199=TRIM(K154)),Tabla_Costos_Insumos!$E$2:$E$3199,"",0))</f>
        <v>46666.666666666664</v>
      </c>
      <c r="O154" s="441">
        <f t="shared" si="39"/>
        <v>93333.333333333328</v>
      </c>
      <c r="P154" s="212" t="str">
        <f t="shared" si="31"/>
        <v>Cacao Criollo</v>
      </c>
      <c r="Q154" s="212" t="s">
        <v>108</v>
      </c>
      <c r="R154" s="212">
        <v>3</v>
      </c>
      <c r="S154" s="212" t="str">
        <f t="shared" si="41"/>
        <v/>
      </c>
      <c r="T154" s="212" cm="1">
        <f t="array" ref="T154">_xlfn.IFS($D$5&lt;=7, 1.1, $D$5&lt;=12,1.2, $D$5&lt;=25, 1.3, $D$5&gt;25,1.4)</f>
        <v>1.3</v>
      </c>
      <c r="U154" s="212" t="str">
        <f t="shared" si="42"/>
        <v/>
      </c>
      <c r="V154" s="212">
        <v>2</v>
      </c>
      <c r="W154" s="212" t="str">
        <f t="shared" si="43"/>
        <v/>
      </c>
      <c r="X154" s="214">
        <v>1</v>
      </c>
    </row>
    <row r="155" spans="1:24" ht="15">
      <c r="A155" s="211" t="s">
        <v>232</v>
      </c>
      <c r="B155" s="225" t="s">
        <v>233</v>
      </c>
      <c r="C155" s="212" t="s">
        <v>69</v>
      </c>
      <c r="D155" s="212" t="s">
        <v>99</v>
      </c>
      <c r="E155" s="212" t="s">
        <v>100</v>
      </c>
      <c r="F155" s="212" t="s">
        <v>138</v>
      </c>
      <c r="G155" s="212" t="s">
        <v>139</v>
      </c>
      <c r="H155" s="212" t="s">
        <v>140</v>
      </c>
      <c r="I155" s="212" t="s">
        <v>141</v>
      </c>
      <c r="J155" s="212" t="s">
        <v>105</v>
      </c>
      <c r="K155" s="212" t="s">
        <v>106</v>
      </c>
      <c r="L155" s="212" t="s">
        <v>107</v>
      </c>
      <c r="M155" s="213">
        <f t="shared" si="40"/>
        <v>4</v>
      </c>
      <c r="N155" s="441" cm="1">
        <f t="array" ref="N155">IF(TRIM(K155)="Mano de Obra",IF(Formulario!$L$23&lt;&gt;"",Formulario!$L$23,IFERROR(VLOOKUP(TRIM($M$4),Jornalesdeppto!A:C,3,0),"")),_xlfn.XLOOKUP(1,(Tabla_Costos_Insumos!$A$2:$A$3199=TRIM($M$4))*(Tabla_Costos_Insumos!$C$2:$C$3199=TRIM(K155)),Tabla_Costos_Insumos!$E$2:$E$3199,"",0))</f>
        <v>46666.666666666664</v>
      </c>
      <c r="O155" s="441">
        <f t="shared" si="39"/>
        <v>186666.66666666666</v>
      </c>
      <c r="P155" s="212" t="str">
        <f t="shared" si="31"/>
        <v>Cacao Criollo</v>
      </c>
      <c r="Q155" s="212" t="s">
        <v>142</v>
      </c>
      <c r="R155" s="212" t="s">
        <v>142</v>
      </c>
      <c r="S155" s="212"/>
      <c r="T155" s="212" cm="1">
        <f t="array" ref="T155">_xlfn.IFS($D$5&lt;=7, 1.1, $D$5&lt;=12,1.2, $D$5&lt;=25, 1.3, $D$5&gt;25,1.4)</f>
        <v>1.3</v>
      </c>
      <c r="U155" s="212"/>
      <c r="V155" s="212" t="s">
        <v>142</v>
      </c>
      <c r="W155" s="212" t="str">
        <f t="shared" si="43"/>
        <v/>
      </c>
      <c r="X155" s="214">
        <v>3</v>
      </c>
    </row>
    <row r="156" spans="1:24" ht="15">
      <c r="A156" s="211" t="s">
        <v>232</v>
      </c>
      <c r="B156" s="225" t="s">
        <v>233</v>
      </c>
      <c r="C156" s="212" t="s">
        <v>69</v>
      </c>
      <c r="D156" s="212" t="s">
        <v>99</v>
      </c>
      <c r="E156" s="212" t="s">
        <v>100</v>
      </c>
      <c r="F156" s="212" t="s">
        <v>138</v>
      </c>
      <c r="G156" s="212" t="s">
        <v>139</v>
      </c>
      <c r="H156" s="212" t="s">
        <v>143</v>
      </c>
      <c r="I156" s="212" t="s">
        <v>144</v>
      </c>
      <c r="J156" s="212" t="s">
        <v>105</v>
      </c>
      <c r="K156" s="212" t="s">
        <v>106</v>
      </c>
      <c r="L156" s="212" t="s">
        <v>107</v>
      </c>
      <c r="M156" s="213">
        <f t="shared" si="40"/>
        <v>24</v>
      </c>
      <c r="N156" s="441" cm="1">
        <f t="array" ref="N156">IF(TRIM(K156)="Mano de Obra",IF(Formulario!$L$23&lt;&gt;"",Formulario!$L$23,IFERROR(VLOOKUP(TRIM($M$4),Jornalesdeppto!A:C,3,0),"")),_xlfn.XLOOKUP(1,(Tabla_Costos_Insumos!$A$2:$A$3199=TRIM($M$4))*(Tabla_Costos_Insumos!$C$2:$C$3199=TRIM(K156)),Tabla_Costos_Insumos!$E$2:$E$3199,"",0))</f>
        <v>46666.666666666664</v>
      </c>
      <c r="O156" s="441">
        <f t="shared" si="39"/>
        <v>1120000</v>
      </c>
      <c r="P156" s="212" t="str">
        <f t="shared" si="31"/>
        <v>Cacao Criollo</v>
      </c>
      <c r="Q156" s="212" t="s">
        <v>142</v>
      </c>
      <c r="R156" s="212" t="s">
        <v>142</v>
      </c>
      <c r="S156" s="212"/>
      <c r="T156" s="212" cm="1">
        <f t="array" ref="T156">_xlfn.IFS($D$5&lt;=7, 1.1, $D$5&lt;=12,1.2, $D$5&lt;=25, 1.3, $D$5&gt;25,1.4)</f>
        <v>1.3</v>
      </c>
      <c r="U156" s="212"/>
      <c r="V156" s="212" t="s">
        <v>142</v>
      </c>
      <c r="W156" s="212" t="str">
        <f t="shared" si="43"/>
        <v/>
      </c>
      <c r="X156" s="214">
        <v>18</v>
      </c>
    </row>
    <row r="157" spans="1:24" ht="15">
      <c r="A157" s="211" t="s">
        <v>232</v>
      </c>
      <c r="B157" s="225" t="s">
        <v>233</v>
      </c>
      <c r="C157" s="212" t="s">
        <v>69</v>
      </c>
      <c r="D157" s="212" t="s">
        <v>145</v>
      </c>
      <c r="E157" s="212" t="s">
        <v>146</v>
      </c>
      <c r="F157" s="212" t="s">
        <v>147</v>
      </c>
      <c r="G157" s="212" t="s">
        <v>131</v>
      </c>
      <c r="H157" s="212" t="s">
        <v>165</v>
      </c>
      <c r="I157" s="212" t="s">
        <v>153</v>
      </c>
      <c r="J157" s="212" t="s">
        <v>149</v>
      </c>
      <c r="K157" s="212" t="s">
        <v>4216</v>
      </c>
      <c r="L157" s="212" t="s">
        <v>151</v>
      </c>
      <c r="M157" s="213">
        <v>10</v>
      </c>
      <c r="N157" s="441" cm="1">
        <f t="array" ref="N157">IF(TRIM(K157)="Mano de Obra",IF(Formulario!$L$23&lt;&gt;"",Formulario!$L$23,IFERROR(VLOOKUP(TRIM($M$4),Jornalesdeppto!A:C,3,0),"")),_xlfn.XLOOKUP(1,(Tabla_Costos_Insumos!$A$2:$A$3199=TRIM($M$4))*(Tabla_Costos_Insumos!$C$2:$C$3199=TRIM(K157)),Tabla_Costos_Insumos!$E$2:$E$3199,"",0))</f>
        <v>125849.2424242409</v>
      </c>
      <c r="O157" s="441">
        <f t="shared" si="39"/>
        <v>1258492.4242424089</v>
      </c>
      <c r="P157" s="212" t="str">
        <f t="shared" si="31"/>
        <v>Cacao Criollo</v>
      </c>
      <c r="Q157" s="212" t="s">
        <v>142</v>
      </c>
      <c r="R157" s="212" t="s">
        <v>142</v>
      </c>
      <c r="S157" s="212"/>
      <c r="T157" s="212"/>
      <c r="U157" s="212"/>
      <c r="V157" s="212" t="s">
        <v>142</v>
      </c>
      <c r="W157" s="212" t="str">
        <f t="shared" si="43"/>
        <v/>
      </c>
      <c r="X157" s="214"/>
    </row>
    <row r="158" spans="1:24" ht="15">
      <c r="A158" s="211" t="s">
        <v>232</v>
      </c>
      <c r="B158" s="225" t="s">
        <v>233</v>
      </c>
      <c r="C158" s="212" t="s">
        <v>69</v>
      </c>
      <c r="D158" s="212" t="s">
        <v>145</v>
      </c>
      <c r="E158" s="212" t="s">
        <v>146</v>
      </c>
      <c r="F158" s="212" t="s">
        <v>147</v>
      </c>
      <c r="G158" s="212" t="s">
        <v>131</v>
      </c>
      <c r="H158" s="212" t="s">
        <v>152</v>
      </c>
      <c r="I158" s="212" t="s">
        <v>299</v>
      </c>
      <c r="J158" s="212" t="s">
        <v>149</v>
      </c>
      <c r="K158" s="212" t="s">
        <v>150</v>
      </c>
      <c r="L158" s="212" t="s">
        <v>151</v>
      </c>
      <c r="M158" s="213">
        <v>2</v>
      </c>
      <c r="N158" s="441" cm="1">
        <f t="array" ref="N158">IF(TRIM(K158)="Mano de Obra",IF(Formulario!$L$23&lt;&gt;"",Formulario!$L$23,IFERROR(VLOOKUP(TRIM($M$4),Jornalesdeppto!A:C,3,0),"")),_xlfn.XLOOKUP(1,(Tabla_Costos_Insumos!$A$2:$A$3199=TRIM($M$4))*(Tabla_Costos_Insumos!$C$2:$C$3199=TRIM(K158)),Tabla_Costos_Insumos!$E$2:$E$3199,"",0))</f>
        <v>198055.68333333</v>
      </c>
      <c r="O158" s="441">
        <f t="shared" si="39"/>
        <v>396111.36666666</v>
      </c>
      <c r="P158" s="212" t="str">
        <f t="shared" si="31"/>
        <v>Cacao Criollo</v>
      </c>
      <c r="Q158" s="212" t="s">
        <v>142</v>
      </c>
      <c r="R158" s="212" t="s">
        <v>142</v>
      </c>
      <c r="S158" s="212"/>
      <c r="T158" s="212"/>
      <c r="U158" s="212"/>
      <c r="V158" s="212" t="s">
        <v>142</v>
      </c>
      <c r="W158" s="212" t="str">
        <f t="shared" si="43"/>
        <v/>
      </c>
      <c r="X158" s="214"/>
    </row>
    <row r="159" spans="1:24" ht="15">
      <c r="A159" s="211" t="s">
        <v>232</v>
      </c>
      <c r="B159" s="225" t="s">
        <v>233</v>
      </c>
      <c r="C159" s="212" t="s">
        <v>69</v>
      </c>
      <c r="D159" s="212" t="s">
        <v>145</v>
      </c>
      <c r="E159" s="212" t="s">
        <v>146</v>
      </c>
      <c r="F159" s="212" t="s">
        <v>147</v>
      </c>
      <c r="G159" s="212" t="s">
        <v>131</v>
      </c>
      <c r="H159" s="212" t="s">
        <v>154</v>
      </c>
      <c r="I159" s="212" t="s">
        <v>155</v>
      </c>
      <c r="J159" s="212" t="s">
        <v>149</v>
      </c>
      <c r="K159" s="212" t="s">
        <v>156</v>
      </c>
      <c r="L159" s="212" t="s">
        <v>151</v>
      </c>
      <c r="M159" s="213">
        <v>6</v>
      </c>
      <c r="N159" s="441" cm="1">
        <f t="array" ref="N159">IF(TRIM(K159)="Mano de Obra",IF(Formulario!$L$23&lt;&gt;"",Formulario!$L$23,IFERROR(VLOOKUP(TRIM($M$4),Jornalesdeppto!A:C,3,0),"")),_xlfn.XLOOKUP(1,(Tabla_Costos_Insumos!$A$2:$A$3199=TRIM($M$4))*(Tabla_Costos_Insumos!$C$2:$C$3199=TRIM(K159)),Tabla_Costos_Insumos!$E$2:$E$3199,"",0))</f>
        <v>17212.5</v>
      </c>
      <c r="O159" s="441">
        <f t="shared" si="39"/>
        <v>103275</v>
      </c>
      <c r="P159" s="212" t="str">
        <f t="shared" si="31"/>
        <v>Cacao Criollo</v>
      </c>
      <c r="Q159" s="212" t="s">
        <v>142</v>
      </c>
      <c r="R159" s="212" t="s">
        <v>142</v>
      </c>
      <c r="S159" s="212"/>
      <c r="T159" s="212"/>
      <c r="U159" s="212"/>
      <c r="V159" s="212" t="s">
        <v>142</v>
      </c>
      <c r="W159" s="212" t="str">
        <f t="shared" si="43"/>
        <v/>
      </c>
      <c r="X159" s="214"/>
    </row>
    <row r="160" spans="1:24" ht="15">
      <c r="A160" s="211" t="s">
        <v>232</v>
      </c>
      <c r="B160" s="225" t="s">
        <v>233</v>
      </c>
      <c r="C160" s="212" t="s">
        <v>69</v>
      </c>
      <c r="D160" s="212" t="s">
        <v>145</v>
      </c>
      <c r="E160" s="212" t="s">
        <v>146</v>
      </c>
      <c r="F160" s="212" t="s">
        <v>147</v>
      </c>
      <c r="G160" s="212" t="s">
        <v>131</v>
      </c>
      <c r="H160" s="212" t="s">
        <v>157</v>
      </c>
      <c r="I160" s="212" t="s">
        <v>158</v>
      </c>
      <c r="J160" s="212" t="s">
        <v>149</v>
      </c>
      <c r="K160" s="212" t="s">
        <v>243</v>
      </c>
      <c r="L160" s="212" t="s">
        <v>172</v>
      </c>
      <c r="M160" s="213">
        <v>18</v>
      </c>
      <c r="N160" s="441" cm="1">
        <f t="array" ref="N160">IF(TRIM(K160)="Mano de Obra",IF(Formulario!$L$23&lt;&gt;"",Formulario!$L$23,IFERROR(VLOOKUP(TRIM($M$4),Jornalesdeppto!A:C,3,0),"")),_xlfn.XLOOKUP(1,(Tabla_Costos_Insumos!$A$2:$A$3199=TRIM($M$4))*(Tabla_Costos_Insumos!$C$2:$C$3199=TRIM(K160)),Tabla_Costos_Insumos!$E$2:$E$3199,"",0))</f>
        <v>26208.33</v>
      </c>
      <c r="O160" s="441">
        <f t="shared" si="39"/>
        <v>471749.94000000006</v>
      </c>
      <c r="P160" s="212" t="str">
        <f t="shared" si="31"/>
        <v>Cacao Criollo</v>
      </c>
      <c r="Q160" s="212" t="s">
        <v>142</v>
      </c>
      <c r="R160" s="212" t="s">
        <v>142</v>
      </c>
      <c r="S160" s="212"/>
      <c r="T160" s="212"/>
      <c r="U160" s="212"/>
      <c r="V160" s="212" t="s">
        <v>142</v>
      </c>
      <c r="W160" s="212" t="str">
        <f t="shared" si="43"/>
        <v/>
      </c>
      <c r="X160" s="214"/>
    </row>
    <row r="161" spans="1:24" ht="15">
      <c r="A161" s="211" t="s">
        <v>232</v>
      </c>
      <c r="B161" s="225" t="s">
        <v>233</v>
      </c>
      <c r="C161" s="212" t="s">
        <v>69</v>
      </c>
      <c r="D161" s="212" t="s">
        <v>145</v>
      </c>
      <c r="E161" s="212" t="s">
        <v>146</v>
      </c>
      <c r="F161" s="212" t="s">
        <v>147</v>
      </c>
      <c r="G161" s="212" t="s">
        <v>131</v>
      </c>
      <c r="H161" s="212" t="s">
        <v>161</v>
      </c>
      <c r="I161" s="212" t="s">
        <v>162</v>
      </c>
      <c r="J161" s="212" t="s">
        <v>149</v>
      </c>
      <c r="K161" s="212" t="s">
        <v>163</v>
      </c>
      <c r="L161" s="212" t="s">
        <v>164</v>
      </c>
      <c r="M161" s="213">
        <v>2</v>
      </c>
      <c r="N161" s="441" cm="1">
        <f t="array" ref="N161">IF(TRIM(K161)="Mano de Obra",IF(Formulario!$L$23&lt;&gt;"",Formulario!$L$23,IFERROR(VLOOKUP(TRIM($M$4),Jornalesdeppto!A:C,3,0),"")),_xlfn.XLOOKUP(1,(Tabla_Costos_Insumos!$A$2:$A$3199=TRIM($M$4))*(Tabla_Costos_Insumos!$C$2:$C$3199=TRIM(K161)),Tabla_Costos_Insumos!$E$2:$E$3199,"",0))</f>
        <v>128084.44444445</v>
      </c>
      <c r="O161" s="441">
        <f t="shared" si="39"/>
        <v>256168.88888889999</v>
      </c>
      <c r="P161" s="212" t="str">
        <f t="shared" ref="P161:P192" si="44">CONCATENATE(A161," ",B161)</f>
        <v>Cacao Criollo</v>
      </c>
      <c r="Q161" s="212" t="s">
        <v>142</v>
      </c>
      <c r="R161" s="212" t="s">
        <v>142</v>
      </c>
      <c r="S161" s="212"/>
      <c r="T161" s="212"/>
      <c r="U161" s="212"/>
      <c r="V161" s="212" t="s">
        <v>142</v>
      </c>
      <c r="W161" s="212" t="str">
        <f t="shared" si="43"/>
        <v/>
      </c>
      <c r="X161" s="214"/>
    </row>
    <row r="162" spans="1:24" ht="15">
      <c r="A162" s="211" t="s">
        <v>232</v>
      </c>
      <c r="B162" s="225" t="s">
        <v>233</v>
      </c>
      <c r="C162" s="212" t="s">
        <v>69</v>
      </c>
      <c r="D162" s="212" t="s">
        <v>145</v>
      </c>
      <c r="E162" s="212" t="s">
        <v>146</v>
      </c>
      <c r="F162" s="212" t="s">
        <v>147</v>
      </c>
      <c r="G162" s="212" t="s">
        <v>131</v>
      </c>
      <c r="H162" s="212" t="s">
        <v>165</v>
      </c>
      <c r="I162" s="212" t="s">
        <v>153</v>
      </c>
      <c r="J162" s="212" t="s">
        <v>149</v>
      </c>
      <c r="K162" s="212" t="s">
        <v>166</v>
      </c>
      <c r="L162" s="212" t="s">
        <v>151</v>
      </c>
      <c r="M162" s="213">
        <v>11</v>
      </c>
      <c r="N162" s="441" cm="1">
        <f t="array" ref="N162">IF(TRIM(K162)="Mano de Obra",IF(Formulario!$L$23&lt;&gt;"",Formulario!$L$23,IFERROR(VLOOKUP(TRIM($M$4),Jornalesdeppto!A:C,3,0),"")),_xlfn.XLOOKUP(1,(Tabla_Costos_Insumos!$A$2:$A$3199=TRIM($M$4))*(Tabla_Costos_Insumos!$C$2:$C$3199=TRIM(K162)),Tabla_Costos_Insumos!$E$2:$E$3199,"",0))</f>
        <v>110000</v>
      </c>
      <c r="O162" s="441">
        <f t="shared" si="39"/>
        <v>1210000</v>
      </c>
      <c r="P162" s="212" t="str">
        <f t="shared" si="44"/>
        <v>Cacao Criollo</v>
      </c>
      <c r="Q162" s="212" t="s">
        <v>142</v>
      </c>
      <c r="R162" s="212" t="s">
        <v>142</v>
      </c>
      <c r="S162" s="212"/>
      <c r="T162" s="212"/>
      <c r="U162" s="212"/>
      <c r="V162" s="212" t="s">
        <v>142</v>
      </c>
      <c r="W162" s="212" t="str">
        <f t="shared" si="43"/>
        <v/>
      </c>
      <c r="X162" s="214"/>
    </row>
    <row r="163" spans="1:24" ht="15">
      <c r="A163" s="211" t="s">
        <v>232</v>
      </c>
      <c r="B163" s="225" t="s">
        <v>233</v>
      </c>
      <c r="C163" s="212" t="s">
        <v>69</v>
      </c>
      <c r="D163" s="212" t="s">
        <v>145</v>
      </c>
      <c r="E163" s="212" t="s">
        <v>146</v>
      </c>
      <c r="F163" s="212" t="s">
        <v>167</v>
      </c>
      <c r="G163" s="212" t="s">
        <v>118</v>
      </c>
      <c r="H163" s="212" t="s">
        <v>168</v>
      </c>
      <c r="I163" s="212" t="s">
        <v>169</v>
      </c>
      <c r="J163" s="212" t="s">
        <v>170</v>
      </c>
      <c r="K163" s="212" t="s">
        <v>238</v>
      </c>
      <c r="L163" s="212" t="s">
        <v>239</v>
      </c>
      <c r="M163" s="213">
        <v>27</v>
      </c>
      <c r="N163" s="441" cm="1">
        <f t="array" ref="N163">IF(TRIM(K163)="Mano de Obra",IF(Formulario!$L$23&lt;&gt;"",Formulario!$L$23,IFERROR(VLOOKUP(TRIM($M$4),Jornalesdeppto!A:C,3,0),"")),_xlfn.XLOOKUP(1,(Tabla_Costos_Insumos!$A$2:$A$3199=TRIM($M$4))*(Tabla_Costos_Insumos!$C$2:$C$3199=TRIM(K163)),Tabla_Costos_Insumos!$E$2:$E$3199,"",0))</f>
        <v>29539.195833332098</v>
      </c>
      <c r="O163" s="441">
        <f t="shared" si="39"/>
        <v>797558.28749996668</v>
      </c>
      <c r="P163" s="212" t="str">
        <f t="shared" si="44"/>
        <v>Cacao Criollo</v>
      </c>
      <c r="Q163" s="212" t="s">
        <v>142</v>
      </c>
      <c r="R163" s="212" t="s">
        <v>142</v>
      </c>
      <c r="S163" s="212"/>
      <c r="T163" s="212"/>
      <c r="U163" s="212"/>
      <c r="V163" s="212" t="s">
        <v>142</v>
      </c>
      <c r="W163" s="212" t="str">
        <f t="shared" si="43"/>
        <v/>
      </c>
      <c r="X163" s="214"/>
    </row>
    <row r="164" spans="1:24" ht="15">
      <c r="A164" s="211" t="s">
        <v>232</v>
      </c>
      <c r="B164" s="225" t="s">
        <v>233</v>
      </c>
      <c r="C164" s="212" t="s">
        <v>69</v>
      </c>
      <c r="D164" s="212" t="s">
        <v>145</v>
      </c>
      <c r="E164" s="212" t="s">
        <v>146</v>
      </c>
      <c r="F164" s="212" t="s">
        <v>167</v>
      </c>
      <c r="G164" s="212" t="s">
        <v>118</v>
      </c>
      <c r="H164" s="212" t="s">
        <v>168</v>
      </c>
      <c r="I164" s="212" t="s">
        <v>169</v>
      </c>
      <c r="J164" s="212" t="s">
        <v>170</v>
      </c>
      <c r="K164" s="212" t="s">
        <v>240</v>
      </c>
      <c r="L164" s="212" t="s">
        <v>172</v>
      </c>
      <c r="M164" s="213">
        <v>9</v>
      </c>
      <c r="N164" s="441" cm="1">
        <f t="array" ref="N164">IF(TRIM(K164)="Mano de Obra",IF(Formulario!$L$23&lt;&gt;"",Formulario!$L$23,IFERROR(VLOOKUP(TRIM($M$4),Jornalesdeppto!A:C,3,0),"")),_xlfn.XLOOKUP(1,(Tabla_Costos_Insumos!$A$2:$A$3199=TRIM($M$4))*(Tabla_Costos_Insumos!$C$2:$C$3199=TRIM(K164)),Tabla_Costos_Insumos!$E$2:$E$3199,"",0))</f>
        <v>23574.34</v>
      </c>
      <c r="O164" s="441">
        <f t="shared" si="39"/>
        <v>212169.06</v>
      </c>
      <c r="P164" s="212" t="str">
        <f t="shared" si="44"/>
        <v>Cacao Criollo</v>
      </c>
      <c r="Q164" s="212" t="s">
        <v>142</v>
      </c>
      <c r="R164" s="212" t="s">
        <v>142</v>
      </c>
      <c r="S164" s="212"/>
      <c r="T164" s="212"/>
      <c r="U164" s="212"/>
      <c r="V164" s="212" t="s">
        <v>142</v>
      </c>
      <c r="W164" s="212" t="str">
        <f t="shared" si="43"/>
        <v/>
      </c>
      <c r="X164" s="214"/>
    </row>
    <row r="165" spans="1:24" ht="15">
      <c r="A165" s="211" t="s">
        <v>232</v>
      </c>
      <c r="B165" s="225" t="s">
        <v>233</v>
      </c>
      <c r="C165" s="212" t="s">
        <v>69</v>
      </c>
      <c r="D165" s="212" t="s">
        <v>145</v>
      </c>
      <c r="E165" s="212" t="s">
        <v>146</v>
      </c>
      <c r="F165" s="212" t="s">
        <v>167</v>
      </c>
      <c r="G165" s="212" t="s">
        <v>118</v>
      </c>
      <c r="H165" s="212" t="s">
        <v>174</v>
      </c>
      <c r="I165" s="212" t="s">
        <v>175</v>
      </c>
      <c r="J165" s="212" t="s">
        <v>176</v>
      </c>
      <c r="K165" s="212" t="s">
        <v>231</v>
      </c>
      <c r="L165" s="212" t="s">
        <v>172</v>
      </c>
      <c r="M165" s="213">
        <v>12</v>
      </c>
      <c r="N165" s="441" cm="1">
        <f t="array" ref="N165">IF(TRIM(K165)="Mano de Obra",IF(Formulario!$L$23&lt;&gt;"",Formulario!$L$23,IFERROR(VLOOKUP(TRIM($M$4),Jornalesdeppto!A:C,3,0),"")),_xlfn.XLOOKUP(1,(Tabla_Costos_Insumos!$A$2:$A$3199=TRIM($M$4))*(Tabla_Costos_Insumos!$C$2:$C$3199=TRIM(K165)),Tabla_Costos_Insumos!$E$2:$E$3199,"",0))</f>
        <v>23177.15</v>
      </c>
      <c r="O165" s="441">
        <f t="shared" si="39"/>
        <v>278125.80000000005</v>
      </c>
      <c r="P165" s="212" t="str">
        <f t="shared" si="44"/>
        <v>Cacao Criollo</v>
      </c>
      <c r="Q165" s="212" t="s">
        <v>142</v>
      </c>
      <c r="R165" s="212" t="s">
        <v>142</v>
      </c>
      <c r="S165" s="212"/>
      <c r="T165" s="212"/>
      <c r="U165" s="212"/>
      <c r="V165" s="212" t="s">
        <v>142</v>
      </c>
      <c r="W165" s="212" t="str">
        <f t="shared" si="43"/>
        <v/>
      </c>
      <c r="X165" s="214"/>
    </row>
    <row r="166" spans="1:24" ht="15">
      <c r="A166" s="211" t="s">
        <v>232</v>
      </c>
      <c r="B166" s="225" t="s">
        <v>233</v>
      </c>
      <c r="C166" s="212" t="s">
        <v>69</v>
      </c>
      <c r="D166" s="212" t="s">
        <v>145</v>
      </c>
      <c r="E166" s="212" t="s">
        <v>146</v>
      </c>
      <c r="F166" s="212" t="s">
        <v>167</v>
      </c>
      <c r="G166" s="212" t="s">
        <v>118</v>
      </c>
      <c r="H166" s="212" t="s">
        <v>178</v>
      </c>
      <c r="I166" s="212" t="s">
        <v>179</v>
      </c>
      <c r="J166" s="212" t="s">
        <v>180</v>
      </c>
      <c r="K166" s="212" t="s">
        <v>241</v>
      </c>
      <c r="L166" s="212" t="s">
        <v>172</v>
      </c>
      <c r="M166" s="213">
        <v>5</v>
      </c>
      <c r="N166" s="441" cm="1">
        <f t="array" ref="N166">IF(TRIM(K166)="Mano de Obra",IF(Formulario!$L$23&lt;&gt;"",Formulario!$L$23,IFERROR(VLOOKUP(TRIM($M$4),Jornalesdeppto!A:C,3,0),"")),_xlfn.XLOOKUP(1,(Tabla_Costos_Insumos!$A$2:$A$3199=TRIM($M$4))*(Tabla_Costos_Insumos!$C$2:$C$3199=TRIM(K166)),Tabla_Costos_Insumos!$E$2:$E$3199,"",0))</f>
        <v>27783.173860907915</v>
      </c>
      <c r="O166" s="441">
        <f t="shared" si="39"/>
        <v>138915.86930453958</v>
      </c>
      <c r="P166" s="212" t="str">
        <f t="shared" si="44"/>
        <v>Cacao Criollo</v>
      </c>
      <c r="Q166" s="212" t="s">
        <v>142</v>
      </c>
      <c r="R166" s="212" t="s">
        <v>142</v>
      </c>
      <c r="S166" s="212"/>
      <c r="T166" s="212"/>
      <c r="U166" s="212"/>
      <c r="V166" s="212" t="s">
        <v>142</v>
      </c>
      <c r="W166" s="212" t="str">
        <f t="shared" si="43"/>
        <v/>
      </c>
      <c r="X166" s="214"/>
    </row>
    <row r="167" spans="1:24" ht="15">
      <c r="A167" s="211" t="s">
        <v>232</v>
      </c>
      <c r="B167" s="225" t="s">
        <v>233</v>
      </c>
      <c r="C167" s="212" t="s">
        <v>69</v>
      </c>
      <c r="D167" s="212" t="s">
        <v>145</v>
      </c>
      <c r="E167" s="212" t="s">
        <v>146</v>
      </c>
      <c r="F167" s="212" t="s">
        <v>167</v>
      </c>
      <c r="G167" s="212" t="s">
        <v>118</v>
      </c>
      <c r="H167" s="212" t="s">
        <v>178</v>
      </c>
      <c r="I167" s="212" t="s">
        <v>179</v>
      </c>
      <c r="J167" s="212" t="s">
        <v>180</v>
      </c>
      <c r="K167" s="212" t="s">
        <v>242</v>
      </c>
      <c r="L167" s="212" t="s">
        <v>172</v>
      </c>
      <c r="M167" s="213">
        <v>4</v>
      </c>
      <c r="N167" s="441" cm="1">
        <f t="array" ref="N167">IF(TRIM(K167)="Mano de Obra",IF(Formulario!$L$23&lt;&gt;"",Formulario!$L$23,IFERROR(VLOOKUP(TRIM($M$4),Jornalesdeppto!A:C,3,0),"")),_xlfn.XLOOKUP(1,(Tabla_Costos_Insumos!$A$2:$A$3199=TRIM($M$4))*(Tabla_Costos_Insumos!$C$2:$C$3199=TRIM(K167)),Tabla_Costos_Insumos!$E$2:$E$3199,"",0))</f>
        <v>30026.06</v>
      </c>
      <c r="O167" s="441">
        <f t="shared" si="39"/>
        <v>120104.24</v>
      </c>
      <c r="P167" s="212" t="str">
        <f t="shared" si="44"/>
        <v>Cacao Criollo</v>
      </c>
      <c r="Q167" s="212" t="s">
        <v>142</v>
      </c>
      <c r="R167" s="212" t="s">
        <v>142</v>
      </c>
      <c r="S167" s="212"/>
      <c r="T167" s="212"/>
      <c r="U167" s="212"/>
      <c r="V167" s="212" t="s">
        <v>142</v>
      </c>
      <c r="W167" s="212" t="str">
        <f t="shared" si="43"/>
        <v/>
      </c>
      <c r="X167" s="214"/>
    </row>
    <row r="168" spans="1:24" ht="15">
      <c r="A168" s="211" t="s">
        <v>232</v>
      </c>
      <c r="B168" s="225" t="s">
        <v>233</v>
      </c>
      <c r="C168" s="212" t="s">
        <v>69</v>
      </c>
      <c r="D168" s="212" t="s">
        <v>145</v>
      </c>
      <c r="E168" s="212" t="s">
        <v>146</v>
      </c>
      <c r="F168" s="212" t="s">
        <v>183</v>
      </c>
      <c r="G168" s="212" t="s">
        <v>184</v>
      </c>
      <c r="H168" s="212" t="s">
        <v>185</v>
      </c>
      <c r="I168" s="212" t="s">
        <v>186</v>
      </c>
      <c r="J168" s="212" t="s">
        <v>105</v>
      </c>
      <c r="K168" s="212" t="s">
        <v>187</v>
      </c>
      <c r="L168" s="212" t="s">
        <v>188</v>
      </c>
      <c r="M168" s="213">
        <v>0.1</v>
      </c>
      <c r="N168" s="441" cm="1">
        <f t="array" ref="N168">IF(TRIM(K168)="Mano de Obra",IF(Formulario!$L$23&lt;&gt;"",Formulario!$L$23,IFERROR(VLOOKUP(TRIM($M$4),Jornalesdeppto!A:C,3,0),"")),_xlfn.XLOOKUP(1,(Tabla_Costos_Insumos!$A$2:$A$3199=TRIM($M$4))*(Tabla_Costos_Insumos!$C$2:$C$3199=TRIM(K168)),Tabla_Costos_Insumos!$E$2:$E$3199,"",0))</f>
        <v>175000</v>
      </c>
      <c r="O168" s="441">
        <f t="shared" si="39"/>
        <v>17500</v>
      </c>
      <c r="P168" s="212" t="str">
        <f t="shared" si="44"/>
        <v>Cacao Criollo</v>
      </c>
      <c r="Q168" s="212" t="s">
        <v>142</v>
      </c>
      <c r="R168" s="212" t="s">
        <v>142</v>
      </c>
      <c r="S168" s="212"/>
      <c r="T168" s="212"/>
      <c r="U168" s="212"/>
      <c r="V168" s="212" t="s">
        <v>142</v>
      </c>
      <c r="W168" s="212" t="str">
        <f t="shared" si="43"/>
        <v/>
      </c>
      <c r="X168" s="214"/>
    </row>
    <row r="169" spans="1:24" ht="15">
      <c r="A169" s="211" t="s">
        <v>232</v>
      </c>
      <c r="B169" s="225" t="s">
        <v>233</v>
      </c>
      <c r="C169" s="212" t="s">
        <v>69</v>
      </c>
      <c r="D169" s="212" t="s">
        <v>189</v>
      </c>
      <c r="E169" s="212" t="s">
        <v>190</v>
      </c>
      <c r="F169" s="212" t="s">
        <v>191</v>
      </c>
      <c r="G169" s="212" t="s">
        <v>192</v>
      </c>
      <c r="H169" s="212" t="s">
        <v>193</v>
      </c>
      <c r="I169" s="212" t="s">
        <v>194</v>
      </c>
      <c r="J169" s="212" t="s">
        <v>195</v>
      </c>
      <c r="K169" s="212" t="s">
        <v>196</v>
      </c>
      <c r="L169" s="212" t="s">
        <v>197</v>
      </c>
      <c r="M169" s="213">
        <v>1</v>
      </c>
      <c r="N169" s="441">
        <f>IFERROR(SUM(O151:$O$168)*0.08,0)</f>
        <v>656013.67012819811</v>
      </c>
      <c r="O169" s="441">
        <f t="shared" si="39"/>
        <v>656013.67012819811</v>
      </c>
      <c r="P169" s="212" t="str">
        <f t="shared" si="44"/>
        <v>Cacao Criollo</v>
      </c>
      <c r="Q169" s="212" t="s">
        <v>142</v>
      </c>
      <c r="R169" s="212" t="s">
        <v>142</v>
      </c>
      <c r="S169" s="212"/>
      <c r="T169" s="212"/>
      <c r="U169" s="212"/>
      <c r="V169" s="212" t="s">
        <v>142</v>
      </c>
      <c r="W169" s="212" t="str">
        <f t="shared" si="43"/>
        <v/>
      </c>
      <c r="X169" s="214"/>
    </row>
    <row r="170" spans="1:24" ht="15">
      <c r="A170" s="211" t="s">
        <v>232</v>
      </c>
      <c r="B170" s="225" t="s">
        <v>233</v>
      </c>
      <c r="C170" s="212" t="s">
        <v>69</v>
      </c>
      <c r="D170" s="212" t="s">
        <v>189</v>
      </c>
      <c r="E170" s="212" t="s">
        <v>190</v>
      </c>
      <c r="F170" s="212" t="s">
        <v>198</v>
      </c>
      <c r="G170" s="212" t="s">
        <v>199</v>
      </c>
      <c r="H170" s="212" t="s">
        <v>200</v>
      </c>
      <c r="I170" s="212" t="s">
        <v>201</v>
      </c>
      <c r="J170" s="212" t="s">
        <v>105</v>
      </c>
      <c r="K170" s="212" t="s">
        <v>202</v>
      </c>
      <c r="L170" s="212" t="s">
        <v>203</v>
      </c>
      <c r="M170" s="213">
        <v>1</v>
      </c>
      <c r="N170" s="441" cm="1">
        <f t="array" ref="N170">IF(TRIM(K170)="Mano de Obra",IF(Formulario!$L$23&lt;&gt;"",Formulario!$L$23,IFERROR(VLOOKUP(TRIM($M$4),Jornalesdeppto!A:C,3,0),"")),_xlfn.XLOOKUP(1,(Tabla_Costos_Insumos!$A$2:$A$3199=TRIM($M$4))*(Tabla_Costos_Insumos!$C$2:$C$3199=TRIM(K170)),Tabla_Costos_Insumos!$E$2:$E$3199,"",0))</f>
        <v>120000</v>
      </c>
      <c r="O170" s="441">
        <f t="shared" si="39"/>
        <v>120000</v>
      </c>
      <c r="P170" s="212" t="str">
        <f t="shared" si="44"/>
        <v>Cacao Criollo</v>
      </c>
      <c r="Q170" s="212" t="s">
        <v>142</v>
      </c>
      <c r="R170" s="212" t="s">
        <v>142</v>
      </c>
      <c r="S170" s="212"/>
      <c r="T170" s="212"/>
      <c r="U170" s="212"/>
      <c r="V170" s="212" t="s">
        <v>142</v>
      </c>
      <c r="W170" s="212" t="str">
        <f t="shared" si="43"/>
        <v/>
      </c>
      <c r="X170" s="214"/>
    </row>
    <row r="171" spans="1:24" ht="15">
      <c r="A171" s="211" t="s">
        <v>232</v>
      </c>
      <c r="B171" s="225" t="s">
        <v>233</v>
      </c>
      <c r="C171" s="212" t="s">
        <v>69</v>
      </c>
      <c r="D171" s="212" t="s">
        <v>189</v>
      </c>
      <c r="E171" s="212" t="s">
        <v>190</v>
      </c>
      <c r="F171" s="212" t="s">
        <v>204</v>
      </c>
      <c r="G171" s="212" t="s">
        <v>205</v>
      </c>
      <c r="H171" s="212" t="s">
        <v>206</v>
      </c>
      <c r="I171" s="212" t="s">
        <v>207</v>
      </c>
      <c r="J171" s="212" t="s">
        <v>4127</v>
      </c>
      <c r="K171" s="212" t="s">
        <v>228</v>
      </c>
      <c r="L171" s="212" t="s">
        <v>197</v>
      </c>
      <c r="M171" s="213">
        <v>1</v>
      </c>
      <c r="N171" s="441" t="str">
        <f>IF($M$3="Cacao criollo",$J$4,"")</f>
        <v/>
      </c>
      <c r="O171" s="441" t="str">
        <f t="shared" si="39"/>
        <v/>
      </c>
      <c r="P171" s="212" t="str">
        <f t="shared" si="44"/>
        <v>Cacao Criollo</v>
      </c>
      <c r="Q171" s="212" t="s">
        <v>142</v>
      </c>
      <c r="R171" s="212" t="s">
        <v>142</v>
      </c>
      <c r="S171" s="212"/>
      <c r="T171" s="212" cm="1">
        <f t="array" ref="T171">_xlfn.IFS($D$5&lt;=7, 1.1, $D$5&lt;=12,1.2, $D$5&lt;=25, 1.3, $D$5&gt;25,1.4)</f>
        <v>1.3</v>
      </c>
      <c r="U171" s="212"/>
      <c r="V171" s="212" t="s">
        <v>142</v>
      </c>
      <c r="W171" s="212" t="str">
        <f t="shared" si="43"/>
        <v/>
      </c>
      <c r="X171" s="214"/>
    </row>
    <row r="172" spans="1:24" ht="15">
      <c r="A172" s="211" t="s">
        <v>244</v>
      </c>
      <c r="B172" s="225" t="s">
        <v>245</v>
      </c>
      <c r="C172" s="212" t="s">
        <v>69</v>
      </c>
      <c r="D172" s="212" t="s">
        <v>99</v>
      </c>
      <c r="E172" s="212" t="s">
        <v>100</v>
      </c>
      <c r="F172" s="212" t="s">
        <v>109</v>
      </c>
      <c r="G172" s="212" t="s">
        <v>110</v>
      </c>
      <c r="H172" s="212" t="s">
        <v>234</v>
      </c>
      <c r="I172" s="212" t="s">
        <v>235</v>
      </c>
      <c r="J172" s="212" t="s">
        <v>105</v>
      </c>
      <c r="K172" s="212" t="s">
        <v>106</v>
      </c>
      <c r="L172" s="212" t="s">
        <v>107</v>
      </c>
      <c r="M172" s="213">
        <f t="shared" ref="M172:M178" si="45">IF(W172&lt;&gt;"", W172, ROUNDUP(X172*T172, 0))</f>
        <v>13</v>
      </c>
      <c r="N172" s="441" cm="1">
        <f t="array" ref="N172">IF(TRIM(K172)="Mano de Obra",IF(Formulario!$L$23&lt;&gt;"",Formulario!$L$23,IFERROR(VLOOKUP(TRIM($M$4),Jornalesdeppto!A:C,3,0),"")),_xlfn.XLOOKUP(1,(Tabla_Costos_Insumos!$A$2:$A$3199=TRIM($M$4))*(Tabla_Costos_Insumos!$C$2:$C$3199=TRIM(K172)),Tabla_Costos_Insumos!$E$2:$E$3199,"",0))</f>
        <v>46666.666666666664</v>
      </c>
      <c r="O172" s="441">
        <f t="shared" si="39"/>
        <v>606666.66666666663</v>
      </c>
      <c r="P172" s="212" t="str">
        <f t="shared" si="44"/>
        <v>Café Castillo</v>
      </c>
      <c r="Q172" s="212" t="s">
        <v>108</v>
      </c>
      <c r="R172" s="212">
        <v>0.6</v>
      </c>
      <c r="S172" s="212" t="str">
        <f>IF($M$3="Café Castillo",($I$3*R172) / 480,"")</f>
        <v/>
      </c>
      <c r="T172" s="212" cm="1">
        <f t="array" ref="T172">_xlfn.IFS($D$5&lt;=7, 1.1, $D$5&lt;=12,1.2, $D$5&lt;=25, 1.3, $D$5&gt;25,1.4)</f>
        <v>1.3</v>
      </c>
      <c r="U172" s="212" t="str">
        <f t="shared" ref="U172:U177" si="46">IFERROR(S172*T172,"")</f>
        <v/>
      </c>
      <c r="V172" s="212">
        <v>2</v>
      </c>
      <c r="W172" s="212" t="str">
        <f t="shared" si="43"/>
        <v/>
      </c>
      <c r="X172" s="214">
        <v>10</v>
      </c>
    </row>
    <row r="173" spans="1:24" ht="15">
      <c r="A173" s="211" t="s">
        <v>244</v>
      </c>
      <c r="B173" s="225" t="s">
        <v>245</v>
      </c>
      <c r="C173" s="212" t="s">
        <v>69</v>
      </c>
      <c r="D173" s="212" t="s">
        <v>99</v>
      </c>
      <c r="E173" s="212" t="s">
        <v>100</v>
      </c>
      <c r="F173" s="212" t="s">
        <v>117</v>
      </c>
      <c r="G173" s="212" t="s">
        <v>118</v>
      </c>
      <c r="H173" s="212" t="s">
        <v>119</v>
      </c>
      <c r="I173" s="212" t="s">
        <v>120</v>
      </c>
      <c r="J173" s="212" t="s">
        <v>105</v>
      </c>
      <c r="K173" s="212" t="s">
        <v>106</v>
      </c>
      <c r="L173" s="212" t="s">
        <v>107</v>
      </c>
      <c r="M173" s="213">
        <f t="shared" si="45"/>
        <v>7</v>
      </c>
      <c r="N173" s="441" cm="1">
        <f t="array" ref="N173">IF(TRIM(K173)="Mano de Obra",IF(Formulario!$L$23&lt;&gt;"",Formulario!$L$23,IFERROR(VLOOKUP(TRIM($M$4),Jornalesdeppto!A:C,3,0),"")),_xlfn.XLOOKUP(1,(Tabla_Costos_Insumos!$A$2:$A$3199=TRIM($M$4))*(Tabla_Costos_Insumos!$C$2:$C$3199=TRIM(K173)),Tabla_Costos_Insumos!$E$2:$E$3199,"",0))</f>
        <v>46666.666666666664</v>
      </c>
      <c r="O173" s="441">
        <f t="shared" si="39"/>
        <v>326666.66666666663</v>
      </c>
      <c r="P173" s="212" t="str">
        <f t="shared" si="44"/>
        <v>Café Castillo</v>
      </c>
      <c r="Q173" s="212" t="s">
        <v>108</v>
      </c>
      <c r="R173" s="212">
        <v>0.02</v>
      </c>
      <c r="S173" s="212" t="str">
        <f t="shared" ref="S173:S177" si="47">IF($M$3="Café Castillo",($I$3*R173) / 480,"")</f>
        <v/>
      </c>
      <c r="T173" s="212" cm="1">
        <f t="array" ref="T173">_xlfn.IFS($D$5&lt;=7, 1.1, $D$5&lt;=12,1.2, $D$5&lt;=25, 1.3, $D$5&gt;25,1.4)</f>
        <v>1.3</v>
      </c>
      <c r="U173" s="212" t="str">
        <f t="shared" si="46"/>
        <v/>
      </c>
      <c r="V173" s="212">
        <v>9</v>
      </c>
      <c r="W173" s="212" t="str">
        <f t="shared" si="43"/>
        <v/>
      </c>
      <c r="X173" s="214">
        <v>5</v>
      </c>
    </row>
    <row r="174" spans="1:24" ht="15">
      <c r="A174" s="211" t="s">
        <v>244</v>
      </c>
      <c r="B174" s="225" t="s">
        <v>245</v>
      </c>
      <c r="C174" s="212" t="s">
        <v>69</v>
      </c>
      <c r="D174" s="212" t="s">
        <v>99</v>
      </c>
      <c r="E174" s="212" t="s">
        <v>100</v>
      </c>
      <c r="F174" s="212" t="s">
        <v>117</v>
      </c>
      <c r="G174" s="212" t="s">
        <v>118</v>
      </c>
      <c r="H174" s="212" t="s">
        <v>121</v>
      </c>
      <c r="I174" s="212" t="s">
        <v>122</v>
      </c>
      <c r="J174" s="212" t="s">
        <v>105</v>
      </c>
      <c r="K174" s="212" t="s">
        <v>106</v>
      </c>
      <c r="L174" s="212" t="s">
        <v>107</v>
      </c>
      <c r="M174" s="213">
        <f t="shared" si="45"/>
        <v>7</v>
      </c>
      <c r="N174" s="441" cm="1">
        <f t="array" ref="N174">IF(TRIM(K174)="Mano de Obra",IF(Formulario!$L$23&lt;&gt;"",Formulario!$L$23,IFERROR(VLOOKUP(TRIM($M$4),Jornalesdeppto!A:C,3,0),"")),_xlfn.XLOOKUP(1,(Tabla_Costos_Insumos!$A$2:$A$3199=TRIM($M$4))*(Tabla_Costos_Insumos!$C$2:$C$3199=TRIM(K174)),Tabla_Costos_Insumos!$E$2:$E$3199,"",0))</f>
        <v>46666.666666666664</v>
      </c>
      <c r="O174" s="441">
        <f t="shared" si="39"/>
        <v>326666.66666666663</v>
      </c>
      <c r="P174" s="212" t="str">
        <f t="shared" si="44"/>
        <v>Café Castillo</v>
      </c>
      <c r="Q174" s="212" t="s">
        <v>108</v>
      </c>
      <c r="R174" s="212">
        <v>0.02</v>
      </c>
      <c r="S174" s="212" t="str">
        <f t="shared" si="47"/>
        <v/>
      </c>
      <c r="T174" s="212" cm="1">
        <f t="array" ref="T174">_xlfn.IFS($D$5&lt;=7, 1.1, $D$5&lt;=12,1.2, $D$5&lt;=25, 1.3, $D$5&gt;25,1.4)</f>
        <v>1.3</v>
      </c>
      <c r="U174" s="212" t="str">
        <f t="shared" si="46"/>
        <v/>
      </c>
      <c r="V174" s="212">
        <v>9</v>
      </c>
      <c r="W174" s="212" t="str">
        <f t="shared" si="43"/>
        <v/>
      </c>
      <c r="X174" s="214">
        <v>5</v>
      </c>
    </row>
    <row r="175" spans="1:24" ht="15">
      <c r="A175" s="211" t="s">
        <v>244</v>
      </c>
      <c r="B175" s="225" t="s">
        <v>245</v>
      </c>
      <c r="C175" s="212" t="s">
        <v>69</v>
      </c>
      <c r="D175" s="212" t="s">
        <v>99</v>
      </c>
      <c r="E175" s="212" t="s">
        <v>100</v>
      </c>
      <c r="F175" s="212" t="s">
        <v>123</v>
      </c>
      <c r="G175" s="212" t="s">
        <v>124</v>
      </c>
      <c r="H175" s="212" t="s">
        <v>128</v>
      </c>
      <c r="I175" s="212" t="s">
        <v>129</v>
      </c>
      <c r="J175" s="212" t="s">
        <v>105</v>
      </c>
      <c r="K175" s="212" t="s">
        <v>106</v>
      </c>
      <c r="L175" s="212" t="s">
        <v>107</v>
      </c>
      <c r="M175" s="213">
        <f t="shared" si="45"/>
        <v>13</v>
      </c>
      <c r="N175" s="441" cm="1">
        <f t="array" ref="N175">IF(TRIM(K175)="Mano de Obra",IF(Formulario!$L$23&lt;&gt;"",Formulario!$L$23,IFERROR(VLOOKUP(TRIM($M$4),Jornalesdeppto!A:C,3,0),"")),_xlfn.XLOOKUP(1,(Tabla_Costos_Insumos!$A$2:$A$3199=TRIM($M$4))*(Tabla_Costos_Insumos!$C$2:$C$3199=TRIM(K175)),Tabla_Costos_Insumos!$E$2:$E$3199,"",0))</f>
        <v>46666.666666666664</v>
      </c>
      <c r="O175" s="441">
        <f t="shared" si="39"/>
        <v>606666.66666666663</v>
      </c>
      <c r="P175" s="212" t="str">
        <f t="shared" si="44"/>
        <v>Café Castillo</v>
      </c>
      <c r="Q175" s="212" t="s">
        <v>108</v>
      </c>
      <c r="R175" s="212">
        <v>0.09</v>
      </c>
      <c r="S175" s="212" t="str">
        <f t="shared" si="47"/>
        <v/>
      </c>
      <c r="T175" s="212" cm="1">
        <f t="array" ref="T175">_xlfn.IFS($D$5&lt;=7, 1.1, $D$5&lt;=12,1.2, $D$5&lt;=25, 1.3, $D$5&gt;25,1.4)</f>
        <v>1.3</v>
      </c>
      <c r="U175" s="212" t="str">
        <f t="shared" si="46"/>
        <v/>
      </c>
      <c r="V175" s="212">
        <v>4</v>
      </c>
      <c r="W175" s="212" t="str">
        <f t="shared" si="43"/>
        <v/>
      </c>
      <c r="X175" s="214">
        <v>10</v>
      </c>
    </row>
    <row r="176" spans="1:24" ht="15">
      <c r="A176" s="211" t="s">
        <v>244</v>
      </c>
      <c r="B176" s="225" t="s">
        <v>245</v>
      </c>
      <c r="C176" s="212" t="s">
        <v>69</v>
      </c>
      <c r="D176" s="212" t="s">
        <v>99</v>
      </c>
      <c r="E176" s="212" t="s">
        <v>100</v>
      </c>
      <c r="F176" s="212" t="s">
        <v>130</v>
      </c>
      <c r="G176" s="212" t="s">
        <v>131</v>
      </c>
      <c r="H176" s="212" t="s">
        <v>132</v>
      </c>
      <c r="I176" s="212" t="s">
        <v>133</v>
      </c>
      <c r="J176" s="212" t="s">
        <v>105</v>
      </c>
      <c r="K176" s="212" t="s">
        <v>106</v>
      </c>
      <c r="L176" s="212" t="s">
        <v>107</v>
      </c>
      <c r="M176" s="213">
        <f t="shared" si="45"/>
        <v>7</v>
      </c>
      <c r="N176" s="441" cm="1">
        <f t="array" ref="N176">IF(TRIM(K176)="Mano de Obra",IF(Formulario!$L$23&lt;&gt;"",Formulario!$L$23,IFERROR(VLOOKUP(TRIM($M$4),Jornalesdeppto!A:C,3,0),"")),_xlfn.XLOOKUP(1,(Tabla_Costos_Insumos!$A$2:$A$3199=TRIM($M$4))*(Tabla_Costos_Insumos!$C$2:$C$3199=TRIM(K176)),Tabla_Costos_Insumos!$E$2:$E$3199,"",0))</f>
        <v>46666.666666666664</v>
      </c>
      <c r="O176" s="441">
        <f t="shared" si="39"/>
        <v>326666.66666666663</v>
      </c>
      <c r="P176" s="212" t="str">
        <f t="shared" si="44"/>
        <v>Café Castillo</v>
      </c>
      <c r="Q176" s="212" t="s">
        <v>108</v>
      </c>
      <c r="R176" s="212">
        <v>0.3</v>
      </c>
      <c r="S176" s="212" t="str">
        <f t="shared" si="47"/>
        <v/>
      </c>
      <c r="T176" s="212" cm="1">
        <f t="array" ref="T176">_xlfn.IFS($D$5&lt;=7, 1.1, $D$5&lt;=12,1.2, $D$5&lt;=25, 1.3, $D$5&gt;25,1.4)</f>
        <v>1.3</v>
      </c>
      <c r="U176" s="212" t="str">
        <f t="shared" si="46"/>
        <v/>
      </c>
      <c r="V176" s="212">
        <v>4</v>
      </c>
      <c r="W176" s="212" t="str">
        <f t="shared" si="43"/>
        <v/>
      </c>
      <c r="X176" s="214">
        <v>5</v>
      </c>
    </row>
    <row r="177" spans="1:24" ht="15">
      <c r="A177" s="211" t="s">
        <v>244</v>
      </c>
      <c r="B177" s="225" t="s">
        <v>245</v>
      </c>
      <c r="C177" s="212" t="s">
        <v>69</v>
      </c>
      <c r="D177" s="212" t="s">
        <v>99</v>
      </c>
      <c r="E177" s="212" t="s">
        <v>100</v>
      </c>
      <c r="F177" s="212" t="s">
        <v>130</v>
      </c>
      <c r="G177" s="212" t="s">
        <v>131</v>
      </c>
      <c r="H177" s="212" t="s">
        <v>134</v>
      </c>
      <c r="I177" s="212" t="s">
        <v>135</v>
      </c>
      <c r="J177" s="212" t="s">
        <v>105</v>
      </c>
      <c r="K177" s="212" t="s">
        <v>106</v>
      </c>
      <c r="L177" s="212" t="s">
        <v>107</v>
      </c>
      <c r="M177" s="213">
        <f t="shared" si="45"/>
        <v>4</v>
      </c>
      <c r="N177" s="441" cm="1">
        <f t="array" ref="N177">IF(TRIM(K177)="Mano de Obra",IF(Formulario!$L$23&lt;&gt;"",Formulario!$L$23,IFERROR(VLOOKUP(TRIM($M$4),Jornalesdeppto!A:C,3,0),"")),_xlfn.XLOOKUP(1,(Tabla_Costos_Insumos!$A$2:$A$3199=TRIM($M$4))*(Tabla_Costos_Insumos!$C$2:$C$3199=TRIM(K177)),Tabla_Costos_Insumos!$E$2:$E$3199,"",0))</f>
        <v>46666.666666666664</v>
      </c>
      <c r="O177" s="441">
        <f t="shared" si="39"/>
        <v>186666.66666666666</v>
      </c>
      <c r="P177" s="212" t="str">
        <f t="shared" si="44"/>
        <v>Café Castillo</v>
      </c>
      <c r="Q177" s="212" t="s">
        <v>108</v>
      </c>
      <c r="R177" s="212">
        <v>0.3</v>
      </c>
      <c r="S177" s="212" t="str">
        <f t="shared" si="47"/>
        <v/>
      </c>
      <c r="T177" s="212" cm="1">
        <f t="array" ref="T177">_xlfn.IFS($D$5&lt;=7, 1.1, $D$5&lt;=12,1.2, $D$5&lt;=25, 1.3, $D$5&gt;25,1.4)</f>
        <v>1.3</v>
      </c>
      <c r="U177" s="212" t="str">
        <f t="shared" si="46"/>
        <v/>
      </c>
      <c r="V177" s="212">
        <v>4</v>
      </c>
      <c r="W177" s="212" t="str">
        <f t="shared" si="43"/>
        <v/>
      </c>
      <c r="X177" s="214">
        <v>3</v>
      </c>
    </row>
    <row r="178" spans="1:24" ht="15">
      <c r="A178" s="211" t="s">
        <v>244</v>
      </c>
      <c r="B178" s="225" t="s">
        <v>245</v>
      </c>
      <c r="C178" s="212" t="s">
        <v>69</v>
      </c>
      <c r="D178" s="212" t="s">
        <v>99</v>
      </c>
      <c r="E178" s="212" t="s">
        <v>100</v>
      </c>
      <c r="F178" s="212" t="s">
        <v>138</v>
      </c>
      <c r="G178" s="212" t="s">
        <v>139</v>
      </c>
      <c r="H178" s="212" t="s">
        <v>143</v>
      </c>
      <c r="I178" s="212" t="s">
        <v>144</v>
      </c>
      <c r="J178" s="212" t="s">
        <v>105</v>
      </c>
      <c r="K178" s="212" t="s">
        <v>106</v>
      </c>
      <c r="L178" s="212" t="s">
        <v>107</v>
      </c>
      <c r="M178" s="213">
        <f t="shared" si="45"/>
        <v>52</v>
      </c>
      <c r="N178" s="441" cm="1">
        <f t="array" ref="N178">IF(TRIM(K178)="Mano de Obra",IF(Formulario!$L$23&lt;&gt;"",Formulario!$L$23,IFERROR(VLOOKUP(TRIM($M$4),Jornalesdeppto!A:C,3,0),"")),_xlfn.XLOOKUP(1,(Tabla_Costos_Insumos!$A$2:$A$3199=TRIM($M$4))*(Tabla_Costos_Insumos!$C$2:$C$3199=TRIM(K178)),Tabla_Costos_Insumos!$E$2:$E$3199,"",0))</f>
        <v>46666.666666666664</v>
      </c>
      <c r="O178" s="441">
        <f t="shared" si="39"/>
        <v>2426666.6666666665</v>
      </c>
      <c r="P178" s="212" t="str">
        <f t="shared" si="44"/>
        <v>Café Castillo</v>
      </c>
      <c r="Q178" s="212" t="s">
        <v>142</v>
      </c>
      <c r="R178" s="212" t="s">
        <v>142</v>
      </c>
      <c r="S178" s="212" t="s">
        <v>142</v>
      </c>
      <c r="T178" s="212" cm="1">
        <f t="array" ref="T178">_xlfn.IFS($D$5&lt;=7, 1.1, $D$5&lt;=12,1.2, $D$5&lt;=25, 1.3, $D$5&gt;25,1.4)</f>
        <v>1.3</v>
      </c>
      <c r="U178" s="212" t="s">
        <v>142</v>
      </c>
      <c r="V178" s="212" t="s">
        <v>142</v>
      </c>
      <c r="W178" s="212" t="str">
        <f t="shared" si="43"/>
        <v/>
      </c>
      <c r="X178" s="214">
        <v>40</v>
      </c>
    </row>
    <row r="179" spans="1:24" ht="15">
      <c r="A179" s="211" t="s">
        <v>244</v>
      </c>
      <c r="B179" s="225" t="s">
        <v>245</v>
      </c>
      <c r="C179" s="212" t="s">
        <v>69</v>
      </c>
      <c r="D179" s="212" t="s">
        <v>145</v>
      </c>
      <c r="E179" s="212" t="s">
        <v>146</v>
      </c>
      <c r="F179" s="212" t="s">
        <v>147</v>
      </c>
      <c r="G179" s="212" t="s">
        <v>131</v>
      </c>
      <c r="H179" s="212" t="s">
        <v>148</v>
      </c>
      <c r="I179" s="212" t="s">
        <v>153</v>
      </c>
      <c r="J179" s="212" t="s">
        <v>149</v>
      </c>
      <c r="K179" s="212" t="s">
        <v>166</v>
      </c>
      <c r="L179" s="212" t="s">
        <v>151</v>
      </c>
      <c r="M179" s="213">
        <v>3</v>
      </c>
      <c r="N179" s="441" cm="1">
        <f t="array" ref="N179">IF(TRIM(K179)="Mano de Obra",IF(Formulario!$L$23&lt;&gt;"",Formulario!$L$23,IFERROR(VLOOKUP(TRIM($M$4),Jornalesdeppto!A:C,3,0),"")),_xlfn.XLOOKUP(1,(Tabla_Costos_Insumos!$A$2:$A$3199=TRIM($M$4))*(Tabla_Costos_Insumos!$C$2:$C$3199=TRIM(K179)),Tabla_Costos_Insumos!$E$2:$E$3199,"",0))</f>
        <v>110000</v>
      </c>
      <c r="O179" s="441">
        <f t="shared" si="39"/>
        <v>330000</v>
      </c>
      <c r="P179" s="212" t="str">
        <f t="shared" si="44"/>
        <v>Café Castillo</v>
      </c>
      <c r="Q179" s="212" t="s">
        <v>142</v>
      </c>
      <c r="R179" s="212" t="s">
        <v>142</v>
      </c>
      <c r="S179" s="212" t="s">
        <v>142</v>
      </c>
      <c r="T179" s="212" t="s">
        <v>142</v>
      </c>
      <c r="U179" s="212" t="s">
        <v>142</v>
      </c>
      <c r="V179" s="212" t="s">
        <v>142</v>
      </c>
      <c r="W179" s="212" t="str">
        <f t="shared" si="43"/>
        <v/>
      </c>
      <c r="X179" s="214"/>
    </row>
    <row r="180" spans="1:24" ht="15">
      <c r="A180" s="211" t="s">
        <v>244</v>
      </c>
      <c r="B180" s="225" t="s">
        <v>245</v>
      </c>
      <c r="C180" s="212" t="s">
        <v>69</v>
      </c>
      <c r="D180" s="212" t="s">
        <v>145</v>
      </c>
      <c r="E180" s="212" t="s">
        <v>146</v>
      </c>
      <c r="F180" s="212" t="s">
        <v>147</v>
      </c>
      <c r="G180" s="212" t="s">
        <v>131</v>
      </c>
      <c r="H180" s="212" t="s">
        <v>152</v>
      </c>
      <c r="I180" s="212" t="s">
        <v>299</v>
      </c>
      <c r="J180" s="212" t="s">
        <v>149</v>
      </c>
      <c r="K180" s="212" t="s">
        <v>150</v>
      </c>
      <c r="L180" s="212" t="s">
        <v>151</v>
      </c>
      <c r="M180" s="213">
        <v>3</v>
      </c>
      <c r="N180" s="441" cm="1">
        <f t="array" ref="N180">IF(TRIM(K180)="Mano de Obra",IF(Formulario!$L$23&lt;&gt;"",Formulario!$L$23,IFERROR(VLOOKUP(TRIM($M$4),Jornalesdeppto!A:C,3,0),"")),_xlfn.XLOOKUP(1,(Tabla_Costos_Insumos!$A$2:$A$3199=TRIM($M$4))*(Tabla_Costos_Insumos!$C$2:$C$3199=TRIM(K180)),Tabla_Costos_Insumos!$E$2:$E$3199,"",0))</f>
        <v>198055.68333333</v>
      </c>
      <c r="O180" s="441">
        <f t="shared" si="39"/>
        <v>594167.04999999003</v>
      </c>
      <c r="P180" s="212" t="str">
        <f t="shared" si="44"/>
        <v>Café Castillo</v>
      </c>
      <c r="Q180" s="212" t="s">
        <v>142</v>
      </c>
      <c r="R180" s="212" t="s">
        <v>142</v>
      </c>
      <c r="S180" s="212" t="s">
        <v>142</v>
      </c>
      <c r="T180" s="212" t="s">
        <v>142</v>
      </c>
      <c r="U180" s="212" t="s">
        <v>142</v>
      </c>
      <c r="V180" s="212" t="s">
        <v>142</v>
      </c>
      <c r="W180" s="212" t="str">
        <f t="shared" si="43"/>
        <v/>
      </c>
      <c r="X180" s="214"/>
    </row>
    <row r="181" spans="1:24" ht="15">
      <c r="A181" s="211" t="s">
        <v>244</v>
      </c>
      <c r="B181" s="225" t="s">
        <v>245</v>
      </c>
      <c r="C181" s="212" t="s">
        <v>69</v>
      </c>
      <c r="D181" s="212" t="s">
        <v>145</v>
      </c>
      <c r="E181" s="212" t="s">
        <v>146</v>
      </c>
      <c r="F181" s="212" t="s">
        <v>147</v>
      </c>
      <c r="G181" s="212" t="s">
        <v>131</v>
      </c>
      <c r="H181" s="212" t="s">
        <v>154</v>
      </c>
      <c r="I181" s="212" t="s">
        <v>155</v>
      </c>
      <c r="J181" s="212" t="s">
        <v>149</v>
      </c>
      <c r="K181" s="212" t="s">
        <v>156</v>
      </c>
      <c r="L181" s="212" t="s">
        <v>151</v>
      </c>
      <c r="M181" s="213">
        <v>5</v>
      </c>
      <c r="N181" s="441" cm="1">
        <f t="array" ref="N181">IF(TRIM(K181)="Mano de Obra",IF(Formulario!$L$23&lt;&gt;"",Formulario!$L$23,IFERROR(VLOOKUP(TRIM($M$4),Jornalesdeppto!A:C,3,0),"")),_xlfn.XLOOKUP(1,(Tabla_Costos_Insumos!$A$2:$A$3199=TRIM($M$4))*(Tabla_Costos_Insumos!$C$2:$C$3199=TRIM(K181)),Tabla_Costos_Insumos!$E$2:$E$3199,"",0))</f>
        <v>17212.5</v>
      </c>
      <c r="O181" s="441">
        <f t="shared" si="39"/>
        <v>86062.5</v>
      </c>
      <c r="P181" s="212" t="str">
        <f t="shared" si="44"/>
        <v>Café Castillo</v>
      </c>
      <c r="Q181" s="212" t="s">
        <v>142</v>
      </c>
      <c r="R181" s="212" t="s">
        <v>142</v>
      </c>
      <c r="S181" s="212" t="s">
        <v>142</v>
      </c>
      <c r="T181" s="212" t="s">
        <v>142</v>
      </c>
      <c r="U181" s="212" t="s">
        <v>142</v>
      </c>
      <c r="V181" s="212" t="s">
        <v>142</v>
      </c>
      <c r="W181" s="212" t="str">
        <f t="shared" si="43"/>
        <v/>
      </c>
      <c r="X181" s="214"/>
    </row>
    <row r="182" spans="1:24" ht="15">
      <c r="A182" s="211" t="s">
        <v>244</v>
      </c>
      <c r="B182" s="225" t="s">
        <v>245</v>
      </c>
      <c r="C182" s="212" t="s">
        <v>69</v>
      </c>
      <c r="D182" s="212" t="s">
        <v>145</v>
      </c>
      <c r="E182" s="212" t="s">
        <v>146</v>
      </c>
      <c r="F182" s="212" t="s">
        <v>147</v>
      </c>
      <c r="G182" s="212" t="s">
        <v>131</v>
      </c>
      <c r="H182" s="212" t="s">
        <v>157</v>
      </c>
      <c r="I182" s="212" t="s">
        <v>158</v>
      </c>
      <c r="J182" s="212" t="s">
        <v>149</v>
      </c>
      <c r="K182" s="212" t="s">
        <v>246</v>
      </c>
      <c r="L182" s="212" t="s">
        <v>172</v>
      </c>
      <c r="M182" s="213">
        <v>1</v>
      </c>
      <c r="N182" s="441" cm="1">
        <f t="array" ref="N182">IF(TRIM(K182)="Mano de Obra",IF(Formulario!$L$23&lt;&gt;"",Formulario!$L$23,IFERROR(VLOOKUP(TRIM($M$4),Jornalesdeppto!A:C,3,0),"")),_xlfn.XLOOKUP(1,(Tabla_Costos_Insumos!$A$2:$A$3199=TRIM($M$4))*(Tabla_Costos_Insumos!$C$2:$C$3199=TRIM(K182)),Tabla_Costos_Insumos!$E$2:$E$3199,"",0))</f>
        <v>65250.53</v>
      </c>
      <c r="O182" s="441">
        <f t="shared" si="39"/>
        <v>65250.53</v>
      </c>
      <c r="P182" s="212" t="str">
        <f t="shared" si="44"/>
        <v>Café Castillo</v>
      </c>
      <c r="Q182" s="212" t="s">
        <v>142</v>
      </c>
      <c r="R182" s="212" t="s">
        <v>142</v>
      </c>
      <c r="S182" s="212" t="s">
        <v>142</v>
      </c>
      <c r="T182" s="212" t="s">
        <v>142</v>
      </c>
      <c r="U182" s="212" t="s">
        <v>142</v>
      </c>
      <c r="V182" s="212" t="s">
        <v>142</v>
      </c>
      <c r="W182" s="212" t="str">
        <f t="shared" si="43"/>
        <v/>
      </c>
      <c r="X182" s="214"/>
    </row>
    <row r="183" spans="1:24" ht="15">
      <c r="A183" s="211" t="s">
        <v>244</v>
      </c>
      <c r="B183" s="225" t="s">
        <v>245</v>
      </c>
      <c r="C183" s="212" t="s">
        <v>69</v>
      </c>
      <c r="D183" s="212" t="s">
        <v>145</v>
      </c>
      <c r="E183" s="212" t="s">
        <v>146</v>
      </c>
      <c r="F183" s="212" t="s">
        <v>147</v>
      </c>
      <c r="G183" s="212" t="s">
        <v>131</v>
      </c>
      <c r="H183" s="212" t="s">
        <v>161</v>
      </c>
      <c r="I183" s="212" t="s">
        <v>162</v>
      </c>
      <c r="J183" s="212" t="s">
        <v>149</v>
      </c>
      <c r="K183" s="212" t="s">
        <v>163</v>
      </c>
      <c r="L183" s="212" t="s">
        <v>164</v>
      </c>
      <c r="M183" s="213">
        <v>1</v>
      </c>
      <c r="N183" s="441" cm="1">
        <f t="array" ref="N183">IF(TRIM(K183)="Mano de Obra",IF(Formulario!$L$23&lt;&gt;"",Formulario!$L$23,IFERROR(VLOOKUP(TRIM($M$4),Jornalesdeppto!A:C,3,0),"")),_xlfn.XLOOKUP(1,(Tabla_Costos_Insumos!$A$2:$A$3199=TRIM($M$4))*(Tabla_Costos_Insumos!$C$2:$C$3199=TRIM(K183)),Tabla_Costos_Insumos!$E$2:$E$3199,"",0))</f>
        <v>128084.44444445</v>
      </c>
      <c r="O183" s="441">
        <f t="shared" si="39"/>
        <v>128084.44444445</v>
      </c>
      <c r="P183" s="212" t="str">
        <f t="shared" si="44"/>
        <v>Café Castillo</v>
      </c>
      <c r="Q183" s="212" t="s">
        <v>142</v>
      </c>
      <c r="R183" s="212" t="s">
        <v>142</v>
      </c>
      <c r="S183" s="212" t="s">
        <v>142</v>
      </c>
      <c r="T183" s="212" t="s">
        <v>142</v>
      </c>
      <c r="U183" s="212" t="s">
        <v>142</v>
      </c>
      <c r="V183" s="212" t="s">
        <v>142</v>
      </c>
      <c r="W183" s="212" t="str">
        <f t="shared" si="43"/>
        <v/>
      </c>
      <c r="X183" s="214"/>
    </row>
    <row r="184" spans="1:24" ht="15">
      <c r="A184" s="211" t="s">
        <v>244</v>
      </c>
      <c r="B184" s="225" t="s">
        <v>245</v>
      </c>
      <c r="C184" s="212" t="s">
        <v>69</v>
      </c>
      <c r="D184" s="212" t="s">
        <v>145</v>
      </c>
      <c r="E184" s="212" t="s">
        <v>146</v>
      </c>
      <c r="F184" s="212" t="s">
        <v>147</v>
      </c>
      <c r="G184" s="212" t="s">
        <v>131</v>
      </c>
      <c r="H184" s="212" t="s">
        <v>165</v>
      </c>
      <c r="I184" s="212" t="s">
        <v>153</v>
      </c>
      <c r="J184" s="212" t="s">
        <v>149</v>
      </c>
      <c r="K184" s="212" t="s">
        <v>4216</v>
      </c>
      <c r="L184" s="212" t="s">
        <v>151</v>
      </c>
      <c r="M184" s="213">
        <v>4</v>
      </c>
      <c r="N184" s="441" cm="1">
        <f t="array" ref="N184">IF(TRIM(K184)="Mano de Obra",IF(Formulario!$L$23&lt;&gt;"",Formulario!$L$23,IFERROR(VLOOKUP(TRIM($M$4),Jornalesdeppto!A:C,3,0),"")),_xlfn.XLOOKUP(1,(Tabla_Costos_Insumos!$A$2:$A$3199=TRIM($M$4))*(Tabla_Costos_Insumos!$C$2:$C$3199=TRIM(K184)),Tabla_Costos_Insumos!$E$2:$E$3199,"",0))</f>
        <v>125849.2424242409</v>
      </c>
      <c r="O184" s="441">
        <f t="shared" si="39"/>
        <v>503396.96969696361</v>
      </c>
      <c r="P184" s="212" t="str">
        <f t="shared" si="44"/>
        <v>Café Castillo</v>
      </c>
      <c r="Q184" s="212" t="s">
        <v>142</v>
      </c>
      <c r="R184" s="212" t="s">
        <v>142</v>
      </c>
      <c r="S184" s="212" t="s">
        <v>142</v>
      </c>
      <c r="T184" s="212" t="s">
        <v>142</v>
      </c>
      <c r="U184" s="212" t="s">
        <v>142</v>
      </c>
      <c r="V184" s="212" t="s">
        <v>142</v>
      </c>
      <c r="W184" s="212" t="str">
        <f t="shared" si="43"/>
        <v/>
      </c>
      <c r="X184" s="214"/>
    </row>
    <row r="185" spans="1:24" ht="15">
      <c r="A185" s="211" t="s">
        <v>244</v>
      </c>
      <c r="B185" s="225" t="s">
        <v>245</v>
      </c>
      <c r="C185" s="212" t="s">
        <v>69</v>
      </c>
      <c r="D185" s="212" t="s">
        <v>145</v>
      </c>
      <c r="E185" s="212" t="s">
        <v>146</v>
      </c>
      <c r="F185" s="212" t="s">
        <v>167</v>
      </c>
      <c r="G185" s="212" t="s">
        <v>118</v>
      </c>
      <c r="H185" s="212" t="s">
        <v>247</v>
      </c>
      <c r="I185" s="212" t="s">
        <v>248</v>
      </c>
      <c r="J185" s="212" t="s">
        <v>249</v>
      </c>
      <c r="K185" s="212" t="s">
        <v>4140</v>
      </c>
      <c r="L185" s="212" t="s">
        <v>250</v>
      </c>
      <c r="M185" s="213">
        <v>6</v>
      </c>
      <c r="N185" s="441" cm="1">
        <f t="array" ref="N185">IF(TRIM(K185)="Mano de Obra",IF(Formulario!$L$23&lt;&gt;"",Formulario!$L$23,IFERROR(VLOOKUP(TRIM($M$4),Jornalesdeppto!A:C,3,0),"")),_xlfn.XLOOKUP(1,(Tabla_Costos_Insumos!$A$2:$A$3199=TRIM($M$4))*(Tabla_Costos_Insumos!$C$2:$C$3199=TRIM(K185)),Tabla_Costos_Insumos!$E$2:$E$3199,"",0))</f>
        <v>44212.121212127277</v>
      </c>
      <c r="O185" s="441">
        <f t="shared" si="39"/>
        <v>265272.72727276367</v>
      </c>
      <c r="P185" s="212" t="str">
        <f t="shared" si="44"/>
        <v>Café Castillo</v>
      </c>
      <c r="Q185" s="212" t="s">
        <v>108</v>
      </c>
      <c r="R185" s="212">
        <v>0.02</v>
      </c>
      <c r="S185" s="212" t="str">
        <f>IF($M$3="Café Castillo",($I$3*R185) / 480,"")</f>
        <v/>
      </c>
      <c r="T185" s="212" cm="1">
        <f t="array" ref="T185">_xlfn.IFS($D$5&lt;=7, 1.1, $D$5&lt;=12,1.2, $D$5&lt;=25, 1.3, $D$5&gt;25,1.4)</f>
        <v>1.3</v>
      </c>
      <c r="U185" s="212" t="str">
        <f>IFERROR(S185*T185,"")</f>
        <v/>
      </c>
      <c r="V185" s="212">
        <v>9</v>
      </c>
      <c r="W185" s="212" t="str">
        <f t="shared" si="43"/>
        <v/>
      </c>
      <c r="X185" s="214"/>
    </row>
    <row r="186" spans="1:24" ht="15">
      <c r="A186" s="211" t="s">
        <v>244</v>
      </c>
      <c r="B186" s="225" t="s">
        <v>245</v>
      </c>
      <c r="C186" s="212" t="s">
        <v>69</v>
      </c>
      <c r="D186" s="212" t="s">
        <v>145</v>
      </c>
      <c r="E186" s="212" t="s">
        <v>146</v>
      </c>
      <c r="F186" s="212" t="s">
        <v>167</v>
      </c>
      <c r="G186" s="212" t="s">
        <v>118</v>
      </c>
      <c r="H186" s="212" t="s">
        <v>168</v>
      </c>
      <c r="I186" s="212" t="s">
        <v>169</v>
      </c>
      <c r="J186" s="212" t="s">
        <v>170</v>
      </c>
      <c r="K186" s="212" t="s">
        <v>251</v>
      </c>
      <c r="L186" s="212" t="s">
        <v>226</v>
      </c>
      <c r="M186" s="213">
        <v>2</v>
      </c>
      <c r="N186" s="441" cm="1">
        <f t="array" ref="N186">IF(TRIM(K186)="Mano de Obra",IF(Formulario!$L$23&lt;&gt;"",Formulario!$L$23,IFERROR(VLOOKUP(TRIM($M$4),Jornalesdeppto!A:C,3,0),"")),_xlfn.XLOOKUP(1,(Tabla_Costos_Insumos!$A$2:$A$3199=TRIM($M$4))*(Tabla_Costos_Insumos!$C$2:$C$3199=TRIM(K186)),Tabla_Costos_Insumos!$E$2:$E$3199,"",0))</f>
        <v>61445.54</v>
      </c>
      <c r="O186" s="441">
        <f t="shared" si="39"/>
        <v>122891.08</v>
      </c>
      <c r="P186" s="212" t="str">
        <f t="shared" si="44"/>
        <v>Café Castillo</v>
      </c>
      <c r="Q186" s="212" t="s">
        <v>142</v>
      </c>
      <c r="R186" s="212" t="s">
        <v>142</v>
      </c>
      <c r="S186" s="212" t="s">
        <v>142</v>
      </c>
      <c r="T186" s="212" t="s">
        <v>142</v>
      </c>
      <c r="U186" s="212" t="s">
        <v>142</v>
      </c>
      <c r="V186" s="212" t="s">
        <v>142</v>
      </c>
      <c r="W186" s="212" t="str">
        <f t="shared" si="43"/>
        <v/>
      </c>
      <c r="X186" s="214"/>
    </row>
    <row r="187" spans="1:24" ht="15">
      <c r="A187" s="211" t="s">
        <v>244</v>
      </c>
      <c r="B187" s="225" t="s">
        <v>245</v>
      </c>
      <c r="C187" s="212" t="s">
        <v>69</v>
      </c>
      <c r="D187" s="212" t="s">
        <v>145</v>
      </c>
      <c r="E187" s="212" t="s">
        <v>146</v>
      </c>
      <c r="F187" s="212" t="s">
        <v>167</v>
      </c>
      <c r="G187" s="212" t="s">
        <v>118</v>
      </c>
      <c r="H187" s="212" t="s">
        <v>168</v>
      </c>
      <c r="I187" s="212" t="s">
        <v>169</v>
      </c>
      <c r="J187" s="212" t="s">
        <v>170</v>
      </c>
      <c r="K187" s="212" t="s">
        <v>252</v>
      </c>
      <c r="L187" s="212" t="s">
        <v>226</v>
      </c>
      <c r="M187" s="213">
        <v>2</v>
      </c>
      <c r="N187" s="441" cm="1">
        <f t="array" ref="N187">IF(TRIM(K187)="Mano de Obra",IF(Formulario!$L$23&lt;&gt;"",Formulario!$L$23,IFERROR(VLOOKUP(TRIM($M$4),Jornalesdeppto!A:C,3,0),"")),_xlfn.XLOOKUP(1,(Tabla_Costos_Insumos!$A$2:$A$3199=TRIM($M$4))*(Tabla_Costos_Insumos!$C$2:$C$3199=TRIM(K187)),Tabla_Costos_Insumos!$E$2:$E$3199,"",0))</f>
        <v>24440.35</v>
      </c>
      <c r="O187" s="441">
        <f t="shared" si="39"/>
        <v>48880.7</v>
      </c>
      <c r="P187" s="212" t="str">
        <f t="shared" si="44"/>
        <v>Café Castillo</v>
      </c>
      <c r="Q187" s="212" t="s">
        <v>142</v>
      </c>
      <c r="R187" s="212" t="s">
        <v>142</v>
      </c>
      <c r="S187" s="212" t="s">
        <v>142</v>
      </c>
      <c r="T187" s="212" t="s">
        <v>142</v>
      </c>
      <c r="U187" s="212" t="s">
        <v>142</v>
      </c>
      <c r="V187" s="212" t="s">
        <v>142</v>
      </c>
      <c r="W187" s="212" t="str">
        <f t="shared" si="43"/>
        <v/>
      </c>
      <c r="X187" s="214"/>
    </row>
    <row r="188" spans="1:24" ht="15">
      <c r="A188" s="211" t="s">
        <v>244</v>
      </c>
      <c r="B188" s="225" t="s">
        <v>245</v>
      </c>
      <c r="C188" s="212" t="s">
        <v>69</v>
      </c>
      <c r="D188" s="212" t="s">
        <v>145</v>
      </c>
      <c r="E188" s="212" t="s">
        <v>146</v>
      </c>
      <c r="F188" s="212" t="s">
        <v>167</v>
      </c>
      <c r="G188" s="212" t="s">
        <v>118</v>
      </c>
      <c r="H188" s="212" t="s">
        <v>174</v>
      </c>
      <c r="I188" s="212" t="s">
        <v>175</v>
      </c>
      <c r="J188" s="212" t="s">
        <v>176</v>
      </c>
      <c r="K188" s="212" t="s">
        <v>253</v>
      </c>
      <c r="L188" s="212" t="s">
        <v>172</v>
      </c>
      <c r="M188" s="213">
        <v>1</v>
      </c>
      <c r="N188" s="441" cm="1">
        <f t="array" ref="N188">IF(TRIM(K188)="Mano de Obra",IF(Formulario!$L$23&lt;&gt;"",Formulario!$L$23,IFERROR(VLOOKUP(TRIM($M$4),Jornalesdeppto!A:C,3,0),"")),_xlfn.XLOOKUP(1,(Tabla_Costos_Insumos!$A$2:$A$3199=TRIM($M$4))*(Tabla_Costos_Insumos!$C$2:$C$3199=TRIM(K188)),Tabla_Costos_Insumos!$E$2:$E$3199,"",0))</f>
        <v>24023.33</v>
      </c>
      <c r="O188" s="441">
        <f t="shared" si="39"/>
        <v>24023.33</v>
      </c>
      <c r="P188" s="212" t="str">
        <f t="shared" si="44"/>
        <v>Café Castillo</v>
      </c>
      <c r="Q188" s="212" t="s">
        <v>142</v>
      </c>
      <c r="R188" s="212" t="s">
        <v>142</v>
      </c>
      <c r="S188" s="212" t="s">
        <v>142</v>
      </c>
      <c r="T188" s="212" t="s">
        <v>142</v>
      </c>
      <c r="U188" s="212" t="s">
        <v>142</v>
      </c>
      <c r="V188" s="212" t="s">
        <v>142</v>
      </c>
      <c r="W188" s="212" t="str">
        <f t="shared" si="43"/>
        <v/>
      </c>
      <c r="X188" s="214"/>
    </row>
    <row r="189" spans="1:24" ht="15">
      <c r="A189" s="211" t="s">
        <v>244</v>
      </c>
      <c r="B189" s="225" t="s">
        <v>245</v>
      </c>
      <c r="C189" s="212" t="s">
        <v>69</v>
      </c>
      <c r="D189" s="212" t="s">
        <v>145</v>
      </c>
      <c r="E189" s="212" t="s">
        <v>146</v>
      </c>
      <c r="F189" s="212" t="s">
        <v>167</v>
      </c>
      <c r="G189" s="212" t="s">
        <v>118</v>
      </c>
      <c r="H189" s="212" t="s">
        <v>178</v>
      </c>
      <c r="I189" s="212" t="s">
        <v>179</v>
      </c>
      <c r="J189" s="212" t="s">
        <v>180</v>
      </c>
      <c r="K189" s="212" t="s">
        <v>182</v>
      </c>
      <c r="L189" s="212" t="s">
        <v>172</v>
      </c>
      <c r="M189" s="213">
        <v>2</v>
      </c>
      <c r="N189" s="441" cm="1">
        <f t="array" ref="N189">IF(TRIM(K189)="Mano de Obra",IF(Formulario!$L$23&lt;&gt;"",Formulario!$L$23,IFERROR(VLOOKUP(TRIM($M$4),Jornalesdeppto!A:C,3,0),"")),_xlfn.XLOOKUP(1,(Tabla_Costos_Insumos!$A$2:$A$3199=TRIM($M$4))*(Tabla_Costos_Insumos!$C$2:$C$3199=TRIM(K189)),Tabla_Costos_Insumos!$E$2:$E$3199,"",0))</f>
        <v>151029.59</v>
      </c>
      <c r="O189" s="441">
        <f t="shared" si="39"/>
        <v>302059.18</v>
      </c>
      <c r="P189" s="212" t="str">
        <f t="shared" si="44"/>
        <v>Café Castillo</v>
      </c>
      <c r="Q189" s="212" t="s">
        <v>142</v>
      </c>
      <c r="R189" s="212" t="s">
        <v>142</v>
      </c>
      <c r="S189" s="212" t="s">
        <v>142</v>
      </c>
      <c r="T189" s="212" t="s">
        <v>142</v>
      </c>
      <c r="U189" s="212" t="s">
        <v>142</v>
      </c>
      <c r="V189" s="212" t="s">
        <v>142</v>
      </c>
      <c r="W189" s="212" t="str">
        <f t="shared" si="43"/>
        <v/>
      </c>
      <c r="X189" s="214"/>
    </row>
    <row r="190" spans="1:24" ht="15">
      <c r="A190" s="211" t="s">
        <v>244</v>
      </c>
      <c r="B190" s="225" t="s">
        <v>245</v>
      </c>
      <c r="C190" s="212" t="s">
        <v>69</v>
      </c>
      <c r="D190" s="212" t="s">
        <v>145</v>
      </c>
      <c r="E190" s="212" t="s">
        <v>146</v>
      </c>
      <c r="F190" s="212" t="s">
        <v>167</v>
      </c>
      <c r="G190" s="212" t="s">
        <v>118</v>
      </c>
      <c r="H190" s="212" t="s">
        <v>178</v>
      </c>
      <c r="I190" s="212" t="s">
        <v>179</v>
      </c>
      <c r="J190" s="212" t="s">
        <v>180</v>
      </c>
      <c r="K190" s="212" t="s">
        <v>254</v>
      </c>
      <c r="L190" s="212" t="s">
        <v>172</v>
      </c>
      <c r="M190" s="213">
        <v>2</v>
      </c>
      <c r="N190" s="441" cm="1">
        <f t="array" ref="N190">IF(TRIM(K190)="Mano de Obra",IF(Formulario!$L$23&lt;&gt;"",Formulario!$L$23,IFERROR(VLOOKUP(TRIM($M$4),Jornalesdeppto!A:C,3,0),"")),_xlfn.XLOOKUP(1,(Tabla_Costos_Insumos!$A$2:$A$3199=TRIM($M$4))*(Tabla_Costos_Insumos!$C$2:$C$3199=TRIM(K190)),Tabla_Costos_Insumos!$E$2:$E$3199,"",0))</f>
        <v>146171.37</v>
      </c>
      <c r="O190" s="441">
        <f t="shared" si="39"/>
        <v>292342.74</v>
      </c>
      <c r="P190" s="212" t="str">
        <f t="shared" si="44"/>
        <v>Café Castillo</v>
      </c>
      <c r="Q190" s="212" t="s">
        <v>142</v>
      </c>
      <c r="R190" s="212" t="s">
        <v>142</v>
      </c>
      <c r="S190" s="212" t="s">
        <v>142</v>
      </c>
      <c r="T190" s="212" t="s">
        <v>142</v>
      </c>
      <c r="U190" s="212" t="s">
        <v>142</v>
      </c>
      <c r="V190" s="212" t="s">
        <v>142</v>
      </c>
      <c r="W190" s="212" t="str">
        <f t="shared" si="43"/>
        <v/>
      </c>
      <c r="X190" s="214"/>
    </row>
    <row r="191" spans="1:24" ht="15">
      <c r="A191" s="211" t="s">
        <v>244</v>
      </c>
      <c r="B191" s="225" t="s">
        <v>245</v>
      </c>
      <c r="C191" s="212" t="s">
        <v>69</v>
      </c>
      <c r="D191" s="212" t="s">
        <v>145</v>
      </c>
      <c r="E191" s="212" t="s">
        <v>146</v>
      </c>
      <c r="F191" s="212" t="s">
        <v>183</v>
      </c>
      <c r="G191" s="212" t="s">
        <v>184</v>
      </c>
      <c r="H191" s="212" t="s">
        <v>185</v>
      </c>
      <c r="I191" s="212" t="s">
        <v>186</v>
      </c>
      <c r="J191" s="212" t="s">
        <v>105</v>
      </c>
      <c r="K191" s="212" t="s">
        <v>187</v>
      </c>
      <c r="L191" s="212" t="s">
        <v>188</v>
      </c>
      <c r="M191" s="213">
        <v>0.1</v>
      </c>
      <c r="N191" s="441" cm="1">
        <f t="array" ref="N191">IF(TRIM(K191)="Mano de Obra",IF(Formulario!$L$23&lt;&gt;"",Formulario!$L$23,IFERROR(VLOOKUP(TRIM($M$4),Jornalesdeppto!A:C,3,0),"")),_xlfn.XLOOKUP(1,(Tabla_Costos_Insumos!$A$2:$A$3199=TRIM($M$4))*(Tabla_Costos_Insumos!$C$2:$C$3199=TRIM(K191)),Tabla_Costos_Insumos!$E$2:$E$3199,"",0))</f>
        <v>175000</v>
      </c>
      <c r="O191" s="441">
        <f t="shared" si="39"/>
        <v>17500</v>
      </c>
      <c r="P191" s="212" t="str">
        <f t="shared" si="44"/>
        <v>Café Castillo</v>
      </c>
      <c r="Q191" s="212" t="s">
        <v>142</v>
      </c>
      <c r="R191" s="212" t="s">
        <v>142</v>
      </c>
      <c r="S191" s="212" t="s">
        <v>142</v>
      </c>
      <c r="T191" s="212" t="s">
        <v>142</v>
      </c>
      <c r="U191" s="212" t="s">
        <v>142</v>
      </c>
      <c r="V191" s="212" t="s">
        <v>142</v>
      </c>
      <c r="W191" s="212" t="str">
        <f t="shared" si="43"/>
        <v/>
      </c>
      <c r="X191" s="214"/>
    </row>
    <row r="192" spans="1:24" ht="15">
      <c r="A192" s="211" t="s">
        <v>244</v>
      </c>
      <c r="B192" s="225" t="s">
        <v>245</v>
      </c>
      <c r="C192" s="212" t="s">
        <v>69</v>
      </c>
      <c r="D192" s="212" t="s">
        <v>189</v>
      </c>
      <c r="E192" s="212" t="s">
        <v>190</v>
      </c>
      <c r="F192" s="212" t="s">
        <v>191</v>
      </c>
      <c r="G192" s="212" t="s">
        <v>192</v>
      </c>
      <c r="H192" s="212" t="s">
        <v>193</v>
      </c>
      <c r="I192" s="212" t="s">
        <v>194</v>
      </c>
      <c r="J192" s="212" t="s">
        <v>195</v>
      </c>
      <c r="K192" s="212" t="s">
        <v>196</v>
      </c>
      <c r="L192" s="212" t="s">
        <v>197</v>
      </c>
      <c r="M192" s="213">
        <v>1</v>
      </c>
      <c r="N192" s="441">
        <f>IFERROR(SUM(O174:$O$191)*0.08,0)</f>
        <v>532261.16677980009</v>
      </c>
      <c r="O192" s="441">
        <f t="shared" si="39"/>
        <v>532261.16677980009</v>
      </c>
      <c r="P192" s="212" t="str">
        <f t="shared" si="44"/>
        <v>Café Castillo</v>
      </c>
      <c r="Q192" s="212" t="s">
        <v>142</v>
      </c>
      <c r="R192" s="212" t="s">
        <v>142</v>
      </c>
      <c r="S192" s="212" t="s">
        <v>142</v>
      </c>
      <c r="T192" s="212" t="s">
        <v>142</v>
      </c>
      <c r="U192" s="212" t="s">
        <v>142</v>
      </c>
      <c r="V192" s="212" t="s">
        <v>142</v>
      </c>
      <c r="W192" s="212" t="str">
        <f t="shared" si="43"/>
        <v/>
      </c>
      <c r="X192" s="214"/>
    </row>
    <row r="193" spans="1:24" ht="15">
      <c r="A193" s="211" t="s">
        <v>244</v>
      </c>
      <c r="B193" s="225" t="s">
        <v>245</v>
      </c>
      <c r="C193" s="212" t="s">
        <v>69</v>
      </c>
      <c r="D193" s="212" t="s">
        <v>189</v>
      </c>
      <c r="E193" s="212" t="s">
        <v>190</v>
      </c>
      <c r="F193" s="212" t="s">
        <v>198</v>
      </c>
      <c r="G193" s="212" t="s">
        <v>199</v>
      </c>
      <c r="H193" s="212" t="s">
        <v>200</v>
      </c>
      <c r="I193" s="212" t="s">
        <v>201</v>
      </c>
      <c r="J193" s="212" t="s">
        <v>105</v>
      </c>
      <c r="K193" s="212" t="s">
        <v>202</v>
      </c>
      <c r="L193" s="212" t="s">
        <v>203</v>
      </c>
      <c r="M193" s="213">
        <v>1</v>
      </c>
      <c r="N193" s="441" cm="1">
        <f t="array" ref="N193">IF(TRIM(K193)="Mano de Obra",IF(Formulario!$L$23&lt;&gt;"",Formulario!$L$23,IFERROR(VLOOKUP(TRIM($M$4),Jornalesdeppto!A:C,3,0),"")),_xlfn.XLOOKUP(1,(Tabla_Costos_Insumos!$A$2:$A$3199=TRIM($M$4))*(Tabla_Costos_Insumos!$C$2:$C$3199=TRIM(K193)),Tabla_Costos_Insumos!$E$2:$E$3199,"",0))</f>
        <v>120000</v>
      </c>
      <c r="O193" s="441">
        <f t="shared" si="39"/>
        <v>120000</v>
      </c>
      <c r="P193" s="212" t="str">
        <f t="shared" ref="P193:P224" si="48">CONCATENATE(A193," ",B193)</f>
        <v>Café Castillo</v>
      </c>
      <c r="Q193" s="212" t="s">
        <v>142</v>
      </c>
      <c r="R193" s="212" t="s">
        <v>142</v>
      </c>
      <c r="S193" s="212" t="s">
        <v>142</v>
      </c>
      <c r="T193" s="212" t="s">
        <v>142</v>
      </c>
      <c r="U193" s="212" t="s">
        <v>142</v>
      </c>
      <c r="V193" s="212" t="s">
        <v>142</v>
      </c>
      <c r="W193" s="212" t="str">
        <f t="shared" si="43"/>
        <v/>
      </c>
      <c r="X193" s="214"/>
    </row>
    <row r="194" spans="1:24" ht="15">
      <c r="A194" s="211" t="s">
        <v>244</v>
      </c>
      <c r="B194" s="225" t="s">
        <v>245</v>
      </c>
      <c r="C194" s="212" t="s">
        <v>69</v>
      </c>
      <c r="D194" s="212" t="s">
        <v>189</v>
      </c>
      <c r="E194" s="212" t="s">
        <v>190</v>
      </c>
      <c r="F194" s="212" t="s">
        <v>204</v>
      </c>
      <c r="G194" s="212" t="s">
        <v>205</v>
      </c>
      <c r="H194" s="212" t="s">
        <v>206</v>
      </c>
      <c r="I194" s="212" t="s">
        <v>207</v>
      </c>
      <c r="J194" s="212" t="s">
        <v>4127</v>
      </c>
      <c r="K194" s="212" t="s">
        <v>228</v>
      </c>
      <c r="L194" s="212" t="s">
        <v>197</v>
      </c>
      <c r="M194" s="213">
        <v>1</v>
      </c>
      <c r="N194" s="441" t="str">
        <f>IF($M$3="Café Castillo",$J$4,"")</f>
        <v/>
      </c>
      <c r="O194" s="441" t="str">
        <f t="shared" si="39"/>
        <v/>
      </c>
      <c r="P194" s="212" t="str">
        <f t="shared" si="48"/>
        <v>Café Castillo</v>
      </c>
      <c r="Q194" s="212" t="s">
        <v>142</v>
      </c>
      <c r="R194" s="212" t="s">
        <v>142</v>
      </c>
      <c r="S194" s="212" t="s">
        <v>142</v>
      </c>
      <c r="T194" s="212" t="s">
        <v>142</v>
      </c>
      <c r="U194" s="212" t="s">
        <v>142</v>
      </c>
      <c r="V194" s="212" t="s">
        <v>142</v>
      </c>
      <c r="W194" s="212" t="str">
        <f t="shared" si="43"/>
        <v/>
      </c>
      <c r="X194" s="214"/>
    </row>
    <row r="195" spans="1:24" ht="15">
      <c r="A195" s="211" t="s">
        <v>244</v>
      </c>
      <c r="B195" s="225" t="s">
        <v>245</v>
      </c>
      <c r="C195" s="216" t="s">
        <v>53</v>
      </c>
      <c r="D195" s="216" t="s">
        <v>99</v>
      </c>
      <c r="E195" s="216" t="s">
        <v>100</v>
      </c>
      <c r="F195" s="216" t="s">
        <v>101</v>
      </c>
      <c r="G195" s="216" t="s">
        <v>102</v>
      </c>
      <c r="H195" s="216" t="s">
        <v>103</v>
      </c>
      <c r="I195" s="216" t="s">
        <v>104</v>
      </c>
      <c r="J195" s="216" t="s">
        <v>105</v>
      </c>
      <c r="K195" s="216" t="s">
        <v>106</v>
      </c>
      <c r="L195" s="216" t="s">
        <v>107</v>
      </c>
      <c r="M195" s="217">
        <f t="shared" ref="M195:M202" si="49">IF(W195&lt;&gt;"", W195, ROUNDUP(X195*T195, 0))</f>
        <v>10</v>
      </c>
      <c r="N195" s="442" cm="1">
        <f t="array" ref="N195">IF(TRIM(K195)="Mano de Obra",IF(Formulario!$L$23&lt;&gt;"",Formulario!$L$23,IFERROR(VLOOKUP(TRIM($M$4),Jornalesdeppto!A:C,3,0),"")),_xlfn.XLOOKUP(1,(Tabla_Costos_Insumos!$A$2:$A$3199=TRIM($M$4))*(Tabla_Costos_Insumos!$C$2:$C$3199=TRIM(K195)),Tabla_Costos_Insumos!$E$2:$E$3199,"",0))</f>
        <v>46666.666666666664</v>
      </c>
      <c r="O195" s="442">
        <f t="shared" si="39"/>
        <v>466666.66666666663</v>
      </c>
      <c r="P195" s="216" t="str">
        <f t="shared" si="48"/>
        <v>Café Castillo</v>
      </c>
      <c r="Q195" s="212" t="s">
        <v>142</v>
      </c>
      <c r="R195" s="212" t="s">
        <v>142</v>
      </c>
      <c r="S195" s="212" t="s">
        <v>142</v>
      </c>
      <c r="T195" s="212" cm="1">
        <f t="array" ref="T195">_xlfn.IFS($D$5&lt;=7, 1.1, $D$5&lt;=12,1.2, $D$5&lt;=25, 1.3, $D$5&gt;25,1.4)</f>
        <v>1.3</v>
      </c>
      <c r="U195" s="212" t="s">
        <v>142</v>
      </c>
      <c r="V195" s="212" t="s">
        <v>142</v>
      </c>
      <c r="W195" s="212" t="str">
        <f t="shared" si="43"/>
        <v/>
      </c>
      <c r="X195" s="214">
        <v>7</v>
      </c>
    </row>
    <row r="196" spans="1:24" ht="15">
      <c r="A196" s="211" t="s">
        <v>244</v>
      </c>
      <c r="B196" s="225" t="s">
        <v>245</v>
      </c>
      <c r="C196" s="216" t="s">
        <v>53</v>
      </c>
      <c r="D196" s="216" t="s">
        <v>99</v>
      </c>
      <c r="E196" s="216" t="s">
        <v>100</v>
      </c>
      <c r="F196" s="216" t="s">
        <v>101</v>
      </c>
      <c r="G196" s="216" t="s">
        <v>102</v>
      </c>
      <c r="H196" s="216" t="s">
        <v>212</v>
      </c>
      <c r="I196" s="216" t="s">
        <v>213</v>
      </c>
      <c r="J196" s="216" t="s">
        <v>105</v>
      </c>
      <c r="K196" s="216" t="s">
        <v>106</v>
      </c>
      <c r="L196" s="216" t="s">
        <v>107</v>
      </c>
      <c r="M196" s="217">
        <f t="shared" si="49"/>
        <v>13</v>
      </c>
      <c r="N196" s="442" cm="1">
        <f t="array" ref="N196">IF(TRIM(K196)="Mano de Obra",IF(Formulario!$L$23&lt;&gt;"",Formulario!$L$23,IFERROR(VLOOKUP(TRIM($M$4),Jornalesdeppto!A:C,3,0),"")),_xlfn.XLOOKUP(1,(Tabla_Costos_Insumos!$A$2:$A$3199=TRIM($M$4))*(Tabla_Costos_Insumos!$C$2:$C$3199=TRIM(K196)),Tabla_Costos_Insumos!$E$2:$E$3199,"",0))</f>
        <v>46666.666666666664</v>
      </c>
      <c r="O196" s="442">
        <f t="shared" si="39"/>
        <v>606666.66666666663</v>
      </c>
      <c r="P196" s="216" t="str">
        <f t="shared" si="48"/>
        <v>Café Castillo</v>
      </c>
      <c r="Q196" s="212" t="s">
        <v>108</v>
      </c>
      <c r="R196" s="212">
        <v>1.5</v>
      </c>
      <c r="S196" s="212" t="str">
        <f>IF($M$3="Café Castillo",($I$3*R196) / 480,"")</f>
        <v/>
      </c>
      <c r="T196" s="212" cm="1">
        <f t="array" ref="T196">_xlfn.IFS($D$5&lt;=7, 1.1, $D$5&lt;=12,1.2, $D$5&lt;=25, 1.3, $D$5&gt;25,1.4)</f>
        <v>1.3</v>
      </c>
      <c r="U196" s="212" t="str">
        <f>IFERROR(S196*T196,"")</f>
        <v/>
      </c>
      <c r="V196" s="212">
        <v>1</v>
      </c>
      <c r="W196" s="212" t="str">
        <f t="shared" si="43"/>
        <v/>
      </c>
      <c r="X196" s="214">
        <v>10</v>
      </c>
    </row>
    <row r="197" spans="1:24" ht="15">
      <c r="A197" s="211" t="s">
        <v>244</v>
      </c>
      <c r="B197" s="225" t="s">
        <v>245</v>
      </c>
      <c r="C197" s="216" t="s">
        <v>53</v>
      </c>
      <c r="D197" s="216" t="s">
        <v>99</v>
      </c>
      <c r="E197" s="216" t="s">
        <v>100</v>
      </c>
      <c r="F197" s="216" t="s">
        <v>109</v>
      </c>
      <c r="G197" s="216" t="s">
        <v>110</v>
      </c>
      <c r="H197" s="216" t="s">
        <v>234</v>
      </c>
      <c r="I197" s="216" t="s">
        <v>235</v>
      </c>
      <c r="J197" s="216" t="s">
        <v>105</v>
      </c>
      <c r="K197" s="216" t="s">
        <v>106</v>
      </c>
      <c r="L197" s="216" t="s">
        <v>107</v>
      </c>
      <c r="M197" s="217">
        <f t="shared" si="49"/>
        <v>20</v>
      </c>
      <c r="N197" s="442" cm="1">
        <f t="array" ref="N197">IF(TRIM(K197)="Mano de Obra",IF(Formulario!$L$23&lt;&gt;"",Formulario!$L$23,IFERROR(VLOOKUP(TRIM($M$4),Jornalesdeppto!A:C,3,0),"")),_xlfn.XLOOKUP(1,(Tabla_Costos_Insumos!$A$2:$A$3199=TRIM($M$4))*(Tabla_Costos_Insumos!$C$2:$C$3199=TRIM(K197)),Tabla_Costos_Insumos!$E$2:$E$3199,"",0))</f>
        <v>46666.666666666664</v>
      </c>
      <c r="O197" s="442">
        <f t="shared" si="39"/>
        <v>933333.33333333326</v>
      </c>
      <c r="P197" s="216" t="str">
        <f t="shared" si="48"/>
        <v>Café Castillo</v>
      </c>
      <c r="Q197" s="212" t="s">
        <v>108</v>
      </c>
      <c r="R197" s="212">
        <v>0.6</v>
      </c>
      <c r="S197" s="212" t="str">
        <f t="shared" ref="S197:S202" si="50">IF($M$3="Café Castillo",($I$3*R197) / 480,"")</f>
        <v/>
      </c>
      <c r="T197" s="212" cm="1">
        <f t="array" ref="T197">_xlfn.IFS($D$5&lt;=7, 1.1, $D$5&lt;=12,1.2, $D$5&lt;=25, 1.3, $D$5&gt;25,1.4)</f>
        <v>1.3</v>
      </c>
      <c r="U197" s="212" t="str">
        <f t="shared" ref="U197:U202" si="51">IFERROR(S197*T197,"")</f>
        <v/>
      </c>
      <c r="V197" s="212">
        <v>2</v>
      </c>
      <c r="W197" s="212" t="str">
        <f t="shared" si="43"/>
        <v/>
      </c>
      <c r="X197" s="214">
        <v>15</v>
      </c>
    </row>
    <row r="198" spans="1:24" ht="15">
      <c r="A198" s="211" t="s">
        <v>244</v>
      </c>
      <c r="B198" s="225" t="s">
        <v>245</v>
      </c>
      <c r="C198" s="216" t="s">
        <v>53</v>
      </c>
      <c r="D198" s="216" t="s">
        <v>99</v>
      </c>
      <c r="E198" s="216" t="s">
        <v>100</v>
      </c>
      <c r="F198" s="216" t="s">
        <v>109</v>
      </c>
      <c r="G198" s="216" t="s">
        <v>110</v>
      </c>
      <c r="H198" s="216" t="s">
        <v>217</v>
      </c>
      <c r="I198" s="216" t="s">
        <v>218</v>
      </c>
      <c r="J198" s="216" t="s">
        <v>105</v>
      </c>
      <c r="K198" s="216" t="s">
        <v>106</v>
      </c>
      <c r="L198" s="216" t="s">
        <v>107</v>
      </c>
      <c r="M198" s="217">
        <f t="shared" si="49"/>
        <v>16</v>
      </c>
      <c r="N198" s="442" cm="1">
        <f t="array" ref="N198">IF(TRIM(K198)="Mano de Obra",IF(Formulario!$L$23&lt;&gt;"",Formulario!$L$23,IFERROR(VLOOKUP(TRIM($M$4),Jornalesdeppto!A:C,3,0),"")),_xlfn.XLOOKUP(1,(Tabla_Costos_Insumos!$A$2:$A$3199=TRIM($M$4))*(Tabla_Costos_Insumos!$C$2:$C$3199=TRIM(K198)),Tabla_Costos_Insumos!$E$2:$E$3199,"",0))</f>
        <v>46666.666666666664</v>
      </c>
      <c r="O198" s="442">
        <f t="shared" si="39"/>
        <v>746666.66666666663</v>
      </c>
      <c r="P198" s="216" t="str">
        <f t="shared" si="48"/>
        <v>Café Castillo</v>
      </c>
      <c r="Q198" s="212" t="s">
        <v>108</v>
      </c>
      <c r="R198" s="212">
        <v>1</v>
      </c>
      <c r="S198" s="212" t="str">
        <f t="shared" si="50"/>
        <v/>
      </c>
      <c r="T198" s="212" cm="1">
        <f t="array" ref="T198">_xlfn.IFS($D$5&lt;=7, 1.1, $D$5&lt;=12,1.2, $D$5&lt;=25, 1.3, $D$5&gt;25,1.4)</f>
        <v>1.3</v>
      </c>
      <c r="U198" s="212" t="str">
        <f t="shared" si="51"/>
        <v/>
      </c>
      <c r="V198" s="212">
        <v>1</v>
      </c>
      <c r="W198" s="212" t="str">
        <f t="shared" si="43"/>
        <v/>
      </c>
      <c r="X198" s="214">
        <v>12</v>
      </c>
    </row>
    <row r="199" spans="1:24" ht="15">
      <c r="A199" s="211" t="s">
        <v>244</v>
      </c>
      <c r="B199" s="225" t="s">
        <v>245</v>
      </c>
      <c r="C199" s="216" t="s">
        <v>53</v>
      </c>
      <c r="D199" s="216" t="s">
        <v>99</v>
      </c>
      <c r="E199" s="216" t="s">
        <v>100</v>
      </c>
      <c r="F199" s="216" t="s">
        <v>117</v>
      </c>
      <c r="G199" s="216" t="s">
        <v>118</v>
      </c>
      <c r="H199" s="216" t="s">
        <v>119</v>
      </c>
      <c r="I199" s="216" t="s">
        <v>120</v>
      </c>
      <c r="J199" s="216" t="s">
        <v>105</v>
      </c>
      <c r="K199" s="216" t="s">
        <v>106</v>
      </c>
      <c r="L199" s="216" t="s">
        <v>107</v>
      </c>
      <c r="M199" s="217">
        <f t="shared" si="49"/>
        <v>24</v>
      </c>
      <c r="N199" s="442" cm="1">
        <f t="array" ref="N199">IF(TRIM(K199)="Mano de Obra",IF(Formulario!$L$23&lt;&gt;"",Formulario!$L$23,IFERROR(VLOOKUP(TRIM($M$4),Jornalesdeppto!A:C,3,0),"")),_xlfn.XLOOKUP(1,(Tabla_Costos_Insumos!$A$2:$A$3199=TRIM($M$4))*(Tabla_Costos_Insumos!$C$2:$C$3199=TRIM(K199)),Tabla_Costos_Insumos!$E$2:$E$3199,"",0))</f>
        <v>46666.666666666664</v>
      </c>
      <c r="O199" s="442">
        <f t="shared" si="39"/>
        <v>1120000</v>
      </c>
      <c r="P199" s="216" t="str">
        <f t="shared" si="48"/>
        <v>Café Castillo</v>
      </c>
      <c r="Q199" s="212" t="s">
        <v>108</v>
      </c>
      <c r="R199" s="212">
        <v>0.02</v>
      </c>
      <c r="S199" s="212" t="str">
        <f t="shared" si="50"/>
        <v/>
      </c>
      <c r="T199" s="212" cm="1">
        <f t="array" ref="T199">_xlfn.IFS($D$5&lt;=7, 1.1, $D$5&lt;=12,1.2, $D$5&lt;=25, 1.3, $D$5&gt;25,1.4)</f>
        <v>1.3</v>
      </c>
      <c r="U199" s="212" t="str">
        <f t="shared" si="51"/>
        <v/>
      </c>
      <c r="V199" s="212">
        <v>9</v>
      </c>
      <c r="W199" s="212" t="str">
        <f t="shared" si="43"/>
        <v/>
      </c>
      <c r="X199" s="214">
        <v>18</v>
      </c>
    </row>
    <row r="200" spans="1:24" ht="15">
      <c r="A200" s="211" t="s">
        <v>244</v>
      </c>
      <c r="B200" s="225" t="s">
        <v>245</v>
      </c>
      <c r="C200" s="216" t="s">
        <v>53</v>
      </c>
      <c r="D200" s="216" t="s">
        <v>99</v>
      </c>
      <c r="E200" s="216" t="s">
        <v>100</v>
      </c>
      <c r="F200" s="216" t="s">
        <v>117</v>
      </c>
      <c r="G200" s="216" t="s">
        <v>118</v>
      </c>
      <c r="H200" s="216" t="s">
        <v>121</v>
      </c>
      <c r="I200" s="216" t="s">
        <v>122</v>
      </c>
      <c r="J200" s="216" t="s">
        <v>105</v>
      </c>
      <c r="K200" s="216" t="s">
        <v>106</v>
      </c>
      <c r="L200" s="216" t="s">
        <v>107</v>
      </c>
      <c r="M200" s="217">
        <f t="shared" si="49"/>
        <v>24</v>
      </c>
      <c r="N200" s="442" cm="1">
        <f t="array" ref="N200">IF(TRIM(K200)="Mano de Obra",IF(Formulario!$L$23&lt;&gt;"",Formulario!$L$23,IFERROR(VLOOKUP(TRIM($M$4),Jornalesdeppto!A:C,3,0),"")),_xlfn.XLOOKUP(1,(Tabla_Costos_Insumos!$A$2:$A$3199=TRIM($M$4))*(Tabla_Costos_Insumos!$C$2:$C$3199=TRIM(K200)),Tabla_Costos_Insumos!$E$2:$E$3199,"",0))</f>
        <v>46666.666666666664</v>
      </c>
      <c r="O200" s="442">
        <f t="shared" si="39"/>
        <v>1120000</v>
      </c>
      <c r="P200" s="216" t="str">
        <f t="shared" si="48"/>
        <v>Café Castillo</v>
      </c>
      <c r="Q200" s="212" t="s">
        <v>108</v>
      </c>
      <c r="R200" s="212">
        <v>0.02</v>
      </c>
      <c r="S200" s="212" t="str">
        <f t="shared" si="50"/>
        <v/>
      </c>
      <c r="T200" s="212" cm="1">
        <f t="array" ref="T200">_xlfn.IFS($D$5&lt;=7, 1.1, $D$5&lt;=12,1.2, $D$5&lt;=25, 1.3, $D$5&gt;25,1.4)</f>
        <v>1.3</v>
      </c>
      <c r="U200" s="212" t="str">
        <f t="shared" si="51"/>
        <v/>
      </c>
      <c r="V200" s="212">
        <v>9</v>
      </c>
      <c r="W200" s="212" t="str">
        <f t="shared" si="43"/>
        <v/>
      </c>
      <c r="X200" s="214">
        <v>18</v>
      </c>
    </row>
    <row r="201" spans="1:24" ht="15">
      <c r="A201" s="211" t="s">
        <v>244</v>
      </c>
      <c r="B201" s="225" t="s">
        <v>245</v>
      </c>
      <c r="C201" s="216" t="s">
        <v>53</v>
      </c>
      <c r="D201" s="216" t="s">
        <v>99</v>
      </c>
      <c r="E201" s="216" t="s">
        <v>100</v>
      </c>
      <c r="F201" s="216" t="s">
        <v>123</v>
      </c>
      <c r="G201" s="216" t="s">
        <v>124</v>
      </c>
      <c r="H201" s="216" t="s">
        <v>128</v>
      </c>
      <c r="I201" s="216" t="s">
        <v>129</v>
      </c>
      <c r="J201" s="216" t="s">
        <v>105</v>
      </c>
      <c r="K201" s="216" t="s">
        <v>106</v>
      </c>
      <c r="L201" s="216" t="s">
        <v>107</v>
      </c>
      <c r="M201" s="217">
        <f t="shared" si="49"/>
        <v>30</v>
      </c>
      <c r="N201" s="442" cm="1">
        <f t="array" ref="N201">IF(TRIM(K201)="Mano de Obra",IF(Formulario!$L$23&lt;&gt;"",Formulario!$L$23,IFERROR(VLOOKUP(TRIM($M$4),Jornalesdeppto!A:C,3,0),"")),_xlfn.XLOOKUP(1,(Tabla_Costos_Insumos!$A$2:$A$3199=TRIM($M$4))*(Tabla_Costos_Insumos!$C$2:$C$3199=TRIM(K201)),Tabla_Costos_Insumos!$E$2:$E$3199,"",0))</f>
        <v>46666.666666666664</v>
      </c>
      <c r="O201" s="442">
        <f t="shared" si="39"/>
        <v>1400000</v>
      </c>
      <c r="P201" s="216" t="str">
        <f t="shared" si="48"/>
        <v>Café Castillo</v>
      </c>
      <c r="Q201" s="212" t="s">
        <v>108</v>
      </c>
      <c r="R201" s="212">
        <v>0.09</v>
      </c>
      <c r="S201" s="212" t="str">
        <f t="shared" si="50"/>
        <v/>
      </c>
      <c r="T201" s="212" cm="1">
        <f t="array" ref="T201">_xlfn.IFS($D$5&lt;=7, 1.1, $D$5&lt;=12,1.2, $D$5&lt;=25, 1.3, $D$5&gt;25,1.4)</f>
        <v>1.3</v>
      </c>
      <c r="U201" s="212" t="str">
        <f t="shared" si="51"/>
        <v/>
      </c>
      <c r="V201" s="212">
        <v>4</v>
      </c>
      <c r="W201" s="212" t="str">
        <f t="shared" si="43"/>
        <v/>
      </c>
      <c r="X201" s="214">
        <v>23</v>
      </c>
    </row>
    <row r="202" spans="1:24" ht="15">
      <c r="A202" s="211" t="s">
        <v>244</v>
      </c>
      <c r="B202" s="225" t="s">
        <v>245</v>
      </c>
      <c r="C202" s="216" t="s">
        <v>53</v>
      </c>
      <c r="D202" s="216" t="s">
        <v>99</v>
      </c>
      <c r="E202" s="216" t="s">
        <v>100</v>
      </c>
      <c r="F202" s="216" t="s">
        <v>130</v>
      </c>
      <c r="G202" s="216" t="s">
        <v>131</v>
      </c>
      <c r="H202" s="216" t="s">
        <v>134</v>
      </c>
      <c r="I202" s="216" t="s">
        <v>135</v>
      </c>
      <c r="J202" s="216" t="s">
        <v>105</v>
      </c>
      <c r="K202" s="216" t="s">
        <v>106</v>
      </c>
      <c r="L202" s="216" t="s">
        <v>107</v>
      </c>
      <c r="M202" s="217">
        <f t="shared" si="49"/>
        <v>16</v>
      </c>
      <c r="N202" s="442" cm="1">
        <f t="array" ref="N202">IF(TRIM(K202)="Mano de Obra",IF(Formulario!$L$23&lt;&gt;"",Formulario!$L$23,IFERROR(VLOOKUP(TRIM($M$4),Jornalesdeppto!A:C,3,0),"")),_xlfn.XLOOKUP(1,(Tabla_Costos_Insumos!$A$2:$A$3199=TRIM($M$4))*(Tabla_Costos_Insumos!$C$2:$C$3199=TRIM(K202)),Tabla_Costos_Insumos!$E$2:$E$3199,"",0))</f>
        <v>46666.666666666664</v>
      </c>
      <c r="O202" s="442">
        <f t="shared" si="39"/>
        <v>746666.66666666663</v>
      </c>
      <c r="P202" s="216" t="str">
        <f t="shared" si="48"/>
        <v>Café Castillo</v>
      </c>
      <c r="Q202" s="212" t="s">
        <v>108</v>
      </c>
      <c r="R202" s="212">
        <v>0.3</v>
      </c>
      <c r="S202" s="212" t="str">
        <f t="shared" si="50"/>
        <v/>
      </c>
      <c r="T202" s="212" cm="1">
        <f t="array" ref="T202">_xlfn.IFS($D$5&lt;=7, 1.1, $D$5&lt;=12,1.2, $D$5&lt;=25, 1.3, $D$5&gt;25,1.4)</f>
        <v>1.3</v>
      </c>
      <c r="U202" s="212" t="str">
        <f t="shared" si="51"/>
        <v/>
      </c>
      <c r="V202" s="212">
        <v>4</v>
      </c>
      <c r="W202" s="212" t="str">
        <f t="shared" si="43"/>
        <v/>
      </c>
      <c r="X202" s="214">
        <v>12</v>
      </c>
    </row>
    <row r="203" spans="1:24" ht="15">
      <c r="A203" s="211" t="s">
        <v>244</v>
      </c>
      <c r="B203" s="225" t="s">
        <v>245</v>
      </c>
      <c r="C203" s="216" t="s">
        <v>53</v>
      </c>
      <c r="D203" s="216" t="s">
        <v>145</v>
      </c>
      <c r="E203" s="216" t="s">
        <v>146</v>
      </c>
      <c r="F203" s="216" t="s">
        <v>219</v>
      </c>
      <c r="G203" s="216" t="s">
        <v>220</v>
      </c>
      <c r="H203" s="216" t="s">
        <v>221</v>
      </c>
      <c r="I203" s="216" t="s">
        <v>222</v>
      </c>
      <c r="J203" s="216" t="s">
        <v>223</v>
      </c>
      <c r="K203" s="216" t="s">
        <v>255</v>
      </c>
      <c r="L203" s="216" t="s">
        <v>197</v>
      </c>
      <c r="M203" s="217">
        <f>IF($M$3="Café Castillo",I3,0)</f>
        <v>0</v>
      </c>
      <c r="N203" s="442">
        <v>600</v>
      </c>
      <c r="O203" s="442">
        <f t="shared" si="39"/>
        <v>0</v>
      </c>
      <c r="P203" s="216" t="str">
        <f t="shared" si="48"/>
        <v>Café Castillo</v>
      </c>
      <c r="Q203" s="212" t="s">
        <v>142</v>
      </c>
      <c r="R203" s="212" t="s">
        <v>142</v>
      </c>
      <c r="S203" s="212"/>
      <c r="T203" s="212"/>
      <c r="U203" s="212"/>
      <c r="V203" s="212" t="s">
        <v>142</v>
      </c>
      <c r="W203" s="212" t="str">
        <f t="shared" si="43"/>
        <v/>
      </c>
      <c r="X203" s="214"/>
    </row>
    <row r="204" spans="1:24" ht="15">
      <c r="A204" s="211" t="s">
        <v>244</v>
      </c>
      <c r="B204" s="225" t="s">
        <v>245</v>
      </c>
      <c r="C204" s="216" t="s">
        <v>53</v>
      </c>
      <c r="D204" s="216" t="s">
        <v>145</v>
      </c>
      <c r="E204" s="216" t="s">
        <v>146</v>
      </c>
      <c r="F204" s="216" t="s">
        <v>147</v>
      </c>
      <c r="G204" s="216" t="s">
        <v>131</v>
      </c>
      <c r="H204" s="216" t="s">
        <v>229</v>
      </c>
      <c r="I204" s="216" t="s">
        <v>299</v>
      </c>
      <c r="J204" s="216" t="s">
        <v>149</v>
      </c>
      <c r="K204" s="216" t="s">
        <v>150</v>
      </c>
      <c r="L204" s="216" t="s">
        <v>151</v>
      </c>
      <c r="M204" s="217">
        <v>4</v>
      </c>
      <c r="N204" s="442" cm="1">
        <f t="array" ref="N204">IF(TRIM(K204)="Mano de Obra",IF(Formulario!$L$23&lt;&gt;"",Formulario!$L$23,IFERROR(VLOOKUP(TRIM($M$4),Jornalesdeppto!A:C,3,0),"")),_xlfn.XLOOKUP(1,(Tabla_Costos_Insumos!$A$2:$A$3199=TRIM($M$4))*(Tabla_Costos_Insumos!$C$2:$C$3199=TRIM(K204)),Tabla_Costos_Insumos!$E$2:$E$3199,"",0))</f>
        <v>198055.68333333</v>
      </c>
      <c r="O204" s="442">
        <f t="shared" si="39"/>
        <v>792222.73333332001</v>
      </c>
      <c r="P204" s="216" t="str">
        <f t="shared" si="48"/>
        <v>Café Castillo</v>
      </c>
      <c r="Q204" s="212" t="s">
        <v>142</v>
      </c>
      <c r="R204" s="212" t="s">
        <v>142</v>
      </c>
      <c r="S204" s="212"/>
      <c r="T204" s="212"/>
      <c r="U204" s="212"/>
      <c r="V204" s="212" t="s">
        <v>142</v>
      </c>
      <c r="W204" s="212" t="str">
        <f t="shared" si="43"/>
        <v/>
      </c>
      <c r="X204" s="214"/>
    </row>
    <row r="205" spans="1:24" ht="15">
      <c r="A205" s="211" t="s">
        <v>244</v>
      </c>
      <c r="B205" s="225" t="s">
        <v>245</v>
      </c>
      <c r="C205" s="216" t="s">
        <v>53</v>
      </c>
      <c r="D205" s="216" t="s">
        <v>145</v>
      </c>
      <c r="E205" s="216" t="s">
        <v>146</v>
      </c>
      <c r="F205" s="216" t="s">
        <v>147</v>
      </c>
      <c r="G205" s="216" t="s">
        <v>131</v>
      </c>
      <c r="H205" s="216" t="s">
        <v>152</v>
      </c>
      <c r="I205" s="216" t="s">
        <v>153</v>
      </c>
      <c r="J205" s="216" t="s">
        <v>149</v>
      </c>
      <c r="K205" s="216" t="s">
        <v>166</v>
      </c>
      <c r="L205" s="216" t="s">
        <v>151</v>
      </c>
      <c r="M205" s="217">
        <v>3</v>
      </c>
      <c r="N205" s="442" cm="1">
        <f t="array" ref="N205">IF(TRIM(K205)="Mano de Obra",IF(Formulario!$L$23&lt;&gt;"",Formulario!$L$23,IFERROR(VLOOKUP(TRIM($M$4),Jornalesdeppto!A:C,3,0),"")),_xlfn.XLOOKUP(1,(Tabla_Costos_Insumos!$A$2:$A$3199=TRIM($M$4))*(Tabla_Costos_Insumos!$C$2:$C$3199=TRIM(K205)),Tabla_Costos_Insumos!$E$2:$E$3199,"",0))</f>
        <v>110000</v>
      </c>
      <c r="O205" s="442">
        <f t="shared" si="39"/>
        <v>330000</v>
      </c>
      <c r="P205" s="216" t="str">
        <f t="shared" si="48"/>
        <v>Café Castillo</v>
      </c>
      <c r="Q205" s="212" t="s">
        <v>142</v>
      </c>
      <c r="R205" s="212" t="s">
        <v>142</v>
      </c>
      <c r="S205" s="212"/>
      <c r="T205" s="212"/>
      <c r="U205" s="212"/>
      <c r="V205" s="212" t="s">
        <v>142</v>
      </c>
      <c r="W205" s="212" t="str">
        <f t="shared" si="43"/>
        <v/>
      </c>
      <c r="X205" s="214"/>
    </row>
    <row r="206" spans="1:24" ht="15">
      <c r="A206" s="211" t="s">
        <v>244</v>
      </c>
      <c r="B206" s="225" t="s">
        <v>245</v>
      </c>
      <c r="C206" s="216" t="s">
        <v>53</v>
      </c>
      <c r="D206" s="216" t="s">
        <v>145</v>
      </c>
      <c r="E206" s="216" t="s">
        <v>146</v>
      </c>
      <c r="F206" s="216" t="s">
        <v>147</v>
      </c>
      <c r="G206" s="216" t="s">
        <v>131</v>
      </c>
      <c r="H206" s="216" t="s">
        <v>154</v>
      </c>
      <c r="I206" s="216" t="s">
        <v>155</v>
      </c>
      <c r="J206" s="216" t="s">
        <v>149</v>
      </c>
      <c r="K206" s="216" t="s">
        <v>156</v>
      </c>
      <c r="L206" s="216" t="s">
        <v>151</v>
      </c>
      <c r="M206" s="217">
        <v>10</v>
      </c>
      <c r="N206" s="442" cm="1">
        <f t="array" ref="N206">IF(TRIM(K206)="Mano de Obra",IF(Formulario!$L$23&lt;&gt;"",Formulario!$L$23,IFERROR(VLOOKUP(TRIM($M$4),Jornalesdeppto!A:C,3,0),"")),_xlfn.XLOOKUP(1,(Tabla_Costos_Insumos!$A$2:$A$3199=TRIM($M$4))*(Tabla_Costos_Insumos!$C$2:$C$3199=TRIM(K206)),Tabla_Costos_Insumos!$E$2:$E$3199,"",0))</f>
        <v>17212.5</v>
      </c>
      <c r="O206" s="442">
        <f t="shared" si="39"/>
        <v>172125</v>
      </c>
      <c r="P206" s="216" t="str">
        <f t="shared" si="48"/>
        <v>Café Castillo</v>
      </c>
      <c r="Q206" s="212" t="s">
        <v>142</v>
      </c>
      <c r="R206" s="212" t="s">
        <v>142</v>
      </c>
      <c r="S206" s="212"/>
      <c r="T206" s="212"/>
      <c r="U206" s="212"/>
      <c r="V206" s="212" t="s">
        <v>142</v>
      </c>
      <c r="W206" s="212" t="str">
        <f t="shared" si="43"/>
        <v/>
      </c>
      <c r="X206" s="214"/>
    </row>
    <row r="207" spans="1:24" ht="15">
      <c r="A207" s="211" t="s">
        <v>244</v>
      </c>
      <c r="B207" s="225" t="s">
        <v>245</v>
      </c>
      <c r="C207" s="216" t="s">
        <v>53</v>
      </c>
      <c r="D207" s="216" t="s">
        <v>145</v>
      </c>
      <c r="E207" s="216" t="s">
        <v>146</v>
      </c>
      <c r="F207" s="216" t="s">
        <v>147</v>
      </c>
      <c r="G207" s="216" t="s">
        <v>131</v>
      </c>
      <c r="H207" s="216" t="s">
        <v>157</v>
      </c>
      <c r="I207" s="216" t="s">
        <v>158</v>
      </c>
      <c r="J207" s="216" t="s">
        <v>149</v>
      </c>
      <c r="K207" s="216" t="s">
        <v>246</v>
      </c>
      <c r="L207" s="216" t="s">
        <v>172</v>
      </c>
      <c r="M207" s="217">
        <v>1</v>
      </c>
      <c r="N207" s="442" cm="1">
        <f t="array" ref="N207">IF(TRIM(K207)="Mano de Obra",IF(Formulario!$L$23&lt;&gt;"",Formulario!$L$23,IFERROR(VLOOKUP(TRIM($M$4),Jornalesdeppto!A:C,3,0),"")),_xlfn.XLOOKUP(1,(Tabla_Costos_Insumos!$A$2:$A$3199=TRIM($M$4))*(Tabla_Costos_Insumos!$C$2:$C$3199=TRIM(K207)),Tabla_Costos_Insumos!$E$2:$E$3199,"",0))</f>
        <v>65250.53</v>
      </c>
      <c r="O207" s="442">
        <f t="shared" si="39"/>
        <v>65250.53</v>
      </c>
      <c r="P207" s="216" t="str">
        <f t="shared" si="48"/>
        <v>Café Castillo</v>
      </c>
      <c r="Q207" s="212" t="s">
        <v>142</v>
      </c>
      <c r="R207" s="212" t="s">
        <v>142</v>
      </c>
      <c r="S207" s="212"/>
      <c r="T207" s="212"/>
      <c r="U207" s="212"/>
      <c r="V207" s="212" t="s">
        <v>142</v>
      </c>
      <c r="W207" s="212" t="str">
        <f t="shared" si="43"/>
        <v/>
      </c>
      <c r="X207" s="214"/>
    </row>
    <row r="208" spans="1:24" ht="15">
      <c r="A208" s="211" t="s">
        <v>244</v>
      </c>
      <c r="B208" s="225" t="s">
        <v>245</v>
      </c>
      <c r="C208" s="216" t="s">
        <v>53</v>
      </c>
      <c r="D208" s="216" t="s">
        <v>145</v>
      </c>
      <c r="E208" s="216" t="s">
        <v>146</v>
      </c>
      <c r="F208" s="216" t="s">
        <v>147</v>
      </c>
      <c r="G208" s="216" t="s">
        <v>131</v>
      </c>
      <c r="H208" s="216" t="s">
        <v>161</v>
      </c>
      <c r="I208" s="216" t="s">
        <v>162</v>
      </c>
      <c r="J208" s="216" t="s">
        <v>149</v>
      </c>
      <c r="K208" s="216" t="s">
        <v>163</v>
      </c>
      <c r="L208" s="216" t="s">
        <v>164</v>
      </c>
      <c r="M208" s="217">
        <v>2</v>
      </c>
      <c r="N208" s="442" cm="1">
        <f t="array" ref="N208">IF(TRIM(K208)="Mano de Obra",IF(Formulario!$L$23&lt;&gt;"",Formulario!$L$23,IFERROR(VLOOKUP(TRIM($M$4),Jornalesdeppto!A:C,3,0),"")),_xlfn.XLOOKUP(1,(Tabla_Costos_Insumos!$A$2:$A$3199=TRIM($M$4))*(Tabla_Costos_Insumos!$C$2:$C$3199=TRIM(K208)),Tabla_Costos_Insumos!$E$2:$E$3199,"",0))</f>
        <v>128084.44444445</v>
      </c>
      <c r="O208" s="442">
        <f t="shared" si="39"/>
        <v>256168.88888889999</v>
      </c>
      <c r="P208" s="216" t="str">
        <f t="shared" si="48"/>
        <v>Café Castillo</v>
      </c>
      <c r="Q208" s="212" t="s">
        <v>142</v>
      </c>
      <c r="R208" s="212" t="s">
        <v>142</v>
      </c>
      <c r="S208" s="212"/>
      <c r="T208" s="212"/>
      <c r="U208" s="212"/>
      <c r="V208" s="212" t="s">
        <v>142</v>
      </c>
      <c r="W208" s="212" t="str">
        <f t="shared" si="43"/>
        <v/>
      </c>
      <c r="X208" s="214"/>
    </row>
    <row r="209" spans="1:24" ht="15">
      <c r="A209" s="211" t="s">
        <v>244</v>
      </c>
      <c r="B209" s="225" t="s">
        <v>245</v>
      </c>
      <c r="C209" s="216" t="s">
        <v>53</v>
      </c>
      <c r="D209" s="216" t="s">
        <v>145</v>
      </c>
      <c r="E209" s="216" t="s">
        <v>146</v>
      </c>
      <c r="F209" s="216" t="s">
        <v>147</v>
      </c>
      <c r="G209" s="216" t="s">
        <v>131</v>
      </c>
      <c r="H209" s="216" t="s">
        <v>165</v>
      </c>
      <c r="I209" s="216" t="s">
        <v>153</v>
      </c>
      <c r="J209" s="216" t="s">
        <v>149</v>
      </c>
      <c r="K209" s="216" t="s">
        <v>4110</v>
      </c>
      <c r="L209" s="216" t="s">
        <v>151</v>
      </c>
      <c r="M209" s="217">
        <v>12</v>
      </c>
      <c r="N209" s="442" cm="1">
        <f t="array" ref="N209">IF(TRIM(K209)="Mano de Obra",IF(Formulario!$L$23&lt;&gt;"",Formulario!$L$23,IFERROR(VLOOKUP(TRIM($M$4),Jornalesdeppto!A:C,3,0),"")),_xlfn.XLOOKUP(1,(Tabla_Costos_Insumos!$A$2:$A$3199=TRIM($M$4))*(Tabla_Costos_Insumos!$C$2:$C$3199=TRIM(K209)),Tabla_Costos_Insumos!$E$2:$E$3199,"",0))</f>
        <v>125849.2424242409</v>
      </c>
      <c r="O209" s="442">
        <f t="shared" si="39"/>
        <v>1510190.9090908908</v>
      </c>
      <c r="P209" s="216" t="str">
        <f t="shared" si="48"/>
        <v>Café Castillo</v>
      </c>
      <c r="Q209" s="212" t="s">
        <v>142</v>
      </c>
      <c r="R209" s="212" t="s">
        <v>142</v>
      </c>
      <c r="S209" s="212"/>
      <c r="T209" s="212"/>
      <c r="U209" s="212"/>
      <c r="V209" s="212" t="s">
        <v>142</v>
      </c>
      <c r="W209" s="212" t="str">
        <f t="shared" si="43"/>
        <v/>
      </c>
      <c r="X209" s="214"/>
    </row>
    <row r="210" spans="1:24" ht="15">
      <c r="A210" s="211" t="s">
        <v>244</v>
      </c>
      <c r="B210" s="225" t="s">
        <v>245</v>
      </c>
      <c r="C210" s="216" t="s">
        <v>53</v>
      </c>
      <c r="D210" s="216" t="s">
        <v>145</v>
      </c>
      <c r="E210" s="216" t="s">
        <v>146</v>
      </c>
      <c r="F210" s="216" t="s">
        <v>167</v>
      </c>
      <c r="G210" s="216" t="s">
        <v>118</v>
      </c>
      <c r="H210" s="216" t="s">
        <v>168</v>
      </c>
      <c r="I210" s="216" t="s">
        <v>169</v>
      </c>
      <c r="J210" s="216" t="s">
        <v>170</v>
      </c>
      <c r="K210" s="216" t="s">
        <v>256</v>
      </c>
      <c r="L210" s="216" t="s">
        <v>172</v>
      </c>
      <c r="M210" s="217">
        <v>1</v>
      </c>
      <c r="N210" s="442" cm="1">
        <f t="array" ref="N210">IF(TRIM(K210)="Mano de Obra",IF(Formulario!$L$23&lt;&gt;"",Formulario!$L$23,IFERROR(VLOOKUP(TRIM($M$4),Jornalesdeppto!A:C,3,0),"")),_xlfn.XLOOKUP(1,(Tabla_Costos_Insumos!$A$2:$A$3199=TRIM($M$4))*(Tabla_Costos_Insumos!$C$2:$C$3199=TRIM(K210)),Tabla_Costos_Insumos!$E$2:$E$3199,"",0))</f>
        <v>28842.22</v>
      </c>
      <c r="O210" s="442">
        <f t="shared" ref="O210:O273" si="52">IF(OR(N210=0,N210=""),"",N210*M210)</f>
        <v>28842.22</v>
      </c>
      <c r="P210" s="216" t="str">
        <f t="shared" si="48"/>
        <v>Café Castillo</v>
      </c>
      <c r="Q210" s="212" t="s">
        <v>142</v>
      </c>
      <c r="R210" s="212" t="s">
        <v>142</v>
      </c>
      <c r="S210" s="212"/>
      <c r="T210" s="212"/>
      <c r="U210" s="212"/>
      <c r="V210" s="212" t="s">
        <v>142</v>
      </c>
      <c r="W210" s="212" t="str">
        <f t="shared" ref="W210:W245" si="53">IFERROR(ROUNDUP(V210*U210,0),"")</f>
        <v/>
      </c>
      <c r="X210" s="214"/>
    </row>
    <row r="211" spans="1:24" ht="15">
      <c r="A211" s="211" t="s">
        <v>244</v>
      </c>
      <c r="B211" s="225" t="s">
        <v>245</v>
      </c>
      <c r="C211" s="216" t="s">
        <v>53</v>
      </c>
      <c r="D211" s="216" t="s">
        <v>145</v>
      </c>
      <c r="E211" s="216" t="s">
        <v>146</v>
      </c>
      <c r="F211" s="216" t="s">
        <v>167</v>
      </c>
      <c r="G211" s="216" t="s">
        <v>118</v>
      </c>
      <c r="H211" s="216" t="s">
        <v>168</v>
      </c>
      <c r="I211" s="216" t="s">
        <v>169</v>
      </c>
      <c r="J211" s="216" t="s">
        <v>170</v>
      </c>
      <c r="K211" s="216" t="s">
        <v>252</v>
      </c>
      <c r="L211" s="216" t="s">
        <v>226</v>
      </c>
      <c r="M211" s="217">
        <v>2</v>
      </c>
      <c r="N211" s="442" cm="1">
        <f t="array" ref="N211">IF(TRIM(K211)="Mano de Obra",IF(Formulario!$L$23&lt;&gt;"",Formulario!$L$23,IFERROR(VLOOKUP(TRIM($M$4),Jornalesdeppto!A:C,3,0),"")),_xlfn.XLOOKUP(1,(Tabla_Costos_Insumos!$A$2:$A$3199=TRIM($M$4))*(Tabla_Costos_Insumos!$C$2:$C$3199=TRIM(K211)),Tabla_Costos_Insumos!$E$2:$E$3199,"",0))</f>
        <v>24440.35</v>
      </c>
      <c r="O211" s="442">
        <f t="shared" si="52"/>
        <v>48880.7</v>
      </c>
      <c r="P211" s="216" t="str">
        <f t="shared" si="48"/>
        <v>Café Castillo</v>
      </c>
      <c r="Q211" s="212" t="s">
        <v>142</v>
      </c>
      <c r="R211" s="212" t="s">
        <v>142</v>
      </c>
      <c r="S211" s="212"/>
      <c r="T211" s="212"/>
      <c r="U211" s="212"/>
      <c r="V211" s="212" t="s">
        <v>142</v>
      </c>
      <c r="W211" s="212" t="str">
        <f t="shared" si="53"/>
        <v/>
      </c>
      <c r="X211" s="214"/>
    </row>
    <row r="212" spans="1:24" ht="15">
      <c r="A212" s="211" t="s">
        <v>244</v>
      </c>
      <c r="B212" s="225" t="s">
        <v>245</v>
      </c>
      <c r="C212" s="216" t="s">
        <v>53</v>
      </c>
      <c r="D212" s="216" t="s">
        <v>145</v>
      </c>
      <c r="E212" s="216" t="s">
        <v>146</v>
      </c>
      <c r="F212" s="216" t="s">
        <v>167</v>
      </c>
      <c r="G212" s="216" t="s">
        <v>118</v>
      </c>
      <c r="H212" s="216" t="s">
        <v>174</v>
      </c>
      <c r="I212" s="216" t="s">
        <v>175</v>
      </c>
      <c r="J212" s="216" t="s">
        <v>176</v>
      </c>
      <c r="K212" s="216" t="s">
        <v>253</v>
      </c>
      <c r="L212" s="216" t="s">
        <v>172</v>
      </c>
      <c r="M212" s="217">
        <v>1</v>
      </c>
      <c r="N212" s="442" cm="1">
        <f t="array" ref="N212">IF(TRIM(K212)="Mano de Obra",IF(Formulario!$L$23&lt;&gt;"",Formulario!$L$23,IFERROR(VLOOKUP(TRIM($M$4),Jornalesdeppto!A:C,3,0),"")),_xlfn.XLOOKUP(1,(Tabla_Costos_Insumos!$A$2:$A$3199=TRIM($M$4))*(Tabla_Costos_Insumos!$C$2:$C$3199=TRIM(K212)),Tabla_Costos_Insumos!$E$2:$E$3199,"",0))</f>
        <v>24023.33</v>
      </c>
      <c r="O212" s="442">
        <f t="shared" si="52"/>
        <v>24023.33</v>
      </c>
      <c r="P212" s="216" t="str">
        <f t="shared" si="48"/>
        <v>Café Castillo</v>
      </c>
      <c r="Q212" s="212" t="s">
        <v>142</v>
      </c>
      <c r="R212" s="212" t="s">
        <v>142</v>
      </c>
      <c r="S212" s="212"/>
      <c r="T212" s="212"/>
      <c r="U212" s="212"/>
      <c r="V212" s="212" t="s">
        <v>142</v>
      </c>
      <c r="W212" s="212" t="str">
        <f t="shared" si="53"/>
        <v/>
      </c>
      <c r="X212" s="214"/>
    </row>
    <row r="213" spans="1:24" ht="15">
      <c r="A213" s="211" t="s">
        <v>244</v>
      </c>
      <c r="B213" s="225" t="s">
        <v>245</v>
      </c>
      <c r="C213" s="216" t="s">
        <v>53</v>
      </c>
      <c r="D213" s="216" t="s">
        <v>145</v>
      </c>
      <c r="E213" s="216" t="s">
        <v>146</v>
      </c>
      <c r="F213" s="216" t="s">
        <v>167</v>
      </c>
      <c r="G213" s="216" t="s">
        <v>118</v>
      </c>
      <c r="H213" s="216" t="s">
        <v>178</v>
      </c>
      <c r="I213" s="216" t="s">
        <v>179</v>
      </c>
      <c r="J213" s="216" t="s">
        <v>180</v>
      </c>
      <c r="K213" s="216" t="s">
        <v>181</v>
      </c>
      <c r="L213" s="216" t="s">
        <v>172</v>
      </c>
      <c r="M213" s="217">
        <v>1</v>
      </c>
      <c r="N213" s="442" cm="1">
        <f t="array" ref="N213">IF(TRIM(K213)="Mano de Obra",IF(Formulario!$L$23&lt;&gt;"",Formulario!$L$23,IFERROR(VLOOKUP(TRIM($M$4),Jornalesdeppto!A:C,3,0),"")),_xlfn.XLOOKUP(1,(Tabla_Costos_Insumos!$A$2:$A$3199=TRIM($M$4))*(Tabla_Costos_Insumos!$C$2:$C$3199=TRIM(K213)),Tabla_Costos_Insumos!$E$2:$E$3199,"",0))</f>
        <v>34056.25</v>
      </c>
      <c r="O213" s="442">
        <f t="shared" si="52"/>
        <v>34056.25</v>
      </c>
      <c r="P213" s="216" t="str">
        <f t="shared" si="48"/>
        <v>Café Castillo</v>
      </c>
      <c r="Q213" s="212" t="s">
        <v>142</v>
      </c>
      <c r="R213" s="212" t="s">
        <v>142</v>
      </c>
      <c r="S213" s="212"/>
      <c r="T213" s="212"/>
      <c r="U213" s="212"/>
      <c r="V213" s="212" t="s">
        <v>142</v>
      </c>
      <c r="W213" s="212" t="str">
        <f t="shared" si="53"/>
        <v/>
      </c>
      <c r="X213" s="214"/>
    </row>
    <row r="214" spans="1:24" ht="15">
      <c r="A214" s="211" t="s">
        <v>244</v>
      </c>
      <c r="B214" s="225" t="s">
        <v>245</v>
      </c>
      <c r="C214" s="216" t="s">
        <v>53</v>
      </c>
      <c r="D214" s="216" t="s">
        <v>145</v>
      </c>
      <c r="E214" s="216" t="s">
        <v>146</v>
      </c>
      <c r="F214" s="216" t="s">
        <v>167</v>
      </c>
      <c r="G214" s="216" t="s">
        <v>118</v>
      </c>
      <c r="H214" s="216" t="s">
        <v>178</v>
      </c>
      <c r="I214" s="216" t="s">
        <v>179</v>
      </c>
      <c r="J214" s="216" t="s">
        <v>180</v>
      </c>
      <c r="K214" s="216" t="s">
        <v>254</v>
      </c>
      <c r="L214" s="216" t="s">
        <v>172</v>
      </c>
      <c r="M214" s="217">
        <v>4</v>
      </c>
      <c r="N214" s="442" cm="1">
        <f t="array" ref="N214">IF(TRIM(K214)="Mano de Obra",IF(Formulario!$L$23&lt;&gt;"",Formulario!$L$23,IFERROR(VLOOKUP(TRIM($M$4),Jornalesdeppto!A:C,3,0),"")),_xlfn.XLOOKUP(1,(Tabla_Costos_Insumos!$A$2:$A$3199=TRIM($M$4))*(Tabla_Costos_Insumos!$C$2:$C$3199=TRIM(K214)),Tabla_Costos_Insumos!$E$2:$E$3199,"",0))</f>
        <v>146171.37</v>
      </c>
      <c r="O214" s="442">
        <f t="shared" si="52"/>
        <v>584685.48</v>
      </c>
      <c r="P214" s="216" t="str">
        <f t="shared" si="48"/>
        <v>Café Castillo</v>
      </c>
      <c r="Q214" s="212" t="s">
        <v>142</v>
      </c>
      <c r="R214" s="212" t="s">
        <v>142</v>
      </c>
      <c r="S214" s="212"/>
      <c r="T214" s="212"/>
      <c r="U214" s="212"/>
      <c r="V214" s="212" t="s">
        <v>142</v>
      </c>
      <c r="W214" s="212" t="str">
        <f t="shared" si="53"/>
        <v/>
      </c>
      <c r="X214" s="214"/>
    </row>
    <row r="215" spans="1:24" ht="15">
      <c r="A215" s="211" t="s">
        <v>244</v>
      </c>
      <c r="B215" s="225" t="s">
        <v>245</v>
      </c>
      <c r="C215" s="216" t="s">
        <v>53</v>
      </c>
      <c r="D215" s="216" t="s">
        <v>145</v>
      </c>
      <c r="E215" s="216" t="s">
        <v>146</v>
      </c>
      <c r="F215" s="216" t="s">
        <v>183</v>
      </c>
      <c r="G215" s="216" t="s">
        <v>184</v>
      </c>
      <c r="H215" s="216" t="s">
        <v>185</v>
      </c>
      <c r="I215" s="216" t="s">
        <v>186</v>
      </c>
      <c r="J215" s="216" t="s">
        <v>105</v>
      </c>
      <c r="K215" s="216" t="s">
        <v>187</v>
      </c>
      <c r="L215" s="216" t="s">
        <v>188</v>
      </c>
      <c r="M215" s="217">
        <v>0.1</v>
      </c>
      <c r="N215" s="442" cm="1">
        <f t="array" ref="N215">IF(TRIM(K215)="Mano de Obra",IF(Formulario!$L$23&lt;&gt;"",Formulario!$L$23,IFERROR(VLOOKUP(TRIM($M$4),Jornalesdeppto!A:C,3,0),"")),_xlfn.XLOOKUP(1,(Tabla_Costos_Insumos!$A$2:$A$3199=TRIM($M$4))*(Tabla_Costos_Insumos!$C$2:$C$3199=TRIM(K215)),Tabla_Costos_Insumos!$E$2:$E$3199,"",0))</f>
        <v>175000</v>
      </c>
      <c r="O215" s="442">
        <f t="shared" si="52"/>
        <v>17500</v>
      </c>
      <c r="P215" s="216" t="str">
        <f t="shared" si="48"/>
        <v>Café Castillo</v>
      </c>
      <c r="Q215" s="212" t="s">
        <v>142</v>
      </c>
      <c r="R215" s="212" t="s">
        <v>142</v>
      </c>
      <c r="S215" s="212"/>
      <c r="T215" s="212"/>
      <c r="U215" s="212"/>
      <c r="V215" s="212" t="s">
        <v>142</v>
      </c>
      <c r="W215" s="212" t="str">
        <f t="shared" si="53"/>
        <v/>
      </c>
      <c r="X215" s="214"/>
    </row>
    <row r="216" spans="1:24" ht="15">
      <c r="A216" s="211" t="s">
        <v>244</v>
      </c>
      <c r="B216" s="225" t="s">
        <v>245</v>
      </c>
      <c r="C216" s="216" t="s">
        <v>53</v>
      </c>
      <c r="D216" s="216" t="s">
        <v>189</v>
      </c>
      <c r="E216" s="216" t="s">
        <v>190</v>
      </c>
      <c r="F216" s="216" t="s">
        <v>191</v>
      </c>
      <c r="G216" s="216" t="s">
        <v>192</v>
      </c>
      <c r="H216" s="216" t="s">
        <v>193</v>
      </c>
      <c r="I216" s="216" t="s">
        <v>194</v>
      </c>
      <c r="J216" s="216" t="s">
        <v>195</v>
      </c>
      <c r="K216" s="216" t="s">
        <v>196</v>
      </c>
      <c r="L216" s="216" t="s">
        <v>197</v>
      </c>
      <c r="M216" s="217">
        <v>1</v>
      </c>
      <c r="N216" s="442">
        <f>IFERROR(SUM(O198:$O$215)*0.08,0)</f>
        <v>719782.34997171548</v>
      </c>
      <c r="O216" s="442">
        <f t="shared" si="52"/>
        <v>719782.34997171548</v>
      </c>
      <c r="P216" s="216" t="str">
        <f t="shared" si="48"/>
        <v>Café Castillo</v>
      </c>
      <c r="Q216" s="212" t="s">
        <v>142</v>
      </c>
      <c r="R216" s="212" t="s">
        <v>142</v>
      </c>
      <c r="S216" s="212"/>
      <c r="T216" s="212"/>
      <c r="U216" s="212"/>
      <c r="V216" s="212" t="s">
        <v>142</v>
      </c>
      <c r="W216" s="212" t="str">
        <f t="shared" si="53"/>
        <v/>
      </c>
      <c r="X216" s="214"/>
    </row>
    <row r="217" spans="1:24" ht="15">
      <c r="A217" s="211" t="s">
        <v>244</v>
      </c>
      <c r="B217" s="225" t="s">
        <v>245</v>
      </c>
      <c r="C217" s="216" t="s">
        <v>53</v>
      </c>
      <c r="D217" s="216" t="s">
        <v>189</v>
      </c>
      <c r="E217" s="216" t="s">
        <v>190</v>
      </c>
      <c r="F217" s="216" t="s">
        <v>198</v>
      </c>
      <c r="G217" s="216" t="s">
        <v>199</v>
      </c>
      <c r="H217" s="216" t="s">
        <v>200</v>
      </c>
      <c r="I217" s="216" t="s">
        <v>201</v>
      </c>
      <c r="J217" s="216" t="s">
        <v>105</v>
      </c>
      <c r="K217" s="216" t="s">
        <v>202</v>
      </c>
      <c r="L217" s="216" t="s">
        <v>203</v>
      </c>
      <c r="M217" s="217">
        <v>1</v>
      </c>
      <c r="N217" s="442" cm="1">
        <f t="array" ref="N217">IF(TRIM(K217)="Mano de Obra",IF(Formulario!$L$23&lt;&gt;"",Formulario!$L$23,IFERROR(VLOOKUP(TRIM($M$4),Jornalesdeppto!A:C,3,0),"")),_xlfn.XLOOKUP(1,(Tabla_Costos_Insumos!$A$2:$A$3199=TRIM($M$4))*(Tabla_Costos_Insumos!$C$2:$C$3199=TRIM(K217)),Tabla_Costos_Insumos!$E$2:$E$3199,"",0))</f>
        <v>120000</v>
      </c>
      <c r="O217" s="442">
        <f t="shared" si="52"/>
        <v>120000</v>
      </c>
      <c r="P217" s="216" t="str">
        <f t="shared" si="48"/>
        <v>Café Castillo</v>
      </c>
      <c r="Q217" s="212" t="s">
        <v>142</v>
      </c>
      <c r="R217" s="212" t="s">
        <v>142</v>
      </c>
      <c r="S217" s="212"/>
      <c r="T217" s="212"/>
      <c r="U217" s="212"/>
      <c r="V217" s="212" t="s">
        <v>142</v>
      </c>
      <c r="W217" s="212" t="str">
        <f t="shared" si="53"/>
        <v/>
      </c>
      <c r="X217" s="214"/>
    </row>
    <row r="218" spans="1:24" ht="15">
      <c r="A218" s="211" t="s">
        <v>244</v>
      </c>
      <c r="B218" s="225" t="s">
        <v>245</v>
      </c>
      <c r="C218" s="216" t="s">
        <v>53</v>
      </c>
      <c r="D218" s="216" t="s">
        <v>189</v>
      </c>
      <c r="E218" s="216" t="s">
        <v>190</v>
      </c>
      <c r="F218" s="216" t="s">
        <v>204</v>
      </c>
      <c r="G218" s="216" t="s">
        <v>205</v>
      </c>
      <c r="H218" s="216" t="s">
        <v>206</v>
      </c>
      <c r="I218" s="216" t="s">
        <v>207</v>
      </c>
      <c r="J218" s="216" t="s">
        <v>4127</v>
      </c>
      <c r="K218" s="216" t="s">
        <v>228</v>
      </c>
      <c r="L218" s="216" t="s">
        <v>197</v>
      </c>
      <c r="M218" s="217">
        <v>1</v>
      </c>
      <c r="N218" s="442" t="str">
        <f>IF($M$3="Café Castillo",$J$4,"")</f>
        <v/>
      </c>
      <c r="O218" s="442" t="str">
        <f t="shared" si="52"/>
        <v/>
      </c>
      <c r="P218" s="216" t="str">
        <f t="shared" si="48"/>
        <v>Café Castillo</v>
      </c>
      <c r="Q218" s="212" t="s">
        <v>142</v>
      </c>
      <c r="R218" s="212" t="s">
        <v>142</v>
      </c>
      <c r="S218" s="212"/>
      <c r="T218" s="212"/>
      <c r="U218" s="212"/>
      <c r="V218" s="212" t="s">
        <v>142</v>
      </c>
      <c r="W218" s="212" t="str">
        <f t="shared" si="53"/>
        <v/>
      </c>
      <c r="X218" s="214"/>
    </row>
    <row r="219" spans="1:24" ht="15">
      <c r="A219" s="211" t="s">
        <v>37</v>
      </c>
      <c r="B219" s="225" t="s">
        <v>38</v>
      </c>
      <c r="C219" s="212" t="s">
        <v>69</v>
      </c>
      <c r="D219" s="212" t="s">
        <v>99</v>
      </c>
      <c r="E219" s="212" t="s">
        <v>100</v>
      </c>
      <c r="F219" s="212" t="s">
        <v>109</v>
      </c>
      <c r="G219" s="212" t="s">
        <v>110</v>
      </c>
      <c r="H219" s="212" t="s">
        <v>234</v>
      </c>
      <c r="I219" s="212" t="s">
        <v>235</v>
      </c>
      <c r="J219" s="212" t="s">
        <v>105</v>
      </c>
      <c r="K219" s="212" t="s">
        <v>106</v>
      </c>
      <c r="L219" s="212" t="s">
        <v>107</v>
      </c>
      <c r="M219" s="213">
        <f t="shared" ref="M219:M228" si="54">IF(W219&lt;&gt;"", W219, ROUNDUP(X219*T219, 0))</f>
        <v>8</v>
      </c>
      <c r="N219" s="441" cm="1">
        <f t="array" ref="N219">IF(TRIM(K219)="Mano de Obra",IF(Formulario!$L$23&lt;&gt;"",Formulario!$L$23,IFERROR(VLOOKUP(TRIM($M$4),Jornalesdeppto!A:C,3,0),"")),_xlfn.XLOOKUP(1,(Tabla_Costos_Insumos!$A$2:$A$3199=TRIM($M$4))*(Tabla_Costos_Insumos!$C$2:$C$3199=TRIM(K219)),Tabla_Costos_Insumos!$E$2:$E$3199,"",0))</f>
        <v>46666.666666666664</v>
      </c>
      <c r="O219" s="441">
        <f t="shared" si="52"/>
        <v>373333.33333333331</v>
      </c>
      <c r="P219" s="212" t="str">
        <f t="shared" si="48"/>
        <v>Limón Mandarino</v>
      </c>
      <c r="Q219" s="212" t="s">
        <v>108</v>
      </c>
      <c r="R219" s="212">
        <v>2</v>
      </c>
      <c r="S219" s="212" t="str">
        <f>IF($M$3="Limón Mandarino",($I$3*R219) / 480,"")</f>
        <v/>
      </c>
      <c r="T219" s="212" cm="1">
        <f t="array" ref="T219">_xlfn.IFS($D$5&lt;=7, 1.1, $D$5&lt;=12,1.2, $D$5&lt;=25, 1.3, $D$5&gt;25,1.4)</f>
        <v>1.3</v>
      </c>
      <c r="U219" s="212" t="str">
        <f t="shared" ref="U219:U222" si="55">IFERROR(S219*T219,"")</f>
        <v/>
      </c>
      <c r="V219" s="212">
        <v>4</v>
      </c>
      <c r="W219" s="212" t="str">
        <f t="shared" si="53"/>
        <v/>
      </c>
      <c r="X219" s="214">
        <v>6</v>
      </c>
    </row>
    <row r="220" spans="1:24" ht="15">
      <c r="A220" s="211" t="s">
        <v>37</v>
      </c>
      <c r="B220" s="225" t="s">
        <v>38</v>
      </c>
      <c r="C220" s="212" t="s">
        <v>69</v>
      </c>
      <c r="D220" s="212" t="s">
        <v>99</v>
      </c>
      <c r="E220" s="212" t="s">
        <v>100</v>
      </c>
      <c r="F220" s="212" t="s">
        <v>113</v>
      </c>
      <c r="G220" s="212" t="s">
        <v>114</v>
      </c>
      <c r="H220" s="212" t="s">
        <v>115</v>
      </c>
      <c r="I220" s="212" t="s">
        <v>116</v>
      </c>
      <c r="J220" s="212" t="s">
        <v>105</v>
      </c>
      <c r="K220" s="212" t="s">
        <v>106</v>
      </c>
      <c r="L220" s="212" t="s">
        <v>107</v>
      </c>
      <c r="M220" s="213">
        <f t="shared" si="54"/>
        <v>11</v>
      </c>
      <c r="N220" s="441" cm="1">
        <f t="array" ref="N220">IF(TRIM(K220)="Mano de Obra",IF(Formulario!$L$23&lt;&gt;"",Formulario!$L$23,IFERROR(VLOOKUP(TRIM($M$4),Jornalesdeppto!A:C,3,0),"")),_xlfn.XLOOKUP(1,(Tabla_Costos_Insumos!$A$2:$A$3199=TRIM($M$4))*(Tabla_Costos_Insumos!$C$2:$C$3199=TRIM(K220)),Tabla_Costos_Insumos!$E$2:$E$3199,"",0))</f>
        <v>46666.666666666664</v>
      </c>
      <c r="O220" s="441">
        <f t="shared" si="52"/>
        <v>513333.33333333331</v>
      </c>
      <c r="P220" s="212" t="str">
        <f t="shared" si="48"/>
        <v>Limón Mandarino</v>
      </c>
      <c r="Q220" s="212" t="s">
        <v>108</v>
      </c>
      <c r="R220" s="212">
        <v>3</v>
      </c>
      <c r="S220" s="212" t="str">
        <f t="shared" ref="S220:S222" si="56">IF($M$3="Limón Mandarino",($I$3*R220) / 480,"")</f>
        <v/>
      </c>
      <c r="T220" s="212" cm="1">
        <f t="array" ref="T220">_xlfn.IFS($D$5&lt;=7, 1.1, $D$5&lt;=12,1.2, $D$5&lt;=25, 1.3, $D$5&gt;25,1.4)</f>
        <v>1.3</v>
      </c>
      <c r="U220" s="212" t="str">
        <f t="shared" si="55"/>
        <v/>
      </c>
      <c r="V220" s="212">
        <v>2</v>
      </c>
      <c r="W220" s="212" t="str">
        <f t="shared" si="53"/>
        <v/>
      </c>
      <c r="X220" s="214">
        <v>8</v>
      </c>
    </row>
    <row r="221" spans="1:24" ht="15">
      <c r="A221" s="211" t="s">
        <v>37</v>
      </c>
      <c r="B221" s="225" t="s">
        <v>38</v>
      </c>
      <c r="C221" s="212" t="s">
        <v>69</v>
      </c>
      <c r="D221" s="212" t="s">
        <v>99</v>
      </c>
      <c r="E221" s="212" t="s">
        <v>100</v>
      </c>
      <c r="F221" s="212" t="s">
        <v>117</v>
      </c>
      <c r="G221" s="212" t="s">
        <v>118</v>
      </c>
      <c r="H221" s="212" t="s">
        <v>119</v>
      </c>
      <c r="I221" s="212" t="s">
        <v>120</v>
      </c>
      <c r="J221" s="212" t="s">
        <v>105</v>
      </c>
      <c r="K221" s="212" t="s">
        <v>106</v>
      </c>
      <c r="L221" s="212" t="s">
        <v>107</v>
      </c>
      <c r="M221" s="213">
        <f t="shared" si="54"/>
        <v>11</v>
      </c>
      <c r="N221" s="441" cm="1">
        <f t="array" ref="N221">IF(TRIM(K221)="Mano de Obra",IF(Formulario!$L$23&lt;&gt;"",Formulario!$L$23,IFERROR(VLOOKUP(TRIM($M$4),Jornalesdeppto!A:C,3,0),"")),_xlfn.XLOOKUP(1,(Tabla_Costos_Insumos!$A$2:$A$3199=TRIM($M$4))*(Tabla_Costos_Insumos!$C$2:$C$3199=TRIM(K221)),Tabla_Costos_Insumos!$E$2:$E$3199,"",0))</f>
        <v>46666.666666666664</v>
      </c>
      <c r="O221" s="441">
        <f t="shared" si="52"/>
        <v>513333.33333333331</v>
      </c>
      <c r="P221" s="212" t="str">
        <f t="shared" si="48"/>
        <v>Limón Mandarino</v>
      </c>
      <c r="Q221" s="212" t="s">
        <v>108</v>
      </c>
      <c r="R221" s="212">
        <v>4</v>
      </c>
      <c r="S221" s="212" t="str">
        <f t="shared" si="56"/>
        <v/>
      </c>
      <c r="T221" s="212" cm="1">
        <f t="array" ref="T221">_xlfn.IFS($D$5&lt;=7, 1.1, $D$5&lt;=12,1.2, $D$5&lt;=25, 1.3, $D$5&gt;25,1.4)</f>
        <v>1.3</v>
      </c>
      <c r="U221" s="212" t="str">
        <f t="shared" si="55"/>
        <v/>
      </c>
      <c r="V221" s="212">
        <v>9</v>
      </c>
      <c r="W221" s="212" t="str">
        <f t="shared" si="53"/>
        <v/>
      </c>
      <c r="X221" s="214">
        <v>8</v>
      </c>
    </row>
    <row r="222" spans="1:24" ht="15">
      <c r="A222" s="211" t="s">
        <v>37</v>
      </c>
      <c r="B222" s="225" t="s">
        <v>38</v>
      </c>
      <c r="C222" s="212" t="s">
        <v>69</v>
      </c>
      <c r="D222" s="212" t="s">
        <v>99</v>
      </c>
      <c r="E222" s="212" t="s">
        <v>100</v>
      </c>
      <c r="F222" s="212" t="s">
        <v>117</v>
      </c>
      <c r="G222" s="212" t="s">
        <v>118</v>
      </c>
      <c r="H222" s="212" t="s">
        <v>121</v>
      </c>
      <c r="I222" s="212" t="s">
        <v>122</v>
      </c>
      <c r="J222" s="212" t="s">
        <v>105</v>
      </c>
      <c r="K222" s="212" t="s">
        <v>106</v>
      </c>
      <c r="L222" s="212" t="s">
        <v>107</v>
      </c>
      <c r="M222" s="213">
        <f t="shared" si="54"/>
        <v>12</v>
      </c>
      <c r="N222" s="441" cm="1">
        <f t="array" ref="N222">IF(TRIM(K222)="Mano de Obra",IF(Formulario!$L$23&lt;&gt;"",Formulario!$L$23,IFERROR(VLOOKUP(TRIM($M$4),Jornalesdeppto!A:C,3,0),"")),_xlfn.XLOOKUP(1,(Tabla_Costos_Insumos!$A$2:$A$3199=TRIM($M$4))*(Tabla_Costos_Insumos!$C$2:$C$3199=TRIM(K222)),Tabla_Costos_Insumos!$E$2:$E$3199,"",0))</f>
        <v>46666.666666666664</v>
      </c>
      <c r="O222" s="441">
        <f t="shared" si="52"/>
        <v>560000</v>
      </c>
      <c r="P222" s="212" t="str">
        <f t="shared" si="48"/>
        <v>Limón Mandarino</v>
      </c>
      <c r="Q222" s="212" t="s">
        <v>108</v>
      </c>
      <c r="R222" s="212">
        <v>4</v>
      </c>
      <c r="S222" s="212" t="str">
        <f t="shared" si="56"/>
        <v/>
      </c>
      <c r="T222" s="212" cm="1">
        <f t="array" ref="T222">_xlfn.IFS($D$5&lt;=7, 1.1, $D$5&lt;=12,1.2, $D$5&lt;=25, 1.3, $D$5&gt;25,1.4)</f>
        <v>1.3</v>
      </c>
      <c r="U222" s="212" t="str">
        <f t="shared" si="55"/>
        <v/>
      </c>
      <c r="V222" s="212">
        <v>9</v>
      </c>
      <c r="W222" s="212" t="str">
        <f t="shared" si="53"/>
        <v/>
      </c>
      <c r="X222" s="214">
        <v>9</v>
      </c>
    </row>
    <row r="223" spans="1:24" ht="15">
      <c r="A223" s="211" t="s">
        <v>37</v>
      </c>
      <c r="B223" s="225" t="s">
        <v>38</v>
      </c>
      <c r="C223" s="212" t="s">
        <v>69</v>
      </c>
      <c r="D223" s="212" t="s">
        <v>99</v>
      </c>
      <c r="E223" s="212" t="s">
        <v>100</v>
      </c>
      <c r="F223" s="212" t="s">
        <v>123</v>
      </c>
      <c r="G223" s="212" t="s">
        <v>124</v>
      </c>
      <c r="H223" s="212" t="s">
        <v>125</v>
      </c>
      <c r="I223" s="212" t="s">
        <v>126</v>
      </c>
      <c r="J223" s="212" t="s">
        <v>105</v>
      </c>
      <c r="K223" s="212" t="s">
        <v>106</v>
      </c>
      <c r="L223" s="212" t="s">
        <v>107</v>
      </c>
      <c r="M223" s="213">
        <f t="shared" si="54"/>
        <v>3</v>
      </c>
      <c r="N223" s="441" cm="1">
        <f t="array" ref="N223">IF(TRIM(K223)="Mano de Obra",IF(Formulario!$L$23&lt;&gt;"",Formulario!$L$23,IFERROR(VLOOKUP(TRIM($M$4),Jornalesdeppto!A:C,3,0),"")),_xlfn.XLOOKUP(1,(Tabla_Costos_Insumos!$A$2:$A$3199=TRIM($M$4))*(Tabla_Costos_Insumos!$C$2:$C$3199=TRIM(K223)),Tabla_Costos_Insumos!$E$2:$E$3199,"",0))</f>
        <v>46666.666666666664</v>
      </c>
      <c r="O223" s="441">
        <f t="shared" si="52"/>
        <v>140000</v>
      </c>
      <c r="P223" s="212" t="str">
        <f t="shared" si="48"/>
        <v>Limón Mandarino</v>
      </c>
      <c r="Q223" s="212" t="s">
        <v>127</v>
      </c>
      <c r="R223" s="212">
        <v>0.09</v>
      </c>
      <c r="S223" s="212">
        <f t="shared" ref="S223:S224" si="57">10000*R223/480</f>
        <v>1.875</v>
      </c>
      <c r="T223" s="212" cm="1">
        <f t="array" ref="T223">_xlfn.IFS($D$5&lt;=7, 1.1, $D$5&lt;=12,1.2, $D$5&lt;=25, 1.3, $D$5&gt;25,1.4)</f>
        <v>1.3</v>
      </c>
      <c r="U223" s="212"/>
      <c r="V223" s="212">
        <v>2</v>
      </c>
      <c r="W223" s="212"/>
      <c r="X223" s="214">
        <v>2</v>
      </c>
    </row>
    <row r="224" spans="1:24" ht="15">
      <c r="A224" s="211" t="s">
        <v>37</v>
      </c>
      <c r="B224" s="225" t="s">
        <v>38</v>
      </c>
      <c r="C224" s="212" t="s">
        <v>69</v>
      </c>
      <c r="D224" s="212" t="s">
        <v>99</v>
      </c>
      <c r="E224" s="212" t="s">
        <v>100</v>
      </c>
      <c r="F224" s="212" t="s">
        <v>123</v>
      </c>
      <c r="G224" s="212" t="s">
        <v>124</v>
      </c>
      <c r="H224" s="212" t="s">
        <v>128</v>
      </c>
      <c r="I224" s="212" t="s">
        <v>129</v>
      </c>
      <c r="J224" s="212" t="s">
        <v>105</v>
      </c>
      <c r="K224" s="212" t="s">
        <v>106</v>
      </c>
      <c r="L224" s="212" t="s">
        <v>107</v>
      </c>
      <c r="M224" s="213">
        <f t="shared" si="54"/>
        <v>10</v>
      </c>
      <c r="N224" s="441" cm="1">
        <f t="array" ref="N224">IF(TRIM(K224)="Mano de Obra",IF(Formulario!$L$23&lt;&gt;"",Formulario!$L$23,IFERROR(VLOOKUP(TRIM($M$4),Jornalesdeppto!A:C,3,0),"")),_xlfn.XLOOKUP(1,(Tabla_Costos_Insumos!$A$2:$A$3199=TRIM($M$4))*(Tabla_Costos_Insumos!$C$2:$C$3199=TRIM(K224)),Tabla_Costos_Insumos!$E$2:$E$3199,"",0))</f>
        <v>46666.666666666664</v>
      </c>
      <c r="O224" s="441">
        <f t="shared" si="52"/>
        <v>466666.66666666663</v>
      </c>
      <c r="P224" s="212" t="str">
        <f t="shared" si="48"/>
        <v>Limón Mandarino</v>
      </c>
      <c r="Q224" s="212" t="s">
        <v>127</v>
      </c>
      <c r="R224" s="212">
        <v>0.09</v>
      </c>
      <c r="S224" s="212">
        <f t="shared" si="57"/>
        <v>1.875</v>
      </c>
      <c r="T224" s="212" cm="1">
        <f t="array" ref="T224">_xlfn.IFS($D$5&lt;=7, 1.1, $D$5&lt;=12,1.2, $D$5&lt;=25, 1.3, $D$5&gt;25,1.4)</f>
        <v>1.3</v>
      </c>
      <c r="U224" s="212"/>
      <c r="V224" s="212">
        <v>2</v>
      </c>
      <c r="W224" s="212"/>
      <c r="X224" s="214">
        <v>7</v>
      </c>
    </row>
    <row r="225" spans="1:24" ht="15">
      <c r="A225" s="211" t="s">
        <v>37</v>
      </c>
      <c r="B225" s="225" t="s">
        <v>38</v>
      </c>
      <c r="C225" s="212" t="s">
        <v>69</v>
      </c>
      <c r="D225" s="212" t="s">
        <v>99</v>
      </c>
      <c r="E225" s="212" t="s">
        <v>100</v>
      </c>
      <c r="F225" s="212" t="s">
        <v>130</v>
      </c>
      <c r="G225" s="212" t="s">
        <v>131</v>
      </c>
      <c r="H225" s="212" t="s">
        <v>132</v>
      </c>
      <c r="I225" s="212" t="s">
        <v>133</v>
      </c>
      <c r="J225" s="212" t="s">
        <v>105</v>
      </c>
      <c r="K225" s="212" t="s">
        <v>106</v>
      </c>
      <c r="L225" s="212" t="s">
        <v>107</v>
      </c>
      <c r="M225" s="213">
        <f t="shared" si="54"/>
        <v>4</v>
      </c>
      <c r="N225" s="441" cm="1">
        <f t="array" ref="N225">IF(TRIM(K225)="Mano de Obra",IF(Formulario!$L$23&lt;&gt;"",Formulario!$L$23,IFERROR(VLOOKUP(TRIM($M$4),Jornalesdeppto!A:C,3,0),"")),_xlfn.XLOOKUP(1,(Tabla_Costos_Insumos!$A$2:$A$3199=TRIM($M$4))*(Tabla_Costos_Insumos!$C$2:$C$3199=TRIM(K225)),Tabla_Costos_Insumos!$E$2:$E$3199,"",0))</f>
        <v>46666.666666666664</v>
      </c>
      <c r="O225" s="441">
        <f t="shared" si="52"/>
        <v>186666.66666666666</v>
      </c>
      <c r="P225" s="212" t="str">
        <f t="shared" ref="P225:P256" si="58">CONCATENATE(A225," ",B225)</f>
        <v>Limón Mandarino</v>
      </c>
      <c r="Q225" s="212" t="s">
        <v>108</v>
      </c>
      <c r="R225" s="212">
        <v>1.5</v>
      </c>
      <c r="S225" s="212" t="str">
        <f t="shared" ref="S225:S226" si="59">IF($M$3="Limón Mandarino",($I$3*R225) / 480,"")</f>
        <v/>
      </c>
      <c r="T225" s="212" cm="1">
        <f t="array" ref="T225">_xlfn.IFS($D$5&lt;=7, 1.1, $D$5&lt;=12,1.2, $D$5&lt;=25, 1.3, $D$5&gt;25,1.4)</f>
        <v>1.3</v>
      </c>
      <c r="U225" s="212" t="str">
        <f t="shared" ref="U225:U226" si="60">IFERROR(S225*T225,"")</f>
        <v/>
      </c>
      <c r="V225" s="212">
        <v>4</v>
      </c>
      <c r="W225" s="212" t="str">
        <f t="shared" si="53"/>
        <v/>
      </c>
      <c r="X225" s="214">
        <v>3</v>
      </c>
    </row>
    <row r="226" spans="1:24" ht="15">
      <c r="A226" s="211" t="s">
        <v>37</v>
      </c>
      <c r="B226" s="225" t="s">
        <v>38</v>
      </c>
      <c r="C226" s="212" t="s">
        <v>69</v>
      </c>
      <c r="D226" s="212" t="s">
        <v>99</v>
      </c>
      <c r="E226" s="212" t="s">
        <v>100</v>
      </c>
      <c r="F226" s="212" t="s">
        <v>130</v>
      </c>
      <c r="G226" s="212" t="s">
        <v>131</v>
      </c>
      <c r="H226" s="212" t="s">
        <v>134</v>
      </c>
      <c r="I226" s="212" t="s">
        <v>135</v>
      </c>
      <c r="J226" s="212" t="s">
        <v>105</v>
      </c>
      <c r="K226" s="212" t="s">
        <v>106</v>
      </c>
      <c r="L226" s="212" t="s">
        <v>107</v>
      </c>
      <c r="M226" s="213">
        <f t="shared" si="54"/>
        <v>2</v>
      </c>
      <c r="N226" s="441" cm="1">
        <f t="array" ref="N226">IF(TRIM(K226)="Mano de Obra",IF(Formulario!$L$23&lt;&gt;"",Formulario!$L$23,IFERROR(VLOOKUP(TRIM($M$4),Jornalesdeppto!A:C,3,0),"")),_xlfn.XLOOKUP(1,(Tabla_Costos_Insumos!$A$2:$A$3199=TRIM($M$4))*(Tabla_Costos_Insumos!$C$2:$C$3199=TRIM(K226)),Tabla_Costos_Insumos!$E$2:$E$3199,"",0))</f>
        <v>46666.666666666664</v>
      </c>
      <c r="O226" s="441">
        <f t="shared" si="52"/>
        <v>93333.333333333328</v>
      </c>
      <c r="P226" s="212" t="str">
        <f t="shared" si="58"/>
        <v>Limón Mandarino</v>
      </c>
      <c r="Q226" s="212" t="s">
        <v>108</v>
      </c>
      <c r="R226" s="212">
        <v>1.5</v>
      </c>
      <c r="S226" s="212" t="str">
        <f t="shared" si="59"/>
        <v/>
      </c>
      <c r="T226" s="212" cm="1">
        <f t="array" ref="T226">_xlfn.IFS($D$5&lt;=7, 1.1, $D$5&lt;=12,1.2, $D$5&lt;=25, 1.3, $D$5&gt;25,1.4)</f>
        <v>1.3</v>
      </c>
      <c r="U226" s="212" t="str">
        <f t="shared" si="60"/>
        <v/>
      </c>
      <c r="V226" s="212">
        <v>4</v>
      </c>
      <c r="W226" s="212" t="str">
        <f t="shared" si="53"/>
        <v/>
      </c>
      <c r="X226" s="214">
        <v>1</v>
      </c>
    </row>
    <row r="227" spans="1:24" ht="15">
      <c r="A227" s="211" t="s">
        <v>37</v>
      </c>
      <c r="B227" s="225" t="s">
        <v>38</v>
      </c>
      <c r="C227" s="212" t="s">
        <v>69</v>
      </c>
      <c r="D227" s="212" t="s">
        <v>99</v>
      </c>
      <c r="E227" s="212" t="s">
        <v>100</v>
      </c>
      <c r="F227" s="212" t="s">
        <v>138</v>
      </c>
      <c r="G227" s="212" t="s">
        <v>139</v>
      </c>
      <c r="H227" s="212" t="s">
        <v>140</v>
      </c>
      <c r="I227" s="212" t="s">
        <v>141</v>
      </c>
      <c r="J227" s="212" t="s">
        <v>105</v>
      </c>
      <c r="K227" s="212" t="s">
        <v>106</v>
      </c>
      <c r="L227" s="212" t="s">
        <v>107</v>
      </c>
      <c r="M227" s="213">
        <f t="shared" si="54"/>
        <v>13</v>
      </c>
      <c r="N227" s="441" cm="1">
        <f t="array" ref="N227">IF(TRIM(K227)="Mano de Obra",IF(Formulario!$L$23&lt;&gt;"",Formulario!$L$23,IFERROR(VLOOKUP(TRIM($M$4),Jornalesdeppto!A:C,3,0),"")),_xlfn.XLOOKUP(1,(Tabla_Costos_Insumos!$A$2:$A$3199=TRIM($M$4))*(Tabla_Costos_Insumos!$C$2:$C$3199=TRIM(K227)),Tabla_Costos_Insumos!$E$2:$E$3199,"",0))</f>
        <v>46666.666666666664</v>
      </c>
      <c r="O227" s="441">
        <f t="shared" si="52"/>
        <v>606666.66666666663</v>
      </c>
      <c r="P227" s="212" t="str">
        <f t="shared" si="58"/>
        <v>Limón Mandarino</v>
      </c>
      <c r="Q227" s="212" t="s">
        <v>142</v>
      </c>
      <c r="R227" s="212" t="s">
        <v>142</v>
      </c>
      <c r="S227" s="212"/>
      <c r="T227" s="212" cm="1">
        <f t="array" ref="T227">_xlfn.IFS($D$5&lt;=7, 1.1, $D$5&lt;=12,1.2, $D$5&lt;=25, 1.3, $D$5&gt;25,1.4)</f>
        <v>1.3</v>
      </c>
      <c r="U227" s="212"/>
      <c r="V227" s="212" t="s">
        <v>142</v>
      </c>
      <c r="W227" s="212" t="str">
        <f t="shared" si="53"/>
        <v/>
      </c>
      <c r="X227" s="214">
        <v>10</v>
      </c>
    </row>
    <row r="228" spans="1:24" ht="15">
      <c r="A228" s="211" t="s">
        <v>37</v>
      </c>
      <c r="B228" s="225" t="s">
        <v>38</v>
      </c>
      <c r="C228" s="212" t="s">
        <v>69</v>
      </c>
      <c r="D228" s="212" t="s">
        <v>99</v>
      </c>
      <c r="E228" s="212" t="s">
        <v>100</v>
      </c>
      <c r="F228" s="212" t="s">
        <v>138</v>
      </c>
      <c r="G228" s="212" t="s">
        <v>139</v>
      </c>
      <c r="H228" s="212" t="s">
        <v>143</v>
      </c>
      <c r="I228" s="212" t="s">
        <v>144</v>
      </c>
      <c r="J228" s="212" t="s">
        <v>105</v>
      </c>
      <c r="K228" s="212" t="s">
        <v>106</v>
      </c>
      <c r="L228" s="212" t="s">
        <v>107</v>
      </c>
      <c r="M228" s="213">
        <f t="shared" si="54"/>
        <v>80</v>
      </c>
      <c r="N228" s="441" cm="1">
        <f t="array" ref="N228">IF(TRIM(K228)="Mano de Obra",IF(Formulario!$L$23&lt;&gt;"",Formulario!$L$23,IFERROR(VLOOKUP(TRIM($M$4),Jornalesdeppto!A:C,3,0),"")),_xlfn.XLOOKUP(1,(Tabla_Costos_Insumos!$A$2:$A$3199=TRIM($M$4))*(Tabla_Costos_Insumos!$C$2:$C$3199=TRIM(K228)),Tabla_Costos_Insumos!$E$2:$E$3199,"",0))</f>
        <v>46666.666666666664</v>
      </c>
      <c r="O228" s="441">
        <f t="shared" si="52"/>
        <v>3733333.333333333</v>
      </c>
      <c r="P228" s="212" t="str">
        <f t="shared" si="58"/>
        <v>Limón Mandarino</v>
      </c>
      <c r="Q228" s="212" t="s">
        <v>142</v>
      </c>
      <c r="R228" s="212" t="s">
        <v>142</v>
      </c>
      <c r="S228" s="212"/>
      <c r="T228" s="212" cm="1">
        <f t="array" ref="T228">_xlfn.IFS($D$5&lt;=7, 1.1, $D$5&lt;=12,1.2, $D$5&lt;=25, 1.3, $D$5&gt;25,1.4)</f>
        <v>1.3</v>
      </c>
      <c r="U228" s="212"/>
      <c r="V228" s="212" t="s">
        <v>142</v>
      </c>
      <c r="W228" s="212" t="str">
        <f t="shared" si="53"/>
        <v/>
      </c>
      <c r="X228" s="214">
        <v>61</v>
      </c>
    </row>
    <row r="229" spans="1:24" ht="15">
      <c r="A229" s="211" t="s">
        <v>37</v>
      </c>
      <c r="B229" s="225" t="s">
        <v>38</v>
      </c>
      <c r="C229" s="212" t="s">
        <v>69</v>
      </c>
      <c r="D229" s="212" t="s">
        <v>145</v>
      </c>
      <c r="E229" s="212" t="s">
        <v>146</v>
      </c>
      <c r="F229" s="212" t="s">
        <v>147</v>
      </c>
      <c r="G229" s="212" t="s">
        <v>131</v>
      </c>
      <c r="H229" s="212" t="s">
        <v>152</v>
      </c>
      <c r="I229" s="212" t="s">
        <v>299</v>
      </c>
      <c r="J229" s="212" t="s">
        <v>149</v>
      </c>
      <c r="K229" s="212" t="s">
        <v>150</v>
      </c>
      <c r="L229" s="212" t="s">
        <v>151</v>
      </c>
      <c r="M229" s="213">
        <v>3</v>
      </c>
      <c r="N229" s="441" cm="1">
        <f t="array" ref="N229">IF(TRIM(K229)="Mano de Obra",IF(Formulario!$L$23&lt;&gt;"",Formulario!$L$23,IFERROR(VLOOKUP(TRIM($M$4),Jornalesdeppto!A:C,3,0),"")),_xlfn.XLOOKUP(1,(Tabla_Costos_Insumos!$A$2:$A$3199=TRIM($M$4))*(Tabla_Costos_Insumos!$C$2:$C$3199=TRIM(K229)),Tabla_Costos_Insumos!$E$2:$E$3199,"",0))</f>
        <v>198055.68333333</v>
      </c>
      <c r="O229" s="441">
        <f t="shared" si="52"/>
        <v>594167.04999999003</v>
      </c>
      <c r="P229" s="212" t="str">
        <f t="shared" si="58"/>
        <v>Limón Mandarino</v>
      </c>
      <c r="Q229" s="212" t="s">
        <v>142</v>
      </c>
      <c r="R229" s="212" t="s">
        <v>142</v>
      </c>
      <c r="S229" s="212"/>
      <c r="T229" s="212"/>
      <c r="U229" s="212"/>
      <c r="V229" s="212" t="s">
        <v>142</v>
      </c>
      <c r="W229" s="212" t="str">
        <f t="shared" si="53"/>
        <v/>
      </c>
      <c r="X229" s="214"/>
    </row>
    <row r="230" spans="1:24" ht="15">
      <c r="A230" s="211" t="s">
        <v>37</v>
      </c>
      <c r="B230" s="225" t="s">
        <v>38</v>
      </c>
      <c r="C230" s="212" t="s">
        <v>69</v>
      </c>
      <c r="D230" s="212" t="s">
        <v>145</v>
      </c>
      <c r="E230" s="212" t="s">
        <v>146</v>
      </c>
      <c r="F230" s="212" t="s">
        <v>147</v>
      </c>
      <c r="G230" s="212" t="s">
        <v>131</v>
      </c>
      <c r="H230" s="212" t="s">
        <v>165</v>
      </c>
      <c r="I230" s="212" t="s">
        <v>153</v>
      </c>
      <c r="J230" s="212" t="s">
        <v>149</v>
      </c>
      <c r="K230" s="212" t="s">
        <v>166</v>
      </c>
      <c r="L230" s="212" t="s">
        <v>151</v>
      </c>
      <c r="M230" s="213">
        <v>7</v>
      </c>
      <c r="N230" s="441" cm="1">
        <f t="array" ref="N230">IF(TRIM(K230)="Mano de Obra",IF(Formulario!$L$23&lt;&gt;"",Formulario!$L$23,IFERROR(VLOOKUP(TRIM($M$4),Jornalesdeppto!A:C,3,0),"")),_xlfn.XLOOKUP(1,(Tabla_Costos_Insumos!$A$2:$A$3199=TRIM($M$4))*(Tabla_Costos_Insumos!$C$2:$C$3199=TRIM(K230)),Tabla_Costos_Insumos!$E$2:$E$3199,"",0))</f>
        <v>110000</v>
      </c>
      <c r="O230" s="441">
        <f t="shared" si="52"/>
        <v>770000</v>
      </c>
      <c r="P230" s="212" t="str">
        <f t="shared" si="58"/>
        <v>Limón Mandarino</v>
      </c>
      <c r="Q230" s="212" t="s">
        <v>142</v>
      </c>
      <c r="R230" s="212" t="s">
        <v>142</v>
      </c>
      <c r="S230" s="212"/>
      <c r="T230" s="212"/>
      <c r="U230" s="212"/>
      <c r="V230" s="212" t="s">
        <v>142</v>
      </c>
      <c r="W230" s="212" t="str">
        <f t="shared" si="53"/>
        <v/>
      </c>
      <c r="X230" s="214"/>
    </row>
    <row r="231" spans="1:24" ht="15">
      <c r="A231" s="211" t="s">
        <v>37</v>
      </c>
      <c r="B231" s="225" t="s">
        <v>38</v>
      </c>
      <c r="C231" s="212" t="s">
        <v>69</v>
      </c>
      <c r="D231" s="212" t="s">
        <v>145</v>
      </c>
      <c r="E231" s="212" t="s">
        <v>146</v>
      </c>
      <c r="F231" s="212" t="s">
        <v>147</v>
      </c>
      <c r="G231" s="212" t="s">
        <v>131</v>
      </c>
      <c r="H231" s="212" t="s">
        <v>154</v>
      </c>
      <c r="I231" s="212" t="s">
        <v>155</v>
      </c>
      <c r="J231" s="212" t="s">
        <v>149</v>
      </c>
      <c r="K231" s="212" t="s">
        <v>156</v>
      </c>
      <c r="L231" s="212" t="s">
        <v>151</v>
      </c>
      <c r="M231" s="213">
        <v>2</v>
      </c>
      <c r="N231" s="441" cm="1">
        <f t="array" ref="N231">IF(TRIM(K231)="Mano de Obra",IF(Formulario!$L$23&lt;&gt;"",Formulario!$L$23,IFERROR(VLOOKUP(TRIM($M$4),Jornalesdeppto!A:C,3,0),"")),_xlfn.XLOOKUP(1,(Tabla_Costos_Insumos!$A$2:$A$3199=TRIM($M$4))*(Tabla_Costos_Insumos!$C$2:$C$3199=TRIM(K231)),Tabla_Costos_Insumos!$E$2:$E$3199,"",0))</f>
        <v>17212.5</v>
      </c>
      <c r="O231" s="441">
        <f t="shared" si="52"/>
        <v>34425</v>
      </c>
      <c r="P231" s="212" t="str">
        <f t="shared" si="58"/>
        <v>Limón Mandarino</v>
      </c>
      <c r="Q231" s="212" t="s">
        <v>142</v>
      </c>
      <c r="R231" s="212" t="s">
        <v>142</v>
      </c>
      <c r="S231" s="212"/>
      <c r="T231" s="212"/>
      <c r="U231" s="212"/>
      <c r="V231" s="212" t="s">
        <v>142</v>
      </c>
      <c r="W231" s="212" t="str">
        <f t="shared" si="53"/>
        <v/>
      </c>
      <c r="X231" s="214"/>
    </row>
    <row r="232" spans="1:24" ht="15">
      <c r="A232" s="211" t="s">
        <v>37</v>
      </c>
      <c r="B232" s="225" t="s">
        <v>38</v>
      </c>
      <c r="C232" s="212" t="s">
        <v>69</v>
      </c>
      <c r="D232" s="212" t="s">
        <v>145</v>
      </c>
      <c r="E232" s="212" t="s">
        <v>146</v>
      </c>
      <c r="F232" s="212" t="s">
        <v>147</v>
      </c>
      <c r="G232" s="212" t="s">
        <v>131</v>
      </c>
      <c r="H232" s="212" t="s">
        <v>157</v>
      </c>
      <c r="I232" s="212" t="s">
        <v>158</v>
      </c>
      <c r="J232" s="212" t="s">
        <v>149</v>
      </c>
      <c r="K232" s="222" t="s">
        <v>243</v>
      </c>
      <c r="L232" s="212" t="s">
        <v>172</v>
      </c>
      <c r="M232" s="213">
        <v>18</v>
      </c>
      <c r="N232" s="441" cm="1">
        <f t="array" ref="N232">IF(TRIM(K232)="Mano de Obra",IF(Formulario!$L$23&lt;&gt;"",Formulario!$L$23,IFERROR(VLOOKUP(TRIM($M$4),Jornalesdeppto!A:C,3,0),"")),_xlfn.XLOOKUP(1,(Tabla_Costos_Insumos!$A$2:$A$3199=TRIM($M$4))*(Tabla_Costos_Insumos!$C$2:$C$3199=TRIM(K232)),Tabla_Costos_Insumos!$E$2:$E$3199,"",0))</f>
        <v>26208.33</v>
      </c>
      <c r="O232" s="441">
        <f t="shared" si="52"/>
        <v>471749.94000000006</v>
      </c>
      <c r="P232" s="212" t="str">
        <f t="shared" si="58"/>
        <v>Limón Mandarino</v>
      </c>
      <c r="Q232" s="212" t="s">
        <v>142</v>
      </c>
      <c r="R232" s="212" t="s">
        <v>142</v>
      </c>
      <c r="S232" s="212"/>
      <c r="T232" s="212"/>
      <c r="U232" s="212"/>
      <c r="V232" s="212" t="s">
        <v>142</v>
      </c>
      <c r="W232" s="212" t="str">
        <f t="shared" si="53"/>
        <v/>
      </c>
      <c r="X232" s="214"/>
    </row>
    <row r="233" spans="1:24" ht="15">
      <c r="A233" s="211" t="s">
        <v>37</v>
      </c>
      <c r="B233" s="225" t="s">
        <v>38</v>
      </c>
      <c r="C233" s="212" t="s">
        <v>69</v>
      </c>
      <c r="D233" s="212" t="s">
        <v>145</v>
      </c>
      <c r="E233" s="212" t="s">
        <v>146</v>
      </c>
      <c r="F233" s="212" t="s">
        <v>147</v>
      </c>
      <c r="G233" s="212" t="s">
        <v>131</v>
      </c>
      <c r="H233" s="212" t="s">
        <v>161</v>
      </c>
      <c r="I233" s="212" t="s">
        <v>162</v>
      </c>
      <c r="J233" s="212" t="s">
        <v>149</v>
      </c>
      <c r="K233" s="212" t="s">
        <v>163</v>
      </c>
      <c r="L233" s="212" t="s">
        <v>164</v>
      </c>
      <c r="M233" s="213">
        <v>2</v>
      </c>
      <c r="N233" s="441" cm="1">
        <f t="array" ref="N233">IF(TRIM(K233)="Mano de Obra",IF(Formulario!$L$23&lt;&gt;"",Formulario!$L$23,IFERROR(VLOOKUP(TRIM($M$4),Jornalesdeppto!A:C,3,0),"")),_xlfn.XLOOKUP(1,(Tabla_Costos_Insumos!$A$2:$A$3199=TRIM($M$4))*(Tabla_Costos_Insumos!$C$2:$C$3199=TRIM(K233)),Tabla_Costos_Insumos!$E$2:$E$3199,"",0))</f>
        <v>128084.44444445</v>
      </c>
      <c r="O233" s="441">
        <f t="shared" si="52"/>
        <v>256168.88888889999</v>
      </c>
      <c r="P233" s="212" t="str">
        <f t="shared" si="58"/>
        <v>Limón Mandarino</v>
      </c>
      <c r="Q233" s="212" t="s">
        <v>142</v>
      </c>
      <c r="R233" s="212" t="s">
        <v>142</v>
      </c>
      <c r="S233" s="212"/>
      <c r="T233" s="212"/>
      <c r="U233" s="212"/>
      <c r="V233" s="212" t="s">
        <v>142</v>
      </c>
      <c r="W233" s="212" t="str">
        <f t="shared" si="53"/>
        <v/>
      </c>
      <c r="X233" s="214"/>
    </row>
    <row r="234" spans="1:24" ht="15">
      <c r="A234" s="211" t="s">
        <v>37</v>
      </c>
      <c r="B234" s="225" t="s">
        <v>38</v>
      </c>
      <c r="C234" s="212" t="s">
        <v>69</v>
      </c>
      <c r="D234" s="212" t="s">
        <v>145</v>
      </c>
      <c r="E234" s="212" t="s">
        <v>146</v>
      </c>
      <c r="F234" s="212" t="s">
        <v>147</v>
      </c>
      <c r="G234" s="212" t="s">
        <v>131</v>
      </c>
      <c r="H234" s="212" t="s">
        <v>165</v>
      </c>
      <c r="I234" s="212" t="s">
        <v>153</v>
      </c>
      <c r="J234" s="212" t="s">
        <v>149</v>
      </c>
      <c r="K234" s="212" t="s">
        <v>4216</v>
      </c>
      <c r="L234" s="212" t="s">
        <v>151</v>
      </c>
      <c r="M234" s="213">
        <v>6</v>
      </c>
      <c r="N234" s="441" cm="1">
        <f t="array" ref="N234">IF(TRIM(K234)="Mano de Obra",IF(Formulario!$L$23&lt;&gt;"",Formulario!$L$23,IFERROR(VLOOKUP(TRIM($M$4),Jornalesdeppto!A:C,3,0),"")),_xlfn.XLOOKUP(1,(Tabla_Costos_Insumos!$A$2:$A$3199=TRIM($M$4))*(Tabla_Costos_Insumos!$C$2:$C$3199=TRIM(K234)),Tabla_Costos_Insumos!$E$2:$E$3199,"",0))</f>
        <v>125849.2424242409</v>
      </c>
      <c r="O234" s="441">
        <f t="shared" si="52"/>
        <v>755095.45454544539</v>
      </c>
      <c r="P234" s="212" t="str">
        <f t="shared" si="58"/>
        <v>Limón Mandarino</v>
      </c>
      <c r="Q234" s="212" t="s">
        <v>142</v>
      </c>
      <c r="R234" s="212" t="s">
        <v>142</v>
      </c>
      <c r="S234" s="212"/>
      <c r="T234" s="212"/>
      <c r="U234" s="212"/>
      <c r="V234" s="212" t="s">
        <v>142</v>
      </c>
      <c r="W234" s="212" t="str">
        <f t="shared" si="53"/>
        <v/>
      </c>
      <c r="X234" s="214"/>
    </row>
    <row r="235" spans="1:24" ht="15">
      <c r="A235" s="211" t="s">
        <v>37</v>
      </c>
      <c r="B235" s="225" t="s">
        <v>38</v>
      </c>
      <c r="C235" s="212" t="s">
        <v>69</v>
      </c>
      <c r="D235" s="212" t="s">
        <v>145</v>
      </c>
      <c r="E235" s="212" t="s">
        <v>146</v>
      </c>
      <c r="F235" s="212" t="s">
        <v>167</v>
      </c>
      <c r="G235" s="212" t="s">
        <v>118</v>
      </c>
      <c r="H235" s="212" t="s">
        <v>168</v>
      </c>
      <c r="I235" s="212" t="s">
        <v>169</v>
      </c>
      <c r="J235" s="212" t="s">
        <v>170</v>
      </c>
      <c r="K235" s="212" t="s">
        <v>259</v>
      </c>
      <c r="L235" s="212" t="s">
        <v>172</v>
      </c>
      <c r="M235" s="213">
        <v>6</v>
      </c>
      <c r="N235" s="441" cm="1">
        <f t="array" ref="N235">IF(TRIM(K235)="Mano de Obra",IF(Formulario!$L$23&lt;&gt;"",Formulario!$L$23,IFERROR(VLOOKUP(TRIM($M$4),Jornalesdeppto!A:C,3,0),"")),_xlfn.XLOOKUP(1,(Tabla_Costos_Insumos!$A$2:$A$3199=TRIM($M$4))*(Tabla_Costos_Insumos!$C$2:$C$3199=TRIM(K235)),Tabla_Costos_Insumos!$E$2:$E$3199,"",0))</f>
        <v>283758.28999999998</v>
      </c>
      <c r="O235" s="441">
        <f t="shared" si="52"/>
        <v>1702549.7399999998</v>
      </c>
      <c r="P235" s="212" t="str">
        <f t="shared" si="58"/>
        <v>Limón Mandarino</v>
      </c>
      <c r="Q235" s="212" t="s">
        <v>142</v>
      </c>
      <c r="R235" s="212" t="s">
        <v>142</v>
      </c>
      <c r="S235" s="212"/>
      <c r="T235" s="212"/>
      <c r="U235" s="212"/>
      <c r="V235" s="212" t="s">
        <v>142</v>
      </c>
      <c r="W235" s="212" t="str">
        <f t="shared" si="53"/>
        <v/>
      </c>
      <c r="X235" s="214"/>
    </row>
    <row r="236" spans="1:24" ht="15">
      <c r="A236" s="211" t="s">
        <v>37</v>
      </c>
      <c r="B236" s="225" t="s">
        <v>38</v>
      </c>
      <c r="C236" s="212" t="s">
        <v>69</v>
      </c>
      <c r="D236" s="212" t="s">
        <v>145</v>
      </c>
      <c r="E236" s="212" t="s">
        <v>146</v>
      </c>
      <c r="F236" s="212" t="s">
        <v>167</v>
      </c>
      <c r="G236" s="212" t="s">
        <v>118</v>
      </c>
      <c r="H236" s="212" t="s">
        <v>168</v>
      </c>
      <c r="I236" s="212" t="s">
        <v>169</v>
      </c>
      <c r="J236" s="212" t="s">
        <v>170</v>
      </c>
      <c r="K236" s="212" t="s">
        <v>260</v>
      </c>
      <c r="L236" s="212" t="s">
        <v>261</v>
      </c>
      <c r="M236" s="213">
        <v>45</v>
      </c>
      <c r="N236" s="441" cm="1">
        <f t="array" ref="N236">IF(TRIM(K236)="Mano de Obra",IF(Formulario!$L$23&lt;&gt;"",Formulario!$L$23,IFERROR(VLOOKUP(TRIM($M$4),Jornalesdeppto!A:C,3,0),"")),_xlfn.XLOOKUP(1,(Tabla_Costos_Insumos!$A$2:$A$3199=TRIM($M$4))*(Tabla_Costos_Insumos!$C$2:$C$3199=TRIM(K236)),Tabla_Costos_Insumos!$E$2:$E$3199,"",0))</f>
        <v>25534.226046466123</v>
      </c>
      <c r="O236" s="441">
        <f t="shared" si="52"/>
        <v>1149040.1720909756</v>
      </c>
      <c r="P236" s="212" t="str">
        <f t="shared" si="58"/>
        <v>Limón Mandarino</v>
      </c>
      <c r="Q236" s="212" t="s">
        <v>142</v>
      </c>
      <c r="R236" s="212" t="s">
        <v>142</v>
      </c>
      <c r="S236" s="212"/>
      <c r="T236" s="212"/>
      <c r="U236" s="212"/>
      <c r="V236" s="212" t="s">
        <v>142</v>
      </c>
      <c r="W236" s="212" t="str">
        <f t="shared" si="53"/>
        <v/>
      </c>
      <c r="X236" s="214"/>
    </row>
    <row r="237" spans="1:24" ht="15">
      <c r="A237" s="211" t="s">
        <v>37</v>
      </c>
      <c r="B237" s="225" t="s">
        <v>38</v>
      </c>
      <c r="C237" s="212" t="s">
        <v>69</v>
      </c>
      <c r="D237" s="212" t="s">
        <v>145</v>
      </c>
      <c r="E237" s="212" t="s">
        <v>146</v>
      </c>
      <c r="F237" s="212" t="s">
        <v>167</v>
      </c>
      <c r="G237" s="212" t="s">
        <v>118</v>
      </c>
      <c r="H237" s="212" t="s">
        <v>174</v>
      </c>
      <c r="I237" s="212" t="s">
        <v>175</v>
      </c>
      <c r="J237" s="212" t="s">
        <v>176</v>
      </c>
      <c r="K237" s="212" t="s">
        <v>262</v>
      </c>
      <c r="L237" s="212" t="s">
        <v>172</v>
      </c>
      <c r="M237" s="213">
        <v>16</v>
      </c>
      <c r="N237" s="441" cm="1">
        <f t="array" ref="N237">IF(TRIM(K237)="Mano de Obra",IF(Formulario!$L$23&lt;&gt;"",Formulario!$L$23,IFERROR(VLOOKUP(TRIM($M$4),Jornalesdeppto!A:C,3,0),"")),_xlfn.XLOOKUP(1,(Tabla_Costos_Insumos!$A$2:$A$3199=TRIM($M$4))*(Tabla_Costos_Insumos!$C$2:$C$3199=TRIM(K237)),Tabla_Costos_Insumos!$E$2:$E$3199,"",0))</f>
        <v>17500</v>
      </c>
      <c r="O237" s="441">
        <f t="shared" si="52"/>
        <v>280000</v>
      </c>
      <c r="P237" s="212" t="str">
        <f t="shared" si="58"/>
        <v>Limón Mandarino</v>
      </c>
      <c r="Q237" s="212" t="s">
        <v>142</v>
      </c>
      <c r="R237" s="212" t="s">
        <v>142</v>
      </c>
      <c r="S237" s="212"/>
      <c r="T237" s="212"/>
      <c r="U237" s="212"/>
      <c r="V237" s="212" t="s">
        <v>142</v>
      </c>
      <c r="W237" s="212" t="str">
        <f t="shared" si="53"/>
        <v/>
      </c>
      <c r="X237" s="214"/>
    </row>
    <row r="238" spans="1:24" ht="15">
      <c r="A238" s="211" t="s">
        <v>37</v>
      </c>
      <c r="B238" s="225" t="s">
        <v>38</v>
      </c>
      <c r="C238" s="212" t="s">
        <v>69</v>
      </c>
      <c r="D238" s="212" t="s">
        <v>145</v>
      </c>
      <c r="E238" s="212" t="s">
        <v>146</v>
      </c>
      <c r="F238" s="212" t="s">
        <v>167</v>
      </c>
      <c r="G238" s="212" t="s">
        <v>118</v>
      </c>
      <c r="H238" s="212" t="s">
        <v>178</v>
      </c>
      <c r="I238" s="212" t="s">
        <v>179</v>
      </c>
      <c r="J238" s="212" t="s">
        <v>180</v>
      </c>
      <c r="K238" s="212" t="s">
        <v>181</v>
      </c>
      <c r="L238" s="212" t="s">
        <v>172</v>
      </c>
      <c r="M238" s="213">
        <v>5</v>
      </c>
      <c r="N238" s="441" cm="1">
        <f t="array" ref="N238">IF(TRIM(K238)="Mano de Obra",IF(Formulario!$L$23&lt;&gt;"",Formulario!$L$23,IFERROR(VLOOKUP(TRIM($M$4),Jornalesdeppto!A:C,3,0),"")),_xlfn.XLOOKUP(1,(Tabla_Costos_Insumos!$A$2:$A$3199=TRIM($M$4))*(Tabla_Costos_Insumos!$C$2:$C$3199=TRIM(K238)),Tabla_Costos_Insumos!$E$2:$E$3199,"",0))</f>
        <v>34056.25</v>
      </c>
      <c r="O238" s="441">
        <f t="shared" si="52"/>
        <v>170281.25</v>
      </c>
      <c r="P238" s="212" t="str">
        <f t="shared" si="58"/>
        <v>Limón Mandarino</v>
      </c>
      <c r="Q238" s="212" t="s">
        <v>142</v>
      </c>
      <c r="R238" s="212" t="s">
        <v>142</v>
      </c>
      <c r="S238" s="212"/>
      <c r="T238" s="212"/>
      <c r="U238" s="212"/>
      <c r="V238" s="212" t="s">
        <v>142</v>
      </c>
      <c r="W238" s="212" t="str">
        <f t="shared" si="53"/>
        <v/>
      </c>
      <c r="X238" s="214"/>
    </row>
    <row r="239" spans="1:24" ht="15">
      <c r="A239" s="211" t="s">
        <v>37</v>
      </c>
      <c r="B239" s="225" t="s">
        <v>38</v>
      </c>
      <c r="C239" s="212" t="s">
        <v>69</v>
      </c>
      <c r="D239" s="212" t="s">
        <v>145</v>
      </c>
      <c r="E239" s="212" t="s">
        <v>146</v>
      </c>
      <c r="F239" s="212" t="s">
        <v>167</v>
      </c>
      <c r="G239" s="212" t="s">
        <v>118</v>
      </c>
      <c r="H239" s="212" t="s">
        <v>178</v>
      </c>
      <c r="I239" s="212" t="s">
        <v>179</v>
      </c>
      <c r="J239" s="212" t="s">
        <v>180</v>
      </c>
      <c r="K239" s="212" t="s">
        <v>263</v>
      </c>
      <c r="L239" s="212" t="s">
        <v>172</v>
      </c>
      <c r="M239" s="213">
        <v>6</v>
      </c>
      <c r="N239" s="441" cm="1">
        <f t="array" ref="N239">IF(TRIM(K239)="Mano de Obra",IF(Formulario!$L$23&lt;&gt;"",Formulario!$L$23,IFERROR(VLOOKUP(TRIM($M$4),Jornalesdeppto!A:C,3,0),"")),_xlfn.XLOOKUP(1,(Tabla_Costos_Insumos!$A$2:$A$3199=TRIM($M$4))*(Tabla_Costos_Insumos!$C$2:$C$3199=TRIM(K239)),Tabla_Costos_Insumos!$E$2:$E$3199,"",0))</f>
        <v>210423.61</v>
      </c>
      <c r="O239" s="441">
        <f t="shared" si="52"/>
        <v>1262541.6599999999</v>
      </c>
      <c r="P239" s="212" t="str">
        <f t="shared" si="58"/>
        <v>Limón Mandarino</v>
      </c>
      <c r="Q239" s="212" t="s">
        <v>142</v>
      </c>
      <c r="R239" s="212" t="s">
        <v>142</v>
      </c>
      <c r="S239" s="212"/>
      <c r="T239" s="212"/>
      <c r="U239" s="212"/>
      <c r="V239" s="212" t="s">
        <v>142</v>
      </c>
      <c r="W239" s="212" t="str">
        <f t="shared" si="53"/>
        <v/>
      </c>
      <c r="X239" s="214"/>
    </row>
    <row r="240" spans="1:24" ht="15">
      <c r="A240" s="211" t="s">
        <v>37</v>
      </c>
      <c r="B240" s="225" t="s">
        <v>38</v>
      </c>
      <c r="C240" s="212" t="s">
        <v>69</v>
      </c>
      <c r="D240" s="212" t="s">
        <v>145</v>
      </c>
      <c r="E240" s="212" t="s">
        <v>146</v>
      </c>
      <c r="F240" s="212" t="s">
        <v>183</v>
      </c>
      <c r="G240" s="212" t="s">
        <v>184</v>
      </c>
      <c r="H240" s="212" t="s">
        <v>185</v>
      </c>
      <c r="I240" s="212" t="s">
        <v>186</v>
      </c>
      <c r="J240" s="212" t="s">
        <v>105</v>
      </c>
      <c r="K240" s="212" t="s">
        <v>187</v>
      </c>
      <c r="L240" s="212" t="s">
        <v>188</v>
      </c>
      <c r="M240" s="213">
        <v>0.1</v>
      </c>
      <c r="N240" s="441" cm="1">
        <f t="array" ref="N240">IF(TRIM(K240)="Mano de Obra",IF(Formulario!$L$23&lt;&gt;"",Formulario!$L$23,IFERROR(VLOOKUP(TRIM($M$4),Jornalesdeppto!A:C,3,0),"")),_xlfn.XLOOKUP(1,(Tabla_Costos_Insumos!$A$2:$A$3199=TRIM($M$4))*(Tabla_Costos_Insumos!$C$2:$C$3199=TRIM(K240)),Tabla_Costos_Insumos!$E$2:$E$3199,"",0))</f>
        <v>175000</v>
      </c>
      <c r="O240" s="441">
        <f t="shared" si="52"/>
        <v>17500</v>
      </c>
      <c r="P240" s="212" t="str">
        <f t="shared" si="58"/>
        <v>Limón Mandarino</v>
      </c>
      <c r="Q240" s="212" t="s">
        <v>142</v>
      </c>
      <c r="R240" s="212" t="s">
        <v>142</v>
      </c>
      <c r="S240" s="212"/>
      <c r="T240" s="212"/>
      <c r="U240" s="212"/>
      <c r="V240" s="212" t="s">
        <v>142</v>
      </c>
      <c r="W240" s="212" t="str">
        <f t="shared" si="53"/>
        <v/>
      </c>
      <c r="X240" s="214"/>
    </row>
    <row r="241" spans="1:24" ht="15">
      <c r="A241" s="211" t="s">
        <v>37</v>
      </c>
      <c r="B241" s="225" t="s">
        <v>38</v>
      </c>
      <c r="C241" s="212" t="s">
        <v>69</v>
      </c>
      <c r="D241" s="212" t="s">
        <v>189</v>
      </c>
      <c r="E241" s="212" t="s">
        <v>190</v>
      </c>
      <c r="F241" s="212" t="s">
        <v>191</v>
      </c>
      <c r="G241" s="212" t="s">
        <v>192</v>
      </c>
      <c r="H241" s="212" t="s">
        <v>193</v>
      </c>
      <c r="I241" s="212" t="s">
        <v>194</v>
      </c>
      <c r="J241" s="212" t="s">
        <v>195</v>
      </c>
      <c r="K241" s="212" t="s">
        <v>196</v>
      </c>
      <c r="L241" s="212" t="s">
        <v>197</v>
      </c>
      <c r="M241" s="213">
        <v>1</v>
      </c>
      <c r="N241" s="441">
        <f>IFERROR(SUM(O223:$O$240)*0.08,0)</f>
        <v>1015214.8657753583</v>
      </c>
      <c r="O241" s="441">
        <f t="shared" si="52"/>
        <v>1015214.8657753583</v>
      </c>
      <c r="P241" s="212" t="str">
        <f t="shared" si="58"/>
        <v>Limón Mandarino</v>
      </c>
      <c r="Q241" s="212" t="s">
        <v>142</v>
      </c>
      <c r="R241" s="212" t="s">
        <v>142</v>
      </c>
      <c r="S241" s="212"/>
      <c r="T241" s="212"/>
      <c r="U241" s="212"/>
      <c r="V241" s="212" t="s">
        <v>142</v>
      </c>
      <c r="W241" s="212" t="str">
        <f t="shared" si="53"/>
        <v/>
      </c>
      <c r="X241" s="214"/>
    </row>
    <row r="242" spans="1:24" ht="15">
      <c r="A242" s="211" t="s">
        <v>37</v>
      </c>
      <c r="B242" s="225" t="s">
        <v>38</v>
      </c>
      <c r="C242" s="212" t="s">
        <v>69</v>
      </c>
      <c r="D242" s="212" t="s">
        <v>189</v>
      </c>
      <c r="E242" s="212" t="s">
        <v>190</v>
      </c>
      <c r="F242" s="212" t="s">
        <v>198</v>
      </c>
      <c r="G242" s="212" t="s">
        <v>199</v>
      </c>
      <c r="H242" s="212" t="s">
        <v>200</v>
      </c>
      <c r="I242" s="212" t="s">
        <v>201</v>
      </c>
      <c r="J242" s="212" t="s">
        <v>105</v>
      </c>
      <c r="K242" s="212" t="s">
        <v>202</v>
      </c>
      <c r="L242" s="212" t="s">
        <v>203</v>
      </c>
      <c r="M242" s="213">
        <v>1</v>
      </c>
      <c r="N242" s="441" cm="1">
        <f t="array" ref="N242">IF(TRIM(K242)="Mano de Obra",IF(Formulario!$L$23&lt;&gt;"",Formulario!$L$23,IFERROR(VLOOKUP(TRIM($M$4),Jornalesdeppto!A:C,3,0),"")),_xlfn.XLOOKUP(1,(Tabla_Costos_Insumos!$A$2:$A$3199=TRIM($M$4))*(Tabla_Costos_Insumos!$C$2:$C$3199=TRIM(K242)),Tabla_Costos_Insumos!$E$2:$E$3199,"",0))</f>
        <v>120000</v>
      </c>
      <c r="O242" s="441">
        <f t="shared" si="52"/>
        <v>120000</v>
      </c>
      <c r="P242" s="212" t="str">
        <f t="shared" si="58"/>
        <v>Limón Mandarino</v>
      </c>
      <c r="Q242" s="212" t="s">
        <v>142</v>
      </c>
      <c r="R242" s="212" t="s">
        <v>142</v>
      </c>
      <c r="S242" s="212"/>
      <c r="T242" s="212"/>
      <c r="U242" s="212"/>
      <c r="V242" s="212" t="s">
        <v>142</v>
      </c>
      <c r="W242" s="212" t="str">
        <f t="shared" si="53"/>
        <v/>
      </c>
      <c r="X242" s="214"/>
    </row>
    <row r="243" spans="1:24" ht="15">
      <c r="A243" s="211" t="s">
        <v>37</v>
      </c>
      <c r="B243" s="225" t="s">
        <v>38</v>
      </c>
      <c r="C243" s="212" t="s">
        <v>69</v>
      </c>
      <c r="D243" s="212" t="s">
        <v>189</v>
      </c>
      <c r="E243" s="212" t="s">
        <v>190</v>
      </c>
      <c r="F243" s="212" t="s">
        <v>204</v>
      </c>
      <c r="G243" s="212" t="s">
        <v>205</v>
      </c>
      <c r="H243" s="212" t="s">
        <v>206</v>
      </c>
      <c r="I243" s="212" t="s">
        <v>207</v>
      </c>
      <c r="J243" s="212" t="s">
        <v>4127</v>
      </c>
      <c r="K243" s="212" t="s">
        <v>228</v>
      </c>
      <c r="L243" s="212" t="s">
        <v>197</v>
      </c>
      <c r="M243" s="213">
        <v>1</v>
      </c>
      <c r="N243" s="441" t="str">
        <f>IF($M$3="Limón Mandarino",$J$4,"")</f>
        <v/>
      </c>
      <c r="O243" s="441" t="str">
        <f t="shared" si="52"/>
        <v/>
      </c>
      <c r="P243" s="212" t="str">
        <f t="shared" si="58"/>
        <v>Limón Mandarino</v>
      </c>
      <c r="Q243" s="212" t="s">
        <v>142</v>
      </c>
      <c r="R243" s="212" t="s">
        <v>142</v>
      </c>
      <c r="S243" s="212"/>
      <c r="T243" s="212"/>
      <c r="U243" s="212"/>
      <c r="V243" s="212" t="s">
        <v>142</v>
      </c>
      <c r="W243" s="212" t="str">
        <f t="shared" si="53"/>
        <v/>
      </c>
      <c r="X243" s="214"/>
    </row>
    <row r="244" spans="1:24" ht="15">
      <c r="A244" s="211" t="s">
        <v>37</v>
      </c>
      <c r="B244" s="225" t="s">
        <v>38</v>
      </c>
      <c r="C244" s="216" t="s">
        <v>53</v>
      </c>
      <c r="D244" s="216" t="s">
        <v>99</v>
      </c>
      <c r="E244" s="216" t="s">
        <v>100</v>
      </c>
      <c r="F244" s="216" t="s">
        <v>101</v>
      </c>
      <c r="G244" s="216" t="s">
        <v>102</v>
      </c>
      <c r="H244" s="216" t="s">
        <v>103</v>
      </c>
      <c r="I244" s="216" t="s">
        <v>104</v>
      </c>
      <c r="J244" s="216" t="s">
        <v>105</v>
      </c>
      <c r="K244" s="216" t="s">
        <v>106</v>
      </c>
      <c r="L244" s="216" t="s">
        <v>107</v>
      </c>
      <c r="M244" s="217">
        <f t="shared" ref="M244:M256" si="61">IF(W244&lt;&gt;"", W244, ROUNDUP(X244*T244, 0))</f>
        <v>6</v>
      </c>
      <c r="N244" s="442" cm="1">
        <f t="array" ref="N244">IF(TRIM(K244)="Mano de Obra",IF(Formulario!$L$23&lt;&gt;"",Formulario!$L$23,IFERROR(VLOOKUP(TRIM($M$4),Jornalesdeppto!A:C,3,0),"")),_xlfn.XLOOKUP(1,(Tabla_Costos_Insumos!$A$2:$A$3199=TRIM($M$4))*(Tabla_Costos_Insumos!$C$2:$C$3199=TRIM(K244)),Tabla_Costos_Insumos!$E$2:$E$3199,"",0))</f>
        <v>46666.666666666664</v>
      </c>
      <c r="O244" s="442">
        <f t="shared" si="52"/>
        <v>280000</v>
      </c>
      <c r="P244" s="216" t="str">
        <f t="shared" si="58"/>
        <v>Limón Mandarino</v>
      </c>
      <c r="Q244" s="212" t="s">
        <v>108</v>
      </c>
      <c r="R244" s="212">
        <v>7</v>
      </c>
      <c r="S244" s="212" t="str">
        <f t="shared" ref="S244:S245" si="62">IF($M$3="Limón Mandarino",($I$3*R244) / 480,"")</f>
        <v/>
      </c>
      <c r="T244" s="212" cm="1">
        <f t="array" ref="T244">_xlfn.IFS($D$5&lt;=7, 1.1, $D$5&lt;=12,1.2, $D$5&lt;=25, 1.3, $D$5&gt;25,1.4)</f>
        <v>1.3</v>
      </c>
      <c r="U244" s="212" t="str">
        <f t="shared" ref="U244:U245" si="63">IFERROR(S244*T244,"")</f>
        <v/>
      </c>
      <c r="V244" s="212">
        <v>1</v>
      </c>
      <c r="W244" s="212" t="str">
        <f t="shared" si="53"/>
        <v/>
      </c>
      <c r="X244" s="214">
        <v>4</v>
      </c>
    </row>
    <row r="245" spans="1:24" ht="15">
      <c r="A245" s="211" t="s">
        <v>37</v>
      </c>
      <c r="B245" s="225" t="s">
        <v>38</v>
      </c>
      <c r="C245" s="216" t="s">
        <v>53</v>
      </c>
      <c r="D245" s="216" t="s">
        <v>99</v>
      </c>
      <c r="E245" s="216" t="s">
        <v>100</v>
      </c>
      <c r="F245" s="216" t="s">
        <v>101</v>
      </c>
      <c r="G245" s="216" t="s">
        <v>102</v>
      </c>
      <c r="H245" s="216" t="s">
        <v>212</v>
      </c>
      <c r="I245" s="216" t="s">
        <v>213</v>
      </c>
      <c r="J245" s="216" t="s">
        <v>105</v>
      </c>
      <c r="K245" s="216" t="s">
        <v>106</v>
      </c>
      <c r="L245" s="216" t="s">
        <v>107</v>
      </c>
      <c r="M245" s="217">
        <f t="shared" si="61"/>
        <v>6</v>
      </c>
      <c r="N245" s="442" cm="1">
        <f t="array" ref="N245">IF(TRIM(K245)="Mano de Obra",IF(Formulario!$L$23&lt;&gt;"",Formulario!$L$23,IFERROR(VLOOKUP(TRIM($M$4),Jornalesdeppto!A:C,3,0),"")),_xlfn.XLOOKUP(1,(Tabla_Costos_Insumos!$A$2:$A$3199=TRIM($M$4))*(Tabla_Costos_Insumos!$C$2:$C$3199=TRIM(K245)),Tabla_Costos_Insumos!$E$2:$E$3199,"",0))</f>
        <v>46666.666666666664</v>
      </c>
      <c r="O245" s="442">
        <f t="shared" si="52"/>
        <v>280000</v>
      </c>
      <c r="P245" s="216" t="str">
        <f t="shared" si="58"/>
        <v>Limón Mandarino</v>
      </c>
      <c r="Q245" s="212" t="s">
        <v>108</v>
      </c>
      <c r="R245" s="212">
        <v>14</v>
      </c>
      <c r="S245" s="212" t="str">
        <f t="shared" si="62"/>
        <v/>
      </c>
      <c r="T245" s="212" cm="1">
        <f t="array" ref="T245">_xlfn.IFS($D$5&lt;=7, 1.1, $D$5&lt;=12,1.2, $D$5&lt;=25, 1.3, $D$5&gt;25,1.4)</f>
        <v>1.3</v>
      </c>
      <c r="U245" s="212" t="str">
        <f t="shared" si="63"/>
        <v/>
      </c>
      <c r="V245" s="212">
        <v>1</v>
      </c>
      <c r="W245" s="212" t="str">
        <f t="shared" si="53"/>
        <v/>
      </c>
      <c r="X245" s="214">
        <v>4</v>
      </c>
    </row>
    <row r="246" spans="1:24" ht="15">
      <c r="A246" s="211" t="s">
        <v>37</v>
      </c>
      <c r="B246" s="225" t="s">
        <v>38</v>
      </c>
      <c r="C246" s="216" t="s">
        <v>53</v>
      </c>
      <c r="D246" s="216" t="s">
        <v>99</v>
      </c>
      <c r="E246" s="216" t="s">
        <v>100</v>
      </c>
      <c r="F246" s="216" t="s">
        <v>109</v>
      </c>
      <c r="G246" s="216" t="s">
        <v>110</v>
      </c>
      <c r="H246" s="216" t="s">
        <v>111</v>
      </c>
      <c r="I246" s="216" t="s">
        <v>112</v>
      </c>
      <c r="J246" s="216" t="s">
        <v>105</v>
      </c>
      <c r="K246" s="216" t="s">
        <v>106</v>
      </c>
      <c r="L246" s="216" t="s">
        <v>107</v>
      </c>
      <c r="M246" s="217">
        <f t="shared" si="61"/>
        <v>7</v>
      </c>
      <c r="N246" s="442" cm="1">
        <f t="array" ref="N246">IF(TRIM(K246)="Mano de Obra",IF(Formulario!$L$23&lt;&gt;"",Formulario!$L$23,IFERROR(VLOOKUP(TRIM($M$4),Jornalesdeppto!A:C,3,0),"")),_xlfn.XLOOKUP(1,(Tabla_Costos_Insumos!$A$2:$A$3199=TRIM($M$4))*(Tabla_Costos_Insumos!$C$2:$C$3199=TRIM(K246)),Tabla_Costos_Insumos!$E$2:$E$3199,"",0))</f>
        <v>46666.666666666664</v>
      </c>
      <c r="O246" s="442">
        <f t="shared" si="52"/>
        <v>326666.66666666663</v>
      </c>
      <c r="P246" s="216" t="str">
        <f t="shared" si="58"/>
        <v>Limón Mandarino</v>
      </c>
      <c r="Q246" s="212" t="s">
        <v>108</v>
      </c>
      <c r="R246" s="212">
        <v>0.4</v>
      </c>
      <c r="S246" s="212" t="str">
        <f t="shared" ref="S246:S252" si="64">IF($M$3="Limón Mandarino",($I$3*R246) / 480,"")</f>
        <v/>
      </c>
      <c r="T246" s="212" cm="1">
        <f t="array" ref="T246">_xlfn.IFS($D$5&lt;=7, 1.1, $D$5&lt;=12,1.2, $D$5&lt;=25, 1.3, $D$5&gt;25,1.4)</f>
        <v>1.3</v>
      </c>
      <c r="U246" s="212" t="str">
        <f t="shared" ref="U246:U252" si="65">IFERROR(S246*T246,"")</f>
        <v/>
      </c>
      <c r="V246" s="212">
        <v>2</v>
      </c>
      <c r="W246" s="212" t="str">
        <f t="shared" ref="W246:W309" si="66">IFERROR(ROUNDUP(V246*U246,0),"")</f>
        <v/>
      </c>
      <c r="X246" s="214">
        <v>5</v>
      </c>
    </row>
    <row r="247" spans="1:24" ht="15">
      <c r="A247" s="211" t="s">
        <v>37</v>
      </c>
      <c r="B247" s="225" t="s">
        <v>38</v>
      </c>
      <c r="C247" s="216" t="s">
        <v>53</v>
      </c>
      <c r="D247" s="216" t="s">
        <v>99</v>
      </c>
      <c r="E247" s="216" t="s">
        <v>100</v>
      </c>
      <c r="F247" s="216" t="s">
        <v>109</v>
      </c>
      <c r="G247" s="216" t="s">
        <v>110</v>
      </c>
      <c r="H247" s="216" t="s">
        <v>234</v>
      </c>
      <c r="I247" s="216" t="s">
        <v>235</v>
      </c>
      <c r="J247" s="216" t="s">
        <v>105</v>
      </c>
      <c r="K247" s="216" t="s">
        <v>106</v>
      </c>
      <c r="L247" s="216" t="s">
        <v>107</v>
      </c>
      <c r="M247" s="217">
        <f t="shared" si="61"/>
        <v>10</v>
      </c>
      <c r="N247" s="442" cm="1">
        <f t="array" ref="N247">IF(TRIM(K247)="Mano de Obra",IF(Formulario!$L$23&lt;&gt;"",Formulario!$L$23,IFERROR(VLOOKUP(TRIM($M$4),Jornalesdeppto!A:C,3,0),"")),_xlfn.XLOOKUP(1,(Tabla_Costos_Insumos!$A$2:$A$3199=TRIM($M$4))*(Tabla_Costos_Insumos!$C$2:$C$3199=TRIM(K247)),Tabla_Costos_Insumos!$E$2:$E$3199,"",0))</f>
        <v>46666.666666666664</v>
      </c>
      <c r="O247" s="442">
        <f t="shared" si="52"/>
        <v>466666.66666666663</v>
      </c>
      <c r="P247" s="216" t="str">
        <f t="shared" si="58"/>
        <v>Limón Mandarino</v>
      </c>
      <c r="Q247" s="212" t="s">
        <v>108</v>
      </c>
      <c r="R247" s="212">
        <v>2</v>
      </c>
      <c r="S247" s="212" t="str">
        <f t="shared" si="64"/>
        <v/>
      </c>
      <c r="T247" s="212" cm="1">
        <f t="array" ref="T247">_xlfn.IFS($D$5&lt;=7, 1.1, $D$5&lt;=12,1.2, $D$5&lt;=25, 1.3, $D$5&gt;25,1.4)</f>
        <v>1.3</v>
      </c>
      <c r="U247" s="212" t="str">
        <f t="shared" si="65"/>
        <v/>
      </c>
      <c r="V247" s="212">
        <v>4</v>
      </c>
      <c r="W247" s="212" t="str">
        <f t="shared" si="66"/>
        <v/>
      </c>
      <c r="X247" s="214">
        <v>7</v>
      </c>
    </row>
    <row r="248" spans="1:24" ht="15">
      <c r="A248" s="211" t="s">
        <v>37</v>
      </c>
      <c r="B248" s="225" t="s">
        <v>38</v>
      </c>
      <c r="C248" s="216" t="s">
        <v>53</v>
      </c>
      <c r="D248" s="216" t="s">
        <v>99</v>
      </c>
      <c r="E248" s="216" t="s">
        <v>100</v>
      </c>
      <c r="F248" s="216" t="s">
        <v>109</v>
      </c>
      <c r="G248" s="216" t="s">
        <v>110</v>
      </c>
      <c r="H248" s="216" t="s">
        <v>215</v>
      </c>
      <c r="I248" s="216" t="s">
        <v>216</v>
      </c>
      <c r="J248" s="216" t="s">
        <v>105</v>
      </c>
      <c r="K248" s="216" t="s">
        <v>106</v>
      </c>
      <c r="L248" s="216" t="s">
        <v>107</v>
      </c>
      <c r="M248" s="217">
        <f t="shared" si="61"/>
        <v>3</v>
      </c>
      <c r="N248" s="442" cm="1">
        <f t="array" ref="N248">IF(TRIM(K248)="Mano de Obra",IF(Formulario!$L$23&lt;&gt;"",Formulario!$L$23,IFERROR(VLOOKUP(TRIM($M$4),Jornalesdeppto!A:C,3,0),"")),_xlfn.XLOOKUP(1,(Tabla_Costos_Insumos!$A$2:$A$3199=TRIM($M$4))*(Tabla_Costos_Insumos!$C$2:$C$3199=TRIM(K248)),Tabla_Costos_Insumos!$E$2:$E$3199,"",0))</f>
        <v>46666.666666666664</v>
      </c>
      <c r="O248" s="442">
        <f t="shared" si="52"/>
        <v>140000</v>
      </c>
      <c r="P248" s="216" t="str">
        <f t="shared" si="58"/>
        <v>Limón Mandarino</v>
      </c>
      <c r="Q248" s="212" t="s">
        <v>108</v>
      </c>
      <c r="R248" s="212">
        <v>15</v>
      </c>
      <c r="S248" s="212" t="str">
        <f t="shared" si="64"/>
        <v/>
      </c>
      <c r="T248" s="212" cm="1">
        <f t="array" ref="T248">_xlfn.IFS($D$5&lt;=7, 1.1, $D$5&lt;=12,1.2, $D$5&lt;=25, 1.3, $D$5&gt;25,1.4)</f>
        <v>1.3</v>
      </c>
      <c r="U248" s="212" t="str">
        <f t="shared" si="65"/>
        <v/>
      </c>
      <c r="V248" s="212">
        <v>1</v>
      </c>
      <c r="W248" s="212" t="str">
        <f t="shared" si="66"/>
        <v/>
      </c>
      <c r="X248" s="214">
        <v>2</v>
      </c>
    </row>
    <row r="249" spans="1:24" ht="15">
      <c r="A249" s="211" t="s">
        <v>37</v>
      </c>
      <c r="B249" s="225" t="s">
        <v>38</v>
      </c>
      <c r="C249" s="216" t="s">
        <v>53</v>
      </c>
      <c r="D249" s="216" t="s">
        <v>99</v>
      </c>
      <c r="E249" s="216" t="s">
        <v>100</v>
      </c>
      <c r="F249" s="216" t="s">
        <v>109</v>
      </c>
      <c r="G249" s="216" t="s">
        <v>110</v>
      </c>
      <c r="H249" s="216" t="s">
        <v>217</v>
      </c>
      <c r="I249" s="216" t="s">
        <v>218</v>
      </c>
      <c r="J249" s="216" t="s">
        <v>105</v>
      </c>
      <c r="K249" s="216" t="s">
        <v>106</v>
      </c>
      <c r="L249" s="216" t="s">
        <v>107</v>
      </c>
      <c r="M249" s="217">
        <f t="shared" si="61"/>
        <v>4</v>
      </c>
      <c r="N249" s="442" cm="1">
        <f t="array" ref="N249">IF(TRIM(K249)="Mano de Obra",IF(Formulario!$L$23&lt;&gt;"",Formulario!$L$23,IFERROR(VLOOKUP(TRIM($M$4),Jornalesdeppto!A:C,3,0),"")),_xlfn.XLOOKUP(1,(Tabla_Costos_Insumos!$A$2:$A$3199=TRIM($M$4))*(Tabla_Costos_Insumos!$C$2:$C$3199=TRIM(K249)),Tabla_Costos_Insumos!$E$2:$E$3199,"",0))</f>
        <v>46666.666666666664</v>
      </c>
      <c r="O249" s="442">
        <f t="shared" si="52"/>
        <v>186666.66666666666</v>
      </c>
      <c r="P249" s="216" t="str">
        <f t="shared" si="58"/>
        <v>Limón Mandarino</v>
      </c>
      <c r="Q249" s="212" t="s">
        <v>108</v>
      </c>
      <c r="R249" s="212">
        <v>16</v>
      </c>
      <c r="S249" s="212" t="str">
        <f t="shared" si="64"/>
        <v/>
      </c>
      <c r="T249" s="212" cm="1">
        <f t="array" ref="T249">_xlfn.IFS($D$5&lt;=7, 1.1, $D$5&lt;=12,1.2, $D$5&lt;=25, 1.3, $D$5&gt;25,1.4)</f>
        <v>1.3</v>
      </c>
      <c r="U249" s="212" t="str">
        <f t="shared" si="65"/>
        <v/>
      </c>
      <c r="V249" s="212">
        <v>1</v>
      </c>
      <c r="W249" s="212" t="str">
        <f t="shared" si="66"/>
        <v/>
      </c>
      <c r="X249" s="214">
        <v>3</v>
      </c>
    </row>
    <row r="250" spans="1:24" ht="15">
      <c r="A250" s="211" t="s">
        <v>37</v>
      </c>
      <c r="B250" s="225" t="s">
        <v>38</v>
      </c>
      <c r="C250" s="216" t="s">
        <v>53</v>
      </c>
      <c r="D250" s="216" t="s">
        <v>99</v>
      </c>
      <c r="E250" s="216" t="s">
        <v>100</v>
      </c>
      <c r="F250" s="216" t="s">
        <v>113</v>
      </c>
      <c r="G250" s="216" t="s">
        <v>114</v>
      </c>
      <c r="H250" s="216" t="s">
        <v>115</v>
      </c>
      <c r="I250" s="216" t="s">
        <v>116</v>
      </c>
      <c r="J250" s="216" t="s">
        <v>105</v>
      </c>
      <c r="K250" s="216" t="s">
        <v>106</v>
      </c>
      <c r="L250" s="216" t="s">
        <v>107</v>
      </c>
      <c r="M250" s="217">
        <f t="shared" si="61"/>
        <v>13</v>
      </c>
      <c r="N250" s="442" cm="1">
        <f t="array" ref="N250">IF(TRIM(K250)="Mano de Obra",IF(Formulario!$L$23&lt;&gt;"",Formulario!$L$23,IFERROR(VLOOKUP(TRIM($M$4),Jornalesdeppto!A:C,3,0),"")),_xlfn.XLOOKUP(1,(Tabla_Costos_Insumos!$A$2:$A$3199=TRIM($M$4))*(Tabla_Costos_Insumos!$C$2:$C$3199=TRIM(K250)),Tabla_Costos_Insumos!$E$2:$E$3199,"",0))</f>
        <v>46666.666666666664</v>
      </c>
      <c r="O250" s="442">
        <f t="shared" si="52"/>
        <v>606666.66666666663</v>
      </c>
      <c r="P250" s="216" t="str">
        <f t="shared" si="58"/>
        <v>Limón Mandarino</v>
      </c>
      <c r="Q250" s="212" t="s">
        <v>108</v>
      </c>
      <c r="R250" s="212">
        <v>3</v>
      </c>
      <c r="S250" s="212" t="str">
        <f t="shared" si="64"/>
        <v/>
      </c>
      <c r="T250" s="212" cm="1">
        <f t="array" ref="T250">_xlfn.IFS($D$5&lt;=7, 1.1, $D$5&lt;=12,1.2, $D$5&lt;=25, 1.3, $D$5&gt;25,1.4)</f>
        <v>1.3</v>
      </c>
      <c r="U250" s="212" t="str">
        <f t="shared" si="65"/>
        <v/>
      </c>
      <c r="V250" s="212">
        <v>2</v>
      </c>
      <c r="W250" s="212" t="str">
        <f t="shared" si="66"/>
        <v/>
      </c>
      <c r="X250" s="214">
        <v>10</v>
      </c>
    </row>
    <row r="251" spans="1:24" ht="15">
      <c r="A251" s="211" t="s">
        <v>37</v>
      </c>
      <c r="B251" s="225" t="s">
        <v>38</v>
      </c>
      <c r="C251" s="216" t="s">
        <v>53</v>
      </c>
      <c r="D251" s="216" t="s">
        <v>99</v>
      </c>
      <c r="E251" s="216" t="s">
        <v>100</v>
      </c>
      <c r="F251" s="216" t="s">
        <v>117</v>
      </c>
      <c r="G251" s="216" t="s">
        <v>118</v>
      </c>
      <c r="H251" s="216" t="s">
        <v>119</v>
      </c>
      <c r="I251" s="216" t="s">
        <v>120</v>
      </c>
      <c r="J251" s="216" t="s">
        <v>105</v>
      </c>
      <c r="K251" s="216" t="s">
        <v>106</v>
      </c>
      <c r="L251" s="216" t="s">
        <v>107</v>
      </c>
      <c r="M251" s="217">
        <f t="shared" si="61"/>
        <v>13</v>
      </c>
      <c r="N251" s="442" cm="1">
        <f t="array" ref="N251">IF(TRIM(K251)="Mano de Obra",IF(Formulario!$L$23&lt;&gt;"",Formulario!$L$23,IFERROR(VLOOKUP(TRIM($M$4),Jornalesdeppto!A:C,3,0),"")),_xlfn.XLOOKUP(1,(Tabla_Costos_Insumos!$A$2:$A$3199=TRIM($M$4))*(Tabla_Costos_Insumos!$C$2:$C$3199=TRIM(K251)),Tabla_Costos_Insumos!$E$2:$E$3199,"",0))</f>
        <v>46666.666666666664</v>
      </c>
      <c r="O251" s="442">
        <f t="shared" si="52"/>
        <v>606666.66666666663</v>
      </c>
      <c r="P251" s="216" t="str">
        <f t="shared" si="58"/>
        <v>Limón Mandarino</v>
      </c>
      <c r="Q251" s="212" t="s">
        <v>108</v>
      </c>
      <c r="R251" s="212">
        <v>4</v>
      </c>
      <c r="S251" s="212" t="str">
        <f t="shared" si="64"/>
        <v/>
      </c>
      <c r="T251" s="212" cm="1">
        <f t="array" ref="T251">_xlfn.IFS($D$5&lt;=7, 1.1, $D$5&lt;=12,1.2, $D$5&lt;=25, 1.3, $D$5&gt;25,1.4)</f>
        <v>1.3</v>
      </c>
      <c r="U251" s="212" t="str">
        <f t="shared" si="65"/>
        <v/>
      </c>
      <c r="V251" s="212">
        <v>9</v>
      </c>
      <c r="W251" s="212" t="str">
        <f t="shared" si="66"/>
        <v/>
      </c>
      <c r="X251" s="214">
        <v>10</v>
      </c>
    </row>
    <row r="252" spans="1:24" ht="15">
      <c r="A252" s="211" t="s">
        <v>37</v>
      </c>
      <c r="B252" s="225" t="s">
        <v>38</v>
      </c>
      <c r="C252" s="216" t="s">
        <v>53</v>
      </c>
      <c r="D252" s="216" t="s">
        <v>99</v>
      </c>
      <c r="E252" s="216" t="s">
        <v>100</v>
      </c>
      <c r="F252" s="216" t="s">
        <v>117</v>
      </c>
      <c r="G252" s="216" t="s">
        <v>118</v>
      </c>
      <c r="H252" s="216" t="s">
        <v>121</v>
      </c>
      <c r="I252" s="216" t="s">
        <v>122</v>
      </c>
      <c r="J252" s="216" t="s">
        <v>105</v>
      </c>
      <c r="K252" s="216" t="s">
        <v>106</v>
      </c>
      <c r="L252" s="216" t="s">
        <v>107</v>
      </c>
      <c r="M252" s="217">
        <f t="shared" si="61"/>
        <v>12</v>
      </c>
      <c r="N252" s="442" cm="1">
        <f t="array" ref="N252">IF(TRIM(K252)="Mano de Obra",IF(Formulario!$L$23&lt;&gt;"",Formulario!$L$23,IFERROR(VLOOKUP(TRIM($M$4),Jornalesdeppto!A:C,3,0),"")),_xlfn.XLOOKUP(1,(Tabla_Costos_Insumos!$A$2:$A$3199=TRIM($M$4))*(Tabla_Costos_Insumos!$C$2:$C$3199=TRIM(K252)),Tabla_Costos_Insumos!$E$2:$E$3199,"",0))</f>
        <v>46666.666666666664</v>
      </c>
      <c r="O252" s="442">
        <f t="shared" si="52"/>
        <v>560000</v>
      </c>
      <c r="P252" s="216" t="str">
        <f t="shared" si="58"/>
        <v>Limón Mandarino</v>
      </c>
      <c r="Q252" s="212" t="s">
        <v>108</v>
      </c>
      <c r="R252" s="212">
        <v>4</v>
      </c>
      <c r="S252" s="212" t="str">
        <f t="shared" si="64"/>
        <v/>
      </c>
      <c r="T252" s="212" cm="1">
        <f t="array" ref="T252">_xlfn.IFS($D$5&lt;=7, 1.1, $D$5&lt;=12,1.2, $D$5&lt;=25, 1.3, $D$5&gt;25,1.4)</f>
        <v>1.3</v>
      </c>
      <c r="U252" s="212" t="str">
        <f t="shared" si="65"/>
        <v/>
      </c>
      <c r="V252" s="212">
        <v>9</v>
      </c>
      <c r="W252" s="212" t="str">
        <f t="shared" si="66"/>
        <v/>
      </c>
      <c r="X252" s="214">
        <v>9</v>
      </c>
    </row>
    <row r="253" spans="1:24" ht="15">
      <c r="A253" s="211" t="s">
        <v>37</v>
      </c>
      <c r="B253" s="225" t="s">
        <v>38</v>
      </c>
      <c r="C253" s="216" t="s">
        <v>53</v>
      </c>
      <c r="D253" s="216" t="s">
        <v>99</v>
      </c>
      <c r="E253" s="216" t="s">
        <v>100</v>
      </c>
      <c r="F253" s="216" t="s">
        <v>123</v>
      </c>
      <c r="G253" s="216" t="s">
        <v>124</v>
      </c>
      <c r="H253" s="216" t="s">
        <v>125</v>
      </c>
      <c r="I253" s="216" t="s">
        <v>126</v>
      </c>
      <c r="J253" s="216" t="s">
        <v>105</v>
      </c>
      <c r="K253" s="216" t="s">
        <v>106</v>
      </c>
      <c r="L253" s="216" t="s">
        <v>107</v>
      </c>
      <c r="M253" s="217">
        <f t="shared" si="61"/>
        <v>6</v>
      </c>
      <c r="N253" s="442" cm="1">
        <f t="array" ref="N253">IF(TRIM(K253)="Mano de Obra",IF(Formulario!$L$23&lt;&gt;"",Formulario!$L$23,IFERROR(VLOOKUP(TRIM($M$4),Jornalesdeppto!A:C,3,0),"")),_xlfn.XLOOKUP(1,(Tabla_Costos_Insumos!$A$2:$A$3199=TRIM($M$4))*(Tabla_Costos_Insumos!$C$2:$C$3199=TRIM(K253)),Tabla_Costos_Insumos!$E$2:$E$3199,"",0))</f>
        <v>46666.666666666664</v>
      </c>
      <c r="O253" s="442">
        <f t="shared" si="52"/>
        <v>280000</v>
      </c>
      <c r="P253" s="216" t="str">
        <f t="shared" si="58"/>
        <v>Limón Mandarino</v>
      </c>
      <c r="Q253" s="212" t="s">
        <v>127</v>
      </c>
      <c r="R253" s="212">
        <v>0.09</v>
      </c>
      <c r="S253" s="212">
        <f t="shared" ref="S253:S254" si="67">10000*R253/480</f>
        <v>1.875</v>
      </c>
      <c r="T253" s="212" cm="1">
        <f t="array" ref="T253">_xlfn.IFS($D$5&lt;=7, 1.1, $D$5&lt;=12,1.2, $D$5&lt;=25, 1.3, $D$5&gt;25,1.4)</f>
        <v>1.3</v>
      </c>
      <c r="U253" s="212"/>
      <c r="V253" s="212">
        <v>2</v>
      </c>
      <c r="W253" s="212"/>
      <c r="X253" s="214">
        <v>4</v>
      </c>
    </row>
    <row r="254" spans="1:24" ht="15">
      <c r="A254" s="211" t="s">
        <v>37</v>
      </c>
      <c r="B254" s="225" t="s">
        <v>38</v>
      </c>
      <c r="C254" s="216" t="s">
        <v>53</v>
      </c>
      <c r="D254" s="216" t="s">
        <v>99</v>
      </c>
      <c r="E254" s="216" t="s">
        <v>100</v>
      </c>
      <c r="F254" s="216" t="s">
        <v>123</v>
      </c>
      <c r="G254" s="216" t="s">
        <v>124</v>
      </c>
      <c r="H254" s="216" t="s">
        <v>128</v>
      </c>
      <c r="I254" s="216" t="s">
        <v>129</v>
      </c>
      <c r="J254" s="216" t="s">
        <v>105</v>
      </c>
      <c r="K254" s="216" t="s">
        <v>106</v>
      </c>
      <c r="L254" s="216" t="s">
        <v>107</v>
      </c>
      <c r="M254" s="217">
        <f t="shared" si="61"/>
        <v>3</v>
      </c>
      <c r="N254" s="442" cm="1">
        <f t="array" ref="N254">IF(TRIM(K254)="Mano de Obra",IF(Formulario!$L$23&lt;&gt;"",Formulario!$L$23,IFERROR(VLOOKUP(TRIM($M$4),Jornalesdeppto!A:C,3,0),"")),_xlfn.XLOOKUP(1,(Tabla_Costos_Insumos!$A$2:$A$3199=TRIM($M$4))*(Tabla_Costos_Insumos!$C$2:$C$3199=TRIM(K254)),Tabla_Costos_Insumos!$E$2:$E$3199,"",0))</f>
        <v>46666.666666666664</v>
      </c>
      <c r="O254" s="442">
        <f t="shared" si="52"/>
        <v>140000</v>
      </c>
      <c r="P254" s="216" t="str">
        <f t="shared" si="58"/>
        <v>Limón Mandarino</v>
      </c>
      <c r="Q254" s="212" t="s">
        <v>127</v>
      </c>
      <c r="R254" s="212">
        <v>0.09</v>
      </c>
      <c r="S254" s="212">
        <f t="shared" si="67"/>
        <v>1.875</v>
      </c>
      <c r="T254" s="212" cm="1">
        <f t="array" ref="T254">_xlfn.IFS($D$5&lt;=7, 1.1, $D$5&lt;=12,1.2, $D$5&lt;=25, 1.3, $D$5&gt;25,1.4)</f>
        <v>1.3</v>
      </c>
      <c r="U254" s="212"/>
      <c r="V254" s="212">
        <v>2</v>
      </c>
      <c r="W254" s="212"/>
      <c r="X254" s="214">
        <v>2</v>
      </c>
    </row>
    <row r="255" spans="1:24" ht="15">
      <c r="A255" s="211" t="s">
        <v>37</v>
      </c>
      <c r="B255" s="225" t="s">
        <v>38</v>
      </c>
      <c r="C255" s="216" t="s">
        <v>53</v>
      </c>
      <c r="D255" s="216" t="s">
        <v>99</v>
      </c>
      <c r="E255" s="216" t="s">
        <v>100</v>
      </c>
      <c r="F255" s="216" t="s">
        <v>130</v>
      </c>
      <c r="G255" s="216" t="s">
        <v>131</v>
      </c>
      <c r="H255" s="216" t="s">
        <v>132</v>
      </c>
      <c r="I255" s="216" t="s">
        <v>133</v>
      </c>
      <c r="J255" s="216" t="s">
        <v>105</v>
      </c>
      <c r="K255" s="216" t="s">
        <v>106</v>
      </c>
      <c r="L255" s="216" t="s">
        <v>107</v>
      </c>
      <c r="M255" s="217">
        <f t="shared" si="61"/>
        <v>3</v>
      </c>
      <c r="N255" s="442" cm="1">
        <f t="array" ref="N255">IF(TRIM(K255)="Mano de Obra",IF(Formulario!$L$23&lt;&gt;"",Formulario!$L$23,IFERROR(VLOOKUP(TRIM($M$4),Jornalesdeppto!A:C,3,0),"")),_xlfn.XLOOKUP(1,(Tabla_Costos_Insumos!$A$2:$A$3199=TRIM($M$4))*(Tabla_Costos_Insumos!$C$2:$C$3199=TRIM(K255)),Tabla_Costos_Insumos!$E$2:$E$3199,"",0))</f>
        <v>46666.666666666664</v>
      </c>
      <c r="O255" s="442">
        <f t="shared" si="52"/>
        <v>140000</v>
      </c>
      <c r="P255" s="216" t="str">
        <f t="shared" si="58"/>
        <v>Limón Mandarino</v>
      </c>
      <c r="Q255" s="212" t="s">
        <v>108</v>
      </c>
      <c r="R255" s="212">
        <v>1.5</v>
      </c>
      <c r="S255" s="212" t="str">
        <f t="shared" ref="S255:S256" si="68">IF($M$3="Limón Mandarino",($I$3*R255) / 480,"")</f>
        <v/>
      </c>
      <c r="T255" s="212" cm="1">
        <f t="array" ref="T255">_xlfn.IFS($D$5&lt;=7, 1.1, $D$5&lt;=12,1.2, $D$5&lt;=25, 1.3, $D$5&gt;25,1.4)</f>
        <v>1.3</v>
      </c>
      <c r="U255" s="212" t="str">
        <f t="shared" ref="U255:U256" si="69">IFERROR(S255*T255,"")</f>
        <v/>
      </c>
      <c r="V255" s="212">
        <v>4</v>
      </c>
      <c r="W255" s="212" t="str">
        <f t="shared" si="66"/>
        <v/>
      </c>
      <c r="X255" s="214">
        <v>2</v>
      </c>
    </row>
    <row r="256" spans="1:24" ht="15">
      <c r="A256" s="211" t="s">
        <v>37</v>
      </c>
      <c r="B256" s="225" t="s">
        <v>38</v>
      </c>
      <c r="C256" s="216" t="s">
        <v>53</v>
      </c>
      <c r="D256" s="216" t="s">
        <v>99</v>
      </c>
      <c r="E256" s="216" t="s">
        <v>100</v>
      </c>
      <c r="F256" s="216" t="s">
        <v>130</v>
      </c>
      <c r="G256" s="216" t="s">
        <v>131</v>
      </c>
      <c r="H256" s="216" t="s">
        <v>134</v>
      </c>
      <c r="I256" s="216" t="s">
        <v>135</v>
      </c>
      <c r="J256" s="216" t="s">
        <v>105</v>
      </c>
      <c r="K256" s="216" t="s">
        <v>106</v>
      </c>
      <c r="L256" s="216" t="s">
        <v>107</v>
      </c>
      <c r="M256" s="217">
        <f t="shared" si="61"/>
        <v>2</v>
      </c>
      <c r="N256" s="442" cm="1">
        <f t="array" ref="N256">IF(TRIM(K256)="Mano de Obra",IF(Formulario!$L$23&lt;&gt;"",Formulario!$L$23,IFERROR(VLOOKUP(TRIM($M$4),Jornalesdeppto!A:C,3,0),"")),_xlfn.XLOOKUP(1,(Tabla_Costos_Insumos!$A$2:$A$3199=TRIM($M$4))*(Tabla_Costos_Insumos!$C$2:$C$3199=TRIM(K256)),Tabla_Costos_Insumos!$E$2:$E$3199,"",0))</f>
        <v>46666.666666666664</v>
      </c>
      <c r="O256" s="442">
        <f t="shared" si="52"/>
        <v>93333.333333333328</v>
      </c>
      <c r="P256" s="216" t="str">
        <f t="shared" si="58"/>
        <v>Limón Mandarino</v>
      </c>
      <c r="Q256" s="212" t="s">
        <v>108</v>
      </c>
      <c r="R256" s="212">
        <v>1.5</v>
      </c>
      <c r="S256" s="212" t="str">
        <f t="shared" si="68"/>
        <v/>
      </c>
      <c r="T256" s="212" cm="1">
        <f t="array" ref="T256">_xlfn.IFS($D$5&lt;=7, 1.1, $D$5&lt;=12,1.2, $D$5&lt;=25, 1.3, $D$5&gt;25,1.4)</f>
        <v>1.3</v>
      </c>
      <c r="U256" s="212" t="str">
        <f t="shared" si="69"/>
        <v/>
      </c>
      <c r="V256" s="212">
        <v>4</v>
      </c>
      <c r="W256" s="212" t="str">
        <f t="shared" si="66"/>
        <v/>
      </c>
      <c r="X256" s="214">
        <v>1</v>
      </c>
    </row>
    <row r="257" spans="1:24" ht="15">
      <c r="A257" s="211" t="s">
        <v>37</v>
      </c>
      <c r="B257" s="225" t="s">
        <v>38</v>
      </c>
      <c r="C257" s="216" t="s">
        <v>53</v>
      </c>
      <c r="D257" s="216" t="s">
        <v>145</v>
      </c>
      <c r="E257" s="216" t="s">
        <v>146</v>
      </c>
      <c r="F257" s="216" t="s">
        <v>219</v>
      </c>
      <c r="G257" s="216" t="s">
        <v>220</v>
      </c>
      <c r="H257" s="216" t="s">
        <v>221</v>
      </c>
      <c r="I257" s="216" t="s">
        <v>222</v>
      </c>
      <c r="J257" s="216" t="s">
        <v>223</v>
      </c>
      <c r="K257" s="216" t="s">
        <v>264</v>
      </c>
      <c r="L257" s="216" t="s">
        <v>197</v>
      </c>
      <c r="M257" s="217">
        <f>IF($M$3="Limón Mandarino",I3,0)</f>
        <v>0</v>
      </c>
      <c r="N257" s="442">
        <v>12000</v>
      </c>
      <c r="O257" s="442">
        <f t="shared" si="52"/>
        <v>0</v>
      </c>
      <c r="P257" s="216" t="str">
        <f t="shared" ref="P257:P320" si="70">CONCATENATE(A257," ",B257)</f>
        <v>Limón Mandarino</v>
      </c>
      <c r="Q257" s="212" t="s">
        <v>142</v>
      </c>
      <c r="R257" s="212" t="s">
        <v>142</v>
      </c>
      <c r="S257" s="212"/>
      <c r="T257" s="212"/>
      <c r="U257" s="212"/>
      <c r="V257" s="212" t="s">
        <v>142</v>
      </c>
      <c r="W257" s="212" t="str">
        <f t="shared" si="66"/>
        <v/>
      </c>
      <c r="X257" s="214"/>
    </row>
    <row r="258" spans="1:24" ht="15">
      <c r="A258" s="211" t="s">
        <v>37</v>
      </c>
      <c r="B258" s="225" t="s">
        <v>38</v>
      </c>
      <c r="C258" s="216" t="s">
        <v>53</v>
      </c>
      <c r="D258" s="216" t="s">
        <v>145</v>
      </c>
      <c r="E258" s="216" t="s">
        <v>146</v>
      </c>
      <c r="F258" s="216" t="s">
        <v>147</v>
      </c>
      <c r="G258" s="216" t="s">
        <v>131</v>
      </c>
      <c r="H258" s="216" t="s">
        <v>152</v>
      </c>
      <c r="I258" s="216" t="s">
        <v>299</v>
      </c>
      <c r="J258" s="216" t="s">
        <v>149</v>
      </c>
      <c r="K258" s="216" t="s">
        <v>150</v>
      </c>
      <c r="L258" s="216" t="s">
        <v>151</v>
      </c>
      <c r="M258" s="217">
        <v>1</v>
      </c>
      <c r="N258" s="442" cm="1">
        <f t="array" ref="N258">IF(TRIM(K258)="Mano de Obra",IF(Formulario!$L$23&lt;&gt;"",Formulario!$L$23,IFERROR(VLOOKUP(TRIM($M$4),Jornalesdeppto!A:C,3,0),"")),_xlfn.XLOOKUP(1,(Tabla_Costos_Insumos!$A$2:$A$3199=TRIM($M$4))*(Tabla_Costos_Insumos!$C$2:$C$3199=TRIM(K258)),Tabla_Costos_Insumos!$E$2:$E$3199,"",0))</f>
        <v>198055.68333333</v>
      </c>
      <c r="O258" s="442">
        <f t="shared" si="52"/>
        <v>198055.68333333</v>
      </c>
      <c r="P258" s="216" t="str">
        <f t="shared" si="70"/>
        <v>Limón Mandarino</v>
      </c>
      <c r="Q258" s="212" t="s">
        <v>142</v>
      </c>
      <c r="R258" s="212" t="s">
        <v>142</v>
      </c>
      <c r="S258" s="212"/>
      <c r="T258" s="212"/>
      <c r="U258" s="212"/>
      <c r="V258" s="212" t="s">
        <v>142</v>
      </c>
      <c r="W258" s="212" t="str">
        <f t="shared" si="66"/>
        <v/>
      </c>
      <c r="X258" s="214"/>
    </row>
    <row r="259" spans="1:24" ht="15">
      <c r="A259" s="211" t="s">
        <v>37</v>
      </c>
      <c r="B259" s="225" t="s">
        <v>38</v>
      </c>
      <c r="C259" s="216" t="s">
        <v>53</v>
      </c>
      <c r="D259" s="216" t="s">
        <v>145</v>
      </c>
      <c r="E259" s="216" t="s">
        <v>146</v>
      </c>
      <c r="F259" s="216" t="s">
        <v>147</v>
      </c>
      <c r="G259" s="216" t="s">
        <v>131</v>
      </c>
      <c r="H259" s="216" t="s">
        <v>154</v>
      </c>
      <c r="I259" s="216" t="s">
        <v>155</v>
      </c>
      <c r="J259" s="216" t="s">
        <v>149</v>
      </c>
      <c r="K259" s="216" t="s">
        <v>156</v>
      </c>
      <c r="L259" s="216" t="s">
        <v>151</v>
      </c>
      <c r="M259" s="217">
        <v>1</v>
      </c>
      <c r="N259" s="442" cm="1">
        <f t="array" ref="N259">IF(TRIM(K259)="Mano de Obra",IF(Formulario!$L$23&lt;&gt;"",Formulario!$L$23,IFERROR(VLOOKUP(TRIM($M$4),Jornalesdeppto!A:C,3,0),"")),_xlfn.XLOOKUP(1,(Tabla_Costos_Insumos!$A$2:$A$3199=TRIM($M$4))*(Tabla_Costos_Insumos!$C$2:$C$3199=TRIM(K259)),Tabla_Costos_Insumos!$E$2:$E$3199,"",0))</f>
        <v>17212.5</v>
      </c>
      <c r="O259" s="442">
        <f t="shared" si="52"/>
        <v>17212.5</v>
      </c>
      <c r="P259" s="216" t="str">
        <f t="shared" si="70"/>
        <v>Limón Mandarino</v>
      </c>
      <c r="Q259" s="212" t="s">
        <v>142</v>
      </c>
      <c r="R259" s="212" t="s">
        <v>142</v>
      </c>
      <c r="S259" s="212"/>
      <c r="T259" s="212"/>
      <c r="U259" s="212"/>
      <c r="V259" s="212" t="s">
        <v>142</v>
      </c>
      <c r="W259" s="212" t="str">
        <f t="shared" si="66"/>
        <v/>
      </c>
      <c r="X259" s="214"/>
    </row>
    <row r="260" spans="1:24" ht="15">
      <c r="A260" s="211" t="s">
        <v>37</v>
      </c>
      <c r="B260" s="225" t="s">
        <v>38</v>
      </c>
      <c r="C260" s="216" t="s">
        <v>53</v>
      </c>
      <c r="D260" s="216" t="s">
        <v>145</v>
      </c>
      <c r="E260" s="216" t="s">
        <v>146</v>
      </c>
      <c r="F260" s="216" t="s">
        <v>147</v>
      </c>
      <c r="G260" s="216" t="s">
        <v>131</v>
      </c>
      <c r="H260" s="216" t="s">
        <v>157</v>
      </c>
      <c r="I260" s="216" t="s">
        <v>158</v>
      </c>
      <c r="J260" s="216" t="s">
        <v>149</v>
      </c>
      <c r="K260" s="216" t="s">
        <v>237</v>
      </c>
      <c r="L260" s="216" t="s">
        <v>172</v>
      </c>
      <c r="M260" s="217">
        <v>9</v>
      </c>
      <c r="N260" s="442" cm="1">
        <f t="array" ref="N260">IF(TRIM(K260)="Mano de Obra",IF(Formulario!$L$23&lt;&gt;"",Formulario!$L$23,IFERROR(VLOOKUP(TRIM($M$4),Jornalesdeppto!A:C,3,0),"")),_xlfn.XLOOKUP(1,(Tabla_Costos_Insumos!$A$2:$A$3199=TRIM($M$4))*(Tabla_Costos_Insumos!$C$2:$C$3199=TRIM(K260)),Tabla_Costos_Insumos!$E$2:$E$3199,"",0))</f>
        <v>26190.48</v>
      </c>
      <c r="O260" s="442">
        <f t="shared" si="52"/>
        <v>235714.32</v>
      </c>
      <c r="P260" s="216" t="str">
        <f t="shared" si="70"/>
        <v>Limón Mandarino</v>
      </c>
      <c r="Q260" s="212" t="s">
        <v>142</v>
      </c>
      <c r="R260" s="212" t="s">
        <v>142</v>
      </c>
      <c r="S260" s="212"/>
      <c r="T260" s="212"/>
      <c r="U260" s="212"/>
      <c r="V260" s="212" t="s">
        <v>142</v>
      </c>
      <c r="W260" s="212" t="str">
        <f t="shared" si="66"/>
        <v/>
      </c>
      <c r="X260" s="214"/>
    </row>
    <row r="261" spans="1:24" ht="15">
      <c r="A261" s="211" t="s">
        <v>37</v>
      </c>
      <c r="B261" s="225" t="s">
        <v>38</v>
      </c>
      <c r="C261" s="216" t="s">
        <v>53</v>
      </c>
      <c r="D261" s="216" t="s">
        <v>145</v>
      </c>
      <c r="E261" s="216" t="s">
        <v>146</v>
      </c>
      <c r="F261" s="216" t="s">
        <v>147</v>
      </c>
      <c r="G261" s="216" t="s">
        <v>131</v>
      </c>
      <c r="H261" s="216" t="s">
        <v>161</v>
      </c>
      <c r="I261" s="216" t="s">
        <v>162</v>
      </c>
      <c r="J261" s="216" t="s">
        <v>149</v>
      </c>
      <c r="K261" s="216" t="s">
        <v>163</v>
      </c>
      <c r="L261" s="216" t="s">
        <v>164</v>
      </c>
      <c r="M261" s="217">
        <v>2</v>
      </c>
      <c r="N261" s="442" cm="1">
        <f t="array" ref="N261">IF(TRIM(K261)="Mano de Obra",IF(Formulario!$L$23&lt;&gt;"",Formulario!$L$23,IFERROR(VLOOKUP(TRIM($M$4),Jornalesdeppto!A:C,3,0),"")),_xlfn.XLOOKUP(1,(Tabla_Costos_Insumos!$A$2:$A$3199=TRIM($M$4))*(Tabla_Costos_Insumos!$C$2:$C$3199=TRIM(K261)),Tabla_Costos_Insumos!$E$2:$E$3199,"",0))</f>
        <v>128084.44444445</v>
      </c>
      <c r="O261" s="442">
        <f t="shared" si="52"/>
        <v>256168.88888889999</v>
      </c>
      <c r="P261" s="216" t="str">
        <f t="shared" si="70"/>
        <v>Limón Mandarino</v>
      </c>
      <c r="Q261" s="212" t="s">
        <v>142</v>
      </c>
      <c r="R261" s="212" t="s">
        <v>142</v>
      </c>
      <c r="S261" s="212"/>
      <c r="T261" s="212"/>
      <c r="U261" s="212"/>
      <c r="V261" s="212" t="s">
        <v>142</v>
      </c>
      <c r="W261" s="212" t="str">
        <f t="shared" si="66"/>
        <v/>
      </c>
      <c r="X261" s="214"/>
    </row>
    <row r="262" spans="1:24" ht="15">
      <c r="A262" s="211" t="s">
        <v>37</v>
      </c>
      <c r="B262" s="225" t="s">
        <v>38</v>
      </c>
      <c r="C262" s="216" t="s">
        <v>53</v>
      </c>
      <c r="D262" s="216" t="s">
        <v>145</v>
      </c>
      <c r="E262" s="216" t="s">
        <v>146</v>
      </c>
      <c r="F262" s="216" t="s">
        <v>147</v>
      </c>
      <c r="G262" s="216" t="s">
        <v>131</v>
      </c>
      <c r="H262" s="216" t="s">
        <v>161</v>
      </c>
      <c r="I262" s="216" t="s">
        <v>153</v>
      </c>
      <c r="J262" s="216" t="s">
        <v>149</v>
      </c>
      <c r="K262" s="216" t="s">
        <v>166</v>
      </c>
      <c r="L262" s="216" t="s">
        <v>151</v>
      </c>
      <c r="M262" s="217">
        <v>2</v>
      </c>
      <c r="N262" s="442" cm="1">
        <f t="array" ref="N262">IF(TRIM(K262)="Mano de Obra",IF(Formulario!$L$23&lt;&gt;"",Formulario!$L$23,IFERROR(VLOOKUP(TRIM($M$4),Jornalesdeppto!A:C,3,0),"")),_xlfn.XLOOKUP(1,(Tabla_Costos_Insumos!$A$2:$A$3199=TRIM($M$4))*(Tabla_Costos_Insumos!$C$2:$C$3199=TRIM(K262)),Tabla_Costos_Insumos!$E$2:$E$3199,"",0))</f>
        <v>110000</v>
      </c>
      <c r="O262" s="442">
        <f t="shared" si="52"/>
        <v>220000</v>
      </c>
      <c r="P262" s="216" t="str">
        <f t="shared" si="70"/>
        <v>Limón Mandarino</v>
      </c>
      <c r="Q262" s="212" t="s">
        <v>142</v>
      </c>
      <c r="R262" s="212" t="s">
        <v>142</v>
      </c>
      <c r="S262" s="212"/>
      <c r="T262" s="212"/>
      <c r="U262" s="212"/>
      <c r="V262" s="212" t="s">
        <v>142</v>
      </c>
      <c r="W262" s="212" t="str">
        <f t="shared" si="66"/>
        <v/>
      </c>
      <c r="X262" s="214"/>
    </row>
    <row r="263" spans="1:24" ht="15">
      <c r="A263" s="211" t="s">
        <v>37</v>
      </c>
      <c r="B263" s="225" t="s">
        <v>38</v>
      </c>
      <c r="C263" s="216" t="s">
        <v>53</v>
      </c>
      <c r="D263" s="216" t="s">
        <v>145</v>
      </c>
      <c r="E263" s="216" t="s">
        <v>146</v>
      </c>
      <c r="F263" s="216" t="s">
        <v>147</v>
      </c>
      <c r="G263" s="216" t="s">
        <v>131</v>
      </c>
      <c r="H263" s="216" t="s">
        <v>165</v>
      </c>
      <c r="I263" s="216" t="s">
        <v>153</v>
      </c>
      <c r="J263" s="216" t="s">
        <v>149</v>
      </c>
      <c r="K263" s="216" t="s">
        <v>4110</v>
      </c>
      <c r="L263" s="216" t="s">
        <v>151</v>
      </c>
      <c r="M263" s="217">
        <v>2</v>
      </c>
      <c r="N263" s="442" cm="1">
        <f t="array" ref="N263">IF(TRIM(K263)="Mano de Obra",IF(Formulario!$L$23&lt;&gt;"",Formulario!$L$23,IFERROR(VLOOKUP(TRIM($M$4),Jornalesdeppto!A:C,3,0),"")),_xlfn.XLOOKUP(1,(Tabla_Costos_Insumos!$A$2:$A$3199=TRIM($M$4))*(Tabla_Costos_Insumos!$C$2:$C$3199=TRIM(K263)),Tabla_Costos_Insumos!$E$2:$E$3199,"",0))</f>
        <v>125849.2424242409</v>
      </c>
      <c r="O263" s="442">
        <f t="shared" si="52"/>
        <v>251698.48484848181</v>
      </c>
      <c r="P263" s="216" t="str">
        <f t="shared" si="70"/>
        <v>Limón Mandarino</v>
      </c>
      <c r="Q263" s="212" t="s">
        <v>142</v>
      </c>
      <c r="R263" s="212" t="s">
        <v>142</v>
      </c>
      <c r="S263" s="212"/>
      <c r="T263" s="212"/>
      <c r="U263" s="212"/>
      <c r="V263" s="212" t="s">
        <v>142</v>
      </c>
      <c r="W263" s="212" t="str">
        <f t="shared" si="66"/>
        <v/>
      </c>
      <c r="X263" s="214"/>
    </row>
    <row r="264" spans="1:24" ht="15">
      <c r="A264" s="211" t="s">
        <v>37</v>
      </c>
      <c r="B264" s="225" t="s">
        <v>38</v>
      </c>
      <c r="C264" s="216" t="s">
        <v>53</v>
      </c>
      <c r="D264" s="216" t="s">
        <v>145</v>
      </c>
      <c r="E264" s="216" t="s">
        <v>146</v>
      </c>
      <c r="F264" s="216" t="s">
        <v>167</v>
      </c>
      <c r="G264" s="216" t="s">
        <v>118</v>
      </c>
      <c r="H264" s="216" t="s">
        <v>168</v>
      </c>
      <c r="I264" s="216" t="s">
        <v>169</v>
      </c>
      <c r="J264" s="216" t="s">
        <v>170</v>
      </c>
      <c r="K264" s="216" t="s">
        <v>259</v>
      </c>
      <c r="L264" s="216" t="s">
        <v>172</v>
      </c>
      <c r="M264" s="217">
        <v>5</v>
      </c>
      <c r="N264" s="442" cm="1">
        <f t="array" ref="N264">IF(TRIM(K264)="Mano de Obra",IF(Formulario!$L$23&lt;&gt;"",Formulario!$L$23,IFERROR(VLOOKUP(TRIM($M$4),Jornalesdeppto!A:C,3,0),"")),_xlfn.XLOOKUP(1,(Tabla_Costos_Insumos!$A$2:$A$3199=TRIM($M$4))*(Tabla_Costos_Insumos!$C$2:$C$3199=TRIM(K264)),Tabla_Costos_Insumos!$E$2:$E$3199,"",0))</f>
        <v>283758.28999999998</v>
      </c>
      <c r="O264" s="442">
        <f t="shared" si="52"/>
        <v>1418791.45</v>
      </c>
      <c r="P264" s="216" t="str">
        <f t="shared" si="70"/>
        <v>Limón Mandarino</v>
      </c>
      <c r="Q264" s="212" t="s">
        <v>142</v>
      </c>
      <c r="R264" s="212" t="s">
        <v>142</v>
      </c>
      <c r="S264" s="212"/>
      <c r="T264" s="212"/>
      <c r="U264" s="212"/>
      <c r="V264" s="212" t="s">
        <v>142</v>
      </c>
      <c r="W264" s="212" t="str">
        <f t="shared" si="66"/>
        <v/>
      </c>
      <c r="X264" s="214"/>
    </row>
    <row r="265" spans="1:24" ht="15">
      <c r="A265" s="211" t="s">
        <v>37</v>
      </c>
      <c r="B265" s="225" t="s">
        <v>38</v>
      </c>
      <c r="C265" s="216" t="s">
        <v>53</v>
      </c>
      <c r="D265" s="216" t="s">
        <v>145</v>
      </c>
      <c r="E265" s="216" t="s">
        <v>146</v>
      </c>
      <c r="F265" s="216" t="s">
        <v>167</v>
      </c>
      <c r="G265" s="216" t="s">
        <v>118</v>
      </c>
      <c r="H265" s="216" t="s">
        <v>168</v>
      </c>
      <c r="I265" s="216" t="s">
        <v>169</v>
      </c>
      <c r="J265" s="216" t="s">
        <v>170</v>
      </c>
      <c r="K265" s="216" t="s">
        <v>260</v>
      </c>
      <c r="L265" s="216" t="s">
        <v>261</v>
      </c>
      <c r="M265" s="217">
        <v>36</v>
      </c>
      <c r="N265" s="442" cm="1">
        <f t="array" ref="N265">IF(TRIM(K265)="Mano de Obra",IF(Formulario!$L$23&lt;&gt;"",Formulario!$L$23,IFERROR(VLOOKUP(TRIM($M$4),Jornalesdeppto!A:C,3,0),"")),_xlfn.XLOOKUP(1,(Tabla_Costos_Insumos!$A$2:$A$3199=TRIM($M$4))*(Tabla_Costos_Insumos!$C$2:$C$3199=TRIM(K265)),Tabla_Costos_Insumos!$E$2:$E$3199,"",0))</f>
        <v>25534.226046466123</v>
      </c>
      <c r="O265" s="442">
        <f t="shared" si="52"/>
        <v>919232.13767278043</v>
      </c>
      <c r="P265" s="216" t="str">
        <f t="shared" si="70"/>
        <v>Limón Mandarino</v>
      </c>
      <c r="Q265" s="212" t="s">
        <v>142</v>
      </c>
      <c r="R265" s="212" t="s">
        <v>142</v>
      </c>
      <c r="S265" s="212"/>
      <c r="T265" s="212"/>
      <c r="U265" s="212"/>
      <c r="V265" s="212" t="s">
        <v>142</v>
      </c>
      <c r="W265" s="212" t="str">
        <f t="shared" si="66"/>
        <v/>
      </c>
      <c r="X265" s="214"/>
    </row>
    <row r="266" spans="1:24" ht="15">
      <c r="A266" s="211" t="s">
        <v>37</v>
      </c>
      <c r="B266" s="225" t="s">
        <v>38</v>
      </c>
      <c r="C266" s="216" t="s">
        <v>53</v>
      </c>
      <c r="D266" s="216" t="s">
        <v>145</v>
      </c>
      <c r="E266" s="216" t="s">
        <v>146</v>
      </c>
      <c r="F266" s="216" t="s">
        <v>167</v>
      </c>
      <c r="G266" s="216" t="s">
        <v>118</v>
      </c>
      <c r="H266" s="216" t="s">
        <v>174</v>
      </c>
      <c r="I266" s="216" t="s">
        <v>175</v>
      </c>
      <c r="J266" s="216" t="s">
        <v>176</v>
      </c>
      <c r="K266" s="216" t="s">
        <v>262</v>
      </c>
      <c r="L266" s="216" t="s">
        <v>172</v>
      </c>
      <c r="M266" s="217">
        <v>12</v>
      </c>
      <c r="N266" s="442" cm="1">
        <f t="array" ref="N266">IF(TRIM(K266)="Mano de Obra",IF(Formulario!$L$23&lt;&gt;"",Formulario!$L$23,IFERROR(VLOOKUP(TRIM($M$4),Jornalesdeppto!A:C,3,0),"")),_xlfn.XLOOKUP(1,(Tabla_Costos_Insumos!$A$2:$A$3199=TRIM($M$4))*(Tabla_Costos_Insumos!$C$2:$C$3199=TRIM(K266)),Tabla_Costos_Insumos!$E$2:$E$3199,"",0))</f>
        <v>17500</v>
      </c>
      <c r="O266" s="442">
        <f t="shared" si="52"/>
        <v>210000</v>
      </c>
      <c r="P266" s="216" t="str">
        <f t="shared" si="70"/>
        <v>Limón Mandarino</v>
      </c>
      <c r="Q266" s="212" t="s">
        <v>142</v>
      </c>
      <c r="R266" s="212" t="s">
        <v>142</v>
      </c>
      <c r="S266" s="212"/>
      <c r="T266" s="212"/>
      <c r="U266" s="212"/>
      <c r="V266" s="212" t="s">
        <v>142</v>
      </c>
      <c r="W266" s="212" t="str">
        <f t="shared" si="66"/>
        <v/>
      </c>
      <c r="X266" s="214"/>
    </row>
    <row r="267" spans="1:24" ht="15">
      <c r="A267" s="211" t="s">
        <v>37</v>
      </c>
      <c r="B267" s="225" t="s">
        <v>38</v>
      </c>
      <c r="C267" s="216" t="s">
        <v>53</v>
      </c>
      <c r="D267" s="216" t="s">
        <v>145</v>
      </c>
      <c r="E267" s="216" t="s">
        <v>146</v>
      </c>
      <c r="F267" s="216" t="s">
        <v>167</v>
      </c>
      <c r="G267" s="216" t="s">
        <v>118</v>
      </c>
      <c r="H267" s="216" t="s">
        <v>178</v>
      </c>
      <c r="I267" s="216" t="s">
        <v>179</v>
      </c>
      <c r="J267" s="216" t="s">
        <v>180</v>
      </c>
      <c r="K267" s="216" t="s">
        <v>181</v>
      </c>
      <c r="L267" s="216" t="s">
        <v>172</v>
      </c>
      <c r="M267" s="217">
        <v>3</v>
      </c>
      <c r="N267" s="442" cm="1">
        <f t="array" ref="N267">IF(TRIM(K267)="Mano de Obra",IF(Formulario!$L$23&lt;&gt;"",Formulario!$L$23,IFERROR(VLOOKUP(TRIM($M$4),Jornalesdeppto!A:C,3,0),"")),_xlfn.XLOOKUP(1,(Tabla_Costos_Insumos!$A$2:$A$3199=TRIM($M$4))*(Tabla_Costos_Insumos!$C$2:$C$3199=TRIM(K267)),Tabla_Costos_Insumos!$E$2:$E$3199,"",0))</f>
        <v>34056.25</v>
      </c>
      <c r="O267" s="442">
        <f t="shared" si="52"/>
        <v>102168.75</v>
      </c>
      <c r="P267" s="216" t="str">
        <f t="shared" si="70"/>
        <v>Limón Mandarino</v>
      </c>
      <c r="Q267" s="212" t="s">
        <v>142</v>
      </c>
      <c r="R267" s="212" t="s">
        <v>142</v>
      </c>
      <c r="S267" s="212"/>
      <c r="T267" s="212"/>
      <c r="U267" s="212"/>
      <c r="V267" s="212" t="s">
        <v>142</v>
      </c>
      <c r="W267" s="212" t="str">
        <f t="shared" si="66"/>
        <v/>
      </c>
      <c r="X267" s="214"/>
    </row>
    <row r="268" spans="1:24" ht="15">
      <c r="A268" s="211" t="s">
        <v>37</v>
      </c>
      <c r="B268" s="225" t="s">
        <v>38</v>
      </c>
      <c r="C268" s="216" t="s">
        <v>53</v>
      </c>
      <c r="D268" s="216" t="s">
        <v>145</v>
      </c>
      <c r="E268" s="216" t="s">
        <v>146</v>
      </c>
      <c r="F268" s="216" t="s">
        <v>167</v>
      </c>
      <c r="G268" s="216" t="s">
        <v>118</v>
      </c>
      <c r="H268" s="216" t="s">
        <v>178</v>
      </c>
      <c r="I268" s="216" t="s">
        <v>179</v>
      </c>
      <c r="J268" s="216" t="s">
        <v>180</v>
      </c>
      <c r="K268" s="216" t="s">
        <v>263</v>
      </c>
      <c r="L268" s="216" t="s">
        <v>172</v>
      </c>
      <c r="M268" s="217">
        <v>3</v>
      </c>
      <c r="N268" s="442" cm="1">
        <f t="array" ref="N268">IF(TRIM(K268)="Mano de Obra",IF(Formulario!$L$23&lt;&gt;"",Formulario!$L$23,IFERROR(VLOOKUP(TRIM($M$4),Jornalesdeppto!A:C,3,0),"")),_xlfn.XLOOKUP(1,(Tabla_Costos_Insumos!$A$2:$A$3199=TRIM($M$4))*(Tabla_Costos_Insumos!$C$2:$C$3199=TRIM(K268)),Tabla_Costos_Insumos!$E$2:$E$3199,"",0))</f>
        <v>210423.61</v>
      </c>
      <c r="O268" s="442">
        <f t="shared" si="52"/>
        <v>631270.82999999996</v>
      </c>
      <c r="P268" s="216" t="str">
        <f t="shared" si="70"/>
        <v>Limón Mandarino</v>
      </c>
      <c r="Q268" s="212" t="s">
        <v>142</v>
      </c>
      <c r="R268" s="212" t="s">
        <v>142</v>
      </c>
      <c r="S268" s="212"/>
      <c r="T268" s="212"/>
      <c r="U268" s="212"/>
      <c r="V268" s="212" t="s">
        <v>142</v>
      </c>
      <c r="W268" s="212" t="str">
        <f t="shared" si="66"/>
        <v/>
      </c>
      <c r="X268" s="214"/>
    </row>
    <row r="269" spans="1:24" ht="15">
      <c r="A269" s="211" t="s">
        <v>37</v>
      </c>
      <c r="B269" s="225" t="s">
        <v>38</v>
      </c>
      <c r="C269" s="216" t="s">
        <v>53</v>
      </c>
      <c r="D269" s="216" t="s">
        <v>145</v>
      </c>
      <c r="E269" s="216" t="s">
        <v>146</v>
      </c>
      <c r="F269" s="216" t="s">
        <v>183</v>
      </c>
      <c r="G269" s="216" t="s">
        <v>184</v>
      </c>
      <c r="H269" s="216" t="s">
        <v>185</v>
      </c>
      <c r="I269" s="216" t="s">
        <v>186</v>
      </c>
      <c r="J269" s="216" t="s">
        <v>105</v>
      </c>
      <c r="K269" s="216" t="s">
        <v>187</v>
      </c>
      <c r="L269" s="216" t="s">
        <v>188</v>
      </c>
      <c r="M269" s="217">
        <v>0.1</v>
      </c>
      <c r="N269" s="442" cm="1">
        <f t="array" ref="N269">IF(TRIM(K269)="Mano de Obra",IF(Formulario!$L$23&lt;&gt;"",Formulario!$L$23,IFERROR(VLOOKUP(TRIM($M$4),Jornalesdeppto!A:C,3,0),"")),_xlfn.XLOOKUP(1,(Tabla_Costos_Insumos!$A$2:$A$3199=TRIM($M$4))*(Tabla_Costos_Insumos!$C$2:$C$3199=TRIM(K269)),Tabla_Costos_Insumos!$E$2:$E$3199,"",0))</f>
        <v>175000</v>
      </c>
      <c r="O269" s="442">
        <f t="shared" si="52"/>
        <v>17500</v>
      </c>
      <c r="P269" s="216" t="str">
        <f t="shared" si="70"/>
        <v>Limón Mandarino</v>
      </c>
      <c r="Q269" s="212" t="s">
        <v>142</v>
      </c>
      <c r="R269" s="212" t="s">
        <v>142</v>
      </c>
      <c r="S269" s="212"/>
      <c r="T269" s="212"/>
      <c r="U269" s="212"/>
      <c r="V269" s="212" t="s">
        <v>142</v>
      </c>
      <c r="W269" s="212" t="str">
        <f t="shared" si="66"/>
        <v/>
      </c>
      <c r="X269" s="214"/>
    </row>
    <row r="270" spans="1:24" ht="15">
      <c r="A270" s="211" t="s">
        <v>37</v>
      </c>
      <c r="B270" s="225" t="s">
        <v>38</v>
      </c>
      <c r="C270" s="216" t="s">
        <v>53</v>
      </c>
      <c r="D270" s="216" t="s">
        <v>189</v>
      </c>
      <c r="E270" s="216" t="s">
        <v>190</v>
      </c>
      <c r="F270" s="216" t="s">
        <v>191</v>
      </c>
      <c r="G270" s="216" t="s">
        <v>192</v>
      </c>
      <c r="H270" s="216" t="s">
        <v>193</v>
      </c>
      <c r="I270" s="216" t="s">
        <v>194</v>
      </c>
      <c r="J270" s="216" t="s">
        <v>195</v>
      </c>
      <c r="K270" s="216" t="s">
        <v>196</v>
      </c>
      <c r="L270" s="216" t="s">
        <v>197</v>
      </c>
      <c r="M270" s="217">
        <v>1</v>
      </c>
      <c r="N270" s="442">
        <f>IFERROR(SUM(O252:$O$269)*0.08,0)</f>
        <v>455291.71024614602</v>
      </c>
      <c r="O270" s="442">
        <f t="shared" si="52"/>
        <v>455291.71024614602</v>
      </c>
      <c r="P270" s="216" t="str">
        <f t="shared" si="70"/>
        <v>Limón Mandarino</v>
      </c>
      <c r="Q270" s="212" t="s">
        <v>142</v>
      </c>
      <c r="R270" s="212" t="s">
        <v>142</v>
      </c>
      <c r="S270" s="212"/>
      <c r="T270" s="212"/>
      <c r="U270" s="212"/>
      <c r="V270" s="212" t="s">
        <v>142</v>
      </c>
      <c r="W270" s="212" t="str">
        <f t="shared" si="66"/>
        <v/>
      </c>
      <c r="X270" s="214"/>
    </row>
    <row r="271" spans="1:24" ht="15">
      <c r="A271" s="211" t="s">
        <v>37</v>
      </c>
      <c r="B271" s="225" t="s">
        <v>38</v>
      </c>
      <c r="C271" s="216" t="s">
        <v>53</v>
      </c>
      <c r="D271" s="216" t="s">
        <v>189</v>
      </c>
      <c r="E271" s="216" t="s">
        <v>190</v>
      </c>
      <c r="F271" s="216" t="s">
        <v>198</v>
      </c>
      <c r="G271" s="216" t="s">
        <v>199</v>
      </c>
      <c r="H271" s="216" t="s">
        <v>200</v>
      </c>
      <c r="I271" s="216" t="s">
        <v>201</v>
      </c>
      <c r="J271" s="216" t="s">
        <v>105</v>
      </c>
      <c r="K271" s="216" t="s">
        <v>202</v>
      </c>
      <c r="L271" s="216" t="s">
        <v>203</v>
      </c>
      <c r="M271" s="217">
        <v>1</v>
      </c>
      <c r="N271" s="442" cm="1">
        <f t="array" ref="N271">IF(TRIM(K271)="Mano de Obra",IF(Formulario!$L$23&lt;&gt;"",Formulario!$L$23,IFERROR(VLOOKUP(TRIM($M$4),Jornalesdeppto!A:C,3,0),"")),_xlfn.XLOOKUP(1,(Tabla_Costos_Insumos!$A$2:$A$3199=TRIM($M$4))*(Tabla_Costos_Insumos!$C$2:$C$3199=TRIM(K271)),Tabla_Costos_Insumos!$E$2:$E$3199,"",0))</f>
        <v>120000</v>
      </c>
      <c r="O271" s="442">
        <f t="shared" si="52"/>
        <v>120000</v>
      </c>
      <c r="P271" s="216" t="str">
        <f t="shared" si="70"/>
        <v>Limón Mandarino</v>
      </c>
      <c r="Q271" s="212" t="s">
        <v>142</v>
      </c>
      <c r="R271" s="212" t="s">
        <v>142</v>
      </c>
      <c r="S271" s="212"/>
      <c r="T271" s="212"/>
      <c r="U271" s="212"/>
      <c r="V271" s="212" t="s">
        <v>142</v>
      </c>
      <c r="W271" s="212" t="str">
        <f t="shared" si="66"/>
        <v/>
      </c>
      <c r="X271" s="214"/>
    </row>
    <row r="272" spans="1:24" ht="15">
      <c r="A272" s="211" t="s">
        <v>37</v>
      </c>
      <c r="B272" s="225" t="s">
        <v>38</v>
      </c>
      <c r="C272" s="216" t="s">
        <v>53</v>
      </c>
      <c r="D272" s="216" t="s">
        <v>189</v>
      </c>
      <c r="E272" s="216" t="s">
        <v>190</v>
      </c>
      <c r="F272" s="216" t="s">
        <v>204</v>
      </c>
      <c r="G272" s="216" t="s">
        <v>205</v>
      </c>
      <c r="H272" s="216" t="s">
        <v>206</v>
      </c>
      <c r="I272" s="216" t="s">
        <v>207</v>
      </c>
      <c r="J272" s="216" t="s">
        <v>4127</v>
      </c>
      <c r="K272" s="216" t="s">
        <v>228</v>
      </c>
      <c r="L272" s="216" t="s">
        <v>197</v>
      </c>
      <c r="M272" s="217">
        <v>1</v>
      </c>
      <c r="N272" s="442" t="str">
        <f>IF($M$3="Limón Mandarino",$J$4,"")</f>
        <v/>
      </c>
      <c r="O272" s="442" t="str">
        <f t="shared" si="52"/>
        <v/>
      </c>
      <c r="P272" s="216" t="str">
        <f t="shared" si="70"/>
        <v>Limón Mandarino</v>
      </c>
      <c r="Q272" s="212" t="s">
        <v>142</v>
      </c>
      <c r="R272" s="212" t="s">
        <v>142</v>
      </c>
      <c r="S272" s="212"/>
      <c r="T272" s="212"/>
      <c r="U272" s="212"/>
      <c r="V272" s="212" t="s">
        <v>142</v>
      </c>
      <c r="W272" s="212" t="str">
        <f t="shared" si="66"/>
        <v/>
      </c>
      <c r="X272" s="214"/>
    </row>
    <row r="273" spans="1:24" ht="15">
      <c r="A273" s="211" t="s">
        <v>37</v>
      </c>
      <c r="B273" s="225" t="s">
        <v>265</v>
      </c>
      <c r="C273" s="212" t="s">
        <v>69</v>
      </c>
      <c r="D273" s="212" t="s">
        <v>99</v>
      </c>
      <c r="E273" s="212" t="s">
        <v>100</v>
      </c>
      <c r="F273" s="212" t="s">
        <v>101</v>
      </c>
      <c r="G273" s="212" t="s">
        <v>102</v>
      </c>
      <c r="H273" s="212" t="s">
        <v>214</v>
      </c>
      <c r="I273" s="212" t="s">
        <v>20</v>
      </c>
      <c r="J273" s="212" t="s">
        <v>105</v>
      </c>
      <c r="K273" s="212" t="s">
        <v>106</v>
      </c>
      <c r="L273" s="212" t="s">
        <v>107</v>
      </c>
      <c r="M273" s="213">
        <f t="shared" ref="M273:M284" si="71">IF(W273&lt;&gt;"", W273, ROUNDUP(X273*T273, 0))</f>
        <v>16</v>
      </c>
      <c r="N273" s="441" cm="1">
        <f t="array" ref="N273">IF(TRIM(K273)="Mano de Obra",IF(Formulario!$L$23&lt;&gt;"",Formulario!$L$23,IFERROR(VLOOKUP(TRIM($M$4),Jornalesdeppto!A:C,3,0),"")),_xlfn.XLOOKUP(1,(Tabla_Costos_Insumos!$A$2:$A$3199=TRIM($M$4))*(Tabla_Costos_Insumos!$C$2:$C$3199=TRIM(K273)),Tabla_Costos_Insumos!$E$2:$E$3199,"",0))</f>
        <v>46666.666666666664</v>
      </c>
      <c r="O273" s="441">
        <f t="shared" si="52"/>
        <v>746666.66666666663</v>
      </c>
      <c r="P273" s="212" t="str">
        <f t="shared" si="70"/>
        <v>Limón Tahití</v>
      </c>
      <c r="Q273" s="212" t="s">
        <v>108</v>
      </c>
      <c r="R273" s="212">
        <v>0.5</v>
      </c>
      <c r="S273" s="212"/>
      <c r="T273" s="212" cm="1">
        <f t="array" ref="T273">_xlfn.IFS($D$5&lt;=7, 1.1, $D$5&lt;=12,1.2, $D$5&lt;=25, 1.3, $D$5&gt;25,1.4)</f>
        <v>1.3</v>
      </c>
      <c r="U273" s="212"/>
      <c r="V273" s="212">
        <v>0</v>
      </c>
      <c r="W273" s="212"/>
      <c r="X273" s="214">
        <v>12</v>
      </c>
    </row>
    <row r="274" spans="1:24" ht="15">
      <c r="A274" s="211" t="s">
        <v>37</v>
      </c>
      <c r="B274" s="225" t="s">
        <v>265</v>
      </c>
      <c r="C274" s="212" t="s">
        <v>69</v>
      </c>
      <c r="D274" s="212" t="s">
        <v>99</v>
      </c>
      <c r="E274" s="212" t="s">
        <v>100</v>
      </c>
      <c r="F274" s="212" t="s">
        <v>109</v>
      </c>
      <c r="G274" s="212" t="s">
        <v>110</v>
      </c>
      <c r="H274" s="212" t="s">
        <v>111</v>
      </c>
      <c r="I274" s="212" t="s">
        <v>112</v>
      </c>
      <c r="J274" s="212" t="s">
        <v>105</v>
      </c>
      <c r="K274" s="212" t="s">
        <v>106</v>
      </c>
      <c r="L274" s="212" t="s">
        <v>107</v>
      </c>
      <c r="M274" s="213">
        <f t="shared" si="71"/>
        <v>4</v>
      </c>
      <c r="N274" s="441" cm="1">
        <f t="array" ref="N274">IF(TRIM(K274)="Mano de Obra",IF(Formulario!$L$23&lt;&gt;"",Formulario!$L$23,IFERROR(VLOOKUP(TRIM($M$4),Jornalesdeppto!A:C,3,0),"")),_xlfn.XLOOKUP(1,(Tabla_Costos_Insumos!$A$2:$A$3199=TRIM($M$4))*(Tabla_Costos_Insumos!$C$2:$C$3199=TRIM(K274)),Tabla_Costos_Insumos!$E$2:$E$3199,"",0))</f>
        <v>46666.666666666664</v>
      </c>
      <c r="O274" s="441">
        <f t="shared" ref="O274:O337" si="72">IF(OR(N274=0,N274=""),"",N274*M274)</f>
        <v>186666.66666666666</v>
      </c>
      <c r="P274" s="212" t="str">
        <f t="shared" si="70"/>
        <v>Limón Tahití</v>
      </c>
      <c r="Q274" s="212" t="s">
        <v>108</v>
      </c>
      <c r="R274" s="212">
        <v>0.4</v>
      </c>
      <c r="S274" s="212" t="str">
        <f>IF($M$3="Limón tahití",($I$3*R274) / 480,"")</f>
        <v/>
      </c>
      <c r="T274" s="212" cm="1">
        <f t="array" ref="T274">_xlfn.IFS($D$5&lt;=7, 1.1, $D$5&lt;=12,1.2, $D$5&lt;=25, 1.3, $D$5&gt;25,1.4)</f>
        <v>1.3</v>
      </c>
      <c r="U274" s="212" t="str">
        <f t="shared" ref="U274:U278" si="73">IFERROR(S274*T274,"")</f>
        <v/>
      </c>
      <c r="V274" s="212">
        <v>2</v>
      </c>
      <c r="W274" s="212" t="str">
        <f t="shared" si="66"/>
        <v/>
      </c>
      <c r="X274" s="214">
        <v>3</v>
      </c>
    </row>
    <row r="275" spans="1:24" ht="15">
      <c r="A275" s="211" t="s">
        <v>37</v>
      </c>
      <c r="B275" s="225" t="s">
        <v>265</v>
      </c>
      <c r="C275" s="212" t="s">
        <v>69</v>
      </c>
      <c r="D275" s="212" t="s">
        <v>99</v>
      </c>
      <c r="E275" s="212" t="s">
        <v>100</v>
      </c>
      <c r="F275" s="212" t="s">
        <v>109</v>
      </c>
      <c r="G275" s="212" t="s">
        <v>110</v>
      </c>
      <c r="H275" s="212" t="s">
        <v>234</v>
      </c>
      <c r="I275" s="212" t="s">
        <v>235</v>
      </c>
      <c r="J275" s="212" t="s">
        <v>105</v>
      </c>
      <c r="K275" s="212" t="s">
        <v>106</v>
      </c>
      <c r="L275" s="212" t="s">
        <v>107</v>
      </c>
      <c r="M275" s="213">
        <f t="shared" si="71"/>
        <v>6</v>
      </c>
      <c r="N275" s="441" cm="1">
        <f t="array" ref="N275">IF(TRIM(K275)="Mano de Obra",IF(Formulario!$L$23&lt;&gt;"",Formulario!$L$23,IFERROR(VLOOKUP(TRIM($M$4),Jornalesdeppto!A:C,3,0),"")),_xlfn.XLOOKUP(1,(Tabla_Costos_Insumos!$A$2:$A$3199=TRIM($M$4))*(Tabla_Costos_Insumos!$C$2:$C$3199=TRIM(K275)),Tabla_Costos_Insumos!$E$2:$E$3199,"",0))</f>
        <v>46666.666666666664</v>
      </c>
      <c r="O275" s="441">
        <f t="shared" si="72"/>
        <v>280000</v>
      </c>
      <c r="P275" s="212" t="str">
        <f t="shared" si="70"/>
        <v>Limón Tahití</v>
      </c>
      <c r="Q275" s="212" t="s">
        <v>108</v>
      </c>
      <c r="R275" s="212">
        <v>2</v>
      </c>
      <c r="S275" s="212" t="str">
        <f t="shared" ref="S275:S278" si="74">IF($M$3="Limón tahití",($I$3*R275) / 480,"")</f>
        <v/>
      </c>
      <c r="T275" s="212" cm="1">
        <f t="array" ref="T275">_xlfn.IFS($D$5&lt;=7, 1.1, $D$5&lt;=12,1.2, $D$5&lt;=25, 1.3, $D$5&gt;25,1.4)</f>
        <v>1.3</v>
      </c>
      <c r="U275" s="212" t="str">
        <f t="shared" si="73"/>
        <v/>
      </c>
      <c r="V275" s="212">
        <v>4</v>
      </c>
      <c r="W275" s="212" t="str">
        <f t="shared" si="66"/>
        <v/>
      </c>
      <c r="X275" s="214">
        <v>4</v>
      </c>
    </row>
    <row r="276" spans="1:24" ht="15">
      <c r="A276" s="211" t="s">
        <v>37</v>
      </c>
      <c r="B276" s="225" t="s">
        <v>265</v>
      </c>
      <c r="C276" s="212" t="s">
        <v>69</v>
      </c>
      <c r="D276" s="212" t="s">
        <v>99</v>
      </c>
      <c r="E276" s="212" t="s">
        <v>100</v>
      </c>
      <c r="F276" s="212" t="s">
        <v>113</v>
      </c>
      <c r="G276" s="212" t="s">
        <v>114</v>
      </c>
      <c r="H276" s="212" t="s">
        <v>115</v>
      </c>
      <c r="I276" s="212" t="s">
        <v>116</v>
      </c>
      <c r="J276" s="212" t="s">
        <v>105</v>
      </c>
      <c r="K276" s="212" t="s">
        <v>106</v>
      </c>
      <c r="L276" s="212" t="s">
        <v>107</v>
      </c>
      <c r="M276" s="213">
        <f t="shared" si="71"/>
        <v>6</v>
      </c>
      <c r="N276" s="441" cm="1">
        <f t="array" ref="N276">IF(TRIM(K276)="Mano de Obra",IF(Formulario!$L$23&lt;&gt;"",Formulario!$L$23,IFERROR(VLOOKUP(TRIM($M$4),Jornalesdeppto!A:C,3,0),"")),_xlfn.XLOOKUP(1,(Tabla_Costos_Insumos!$A$2:$A$3199=TRIM($M$4))*(Tabla_Costos_Insumos!$C$2:$C$3199=TRIM(K276)),Tabla_Costos_Insumos!$E$2:$E$3199,"",0))</f>
        <v>46666.666666666664</v>
      </c>
      <c r="O276" s="441">
        <f t="shared" si="72"/>
        <v>280000</v>
      </c>
      <c r="P276" s="212" t="str">
        <f t="shared" si="70"/>
        <v>Limón Tahití</v>
      </c>
      <c r="Q276" s="212" t="s">
        <v>108</v>
      </c>
      <c r="R276" s="212">
        <v>3</v>
      </c>
      <c r="S276" s="212" t="str">
        <f t="shared" si="74"/>
        <v/>
      </c>
      <c r="T276" s="212" cm="1">
        <f t="array" ref="T276">_xlfn.IFS($D$5&lt;=7, 1.1, $D$5&lt;=12,1.2, $D$5&lt;=25, 1.3, $D$5&gt;25,1.4)</f>
        <v>1.3</v>
      </c>
      <c r="U276" s="212" t="str">
        <f t="shared" si="73"/>
        <v/>
      </c>
      <c r="V276" s="212">
        <v>2</v>
      </c>
      <c r="W276" s="212" t="str">
        <f t="shared" si="66"/>
        <v/>
      </c>
      <c r="X276" s="214">
        <v>4</v>
      </c>
    </row>
    <row r="277" spans="1:24" ht="15">
      <c r="A277" s="211" t="s">
        <v>37</v>
      </c>
      <c r="B277" s="225" t="s">
        <v>265</v>
      </c>
      <c r="C277" s="212" t="s">
        <v>69</v>
      </c>
      <c r="D277" s="212" t="s">
        <v>99</v>
      </c>
      <c r="E277" s="212" t="s">
        <v>100</v>
      </c>
      <c r="F277" s="212" t="s">
        <v>117</v>
      </c>
      <c r="G277" s="212" t="s">
        <v>118</v>
      </c>
      <c r="H277" s="212" t="s">
        <v>119</v>
      </c>
      <c r="I277" s="212" t="s">
        <v>120</v>
      </c>
      <c r="J277" s="212" t="s">
        <v>105</v>
      </c>
      <c r="K277" s="212" t="s">
        <v>106</v>
      </c>
      <c r="L277" s="212" t="s">
        <v>107</v>
      </c>
      <c r="M277" s="213">
        <f t="shared" si="71"/>
        <v>10</v>
      </c>
      <c r="N277" s="441" cm="1">
        <f t="array" ref="N277">IF(TRIM(K277)="Mano de Obra",IF(Formulario!$L$23&lt;&gt;"",Formulario!$L$23,IFERROR(VLOOKUP(TRIM($M$4),Jornalesdeppto!A:C,3,0),"")),_xlfn.XLOOKUP(1,(Tabla_Costos_Insumos!$A$2:$A$3199=TRIM($M$4))*(Tabla_Costos_Insumos!$C$2:$C$3199=TRIM(K277)),Tabla_Costos_Insumos!$E$2:$E$3199,"",0))</f>
        <v>46666.666666666664</v>
      </c>
      <c r="O277" s="441">
        <f t="shared" si="72"/>
        <v>466666.66666666663</v>
      </c>
      <c r="P277" s="212" t="str">
        <f t="shared" si="70"/>
        <v>Limón Tahití</v>
      </c>
      <c r="Q277" s="212" t="s">
        <v>108</v>
      </c>
      <c r="R277" s="212">
        <v>4</v>
      </c>
      <c r="S277" s="212" t="str">
        <f t="shared" si="74"/>
        <v/>
      </c>
      <c r="T277" s="212" cm="1">
        <f t="array" ref="T277">_xlfn.IFS($D$5&lt;=7, 1.1, $D$5&lt;=12,1.2, $D$5&lt;=25, 1.3, $D$5&gt;25,1.4)</f>
        <v>1.3</v>
      </c>
      <c r="U277" s="212" t="str">
        <f t="shared" si="73"/>
        <v/>
      </c>
      <c r="V277" s="212">
        <v>9</v>
      </c>
      <c r="W277" s="212" t="str">
        <f t="shared" si="66"/>
        <v/>
      </c>
      <c r="X277" s="214">
        <v>7</v>
      </c>
    </row>
    <row r="278" spans="1:24" ht="15">
      <c r="A278" s="211" t="s">
        <v>37</v>
      </c>
      <c r="B278" s="225" t="s">
        <v>265</v>
      </c>
      <c r="C278" s="212" t="s">
        <v>69</v>
      </c>
      <c r="D278" s="212" t="s">
        <v>99</v>
      </c>
      <c r="E278" s="212" t="s">
        <v>100</v>
      </c>
      <c r="F278" s="212" t="s">
        <v>117</v>
      </c>
      <c r="G278" s="212" t="s">
        <v>118</v>
      </c>
      <c r="H278" s="212" t="s">
        <v>121</v>
      </c>
      <c r="I278" s="212" t="s">
        <v>122</v>
      </c>
      <c r="J278" s="212" t="s">
        <v>105</v>
      </c>
      <c r="K278" s="212" t="s">
        <v>106</v>
      </c>
      <c r="L278" s="212" t="s">
        <v>107</v>
      </c>
      <c r="M278" s="213">
        <f t="shared" si="71"/>
        <v>10</v>
      </c>
      <c r="N278" s="441" cm="1">
        <f t="array" ref="N278">IF(TRIM(K278)="Mano de Obra",IF(Formulario!$L$23&lt;&gt;"",Formulario!$L$23,IFERROR(VLOOKUP(TRIM($M$4),Jornalesdeppto!A:C,3,0),"")),_xlfn.XLOOKUP(1,(Tabla_Costos_Insumos!$A$2:$A$3199=TRIM($M$4))*(Tabla_Costos_Insumos!$C$2:$C$3199=TRIM(K278)),Tabla_Costos_Insumos!$E$2:$E$3199,"",0))</f>
        <v>46666.666666666664</v>
      </c>
      <c r="O278" s="441">
        <f t="shared" si="72"/>
        <v>466666.66666666663</v>
      </c>
      <c r="P278" s="212" t="str">
        <f t="shared" si="70"/>
        <v>Limón Tahití</v>
      </c>
      <c r="Q278" s="212" t="s">
        <v>108</v>
      </c>
      <c r="R278" s="212">
        <v>4</v>
      </c>
      <c r="S278" s="212" t="str">
        <f t="shared" si="74"/>
        <v/>
      </c>
      <c r="T278" s="212" cm="1">
        <f t="array" ref="T278">_xlfn.IFS($D$5&lt;=7, 1.1, $D$5&lt;=12,1.2, $D$5&lt;=25, 1.3, $D$5&gt;25,1.4)</f>
        <v>1.3</v>
      </c>
      <c r="U278" s="212" t="str">
        <f t="shared" si="73"/>
        <v/>
      </c>
      <c r="V278" s="212">
        <v>9</v>
      </c>
      <c r="W278" s="212" t="str">
        <f t="shared" si="66"/>
        <v/>
      </c>
      <c r="X278" s="214">
        <v>7</v>
      </c>
    </row>
    <row r="279" spans="1:24" ht="15">
      <c r="A279" s="211" t="s">
        <v>37</v>
      </c>
      <c r="B279" s="225" t="s">
        <v>265</v>
      </c>
      <c r="C279" s="212" t="s">
        <v>69</v>
      </c>
      <c r="D279" s="212" t="s">
        <v>99</v>
      </c>
      <c r="E279" s="212" t="s">
        <v>100</v>
      </c>
      <c r="F279" s="212" t="s">
        <v>123</v>
      </c>
      <c r="G279" s="212" t="s">
        <v>124</v>
      </c>
      <c r="H279" s="212" t="s">
        <v>125</v>
      </c>
      <c r="I279" s="212" t="s">
        <v>126</v>
      </c>
      <c r="J279" s="212" t="s">
        <v>105</v>
      </c>
      <c r="K279" s="212" t="s">
        <v>106</v>
      </c>
      <c r="L279" s="212" t="s">
        <v>107</v>
      </c>
      <c r="M279" s="213">
        <f t="shared" si="71"/>
        <v>4</v>
      </c>
      <c r="N279" s="441" cm="1">
        <f t="array" ref="N279">IF(TRIM(K279)="Mano de Obra",IF(Formulario!$L$23&lt;&gt;"",Formulario!$L$23,IFERROR(VLOOKUP(TRIM($M$4),Jornalesdeppto!A:C,3,0),"")),_xlfn.XLOOKUP(1,(Tabla_Costos_Insumos!$A$2:$A$3199=TRIM($M$4))*(Tabla_Costos_Insumos!$C$2:$C$3199=TRIM(K279)),Tabla_Costos_Insumos!$E$2:$E$3199,"",0))</f>
        <v>46666.666666666664</v>
      </c>
      <c r="O279" s="441">
        <f t="shared" si="72"/>
        <v>186666.66666666666</v>
      </c>
      <c r="P279" s="212" t="str">
        <f t="shared" si="70"/>
        <v>Limón Tahití</v>
      </c>
      <c r="Q279" s="212" t="s">
        <v>127</v>
      </c>
      <c r="R279" s="212">
        <v>0.09</v>
      </c>
      <c r="S279" s="212">
        <f t="shared" ref="S279:S280" si="75">10000*R279/480</f>
        <v>1.875</v>
      </c>
      <c r="T279" s="212" cm="1">
        <f t="array" ref="T279">_xlfn.IFS($D$5&lt;=7, 1.1, $D$5&lt;=12,1.2, $D$5&lt;=25, 1.3, $D$5&gt;25,1.4)</f>
        <v>1.3</v>
      </c>
      <c r="U279" s="212"/>
      <c r="V279" s="212">
        <v>2</v>
      </c>
      <c r="W279" s="212"/>
      <c r="X279" s="214">
        <v>3</v>
      </c>
    </row>
    <row r="280" spans="1:24" ht="15">
      <c r="A280" s="211" t="s">
        <v>37</v>
      </c>
      <c r="B280" s="225" t="s">
        <v>265</v>
      </c>
      <c r="C280" s="212" t="s">
        <v>69</v>
      </c>
      <c r="D280" s="212" t="s">
        <v>99</v>
      </c>
      <c r="E280" s="212" t="s">
        <v>100</v>
      </c>
      <c r="F280" s="212" t="s">
        <v>123</v>
      </c>
      <c r="G280" s="212" t="s">
        <v>124</v>
      </c>
      <c r="H280" s="212" t="s">
        <v>128</v>
      </c>
      <c r="I280" s="212" t="s">
        <v>129</v>
      </c>
      <c r="J280" s="212" t="s">
        <v>105</v>
      </c>
      <c r="K280" s="212" t="s">
        <v>106</v>
      </c>
      <c r="L280" s="212" t="s">
        <v>107</v>
      </c>
      <c r="M280" s="213">
        <f t="shared" si="71"/>
        <v>19</v>
      </c>
      <c r="N280" s="441" cm="1">
        <f t="array" ref="N280">IF(TRIM(K280)="Mano de Obra",IF(Formulario!$L$23&lt;&gt;"",Formulario!$L$23,IFERROR(VLOOKUP(TRIM($M$4),Jornalesdeppto!A:C,3,0),"")),_xlfn.XLOOKUP(1,(Tabla_Costos_Insumos!$A$2:$A$3199=TRIM($M$4))*(Tabla_Costos_Insumos!$C$2:$C$3199=TRIM(K280)),Tabla_Costos_Insumos!$E$2:$E$3199,"",0))</f>
        <v>46666.666666666664</v>
      </c>
      <c r="O280" s="441">
        <f t="shared" si="72"/>
        <v>886666.66666666663</v>
      </c>
      <c r="P280" s="212" t="str">
        <f t="shared" si="70"/>
        <v>Limón Tahití</v>
      </c>
      <c r="Q280" s="212" t="s">
        <v>127</v>
      </c>
      <c r="R280" s="212">
        <v>0.09</v>
      </c>
      <c r="S280" s="212">
        <f t="shared" si="75"/>
        <v>1.875</v>
      </c>
      <c r="T280" s="212" cm="1">
        <f t="array" ref="T280">_xlfn.IFS($D$5&lt;=7, 1.1, $D$5&lt;=12,1.2, $D$5&lt;=25, 1.3, $D$5&gt;25,1.4)</f>
        <v>1.3</v>
      </c>
      <c r="U280" s="212"/>
      <c r="V280" s="212">
        <v>2</v>
      </c>
      <c r="W280" s="212"/>
      <c r="X280" s="214">
        <v>14</v>
      </c>
    </row>
    <row r="281" spans="1:24" ht="15">
      <c r="A281" s="211" t="s">
        <v>37</v>
      </c>
      <c r="B281" s="225" t="s">
        <v>265</v>
      </c>
      <c r="C281" s="212" t="s">
        <v>69</v>
      </c>
      <c r="D281" s="212" t="s">
        <v>99</v>
      </c>
      <c r="E281" s="212" t="s">
        <v>100</v>
      </c>
      <c r="F281" s="212" t="s">
        <v>130</v>
      </c>
      <c r="G281" s="212" t="s">
        <v>131</v>
      </c>
      <c r="H281" s="212" t="s">
        <v>132</v>
      </c>
      <c r="I281" s="212" t="s">
        <v>133</v>
      </c>
      <c r="J281" s="212" t="s">
        <v>105</v>
      </c>
      <c r="K281" s="212" t="s">
        <v>106</v>
      </c>
      <c r="L281" s="212" t="s">
        <v>107</v>
      </c>
      <c r="M281" s="213">
        <f t="shared" si="71"/>
        <v>12</v>
      </c>
      <c r="N281" s="441" cm="1">
        <f t="array" ref="N281">IF(TRIM(K281)="Mano de Obra",IF(Formulario!$L$23&lt;&gt;"",Formulario!$L$23,IFERROR(VLOOKUP(TRIM($M$4),Jornalesdeppto!A:C,3,0),"")),_xlfn.XLOOKUP(1,(Tabla_Costos_Insumos!$A$2:$A$3199=TRIM($M$4))*(Tabla_Costos_Insumos!$C$2:$C$3199=TRIM(K281)),Tabla_Costos_Insumos!$E$2:$E$3199,"",0))</f>
        <v>46666.666666666664</v>
      </c>
      <c r="O281" s="441">
        <f t="shared" si="72"/>
        <v>560000</v>
      </c>
      <c r="P281" s="212" t="str">
        <f t="shared" si="70"/>
        <v>Limón Tahití</v>
      </c>
      <c r="Q281" s="212" t="s">
        <v>108</v>
      </c>
      <c r="R281" s="212">
        <v>1.5</v>
      </c>
      <c r="S281" s="212" t="str">
        <f t="shared" ref="S281:S282" si="76">IF($M$3="Limón tahití",($I$3*R281) / 480,"")</f>
        <v/>
      </c>
      <c r="T281" s="212" cm="1">
        <f t="array" ref="T281">_xlfn.IFS($D$5&lt;=7, 1.1, $D$5&lt;=12,1.2, $D$5&lt;=25, 1.3, $D$5&gt;25,1.4)</f>
        <v>1.3</v>
      </c>
      <c r="U281" s="212" t="str">
        <f t="shared" ref="U281:U282" si="77">IFERROR(S281*T281,"")</f>
        <v/>
      </c>
      <c r="V281" s="212">
        <v>4</v>
      </c>
      <c r="W281" s="212" t="str">
        <f t="shared" si="66"/>
        <v/>
      </c>
      <c r="X281" s="214">
        <v>9</v>
      </c>
    </row>
    <row r="282" spans="1:24" ht="15">
      <c r="A282" s="211" t="s">
        <v>37</v>
      </c>
      <c r="B282" s="225" t="s">
        <v>265</v>
      </c>
      <c r="C282" s="212" t="s">
        <v>69</v>
      </c>
      <c r="D282" s="212" t="s">
        <v>99</v>
      </c>
      <c r="E282" s="212" t="s">
        <v>100</v>
      </c>
      <c r="F282" s="212" t="s">
        <v>130</v>
      </c>
      <c r="G282" s="212" t="s">
        <v>131</v>
      </c>
      <c r="H282" s="212" t="s">
        <v>134</v>
      </c>
      <c r="I282" s="212" t="s">
        <v>135</v>
      </c>
      <c r="J282" s="212" t="s">
        <v>105</v>
      </c>
      <c r="K282" s="212" t="s">
        <v>106</v>
      </c>
      <c r="L282" s="212" t="s">
        <v>107</v>
      </c>
      <c r="M282" s="213">
        <f t="shared" si="71"/>
        <v>6</v>
      </c>
      <c r="N282" s="441" cm="1">
        <f t="array" ref="N282">IF(TRIM(K282)="Mano de Obra",IF(Formulario!$L$23&lt;&gt;"",Formulario!$L$23,IFERROR(VLOOKUP(TRIM($M$4),Jornalesdeppto!A:C,3,0),"")),_xlfn.XLOOKUP(1,(Tabla_Costos_Insumos!$A$2:$A$3199=TRIM($M$4))*(Tabla_Costos_Insumos!$C$2:$C$3199=TRIM(K282)),Tabla_Costos_Insumos!$E$2:$E$3199,"",0))</f>
        <v>46666.666666666664</v>
      </c>
      <c r="O282" s="441">
        <f t="shared" si="72"/>
        <v>280000</v>
      </c>
      <c r="P282" s="212" t="str">
        <f t="shared" si="70"/>
        <v>Limón Tahití</v>
      </c>
      <c r="Q282" s="212" t="s">
        <v>108</v>
      </c>
      <c r="R282" s="212">
        <v>1.5</v>
      </c>
      <c r="S282" s="212" t="str">
        <f t="shared" si="76"/>
        <v/>
      </c>
      <c r="T282" s="212" cm="1">
        <f t="array" ref="T282">_xlfn.IFS($D$5&lt;=7, 1.1, $D$5&lt;=12,1.2, $D$5&lt;=25, 1.3, $D$5&gt;25,1.4)</f>
        <v>1.3</v>
      </c>
      <c r="U282" s="212" t="str">
        <f t="shared" si="77"/>
        <v/>
      </c>
      <c r="V282" s="212">
        <v>4</v>
      </c>
      <c r="W282" s="212" t="str">
        <f t="shared" si="66"/>
        <v/>
      </c>
      <c r="X282" s="214">
        <v>4</v>
      </c>
    </row>
    <row r="283" spans="1:24" ht="15">
      <c r="A283" s="211" t="s">
        <v>37</v>
      </c>
      <c r="B283" s="225" t="s">
        <v>265</v>
      </c>
      <c r="C283" s="212" t="s">
        <v>69</v>
      </c>
      <c r="D283" s="212" t="s">
        <v>99</v>
      </c>
      <c r="E283" s="212" t="s">
        <v>100</v>
      </c>
      <c r="F283" s="212" t="s">
        <v>138</v>
      </c>
      <c r="G283" s="212" t="s">
        <v>139</v>
      </c>
      <c r="H283" s="212" t="s">
        <v>140</v>
      </c>
      <c r="I283" s="212" t="s">
        <v>141</v>
      </c>
      <c r="J283" s="212" t="s">
        <v>105</v>
      </c>
      <c r="K283" s="212" t="s">
        <v>106</v>
      </c>
      <c r="L283" s="212" t="s">
        <v>107</v>
      </c>
      <c r="M283" s="213">
        <f t="shared" si="71"/>
        <v>16</v>
      </c>
      <c r="N283" s="441" cm="1">
        <f t="array" ref="N283">IF(TRIM(K283)="Mano de Obra",IF(Formulario!$L$23&lt;&gt;"",Formulario!$L$23,IFERROR(VLOOKUP(TRIM($M$4),Jornalesdeppto!A:C,3,0),"")),_xlfn.XLOOKUP(1,(Tabla_Costos_Insumos!$A$2:$A$3199=TRIM($M$4))*(Tabla_Costos_Insumos!$C$2:$C$3199=TRIM(K283)),Tabla_Costos_Insumos!$E$2:$E$3199,"",0))</f>
        <v>46666.666666666664</v>
      </c>
      <c r="O283" s="441">
        <f t="shared" si="72"/>
        <v>746666.66666666663</v>
      </c>
      <c r="P283" s="212" t="str">
        <f t="shared" si="70"/>
        <v>Limón Tahití</v>
      </c>
      <c r="Q283" s="212" t="s">
        <v>142</v>
      </c>
      <c r="R283" s="212" t="s">
        <v>142</v>
      </c>
      <c r="S283" s="212"/>
      <c r="T283" s="212" cm="1">
        <f t="array" ref="T283">_xlfn.IFS($D$5&lt;=7, 1.1, $D$5&lt;=12,1.2, $D$5&lt;=25, 1.3, $D$5&gt;25,1.4)</f>
        <v>1.3</v>
      </c>
      <c r="U283" s="212"/>
      <c r="V283" s="212" t="s">
        <v>142</v>
      </c>
      <c r="W283" s="212" t="str">
        <f t="shared" si="66"/>
        <v/>
      </c>
      <c r="X283" s="214">
        <v>12</v>
      </c>
    </row>
    <row r="284" spans="1:24" ht="15">
      <c r="A284" s="211" t="s">
        <v>37</v>
      </c>
      <c r="B284" s="225" t="s">
        <v>265</v>
      </c>
      <c r="C284" s="212" t="s">
        <v>69</v>
      </c>
      <c r="D284" s="212" t="s">
        <v>99</v>
      </c>
      <c r="E284" s="212" t="s">
        <v>100</v>
      </c>
      <c r="F284" s="212" t="s">
        <v>138</v>
      </c>
      <c r="G284" s="212" t="s">
        <v>139</v>
      </c>
      <c r="H284" s="212" t="s">
        <v>143</v>
      </c>
      <c r="I284" s="212" t="s">
        <v>144</v>
      </c>
      <c r="J284" s="212" t="s">
        <v>105</v>
      </c>
      <c r="K284" s="212" t="s">
        <v>106</v>
      </c>
      <c r="L284" s="212" t="s">
        <v>107</v>
      </c>
      <c r="M284" s="213">
        <f t="shared" si="71"/>
        <v>59</v>
      </c>
      <c r="N284" s="441" cm="1">
        <f t="array" ref="N284">IF(TRIM(K284)="Mano de Obra",IF(Formulario!$L$23&lt;&gt;"",Formulario!$L$23,IFERROR(VLOOKUP(TRIM($M$4),Jornalesdeppto!A:C,3,0),"")),_xlfn.XLOOKUP(1,(Tabla_Costos_Insumos!$A$2:$A$3199=TRIM($M$4))*(Tabla_Costos_Insumos!$C$2:$C$3199=TRIM(K284)),Tabla_Costos_Insumos!$E$2:$E$3199,"",0))</f>
        <v>46666.666666666664</v>
      </c>
      <c r="O284" s="441">
        <f t="shared" si="72"/>
        <v>2753333.333333333</v>
      </c>
      <c r="P284" s="212" t="str">
        <f t="shared" si="70"/>
        <v>Limón Tahití</v>
      </c>
      <c r="Q284" s="212" t="s">
        <v>142</v>
      </c>
      <c r="R284" s="212" t="s">
        <v>142</v>
      </c>
      <c r="S284" s="212"/>
      <c r="T284" s="212" cm="1">
        <f t="array" ref="T284">_xlfn.IFS($D$5&lt;=7, 1.1, $D$5&lt;=12,1.2, $D$5&lt;=25, 1.3, $D$5&gt;25,1.4)</f>
        <v>1.3</v>
      </c>
      <c r="U284" s="212"/>
      <c r="V284" s="212" t="s">
        <v>142</v>
      </c>
      <c r="W284" s="212" t="str">
        <f t="shared" si="66"/>
        <v/>
      </c>
      <c r="X284" s="214">
        <v>45</v>
      </c>
    </row>
    <row r="285" spans="1:24" ht="15">
      <c r="A285" s="211" t="s">
        <v>37</v>
      </c>
      <c r="B285" s="225" t="s">
        <v>265</v>
      </c>
      <c r="C285" s="212" t="s">
        <v>69</v>
      </c>
      <c r="D285" s="212" t="s">
        <v>145</v>
      </c>
      <c r="E285" s="212" t="s">
        <v>146</v>
      </c>
      <c r="F285" s="212" t="s">
        <v>147</v>
      </c>
      <c r="G285" s="212" t="s">
        <v>131</v>
      </c>
      <c r="H285" s="212" t="s">
        <v>148</v>
      </c>
      <c r="I285" s="212" t="s">
        <v>266</v>
      </c>
      <c r="J285" s="212" t="s">
        <v>149</v>
      </c>
      <c r="K285" s="212" t="s">
        <v>150</v>
      </c>
      <c r="L285" s="212" t="s">
        <v>151</v>
      </c>
      <c r="M285" s="213">
        <v>2</v>
      </c>
      <c r="N285" s="441" cm="1">
        <f t="array" ref="N285">IF(TRIM(K285)="Mano de Obra",IF(Formulario!$L$23&lt;&gt;"",Formulario!$L$23,IFERROR(VLOOKUP(TRIM($M$4),Jornalesdeppto!A:C,3,0),"")),_xlfn.XLOOKUP(1,(Tabla_Costos_Insumos!$A$2:$A$3199=TRIM($M$4))*(Tabla_Costos_Insumos!$C$2:$C$3199=TRIM(K285)),Tabla_Costos_Insumos!$E$2:$E$3199,"",0))</f>
        <v>198055.68333333</v>
      </c>
      <c r="O285" s="441">
        <f t="shared" si="72"/>
        <v>396111.36666666</v>
      </c>
      <c r="P285" s="212" t="str">
        <f t="shared" si="70"/>
        <v>Limón Tahití</v>
      </c>
      <c r="Q285" s="212" t="s">
        <v>142</v>
      </c>
      <c r="R285" s="212" t="s">
        <v>142</v>
      </c>
      <c r="S285" s="212"/>
      <c r="T285" s="212"/>
      <c r="U285" s="212"/>
      <c r="V285" s="212" t="s">
        <v>142</v>
      </c>
      <c r="W285" s="212" t="str">
        <f t="shared" si="66"/>
        <v/>
      </c>
      <c r="X285" s="214"/>
    </row>
    <row r="286" spans="1:24" ht="15">
      <c r="A286" s="211" t="s">
        <v>37</v>
      </c>
      <c r="B286" s="225" t="s">
        <v>265</v>
      </c>
      <c r="C286" s="212" t="s">
        <v>69</v>
      </c>
      <c r="D286" s="212" t="s">
        <v>145</v>
      </c>
      <c r="E286" s="212" t="s">
        <v>146</v>
      </c>
      <c r="F286" s="212" t="s">
        <v>147</v>
      </c>
      <c r="G286" s="212" t="s">
        <v>131</v>
      </c>
      <c r="H286" s="212" t="s">
        <v>152</v>
      </c>
      <c r="I286" s="212" t="s">
        <v>153</v>
      </c>
      <c r="J286" s="212" t="s">
        <v>149</v>
      </c>
      <c r="K286" s="212" t="s">
        <v>4216</v>
      </c>
      <c r="L286" s="212" t="s">
        <v>151</v>
      </c>
      <c r="M286" s="213">
        <v>9</v>
      </c>
      <c r="N286" s="441" cm="1">
        <f t="array" ref="N286">IF(TRIM(K286)="Mano de Obra",IF(Formulario!$L$23&lt;&gt;"",Formulario!$L$23,IFERROR(VLOOKUP(TRIM($M$4),Jornalesdeppto!A:C,3,0),"")),_xlfn.XLOOKUP(1,(Tabla_Costos_Insumos!$A$2:$A$3199=TRIM($M$4))*(Tabla_Costos_Insumos!$C$2:$C$3199=TRIM(K286)),Tabla_Costos_Insumos!$E$2:$E$3199,"",0))</f>
        <v>125849.2424242409</v>
      </c>
      <c r="O286" s="441">
        <f t="shared" si="72"/>
        <v>1132643.1818181681</v>
      </c>
      <c r="P286" s="212" t="str">
        <f t="shared" si="70"/>
        <v>Limón Tahití</v>
      </c>
      <c r="Q286" s="212" t="s">
        <v>142</v>
      </c>
      <c r="R286" s="212" t="s">
        <v>142</v>
      </c>
      <c r="S286" s="212"/>
      <c r="T286" s="212"/>
      <c r="U286" s="212"/>
      <c r="V286" s="212" t="s">
        <v>142</v>
      </c>
      <c r="W286" s="212" t="str">
        <f t="shared" si="66"/>
        <v/>
      </c>
      <c r="X286" s="214"/>
    </row>
    <row r="287" spans="1:24" ht="15">
      <c r="A287" s="211" t="s">
        <v>37</v>
      </c>
      <c r="B287" s="225" t="s">
        <v>265</v>
      </c>
      <c r="C287" s="212" t="s">
        <v>69</v>
      </c>
      <c r="D287" s="212" t="s">
        <v>145</v>
      </c>
      <c r="E287" s="212" t="s">
        <v>146</v>
      </c>
      <c r="F287" s="212" t="s">
        <v>147</v>
      </c>
      <c r="G287" s="212" t="s">
        <v>131</v>
      </c>
      <c r="H287" s="212" t="s">
        <v>154</v>
      </c>
      <c r="I287" s="212" t="s">
        <v>155</v>
      </c>
      <c r="J287" s="212" t="s">
        <v>149</v>
      </c>
      <c r="K287" s="212" t="s">
        <v>156</v>
      </c>
      <c r="L287" s="212" t="s">
        <v>151</v>
      </c>
      <c r="M287" s="213">
        <v>2</v>
      </c>
      <c r="N287" s="441" cm="1">
        <f t="array" ref="N287">IF(TRIM(K287)="Mano de Obra",IF(Formulario!$L$23&lt;&gt;"",Formulario!$L$23,IFERROR(VLOOKUP(TRIM($M$4),Jornalesdeppto!A:C,3,0),"")),_xlfn.XLOOKUP(1,(Tabla_Costos_Insumos!$A$2:$A$3199=TRIM($M$4))*(Tabla_Costos_Insumos!$C$2:$C$3199=TRIM(K287)),Tabla_Costos_Insumos!$E$2:$E$3199,"",0))</f>
        <v>17212.5</v>
      </c>
      <c r="O287" s="441">
        <f t="shared" si="72"/>
        <v>34425</v>
      </c>
      <c r="P287" s="212" t="str">
        <f t="shared" si="70"/>
        <v>Limón Tahití</v>
      </c>
      <c r="Q287" s="212" t="s">
        <v>142</v>
      </c>
      <c r="R287" s="212" t="s">
        <v>142</v>
      </c>
      <c r="S287" s="212"/>
      <c r="T287" s="212"/>
      <c r="U287" s="212"/>
      <c r="V287" s="212" t="s">
        <v>142</v>
      </c>
      <c r="W287" s="212" t="str">
        <f t="shared" si="66"/>
        <v/>
      </c>
      <c r="X287" s="214"/>
    </row>
    <row r="288" spans="1:24" ht="15">
      <c r="A288" s="211" t="s">
        <v>37</v>
      </c>
      <c r="B288" s="225" t="s">
        <v>265</v>
      </c>
      <c r="C288" s="212" t="s">
        <v>69</v>
      </c>
      <c r="D288" s="212" t="s">
        <v>145</v>
      </c>
      <c r="E288" s="212" t="s">
        <v>146</v>
      </c>
      <c r="F288" s="212" t="s">
        <v>147</v>
      </c>
      <c r="G288" s="212" t="s">
        <v>131</v>
      </c>
      <c r="H288" s="212" t="s">
        <v>157</v>
      </c>
      <c r="I288" s="212" t="s">
        <v>158</v>
      </c>
      <c r="J288" s="212" t="s">
        <v>149</v>
      </c>
      <c r="K288" s="222" t="s">
        <v>243</v>
      </c>
      <c r="L288" s="212" t="s">
        <v>172</v>
      </c>
      <c r="M288" s="213">
        <v>18</v>
      </c>
      <c r="N288" s="441" cm="1">
        <f t="array" ref="N288">IF(TRIM(K288)="Mano de Obra",IF(Formulario!$L$23&lt;&gt;"",Formulario!$L$23,IFERROR(VLOOKUP(TRIM($M$4),Jornalesdeppto!A:C,3,0),"")),_xlfn.XLOOKUP(1,(Tabla_Costos_Insumos!$A$2:$A$3199=TRIM($M$4))*(Tabla_Costos_Insumos!$C$2:$C$3199=TRIM(K288)),Tabla_Costos_Insumos!$E$2:$E$3199,"",0))</f>
        <v>26208.33</v>
      </c>
      <c r="O288" s="441">
        <f t="shared" si="72"/>
        <v>471749.94000000006</v>
      </c>
      <c r="P288" s="212" t="str">
        <f t="shared" si="70"/>
        <v>Limón Tahití</v>
      </c>
      <c r="Q288" s="212" t="s">
        <v>142</v>
      </c>
      <c r="R288" s="212" t="s">
        <v>142</v>
      </c>
      <c r="S288" s="212"/>
      <c r="T288" s="212"/>
      <c r="U288" s="212"/>
      <c r="V288" s="212" t="s">
        <v>142</v>
      </c>
      <c r="W288" s="212" t="str">
        <f t="shared" si="66"/>
        <v/>
      </c>
      <c r="X288" s="214"/>
    </row>
    <row r="289" spans="1:24" ht="15">
      <c r="A289" s="211" t="s">
        <v>37</v>
      </c>
      <c r="B289" s="225" t="s">
        <v>265</v>
      </c>
      <c r="C289" s="212" t="s">
        <v>69</v>
      </c>
      <c r="D289" s="212" t="s">
        <v>145</v>
      </c>
      <c r="E289" s="212" t="s">
        <v>146</v>
      </c>
      <c r="F289" s="212" t="s">
        <v>147</v>
      </c>
      <c r="G289" s="212" t="s">
        <v>131</v>
      </c>
      <c r="H289" s="212" t="s">
        <v>161</v>
      </c>
      <c r="I289" s="212" t="s">
        <v>162</v>
      </c>
      <c r="J289" s="212" t="s">
        <v>149</v>
      </c>
      <c r="K289" s="212" t="s">
        <v>163</v>
      </c>
      <c r="L289" s="212" t="s">
        <v>164</v>
      </c>
      <c r="M289" s="213">
        <v>2</v>
      </c>
      <c r="N289" s="441" cm="1">
        <f t="array" ref="N289">IF(TRIM(K289)="Mano de Obra",IF(Formulario!$L$23&lt;&gt;"",Formulario!$L$23,IFERROR(VLOOKUP(TRIM($M$4),Jornalesdeppto!A:C,3,0),"")),_xlfn.XLOOKUP(1,(Tabla_Costos_Insumos!$A$2:$A$3199=TRIM($M$4))*(Tabla_Costos_Insumos!$C$2:$C$3199=TRIM(K289)),Tabla_Costos_Insumos!$E$2:$E$3199,"",0))</f>
        <v>128084.44444445</v>
      </c>
      <c r="O289" s="441">
        <f t="shared" si="72"/>
        <v>256168.88888889999</v>
      </c>
      <c r="P289" s="212" t="str">
        <f t="shared" si="70"/>
        <v>Limón Tahití</v>
      </c>
      <c r="Q289" s="212" t="s">
        <v>142</v>
      </c>
      <c r="R289" s="212" t="s">
        <v>142</v>
      </c>
      <c r="S289" s="212"/>
      <c r="T289" s="212"/>
      <c r="U289" s="212"/>
      <c r="V289" s="212" t="s">
        <v>142</v>
      </c>
      <c r="W289" s="212" t="str">
        <f t="shared" si="66"/>
        <v/>
      </c>
      <c r="X289" s="214"/>
    </row>
    <row r="290" spans="1:24" ht="15">
      <c r="A290" s="211" t="s">
        <v>37</v>
      </c>
      <c r="B290" s="225" t="s">
        <v>265</v>
      </c>
      <c r="C290" s="212" t="s">
        <v>69</v>
      </c>
      <c r="D290" s="212" t="s">
        <v>145</v>
      </c>
      <c r="E290" s="212" t="s">
        <v>146</v>
      </c>
      <c r="F290" s="212" t="s">
        <v>147</v>
      </c>
      <c r="G290" s="212" t="s">
        <v>131</v>
      </c>
      <c r="H290" s="212" t="s">
        <v>165</v>
      </c>
      <c r="I290" s="212" t="s">
        <v>153</v>
      </c>
      <c r="J290" s="212" t="s">
        <v>149</v>
      </c>
      <c r="K290" s="212" t="s">
        <v>166</v>
      </c>
      <c r="L290" s="212" t="s">
        <v>151</v>
      </c>
      <c r="M290" s="213">
        <v>9</v>
      </c>
      <c r="N290" s="441" cm="1">
        <f t="array" ref="N290">IF(TRIM(K290)="Mano de Obra",IF(Formulario!$L$23&lt;&gt;"",Formulario!$L$23,IFERROR(VLOOKUP(TRIM($M$4),Jornalesdeppto!A:C,3,0),"")),_xlfn.XLOOKUP(1,(Tabla_Costos_Insumos!$A$2:$A$3199=TRIM($M$4))*(Tabla_Costos_Insumos!$C$2:$C$3199=TRIM(K290)),Tabla_Costos_Insumos!$E$2:$E$3199,"",0))</f>
        <v>110000</v>
      </c>
      <c r="O290" s="441">
        <f t="shared" si="72"/>
        <v>990000</v>
      </c>
      <c r="P290" s="212" t="str">
        <f t="shared" si="70"/>
        <v>Limón Tahití</v>
      </c>
      <c r="Q290" s="212" t="s">
        <v>142</v>
      </c>
      <c r="R290" s="212" t="s">
        <v>142</v>
      </c>
      <c r="S290" s="212"/>
      <c r="T290" s="212"/>
      <c r="U290" s="212"/>
      <c r="V290" s="212" t="s">
        <v>142</v>
      </c>
      <c r="W290" s="212" t="str">
        <f t="shared" si="66"/>
        <v/>
      </c>
      <c r="X290" s="214"/>
    </row>
    <row r="291" spans="1:24" ht="15">
      <c r="A291" s="211" t="s">
        <v>37</v>
      </c>
      <c r="B291" s="225" t="s">
        <v>265</v>
      </c>
      <c r="C291" s="212" t="s">
        <v>69</v>
      </c>
      <c r="D291" s="212" t="s">
        <v>145</v>
      </c>
      <c r="E291" s="212" t="s">
        <v>146</v>
      </c>
      <c r="F291" s="212" t="s">
        <v>167</v>
      </c>
      <c r="G291" s="212" t="s">
        <v>118</v>
      </c>
      <c r="H291" s="212" t="s">
        <v>168</v>
      </c>
      <c r="I291" s="212" t="s">
        <v>169</v>
      </c>
      <c r="J291" s="212" t="s">
        <v>170</v>
      </c>
      <c r="K291" s="212" t="s">
        <v>227</v>
      </c>
      <c r="L291" s="212" t="s">
        <v>226</v>
      </c>
      <c r="M291" s="213">
        <v>12</v>
      </c>
      <c r="N291" s="441" cm="1">
        <f t="array" ref="N291">IF(TRIM(K291)="Mano de Obra",IF(Formulario!$L$23&lt;&gt;"",Formulario!$L$23,IFERROR(VLOOKUP(TRIM($M$4),Jornalesdeppto!A:C,3,0),"")),_xlfn.XLOOKUP(1,(Tabla_Costos_Insumos!$A$2:$A$3199=TRIM($M$4))*(Tabla_Costos_Insumos!$C$2:$C$3199=TRIM(K291)),Tabla_Costos_Insumos!$E$2:$E$3199,"",0))</f>
        <v>153430.65</v>
      </c>
      <c r="O291" s="441">
        <f t="shared" si="72"/>
        <v>1841167.7999999998</v>
      </c>
      <c r="P291" s="212" t="str">
        <f t="shared" si="70"/>
        <v>Limón Tahití</v>
      </c>
      <c r="Q291" s="212" t="s">
        <v>142</v>
      </c>
      <c r="R291" s="212" t="s">
        <v>142</v>
      </c>
      <c r="S291" s="212"/>
      <c r="T291" s="212"/>
      <c r="U291" s="212"/>
      <c r="V291" s="212" t="s">
        <v>142</v>
      </c>
      <c r="W291" s="212" t="str">
        <f t="shared" si="66"/>
        <v/>
      </c>
      <c r="X291" s="214"/>
    </row>
    <row r="292" spans="1:24" ht="15">
      <c r="A292" s="211" t="s">
        <v>37</v>
      </c>
      <c r="B292" s="225" t="s">
        <v>265</v>
      </c>
      <c r="C292" s="212" t="s">
        <v>69</v>
      </c>
      <c r="D292" s="212" t="s">
        <v>145</v>
      </c>
      <c r="E292" s="212" t="s">
        <v>146</v>
      </c>
      <c r="F292" s="212" t="s">
        <v>167</v>
      </c>
      <c r="G292" s="212" t="s">
        <v>118</v>
      </c>
      <c r="H292" s="212" t="s">
        <v>168</v>
      </c>
      <c r="I292" s="212" t="s">
        <v>169</v>
      </c>
      <c r="J292" s="212" t="s">
        <v>170</v>
      </c>
      <c r="K292" s="212" t="s">
        <v>260</v>
      </c>
      <c r="L292" s="212" t="s">
        <v>261</v>
      </c>
      <c r="M292" s="213">
        <v>45</v>
      </c>
      <c r="N292" s="441" cm="1">
        <f t="array" ref="N292">IF(TRIM(K292)="Mano de Obra",IF(Formulario!$L$23&lt;&gt;"",Formulario!$L$23,IFERROR(VLOOKUP(TRIM($M$4),Jornalesdeppto!A:C,3,0),"")),_xlfn.XLOOKUP(1,(Tabla_Costos_Insumos!$A$2:$A$3199=TRIM($M$4))*(Tabla_Costos_Insumos!$C$2:$C$3199=TRIM(K292)),Tabla_Costos_Insumos!$E$2:$E$3199,"",0))</f>
        <v>25534.226046466123</v>
      </c>
      <c r="O292" s="441">
        <f t="shared" si="72"/>
        <v>1149040.1720909756</v>
      </c>
      <c r="P292" s="212" t="str">
        <f t="shared" si="70"/>
        <v>Limón Tahití</v>
      </c>
      <c r="Q292" s="212" t="s">
        <v>142</v>
      </c>
      <c r="R292" s="212" t="s">
        <v>142</v>
      </c>
      <c r="S292" s="212"/>
      <c r="T292" s="212"/>
      <c r="U292" s="212"/>
      <c r="V292" s="212" t="s">
        <v>142</v>
      </c>
      <c r="W292" s="212" t="str">
        <f t="shared" si="66"/>
        <v/>
      </c>
      <c r="X292" s="214"/>
    </row>
    <row r="293" spans="1:24" ht="15">
      <c r="A293" s="211" t="s">
        <v>37</v>
      </c>
      <c r="B293" s="225" t="s">
        <v>265</v>
      </c>
      <c r="C293" s="212" t="s">
        <v>69</v>
      </c>
      <c r="D293" s="212" t="s">
        <v>145</v>
      </c>
      <c r="E293" s="212" t="s">
        <v>146</v>
      </c>
      <c r="F293" s="212" t="s">
        <v>167</v>
      </c>
      <c r="G293" s="212" t="s">
        <v>118</v>
      </c>
      <c r="H293" s="212" t="s">
        <v>174</v>
      </c>
      <c r="I293" s="212" t="s">
        <v>175</v>
      </c>
      <c r="J293" s="212" t="s">
        <v>176</v>
      </c>
      <c r="K293" s="212" t="s">
        <v>231</v>
      </c>
      <c r="L293" s="212" t="s">
        <v>172</v>
      </c>
      <c r="M293" s="213">
        <v>16</v>
      </c>
      <c r="N293" s="441" cm="1">
        <f t="array" ref="N293">IF(TRIM(K293)="Mano de Obra",IF(Formulario!$L$23&lt;&gt;"",Formulario!$L$23,IFERROR(VLOOKUP(TRIM($M$4),Jornalesdeppto!A:C,3,0),"")),_xlfn.XLOOKUP(1,(Tabla_Costos_Insumos!$A$2:$A$3199=TRIM($M$4))*(Tabla_Costos_Insumos!$C$2:$C$3199=TRIM(K293)),Tabla_Costos_Insumos!$E$2:$E$3199,"",0))</f>
        <v>23177.15</v>
      </c>
      <c r="O293" s="441">
        <f t="shared" si="72"/>
        <v>370834.4</v>
      </c>
      <c r="P293" s="212" t="str">
        <f t="shared" si="70"/>
        <v>Limón Tahití</v>
      </c>
      <c r="Q293" s="212" t="s">
        <v>142</v>
      </c>
      <c r="R293" s="212" t="s">
        <v>142</v>
      </c>
      <c r="S293" s="212"/>
      <c r="T293" s="212"/>
      <c r="U293" s="212"/>
      <c r="V293" s="212" t="s">
        <v>142</v>
      </c>
      <c r="W293" s="212" t="str">
        <f t="shared" si="66"/>
        <v/>
      </c>
      <c r="X293" s="214"/>
    </row>
    <row r="294" spans="1:24" ht="15">
      <c r="A294" s="211" t="s">
        <v>37</v>
      </c>
      <c r="B294" s="225" t="s">
        <v>265</v>
      </c>
      <c r="C294" s="212" t="s">
        <v>69</v>
      </c>
      <c r="D294" s="212" t="s">
        <v>145</v>
      </c>
      <c r="E294" s="212" t="s">
        <v>146</v>
      </c>
      <c r="F294" s="212" t="s">
        <v>167</v>
      </c>
      <c r="G294" s="212" t="s">
        <v>118</v>
      </c>
      <c r="H294" s="212" t="s">
        <v>178</v>
      </c>
      <c r="I294" s="212" t="s">
        <v>179</v>
      </c>
      <c r="J294" s="212" t="s">
        <v>180</v>
      </c>
      <c r="K294" s="212" t="s">
        <v>263</v>
      </c>
      <c r="L294" s="212" t="s">
        <v>172</v>
      </c>
      <c r="M294" s="213">
        <v>11</v>
      </c>
      <c r="N294" s="441" cm="1">
        <f t="array" ref="N294">IF(TRIM(K294)="Mano de Obra",IF(Formulario!$L$23&lt;&gt;"",Formulario!$L$23,IFERROR(VLOOKUP(TRIM($M$4),Jornalesdeppto!A:C,3,0),"")),_xlfn.XLOOKUP(1,(Tabla_Costos_Insumos!$A$2:$A$3199=TRIM($M$4))*(Tabla_Costos_Insumos!$C$2:$C$3199=TRIM(K294)),Tabla_Costos_Insumos!$E$2:$E$3199,"",0))</f>
        <v>210423.61</v>
      </c>
      <c r="O294" s="441">
        <f t="shared" si="72"/>
        <v>2314659.71</v>
      </c>
      <c r="P294" s="212" t="str">
        <f t="shared" si="70"/>
        <v>Limón Tahití</v>
      </c>
      <c r="Q294" s="212" t="s">
        <v>142</v>
      </c>
      <c r="R294" s="212" t="s">
        <v>142</v>
      </c>
      <c r="S294" s="212"/>
      <c r="T294" s="212"/>
      <c r="U294" s="212"/>
      <c r="V294" s="212" t="s">
        <v>142</v>
      </c>
      <c r="W294" s="212" t="str">
        <f t="shared" si="66"/>
        <v/>
      </c>
      <c r="X294" s="214"/>
    </row>
    <row r="295" spans="1:24" ht="15">
      <c r="A295" s="211" t="s">
        <v>37</v>
      </c>
      <c r="B295" s="225" t="s">
        <v>265</v>
      </c>
      <c r="C295" s="212" t="s">
        <v>69</v>
      </c>
      <c r="D295" s="212" t="s">
        <v>145</v>
      </c>
      <c r="E295" s="212" t="s">
        <v>146</v>
      </c>
      <c r="F295" s="212" t="s">
        <v>167</v>
      </c>
      <c r="G295" s="212" t="s">
        <v>118</v>
      </c>
      <c r="H295" s="212" t="s">
        <v>178</v>
      </c>
      <c r="I295" s="212" t="s">
        <v>179</v>
      </c>
      <c r="J295" s="212" t="s">
        <v>180</v>
      </c>
      <c r="K295" s="212" t="s">
        <v>181</v>
      </c>
      <c r="L295" s="212" t="s">
        <v>172</v>
      </c>
      <c r="M295" s="213">
        <v>6</v>
      </c>
      <c r="N295" s="441" cm="1">
        <f t="array" ref="N295">IF(TRIM(K295)="Mano de Obra",IF(Formulario!$L$23&lt;&gt;"",Formulario!$L$23,IFERROR(VLOOKUP(TRIM($M$4),Jornalesdeppto!A:C,3,0),"")),_xlfn.XLOOKUP(1,(Tabla_Costos_Insumos!$A$2:$A$3199=TRIM($M$4))*(Tabla_Costos_Insumos!$C$2:$C$3199=TRIM(K295)),Tabla_Costos_Insumos!$E$2:$E$3199,"",0))</f>
        <v>34056.25</v>
      </c>
      <c r="O295" s="441">
        <f t="shared" si="72"/>
        <v>204337.5</v>
      </c>
      <c r="P295" s="212" t="str">
        <f t="shared" si="70"/>
        <v>Limón Tahití</v>
      </c>
      <c r="Q295" s="212" t="s">
        <v>142</v>
      </c>
      <c r="R295" s="212" t="s">
        <v>142</v>
      </c>
      <c r="S295" s="212"/>
      <c r="T295" s="212"/>
      <c r="U295" s="212"/>
      <c r="V295" s="212" t="s">
        <v>142</v>
      </c>
      <c r="W295" s="212" t="str">
        <f t="shared" si="66"/>
        <v/>
      </c>
      <c r="X295" s="214"/>
    </row>
    <row r="296" spans="1:24" ht="15">
      <c r="A296" s="211" t="s">
        <v>37</v>
      </c>
      <c r="B296" s="225" t="s">
        <v>265</v>
      </c>
      <c r="C296" s="212" t="s">
        <v>69</v>
      </c>
      <c r="D296" s="212" t="s">
        <v>145</v>
      </c>
      <c r="E296" s="212" t="s">
        <v>146</v>
      </c>
      <c r="F296" s="212" t="s">
        <v>183</v>
      </c>
      <c r="G296" s="212" t="s">
        <v>184</v>
      </c>
      <c r="H296" s="212" t="s">
        <v>185</v>
      </c>
      <c r="I296" s="212" t="s">
        <v>186</v>
      </c>
      <c r="J296" s="212" t="s">
        <v>105</v>
      </c>
      <c r="K296" s="212" t="s">
        <v>187</v>
      </c>
      <c r="L296" s="212" t="s">
        <v>188</v>
      </c>
      <c r="M296" s="213">
        <v>0.1</v>
      </c>
      <c r="N296" s="441" cm="1">
        <f t="array" ref="N296">IF(TRIM(K296)="Mano de Obra",IF(Formulario!$L$23&lt;&gt;"",Formulario!$L$23,IFERROR(VLOOKUP(TRIM($M$4),Jornalesdeppto!A:C,3,0),"")),_xlfn.XLOOKUP(1,(Tabla_Costos_Insumos!$A$2:$A$3199=TRIM($M$4))*(Tabla_Costos_Insumos!$C$2:$C$3199=TRIM(K296)),Tabla_Costos_Insumos!$E$2:$E$3199,"",0))</f>
        <v>175000</v>
      </c>
      <c r="O296" s="441">
        <f t="shared" si="72"/>
        <v>17500</v>
      </c>
      <c r="P296" s="212" t="str">
        <f t="shared" si="70"/>
        <v>Limón Tahití</v>
      </c>
      <c r="Q296" s="212" t="s">
        <v>142</v>
      </c>
      <c r="R296" s="212" t="s">
        <v>142</v>
      </c>
      <c r="S296" s="212"/>
      <c r="T296" s="212"/>
      <c r="U296" s="212"/>
      <c r="V296" s="212" t="s">
        <v>142</v>
      </c>
      <c r="W296" s="212" t="str">
        <f t="shared" si="66"/>
        <v/>
      </c>
      <c r="X296" s="214"/>
    </row>
    <row r="297" spans="1:24" ht="15">
      <c r="A297" s="211" t="s">
        <v>37</v>
      </c>
      <c r="B297" s="225" t="s">
        <v>265</v>
      </c>
      <c r="C297" s="212" t="s">
        <v>69</v>
      </c>
      <c r="D297" s="212" t="s">
        <v>189</v>
      </c>
      <c r="E297" s="212" t="s">
        <v>190</v>
      </c>
      <c r="F297" s="212" t="s">
        <v>191</v>
      </c>
      <c r="G297" s="212" t="s">
        <v>192</v>
      </c>
      <c r="H297" s="212" t="s">
        <v>193</v>
      </c>
      <c r="I297" s="212" t="s">
        <v>194</v>
      </c>
      <c r="J297" s="212" t="s">
        <v>195</v>
      </c>
      <c r="K297" s="212" t="s">
        <v>196</v>
      </c>
      <c r="L297" s="212" t="s">
        <v>197</v>
      </c>
      <c r="M297" s="213">
        <v>1</v>
      </c>
      <c r="N297" s="441">
        <f>IFERROR(SUM(O279:$O$296)*0.08,0)</f>
        <v>1167357.703423843</v>
      </c>
      <c r="O297" s="441">
        <f t="shared" si="72"/>
        <v>1167357.703423843</v>
      </c>
      <c r="P297" s="212" t="str">
        <f t="shared" si="70"/>
        <v>Limón Tahití</v>
      </c>
      <c r="Q297" s="212" t="s">
        <v>142</v>
      </c>
      <c r="R297" s="212" t="s">
        <v>142</v>
      </c>
      <c r="S297" s="212"/>
      <c r="T297" s="212"/>
      <c r="U297" s="212"/>
      <c r="V297" s="212" t="s">
        <v>142</v>
      </c>
      <c r="W297" s="212" t="str">
        <f t="shared" si="66"/>
        <v/>
      </c>
      <c r="X297" s="214"/>
    </row>
    <row r="298" spans="1:24" ht="15">
      <c r="A298" s="211" t="s">
        <v>37</v>
      </c>
      <c r="B298" s="225" t="s">
        <v>265</v>
      </c>
      <c r="C298" s="212" t="s">
        <v>69</v>
      </c>
      <c r="D298" s="212" t="s">
        <v>189</v>
      </c>
      <c r="E298" s="212" t="s">
        <v>190</v>
      </c>
      <c r="F298" s="212" t="s">
        <v>198</v>
      </c>
      <c r="G298" s="212" t="s">
        <v>199</v>
      </c>
      <c r="H298" s="212" t="s">
        <v>200</v>
      </c>
      <c r="I298" s="212" t="s">
        <v>201</v>
      </c>
      <c r="J298" s="212" t="s">
        <v>105</v>
      </c>
      <c r="K298" s="212" t="s">
        <v>202</v>
      </c>
      <c r="L298" s="212" t="s">
        <v>203</v>
      </c>
      <c r="M298" s="213">
        <v>1</v>
      </c>
      <c r="N298" s="441" cm="1">
        <f t="array" ref="N298">IF(TRIM(K298)="Mano de Obra",IF(Formulario!$L$23&lt;&gt;"",Formulario!$L$23,IFERROR(VLOOKUP(TRIM($M$4),Jornalesdeppto!A:C,3,0),"")),_xlfn.XLOOKUP(1,(Tabla_Costos_Insumos!$A$2:$A$3199=TRIM($M$4))*(Tabla_Costos_Insumos!$C$2:$C$3199=TRIM(K298)),Tabla_Costos_Insumos!$E$2:$E$3199,"",0))</f>
        <v>120000</v>
      </c>
      <c r="O298" s="441">
        <f t="shared" si="72"/>
        <v>120000</v>
      </c>
      <c r="P298" s="212" t="str">
        <f t="shared" si="70"/>
        <v>Limón Tahití</v>
      </c>
      <c r="Q298" s="212" t="s">
        <v>142</v>
      </c>
      <c r="R298" s="212" t="s">
        <v>142</v>
      </c>
      <c r="S298" s="212"/>
      <c r="T298" s="212"/>
      <c r="U298" s="212"/>
      <c r="V298" s="212" t="s">
        <v>142</v>
      </c>
      <c r="W298" s="212" t="str">
        <f t="shared" si="66"/>
        <v/>
      </c>
      <c r="X298" s="214"/>
    </row>
    <row r="299" spans="1:24" ht="15">
      <c r="A299" s="211" t="s">
        <v>37</v>
      </c>
      <c r="B299" s="225" t="s">
        <v>265</v>
      </c>
      <c r="C299" s="212" t="s">
        <v>69</v>
      </c>
      <c r="D299" s="212" t="s">
        <v>189</v>
      </c>
      <c r="E299" s="212" t="s">
        <v>190</v>
      </c>
      <c r="F299" s="212" t="s">
        <v>204</v>
      </c>
      <c r="G299" s="212" t="s">
        <v>205</v>
      </c>
      <c r="H299" s="212" t="s">
        <v>206</v>
      </c>
      <c r="I299" s="212" t="s">
        <v>207</v>
      </c>
      <c r="J299" s="212" t="s">
        <v>4127</v>
      </c>
      <c r="K299" s="212" t="s">
        <v>228</v>
      </c>
      <c r="L299" s="212" t="s">
        <v>197</v>
      </c>
      <c r="M299" s="213">
        <v>1</v>
      </c>
      <c r="N299" s="441" t="str">
        <f>IF($M$3="Limón tahití",$J$4,"")</f>
        <v/>
      </c>
      <c r="O299" s="441" t="str">
        <f t="shared" si="72"/>
        <v/>
      </c>
      <c r="P299" s="212" t="str">
        <f t="shared" si="70"/>
        <v>Limón Tahití</v>
      </c>
      <c r="Q299" s="212" t="s">
        <v>142</v>
      </c>
      <c r="R299" s="212" t="s">
        <v>142</v>
      </c>
      <c r="S299" s="212"/>
      <c r="T299" s="212"/>
      <c r="U299" s="212"/>
      <c r="V299" s="212" t="s">
        <v>142</v>
      </c>
      <c r="W299" s="212" t="str">
        <f t="shared" si="66"/>
        <v/>
      </c>
      <c r="X299" s="214"/>
    </row>
    <row r="300" spans="1:24" ht="15">
      <c r="A300" s="211" t="s">
        <v>37</v>
      </c>
      <c r="B300" s="225" t="s">
        <v>265</v>
      </c>
      <c r="C300" s="216" t="s">
        <v>53</v>
      </c>
      <c r="D300" s="216" t="s">
        <v>99</v>
      </c>
      <c r="E300" s="216" t="s">
        <v>100</v>
      </c>
      <c r="F300" s="216" t="s">
        <v>101</v>
      </c>
      <c r="G300" s="216" t="s">
        <v>102</v>
      </c>
      <c r="H300" s="216" t="s">
        <v>209</v>
      </c>
      <c r="I300" s="216" t="s">
        <v>210</v>
      </c>
      <c r="J300" s="216" t="s">
        <v>105</v>
      </c>
      <c r="K300" s="216" t="s">
        <v>106</v>
      </c>
      <c r="L300" s="216" t="s">
        <v>107</v>
      </c>
      <c r="M300" s="217">
        <f t="shared" ref="M300:M314" si="78">IF(W300&lt;&gt;"", W300, ROUNDUP(X300*T300, 0))</f>
        <v>11</v>
      </c>
      <c r="N300" s="442" cm="1">
        <f t="array" ref="N300">IF(TRIM(K300)="Mano de Obra",IF(Formulario!$L$23&lt;&gt;"",Formulario!$L$23,IFERROR(VLOOKUP(TRIM($M$4),Jornalesdeppto!A:C,3,0),"")),_xlfn.XLOOKUP(1,(Tabla_Costos_Insumos!$A$2:$A$3199=TRIM($M$4))*(Tabla_Costos_Insumos!$C$2:$C$3199=TRIM(K300)),Tabla_Costos_Insumos!$E$2:$E$3199,"",0))</f>
        <v>46666.666666666664</v>
      </c>
      <c r="O300" s="442">
        <f t="shared" si="72"/>
        <v>513333.33333333331</v>
      </c>
      <c r="P300" s="216" t="str">
        <f t="shared" si="70"/>
        <v>Limón Tahití</v>
      </c>
      <c r="Q300" s="212" t="s">
        <v>211</v>
      </c>
      <c r="R300" s="212">
        <v>5</v>
      </c>
      <c r="S300" s="212"/>
      <c r="T300" s="212" cm="1">
        <f t="array" ref="T300">_xlfn.IFS($D$5&lt;=7, 1.1, $D$5&lt;=12,1.2, $D$5&lt;=25, 1.3, $D$5&gt;25,1.4)</f>
        <v>1.3</v>
      </c>
      <c r="U300" s="212"/>
      <c r="V300" s="212">
        <v>1</v>
      </c>
      <c r="W300" s="212"/>
      <c r="X300" s="214">
        <v>8</v>
      </c>
    </row>
    <row r="301" spans="1:24" ht="15">
      <c r="A301" s="211" t="s">
        <v>37</v>
      </c>
      <c r="B301" s="225" t="s">
        <v>265</v>
      </c>
      <c r="C301" s="216" t="s">
        <v>53</v>
      </c>
      <c r="D301" s="216" t="s">
        <v>99</v>
      </c>
      <c r="E301" s="216" t="s">
        <v>100</v>
      </c>
      <c r="F301" s="216" t="s">
        <v>101</v>
      </c>
      <c r="G301" s="216" t="s">
        <v>102</v>
      </c>
      <c r="H301" s="216" t="s">
        <v>103</v>
      </c>
      <c r="I301" s="216" t="s">
        <v>104</v>
      </c>
      <c r="J301" s="216" t="s">
        <v>105</v>
      </c>
      <c r="K301" s="216" t="s">
        <v>106</v>
      </c>
      <c r="L301" s="216" t="s">
        <v>107</v>
      </c>
      <c r="M301" s="217">
        <f t="shared" si="78"/>
        <v>11</v>
      </c>
      <c r="N301" s="442" cm="1">
        <f t="array" ref="N301">IF(TRIM(K301)="Mano de Obra",IF(Formulario!$L$23&lt;&gt;"",Formulario!$L$23,IFERROR(VLOOKUP(TRIM($M$4),Jornalesdeppto!A:C,3,0),"")),_xlfn.XLOOKUP(1,(Tabla_Costos_Insumos!$A$2:$A$3199=TRIM($M$4))*(Tabla_Costos_Insumos!$C$2:$C$3199=TRIM(K301)),Tabla_Costos_Insumos!$E$2:$E$3199,"",0))</f>
        <v>46666.666666666664</v>
      </c>
      <c r="O301" s="442">
        <f t="shared" si="72"/>
        <v>513333.33333333331</v>
      </c>
      <c r="P301" s="216" t="str">
        <f t="shared" si="70"/>
        <v>Limón Tahití</v>
      </c>
      <c r="Q301" s="212" t="s">
        <v>108</v>
      </c>
      <c r="R301" s="212">
        <v>7</v>
      </c>
      <c r="S301" s="212" t="str">
        <f t="shared" ref="S301:S302" si="79">IF($M$3="Limón tahití",($I$3*R301) / 480,"")</f>
        <v/>
      </c>
      <c r="T301" s="212" cm="1">
        <f t="array" ref="T301">_xlfn.IFS($D$5&lt;=7, 1.1, $D$5&lt;=12,1.2, $D$5&lt;=25, 1.3, $D$5&gt;25,1.4)</f>
        <v>1.3</v>
      </c>
      <c r="U301" s="212" t="str">
        <f t="shared" ref="U301:U302" si="80">IFERROR(S301*T301,"")</f>
        <v/>
      </c>
      <c r="V301" s="212">
        <v>1</v>
      </c>
      <c r="W301" s="212" t="str">
        <f t="shared" si="66"/>
        <v/>
      </c>
      <c r="X301" s="214">
        <v>8</v>
      </c>
    </row>
    <row r="302" spans="1:24" ht="15">
      <c r="A302" s="211" t="s">
        <v>37</v>
      </c>
      <c r="B302" s="225" t="s">
        <v>265</v>
      </c>
      <c r="C302" s="216" t="s">
        <v>53</v>
      </c>
      <c r="D302" s="216" t="s">
        <v>99</v>
      </c>
      <c r="E302" s="216" t="s">
        <v>100</v>
      </c>
      <c r="F302" s="216" t="s">
        <v>101</v>
      </c>
      <c r="G302" s="216" t="s">
        <v>102</v>
      </c>
      <c r="H302" s="216" t="s">
        <v>212</v>
      </c>
      <c r="I302" s="216" t="s">
        <v>213</v>
      </c>
      <c r="J302" s="216" t="s">
        <v>105</v>
      </c>
      <c r="K302" s="216" t="s">
        <v>106</v>
      </c>
      <c r="L302" s="216" t="s">
        <v>107</v>
      </c>
      <c r="M302" s="217">
        <f t="shared" si="78"/>
        <v>19</v>
      </c>
      <c r="N302" s="442" cm="1">
        <f t="array" ref="N302">IF(TRIM(K302)="Mano de Obra",IF(Formulario!$L$23&lt;&gt;"",Formulario!$L$23,IFERROR(VLOOKUP(TRIM($M$4),Jornalesdeppto!A:C,3,0),"")),_xlfn.XLOOKUP(1,(Tabla_Costos_Insumos!$A$2:$A$3199=TRIM($M$4))*(Tabla_Costos_Insumos!$C$2:$C$3199=TRIM(K302)),Tabla_Costos_Insumos!$E$2:$E$3199,"",0))</f>
        <v>46666.666666666664</v>
      </c>
      <c r="O302" s="442">
        <f t="shared" si="72"/>
        <v>886666.66666666663</v>
      </c>
      <c r="P302" s="216" t="str">
        <f t="shared" si="70"/>
        <v>Limón Tahití</v>
      </c>
      <c r="Q302" s="212" t="s">
        <v>108</v>
      </c>
      <c r="R302" s="212">
        <v>14</v>
      </c>
      <c r="S302" s="212" t="str">
        <f t="shared" si="79"/>
        <v/>
      </c>
      <c r="T302" s="212" cm="1">
        <f t="array" ref="T302">_xlfn.IFS($D$5&lt;=7, 1.1, $D$5&lt;=12,1.2, $D$5&lt;=25, 1.3, $D$5&gt;25,1.4)</f>
        <v>1.3</v>
      </c>
      <c r="U302" s="212" t="str">
        <f t="shared" si="80"/>
        <v/>
      </c>
      <c r="V302" s="212">
        <v>1</v>
      </c>
      <c r="W302" s="212" t="str">
        <f t="shared" si="66"/>
        <v/>
      </c>
      <c r="X302" s="214">
        <v>14</v>
      </c>
    </row>
    <row r="303" spans="1:24" ht="15">
      <c r="A303" s="211" t="s">
        <v>37</v>
      </c>
      <c r="B303" s="225" t="s">
        <v>265</v>
      </c>
      <c r="C303" s="216" t="s">
        <v>53</v>
      </c>
      <c r="D303" s="216" t="s">
        <v>99</v>
      </c>
      <c r="E303" s="216" t="s">
        <v>100</v>
      </c>
      <c r="F303" s="216" t="s">
        <v>101</v>
      </c>
      <c r="G303" s="216" t="s">
        <v>102</v>
      </c>
      <c r="H303" s="216" t="s">
        <v>214</v>
      </c>
      <c r="I303" s="216" t="s">
        <v>20</v>
      </c>
      <c r="J303" s="216" t="s">
        <v>105</v>
      </c>
      <c r="K303" s="216" t="s">
        <v>106</v>
      </c>
      <c r="L303" s="216" t="s">
        <v>107</v>
      </c>
      <c r="M303" s="217">
        <f t="shared" si="78"/>
        <v>8</v>
      </c>
      <c r="N303" s="442" cm="1">
        <f t="array" ref="N303">IF(TRIM(K303)="Mano de Obra",IF(Formulario!$L$23&lt;&gt;"",Formulario!$L$23,IFERROR(VLOOKUP(TRIM($M$4),Jornalesdeppto!A:C,3,0),"")),_xlfn.XLOOKUP(1,(Tabla_Costos_Insumos!$A$2:$A$3199=TRIM($M$4))*(Tabla_Costos_Insumos!$C$2:$C$3199=TRIM(K303)),Tabla_Costos_Insumos!$E$2:$E$3199,"",0))</f>
        <v>46666.666666666664</v>
      </c>
      <c r="O303" s="442">
        <f t="shared" si="72"/>
        <v>373333.33333333331</v>
      </c>
      <c r="P303" s="216" t="str">
        <f t="shared" si="70"/>
        <v>Limón Tahití</v>
      </c>
      <c r="Q303" s="212" t="s">
        <v>108</v>
      </c>
      <c r="R303" s="212">
        <v>0.5</v>
      </c>
      <c r="S303" s="212"/>
      <c r="T303" s="212" cm="1">
        <f t="array" ref="T303">_xlfn.IFS($D$5&lt;=7, 1.1, $D$5&lt;=12,1.2, $D$5&lt;=25, 1.3, $D$5&gt;25,1.4)</f>
        <v>1.3</v>
      </c>
      <c r="U303" s="212"/>
      <c r="V303" s="212">
        <v>0</v>
      </c>
      <c r="W303" s="212"/>
      <c r="X303" s="214">
        <v>6</v>
      </c>
    </row>
    <row r="304" spans="1:24" ht="15">
      <c r="A304" s="211" t="s">
        <v>37</v>
      </c>
      <c r="B304" s="225" t="s">
        <v>265</v>
      </c>
      <c r="C304" s="216" t="s">
        <v>53</v>
      </c>
      <c r="D304" s="216" t="s">
        <v>99</v>
      </c>
      <c r="E304" s="216" t="s">
        <v>100</v>
      </c>
      <c r="F304" s="216" t="s">
        <v>109</v>
      </c>
      <c r="G304" s="216" t="s">
        <v>110</v>
      </c>
      <c r="H304" s="216" t="s">
        <v>111</v>
      </c>
      <c r="I304" s="216" t="s">
        <v>112</v>
      </c>
      <c r="J304" s="216" t="s">
        <v>105</v>
      </c>
      <c r="K304" s="216" t="s">
        <v>106</v>
      </c>
      <c r="L304" s="216" t="s">
        <v>107</v>
      </c>
      <c r="M304" s="217">
        <f t="shared" si="78"/>
        <v>4</v>
      </c>
      <c r="N304" s="442" cm="1">
        <f t="array" ref="N304">IF(TRIM(K304)="Mano de Obra",IF(Formulario!$L$23&lt;&gt;"",Formulario!$L$23,IFERROR(VLOOKUP(TRIM($M$4),Jornalesdeppto!A:C,3,0),"")),_xlfn.XLOOKUP(1,(Tabla_Costos_Insumos!$A$2:$A$3199=TRIM($M$4))*(Tabla_Costos_Insumos!$C$2:$C$3199=TRIM(K304)),Tabla_Costos_Insumos!$E$2:$E$3199,"",0))</f>
        <v>46666.666666666664</v>
      </c>
      <c r="O304" s="442">
        <f t="shared" si="72"/>
        <v>186666.66666666666</v>
      </c>
      <c r="P304" s="216" t="str">
        <f t="shared" si="70"/>
        <v>Limón Tahití</v>
      </c>
      <c r="Q304" s="212" t="s">
        <v>108</v>
      </c>
      <c r="R304" s="212">
        <v>0.4</v>
      </c>
      <c r="S304" s="212" t="str">
        <f t="shared" ref="S304:S310" si="81">IF($M$3="Limón tahití",($I$3*R304) / 480,"")</f>
        <v/>
      </c>
      <c r="T304" s="212" cm="1">
        <f t="array" ref="T304">_xlfn.IFS($D$5&lt;=7, 1.1, $D$5&lt;=12,1.2, $D$5&lt;=25, 1.3, $D$5&gt;25,1.4)</f>
        <v>1.3</v>
      </c>
      <c r="U304" s="212" t="str">
        <f t="shared" ref="U304:U310" si="82">IFERROR(S304*T304,"")</f>
        <v/>
      </c>
      <c r="V304" s="212">
        <v>2</v>
      </c>
      <c r="W304" s="212" t="str">
        <f t="shared" si="66"/>
        <v/>
      </c>
      <c r="X304" s="214">
        <v>3</v>
      </c>
    </row>
    <row r="305" spans="1:24" ht="15">
      <c r="A305" s="211" t="s">
        <v>37</v>
      </c>
      <c r="B305" s="225" t="s">
        <v>265</v>
      </c>
      <c r="C305" s="216" t="s">
        <v>53</v>
      </c>
      <c r="D305" s="216" t="s">
        <v>99</v>
      </c>
      <c r="E305" s="216" t="s">
        <v>100</v>
      </c>
      <c r="F305" s="216" t="s">
        <v>109</v>
      </c>
      <c r="G305" s="216" t="s">
        <v>110</v>
      </c>
      <c r="H305" s="216" t="s">
        <v>234</v>
      </c>
      <c r="I305" s="216" t="s">
        <v>235</v>
      </c>
      <c r="J305" s="216" t="s">
        <v>105</v>
      </c>
      <c r="K305" s="216" t="s">
        <v>106</v>
      </c>
      <c r="L305" s="216" t="s">
        <v>107</v>
      </c>
      <c r="M305" s="217">
        <f t="shared" si="78"/>
        <v>6</v>
      </c>
      <c r="N305" s="442" cm="1">
        <f t="array" ref="N305">IF(TRIM(K305)="Mano de Obra",IF(Formulario!$L$23&lt;&gt;"",Formulario!$L$23,IFERROR(VLOOKUP(TRIM($M$4),Jornalesdeppto!A:C,3,0),"")),_xlfn.XLOOKUP(1,(Tabla_Costos_Insumos!$A$2:$A$3199=TRIM($M$4))*(Tabla_Costos_Insumos!$C$2:$C$3199=TRIM(K305)),Tabla_Costos_Insumos!$E$2:$E$3199,"",0))</f>
        <v>46666.666666666664</v>
      </c>
      <c r="O305" s="442">
        <f t="shared" si="72"/>
        <v>280000</v>
      </c>
      <c r="P305" s="216" t="str">
        <f t="shared" si="70"/>
        <v>Limón Tahití</v>
      </c>
      <c r="Q305" s="212" t="s">
        <v>108</v>
      </c>
      <c r="R305" s="212">
        <v>2</v>
      </c>
      <c r="S305" s="212" t="str">
        <f t="shared" si="81"/>
        <v/>
      </c>
      <c r="T305" s="212" cm="1">
        <f t="array" ref="T305">_xlfn.IFS($D$5&lt;=7, 1.1, $D$5&lt;=12,1.2, $D$5&lt;=25, 1.3, $D$5&gt;25,1.4)</f>
        <v>1.3</v>
      </c>
      <c r="U305" s="212" t="str">
        <f t="shared" si="82"/>
        <v/>
      </c>
      <c r="V305" s="212">
        <v>4</v>
      </c>
      <c r="W305" s="212" t="str">
        <f t="shared" si="66"/>
        <v/>
      </c>
      <c r="X305" s="214">
        <v>4</v>
      </c>
    </row>
    <row r="306" spans="1:24" ht="15">
      <c r="A306" s="211" t="s">
        <v>37</v>
      </c>
      <c r="B306" s="225" t="s">
        <v>265</v>
      </c>
      <c r="C306" s="216" t="s">
        <v>53</v>
      </c>
      <c r="D306" s="216" t="s">
        <v>99</v>
      </c>
      <c r="E306" s="216" t="s">
        <v>100</v>
      </c>
      <c r="F306" s="216" t="s">
        <v>109</v>
      </c>
      <c r="G306" s="216" t="s">
        <v>110</v>
      </c>
      <c r="H306" s="216" t="s">
        <v>215</v>
      </c>
      <c r="I306" s="216" t="s">
        <v>216</v>
      </c>
      <c r="J306" s="216" t="s">
        <v>105</v>
      </c>
      <c r="K306" s="216" t="s">
        <v>106</v>
      </c>
      <c r="L306" s="216" t="s">
        <v>107</v>
      </c>
      <c r="M306" s="217">
        <f t="shared" si="78"/>
        <v>2</v>
      </c>
      <c r="N306" s="442" cm="1">
        <f t="array" ref="N306">IF(TRIM(K306)="Mano de Obra",IF(Formulario!$L$23&lt;&gt;"",Formulario!$L$23,IFERROR(VLOOKUP(TRIM($M$4),Jornalesdeppto!A:C,3,0),"")),_xlfn.XLOOKUP(1,(Tabla_Costos_Insumos!$A$2:$A$3199=TRIM($M$4))*(Tabla_Costos_Insumos!$C$2:$C$3199=TRIM(K306)),Tabla_Costos_Insumos!$E$2:$E$3199,"",0))</f>
        <v>46666.666666666664</v>
      </c>
      <c r="O306" s="442">
        <f t="shared" si="72"/>
        <v>93333.333333333328</v>
      </c>
      <c r="P306" s="216" t="str">
        <f t="shared" si="70"/>
        <v>Limón Tahití</v>
      </c>
      <c r="Q306" s="212" t="s">
        <v>108</v>
      </c>
      <c r="R306" s="212">
        <v>15</v>
      </c>
      <c r="S306" s="212" t="str">
        <f>IF($M$3="Limón tahití",($I$3*R306)*0.1 / 480,"")</f>
        <v/>
      </c>
      <c r="T306" s="212" cm="1">
        <f t="array" ref="T306">_xlfn.IFS($D$5&lt;=7, 1.1, $D$5&lt;=12,1.2, $D$5&lt;=25, 1.3, $D$5&gt;25,1.4)</f>
        <v>1.3</v>
      </c>
      <c r="U306" s="212" t="str">
        <f t="shared" si="82"/>
        <v/>
      </c>
      <c r="V306" s="212">
        <v>1</v>
      </c>
      <c r="W306" s="212" t="str">
        <f t="shared" si="66"/>
        <v/>
      </c>
      <c r="X306" s="214">
        <v>1</v>
      </c>
    </row>
    <row r="307" spans="1:24" ht="15">
      <c r="A307" s="211" t="s">
        <v>37</v>
      </c>
      <c r="B307" s="225" t="s">
        <v>265</v>
      </c>
      <c r="C307" s="216" t="s">
        <v>53</v>
      </c>
      <c r="D307" s="216" t="s">
        <v>99</v>
      </c>
      <c r="E307" s="216" t="s">
        <v>100</v>
      </c>
      <c r="F307" s="216" t="s">
        <v>109</v>
      </c>
      <c r="G307" s="216" t="s">
        <v>110</v>
      </c>
      <c r="H307" s="216" t="s">
        <v>217</v>
      </c>
      <c r="I307" s="216" t="s">
        <v>218</v>
      </c>
      <c r="J307" s="216" t="s">
        <v>105</v>
      </c>
      <c r="K307" s="216" t="s">
        <v>106</v>
      </c>
      <c r="L307" s="216" t="s">
        <v>107</v>
      </c>
      <c r="M307" s="217">
        <f t="shared" si="78"/>
        <v>8</v>
      </c>
      <c r="N307" s="442" cm="1">
        <f t="array" ref="N307">IF(TRIM(K307)="Mano de Obra",IF(Formulario!$L$23&lt;&gt;"",Formulario!$L$23,IFERROR(VLOOKUP(TRIM($M$4),Jornalesdeppto!A:C,3,0),"")),_xlfn.XLOOKUP(1,(Tabla_Costos_Insumos!$A$2:$A$3199=TRIM($M$4))*(Tabla_Costos_Insumos!$C$2:$C$3199=TRIM(K307)),Tabla_Costos_Insumos!$E$2:$E$3199,"",0))</f>
        <v>46666.666666666664</v>
      </c>
      <c r="O307" s="442">
        <f t="shared" si="72"/>
        <v>373333.33333333331</v>
      </c>
      <c r="P307" s="216" t="str">
        <f t="shared" si="70"/>
        <v>Limón Tahití</v>
      </c>
      <c r="Q307" s="212" t="s">
        <v>108</v>
      </c>
      <c r="R307" s="212">
        <v>16</v>
      </c>
      <c r="S307" s="212" t="str">
        <f t="shared" si="81"/>
        <v/>
      </c>
      <c r="T307" s="212" cm="1">
        <f t="array" ref="T307">_xlfn.IFS($D$5&lt;=7, 1.1, $D$5&lt;=12,1.2, $D$5&lt;=25, 1.3, $D$5&gt;25,1.4)</f>
        <v>1.3</v>
      </c>
      <c r="U307" s="212" t="str">
        <f t="shared" si="82"/>
        <v/>
      </c>
      <c r="V307" s="212">
        <v>1</v>
      </c>
      <c r="W307" s="212" t="str">
        <f t="shared" si="66"/>
        <v/>
      </c>
      <c r="X307" s="214">
        <v>6</v>
      </c>
    </row>
    <row r="308" spans="1:24" ht="15">
      <c r="A308" s="211" t="s">
        <v>37</v>
      </c>
      <c r="B308" s="225" t="s">
        <v>265</v>
      </c>
      <c r="C308" s="216" t="s">
        <v>53</v>
      </c>
      <c r="D308" s="216" t="s">
        <v>99</v>
      </c>
      <c r="E308" s="216" t="s">
        <v>100</v>
      </c>
      <c r="F308" s="216" t="s">
        <v>113</v>
      </c>
      <c r="G308" s="216" t="s">
        <v>114</v>
      </c>
      <c r="H308" s="216" t="s">
        <v>115</v>
      </c>
      <c r="I308" s="216" t="s">
        <v>116</v>
      </c>
      <c r="J308" s="216" t="s">
        <v>105</v>
      </c>
      <c r="K308" s="216" t="s">
        <v>106</v>
      </c>
      <c r="L308" s="216" t="s">
        <v>107</v>
      </c>
      <c r="M308" s="217">
        <f t="shared" si="78"/>
        <v>6</v>
      </c>
      <c r="N308" s="442" cm="1">
        <f t="array" ref="N308">IF(TRIM(K308)="Mano de Obra",IF(Formulario!$L$23&lt;&gt;"",Formulario!$L$23,IFERROR(VLOOKUP(TRIM($M$4),Jornalesdeppto!A:C,3,0),"")),_xlfn.XLOOKUP(1,(Tabla_Costos_Insumos!$A$2:$A$3199=TRIM($M$4))*(Tabla_Costos_Insumos!$C$2:$C$3199=TRIM(K308)),Tabla_Costos_Insumos!$E$2:$E$3199,"",0))</f>
        <v>46666.666666666664</v>
      </c>
      <c r="O308" s="442">
        <f t="shared" si="72"/>
        <v>280000</v>
      </c>
      <c r="P308" s="216" t="str">
        <f t="shared" si="70"/>
        <v>Limón Tahití</v>
      </c>
      <c r="Q308" s="212" t="s">
        <v>108</v>
      </c>
      <c r="R308" s="212">
        <v>3</v>
      </c>
      <c r="S308" s="212" t="str">
        <f t="shared" si="81"/>
        <v/>
      </c>
      <c r="T308" s="212" cm="1">
        <f t="array" ref="T308">_xlfn.IFS($D$5&lt;=7, 1.1, $D$5&lt;=12,1.2, $D$5&lt;=25, 1.3, $D$5&gt;25,1.4)</f>
        <v>1.3</v>
      </c>
      <c r="U308" s="212" t="str">
        <f t="shared" si="82"/>
        <v/>
      </c>
      <c r="V308" s="212">
        <v>2</v>
      </c>
      <c r="W308" s="212" t="str">
        <f t="shared" si="66"/>
        <v/>
      </c>
      <c r="X308" s="214">
        <v>4</v>
      </c>
    </row>
    <row r="309" spans="1:24" ht="15">
      <c r="A309" s="211" t="s">
        <v>37</v>
      </c>
      <c r="B309" s="225" t="s">
        <v>265</v>
      </c>
      <c r="C309" s="216" t="s">
        <v>53</v>
      </c>
      <c r="D309" s="216" t="s">
        <v>99</v>
      </c>
      <c r="E309" s="216" t="s">
        <v>100</v>
      </c>
      <c r="F309" s="216" t="s">
        <v>117</v>
      </c>
      <c r="G309" s="216" t="s">
        <v>118</v>
      </c>
      <c r="H309" s="216" t="s">
        <v>119</v>
      </c>
      <c r="I309" s="216" t="s">
        <v>120</v>
      </c>
      <c r="J309" s="216" t="s">
        <v>105</v>
      </c>
      <c r="K309" s="216" t="s">
        <v>106</v>
      </c>
      <c r="L309" s="216" t="s">
        <v>107</v>
      </c>
      <c r="M309" s="217">
        <f t="shared" si="78"/>
        <v>4</v>
      </c>
      <c r="N309" s="442" cm="1">
        <f t="array" ref="N309">IF(TRIM(K309)="Mano de Obra",IF(Formulario!$L$23&lt;&gt;"",Formulario!$L$23,IFERROR(VLOOKUP(TRIM($M$4),Jornalesdeppto!A:C,3,0),"")),_xlfn.XLOOKUP(1,(Tabla_Costos_Insumos!$A$2:$A$3199=TRIM($M$4))*(Tabla_Costos_Insumos!$C$2:$C$3199=TRIM(K309)),Tabla_Costos_Insumos!$E$2:$E$3199,"",0))</f>
        <v>46666.666666666664</v>
      </c>
      <c r="O309" s="442">
        <f t="shared" si="72"/>
        <v>186666.66666666666</v>
      </c>
      <c r="P309" s="216" t="str">
        <f t="shared" si="70"/>
        <v>Limón Tahití</v>
      </c>
      <c r="Q309" s="212" t="s">
        <v>108</v>
      </c>
      <c r="R309" s="212">
        <v>4</v>
      </c>
      <c r="S309" s="212" t="str">
        <f t="shared" si="81"/>
        <v/>
      </c>
      <c r="T309" s="212" cm="1">
        <f t="array" ref="T309">_xlfn.IFS($D$5&lt;=7, 1.1, $D$5&lt;=12,1.2, $D$5&lt;=25, 1.3, $D$5&gt;25,1.4)</f>
        <v>1.3</v>
      </c>
      <c r="U309" s="212" t="str">
        <f t="shared" si="82"/>
        <v/>
      </c>
      <c r="V309" s="212">
        <v>9</v>
      </c>
      <c r="W309" s="212" t="str">
        <f t="shared" si="66"/>
        <v/>
      </c>
      <c r="X309" s="214">
        <v>3</v>
      </c>
    </row>
    <row r="310" spans="1:24" ht="15">
      <c r="A310" s="211" t="s">
        <v>37</v>
      </c>
      <c r="B310" s="225" t="s">
        <v>265</v>
      </c>
      <c r="C310" s="216" t="s">
        <v>53</v>
      </c>
      <c r="D310" s="216" t="s">
        <v>99</v>
      </c>
      <c r="E310" s="216" t="s">
        <v>100</v>
      </c>
      <c r="F310" s="216" t="s">
        <v>117</v>
      </c>
      <c r="G310" s="216" t="s">
        <v>118</v>
      </c>
      <c r="H310" s="216" t="s">
        <v>121</v>
      </c>
      <c r="I310" s="216" t="s">
        <v>122</v>
      </c>
      <c r="J310" s="216" t="s">
        <v>105</v>
      </c>
      <c r="K310" s="216" t="s">
        <v>106</v>
      </c>
      <c r="L310" s="216" t="s">
        <v>107</v>
      </c>
      <c r="M310" s="217">
        <f t="shared" si="78"/>
        <v>6</v>
      </c>
      <c r="N310" s="442" cm="1">
        <f t="array" ref="N310">IF(TRIM(K310)="Mano de Obra",IF(Formulario!$L$23&lt;&gt;"",Formulario!$L$23,IFERROR(VLOOKUP(TRIM($M$4),Jornalesdeppto!A:C,3,0),"")),_xlfn.XLOOKUP(1,(Tabla_Costos_Insumos!$A$2:$A$3199=TRIM($M$4))*(Tabla_Costos_Insumos!$C$2:$C$3199=TRIM(K310)),Tabla_Costos_Insumos!$E$2:$E$3199,"",0))</f>
        <v>46666.666666666664</v>
      </c>
      <c r="O310" s="442">
        <f t="shared" si="72"/>
        <v>280000</v>
      </c>
      <c r="P310" s="216" t="str">
        <f t="shared" si="70"/>
        <v>Limón Tahití</v>
      </c>
      <c r="Q310" s="212" t="s">
        <v>108</v>
      </c>
      <c r="R310" s="212">
        <v>4</v>
      </c>
      <c r="S310" s="212" t="str">
        <f t="shared" si="81"/>
        <v/>
      </c>
      <c r="T310" s="212" cm="1">
        <f t="array" ref="T310">_xlfn.IFS($D$5&lt;=7, 1.1, $D$5&lt;=12,1.2, $D$5&lt;=25, 1.3, $D$5&gt;25,1.4)</f>
        <v>1.3</v>
      </c>
      <c r="U310" s="212" t="str">
        <f t="shared" si="82"/>
        <v/>
      </c>
      <c r="V310" s="212">
        <v>9</v>
      </c>
      <c r="W310" s="212" t="str">
        <f t="shared" ref="W310:W372" si="83">IFERROR(ROUNDUP(V310*U310,0),"")</f>
        <v/>
      </c>
      <c r="X310" s="214">
        <v>4</v>
      </c>
    </row>
    <row r="311" spans="1:24" ht="15">
      <c r="A311" s="211" t="s">
        <v>37</v>
      </c>
      <c r="B311" s="225" t="s">
        <v>265</v>
      </c>
      <c r="C311" s="216" t="s">
        <v>53</v>
      </c>
      <c r="D311" s="216" t="s">
        <v>99</v>
      </c>
      <c r="E311" s="216" t="s">
        <v>100</v>
      </c>
      <c r="F311" s="216" t="s">
        <v>123</v>
      </c>
      <c r="G311" s="216" t="s">
        <v>124</v>
      </c>
      <c r="H311" s="216" t="s">
        <v>125</v>
      </c>
      <c r="I311" s="216" t="s">
        <v>126</v>
      </c>
      <c r="J311" s="216" t="s">
        <v>105</v>
      </c>
      <c r="K311" s="216" t="s">
        <v>106</v>
      </c>
      <c r="L311" s="216" t="s">
        <v>107</v>
      </c>
      <c r="M311" s="217">
        <f t="shared" si="78"/>
        <v>4</v>
      </c>
      <c r="N311" s="442" cm="1">
        <f t="array" ref="N311">IF(TRIM(K311)="Mano de Obra",IF(Formulario!$L$23&lt;&gt;"",Formulario!$L$23,IFERROR(VLOOKUP(TRIM($M$4),Jornalesdeppto!A:C,3,0),"")),_xlfn.XLOOKUP(1,(Tabla_Costos_Insumos!$A$2:$A$3199=TRIM($M$4))*(Tabla_Costos_Insumos!$C$2:$C$3199=TRIM(K311)),Tabla_Costos_Insumos!$E$2:$E$3199,"",0))</f>
        <v>46666.666666666664</v>
      </c>
      <c r="O311" s="442">
        <f t="shared" si="72"/>
        <v>186666.66666666666</v>
      </c>
      <c r="P311" s="216" t="str">
        <f t="shared" si="70"/>
        <v>Limón Tahití</v>
      </c>
      <c r="Q311" s="212" t="s">
        <v>127</v>
      </c>
      <c r="R311" s="212">
        <v>0.09</v>
      </c>
      <c r="S311" s="212">
        <f t="shared" ref="S311:S312" si="84">10000*R311/480</f>
        <v>1.875</v>
      </c>
      <c r="T311" s="212" cm="1">
        <f t="array" ref="T311">_xlfn.IFS($D$5&lt;=7, 1.1, $D$5&lt;=12,1.2, $D$5&lt;=25, 1.3, $D$5&gt;25,1.4)</f>
        <v>1.3</v>
      </c>
      <c r="U311" s="212"/>
      <c r="V311" s="212">
        <v>2</v>
      </c>
      <c r="W311" s="212"/>
      <c r="X311" s="214">
        <v>3</v>
      </c>
    </row>
    <row r="312" spans="1:24" ht="15">
      <c r="A312" s="211" t="s">
        <v>37</v>
      </c>
      <c r="B312" s="225" t="s">
        <v>265</v>
      </c>
      <c r="C312" s="216" t="s">
        <v>53</v>
      </c>
      <c r="D312" s="216" t="s">
        <v>99</v>
      </c>
      <c r="E312" s="216" t="s">
        <v>100</v>
      </c>
      <c r="F312" s="216" t="s">
        <v>123</v>
      </c>
      <c r="G312" s="216" t="s">
        <v>124</v>
      </c>
      <c r="H312" s="216" t="s">
        <v>128</v>
      </c>
      <c r="I312" s="216" t="s">
        <v>129</v>
      </c>
      <c r="J312" s="216" t="s">
        <v>105</v>
      </c>
      <c r="K312" s="216" t="s">
        <v>106</v>
      </c>
      <c r="L312" s="216" t="s">
        <v>107</v>
      </c>
      <c r="M312" s="217">
        <f t="shared" si="78"/>
        <v>19</v>
      </c>
      <c r="N312" s="442" cm="1">
        <f t="array" ref="N312">IF(TRIM(K312)="Mano de Obra",IF(Formulario!$L$23&lt;&gt;"",Formulario!$L$23,IFERROR(VLOOKUP(TRIM($M$4),Jornalesdeppto!A:C,3,0),"")),_xlfn.XLOOKUP(1,(Tabla_Costos_Insumos!$A$2:$A$3199=TRIM($M$4))*(Tabla_Costos_Insumos!$C$2:$C$3199=TRIM(K312)),Tabla_Costos_Insumos!$E$2:$E$3199,"",0))</f>
        <v>46666.666666666664</v>
      </c>
      <c r="O312" s="442">
        <f t="shared" si="72"/>
        <v>886666.66666666663</v>
      </c>
      <c r="P312" s="216" t="str">
        <f t="shared" si="70"/>
        <v>Limón Tahití</v>
      </c>
      <c r="Q312" s="212" t="s">
        <v>127</v>
      </c>
      <c r="R312" s="212">
        <v>0.09</v>
      </c>
      <c r="S312" s="212">
        <f t="shared" si="84"/>
        <v>1.875</v>
      </c>
      <c r="T312" s="212" cm="1">
        <f t="array" ref="T312">_xlfn.IFS($D$5&lt;=7, 1.1, $D$5&lt;=12,1.2, $D$5&lt;=25, 1.3, $D$5&gt;25,1.4)</f>
        <v>1.3</v>
      </c>
      <c r="U312" s="212"/>
      <c r="V312" s="212">
        <v>2</v>
      </c>
      <c r="W312" s="212"/>
      <c r="X312" s="214">
        <v>14</v>
      </c>
    </row>
    <row r="313" spans="1:24" ht="15">
      <c r="A313" s="211" t="s">
        <v>37</v>
      </c>
      <c r="B313" s="225" t="s">
        <v>265</v>
      </c>
      <c r="C313" s="216" t="s">
        <v>53</v>
      </c>
      <c r="D313" s="216" t="s">
        <v>99</v>
      </c>
      <c r="E313" s="216" t="s">
        <v>100</v>
      </c>
      <c r="F313" s="216" t="s">
        <v>130</v>
      </c>
      <c r="G313" s="216" t="s">
        <v>131</v>
      </c>
      <c r="H313" s="216" t="s">
        <v>132</v>
      </c>
      <c r="I313" s="216" t="s">
        <v>133</v>
      </c>
      <c r="J313" s="216" t="s">
        <v>105</v>
      </c>
      <c r="K313" s="216" t="s">
        <v>106</v>
      </c>
      <c r="L313" s="216" t="s">
        <v>107</v>
      </c>
      <c r="M313" s="217">
        <f t="shared" si="78"/>
        <v>4</v>
      </c>
      <c r="N313" s="442" cm="1">
        <f t="array" ref="N313">IF(TRIM(K313)="Mano de Obra",IF(Formulario!$L$23&lt;&gt;"",Formulario!$L$23,IFERROR(VLOOKUP(TRIM($M$4),Jornalesdeppto!A:C,3,0),"")),_xlfn.XLOOKUP(1,(Tabla_Costos_Insumos!$A$2:$A$3199=TRIM($M$4))*(Tabla_Costos_Insumos!$C$2:$C$3199=TRIM(K313)),Tabla_Costos_Insumos!$E$2:$E$3199,"",0))</f>
        <v>46666.666666666664</v>
      </c>
      <c r="O313" s="442">
        <f t="shared" si="72"/>
        <v>186666.66666666666</v>
      </c>
      <c r="P313" s="216" t="str">
        <f t="shared" si="70"/>
        <v>Limón Tahití</v>
      </c>
      <c r="Q313" s="212" t="s">
        <v>108</v>
      </c>
      <c r="R313" s="212">
        <v>1.5</v>
      </c>
      <c r="S313" s="212" t="str">
        <f t="shared" ref="S313:S314" si="85">IF($M$3="Limón tahití",($I$3*R313) / 480,"")</f>
        <v/>
      </c>
      <c r="T313" s="212" cm="1">
        <f t="array" ref="T313">_xlfn.IFS($D$5&lt;=7, 1.1, $D$5&lt;=12,1.2, $D$5&lt;=25, 1.3, $D$5&gt;25,1.4)</f>
        <v>1.3</v>
      </c>
      <c r="U313" s="212" t="str">
        <f t="shared" ref="U313:U314" si="86">IFERROR(S313*T313,"")</f>
        <v/>
      </c>
      <c r="V313" s="212">
        <v>4</v>
      </c>
      <c r="W313" s="212" t="str">
        <f t="shared" si="83"/>
        <v/>
      </c>
      <c r="X313" s="214">
        <v>3</v>
      </c>
    </row>
    <row r="314" spans="1:24" ht="15">
      <c r="A314" s="211" t="s">
        <v>37</v>
      </c>
      <c r="B314" s="225" t="s">
        <v>265</v>
      </c>
      <c r="C314" s="216" t="s">
        <v>53</v>
      </c>
      <c r="D314" s="216" t="s">
        <v>99</v>
      </c>
      <c r="E314" s="216" t="s">
        <v>100</v>
      </c>
      <c r="F314" s="216" t="s">
        <v>130</v>
      </c>
      <c r="G314" s="216" t="s">
        <v>131</v>
      </c>
      <c r="H314" s="216" t="s">
        <v>134</v>
      </c>
      <c r="I314" s="216" t="s">
        <v>135</v>
      </c>
      <c r="J314" s="216" t="s">
        <v>105</v>
      </c>
      <c r="K314" s="216" t="s">
        <v>106</v>
      </c>
      <c r="L314" s="216" t="s">
        <v>107</v>
      </c>
      <c r="M314" s="217">
        <f t="shared" si="78"/>
        <v>2</v>
      </c>
      <c r="N314" s="442" cm="1">
        <f t="array" ref="N314">IF(TRIM(K314)="Mano de Obra",IF(Formulario!$L$23&lt;&gt;"",Formulario!$L$23,IFERROR(VLOOKUP(TRIM($M$4),Jornalesdeppto!A:C,3,0),"")),_xlfn.XLOOKUP(1,(Tabla_Costos_Insumos!$A$2:$A$3199=TRIM($M$4))*(Tabla_Costos_Insumos!$C$2:$C$3199=TRIM(K314)),Tabla_Costos_Insumos!$E$2:$E$3199,"",0))</f>
        <v>46666.666666666664</v>
      </c>
      <c r="O314" s="442">
        <f t="shared" si="72"/>
        <v>93333.333333333328</v>
      </c>
      <c r="P314" s="216" t="str">
        <f t="shared" si="70"/>
        <v>Limón Tahití</v>
      </c>
      <c r="Q314" s="212" t="s">
        <v>108</v>
      </c>
      <c r="R314" s="212">
        <v>1.5</v>
      </c>
      <c r="S314" s="212" t="str">
        <f t="shared" si="85"/>
        <v/>
      </c>
      <c r="T314" s="212" cm="1">
        <f t="array" ref="T314">_xlfn.IFS($D$5&lt;=7, 1.1, $D$5&lt;=12,1.2, $D$5&lt;=25, 1.3, $D$5&gt;25,1.4)</f>
        <v>1.3</v>
      </c>
      <c r="U314" s="212" t="str">
        <f t="shared" si="86"/>
        <v/>
      </c>
      <c r="V314" s="212">
        <v>4</v>
      </c>
      <c r="W314" s="212" t="str">
        <f t="shared" si="83"/>
        <v/>
      </c>
      <c r="X314" s="214">
        <v>1</v>
      </c>
    </row>
    <row r="315" spans="1:24" ht="15">
      <c r="A315" s="211" t="s">
        <v>37</v>
      </c>
      <c r="B315" s="225" t="s">
        <v>265</v>
      </c>
      <c r="C315" s="216" t="s">
        <v>53</v>
      </c>
      <c r="D315" s="216" t="s">
        <v>145</v>
      </c>
      <c r="E315" s="216" t="s">
        <v>146</v>
      </c>
      <c r="F315" s="216" t="s">
        <v>219</v>
      </c>
      <c r="G315" s="216" t="s">
        <v>220</v>
      </c>
      <c r="H315" s="216" t="s">
        <v>221</v>
      </c>
      <c r="I315" s="216" t="s">
        <v>222</v>
      </c>
      <c r="J315" s="216" t="s">
        <v>223</v>
      </c>
      <c r="K315" s="216" t="s">
        <v>267</v>
      </c>
      <c r="L315" s="216" t="s">
        <v>197</v>
      </c>
      <c r="M315" s="217">
        <f>IF($M$3="Limón Tahití",I3,0)</f>
        <v>0</v>
      </c>
      <c r="N315" s="442">
        <v>13500</v>
      </c>
      <c r="O315" s="442">
        <f t="shared" si="72"/>
        <v>0</v>
      </c>
      <c r="P315" s="216" t="str">
        <f t="shared" si="70"/>
        <v>Limón Tahití</v>
      </c>
      <c r="Q315" s="212" t="s">
        <v>142</v>
      </c>
      <c r="R315" s="212" t="s">
        <v>142</v>
      </c>
      <c r="S315" s="212"/>
      <c r="T315" s="212" cm="1">
        <f t="array" ref="T315">_xlfn.IFS($D$5&lt;=7, 1.1, $D$5&lt;=12,1.2, $D$5&lt;=25, 1.3, $D$5&gt;25,1.4)</f>
        <v>1.3</v>
      </c>
      <c r="U315" s="212"/>
      <c r="V315" s="212" t="s">
        <v>142</v>
      </c>
      <c r="W315" s="212" t="str">
        <f t="shared" si="83"/>
        <v/>
      </c>
      <c r="X315" s="214"/>
    </row>
    <row r="316" spans="1:24" ht="15">
      <c r="A316" s="211" t="s">
        <v>37</v>
      </c>
      <c r="B316" s="225" t="s">
        <v>265</v>
      </c>
      <c r="C316" s="216" t="s">
        <v>53</v>
      </c>
      <c r="D316" s="216" t="s">
        <v>145</v>
      </c>
      <c r="E316" s="216" t="s">
        <v>146</v>
      </c>
      <c r="F316" s="216" t="s">
        <v>147</v>
      </c>
      <c r="G316" s="216" t="s">
        <v>131</v>
      </c>
      <c r="H316" s="216" t="s">
        <v>148</v>
      </c>
      <c r="I316" s="216" t="s">
        <v>266</v>
      </c>
      <c r="J316" s="216" t="s">
        <v>149</v>
      </c>
      <c r="K316" s="216" t="s">
        <v>150</v>
      </c>
      <c r="L316" s="216" t="s">
        <v>151</v>
      </c>
      <c r="M316" s="217">
        <v>1</v>
      </c>
      <c r="N316" s="442" cm="1">
        <f t="array" ref="N316">IF(TRIM(K316)="Mano de Obra",IF(Formulario!$L$23&lt;&gt;"",Formulario!$L$23,IFERROR(VLOOKUP(TRIM($M$4),Jornalesdeppto!A:C,3,0),"")),_xlfn.XLOOKUP(1,(Tabla_Costos_Insumos!$A$2:$A$3199=TRIM($M$4))*(Tabla_Costos_Insumos!$C$2:$C$3199=TRIM(K316)),Tabla_Costos_Insumos!$E$2:$E$3199,"",0))</f>
        <v>198055.68333333</v>
      </c>
      <c r="O316" s="442">
        <f t="shared" si="72"/>
        <v>198055.68333333</v>
      </c>
      <c r="P316" s="216" t="str">
        <f t="shared" si="70"/>
        <v>Limón Tahití</v>
      </c>
      <c r="Q316" s="212" t="s">
        <v>142</v>
      </c>
      <c r="R316" s="212" t="s">
        <v>142</v>
      </c>
      <c r="S316" s="212"/>
      <c r="T316" s="212"/>
      <c r="U316" s="212"/>
      <c r="V316" s="212" t="s">
        <v>142</v>
      </c>
      <c r="W316" s="212" t="str">
        <f t="shared" si="83"/>
        <v/>
      </c>
      <c r="X316" s="214"/>
    </row>
    <row r="317" spans="1:24" ht="15">
      <c r="A317" s="211" t="s">
        <v>37</v>
      </c>
      <c r="B317" s="225" t="s">
        <v>265</v>
      </c>
      <c r="C317" s="216" t="s">
        <v>53</v>
      </c>
      <c r="D317" s="216" t="s">
        <v>145</v>
      </c>
      <c r="E317" s="216" t="s">
        <v>146</v>
      </c>
      <c r="F317" s="216" t="s">
        <v>147</v>
      </c>
      <c r="G317" s="216" t="s">
        <v>131</v>
      </c>
      <c r="H317" s="216" t="s">
        <v>152</v>
      </c>
      <c r="I317" s="216" t="s">
        <v>299</v>
      </c>
      <c r="J317" s="216" t="s">
        <v>149</v>
      </c>
      <c r="K317" s="216" t="s">
        <v>166</v>
      </c>
      <c r="L317" s="216" t="s">
        <v>151</v>
      </c>
      <c r="M317" s="217">
        <v>2</v>
      </c>
      <c r="N317" s="442" cm="1">
        <f t="array" ref="N317">IF(TRIM(K317)="Mano de Obra",IF(Formulario!$L$23&lt;&gt;"",Formulario!$L$23,IFERROR(VLOOKUP(TRIM($M$4),Jornalesdeppto!A:C,3,0),"")),_xlfn.XLOOKUP(1,(Tabla_Costos_Insumos!$A$2:$A$3199=TRIM($M$4))*(Tabla_Costos_Insumos!$C$2:$C$3199=TRIM(K317)),Tabla_Costos_Insumos!$E$2:$E$3199,"",0))</f>
        <v>110000</v>
      </c>
      <c r="O317" s="442">
        <f t="shared" si="72"/>
        <v>220000</v>
      </c>
      <c r="P317" s="216" t="str">
        <f t="shared" si="70"/>
        <v>Limón Tahití</v>
      </c>
      <c r="Q317" s="212" t="s">
        <v>142</v>
      </c>
      <c r="R317" s="212" t="s">
        <v>142</v>
      </c>
      <c r="S317" s="212"/>
      <c r="T317" s="212"/>
      <c r="U317" s="212"/>
      <c r="V317" s="212" t="s">
        <v>142</v>
      </c>
      <c r="W317" s="212" t="str">
        <f t="shared" si="83"/>
        <v/>
      </c>
      <c r="X317" s="214"/>
    </row>
    <row r="318" spans="1:24" ht="15">
      <c r="A318" s="211" t="s">
        <v>37</v>
      </c>
      <c r="B318" s="225" t="s">
        <v>265</v>
      </c>
      <c r="C318" s="216" t="s">
        <v>53</v>
      </c>
      <c r="D318" s="216" t="s">
        <v>145</v>
      </c>
      <c r="E318" s="216" t="s">
        <v>146</v>
      </c>
      <c r="F318" s="216" t="s">
        <v>147</v>
      </c>
      <c r="G318" s="216" t="s">
        <v>131</v>
      </c>
      <c r="H318" s="216" t="s">
        <v>154</v>
      </c>
      <c r="I318" s="216" t="s">
        <v>155</v>
      </c>
      <c r="J318" s="216" t="s">
        <v>149</v>
      </c>
      <c r="K318" s="216" t="s">
        <v>156</v>
      </c>
      <c r="L318" s="216" t="s">
        <v>151</v>
      </c>
      <c r="M318" s="217">
        <v>2</v>
      </c>
      <c r="N318" s="442" cm="1">
        <f t="array" ref="N318">IF(TRIM(K318)="Mano de Obra",IF(Formulario!$L$23&lt;&gt;"",Formulario!$L$23,IFERROR(VLOOKUP(TRIM($M$4),Jornalesdeppto!A:C,3,0),"")),_xlfn.XLOOKUP(1,(Tabla_Costos_Insumos!$A$2:$A$3199=TRIM($M$4))*(Tabla_Costos_Insumos!$C$2:$C$3199=TRIM(K318)),Tabla_Costos_Insumos!$E$2:$E$3199,"",0))</f>
        <v>17212.5</v>
      </c>
      <c r="O318" s="442">
        <f t="shared" si="72"/>
        <v>34425</v>
      </c>
      <c r="P318" s="216" t="str">
        <f t="shared" si="70"/>
        <v>Limón Tahití</v>
      </c>
      <c r="Q318" s="212" t="s">
        <v>142</v>
      </c>
      <c r="R318" s="212" t="s">
        <v>142</v>
      </c>
      <c r="S318" s="212"/>
      <c r="T318" s="212"/>
      <c r="U318" s="212"/>
      <c r="V318" s="212" t="s">
        <v>142</v>
      </c>
      <c r="W318" s="212" t="str">
        <f t="shared" si="83"/>
        <v/>
      </c>
      <c r="X318" s="214"/>
    </row>
    <row r="319" spans="1:24" ht="15">
      <c r="A319" s="211" t="s">
        <v>37</v>
      </c>
      <c r="B319" s="225" t="s">
        <v>265</v>
      </c>
      <c r="C319" s="216" t="s">
        <v>53</v>
      </c>
      <c r="D319" s="216" t="s">
        <v>145</v>
      </c>
      <c r="E319" s="216" t="s">
        <v>146</v>
      </c>
      <c r="F319" s="216" t="s">
        <v>147</v>
      </c>
      <c r="G319" s="216" t="s">
        <v>131</v>
      </c>
      <c r="H319" s="216" t="s">
        <v>157</v>
      </c>
      <c r="I319" s="216" t="s">
        <v>158</v>
      </c>
      <c r="J319" s="216" t="s">
        <v>149</v>
      </c>
      <c r="K319" s="216" t="s">
        <v>237</v>
      </c>
      <c r="L319" s="216" t="s">
        <v>172</v>
      </c>
      <c r="M319" s="217">
        <v>9</v>
      </c>
      <c r="N319" s="442" cm="1">
        <f t="array" ref="N319">IF(TRIM(K319)="Mano de Obra",IF(Formulario!$L$23&lt;&gt;"",Formulario!$L$23,IFERROR(VLOOKUP(TRIM($M$4),Jornalesdeppto!A:C,3,0),"")),_xlfn.XLOOKUP(1,(Tabla_Costos_Insumos!$A$2:$A$3199=TRIM($M$4))*(Tabla_Costos_Insumos!$C$2:$C$3199=TRIM(K319)),Tabla_Costos_Insumos!$E$2:$E$3199,"",0))</f>
        <v>26190.48</v>
      </c>
      <c r="O319" s="442">
        <f t="shared" si="72"/>
        <v>235714.32</v>
      </c>
      <c r="P319" s="216" t="str">
        <f t="shared" si="70"/>
        <v>Limón Tahití</v>
      </c>
      <c r="Q319" s="212" t="s">
        <v>142</v>
      </c>
      <c r="R319" s="212" t="s">
        <v>142</v>
      </c>
      <c r="S319" s="212"/>
      <c r="T319" s="212"/>
      <c r="U319" s="212"/>
      <c r="V319" s="212" t="s">
        <v>142</v>
      </c>
      <c r="W319" s="212" t="str">
        <f t="shared" si="83"/>
        <v/>
      </c>
      <c r="X319" s="214"/>
    </row>
    <row r="320" spans="1:24" ht="15">
      <c r="A320" s="211" t="s">
        <v>37</v>
      </c>
      <c r="B320" s="225" t="s">
        <v>265</v>
      </c>
      <c r="C320" s="216" t="s">
        <v>53</v>
      </c>
      <c r="D320" s="216" t="s">
        <v>145</v>
      </c>
      <c r="E320" s="216" t="s">
        <v>146</v>
      </c>
      <c r="F320" s="216" t="s">
        <v>147</v>
      </c>
      <c r="G320" s="216" t="s">
        <v>131</v>
      </c>
      <c r="H320" s="216" t="s">
        <v>161</v>
      </c>
      <c r="I320" s="216" t="s">
        <v>162</v>
      </c>
      <c r="J320" s="216" t="s">
        <v>149</v>
      </c>
      <c r="K320" s="216" t="s">
        <v>163</v>
      </c>
      <c r="L320" s="216" t="s">
        <v>164</v>
      </c>
      <c r="M320" s="217">
        <v>2</v>
      </c>
      <c r="N320" s="442" cm="1">
        <f t="array" ref="N320">IF(TRIM(K320)="Mano de Obra",IF(Formulario!$L$23&lt;&gt;"",Formulario!$L$23,IFERROR(VLOOKUP(TRIM($M$4),Jornalesdeppto!A:C,3,0),"")),_xlfn.XLOOKUP(1,(Tabla_Costos_Insumos!$A$2:$A$3199=TRIM($M$4))*(Tabla_Costos_Insumos!$C$2:$C$3199=TRIM(K320)),Tabla_Costos_Insumos!$E$2:$E$3199,"",0))</f>
        <v>128084.44444445</v>
      </c>
      <c r="O320" s="442">
        <f t="shared" si="72"/>
        <v>256168.88888889999</v>
      </c>
      <c r="P320" s="216" t="str">
        <f t="shared" si="70"/>
        <v>Limón Tahití</v>
      </c>
      <c r="Q320" s="212" t="s">
        <v>142</v>
      </c>
      <c r="R320" s="212" t="s">
        <v>142</v>
      </c>
      <c r="S320" s="212"/>
      <c r="T320" s="212"/>
      <c r="U320" s="212"/>
      <c r="V320" s="212" t="s">
        <v>142</v>
      </c>
      <c r="W320" s="212" t="str">
        <f t="shared" si="83"/>
        <v/>
      </c>
      <c r="X320" s="214"/>
    </row>
    <row r="321" spans="1:24" ht="15">
      <c r="A321" s="211" t="s">
        <v>37</v>
      </c>
      <c r="B321" s="225" t="s">
        <v>265</v>
      </c>
      <c r="C321" s="216" t="s">
        <v>53</v>
      </c>
      <c r="D321" s="216" t="s">
        <v>145</v>
      </c>
      <c r="E321" s="216" t="s">
        <v>146</v>
      </c>
      <c r="F321" s="216" t="s">
        <v>147</v>
      </c>
      <c r="G321" s="216" t="s">
        <v>131</v>
      </c>
      <c r="H321" s="216" t="s">
        <v>165</v>
      </c>
      <c r="I321" s="216" t="s">
        <v>153</v>
      </c>
      <c r="J321" s="216" t="s">
        <v>149</v>
      </c>
      <c r="K321" s="216" t="s">
        <v>4110</v>
      </c>
      <c r="L321" s="216" t="s">
        <v>151</v>
      </c>
      <c r="M321" s="217">
        <v>2</v>
      </c>
      <c r="N321" s="442" cm="1">
        <f t="array" ref="N321">IF(TRIM(K321)="Mano de Obra",IF(Formulario!$L$23&lt;&gt;"",Formulario!$L$23,IFERROR(VLOOKUP(TRIM($M$4),Jornalesdeppto!A:C,3,0),"")),_xlfn.XLOOKUP(1,(Tabla_Costos_Insumos!$A$2:$A$3199=TRIM($M$4))*(Tabla_Costos_Insumos!$C$2:$C$3199=TRIM(K321)),Tabla_Costos_Insumos!$E$2:$E$3199,"",0))</f>
        <v>125849.2424242409</v>
      </c>
      <c r="O321" s="442">
        <f t="shared" si="72"/>
        <v>251698.48484848181</v>
      </c>
      <c r="P321" s="216" t="str">
        <f t="shared" ref="P321:P383" si="87">CONCATENATE(A321," ",B321)</f>
        <v>Limón Tahití</v>
      </c>
      <c r="Q321" s="212" t="s">
        <v>142</v>
      </c>
      <c r="R321" s="212" t="s">
        <v>142</v>
      </c>
      <c r="S321" s="212"/>
      <c r="T321" s="212"/>
      <c r="U321" s="212"/>
      <c r="V321" s="212" t="s">
        <v>142</v>
      </c>
      <c r="W321" s="212" t="str">
        <f t="shared" si="83"/>
        <v/>
      </c>
      <c r="X321" s="214"/>
    </row>
    <row r="322" spans="1:24" ht="15">
      <c r="A322" s="211" t="s">
        <v>37</v>
      </c>
      <c r="B322" s="225" t="s">
        <v>265</v>
      </c>
      <c r="C322" s="216" t="s">
        <v>53</v>
      </c>
      <c r="D322" s="216" t="s">
        <v>145</v>
      </c>
      <c r="E322" s="216" t="s">
        <v>146</v>
      </c>
      <c r="F322" s="216" t="s">
        <v>167</v>
      </c>
      <c r="G322" s="216" t="s">
        <v>118</v>
      </c>
      <c r="H322" s="216" t="s">
        <v>168</v>
      </c>
      <c r="I322" s="216" t="s">
        <v>169</v>
      </c>
      <c r="J322" s="216" t="s">
        <v>170</v>
      </c>
      <c r="K322" s="216" t="s">
        <v>4229</v>
      </c>
      <c r="L322" s="216" t="s">
        <v>172</v>
      </c>
      <c r="M322" s="217">
        <v>9</v>
      </c>
      <c r="N322" s="442" cm="1">
        <f t="array" ref="N322">IF(TRIM(K322)="Mano de Obra",IF(Formulario!$L$23&lt;&gt;"",Formulario!$L$23,IFERROR(VLOOKUP(TRIM($M$4),Jornalesdeppto!A:C,3,0),"")),_xlfn.XLOOKUP(1,(Tabla_Costos_Insumos!$A$2:$A$3199=TRIM($M$4))*(Tabla_Costos_Insumos!$C$2:$C$3199=TRIM(K322)),Tabla_Costos_Insumos!$E$2:$E$3199,"",0))</f>
        <v>153430.65</v>
      </c>
      <c r="O322" s="442">
        <f t="shared" si="72"/>
        <v>1380875.8499999999</v>
      </c>
      <c r="P322" s="216" t="str">
        <f t="shared" si="87"/>
        <v>Limón Tahití</v>
      </c>
      <c r="Q322" s="212" t="s">
        <v>142</v>
      </c>
      <c r="R322" s="212" t="s">
        <v>142</v>
      </c>
      <c r="S322" s="212"/>
      <c r="T322" s="212"/>
      <c r="U322" s="212"/>
      <c r="V322" s="212" t="s">
        <v>142</v>
      </c>
      <c r="W322" s="212" t="str">
        <f t="shared" si="83"/>
        <v/>
      </c>
      <c r="X322" s="214"/>
    </row>
    <row r="323" spans="1:24" ht="15">
      <c r="A323" s="211" t="s">
        <v>37</v>
      </c>
      <c r="B323" s="225" t="s">
        <v>265</v>
      </c>
      <c r="C323" s="216" t="s">
        <v>53</v>
      </c>
      <c r="D323" s="216" t="s">
        <v>145</v>
      </c>
      <c r="E323" s="216" t="s">
        <v>146</v>
      </c>
      <c r="F323" s="216" t="s">
        <v>167</v>
      </c>
      <c r="G323" s="216" t="s">
        <v>118</v>
      </c>
      <c r="H323" s="216" t="s">
        <v>168</v>
      </c>
      <c r="I323" s="216" t="s">
        <v>169</v>
      </c>
      <c r="J323" s="216" t="s">
        <v>170</v>
      </c>
      <c r="K323" s="216" t="s">
        <v>260</v>
      </c>
      <c r="L323" s="216" t="s">
        <v>268</v>
      </c>
      <c r="M323" s="217">
        <v>20</v>
      </c>
      <c r="N323" s="442" cm="1">
        <f t="array" ref="N323">IF(TRIM(K323)="Mano de Obra",IF(Formulario!$L$23&lt;&gt;"",Formulario!$L$23,IFERROR(VLOOKUP(TRIM($M$4),Jornalesdeppto!A:C,3,0),"")),_xlfn.XLOOKUP(1,(Tabla_Costos_Insumos!$A$2:$A$3199=TRIM($M$4))*(Tabla_Costos_Insumos!$C$2:$C$3199=TRIM(K323)),Tabla_Costos_Insumos!$E$2:$E$3199,"",0))</f>
        <v>25534.226046466123</v>
      </c>
      <c r="O323" s="442">
        <f t="shared" si="72"/>
        <v>510684.52092932246</v>
      </c>
      <c r="P323" s="216" t="str">
        <f t="shared" si="87"/>
        <v>Limón Tahití</v>
      </c>
      <c r="Q323" s="212" t="s">
        <v>142</v>
      </c>
      <c r="R323" s="212" t="s">
        <v>142</v>
      </c>
      <c r="S323" s="212"/>
      <c r="T323" s="212"/>
      <c r="U323" s="212"/>
      <c r="V323" s="212" t="s">
        <v>142</v>
      </c>
      <c r="W323" s="212" t="str">
        <f t="shared" si="83"/>
        <v/>
      </c>
      <c r="X323" s="214"/>
    </row>
    <row r="324" spans="1:24" ht="15">
      <c r="A324" s="211" t="s">
        <v>37</v>
      </c>
      <c r="B324" s="225" t="s">
        <v>265</v>
      </c>
      <c r="C324" s="216" t="s">
        <v>53</v>
      </c>
      <c r="D324" s="216" t="s">
        <v>145</v>
      </c>
      <c r="E324" s="216" t="s">
        <v>146</v>
      </c>
      <c r="F324" s="216" t="s">
        <v>167</v>
      </c>
      <c r="G324" s="216" t="s">
        <v>118</v>
      </c>
      <c r="H324" s="216" t="s">
        <v>174</v>
      </c>
      <c r="I324" s="216" t="s">
        <v>175</v>
      </c>
      <c r="J324" s="216" t="s">
        <v>176</v>
      </c>
      <c r="K324" s="216" t="s">
        <v>231</v>
      </c>
      <c r="L324" s="216" t="s">
        <v>172</v>
      </c>
      <c r="M324" s="217">
        <v>12</v>
      </c>
      <c r="N324" s="442" cm="1">
        <f t="array" ref="N324">IF(TRIM(K324)="Mano de Obra",IF(Formulario!$L$23&lt;&gt;"",Formulario!$L$23,IFERROR(VLOOKUP(TRIM($M$4),Jornalesdeppto!A:C,3,0),"")),_xlfn.XLOOKUP(1,(Tabla_Costos_Insumos!$A$2:$A$3199=TRIM($M$4))*(Tabla_Costos_Insumos!$C$2:$C$3199=TRIM(K324)),Tabla_Costos_Insumos!$E$2:$E$3199,"",0))</f>
        <v>23177.15</v>
      </c>
      <c r="O324" s="442">
        <f t="shared" si="72"/>
        <v>278125.80000000005</v>
      </c>
      <c r="P324" s="216" t="str">
        <f t="shared" si="87"/>
        <v>Limón Tahití</v>
      </c>
      <c r="Q324" s="212" t="s">
        <v>142</v>
      </c>
      <c r="R324" s="212" t="s">
        <v>142</v>
      </c>
      <c r="S324" s="212"/>
      <c r="T324" s="212"/>
      <c r="U324" s="212"/>
      <c r="V324" s="212" t="s">
        <v>142</v>
      </c>
      <c r="W324" s="212" t="str">
        <f t="shared" si="83"/>
        <v/>
      </c>
      <c r="X324" s="214"/>
    </row>
    <row r="325" spans="1:24" ht="15">
      <c r="A325" s="211" t="s">
        <v>37</v>
      </c>
      <c r="B325" s="225" t="s">
        <v>265</v>
      </c>
      <c r="C325" s="216" t="s">
        <v>53</v>
      </c>
      <c r="D325" s="216" t="s">
        <v>145</v>
      </c>
      <c r="E325" s="216" t="s">
        <v>146</v>
      </c>
      <c r="F325" s="216" t="s">
        <v>167</v>
      </c>
      <c r="G325" s="216" t="s">
        <v>118</v>
      </c>
      <c r="H325" s="216" t="s">
        <v>178</v>
      </c>
      <c r="I325" s="216" t="s">
        <v>179</v>
      </c>
      <c r="J325" s="216" t="s">
        <v>180</v>
      </c>
      <c r="K325" s="216" t="s">
        <v>263</v>
      </c>
      <c r="L325" s="216" t="s">
        <v>172</v>
      </c>
      <c r="M325" s="217">
        <v>3</v>
      </c>
      <c r="N325" s="442" cm="1">
        <f t="array" ref="N325">IF(TRIM(K325)="Mano de Obra",IF(Formulario!$L$23&lt;&gt;"",Formulario!$L$23,IFERROR(VLOOKUP(TRIM($M$4),Jornalesdeppto!A:C,3,0),"")),_xlfn.XLOOKUP(1,(Tabla_Costos_Insumos!$A$2:$A$3199=TRIM($M$4))*(Tabla_Costos_Insumos!$C$2:$C$3199=TRIM(K325)),Tabla_Costos_Insumos!$E$2:$E$3199,"",0))</f>
        <v>210423.61</v>
      </c>
      <c r="O325" s="442">
        <f t="shared" si="72"/>
        <v>631270.82999999996</v>
      </c>
      <c r="P325" s="216" t="str">
        <f t="shared" si="87"/>
        <v>Limón Tahití</v>
      </c>
      <c r="Q325" s="212" t="s">
        <v>142</v>
      </c>
      <c r="R325" s="212" t="s">
        <v>142</v>
      </c>
      <c r="S325" s="212"/>
      <c r="T325" s="212"/>
      <c r="U325" s="212"/>
      <c r="V325" s="212" t="s">
        <v>142</v>
      </c>
      <c r="W325" s="212" t="str">
        <f t="shared" si="83"/>
        <v/>
      </c>
      <c r="X325" s="214"/>
    </row>
    <row r="326" spans="1:24" ht="15">
      <c r="A326" s="211" t="s">
        <v>37</v>
      </c>
      <c r="B326" s="225" t="s">
        <v>265</v>
      </c>
      <c r="C326" s="216" t="s">
        <v>53</v>
      </c>
      <c r="D326" s="216" t="s">
        <v>145</v>
      </c>
      <c r="E326" s="216" t="s">
        <v>146</v>
      </c>
      <c r="F326" s="216" t="s">
        <v>167</v>
      </c>
      <c r="G326" s="216" t="s">
        <v>118</v>
      </c>
      <c r="H326" s="216" t="s">
        <v>178</v>
      </c>
      <c r="I326" s="216" t="s">
        <v>179</v>
      </c>
      <c r="J326" s="216" t="s">
        <v>180</v>
      </c>
      <c r="K326" s="216" t="s">
        <v>181</v>
      </c>
      <c r="L326" s="216" t="s">
        <v>172</v>
      </c>
      <c r="M326" s="217">
        <v>4</v>
      </c>
      <c r="N326" s="442" cm="1">
        <f t="array" ref="N326">IF(TRIM(K326)="Mano de Obra",IF(Formulario!$L$23&lt;&gt;"",Formulario!$L$23,IFERROR(VLOOKUP(TRIM($M$4),Jornalesdeppto!A:C,3,0),"")),_xlfn.XLOOKUP(1,(Tabla_Costos_Insumos!$A$2:$A$3199=TRIM($M$4))*(Tabla_Costos_Insumos!$C$2:$C$3199=TRIM(K326)),Tabla_Costos_Insumos!$E$2:$E$3199,"",0))</f>
        <v>34056.25</v>
      </c>
      <c r="O326" s="442">
        <f t="shared" si="72"/>
        <v>136225</v>
      </c>
      <c r="P326" s="216" t="str">
        <f t="shared" si="87"/>
        <v>Limón Tahití</v>
      </c>
      <c r="Q326" s="212" t="s">
        <v>142</v>
      </c>
      <c r="R326" s="212" t="s">
        <v>142</v>
      </c>
      <c r="S326" s="212"/>
      <c r="T326" s="212"/>
      <c r="U326" s="212"/>
      <c r="V326" s="212" t="s">
        <v>142</v>
      </c>
      <c r="W326" s="212" t="str">
        <f t="shared" si="83"/>
        <v/>
      </c>
      <c r="X326" s="214"/>
    </row>
    <row r="327" spans="1:24" ht="15">
      <c r="A327" s="211" t="s">
        <v>37</v>
      </c>
      <c r="B327" s="225" t="s">
        <v>265</v>
      </c>
      <c r="C327" s="216" t="s">
        <v>53</v>
      </c>
      <c r="D327" s="216" t="s">
        <v>145</v>
      </c>
      <c r="E327" s="216" t="s">
        <v>146</v>
      </c>
      <c r="F327" s="216" t="s">
        <v>183</v>
      </c>
      <c r="G327" s="216" t="s">
        <v>184</v>
      </c>
      <c r="H327" s="216" t="s">
        <v>185</v>
      </c>
      <c r="I327" s="216" t="s">
        <v>186</v>
      </c>
      <c r="J327" s="216" t="s">
        <v>105</v>
      </c>
      <c r="K327" s="216" t="s">
        <v>187</v>
      </c>
      <c r="L327" s="216" t="s">
        <v>188</v>
      </c>
      <c r="M327" s="217">
        <v>0.1</v>
      </c>
      <c r="N327" s="442" cm="1">
        <f t="array" ref="N327">IF(TRIM(K327)="Mano de Obra",IF(Formulario!$L$23&lt;&gt;"",Formulario!$L$23,IFERROR(VLOOKUP(TRIM($M$4),Jornalesdeppto!A:C,3,0),"")),_xlfn.XLOOKUP(1,(Tabla_Costos_Insumos!$A$2:$A$3199=TRIM($M$4))*(Tabla_Costos_Insumos!$C$2:$C$3199=TRIM(K327)),Tabla_Costos_Insumos!$E$2:$E$3199,"",0))</f>
        <v>175000</v>
      </c>
      <c r="O327" s="442">
        <f t="shared" si="72"/>
        <v>17500</v>
      </c>
      <c r="P327" s="216" t="str">
        <f t="shared" si="87"/>
        <v>Limón Tahití</v>
      </c>
      <c r="Q327" s="212" t="s">
        <v>142</v>
      </c>
      <c r="R327" s="212" t="s">
        <v>142</v>
      </c>
      <c r="S327" s="212"/>
      <c r="T327" s="212"/>
      <c r="U327" s="212"/>
      <c r="V327" s="212" t="s">
        <v>142</v>
      </c>
      <c r="W327" s="212" t="str">
        <f t="shared" si="83"/>
        <v/>
      </c>
      <c r="X327" s="214"/>
    </row>
    <row r="328" spans="1:24" ht="15">
      <c r="A328" s="211" t="s">
        <v>37</v>
      </c>
      <c r="B328" s="225" t="s">
        <v>265</v>
      </c>
      <c r="C328" s="216" t="s">
        <v>53</v>
      </c>
      <c r="D328" s="216" t="s">
        <v>189</v>
      </c>
      <c r="E328" s="216" t="s">
        <v>190</v>
      </c>
      <c r="F328" s="216" t="s">
        <v>191</v>
      </c>
      <c r="G328" s="216" t="s">
        <v>192</v>
      </c>
      <c r="H328" s="216" t="s">
        <v>193</v>
      </c>
      <c r="I328" s="216" t="s">
        <v>194</v>
      </c>
      <c r="J328" s="216" t="s">
        <v>195</v>
      </c>
      <c r="K328" s="216" t="s">
        <v>196</v>
      </c>
      <c r="L328" s="216" t="s">
        <v>197</v>
      </c>
      <c r="M328" s="217">
        <v>1</v>
      </c>
      <c r="N328" s="442">
        <f>IFERROR(SUM(O310:$O$327)*0.08,0)</f>
        <v>462726.21690666938</v>
      </c>
      <c r="O328" s="442">
        <f t="shared" si="72"/>
        <v>462726.21690666938</v>
      </c>
      <c r="P328" s="216" t="str">
        <f t="shared" si="87"/>
        <v>Limón Tahití</v>
      </c>
      <c r="Q328" s="212" t="s">
        <v>142</v>
      </c>
      <c r="R328" s="212" t="s">
        <v>142</v>
      </c>
      <c r="S328" s="212"/>
      <c r="T328" s="212"/>
      <c r="U328" s="212"/>
      <c r="V328" s="212" t="s">
        <v>142</v>
      </c>
      <c r="W328" s="212" t="str">
        <f t="shared" si="83"/>
        <v/>
      </c>
      <c r="X328" s="214"/>
    </row>
    <row r="329" spans="1:24" ht="15">
      <c r="A329" s="211" t="s">
        <v>37</v>
      </c>
      <c r="B329" s="225" t="s">
        <v>265</v>
      </c>
      <c r="C329" s="216" t="s">
        <v>53</v>
      </c>
      <c r="D329" s="216" t="s">
        <v>189</v>
      </c>
      <c r="E329" s="216" t="s">
        <v>190</v>
      </c>
      <c r="F329" s="216" t="s">
        <v>198</v>
      </c>
      <c r="G329" s="216" t="s">
        <v>199</v>
      </c>
      <c r="H329" s="216" t="s">
        <v>200</v>
      </c>
      <c r="I329" s="216" t="s">
        <v>201</v>
      </c>
      <c r="J329" s="216" t="s">
        <v>105</v>
      </c>
      <c r="K329" s="216" t="s">
        <v>202</v>
      </c>
      <c r="L329" s="216" t="s">
        <v>203</v>
      </c>
      <c r="M329" s="217">
        <v>1</v>
      </c>
      <c r="N329" s="442" cm="1">
        <f t="array" ref="N329">IF(TRIM(K329)="Mano de Obra",IF(Formulario!$L$23&lt;&gt;"",Formulario!$L$23,IFERROR(VLOOKUP(TRIM($M$4),Jornalesdeppto!A:C,3,0),"")),_xlfn.XLOOKUP(1,(Tabla_Costos_Insumos!$A$2:$A$3199=TRIM($M$4))*(Tabla_Costos_Insumos!$C$2:$C$3199=TRIM(K329)),Tabla_Costos_Insumos!$E$2:$E$3199,"",0))</f>
        <v>120000</v>
      </c>
      <c r="O329" s="442">
        <f t="shared" si="72"/>
        <v>120000</v>
      </c>
      <c r="P329" s="216" t="str">
        <f t="shared" si="87"/>
        <v>Limón Tahití</v>
      </c>
      <c r="Q329" s="212" t="s">
        <v>142</v>
      </c>
      <c r="R329" s="212" t="s">
        <v>142</v>
      </c>
      <c r="S329" s="212"/>
      <c r="T329" s="212"/>
      <c r="U329" s="212"/>
      <c r="V329" s="212" t="s">
        <v>142</v>
      </c>
      <c r="W329" s="212" t="str">
        <f t="shared" si="83"/>
        <v/>
      </c>
      <c r="X329" s="214"/>
    </row>
    <row r="330" spans="1:24" ht="15">
      <c r="A330" s="211" t="s">
        <v>37</v>
      </c>
      <c r="B330" s="225" t="s">
        <v>265</v>
      </c>
      <c r="C330" s="216" t="s">
        <v>53</v>
      </c>
      <c r="D330" s="216" t="s">
        <v>189</v>
      </c>
      <c r="E330" s="216" t="s">
        <v>190</v>
      </c>
      <c r="F330" s="216" t="s">
        <v>204</v>
      </c>
      <c r="G330" s="216" t="s">
        <v>205</v>
      </c>
      <c r="H330" s="216" t="s">
        <v>206</v>
      </c>
      <c r="I330" s="216" t="s">
        <v>207</v>
      </c>
      <c r="J330" s="216" t="s">
        <v>4127</v>
      </c>
      <c r="K330" s="216" t="s">
        <v>228</v>
      </c>
      <c r="L330" s="216" t="s">
        <v>197</v>
      </c>
      <c r="M330" s="217">
        <v>1</v>
      </c>
      <c r="N330" s="442" t="str">
        <f>IF($M$3="Limón tahití",$J$4,"")</f>
        <v/>
      </c>
      <c r="O330" s="442" t="str">
        <f t="shared" si="72"/>
        <v/>
      </c>
      <c r="P330" s="216" t="str">
        <f t="shared" si="87"/>
        <v>Limón Tahití</v>
      </c>
      <c r="Q330" s="212" t="s">
        <v>142</v>
      </c>
      <c r="R330" s="212" t="s">
        <v>142</v>
      </c>
      <c r="S330" s="212"/>
      <c r="T330" s="212"/>
      <c r="U330" s="212"/>
      <c r="V330" s="212" t="s">
        <v>142</v>
      </c>
      <c r="W330" s="212" t="str">
        <f t="shared" si="83"/>
        <v/>
      </c>
      <c r="X330" s="214"/>
    </row>
    <row r="331" spans="1:24" ht="15">
      <c r="A331" s="211" t="s">
        <v>37</v>
      </c>
      <c r="B331" s="225" t="s">
        <v>258</v>
      </c>
      <c r="C331" s="212" t="s">
        <v>69</v>
      </c>
      <c r="D331" s="212" t="s">
        <v>99</v>
      </c>
      <c r="E331" s="212" t="s">
        <v>100</v>
      </c>
      <c r="F331" s="212" t="s">
        <v>101</v>
      </c>
      <c r="G331" s="212" t="s">
        <v>102</v>
      </c>
      <c r="H331" s="212" t="s">
        <v>214</v>
      </c>
      <c r="I331" s="212" t="s">
        <v>20</v>
      </c>
      <c r="J331" s="212" t="s">
        <v>105</v>
      </c>
      <c r="K331" s="212" t="s">
        <v>106</v>
      </c>
      <c r="L331" s="212" t="s">
        <v>107</v>
      </c>
      <c r="M331" s="213">
        <f t="shared" ref="M331:M342" si="88">IF(W331&lt;&gt;"", W331, ROUNDUP(X331*T331, 0))</f>
        <v>6</v>
      </c>
      <c r="N331" s="441" cm="1">
        <f t="array" ref="N331">IF(TRIM(K331)="Mano de Obra",IF(Formulario!$L$23&lt;&gt;"",Formulario!$L$23,IFERROR(VLOOKUP(TRIM($M$4),Jornalesdeppto!A:C,3,0),"")),_xlfn.XLOOKUP(1,(Tabla_Costos_Insumos!$A$2:$A$3199=TRIM($M$4))*(Tabla_Costos_Insumos!$C$2:$C$3199=TRIM(K331)),Tabla_Costos_Insumos!$E$2:$E$3199,"",0))</f>
        <v>46666.666666666664</v>
      </c>
      <c r="O331" s="441">
        <f t="shared" si="72"/>
        <v>280000</v>
      </c>
      <c r="P331" s="212" t="str">
        <f t="shared" si="87"/>
        <v>Limón Común</v>
      </c>
      <c r="Q331" s="212" t="s">
        <v>108</v>
      </c>
      <c r="R331" s="212">
        <v>0.5</v>
      </c>
      <c r="S331" s="212" t="str">
        <f>IF($M$3="Limón Común",($I$3*R331) / 480,"")</f>
        <v/>
      </c>
      <c r="T331" s="212" cm="1">
        <f t="array" ref="T331">_xlfn.IFS($D$5&lt;=7, 1.1, $D$5&lt;=12,1.2, $D$5&lt;=25, 1.3, $D$5&gt;25,1.4)</f>
        <v>1.3</v>
      </c>
      <c r="U331" s="212"/>
      <c r="V331" s="212">
        <v>0</v>
      </c>
      <c r="W331" s="212"/>
      <c r="X331" s="214">
        <v>4</v>
      </c>
    </row>
    <row r="332" spans="1:24" ht="15">
      <c r="A332" s="211" t="s">
        <v>37</v>
      </c>
      <c r="B332" s="225" t="s">
        <v>258</v>
      </c>
      <c r="C332" s="212" t="s">
        <v>69</v>
      </c>
      <c r="D332" s="212" t="s">
        <v>99</v>
      </c>
      <c r="E332" s="212" t="s">
        <v>100</v>
      </c>
      <c r="F332" s="212" t="s">
        <v>109</v>
      </c>
      <c r="G332" s="212" t="s">
        <v>110</v>
      </c>
      <c r="H332" s="212" t="s">
        <v>111</v>
      </c>
      <c r="I332" s="212" t="s">
        <v>112</v>
      </c>
      <c r="J332" s="212" t="s">
        <v>105</v>
      </c>
      <c r="K332" s="212" t="s">
        <v>106</v>
      </c>
      <c r="L332" s="212" t="s">
        <v>107</v>
      </c>
      <c r="M332" s="213">
        <f t="shared" si="88"/>
        <v>4</v>
      </c>
      <c r="N332" s="441" cm="1">
        <f t="array" ref="N332">IF(TRIM(K332)="Mano de Obra",IF(Formulario!$L$23&lt;&gt;"",Formulario!$L$23,IFERROR(VLOOKUP(TRIM($M$4),Jornalesdeppto!A:C,3,0),"")),_xlfn.XLOOKUP(1,(Tabla_Costos_Insumos!$A$2:$A$3199=TRIM($M$4))*(Tabla_Costos_Insumos!$C$2:$C$3199=TRIM(K332)),Tabla_Costos_Insumos!$E$2:$E$3199,"",0))</f>
        <v>46666.666666666664</v>
      </c>
      <c r="O332" s="441">
        <f t="shared" si="72"/>
        <v>186666.66666666666</v>
      </c>
      <c r="P332" s="212" t="str">
        <f t="shared" si="87"/>
        <v>Limón Común</v>
      </c>
      <c r="Q332" s="212" t="s">
        <v>108</v>
      </c>
      <c r="R332" s="212">
        <v>0.4</v>
      </c>
      <c r="S332" s="212" t="str">
        <f>IF($M$3="Limón Común",($I$3*R332) / 480,"")</f>
        <v/>
      </c>
      <c r="T332" s="212" cm="1">
        <f t="array" ref="T332">_xlfn.IFS($D$5&lt;=7, 1.1, $D$5&lt;=12,1.2, $D$5&lt;=25, 1.3, $D$5&gt;25,1.4)</f>
        <v>1.3</v>
      </c>
      <c r="U332" s="212" t="str">
        <f t="shared" ref="U332:U336" si="89">IFERROR(S332*T332,"")</f>
        <v/>
      </c>
      <c r="V332" s="212">
        <v>2</v>
      </c>
      <c r="W332" s="212" t="str">
        <f t="shared" si="83"/>
        <v/>
      </c>
      <c r="X332" s="214">
        <v>3</v>
      </c>
    </row>
    <row r="333" spans="1:24" ht="15">
      <c r="A333" s="211" t="s">
        <v>37</v>
      </c>
      <c r="B333" s="225" t="s">
        <v>258</v>
      </c>
      <c r="C333" s="212" t="s">
        <v>69</v>
      </c>
      <c r="D333" s="212" t="s">
        <v>99</v>
      </c>
      <c r="E333" s="212" t="s">
        <v>100</v>
      </c>
      <c r="F333" s="212" t="s">
        <v>109</v>
      </c>
      <c r="G333" s="212" t="s">
        <v>110</v>
      </c>
      <c r="H333" s="212" t="s">
        <v>234</v>
      </c>
      <c r="I333" s="212" t="s">
        <v>235</v>
      </c>
      <c r="J333" s="212" t="s">
        <v>105</v>
      </c>
      <c r="K333" s="212" t="s">
        <v>106</v>
      </c>
      <c r="L333" s="212" t="s">
        <v>107</v>
      </c>
      <c r="M333" s="213">
        <f t="shared" si="88"/>
        <v>6</v>
      </c>
      <c r="N333" s="441" cm="1">
        <f t="array" ref="N333">IF(TRIM(K333)="Mano de Obra",IF(Formulario!$L$23&lt;&gt;"",Formulario!$L$23,IFERROR(VLOOKUP(TRIM($M$4),Jornalesdeppto!A:C,3,0),"")),_xlfn.XLOOKUP(1,(Tabla_Costos_Insumos!$A$2:$A$3199=TRIM($M$4))*(Tabla_Costos_Insumos!$C$2:$C$3199=TRIM(K333)),Tabla_Costos_Insumos!$E$2:$E$3199,"",0))</f>
        <v>46666.666666666664</v>
      </c>
      <c r="O333" s="441">
        <f t="shared" si="72"/>
        <v>280000</v>
      </c>
      <c r="P333" s="212" t="str">
        <f t="shared" si="87"/>
        <v>Limón Común</v>
      </c>
      <c r="Q333" s="212" t="s">
        <v>108</v>
      </c>
      <c r="R333" s="212">
        <v>2</v>
      </c>
      <c r="S333" s="212" t="str">
        <f t="shared" ref="S333:S336" si="90">IF($M$3="Limón Común",($I$3*R333) / 480,"")</f>
        <v/>
      </c>
      <c r="T333" s="212" cm="1">
        <f t="array" ref="T333">_xlfn.IFS($D$5&lt;=7, 1.1, $D$5&lt;=12,1.2, $D$5&lt;=25, 1.3, $D$5&gt;25,1.4)</f>
        <v>1.3</v>
      </c>
      <c r="U333" s="212" t="str">
        <f t="shared" si="89"/>
        <v/>
      </c>
      <c r="V333" s="212">
        <v>4</v>
      </c>
      <c r="W333" s="212" t="str">
        <f t="shared" si="83"/>
        <v/>
      </c>
      <c r="X333" s="214">
        <v>4</v>
      </c>
    </row>
    <row r="334" spans="1:24" ht="15">
      <c r="A334" s="211" t="s">
        <v>37</v>
      </c>
      <c r="B334" s="225" t="s">
        <v>258</v>
      </c>
      <c r="C334" s="212" t="s">
        <v>69</v>
      </c>
      <c r="D334" s="212" t="s">
        <v>99</v>
      </c>
      <c r="E334" s="212" t="s">
        <v>100</v>
      </c>
      <c r="F334" s="212" t="s">
        <v>113</v>
      </c>
      <c r="G334" s="212" t="s">
        <v>114</v>
      </c>
      <c r="H334" s="212" t="s">
        <v>115</v>
      </c>
      <c r="I334" s="212" t="s">
        <v>116</v>
      </c>
      <c r="J334" s="212" t="s">
        <v>105</v>
      </c>
      <c r="K334" s="212" t="s">
        <v>106</v>
      </c>
      <c r="L334" s="212" t="s">
        <v>107</v>
      </c>
      <c r="M334" s="213">
        <f t="shared" si="88"/>
        <v>8</v>
      </c>
      <c r="N334" s="441" cm="1">
        <f t="array" ref="N334">IF(TRIM(K334)="Mano de Obra",IF(Formulario!$L$23&lt;&gt;"",Formulario!$L$23,IFERROR(VLOOKUP(TRIM($M$4),Jornalesdeppto!A:C,3,0),"")),_xlfn.XLOOKUP(1,(Tabla_Costos_Insumos!$A$2:$A$3199=TRIM($M$4))*(Tabla_Costos_Insumos!$C$2:$C$3199=TRIM(K334)),Tabla_Costos_Insumos!$E$2:$E$3199,"",0))</f>
        <v>46666.666666666664</v>
      </c>
      <c r="O334" s="441">
        <f t="shared" si="72"/>
        <v>373333.33333333331</v>
      </c>
      <c r="P334" s="212" t="str">
        <f t="shared" si="87"/>
        <v>Limón Común</v>
      </c>
      <c r="Q334" s="212" t="s">
        <v>108</v>
      </c>
      <c r="R334" s="212">
        <v>3</v>
      </c>
      <c r="S334" s="212" t="str">
        <f t="shared" si="90"/>
        <v/>
      </c>
      <c r="T334" s="212" cm="1">
        <f t="array" ref="T334">_xlfn.IFS($D$5&lt;=7, 1.1, $D$5&lt;=12,1.2, $D$5&lt;=25, 1.3, $D$5&gt;25,1.4)</f>
        <v>1.3</v>
      </c>
      <c r="U334" s="212" t="str">
        <f t="shared" si="89"/>
        <v/>
      </c>
      <c r="V334" s="212">
        <v>2</v>
      </c>
      <c r="W334" s="212" t="str">
        <f t="shared" si="83"/>
        <v/>
      </c>
      <c r="X334" s="214">
        <v>6</v>
      </c>
    </row>
    <row r="335" spans="1:24" ht="15">
      <c r="A335" s="211" t="s">
        <v>37</v>
      </c>
      <c r="B335" s="225" t="s">
        <v>258</v>
      </c>
      <c r="C335" s="212" t="s">
        <v>69</v>
      </c>
      <c r="D335" s="212" t="s">
        <v>99</v>
      </c>
      <c r="E335" s="212" t="s">
        <v>100</v>
      </c>
      <c r="F335" s="212" t="s">
        <v>117</v>
      </c>
      <c r="G335" s="212" t="s">
        <v>118</v>
      </c>
      <c r="H335" s="212" t="s">
        <v>119</v>
      </c>
      <c r="I335" s="212" t="s">
        <v>120</v>
      </c>
      <c r="J335" s="212" t="s">
        <v>105</v>
      </c>
      <c r="K335" s="212" t="s">
        <v>106</v>
      </c>
      <c r="L335" s="212" t="s">
        <v>107</v>
      </c>
      <c r="M335" s="213">
        <f t="shared" si="88"/>
        <v>11</v>
      </c>
      <c r="N335" s="441" cm="1">
        <f t="array" ref="N335">IF(TRIM(K335)="Mano de Obra",IF(Formulario!$L$23&lt;&gt;"",Formulario!$L$23,IFERROR(VLOOKUP(TRIM($M$4),Jornalesdeppto!A:C,3,0),"")),_xlfn.XLOOKUP(1,(Tabla_Costos_Insumos!$A$2:$A$3199=TRIM($M$4))*(Tabla_Costos_Insumos!$C$2:$C$3199=TRIM(K335)),Tabla_Costos_Insumos!$E$2:$E$3199,"",0))</f>
        <v>46666.666666666664</v>
      </c>
      <c r="O335" s="441">
        <f t="shared" si="72"/>
        <v>513333.33333333331</v>
      </c>
      <c r="P335" s="212" t="str">
        <f t="shared" si="87"/>
        <v>Limón Común</v>
      </c>
      <c r="Q335" s="212" t="s">
        <v>108</v>
      </c>
      <c r="R335" s="212">
        <v>4</v>
      </c>
      <c r="S335" s="212" t="str">
        <f t="shared" si="90"/>
        <v/>
      </c>
      <c r="T335" s="212" cm="1">
        <f t="array" ref="T335">_xlfn.IFS($D$5&lt;=7, 1.1, $D$5&lt;=12,1.2, $D$5&lt;=25, 1.3, $D$5&gt;25,1.4)</f>
        <v>1.3</v>
      </c>
      <c r="U335" s="212" t="str">
        <f t="shared" si="89"/>
        <v/>
      </c>
      <c r="V335" s="212">
        <v>9</v>
      </c>
      <c r="W335" s="212" t="str">
        <f t="shared" si="83"/>
        <v/>
      </c>
      <c r="X335" s="214">
        <v>8</v>
      </c>
    </row>
    <row r="336" spans="1:24" ht="15">
      <c r="A336" s="211" t="s">
        <v>37</v>
      </c>
      <c r="B336" s="225" t="s">
        <v>258</v>
      </c>
      <c r="C336" s="212" t="s">
        <v>69</v>
      </c>
      <c r="D336" s="212" t="s">
        <v>99</v>
      </c>
      <c r="E336" s="212" t="s">
        <v>100</v>
      </c>
      <c r="F336" s="212" t="s">
        <v>117</v>
      </c>
      <c r="G336" s="212" t="s">
        <v>118</v>
      </c>
      <c r="H336" s="212" t="s">
        <v>121</v>
      </c>
      <c r="I336" s="212" t="s">
        <v>122</v>
      </c>
      <c r="J336" s="212" t="s">
        <v>105</v>
      </c>
      <c r="K336" s="212" t="s">
        <v>106</v>
      </c>
      <c r="L336" s="212" t="s">
        <v>107</v>
      </c>
      <c r="M336" s="213">
        <f t="shared" si="88"/>
        <v>12</v>
      </c>
      <c r="N336" s="441" cm="1">
        <f t="array" ref="N336">IF(TRIM(K336)="Mano de Obra",IF(Formulario!$L$23&lt;&gt;"",Formulario!$L$23,IFERROR(VLOOKUP(TRIM($M$4),Jornalesdeppto!A:C,3,0),"")),_xlfn.XLOOKUP(1,(Tabla_Costos_Insumos!$A$2:$A$3199=TRIM($M$4))*(Tabla_Costos_Insumos!$C$2:$C$3199=TRIM(K336)),Tabla_Costos_Insumos!$E$2:$E$3199,"",0))</f>
        <v>46666.666666666664</v>
      </c>
      <c r="O336" s="441">
        <f t="shared" si="72"/>
        <v>560000</v>
      </c>
      <c r="P336" s="212" t="str">
        <f t="shared" si="87"/>
        <v>Limón Común</v>
      </c>
      <c r="Q336" s="212" t="s">
        <v>108</v>
      </c>
      <c r="R336" s="212">
        <v>4</v>
      </c>
      <c r="S336" s="212" t="str">
        <f t="shared" si="90"/>
        <v/>
      </c>
      <c r="T336" s="212" cm="1">
        <f t="array" ref="T336">_xlfn.IFS($D$5&lt;=7, 1.1, $D$5&lt;=12,1.2, $D$5&lt;=25, 1.3, $D$5&gt;25,1.4)</f>
        <v>1.3</v>
      </c>
      <c r="U336" s="212" t="str">
        <f t="shared" si="89"/>
        <v/>
      </c>
      <c r="V336" s="212">
        <v>9</v>
      </c>
      <c r="W336" s="212" t="str">
        <f t="shared" si="83"/>
        <v/>
      </c>
      <c r="X336" s="214">
        <v>9</v>
      </c>
    </row>
    <row r="337" spans="1:24" ht="15">
      <c r="A337" s="211" t="s">
        <v>37</v>
      </c>
      <c r="B337" s="225" t="s">
        <v>258</v>
      </c>
      <c r="C337" s="212" t="s">
        <v>69</v>
      </c>
      <c r="D337" s="212" t="s">
        <v>99</v>
      </c>
      <c r="E337" s="212" t="s">
        <v>100</v>
      </c>
      <c r="F337" s="212" t="s">
        <v>123</v>
      </c>
      <c r="G337" s="212" t="s">
        <v>124</v>
      </c>
      <c r="H337" s="212" t="s">
        <v>125</v>
      </c>
      <c r="I337" s="212" t="s">
        <v>126</v>
      </c>
      <c r="J337" s="212" t="s">
        <v>105</v>
      </c>
      <c r="K337" s="212" t="s">
        <v>106</v>
      </c>
      <c r="L337" s="212" t="s">
        <v>107</v>
      </c>
      <c r="M337" s="213">
        <f t="shared" si="88"/>
        <v>4</v>
      </c>
      <c r="N337" s="441" cm="1">
        <f t="array" ref="N337">IF(TRIM(K337)="Mano de Obra",IF(Formulario!$L$23&lt;&gt;"",Formulario!$L$23,IFERROR(VLOOKUP(TRIM($M$4),Jornalesdeppto!A:C,3,0),"")),_xlfn.XLOOKUP(1,(Tabla_Costos_Insumos!$A$2:$A$3199=TRIM($M$4))*(Tabla_Costos_Insumos!$C$2:$C$3199=TRIM(K337)),Tabla_Costos_Insumos!$E$2:$E$3199,"",0))</f>
        <v>46666.666666666664</v>
      </c>
      <c r="O337" s="441">
        <f t="shared" si="72"/>
        <v>186666.66666666666</v>
      </c>
      <c r="P337" s="212" t="str">
        <f t="shared" si="87"/>
        <v>Limón Común</v>
      </c>
      <c r="Q337" s="212" t="s">
        <v>127</v>
      </c>
      <c r="R337" s="212">
        <v>0.09</v>
      </c>
      <c r="S337" s="212">
        <f t="shared" ref="S337:S338" si="91">10000*R337/480</f>
        <v>1.875</v>
      </c>
      <c r="T337" s="212" cm="1">
        <f t="array" ref="T337">_xlfn.IFS($D$5&lt;=7, 1.1, $D$5&lt;=12,1.2, $D$5&lt;=25, 1.3, $D$5&gt;25,1.4)</f>
        <v>1.3</v>
      </c>
      <c r="U337" s="212"/>
      <c r="V337" s="212">
        <v>2</v>
      </c>
      <c r="W337" s="212"/>
      <c r="X337" s="214">
        <v>3</v>
      </c>
    </row>
    <row r="338" spans="1:24" ht="15">
      <c r="A338" s="211" t="s">
        <v>37</v>
      </c>
      <c r="B338" s="225" t="s">
        <v>258</v>
      </c>
      <c r="C338" s="212" t="s">
        <v>69</v>
      </c>
      <c r="D338" s="212" t="s">
        <v>99</v>
      </c>
      <c r="E338" s="212" t="s">
        <v>100</v>
      </c>
      <c r="F338" s="212" t="s">
        <v>123</v>
      </c>
      <c r="G338" s="212" t="s">
        <v>124</v>
      </c>
      <c r="H338" s="212" t="s">
        <v>128</v>
      </c>
      <c r="I338" s="212" t="s">
        <v>129</v>
      </c>
      <c r="J338" s="212" t="s">
        <v>105</v>
      </c>
      <c r="K338" s="212" t="s">
        <v>106</v>
      </c>
      <c r="L338" s="212" t="s">
        <v>107</v>
      </c>
      <c r="M338" s="213">
        <f t="shared" si="88"/>
        <v>10</v>
      </c>
      <c r="N338" s="441" cm="1">
        <f t="array" ref="N338">IF(TRIM(K338)="Mano de Obra",IF(Formulario!$L$23&lt;&gt;"",Formulario!$L$23,IFERROR(VLOOKUP(TRIM($M$4),Jornalesdeppto!A:C,3,0),"")),_xlfn.XLOOKUP(1,(Tabla_Costos_Insumos!$A$2:$A$3199=TRIM($M$4))*(Tabla_Costos_Insumos!$C$2:$C$3199=TRIM(K338)),Tabla_Costos_Insumos!$E$2:$E$3199,"",0))</f>
        <v>46666.666666666664</v>
      </c>
      <c r="O338" s="441">
        <f t="shared" ref="O338:O401" si="92">IF(OR(N338=0,N338=""),"",N338*M338)</f>
        <v>466666.66666666663</v>
      </c>
      <c r="P338" s="212" t="str">
        <f t="shared" si="87"/>
        <v>Limón Común</v>
      </c>
      <c r="Q338" s="212" t="s">
        <v>127</v>
      </c>
      <c r="R338" s="212">
        <v>0.09</v>
      </c>
      <c r="S338" s="212">
        <f t="shared" si="91"/>
        <v>1.875</v>
      </c>
      <c r="T338" s="212" cm="1">
        <f t="array" ref="T338">_xlfn.IFS($D$5&lt;=7, 1.1, $D$5&lt;=12,1.2, $D$5&lt;=25, 1.3, $D$5&gt;25,1.4)</f>
        <v>1.3</v>
      </c>
      <c r="U338" s="212"/>
      <c r="V338" s="212">
        <v>2</v>
      </c>
      <c r="W338" s="212"/>
      <c r="X338" s="214">
        <v>7</v>
      </c>
    </row>
    <row r="339" spans="1:24" ht="15">
      <c r="A339" s="211" t="s">
        <v>37</v>
      </c>
      <c r="B339" s="225" t="s">
        <v>258</v>
      </c>
      <c r="C339" s="212" t="s">
        <v>69</v>
      </c>
      <c r="D339" s="212" t="s">
        <v>99</v>
      </c>
      <c r="E339" s="212" t="s">
        <v>100</v>
      </c>
      <c r="F339" s="212" t="s">
        <v>130</v>
      </c>
      <c r="G339" s="212" t="s">
        <v>131</v>
      </c>
      <c r="H339" s="212" t="s">
        <v>132</v>
      </c>
      <c r="I339" s="212" t="s">
        <v>133</v>
      </c>
      <c r="J339" s="212" t="s">
        <v>105</v>
      </c>
      <c r="K339" s="212" t="s">
        <v>106</v>
      </c>
      <c r="L339" s="212" t="s">
        <v>107</v>
      </c>
      <c r="M339" s="213">
        <f t="shared" si="88"/>
        <v>4</v>
      </c>
      <c r="N339" s="441" cm="1">
        <f t="array" ref="N339">IF(TRIM(K339)="Mano de Obra",IF(Formulario!$L$23&lt;&gt;"",Formulario!$L$23,IFERROR(VLOOKUP(TRIM($M$4),Jornalesdeppto!A:C,3,0),"")),_xlfn.XLOOKUP(1,(Tabla_Costos_Insumos!$A$2:$A$3199=TRIM($M$4))*(Tabla_Costos_Insumos!$C$2:$C$3199=TRIM(K339)),Tabla_Costos_Insumos!$E$2:$E$3199,"",0))</f>
        <v>46666.666666666664</v>
      </c>
      <c r="O339" s="441">
        <f t="shared" si="92"/>
        <v>186666.66666666666</v>
      </c>
      <c r="P339" s="212" t="str">
        <f t="shared" si="87"/>
        <v>Limón Común</v>
      </c>
      <c r="Q339" s="212" t="s">
        <v>108</v>
      </c>
      <c r="R339" s="212">
        <v>1.5</v>
      </c>
      <c r="S339" s="212" t="str">
        <f t="shared" ref="S339:S340" si="93">IF($M$3="Limón Común",($I$3*R339) / 480,"")</f>
        <v/>
      </c>
      <c r="T339" s="212" cm="1">
        <f t="array" ref="T339">_xlfn.IFS($D$5&lt;=7, 1.1, $D$5&lt;=12,1.2, $D$5&lt;=25, 1.3, $D$5&gt;25,1.4)</f>
        <v>1.3</v>
      </c>
      <c r="U339" s="212" t="str">
        <f t="shared" ref="U339:U340" si="94">IFERROR(S339*T339,"")</f>
        <v/>
      </c>
      <c r="V339" s="212">
        <v>4</v>
      </c>
      <c r="W339" s="212" t="str">
        <f t="shared" si="83"/>
        <v/>
      </c>
      <c r="X339" s="214">
        <v>3</v>
      </c>
    </row>
    <row r="340" spans="1:24" ht="15">
      <c r="A340" s="211" t="s">
        <v>37</v>
      </c>
      <c r="B340" s="225" t="s">
        <v>258</v>
      </c>
      <c r="C340" s="212" t="s">
        <v>69</v>
      </c>
      <c r="D340" s="212" t="s">
        <v>99</v>
      </c>
      <c r="E340" s="212" t="s">
        <v>100</v>
      </c>
      <c r="F340" s="212" t="s">
        <v>130</v>
      </c>
      <c r="G340" s="212" t="s">
        <v>131</v>
      </c>
      <c r="H340" s="212" t="s">
        <v>134</v>
      </c>
      <c r="I340" s="212" t="s">
        <v>135</v>
      </c>
      <c r="J340" s="212" t="s">
        <v>105</v>
      </c>
      <c r="K340" s="212" t="s">
        <v>106</v>
      </c>
      <c r="L340" s="212" t="s">
        <v>107</v>
      </c>
      <c r="M340" s="213">
        <f t="shared" si="88"/>
        <v>3</v>
      </c>
      <c r="N340" s="441" cm="1">
        <f t="array" ref="N340">IF(TRIM(K340)="Mano de Obra",IF(Formulario!$L$23&lt;&gt;"",Formulario!$L$23,IFERROR(VLOOKUP(TRIM($M$4),Jornalesdeppto!A:C,3,0),"")),_xlfn.XLOOKUP(1,(Tabla_Costos_Insumos!$A$2:$A$3199=TRIM($M$4))*(Tabla_Costos_Insumos!$C$2:$C$3199=TRIM(K340)),Tabla_Costos_Insumos!$E$2:$E$3199,"",0))</f>
        <v>46666.666666666664</v>
      </c>
      <c r="O340" s="441">
        <f t="shared" si="92"/>
        <v>140000</v>
      </c>
      <c r="P340" s="212" t="str">
        <f t="shared" si="87"/>
        <v>Limón Común</v>
      </c>
      <c r="Q340" s="212" t="s">
        <v>108</v>
      </c>
      <c r="R340" s="212">
        <v>1.5</v>
      </c>
      <c r="S340" s="212" t="str">
        <f t="shared" si="93"/>
        <v/>
      </c>
      <c r="T340" s="212" cm="1">
        <f t="array" ref="T340">_xlfn.IFS($D$5&lt;=7, 1.1, $D$5&lt;=12,1.2, $D$5&lt;=25, 1.3, $D$5&gt;25,1.4)</f>
        <v>1.3</v>
      </c>
      <c r="U340" s="212" t="str">
        <f t="shared" si="94"/>
        <v/>
      </c>
      <c r="V340" s="212">
        <v>4</v>
      </c>
      <c r="W340" s="212" t="str">
        <f t="shared" si="83"/>
        <v/>
      </c>
      <c r="X340" s="214">
        <v>2</v>
      </c>
    </row>
    <row r="341" spans="1:24" ht="15">
      <c r="A341" s="211" t="s">
        <v>37</v>
      </c>
      <c r="B341" s="225" t="s">
        <v>258</v>
      </c>
      <c r="C341" s="212" t="s">
        <v>69</v>
      </c>
      <c r="D341" s="212" t="s">
        <v>99</v>
      </c>
      <c r="E341" s="212" t="s">
        <v>100</v>
      </c>
      <c r="F341" s="212" t="s">
        <v>138</v>
      </c>
      <c r="G341" s="212" t="s">
        <v>139</v>
      </c>
      <c r="H341" s="212" t="s">
        <v>140</v>
      </c>
      <c r="I341" s="212" t="s">
        <v>141</v>
      </c>
      <c r="J341" s="212" t="s">
        <v>105</v>
      </c>
      <c r="K341" s="212" t="s">
        <v>106</v>
      </c>
      <c r="L341" s="212" t="s">
        <v>107</v>
      </c>
      <c r="M341" s="213">
        <f t="shared" si="88"/>
        <v>11</v>
      </c>
      <c r="N341" s="441" cm="1">
        <f t="array" ref="N341">IF(TRIM(K341)="Mano de Obra",IF(Formulario!$L$23&lt;&gt;"",Formulario!$L$23,IFERROR(VLOOKUP(TRIM($M$4),Jornalesdeppto!A:C,3,0),"")),_xlfn.XLOOKUP(1,(Tabla_Costos_Insumos!$A$2:$A$3199=TRIM($M$4))*(Tabla_Costos_Insumos!$C$2:$C$3199=TRIM(K341)),Tabla_Costos_Insumos!$E$2:$E$3199,"",0))</f>
        <v>46666.666666666664</v>
      </c>
      <c r="O341" s="441">
        <f t="shared" si="92"/>
        <v>513333.33333333331</v>
      </c>
      <c r="P341" s="212" t="str">
        <f t="shared" si="87"/>
        <v>Limón Común</v>
      </c>
      <c r="Q341" s="212" t="s">
        <v>142</v>
      </c>
      <c r="R341" s="212" t="s">
        <v>142</v>
      </c>
      <c r="S341" s="212"/>
      <c r="T341" s="212" cm="1">
        <f t="array" ref="T341">_xlfn.IFS($D$5&lt;=7, 1.1, $D$5&lt;=12,1.2, $D$5&lt;=25, 1.3, $D$5&gt;25,1.4)</f>
        <v>1.3</v>
      </c>
      <c r="U341" s="212"/>
      <c r="V341" s="212" t="s">
        <v>142</v>
      </c>
      <c r="W341" s="212" t="str">
        <f t="shared" si="83"/>
        <v/>
      </c>
      <c r="X341" s="214">
        <v>8</v>
      </c>
    </row>
    <row r="342" spans="1:24" ht="15">
      <c r="A342" s="211" t="s">
        <v>37</v>
      </c>
      <c r="B342" s="225" t="s">
        <v>258</v>
      </c>
      <c r="C342" s="212" t="s">
        <v>69</v>
      </c>
      <c r="D342" s="212" t="s">
        <v>99</v>
      </c>
      <c r="E342" s="212" t="s">
        <v>100</v>
      </c>
      <c r="F342" s="212" t="s">
        <v>138</v>
      </c>
      <c r="G342" s="212" t="s">
        <v>139</v>
      </c>
      <c r="H342" s="212" t="s">
        <v>143</v>
      </c>
      <c r="I342" s="212" t="s">
        <v>144</v>
      </c>
      <c r="J342" s="212" t="s">
        <v>105</v>
      </c>
      <c r="K342" s="212" t="s">
        <v>106</v>
      </c>
      <c r="L342" s="212" t="s">
        <v>107</v>
      </c>
      <c r="M342" s="213">
        <f t="shared" si="88"/>
        <v>52</v>
      </c>
      <c r="N342" s="441" cm="1">
        <f t="array" ref="N342">IF(TRIM(K342)="Mano de Obra",IF(Formulario!$L$23&lt;&gt;"",Formulario!$L$23,IFERROR(VLOOKUP(TRIM($M$4),Jornalesdeppto!A:C,3,0),"")),_xlfn.XLOOKUP(1,(Tabla_Costos_Insumos!$A$2:$A$3199=TRIM($M$4))*(Tabla_Costos_Insumos!$C$2:$C$3199=TRIM(K342)),Tabla_Costos_Insumos!$E$2:$E$3199,"",0))</f>
        <v>46666.666666666664</v>
      </c>
      <c r="O342" s="441">
        <f t="shared" si="92"/>
        <v>2426666.6666666665</v>
      </c>
      <c r="P342" s="212" t="str">
        <f t="shared" si="87"/>
        <v>Limón Común</v>
      </c>
      <c r="Q342" s="212" t="s">
        <v>142</v>
      </c>
      <c r="R342" s="212" t="s">
        <v>142</v>
      </c>
      <c r="S342" s="212"/>
      <c r="T342" s="212" cm="1">
        <f t="array" ref="T342">_xlfn.IFS($D$5&lt;=7, 1.1, $D$5&lt;=12,1.2, $D$5&lt;=25, 1.3, $D$5&gt;25,1.4)</f>
        <v>1.3</v>
      </c>
      <c r="U342" s="212"/>
      <c r="V342" s="212" t="s">
        <v>142</v>
      </c>
      <c r="W342" s="212" t="str">
        <f t="shared" si="83"/>
        <v/>
      </c>
      <c r="X342" s="214">
        <v>40</v>
      </c>
    </row>
    <row r="343" spans="1:24" ht="15">
      <c r="A343" s="211" t="s">
        <v>37</v>
      </c>
      <c r="B343" s="225" t="s">
        <v>258</v>
      </c>
      <c r="C343" s="212" t="s">
        <v>69</v>
      </c>
      <c r="D343" s="212" t="s">
        <v>145</v>
      </c>
      <c r="E343" s="212" t="s">
        <v>146</v>
      </c>
      <c r="F343" s="212" t="s">
        <v>147</v>
      </c>
      <c r="G343" s="212" t="s">
        <v>131</v>
      </c>
      <c r="H343" s="212" t="s">
        <v>148</v>
      </c>
      <c r="I343" s="212" t="s">
        <v>266</v>
      </c>
      <c r="J343" s="212" t="s">
        <v>149</v>
      </c>
      <c r="K343" s="212" t="s">
        <v>166</v>
      </c>
      <c r="L343" s="212" t="s">
        <v>151</v>
      </c>
      <c r="M343" s="213">
        <v>8</v>
      </c>
      <c r="N343" s="441" cm="1">
        <f t="array" ref="N343">IF(TRIM(K343)="Mano de Obra",IF(Formulario!$L$23&lt;&gt;"",Formulario!$L$23,IFERROR(VLOOKUP(TRIM($M$4),Jornalesdeppto!A:C,3,0),"")),_xlfn.XLOOKUP(1,(Tabla_Costos_Insumos!$A$2:$A$3199=TRIM($M$4))*(Tabla_Costos_Insumos!$C$2:$C$3199=TRIM(K343)),Tabla_Costos_Insumos!$E$2:$E$3199,"",0))</f>
        <v>110000</v>
      </c>
      <c r="O343" s="441">
        <f t="shared" si="92"/>
        <v>880000</v>
      </c>
      <c r="P343" s="212" t="str">
        <f t="shared" si="87"/>
        <v>Limón Común</v>
      </c>
      <c r="Q343" s="212" t="s">
        <v>142</v>
      </c>
      <c r="R343" s="212" t="s">
        <v>142</v>
      </c>
      <c r="S343" s="212"/>
      <c r="T343" s="212"/>
      <c r="U343" s="212"/>
      <c r="V343" s="212" t="s">
        <v>142</v>
      </c>
      <c r="W343" s="212" t="str">
        <f t="shared" si="83"/>
        <v/>
      </c>
      <c r="X343" s="214"/>
    </row>
    <row r="344" spans="1:24" ht="15">
      <c r="A344" s="211" t="s">
        <v>37</v>
      </c>
      <c r="B344" s="225" t="s">
        <v>258</v>
      </c>
      <c r="C344" s="212" t="s">
        <v>69</v>
      </c>
      <c r="D344" s="212" t="s">
        <v>145</v>
      </c>
      <c r="E344" s="212" t="s">
        <v>146</v>
      </c>
      <c r="F344" s="212" t="s">
        <v>147</v>
      </c>
      <c r="G344" s="212" t="s">
        <v>131</v>
      </c>
      <c r="H344" s="212" t="s">
        <v>152</v>
      </c>
      <c r="I344" s="212" t="s">
        <v>299</v>
      </c>
      <c r="J344" s="212" t="s">
        <v>149</v>
      </c>
      <c r="K344" s="212" t="s">
        <v>150</v>
      </c>
      <c r="L344" s="212" t="s">
        <v>151</v>
      </c>
      <c r="M344" s="213">
        <v>2</v>
      </c>
      <c r="N344" s="441" cm="1">
        <f t="array" ref="N344">IF(TRIM(K344)="Mano de Obra",IF(Formulario!$L$23&lt;&gt;"",Formulario!$L$23,IFERROR(VLOOKUP(TRIM($M$4),Jornalesdeppto!A:C,3,0),"")),_xlfn.XLOOKUP(1,(Tabla_Costos_Insumos!$A$2:$A$3199=TRIM($M$4))*(Tabla_Costos_Insumos!$C$2:$C$3199=TRIM(K344)),Tabla_Costos_Insumos!$E$2:$E$3199,"",0))</f>
        <v>198055.68333333</v>
      </c>
      <c r="O344" s="441">
        <f t="shared" si="92"/>
        <v>396111.36666666</v>
      </c>
      <c r="P344" s="212" t="str">
        <f t="shared" si="87"/>
        <v>Limón Común</v>
      </c>
      <c r="Q344" s="212" t="s">
        <v>142</v>
      </c>
      <c r="R344" s="212" t="s">
        <v>142</v>
      </c>
      <c r="S344" s="212"/>
      <c r="T344" s="212"/>
      <c r="U344" s="212"/>
      <c r="V344" s="212" t="s">
        <v>142</v>
      </c>
      <c r="W344" s="212" t="str">
        <f t="shared" si="83"/>
        <v/>
      </c>
      <c r="X344" s="214"/>
    </row>
    <row r="345" spans="1:24" ht="15">
      <c r="A345" s="211" t="s">
        <v>37</v>
      </c>
      <c r="B345" s="225" t="s">
        <v>258</v>
      </c>
      <c r="C345" s="212" t="s">
        <v>69</v>
      </c>
      <c r="D345" s="212" t="s">
        <v>145</v>
      </c>
      <c r="E345" s="212" t="s">
        <v>146</v>
      </c>
      <c r="F345" s="212" t="s">
        <v>147</v>
      </c>
      <c r="G345" s="212" t="s">
        <v>131</v>
      </c>
      <c r="H345" s="212" t="s">
        <v>154</v>
      </c>
      <c r="I345" s="212" t="s">
        <v>155</v>
      </c>
      <c r="J345" s="212" t="s">
        <v>149</v>
      </c>
      <c r="K345" s="212" t="s">
        <v>156</v>
      </c>
      <c r="L345" s="212" t="s">
        <v>151</v>
      </c>
      <c r="M345" s="213">
        <v>2</v>
      </c>
      <c r="N345" s="441" cm="1">
        <f t="array" ref="N345">IF(TRIM(K345)="Mano de Obra",IF(Formulario!$L$23&lt;&gt;"",Formulario!$L$23,IFERROR(VLOOKUP(TRIM($M$4),Jornalesdeppto!A:C,3,0),"")),_xlfn.XLOOKUP(1,(Tabla_Costos_Insumos!$A$2:$A$3199=TRIM($M$4))*(Tabla_Costos_Insumos!$C$2:$C$3199=TRIM(K345)),Tabla_Costos_Insumos!$E$2:$E$3199,"",0))</f>
        <v>17212.5</v>
      </c>
      <c r="O345" s="441">
        <f t="shared" si="92"/>
        <v>34425</v>
      </c>
      <c r="P345" s="212" t="str">
        <f t="shared" si="87"/>
        <v>Limón Común</v>
      </c>
      <c r="Q345" s="212" t="s">
        <v>142</v>
      </c>
      <c r="R345" s="212" t="s">
        <v>142</v>
      </c>
      <c r="S345" s="212"/>
      <c r="T345" s="212"/>
      <c r="U345" s="212"/>
      <c r="V345" s="212" t="s">
        <v>142</v>
      </c>
      <c r="W345" s="212" t="str">
        <f t="shared" si="83"/>
        <v/>
      </c>
      <c r="X345" s="214"/>
    </row>
    <row r="346" spans="1:24" ht="15">
      <c r="A346" s="211" t="s">
        <v>37</v>
      </c>
      <c r="B346" s="225" t="s">
        <v>258</v>
      </c>
      <c r="C346" s="212" t="s">
        <v>69</v>
      </c>
      <c r="D346" s="212" t="s">
        <v>145</v>
      </c>
      <c r="E346" s="212" t="s">
        <v>146</v>
      </c>
      <c r="F346" s="212" t="s">
        <v>147</v>
      </c>
      <c r="G346" s="212" t="s">
        <v>131</v>
      </c>
      <c r="H346" s="212" t="s">
        <v>157</v>
      </c>
      <c r="I346" s="212" t="s">
        <v>158</v>
      </c>
      <c r="J346" s="212" t="s">
        <v>149</v>
      </c>
      <c r="K346" s="222" t="s">
        <v>243</v>
      </c>
      <c r="L346" s="212" t="s">
        <v>172</v>
      </c>
      <c r="M346" s="213">
        <v>18</v>
      </c>
      <c r="N346" s="441" cm="1">
        <f t="array" ref="N346">IF(TRIM(K346)="Mano de Obra",IF(Formulario!$L$23&lt;&gt;"",Formulario!$L$23,IFERROR(VLOOKUP(TRIM($M$4),Jornalesdeppto!A:C,3,0),"")),_xlfn.XLOOKUP(1,(Tabla_Costos_Insumos!$A$2:$A$3199=TRIM($M$4))*(Tabla_Costos_Insumos!$C$2:$C$3199=TRIM(K346)),Tabla_Costos_Insumos!$E$2:$E$3199,"",0))</f>
        <v>26208.33</v>
      </c>
      <c r="O346" s="441">
        <f t="shared" si="92"/>
        <v>471749.94000000006</v>
      </c>
      <c r="P346" s="212" t="str">
        <f t="shared" si="87"/>
        <v>Limón Común</v>
      </c>
      <c r="Q346" s="212" t="s">
        <v>142</v>
      </c>
      <c r="R346" s="212" t="s">
        <v>142</v>
      </c>
      <c r="S346" s="212"/>
      <c r="T346" s="212"/>
      <c r="U346" s="212"/>
      <c r="V346" s="212" t="s">
        <v>142</v>
      </c>
      <c r="W346" s="212" t="str">
        <f t="shared" si="83"/>
        <v/>
      </c>
      <c r="X346" s="214"/>
    </row>
    <row r="347" spans="1:24" ht="15">
      <c r="A347" s="211" t="s">
        <v>37</v>
      </c>
      <c r="B347" s="225" t="s">
        <v>258</v>
      </c>
      <c r="C347" s="212" t="s">
        <v>69</v>
      </c>
      <c r="D347" s="212" t="s">
        <v>145</v>
      </c>
      <c r="E347" s="212" t="s">
        <v>146</v>
      </c>
      <c r="F347" s="212" t="s">
        <v>147</v>
      </c>
      <c r="G347" s="212" t="s">
        <v>131</v>
      </c>
      <c r="H347" s="212" t="s">
        <v>161</v>
      </c>
      <c r="I347" s="212" t="s">
        <v>162</v>
      </c>
      <c r="J347" s="212" t="s">
        <v>149</v>
      </c>
      <c r="K347" s="212" t="s">
        <v>163</v>
      </c>
      <c r="L347" s="212" t="s">
        <v>164</v>
      </c>
      <c r="M347" s="213">
        <v>2</v>
      </c>
      <c r="N347" s="441" cm="1">
        <f t="array" ref="N347">IF(TRIM(K347)="Mano de Obra",IF(Formulario!$L$23&lt;&gt;"",Formulario!$L$23,IFERROR(VLOOKUP(TRIM($M$4),Jornalesdeppto!A:C,3,0),"")),_xlfn.XLOOKUP(1,(Tabla_Costos_Insumos!$A$2:$A$3199=TRIM($M$4))*(Tabla_Costos_Insumos!$C$2:$C$3199=TRIM(K347)),Tabla_Costos_Insumos!$E$2:$E$3199,"",0))</f>
        <v>128084.44444445</v>
      </c>
      <c r="O347" s="441">
        <f t="shared" si="92"/>
        <v>256168.88888889999</v>
      </c>
      <c r="P347" s="212" t="str">
        <f t="shared" si="87"/>
        <v>Limón Común</v>
      </c>
      <c r="Q347" s="212" t="s">
        <v>142</v>
      </c>
      <c r="R347" s="212" t="s">
        <v>142</v>
      </c>
      <c r="S347" s="212"/>
      <c r="T347" s="212"/>
      <c r="U347" s="212"/>
      <c r="V347" s="212" t="s">
        <v>142</v>
      </c>
      <c r="W347" s="212" t="str">
        <f t="shared" si="83"/>
        <v/>
      </c>
      <c r="X347" s="214"/>
    </row>
    <row r="348" spans="1:24" ht="15">
      <c r="A348" s="211" t="s">
        <v>37</v>
      </c>
      <c r="B348" s="225" t="s">
        <v>258</v>
      </c>
      <c r="C348" s="212" t="s">
        <v>69</v>
      </c>
      <c r="D348" s="212" t="s">
        <v>145</v>
      </c>
      <c r="E348" s="212" t="s">
        <v>146</v>
      </c>
      <c r="F348" s="212" t="s">
        <v>147</v>
      </c>
      <c r="G348" s="212" t="s">
        <v>131</v>
      </c>
      <c r="H348" s="212" t="s">
        <v>165</v>
      </c>
      <c r="I348" s="212" t="s">
        <v>153</v>
      </c>
      <c r="J348" s="212" t="s">
        <v>149</v>
      </c>
      <c r="K348" s="212" t="s">
        <v>4216</v>
      </c>
      <c r="L348" s="212" t="s">
        <v>151</v>
      </c>
      <c r="M348" s="213">
        <v>8</v>
      </c>
      <c r="N348" s="441" cm="1">
        <f t="array" ref="N348">IF(TRIM(K348)="Mano de Obra",IF(Formulario!$L$23&lt;&gt;"",Formulario!$L$23,IFERROR(VLOOKUP(TRIM($M$4),Jornalesdeppto!A:C,3,0),"")),_xlfn.XLOOKUP(1,(Tabla_Costos_Insumos!$A$2:$A$3199=TRIM($M$4))*(Tabla_Costos_Insumos!$C$2:$C$3199=TRIM(K348)),Tabla_Costos_Insumos!$E$2:$E$3199,"",0))</f>
        <v>125849.2424242409</v>
      </c>
      <c r="O348" s="441">
        <f t="shared" si="92"/>
        <v>1006793.9393939272</v>
      </c>
      <c r="P348" s="212" t="str">
        <f t="shared" si="87"/>
        <v>Limón Común</v>
      </c>
      <c r="Q348" s="212" t="s">
        <v>142</v>
      </c>
      <c r="R348" s="212" t="s">
        <v>142</v>
      </c>
      <c r="S348" s="212"/>
      <c r="T348" s="212"/>
      <c r="U348" s="212"/>
      <c r="V348" s="212" t="s">
        <v>142</v>
      </c>
      <c r="W348" s="212" t="str">
        <f t="shared" si="83"/>
        <v/>
      </c>
      <c r="X348" s="214"/>
    </row>
    <row r="349" spans="1:24" ht="15">
      <c r="A349" s="211" t="s">
        <v>37</v>
      </c>
      <c r="B349" s="225" t="s">
        <v>258</v>
      </c>
      <c r="C349" s="212" t="s">
        <v>69</v>
      </c>
      <c r="D349" s="212" t="s">
        <v>145</v>
      </c>
      <c r="E349" s="212" t="s">
        <v>146</v>
      </c>
      <c r="F349" s="212" t="s">
        <v>167</v>
      </c>
      <c r="G349" s="212" t="s">
        <v>118</v>
      </c>
      <c r="H349" s="212" t="s">
        <v>168</v>
      </c>
      <c r="I349" s="212" t="s">
        <v>169</v>
      </c>
      <c r="J349" s="212" t="s">
        <v>170</v>
      </c>
      <c r="K349" s="212" t="s">
        <v>259</v>
      </c>
      <c r="L349" s="212" t="s">
        <v>172</v>
      </c>
      <c r="M349" s="213">
        <v>6</v>
      </c>
      <c r="N349" s="441" cm="1">
        <f t="array" ref="N349">IF(TRIM(K349)="Mano de Obra",IF(Formulario!$L$23&lt;&gt;"",Formulario!$L$23,IFERROR(VLOOKUP(TRIM($M$4),Jornalesdeppto!A:C,3,0),"")),_xlfn.XLOOKUP(1,(Tabla_Costos_Insumos!$A$2:$A$3199=TRIM($M$4))*(Tabla_Costos_Insumos!$C$2:$C$3199=TRIM(K349)),Tabla_Costos_Insumos!$E$2:$E$3199,"",0))</f>
        <v>283758.28999999998</v>
      </c>
      <c r="O349" s="441">
        <f t="shared" si="92"/>
        <v>1702549.7399999998</v>
      </c>
      <c r="P349" s="212" t="str">
        <f t="shared" si="87"/>
        <v>Limón Común</v>
      </c>
      <c r="Q349" s="212" t="s">
        <v>142</v>
      </c>
      <c r="R349" s="212" t="s">
        <v>142</v>
      </c>
      <c r="S349" s="212"/>
      <c r="T349" s="212"/>
      <c r="U349" s="212"/>
      <c r="V349" s="212" t="s">
        <v>142</v>
      </c>
      <c r="W349" s="212" t="str">
        <f t="shared" si="83"/>
        <v/>
      </c>
      <c r="X349" s="214"/>
    </row>
    <row r="350" spans="1:24" ht="15">
      <c r="A350" s="211" t="s">
        <v>37</v>
      </c>
      <c r="B350" s="225" t="s">
        <v>258</v>
      </c>
      <c r="C350" s="212" t="s">
        <v>69</v>
      </c>
      <c r="D350" s="212" t="s">
        <v>145</v>
      </c>
      <c r="E350" s="212" t="s">
        <v>146</v>
      </c>
      <c r="F350" s="212" t="s">
        <v>167</v>
      </c>
      <c r="G350" s="212" t="s">
        <v>118</v>
      </c>
      <c r="H350" s="212" t="s">
        <v>168</v>
      </c>
      <c r="I350" s="212" t="s">
        <v>169</v>
      </c>
      <c r="J350" s="212" t="s">
        <v>170</v>
      </c>
      <c r="K350" s="212" t="s">
        <v>260</v>
      </c>
      <c r="L350" s="212" t="s">
        <v>261</v>
      </c>
      <c r="M350" s="213">
        <v>45</v>
      </c>
      <c r="N350" s="441" cm="1">
        <f t="array" ref="N350">IF(TRIM(K350)="Mano de Obra",IF(Formulario!$L$23&lt;&gt;"",Formulario!$L$23,IFERROR(VLOOKUP(TRIM($M$4),Jornalesdeppto!A:C,3,0),"")),_xlfn.XLOOKUP(1,(Tabla_Costos_Insumos!$A$2:$A$3199=TRIM($M$4))*(Tabla_Costos_Insumos!$C$2:$C$3199=TRIM(K350)),Tabla_Costos_Insumos!$E$2:$E$3199,"",0))</f>
        <v>25534.226046466123</v>
      </c>
      <c r="O350" s="441">
        <f t="shared" si="92"/>
        <v>1149040.1720909756</v>
      </c>
      <c r="P350" s="212" t="str">
        <f t="shared" si="87"/>
        <v>Limón Común</v>
      </c>
      <c r="Q350" s="212" t="s">
        <v>142</v>
      </c>
      <c r="R350" s="212" t="s">
        <v>142</v>
      </c>
      <c r="S350" s="212"/>
      <c r="T350" s="212"/>
      <c r="U350" s="212"/>
      <c r="V350" s="212" t="s">
        <v>142</v>
      </c>
      <c r="W350" s="212" t="str">
        <f t="shared" si="83"/>
        <v/>
      </c>
      <c r="X350" s="214"/>
    </row>
    <row r="351" spans="1:24" ht="15">
      <c r="A351" s="211" t="s">
        <v>37</v>
      </c>
      <c r="B351" s="225" t="s">
        <v>258</v>
      </c>
      <c r="C351" s="212" t="s">
        <v>69</v>
      </c>
      <c r="D351" s="212" t="s">
        <v>145</v>
      </c>
      <c r="E351" s="212" t="s">
        <v>146</v>
      </c>
      <c r="F351" s="212" t="s">
        <v>167</v>
      </c>
      <c r="G351" s="212" t="s">
        <v>118</v>
      </c>
      <c r="H351" s="212" t="s">
        <v>174</v>
      </c>
      <c r="I351" s="212" t="s">
        <v>175</v>
      </c>
      <c r="J351" s="212" t="s">
        <v>176</v>
      </c>
      <c r="K351" s="212" t="s">
        <v>231</v>
      </c>
      <c r="L351" s="212" t="s">
        <v>172</v>
      </c>
      <c r="M351" s="213">
        <v>16</v>
      </c>
      <c r="N351" s="441" cm="1">
        <f t="array" ref="N351">IF(TRIM(K351)="Mano de Obra",IF(Formulario!$L$23&lt;&gt;"",Formulario!$L$23,IFERROR(VLOOKUP(TRIM($M$4),Jornalesdeppto!A:C,3,0),"")),_xlfn.XLOOKUP(1,(Tabla_Costos_Insumos!$A$2:$A$3199=TRIM($M$4))*(Tabla_Costos_Insumos!$C$2:$C$3199=TRIM(K351)),Tabla_Costos_Insumos!$E$2:$E$3199,"",0))</f>
        <v>23177.15</v>
      </c>
      <c r="O351" s="441">
        <f t="shared" si="92"/>
        <v>370834.4</v>
      </c>
      <c r="P351" s="212" t="str">
        <f t="shared" si="87"/>
        <v>Limón Común</v>
      </c>
      <c r="Q351" s="212" t="s">
        <v>142</v>
      </c>
      <c r="R351" s="212" t="s">
        <v>142</v>
      </c>
      <c r="S351" s="212"/>
      <c r="T351" s="212"/>
      <c r="U351" s="212"/>
      <c r="V351" s="212" t="s">
        <v>142</v>
      </c>
      <c r="W351" s="212" t="str">
        <f t="shared" si="83"/>
        <v/>
      </c>
      <c r="X351" s="214"/>
    </row>
    <row r="352" spans="1:24" ht="15">
      <c r="A352" s="211" t="s">
        <v>37</v>
      </c>
      <c r="B352" s="225" t="s">
        <v>258</v>
      </c>
      <c r="C352" s="212" t="s">
        <v>69</v>
      </c>
      <c r="D352" s="212" t="s">
        <v>145</v>
      </c>
      <c r="E352" s="212" t="s">
        <v>146</v>
      </c>
      <c r="F352" s="212" t="s">
        <v>167</v>
      </c>
      <c r="G352" s="212" t="s">
        <v>118</v>
      </c>
      <c r="H352" s="212" t="s">
        <v>178</v>
      </c>
      <c r="I352" s="212" t="s">
        <v>179</v>
      </c>
      <c r="J352" s="212" t="s">
        <v>180</v>
      </c>
      <c r="K352" s="212" t="s">
        <v>263</v>
      </c>
      <c r="L352" s="212" t="s">
        <v>172</v>
      </c>
      <c r="M352" s="213">
        <v>11</v>
      </c>
      <c r="N352" s="441" cm="1">
        <f t="array" ref="N352">IF(TRIM(K352)="Mano de Obra",IF(Formulario!$L$23&lt;&gt;"",Formulario!$L$23,IFERROR(VLOOKUP(TRIM($M$4),Jornalesdeppto!A:C,3,0),"")),_xlfn.XLOOKUP(1,(Tabla_Costos_Insumos!$A$2:$A$3199=TRIM($M$4))*(Tabla_Costos_Insumos!$C$2:$C$3199=TRIM(K352)),Tabla_Costos_Insumos!$E$2:$E$3199,"",0))</f>
        <v>210423.61</v>
      </c>
      <c r="O352" s="441">
        <f t="shared" si="92"/>
        <v>2314659.71</v>
      </c>
      <c r="P352" s="212" t="str">
        <f t="shared" si="87"/>
        <v>Limón Común</v>
      </c>
      <c r="Q352" s="212" t="s">
        <v>142</v>
      </c>
      <c r="R352" s="212" t="s">
        <v>142</v>
      </c>
      <c r="S352" s="212"/>
      <c r="T352" s="212"/>
      <c r="U352" s="212"/>
      <c r="V352" s="212" t="s">
        <v>142</v>
      </c>
      <c r="W352" s="212" t="str">
        <f t="shared" si="83"/>
        <v/>
      </c>
      <c r="X352" s="214"/>
    </row>
    <row r="353" spans="1:24" ht="15">
      <c r="A353" s="211" t="s">
        <v>37</v>
      </c>
      <c r="B353" s="225" t="s">
        <v>258</v>
      </c>
      <c r="C353" s="212" t="s">
        <v>69</v>
      </c>
      <c r="D353" s="212" t="s">
        <v>145</v>
      </c>
      <c r="E353" s="212" t="s">
        <v>146</v>
      </c>
      <c r="F353" s="212" t="s">
        <v>167</v>
      </c>
      <c r="G353" s="212" t="s">
        <v>118</v>
      </c>
      <c r="H353" s="212" t="s">
        <v>178</v>
      </c>
      <c r="I353" s="212" t="s">
        <v>179</v>
      </c>
      <c r="J353" s="212" t="s">
        <v>180</v>
      </c>
      <c r="K353" s="212" t="s">
        <v>181</v>
      </c>
      <c r="L353" s="212" t="s">
        <v>172</v>
      </c>
      <c r="M353" s="213">
        <v>6</v>
      </c>
      <c r="N353" s="441" cm="1">
        <f t="array" ref="N353">IF(TRIM(K353)="Mano de Obra",IF(Formulario!$L$23&lt;&gt;"",Formulario!$L$23,IFERROR(VLOOKUP(TRIM($M$4),Jornalesdeppto!A:C,3,0),"")),_xlfn.XLOOKUP(1,(Tabla_Costos_Insumos!$A$2:$A$3199=TRIM($M$4))*(Tabla_Costos_Insumos!$C$2:$C$3199=TRIM(K353)),Tabla_Costos_Insumos!$E$2:$E$3199,"",0))</f>
        <v>34056.25</v>
      </c>
      <c r="O353" s="441">
        <f t="shared" si="92"/>
        <v>204337.5</v>
      </c>
      <c r="P353" s="212" t="str">
        <f t="shared" si="87"/>
        <v>Limón Común</v>
      </c>
      <c r="Q353" s="212" t="s">
        <v>142</v>
      </c>
      <c r="R353" s="212" t="s">
        <v>142</v>
      </c>
      <c r="S353" s="212"/>
      <c r="T353" s="212"/>
      <c r="U353" s="212"/>
      <c r="V353" s="212" t="s">
        <v>142</v>
      </c>
      <c r="W353" s="212" t="str">
        <f t="shared" si="83"/>
        <v/>
      </c>
      <c r="X353" s="214"/>
    </row>
    <row r="354" spans="1:24" ht="15">
      <c r="A354" s="211" t="s">
        <v>37</v>
      </c>
      <c r="B354" s="225" t="s">
        <v>258</v>
      </c>
      <c r="C354" s="212" t="s">
        <v>69</v>
      </c>
      <c r="D354" s="212" t="s">
        <v>145</v>
      </c>
      <c r="E354" s="212" t="s">
        <v>146</v>
      </c>
      <c r="F354" s="212" t="s">
        <v>183</v>
      </c>
      <c r="G354" s="212" t="s">
        <v>184</v>
      </c>
      <c r="H354" s="212" t="s">
        <v>185</v>
      </c>
      <c r="I354" s="212" t="s">
        <v>186</v>
      </c>
      <c r="J354" s="212" t="s">
        <v>105</v>
      </c>
      <c r="K354" s="212" t="s">
        <v>187</v>
      </c>
      <c r="L354" s="212" t="s">
        <v>188</v>
      </c>
      <c r="M354" s="213">
        <v>0.1</v>
      </c>
      <c r="N354" s="441" cm="1">
        <f t="array" ref="N354">IF(TRIM(K354)="Mano de Obra",IF(Formulario!$L$23&lt;&gt;"",Formulario!$L$23,IFERROR(VLOOKUP(TRIM($M$4),Jornalesdeppto!A:C,3,0),"")),_xlfn.XLOOKUP(1,(Tabla_Costos_Insumos!$A$2:$A$3199=TRIM($M$4))*(Tabla_Costos_Insumos!$C$2:$C$3199=TRIM(K354)),Tabla_Costos_Insumos!$E$2:$E$3199,"",0))</f>
        <v>175000</v>
      </c>
      <c r="O354" s="441">
        <f t="shared" si="92"/>
        <v>17500</v>
      </c>
      <c r="P354" s="212" t="str">
        <f t="shared" si="87"/>
        <v>Limón Común</v>
      </c>
      <c r="Q354" s="212" t="s">
        <v>142</v>
      </c>
      <c r="R354" s="212" t="s">
        <v>142</v>
      </c>
      <c r="S354" s="212"/>
      <c r="T354" s="212"/>
      <c r="U354" s="212"/>
      <c r="V354" s="212" t="s">
        <v>142</v>
      </c>
      <c r="W354" s="212" t="str">
        <f t="shared" si="83"/>
        <v/>
      </c>
      <c r="X354" s="214"/>
    </row>
    <row r="355" spans="1:24" ht="15">
      <c r="A355" s="211" t="s">
        <v>37</v>
      </c>
      <c r="B355" s="225" t="s">
        <v>258</v>
      </c>
      <c r="C355" s="212" t="s">
        <v>69</v>
      </c>
      <c r="D355" s="212" t="s">
        <v>189</v>
      </c>
      <c r="E355" s="212" t="s">
        <v>190</v>
      </c>
      <c r="F355" s="212" t="s">
        <v>191</v>
      </c>
      <c r="G355" s="212" t="s">
        <v>192</v>
      </c>
      <c r="H355" s="212" t="s">
        <v>193</v>
      </c>
      <c r="I355" s="212" t="s">
        <v>194</v>
      </c>
      <c r="J355" s="212" t="s">
        <v>195</v>
      </c>
      <c r="K355" s="212" t="s">
        <v>196</v>
      </c>
      <c r="L355" s="212" t="s">
        <v>197</v>
      </c>
      <c r="M355" s="213">
        <v>1</v>
      </c>
      <c r="N355" s="441">
        <f>IFERROR(SUM(O337:$O$354)*0.08,0)</f>
        <v>1017933.652563237</v>
      </c>
      <c r="O355" s="441">
        <f t="shared" si="92"/>
        <v>1017933.652563237</v>
      </c>
      <c r="P355" s="212" t="str">
        <f t="shared" si="87"/>
        <v>Limón Común</v>
      </c>
      <c r="Q355" s="212" t="s">
        <v>142</v>
      </c>
      <c r="R355" s="212" t="s">
        <v>142</v>
      </c>
      <c r="S355" s="212"/>
      <c r="T355" s="212"/>
      <c r="U355" s="212"/>
      <c r="V355" s="212" t="s">
        <v>142</v>
      </c>
      <c r="W355" s="212" t="str">
        <f t="shared" si="83"/>
        <v/>
      </c>
      <c r="X355" s="214"/>
    </row>
    <row r="356" spans="1:24" ht="15">
      <c r="A356" s="211" t="s">
        <v>37</v>
      </c>
      <c r="B356" s="225" t="s">
        <v>258</v>
      </c>
      <c r="C356" s="212" t="s">
        <v>69</v>
      </c>
      <c r="D356" s="212" t="s">
        <v>189</v>
      </c>
      <c r="E356" s="212" t="s">
        <v>190</v>
      </c>
      <c r="F356" s="212" t="s">
        <v>198</v>
      </c>
      <c r="G356" s="212" t="s">
        <v>199</v>
      </c>
      <c r="H356" s="212" t="s">
        <v>200</v>
      </c>
      <c r="I356" s="212" t="s">
        <v>201</v>
      </c>
      <c r="J356" s="212" t="s">
        <v>105</v>
      </c>
      <c r="K356" s="212" t="s">
        <v>202</v>
      </c>
      <c r="L356" s="212" t="s">
        <v>203</v>
      </c>
      <c r="M356" s="213">
        <v>1</v>
      </c>
      <c r="N356" s="441" cm="1">
        <f t="array" ref="N356">IF(TRIM(K356)="Mano de Obra",IF(Formulario!$L$23&lt;&gt;"",Formulario!$L$23,IFERROR(VLOOKUP(TRIM($M$4),Jornalesdeppto!A:C,3,0),"")),_xlfn.XLOOKUP(1,(Tabla_Costos_Insumos!$A$2:$A$3199=TRIM($M$4))*(Tabla_Costos_Insumos!$C$2:$C$3199=TRIM(K356)),Tabla_Costos_Insumos!$E$2:$E$3199,"",0))</f>
        <v>120000</v>
      </c>
      <c r="O356" s="441">
        <f t="shared" si="92"/>
        <v>120000</v>
      </c>
      <c r="P356" s="212" t="str">
        <f t="shared" si="87"/>
        <v>Limón Común</v>
      </c>
      <c r="Q356" s="212" t="s">
        <v>142</v>
      </c>
      <c r="R356" s="212" t="s">
        <v>142</v>
      </c>
      <c r="S356" s="212"/>
      <c r="T356" s="212"/>
      <c r="U356" s="212"/>
      <c r="V356" s="212" t="s">
        <v>142</v>
      </c>
      <c r="W356" s="212" t="str">
        <f t="shared" si="83"/>
        <v/>
      </c>
      <c r="X356" s="214"/>
    </row>
    <row r="357" spans="1:24" ht="15">
      <c r="A357" s="211" t="s">
        <v>37</v>
      </c>
      <c r="B357" s="225" t="s">
        <v>258</v>
      </c>
      <c r="C357" s="212" t="s">
        <v>69</v>
      </c>
      <c r="D357" s="212" t="s">
        <v>189</v>
      </c>
      <c r="E357" s="212" t="s">
        <v>190</v>
      </c>
      <c r="F357" s="212" t="s">
        <v>204</v>
      </c>
      <c r="G357" s="212" t="s">
        <v>205</v>
      </c>
      <c r="H357" s="212" t="s">
        <v>206</v>
      </c>
      <c r="I357" s="212" t="s">
        <v>207</v>
      </c>
      <c r="J357" s="212" t="s">
        <v>4127</v>
      </c>
      <c r="K357" s="212" t="s">
        <v>228</v>
      </c>
      <c r="L357" s="212" t="s">
        <v>197</v>
      </c>
      <c r="M357" s="213">
        <v>1</v>
      </c>
      <c r="N357" s="441" t="str">
        <f>IF($M$3="Limón Común",$J$4,"")</f>
        <v/>
      </c>
      <c r="O357" s="441" t="str">
        <f t="shared" si="92"/>
        <v/>
      </c>
      <c r="P357" s="212" t="str">
        <f t="shared" si="87"/>
        <v>Limón Común</v>
      </c>
      <c r="Q357" s="212" t="s">
        <v>142</v>
      </c>
      <c r="R357" s="212" t="s">
        <v>142</v>
      </c>
      <c r="S357" s="212"/>
      <c r="T357" s="212"/>
      <c r="U357" s="212"/>
      <c r="V357" s="212" t="s">
        <v>142</v>
      </c>
      <c r="W357" s="212" t="str">
        <f t="shared" si="83"/>
        <v/>
      </c>
      <c r="X357" s="214"/>
    </row>
    <row r="358" spans="1:24" ht="15">
      <c r="A358" s="211" t="s">
        <v>37</v>
      </c>
      <c r="B358" s="225" t="s">
        <v>258</v>
      </c>
      <c r="C358" s="216" t="s">
        <v>53</v>
      </c>
      <c r="D358" s="216" t="s">
        <v>99</v>
      </c>
      <c r="E358" s="216" t="s">
        <v>100</v>
      </c>
      <c r="F358" s="216" t="s">
        <v>101</v>
      </c>
      <c r="G358" s="216" t="s">
        <v>102</v>
      </c>
      <c r="H358" s="216" t="s">
        <v>103</v>
      </c>
      <c r="I358" s="216" t="s">
        <v>104</v>
      </c>
      <c r="J358" s="216" t="s">
        <v>105</v>
      </c>
      <c r="K358" s="216" t="s">
        <v>106</v>
      </c>
      <c r="L358" s="216" t="s">
        <v>107</v>
      </c>
      <c r="M358" s="217">
        <f t="shared" ref="M358:M371" si="95">IF(W358&lt;&gt;"", W358, ROUNDUP(X358*T358, 0))</f>
        <v>6</v>
      </c>
      <c r="N358" s="442" cm="1">
        <f t="array" ref="N358">IF(TRIM(K358)="Mano de Obra",IF(Formulario!$L$23&lt;&gt;"",Formulario!$L$23,IFERROR(VLOOKUP(TRIM($M$4),Jornalesdeppto!A:C,3,0),"")),_xlfn.XLOOKUP(1,(Tabla_Costos_Insumos!$A$2:$A$3199=TRIM($M$4))*(Tabla_Costos_Insumos!$C$2:$C$3199=TRIM(K358)),Tabla_Costos_Insumos!$E$2:$E$3199,"",0))</f>
        <v>46666.666666666664</v>
      </c>
      <c r="O358" s="442">
        <f t="shared" si="92"/>
        <v>280000</v>
      </c>
      <c r="P358" s="216" t="str">
        <f t="shared" si="87"/>
        <v>Limón Común</v>
      </c>
      <c r="Q358" s="212" t="s">
        <v>108</v>
      </c>
      <c r="R358" s="212">
        <v>7</v>
      </c>
      <c r="S358" s="212" t="str">
        <f t="shared" ref="S358:S360" si="96">IF($M$3="Limón Común",($I$3*R358) / 480,"")</f>
        <v/>
      </c>
      <c r="T358" s="212" cm="1">
        <f t="array" ref="T358">_xlfn.IFS($D$5&lt;=7, 1.1, $D$5&lt;=12,1.2, $D$5&lt;=25, 1.3, $D$5&gt;25,1.4)</f>
        <v>1.3</v>
      </c>
      <c r="U358" s="212" t="str">
        <f t="shared" ref="U358:U359" si="97">IFERROR(S358*T358,"")</f>
        <v/>
      </c>
      <c r="V358" s="212">
        <v>1</v>
      </c>
      <c r="W358" s="212" t="str">
        <f t="shared" si="83"/>
        <v/>
      </c>
      <c r="X358" s="214">
        <v>4</v>
      </c>
    </row>
    <row r="359" spans="1:24" ht="15">
      <c r="A359" s="211" t="s">
        <v>37</v>
      </c>
      <c r="B359" s="225" t="s">
        <v>258</v>
      </c>
      <c r="C359" s="216" t="s">
        <v>53</v>
      </c>
      <c r="D359" s="216" t="s">
        <v>99</v>
      </c>
      <c r="E359" s="216" t="s">
        <v>100</v>
      </c>
      <c r="F359" s="216" t="s">
        <v>101</v>
      </c>
      <c r="G359" s="216" t="s">
        <v>102</v>
      </c>
      <c r="H359" s="216" t="s">
        <v>212</v>
      </c>
      <c r="I359" s="216" t="s">
        <v>213</v>
      </c>
      <c r="J359" s="216" t="s">
        <v>105</v>
      </c>
      <c r="K359" s="216" t="s">
        <v>106</v>
      </c>
      <c r="L359" s="216" t="s">
        <v>107</v>
      </c>
      <c r="M359" s="217">
        <f t="shared" si="95"/>
        <v>4</v>
      </c>
      <c r="N359" s="442" cm="1">
        <f t="array" ref="N359">IF(TRIM(K359)="Mano de Obra",IF(Formulario!$L$23&lt;&gt;"",Formulario!$L$23,IFERROR(VLOOKUP(TRIM($M$4),Jornalesdeppto!A:C,3,0),"")),_xlfn.XLOOKUP(1,(Tabla_Costos_Insumos!$A$2:$A$3199=TRIM($M$4))*(Tabla_Costos_Insumos!$C$2:$C$3199=TRIM(K359)),Tabla_Costos_Insumos!$E$2:$E$3199,"",0))</f>
        <v>46666.666666666664</v>
      </c>
      <c r="O359" s="442">
        <f t="shared" si="92"/>
        <v>186666.66666666666</v>
      </c>
      <c r="P359" s="216" t="str">
        <f t="shared" si="87"/>
        <v>Limón Común</v>
      </c>
      <c r="Q359" s="212" t="s">
        <v>108</v>
      </c>
      <c r="R359" s="212">
        <v>14</v>
      </c>
      <c r="S359" s="212" t="str">
        <f t="shared" si="96"/>
        <v/>
      </c>
      <c r="T359" s="212" cm="1">
        <f t="array" ref="T359">_xlfn.IFS($D$5&lt;=7, 1.1, $D$5&lt;=12,1.2, $D$5&lt;=25, 1.3, $D$5&gt;25,1.4)</f>
        <v>1.3</v>
      </c>
      <c r="U359" s="212" t="str">
        <f t="shared" si="97"/>
        <v/>
      </c>
      <c r="V359" s="212">
        <v>1</v>
      </c>
      <c r="W359" s="212" t="str">
        <f t="shared" si="83"/>
        <v/>
      </c>
      <c r="X359" s="214">
        <v>3</v>
      </c>
    </row>
    <row r="360" spans="1:24" ht="15">
      <c r="A360" s="211" t="s">
        <v>37</v>
      </c>
      <c r="B360" s="225" t="s">
        <v>258</v>
      </c>
      <c r="C360" s="216" t="s">
        <v>53</v>
      </c>
      <c r="D360" s="216" t="s">
        <v>99</v>
      </c>
      <c r="E360" s="216" t="s">
        <v>100</v>
      </c>
      <c r="F360" s="216" t="s">
        <v>101</v>
      </c>
      <c r="G360" s="216" t="s">
        <v>102</v>
      </c>
      <c r="H360" s="216" t="s">
        <v>214</v>
      </c>
      <c r="I360" s="216" t="s">
        <v>20</v>
      </c>
      <c r="J360" s="216" t="s">
        <v>105</v>
      </c>
      <c r="K360" s="216" t="s">
        <v>106</v>
      </c>
      <c r="L360" s="216" t="s">
        <v>107</v>
      </c>
      <c r="M360" s="217">
        <f t="shared" si="95"/>
        <v>3</v>
      </c>
      <c r="N360" s="442" cm="1">
        <f t="array" ref="N360">IF(TRIM(K360)="Mano de Obra",IF(Formulario!$L$23&lt;&gt;"",Formulario!$L$23,IFERROR(VLOOKUP(TRIM($M$4),Jornalesdeppto!A:C,3,0),"")),_xlfn.XLOOKUP(1,(Tabla_Costos_Insumos!$A$2:$A$3199=TRIM($M$4))*(Tabla_Costos_Insumos!$C$2:$C$3199=TRIM(K360)),Tabla_Costos_Insumos!$E$2:$E$3199,"",0))</f>
        <v>46666.666666666664</v>
      </c>
      <c r="O360" s="442">
        <f t="shared" si="92"/>
        <v>140000</v>
      </c>
      <c r="P360" s="216" t="str">
        <f t="shared" si="87"/>
        <v>Limón Común</v>
      </c>
      <c r="Q360" s="212" t="s">
        <v>108</v>
      </c>
      <c r="R360" s="212">
        <v>0.5</v>
      </c>
      <c r="S360" s="212" t="str">
        <f t="shared" si="96"/>
        <v/>
      </c>
      <c r="T360" s="212" cm="1">
        <f t="array" ref="T360">_xlfn.IFS($D$5&lt;=7, 1.1, $D$5&lt;=12,1.2, $D$5&lt;=25, 1.3, $D$5&gt;25,1.4)</f>
        <v>1.3</v>
      </c>
      <c r="U360" s="212"/>
      <c r="V360" s="212">
        <v>0</v>
      </c>
      <c r="W360" s="212"/>
      <c r="X360" s="214">
        <v>2</v>
      </c>
    </row>
    <row r="361" spans="1:24" ht="15">
      <c r="A361" s="211" t="s">
        <v>37</v>
      </c>
      <c r="B361" s="225" t="s">
        <v>258</v>
      </c>
      <c r="C361" s="216" t="s">
        <v>53</v>
      </c>
      <c r="D361" s="216" t="s">
        <v>99</v>
      </c>
      <c r="E361" s="216" t="s">
        <v>100</v>
      </c>
      <c r="F361" s="216" t="s">
        <v>109</v>
      </c>
      <c r="G361" s="216" t="s">
        <v>110</v>
      </c>
      <c r="H361" s="216" t="s">
        <v>111</v>
      </c>
      <c r="I361" s="216" t="s">
        <v>112</v>
      </c>
      <c r="J361" s="216" t="s">
        <v>105</v>
      </c>
      <c r="K361" s="216" t="s">
        <v>106</v>
      </c>
      <c r="L361" s="216" t="s">
        <v>107</v>
      </c>
      <c r="M361" s="217">
        <f t="shared" si="95"/>
        <v>4</v>
      </c>
      <c r="N361" s="442" cm="1">
        <f t="array" ref="N361">IF(TRIM(K361)="Mano de Obra",IF(Formulario!$L$23&lt;&gt;"",Formulario!$L$23,IFERROR(VLOOKUP(TRIM($M$4),Jornalesdeppto!A:C,3,0),"")),_xlfn.XLOOKUP(1,(Tabla_Costos_Insumos!$A$2:$A$3199=TRIM($M$4))*(Tabla_Costos_Insumos!$C$2:$C$3199=TRIM(K361)),Tabla_Costos_Insumos!$E$2:$E$3199,"",0))</f>
        <v>46666.666666666664</v>
      </c>
      <c r="O361" s="442">
        <f t="shared" si="92"/>
        <v>186666.66666666666</v>
      </c>
      <c r="P361" s="216" t="str">
        <f t="shared" si="87"/>
        <v>Limón Común</v>
      </c>
      <c r="Q361" s="212" t="s">
        <v>108</v>
      </c>
      <c r="R361" s="212">
        <v>0.4</v>
      </c>
      <c r="S361" s="212" t="str">
        <f t="shared" ref="S361:S367" si="98">IF($M$3="Limón Común",($I$3*R361) / 480,"")</f>
        <v/>
      </c>
      <c r="T361" s="212" cm="1">
        <f t="array" ref="T361">_xlfn.IFS($D$5&lt;=7, 1.1, $D$5&lt;=12,1.2, $D$5&lt;=25, 1.3, $D$5&gt;25,1.4)</f>
        <v>1.3</v>
      </c>
      <c r="U361" s="212" t="str">
        <f t="shared" ref="U361:U367" si="99">IFERROR(S361*T361,"")</f>
        <v/>
      </c>
      <c r="V361" s="212">
        <v>2</v>
      </c>
      <c r="W361" s="212" t="str">
        <f t="shared" si="83"/>
        <v/>
      </c>
      <c r="X361" s="214">
        <v>3</v>
      </c>
    </row>
    <row r="362" spans="1:24" ht="15">
      <c r="A362" s="211" t="s">
        <v>37</v>
      </c>
      <c r="B362" s="225" t="s">
        <v>258</v>
      </c>
      <c r="C362" s="216" t="s">
        <v>53</v>
      </c>
      <c r="D362" s="216" t="s">
        <v>99</v>
      </c>
      <c r="E362" s="216" t="s">
        <v>100</v>
      </c>
      <c r="F362" s="216" t="s">
        <v>109</v>
      </c>
      <c r="G362" s="216" t="s">
        <v>110</v>
      </c>
      <c r="H362" s="216" t="s">
        <v>234</v>
      </c>
      <c r="I362" s="216" t="s">
        <v>235</v>
      </c>
      <c r="J362" s="216" t="s">
        <v>105</v>
      </c>
      <c r="K362" s="216" t="s">
        <v>106</v>
      </c>
      <c r="L362" s="216" t="s">
        <v>107</v>
      </c>
      <c r="M362" s="217">
        <f t="shared" si="95"/>
        <v>6</v>
      </c>
      <c r="N362" s="442" cm="1">
        <f t="array" ref="N362">IF(TRIM(K362)="Mano de Obra",IF(Formulario!$L$23&lt;&gt;"",Formulario!$L$23,IFERROR(VLOOKUP(TRIM($M$4),Jornalesdeppto!A:C,3,0),"")),_xlfn.XLOOKUP(1,(Tabla_Costos_Insumos!$A$2:$A$3199=TRIM($M$4))*(Tabla_Costos_Insumos!$C$2:$C$3199=TRIM(K362)),Tabla_Costos_Insumos!$E$2:$E$3199,"",0))</f>
        <v>46666.666666666664</v>
      </c>
      <c r="O362" s="442">
        <f t="shared" si="92"/>
        <v>280000</v>
      </c>
      <c r="P362" s="216" t="str">
        <f t="shared" si="87"/>
        <v>Limón Común</v>
      </c>
      <c r="Q362" s="212" t="s">
        <v>108</v>
      </c>
      <c r="R362" s="212">
        <v>2</v>
      </c>
      <c r="S362" s="212" t="str">
        <f t="shared" si="98"/>
        <v/>
      </c>
      <c r="T362" s="212" cm="1">
        <f t="array" ref="T362">_xlfn.IFS($D$5&lt;=7, 1.1, $D$5&lt;=12,1.2, $D$5&lt;=25, 1.3, $D$5&gt;25,1.4)</f>
        <v>1.3</v>
      </c>
      <c r="U362" s="212" t="str">
        <f t="shared" si="99"/>
        <v/>
      </c>
      <c r="V362" s="212">
        <v>4</v>
      </c>
      <c r="W362" s="212" t="str">
        <f t="shared" si="83"/>
        <v/>
      </c>
      <c r="X362" s="214">
        <v>4</v>
      </c>
    </row>
    <row r="363" spans="1:24" ht="15">
      <c r="A363" s="211" t="s">
        <v>37</v>
      </c>
      <c r="B363" s="225" t="s">
        <v>258</v>
      </c>
      <c r="C363" s="216" t="s">
        <v>53</v>
      </c>
      <c r="D363" s="216" t="s">
        <v>99</v>
      </c>
      <c r="E363" s="216" t="s">
        <v>100</v>
      </c>
      <c r="F363" s="216" t="s">
        <v>109</v>
      </c>
      <c r="G363" s="216" t="s">
        <v>110</v>
      </c>
      <c r="H363" s="216" t="s">
        <v>215</v>
      </c>
      <c r="I363" s="216" t="s">
        <v>216</v>
      </c>
      <c r="J363" s="216" t="s">
        <v>105</v>
      </c>
      <c r="K363" s="216" t="s">
        <v>106</v>
      </c>
      <c r="L363" s="216" t="s">
        <v>107</v>
      </c>
      <c r="M363" s="217">
        <f t="shared" si="95"/>
        <v>2</v>
      </c>
      <c r="N363" s="442" cm="1">
        <f t="array" ref="N363">IF(TRIM(K363)="Mano de Obra",IF(Formulario!$L$23&lt;&gt;"",Formulario!$L$23,IFERROR(VLOOKUP(TRIM($M$4),Jornalesdeppto!A:C,3,0),"")),_xlfn.XLOOKUP(1,(Tabla_Costos_Insumos!$A$2:$A$3199=TRIM($M$4))*(Tabla_Costos_Insumos!$C$2:$C$3199=TRIM(K363)),Tabla_Costos_Insumos!$E$2:$E$3199,"",0))</f>
        <v>46666.666666666664</v>
      </c>
      <c r="O363" s="442">
        <f t="shared" si="92"/>
        <v>93333.333333333328</v>
      </c>
      <c r="P363" s="216" t="str">
        <f t="shared" si="87"/>
        <v>Limón Común</v>
      </c>
      <c r="Q363" s="212" t="s">
        <v>108</v>
      </c>
      <c r="R363" s="212">
        <v>15</v>
      </c>
      <c r="S363" s="212" t="str">
        <f t="shared" si="98"/>
        <v/>
      </c>
      <c r="T363" s="212" cm="1">
        <f t="array" ref="T363">_xlfn.IFS($D$5&lt;=7, 1.1, $D$5&lt;=12,1.2, $D$5&lt;=25, 1.3, $D$5&gt;25,1.4)</f>
        <v>1.3</v>
      </c>
      <c r="U363" s="212" t="str">
        <f t="shared" si="99"/>
        <v/>
      </c>
      <c r="V363" s="212">
        <v>1</v>
      </c>
      <c r="W363" s="212" t="str">
        <f t="shared" si="83"/>
        <v/>
      </c>
      <c r="X363" s="214">
        <v>1</v>
      </c>
    </row>
    <row r="364" spans="1:24" ht="15">
      <c r="A364" s="211" t="s">
        <v>37</v>
      </c>
      <c r="B364" s="225" t="s">
        <v>258</v>
      </c>
      <c r="C364" s="216" t="s">
        <v>53</v>
      </c>
      <c r="D364" s="216" t="s">
        <v>99</v>
      </c>
      <c r="E364" s="216" t="s">
        <v>100</v>
      </c>
      <c r="F364" s="216" t="s">
        <v>109</v>
      </c>
      <c r="G364" s="216" t="s">
        <v>110</v>
      </c>
      <c r="H364" s="216" t="s">
        <v>217</v>
      </c>
      <c r="I364" s="216" t="s">
        <v>218</v>
      </c>
      <c r="J364" s="216" t="s">
        <v>105</v>
      </c>
      <c r="K364" s="216" t="s">
        <v>106</v>
      </c>
      <c r="L364" s="216" t="s">
        <v>107</v>
      </c>
      <c r="M364" s="217">
        <f t="shared" si="95"/>
        <v>3</v>
      </c>
      <c r="N364" s="442" cm="1">
        <f t="array" ref="N364">IF(TRIM(K364)="Mano de Obra",IF(Formulario!$L$23&lt;&gt;"",Formulario!$L$23,IFERROR(VLOOKUP(TRIM($M$4),Jornalesdeppto!A:C,3,0),"")),_xlfn.XLOOKUP(1,(Tabla_Costos_Insumos!$A$2:$A$3199=TRIM($M$4))*(Tabla_Costos_Insumos!$C$2:$C$3199=TRIM(K364)),Tabla_Costos_Insumos!$E$2:$E$3199,"",0))</f>
        <v>46666.666666666664</v>
      </c>
      <c r="O364" s="442">
        <f t="shared" si="92"/>
        <v>140000</v>
      </c>
      <c r="P364" s="216" t="str">
        <f t="shared" si="87"/>
        <v>Limón Común</v>
      </c>
      <c r="Q364" s="212" t="s">
        <v>108</v>
      </c>
      <c r="R364" s="212">
        <v>16</v>
      </c>
      <c r="S364" s="212" t="str">
        <f t="shared" si="98"/>
        <v/>
      </c>
      <c r="T364" s="212" cm="1">
        <f t="array" ref="T364">_xlfn.IFS($D$5&lt;=7, 1.1, $D$5&lt;=12,1.2, $D$5&lt;=25, 1.3, $D$5&gt;25,1.4)</f>
        <v>1.3</v>
      </c>
      <c r="U364" s="212" t="str">
        <f t="shared" si="99"/>
        <v/>
      </c>
      <c r="V364" s="212">
        <v>1</v>
      </c>
      <c r="W364" s="212" t="str">
        <f t="shared" si="83"/>
        <v/>
      </c>
      <c r="X364" s="214">
        <v>2</v>
      </c>
    </row>
    <row r="365" spans="1:24" ht="15">
      <c r="A365" s="211" t="s">
        <v>37</v>
      </c>
      <c r="B365" s="225" t="s">
        <v>258</v>
      </c>
      <c r="C365" s="216" t="s">
        <v>53</v>
      </c>
      <c r="D365" s="216" t="s">
        <v>99</v>
      </c>
      <c r="E365" s="216" t="s">
        <v>100</v>
      </c>
      <c r="F365" s="216" t="s">
        <v>113</v>
      </c>
      <c r="G365" s="216" t="s">
        <v>114</v>
      </c>
      <c r="H365" s="216" t="s">
        <v>115</v>
      </c>
      <c r="I365" s="216" t="s">
        <v>116</v>
      </c>
      <c r="J365" s="216" t="s">
        <v>105</v>
      </c>
      <c r="K365" s="216" t="s">
        <v>106</v>
      </c>
      <c r="L365" s="216" t="s">
        <v>107</v>
      </c>
      <c r="M365" s="217">
        <f t="shared" si="95"/>
        <v>6</v>
      </c>
      <c r="N365" s="442" cm="1">
        <f t="array" ref="N365">IF(TRIM(K365)="Mano de Obra",IF(Formulario!$L$23&lt;&gt;"",Formulario!$L$23,IFERROR(VLOOKUP(TRIM($M$4),Jornalesdeppto!A:C,3,0),"")),_xlfn.XLOOKUP(1,(Tabla_Costos_Insumos!$A$2:$A$3199=TRIM($M$4))*(Tabla_Costos_Insumos!$C$2:$C$3199=TRIM(K365)),Tabla_Costos_Insumos!$E$2:$E$3199,"",0))</f>
        <v>46666.666666666664</v>
      </c>
      <c r="O365" s="442">
        <f t="shared" si="92"/>
        <v>280000</v>
      </c>
      <c r="P365" s="216" t="str">
        <f t="shared" si="87"/>
        <v>Limón Común</v>
      </c>
      <c r="Q365" s="212" t="s">
        <v>108</v>
      </c>
      <c r="R365" s="212">
        <v>3</v>
      </c>
      <c r="S365" s="212" t="str">
        <f t="shared" si="98"/>
        <v/>
      </c>
      <c r="T365" s="212" cm="1">
        <f t="array" ref="T365">_xlfn.IFS($D$5&lt;=7, 1.1, $D$5&lt;=12,1.2, $D$5&lt;=25, 1.3, $D$5&gt;25,1.4)</f>
        <v>1.3</v>
      </c>
      <c r="U365" s="212" t="str">
        <f t="shared" si="99"/>
        <v/>
      </c>
      <c r="V365" s="212">
        <v>2</v>
      </c>
      <c r="W365" s="212" t="str">
        <f t="shared" si="83"/>
        <v/>
      </c>
      <c r="X365" s="214">
        <v>4</v>
      </c>
    </row>
    <row r="366" spans="1:24" ht="15">
      <c r="A366" s="211" t="s">
        <v>37</v>
      </c>
      <c r="B366" s="225" t="s">
        <v>258</v>
      </c>
      <c r="C366" s="216" t="s">
        <v>53</v>
      </c>
      <c r="D366" s="216" t="s">
        <v>99</v>
      </c>
      <c r="E366" s="216" t="s">
        <v>100</v>
      </c>
      <c r="F366" s="216" t="s">
        <v>117</v>
      </c>
      <c r="G366" s="216" t="s">
        <v>118</v>
      </c>
      <c r="H366" s="216" t="s">
        <v>119</v>
      </c>
      <c r="I366" s="216" t="s">
        <v>120</v>
      </c>
      <c r="J366" s="216" t="s">
        <v>105</v>
      </c>
      <c r="K366" s="216" t="s">
        <v>106</v>
      </c>
      <c r="L366" s="216" t="s">
        <v>107</v>
      </c>
      <c r="M366" s="217">
        <f t="shared" si="95"/>
        <v>8</v>
      </c>
      <c r="N366" s="442" cm="1">
        <f t="array" ref="N366">IF(TRIM(K366)="Mano de Obra",IF(Formulario!$L$23&lt;&gt;"",Formulario!$L$23,IFERROR(VLOOKUP(TRIM($M$4),Jornalesdeppto!A:C,3,0),"")),_xlfn.XLOOKUP(1,(Tabla_Costos_Insumos!$A$2:$A$3199=TRIM($M$4))*(Tabla_Costos_Insumos!$C$2:$C$3199=TRIM(K366)),Tabla_Costos_Insumos!$E$2:$E$3199,"",0))</f>
        <v>46666.666666666664</v>
      </c>
      <c r="O366" s="442">
        <f t="shared" si="92"/>
        <v>373333.33333333331</v>
      </c>
      <c r="P366" s="216" t="str">
        <f t="shared" si="87"/>
        <v>Limón Común</v>
      </c>
      <c r="Q366" s="212" t="s">
        <v>108</v>
      </c>
      <c r="R366" s="212">
        <v>4</v>
      </c>
      <c r="S366" s="212" t="str">
        <f t="shared" si="98"/>
        <v/>
      </c>
      <c r="T366" s="212" cm="1">
        <f t="array" ref="T366">_xlfn.IFS($D$5&lt;=7, 1.1, $D$5&lt;=12,1.2, $D$5&lt;=25, 1.3, $D$5&gt;25,1.4)</f>
        <v>1.3</v>
      </c>
      <c r="U366" s="212" t="str">
        <f t="shared" si="99"/>
        <v/>
      </c>
      <c r="V366" s="212">
        <v>9</v>
      </c>
      <c r="W366" s="212" t="str">
        <f t="shared" si="83"/>
        <v/>
      </c>
      <c r="X366" s="214">
        <v>6</v>
      </c>
    </row>
    <row r="367" spans="1:24" ht="15">
      <c r="A367" s="211" t="s">
        <v>37</v>
      </c>
      <c r="B367" s="225" t="s">
        <v>258</v>
      </c>
      <c r="C367" s="216" t="s">
        <v>53</v>
      </c>
      <c r="D367" s="216" t="s">
        <v>99</v>
      </c>
      <c r="E367" s="216" t="s">
        <v>100</v>
      </c>
      <c r="F367" s="216" t="s">
        <v>117</v>
      </c>
      <c r="G367" s="216" t="s">
        <v>118</v>
      </c>
      <c r="H367" s="216" t="s">
        <v>121</v>
      </c>
      <c r="I367" s="216" t="s">
        <v>122</v>
      </c>
      <c r="J367" s="216" t="s">
        <v>105</v>
      </c>
      <c r="K367" s="216" t="s">
        <v>106</v>
      </c>
      <c r="L367" s="216" t="s">
        <v>107</v>
      </c>
      <c r="M367" s="217">
        <f t="shared" si="95"/>
        <v>10</v>
      </c>
      <c r="N367" s="442" cm="1">
        <f t="array" ref="N367">IF(TRIM(K367)="Mano de Obra",IF(Formulario!$L$23&lt;&gt;"",Formulario!$L$23,IFERROR(VLOOKUP(TRIM($M$4),Jornalesdeppto!A:C,3,0),"")),_xlfn.XLOOKUP(1,(Tabla_Costos_Insumos!$A$2:$A$3199=TRIM($M$4))*(Tabla_Costos_Insumos!$C$2:$C$3199=TRIM(K367)),Tabla_Costos_Insumos!$E$2:$E$3199,"",0))</f>
        <v>46666.666666666664</v>
      </c>
      <c r="O367" s="442">
        <f t="shared" si="92"/>
        <v>466666.66666666663</v>
      </c>
      <c r="P367" s="216" t="str">
        <f t="shared" si="87"/>
        <v>Limón Común</v>
      </c>
      <c r="Q367" s="212" t="s">
        <v>108</v>
      </c>
      <c r="R367" s="212">
        <v>4</v>
      </c>
      <c r="S367" s="212" t="str">
        <f t="shared" si="98"/>
        <v/>
      </c>
      <c r="T367" s="212" cm="1">
        <f t="array" ref="T367">_xlfn.IFS($D$5&lt;=7, 1.1, $D$5&lt;=12,1.2, $D$5&lt;=25, 1.3, $D$5&gt;25,1.4)</f>
        <v>1.3</v>
      </c>
      <c r="U367" s="212" t="str">
        <f t="shared" si="99"/>
        <v/>
      </c>
      <c r="V367" s="212">
        <v>9</v>
      </c>
      <c r="W367" s="212" t="str">
        <f t="shared" si="83"/>
        <v/>
      </c>
      <c r="X367" s="214">
        <v>7</v>
      </c>
    </row>
    <row r="368" spans="1:24" ht="15">
      <c r="A368" s="211" t="s">
        <v>37</v>
      </c>
      <c r="B368" s="225" t="s">
        <v>258</v>
      </c>
      <c r="C368" s="216" t="s">
        <v>53</v>
      </c>
      <c r="D368" s="216" t="s">
        <v>99</v>
      </c>
      <c r="E368" s="216" t="s">
        <v>100</v>
      </c>
      <c r="F368" s="216" t="s">
        <v>123</v>
      </c>
      <c r="G368" s="216" t="s">
        <v>124</v>
      </c>
      <c r="H368" s="216" t="s">
        <v>125</v>
      </c>
      <c r="I368" s="216" t="s">
        <v>126</v>
      </c>
      <c r="J368" s="216" t="s">
        <v>105</v>
      </c>
      <c r="K368" s="216" t="s">
        <v>106</v>
      </c>
      <c r="L368" s="216" t="s">
        <v>107</v>
      </c>
      <c r="M368" s="217">
        <f t="shared" si="95"/>
        <v>3</v>
      </c>
      <c r="N368" s="442" cm="1">
        <f t="array" ref="N368">IF(TRIM(K368)="Mano de Obra",IF(Formulario!$L$23&lt;&gt;"",Formulario!$L$23,IFERROR(VLOOKUP(TRIM($M$4),Jornalesdeppto!A:C,3,0),"")),_xlfn.XLOOKUP(1,(Tabla_Costos_Insumos!$A$2:$A$3199=TRIM($M$4))*(Tabla_Costos_Insumos!$C$2:$C$3199=TRIM(K368)),Tabla_Costos_Insumos!$E$2:$E$3199,"",0))</f>
        <v>46666.666666666664</v>
      </c>
      <c r="O368" s="442">
        <f t="shared" si="92"/>
        <v>140000</v>
      </c>
      <c r="P368" s="216" t="str">
        <f t="shared" si="87"/>
        <v>Limón Común</v>
      </c>
      <c r="Q368" s="212" t="s">
        <v>127</v>
      </c>
      <c r="R368" s="212">
        <v>0.09</v>
      </c>
      <c r="S368" s="212">
        <f t="shared" ref="S368:S369" si="100">10000*R368/480</f>
        <v>1.875</v>
      </c>
      <c r="T368" s="212" cm="1">
        <f t="array" ref="T368">_xlfn.IFS($D$5&lt;=7, 1.1, $D$5&lt;=12,1.2, $D$5&lt;=25, 1.3, $D$5&gt;25,1.4)</f>
        <v>1.3</v>
      </c>
      <c r="U368" s="212"/>
      <c r="V368" s="212">
        <v>2</v>
      </c>
      <c r="W368" s="212"/>
      <c r="X368" s="214">
        <v>2</v>
      </c>
    </row>
    <row r="369" spans="1:24" ht="15">
      <c r="A369" s="211" t="s">
        <v>37</v>
      </c>
      <c r="B369" s="225" t="s">
        <v>258</v>
      </c>
      <c r="C369" s="216" t="s">
        <v>53</v>
      </c>
      <c r="D369" s="216" t="s">
        <v>99</v>
      </c>
      <c r="E369" s="216" t="s">
        <v>100</v>
      </c>
      <c r="F369" s="216" t="s">
        <v>123</v>
      </c>
      <c r="G369" s="216" t="s">
        <v>124</v>
      </c>
      <c r="H369" s="216" t="s">
        <v>128</v>
      </c>
      <c r="I369" s="216" t="s">
        <v>129</v>
      </c>
      <c r="J369" s="216" t="s">
        <v>105</v>
      </c>
      <c r="K369" s="216" t="s">
        <v>106</v>
      </c>
      <c r="L369" s="216" t="s">
        <v>107</v>
      </c>
      <c r="M369" s="217">
        <f t="shared" si="95"/>
        <v>4</v>
      </c>
      <c r="N369" s="442" cm="1">
        <f t="array" ref="N369">IF(TRIM(K369)="Mano de Obra",IF(Formulario!$L$23&lt;&gt;"",Formulario!$L$23,IFERROR(VLOOKUP(TRIM($M$4),Jornalesdeppto!A:C,3,0),"")),_xlfn.XLOOKUP(1,(Tabla_Costos_Insumos!$A$2:$A$3199=TRIM($M$4))*(Tabla_Costos_Insumos!$C$2:$C$3199=TRIM(K369)),Tabla_Costos_Insumos!$E$2:$E$3199,"",0))</f>
        <v>46666.666666666664</v>
      </c>
      <c r="O369" s="442">
        <f t="shared" si="92"/>
        <v>186666.66666666666</v>
      </c>
      <c r="P369" s="216" t="str">
        <f t="shared" si="87"/>
        <v>Limón Común</v>
      </c>
      <c r="Q369" s="212" t="s">
        <v>127</v>
      </c>
      <c r="R369" s="212">
        <v>0.09</v>
      </c>
      <c r="S369" s="212">
        <f t="shared" si="100"/>
        <v>1.875</v>
      </c>
      <c r="T369" s="212" cm="1">
        <f t="array" ref="T369">_xlfn.IFS($D$5&lt;=7, 1.1, $D$5&lt;=12,1.2, $D$5&lt;=25, 1.3, $D$5&gt;25,1.4)</f>
        <v>1.3</v>
      </c>
      <c r="U369" s="212"/>
      <c r="V369" s="212">
        <v>2</v>
      </c>
      <c r="W369" s="212"/>
      <c r="X369" s="214">
        <v>3</v>
      </c>
    </row>
    <row r="370" spans="1:24" ht="15">
      <c r="A370" s="211" t="s">
        <v>37</v>
      </c>
      <c r="B370" s="225" t="s">
        <v>258</v>
      </c>
      <c r="C370" s="216" t="s">
        <v>53</v>
      </c>
      <c r="D370" s="216" t="s">
        <v>99</v>
      </c>
      <c r="E370" s="216" t="s">
        <v>100</v>
      </c>
      <c r="F370" s="216" t="s">
        <v>130</v>
      </c>
      <c r="G370" s="216" t="s">
        <v>131</v>
      </c>
      <c r="H370" s="216" t="s">
        <v>132</v>
      </c>
      <c r="I370" s="216" t="s">
        <v>133</v>
      </c>
      <c r="J370" s="216" t="s">
        <v>105</v>
      </c>
      <c r="K370" s="216" t="s">
        <v>106</v>
      </c>
      <c r="L370" s="216" t="s">
        <v>107</v>
      </c>
      <c r="M370" s="217">
        <f t="shared" si="95"/>
        <v>3</v>
      </c>
      <c r="N370" s="442" cm="1">
        <f t="array" ref="N370">IF(TRIM(K370)="Mano de Obra",IF(Formulario!$L$23&lt;&gt;"",Formulario!$L$23,IFERROR(VLOOKUP(TRIM($M$4),Jornalesdeppto!A:C,3,0),"")),_xlfn.XLOOKUP(1,(Tabla_Costos_Insumos!$A$2:$A$3199=TRIM($M$4))*(Tabla_Costos_Insumos!$C$2:$C$3199=TRIM(K370)),Tabla_Costos_Insumos!$E$2:$E$3199,"",0))</f>
        <v>46666.666666666664</v>
      </c>
      <c r="O370" s="442">
        <f t="shared" si="92"/>
        <v>140000</v>
      </c>
      <c r="P370" s="216" t="str">
        <f t="shared" si="87"/>
        <v>Limón Común</v>
      </c>
      <c r="Q370" s="212" t="s">
        <v>108</v>
      </c>
      <c r="R370" s="212">
        <v>1.5</v>
      </c>
      <c r="S370" s="212" t="str">
        <f t="shared" ref="S370:S371" si="101">IF($M$3="Limón Común",($I$3*R370) / 480,"")</f>
        <v/>
      </c>
      <c r="T370" s="212" cm="1">
        <f t="array" ref="T370">_xlfn.IFS($D$5&lt;=7, 1.1, $D$5&lt;=12,1.2, $D$5&lt;=25, 1.3, $D$5&gt;25,1.4)</f>
        <v>1.3</v>
      </c>
      <c r="U370" s="212" t="str">
        <f t="shared" ref="U370:U371" si="102">IFERROR(S370*T370,"")</f>
        <v/>
      </c>
      <c r="V370" s="212">
        <v>4</v>
      </c>
      <c r="W370" s="212" t="str">
        <f t="shared" si="83"/>
        <v/>
      </c>
      <c r="X370" s="214">
        <v>2</v>
      </c>
    </row>
    <row r="371" spans="1:24" ht="15">
      <c r="A371" s="211" t="s">
        <v>37</v>
      </c>
      <c r="B371" s="225" t="s">
        <v>258</v>
      </c>
      <c r="C371" s="216" t="s">
        <v>53</v>
      </c>
      <c r="D371" s="216" t="s">
        <v>99</v>
      </c>
      <c r="E371" s="216" t="s">
        <v>100</v>
      </c>
      <c r="F371" s="216" t="s">
        <v>130</v>
      </c>
      <c r="G371" s="216" t="s">
        <v>131</v>
      </c>
      <c r="H371" s="216" t="s">
        <v>134</v>
      </c>
      <c r="I371" s="216" t="s">
        <v>135</v>
      </c>
      <c r="J371" s="216" t="s">
        <v>105</v>
      </c>
      <c r="K371" s="216" t="s">
        <v>106</v>
      </c>
      <c r="L371" s="216" t="s">
        <v>107</v>
      </c>
      <c r="M371" s="217">
        <f t="shared" si="95"/>
        <v>2</v>
      </c>
      <c r="N371" s="442" cm="1">
        <f t="array" ref="N371">IF(TRIM(K371)="Mano de Obra",IF(Formulario!$L$23&lt;&gt;"",Formulario!$L$23,IFERROR(VLOOKUP(TRIM($M$4),Jornalesdeppto!A:C,3,0),"")),_xlfn.XLOOKUP(1,(Tabla_Costos_Insumos!$A$2:$A$3199=TRIM($M$4))*(Tabla_Costos_Insumos!$C$2:$C$3199=TRIM(K371)),Tabla_Costos_Insumos!$E$2:$E$3199,"",0))</f>
        <v>46666.666666666664</v>
      </c>
      <c r="O371" s="442">
        <f t="shared" si="92"/>
        <v>93333.333333333328</v>
      </c>
      <c r="P371" s="216" t="str">
        <f t="shared" si="87"/>
        <v>Limón Común</v>
      </c>
      <c r="Q371" s="212" t="s">
        <v>108</v>
      </c>
      <c r="R371" s="212">
        <v>1.5</v>
      </c>
      <c r="S371" s="212" t="str">
        <f t="shared" si="101"/>
        <v/>
      </c>
      <c r="T371" s="212" cm="1">
        <f t="array" ref="T371">_xlfn.IFS($D$5&lt;=7, 1.1, $D$5&lt;=12,1.2, $D$5&lt;=25, 1.3, $D$5&gt;25,1.4)</f>
        <v>1.3</v>
      </c>
      <c r="U371" s="212" t="str">
        <f t="shared" si="102"/>
        <v/>
      </c>
      <c r="V371" s="212">
        <v>4</v>
      </c>
      <c r="W371" s="212" t="str">
        <f t="shared" si="83"/>
        <v/>
      </c>
      <c r="X371" s="214">
        <v>1</v>
      </c>
    </row>
    <row r="372" spans="1:24" ht="15">
      <c r="A372" s="211" t="s">
        <v>37</v>
      </c>
      <c r="B372" s="225" t="s">
        <v>258</v>
      </c>
      <c r="C372" s="216" t="s">
        <v>53</v>
      </c>
      <c r="D372" s="216" t="s">
        <v>145</v>
      </c>
      <c r="E372" s="216" t="s">
        <v>146</v>
      </c>
      <c r="F372" s="216" t="s">
        <v>219</v>
      </c>
      <c r="G372" s="216" t="s">
        <v>220</v>
      </c>
      <c r="H372" s="216" t="s">
        <v>221</v>
      </c>
      <c r="I372" s="216" t="s">
        <v>222</v>
      </c>
      <c r="J372" s="216" t="s">
        <v>223</v>
      </c>
      <c r="K372" s="216" t="s">
        <v>269</v>
      </c>
      <c r="L372" s="216" t="s">
        <v>197</v>
      </c>
      <c r="M372" s="217">
        <f>IF($M$3="Limón Común",I3,0)</f>
        <v>0</v>
      </c>
      <c r="N372" s="442">
        <v>12000</v>
      </c>
      <c r="O372" s="442">
        <f t="shared" si="92"/>
        <v>0</v>
      </c>
      <c r="P372" s="216" t="str">
        <f t="shared" si="87"/>
        <v>Limón Común</v>
      </c>
      <c r="Q372" s="212" t="s">
        <v>142</v>
      </c>
      <c r="R372" s="212" t="s">
        <v>142</v>
      </c>
      <c r="S372" s="212"/>
      <c r="T372" s="212"/>
      <c r="U372" s="212"/>
      <c r="V372" s="212" t="s">
        <v>142</v>
      </c>
      <c r="W372" s="212" t="str">
        <f t="shared" si="83"/>
        <v/>
      </c>
      <c r="X372" s="214"/>
    </row>
    <row r="373" spans="1:24" ht="15">
      <c r="A373" s="211" t="s">
        <v>37</v>
      </c>
      <c r="B373" s="225" t="s">
        <v>258</v>
      </c>
      <c r="C373" s="216" t="s">
        <v>53</v>
      </c>
      <c r="D373" s="216" t="s">
        <v>145</v>
      </c>
      <c r="E373" s="216" t="s">
        <v>146</v>
      </c>
      <c r="F373" s="216" t="s">
        <v>147</v>
      </c>
      <c r="G373" s="216" t="s">
        <v>131</v>
      </c>
      <c r="H373" s="216" t="s">
        <v>148</v>
      </c>
      <c r="I373" s="216" t="s">
        <v>266</v>
      </c>
      <c r="J373" s="216" t="s">
        <v>149</v>
      </c>
      <c r="K373" s="216" t="s">
        <v>150</v>
      </c>
      <c r="L373" s="216" t="s">
        <v>151</v>
      </c>
      <c r="M373" s="217">
        <v>1</v>
      </c>
      <c r="N373" s="442" cm="1">
        <f t="array" ref="N373">IF(TRIM(K373)="Mano de Obra",IF(Formulario!$L$23&lt;&gt;"",Formulario!$L$23,IFERROR(VLOOKUP(TRIM($M$4),Jornalesdeppto!A:C,3,0),"")),_xlfn.XLOOKUP(1,(Tabla_Costos_Insumos!$A$2:$A$3199=TRIM($M$4))*(Tabla_Costos_Insumos!$C$2:$C$3199=TRIM(K373)),Tabla_Costos_Insumos!$E$2:$E$3199,"",0))</f>
        <v>198055.68333333</v>
      </c>
      <c r="O373" s="442">
        <f t="shared" si="92"/>
        <v>198055.68333333</v>
      </c>
      <c r="P373" s="216" t="str">
        <f t="shared" si="87"/>
        <v>Limón Común</v>
      </c>
      <c r="Q373" s="212" t="s">
        <v>142</v>
      </c>
      <c r="R373" s="212" t="s">
        <v>142</v>
      </c>
      <c r="S373" s="212"/>
      <c r="T373" s="212"/>
      <c r="U373" s="212"/>
      <c r="V373" s="212" t="s">
        <v>142</v>
      </c>
      <c r="W373" s="212" t="str">
        <f t="shared" ref="W373:W436" si="103">IFERROR(ROUNDUP(V373*U373,0),"")</f>
        <v/>
      </c>
      <c r="X373" s="214"/>
    </row>
    <row r="374" spans="1:24" ht="15">
      <c r="A374" s="211" t="s">
        <v>37</v>
      </c>
      <c r="B374" s="225" t="s">
        <v>258</v>
      </c>
      <c r="C374" s="216" t="s">
        <v>53</v>
      </c>
      <c r="D374" s="216" t="s">
        <v>145</v>
      </c>
      <c r="E374" s="216" t="s">
        <v>146</v>
      </c>
      <c r="F374" s="216" t="s">
        <v>147</v>
      </c>
      <c r="G374" s="216" t="s">
        <v>131</v>
      </c>
      <c r="H374" s="216" t="s">
        <v>152</v>
      </c>
      <c r="I374" s="216" t="s">
        <v>153</v>
      </c>
      <c r="J374" s="216" t="s">
        <v>149</v>
      </c>
      <c r="K374" s="216" t="s">
        <v>166</v>
      </c>
      <c r="L374" s="216" t="s">
        <v>151</v>
      </c>
      <c r="M374" s="217">
        <v>2</v>
      </c>
      <c r="N374" s="442" cm="1">
        <f t="array" ref="N374">IF(TRIM(K374)="Mano de Obra",IF(Formulario!$L$23&lt;&gt;"",Formulario!$L$23,IFERROR(VLOOKUP(TRIM($M$4),Jornalesdeppto!A:C,3,0),"")),_xlfn.XLOOKUP(1,(Tabla_Costos_Insumos!$A$2:$A$3199=TRIM($M$4))*(Tabla_Costos_Insumos!$C$2:$C$3199=TRIM(K374)),Tabla_Costos_Insumos!$E$2:$E$3199,"",0))</f>
        <v>110000</v>
      </c>
      <c r="O374" s="442">
        <f t="shared" si="92"/>
        <v>220000</v>
      </c>
      <c r="P374" s="216" t="str">
        <f t="shared" si="87"/>
        <v>Limón Común</v>
      </c>
      <c r="Q374" s="212" t="s">
        <v>142</v>
      </c>
      <c r="R374" s="212" t="s">
        <v>142</v>
      </c>
      <c r="S374" s="212"/>
      <c r="T374" s="212"/>
      <c r="U374" s="212"/>
      <c r="V374" s="212" t="s">
        <v>142</v>
      </c>
      <c r="W374" s="212" t="str">
        <f t="shared" si="103"/>
        <v/>
      </c>
      <c r="X374" s="214"/>
    </row>
    <row r="375" spans="1:24" ht="15">
      <c r="A375" s="211" t="s">
        <v>37</v>
      </c>
      <c r="B375" s="225" t="s">
        <v>258</v>
      </c>
      <c r="C375" s="216" t="s">
        <v>53</v>
      </c>
      <c r="D375" s="216" t="s">
        <v>145</v>
      </c>
      <c r="E375" s="216" t="s">
        <v>146</v>
      </c>
      <c r="F375" s="216" t="s">
        <v>147</v>
      </c>
      <c r="G375" s="216" t="s">
        <v>131</v>
      </c>
      <c r="H375" s="216" t="s">
        <v>154</v>
      </c>
      <c r="I375" s="216" t="s">
        <v>155</v>
      </c>
      <c r="J375" s="216" t="s">
        <v>149</v>
      </c>
      <c r="K375" s="216" t="s">
        <v>156</v>
      </c>
      <c r="L375" s="216" t="s">
        <v>151</v>
      </c>
      <c r="M375" s="217">
        <v>2</v>
      </c>
      <c r="N375" s="442" cm="1">
        <f t="array" ref="N375">IF(TRIM(K375)="Mano de Obra",IF(Formulario!$L$23&lt;&gt;"",Formulario!$L$23,IFERROR(VLOOKUP(TRIM($M$4),Jornalesdeppto!A:C,3,0),"")),_xlfn.XLOOKUP(1,(Tabla_Costos_Insumos!$A$2:$A$3199=TRIM($M$4))*(Tabla_Costos_Insumos!$C$2:$C$3199=TRIM(K375)),Tabla_Costos_Insumos!$E$2:$E$3199,"",0))</f>
        <v>17212.5</v>
      </c>
      <c r="O375" s="442">
        <f t="shared" si="92"/>
        <v>34425</v>
      </c>
      <c r="P375" s="216" t="str">
        <f t="shared" si="87"/>
        <v>Limón Común</v>
      </c>
      <c r="Q375" s="212" t="s">
        <v>142</v>
      </c>
      <c r="R375" s="212" t="s">
        <v>142</v>
      </c>
      <c r="S375" s="212"/>
      <c r="T375" s="212"/>
      <c r="U375" s="212"/>
      <c r="V375" s="212" t="s">
        <v>142</v>
      </c>
      <c r="W375" s="212" t="str">
        <f t="shared" si="103"/>
        <v/>
      </c>
      <c r="X375" s="214"/>
    </row>
    <row r="376" spans="1:24" ht="15">
      <c r="A376" s="211" t="s">
        <v>37</v>
      </c>
      <c r="B376" s="225" t="s">
        <v>258</v>
      </c>
      <c r="C376" s="216" t="s">
        <v>53</v>
      </c>
      <c r="D376" s="216" t="s">
        <v>145</v>
      </c>
      <c r="E376" s="216" t="s">
        <v>146</v>
      </c>
      <c r="F376" s="216" t="s">
        <v>147</v>
      </c>
      <c r="G376" s="216" t="s">
        <v>131</v>
      </c>
      <c r="H376" s="216" t="s">
        <v>157</v>
      </c>
      <c r="I376" s="216" t="s">
        <v>158</v>
      </c>
      <c r="J376" s="216" t="s">
        <v>149</v>
      </c>
      <c r="K376" s="216" t="s">
        <v>237</v>
      </c>
      <c r="L376" s="216" t="s">
        <v>172</v>
      </c>
      <c r="M376" s="217">
        <v>9</v>
      </c>
      <c r="N376" s="442" cm="1">
        <f t="array" ref="N376">IF(TRIM(K376)="Mano de Obra",IF(Formulario!$L$23&lt;&gt;"",Formulario!$L$23,IFERROR(VLOOKUP(TRIM($M$4),Jornalesdeppto!A:C,3,0),"")),_xlfn.XLOOKUP(1,(Tabla_Costos_Insumos!$A$2:$A$3199=TRIM($M$4))*(Tabla_Costos_Insumos!$C$2:$C$3199=TRIM(K376)),Tabla_Costos_Insumos!$E$2:$E$3199,"",0))</f>
        <v>26190.48</v>
      </c>
      <c r="O376" s="442">
        <f t="shared" si="92"/>
        <v>235714.32</v>
      </c>
      <c r="P376" s="216" t="str">
        <f t="shared" si="87"/>
        <v>Limón Común</v>
      </c>
      <c r="Q376" s="212" t="s">
        <v>142</v>
      </c>
      <c r="R376" s="212" t="s">
        <v>142</v>
      </c>
      <c r="S376" s="212"/>
      <c r="T376" s="212"/>
      <c r="U376" s="212"/>
      <c r="V376" s="212" t="s">
        <v>142</v>
      </c>
      <c r="W376" s="212" t="str">
        <f t="shared" si="103"/>
        <v/>
      </c>
      <c r="X376" s="214"/>
    </row>
    <row r="377" spans="1:24" ht="15">
      <c r="A377" s="211" t="s">
        <v>37</v>
      </c>
      <c r="B377" s="225" t="s">
        <v>258</v>
      </c>
      <c r="C377" s="216" t="s">
        <v>53</v>
      </c>
      <c r="D377" s="216" t="s">
        <v>145</v>
      </c>
      <c r="E377" s="216" t="s">
        <v>146</v>
      </c>
      <c r="F377" s="216" t="s">
        <v>147</v>
      </c>
      <c r="G377" s="216" t="s">
        <v>131</v>
      </c>
      <c r="H377" s="216" t="s">
        <v>161</v>
      </c>
      <c r="I377" s="216" t="s">
        <v>162</v>
      </c>
      <c r="J377" s="216" t="s">
        <v>149</v>
      </c>
      <c r="K377" s="216" t="s">
        <v>163</v>
      </c>
      <c r="L377" s="216" t="s">
        <v>164</v>
      </c>
      <c r="M377" s="217">
        <v>2</v>
      </c>
      <c r="N377" s="442" cm="1">
        <f t="array" ref="N377">IF(TRIM(K377)="Mano de Obra",IF(Formulario!$L$23&lt;&gt;"",Formulario!$L$23,IFERROR(VLOOKUP(TRIM($M$4),Jornalesdeppto!A:C,3,0),"")),_xlfn.XLOOKUP(1,(Tabla_Costos_Insumos!$A$2:$A$3199=TRIM($M$4))*(Tabla_Costos_Insumos!$C$2:$C$3199=TRIM(K377)),Tabla_Costos_Insumos!$E$2:$E$3199,"",0))</f>
        <v>128084.44444445</v>
      </c>
      <c r="O377" s="442">
        <f t="shared" si="92"/>
        <v>256168.88888889999</v>
      </c>
      <c r="P377" s="216" t="str">
        <f t="shared" si="87"/>
        <v>Limón Común</v>
      </c>
      <c r="Q377" s="212" t="s">
        <v>142</v>
      </c>
      <c r="R377" s="212" t="s">
        <v>142</v>
      </c>
      <c r="S377" s="212"/>
      <c r="T377" s="212"/>
      <c r="U377" s="212"/>
      <c r="V377" s="212" t="s">
        <v>142</v>
      </c>
      <c r="W377" s="212" t="str">
        <f t="shared" si="103"/>
        <v/>
      </c>
      <c r="X377" s="214"/>
    </row>
    <row r="378" spans="1:24" ht="15">
      <c r="A378" s="211" t="s">
        <v>37</v>
      </c>
      <c r="B378" s="225" t="s">
        <v>258</v>
      </c>
      <c r="C378" s="216" t="s">
        <v>53</v>
      </c>
      <c r="D378" s="216" t="s">
        <v>145</v>
      </c>
      <c r="E378" s="216" t="s">
        <v>146</v>
      </c>
      <c r="F378" s="216" t="s">
        <v>147</v>
      </c>
      <c r="G378" s="216" t="s">
        <v>131</v>
      </c>
      <c r="H378" s="216" t="s">
        <v>165</v>
      </c>
      <c r="I378" s="216" t="s">
        <v>153</v>
      </c>
      <c r="J378" s="216" t="s">
        <v>149</v>
      </c>
      <c r="K378" s="216" t="s">
        <v>4110</v>
      </c>
      <c r="L378" s="216" t="s">
        <v>151</v>
      </c>
      <c r="M378" s="217">
        <v>2</v>
      </c>
      <c r="N378" s="442" cm="1">
        <f t="array" ref="N378">IF(TRIM(K378)="Mano de Obra",IF(Formulario!$L$23&lt;&gt;"",Formulario!$L$23,IFERROR(VLOOKUP(TRIM($M$4),Jornalesdeppto!A:C,3,0),"")),_xlfn.XLOOKUP(1,(Tabla_Costos_Insumos!$A$2:$A$3199=TRIM($M$4))*(Tabla_Costos_Insumos!$C$2:$C$3199=TRIM(K378)),Tabla_Costos_Insumos!$E$2:$E$3199,"",0))</f>
        <v>125849.2424242409</v>
      </c>
      <c r="O378" s="442">
        <f t="shared" si="92"/>
        <v>251698.48484848181</v>
      </c>
      <c r="P378" s="216" t="str">
        <f t="shared" si="87"/>
        <v>Limón Común</v>
      </c>
      <c r="Q378" s="212" t="s">
        <v>142</v>
      </c>
      <c r="R378" s="212" t="s">
        <v>142</v>
      </c>
      <c r="S378" s="212"/>
      <c r="T378" s="212"/>
      <c r="U378" s="212"/>
      <c r="V378" s="212" t="s">
        <v>142</v>
      </c>
      <c r="W378" s="212" t="str">
        <f t="shared" si="103"/>
        <v/>
      </c>
      <c r="X378" s="214"/>
    </row>
    <row r="379" spans="1:24" ht="15">
      <c r="A379" s="211" t="s">
        <v>37</v>
      </c>
      <c r="B379" s="225" t="s">
        <v>258</v>
      </c>
      <c r="C379" s="216" t="s">
        <v>53</v>
      </c>
      <c r="D379" s="216" t="s">
        <v>145</v>
      </c>
      <c r="E379" s="216" t="s">
        <v>146</v>
      </c>
      <c r="F379" s="216" t="s">
        <v>167</v>
      </c>
      <c r="G379" s="216" t="s">
        <v>118</v>
      </c>
      <c r="H379" s="216" t="s">
        <v>168</v>
      </c>
      <c r="I379" s="216" t="s">
        <v>169</v>
      </c>
      <c r="J379" s="216" t="s">
        <v>170</v>
      </c>
      <c r="K379" s="216" t="s">
        <v>259</v>
      </c>
      <c r="L379" s="216" t="s">
        <v>172</v>
      </c>
      <c r="M379" s="217">
        <v>4</v>
      </c>
      <c r="N379" s="442" cm="1">
        <f t="array" ref="N379">IF(TRIM(K379)="Mano de Obra",IF(Formulario!$L$23&lt;&gt;"",Formulario!$L$23,IFERROR(VLOOKUP(TRIM($M$4),Jornalesdeppto!A:C,3,0),"")),_xlfn.XLOOKUP(1,(Tabla_Costos_Insumos!$A$2:$A$3199=TRIM($M$4))*(Tabla_Costos_Insumos!$C$2:$C$3199=TRIM(K379)),Tabla_Costos_Insumos!$E$2:$E$3199,"",0))</f>
        <v>283758.28999999998</v>
      </c>
      <c r="O379" s="442">
        <f t="shared" si="92"/>
        <v>1135033.1599999999</v>
      </c>
      <c r="P379" s="216" t="str">
        <f t="shared" si="87"/>
        <v>Limón Común</v>
      </c>
      <c r="Q379" s="212" t="s">
        <v>142</v>
      </c>
      <c r="R379" s="212" t="s">
        <v>142</v>
      </c>
      <c r="S379" s="212"/>
      <c r="T379" s="212"/>
      <c r="U379" s="212"/>
      <c r="V379" s="212" t="s">
        <v>142</v>
      </c>
      <c r="W379" s="212" t="str">
        <f t="shared" si="103"/>
        <v/>
      </c>
      <c r="X379" s="214"/>
    </row>
    <row r="380" spans="1:24" ht="15">
      <c r="A380" s="211" t="s">
        <v>37</v>
      </c>
      <c r="B380" s="225" t="s">
        <v>258</v>
      </c>
      <c r="C380" s="216" t="s">
        <v>53</v>
      </c>
      <c r="D380" s="216" t="s">
        <v>145</v>
      </c>
      <c r="E380" s="216" t="s">
        <v>146</v>
      </c>
      <c r="F380" s="216" t="s">
        <v>167</v>
      </c>
      <c r="G380" s="216" t="s">
        <v>118</v>
      </c>
      <c r="H380" s="216" t="s">
        <v>168</v>
      </c>
      <c r="I380" s="216" t="s">
        <v>169</v>
      </c>
      <c r="J380" s="216" t="s">
        <v>170</v>
      </c>
      <c r="K380" s="216" t="s">
        <v>260</v>
      </c>
      <c r="L380" s="216" t="s">
        <v>261</v>
      </c>
      <c r="M380" s="217">
        <v>20</v>
      </c>
      <c r="N380" s="442" cm="1">
        <f t="array" ref="N380">IF(TRIM(K380)="Mano de Obra",IF(Formulario!$L$23&lt;&gt;"",Formulario!$L$23,IFERROR(VLOOKUP(TRIM($M$4),Jornalesdeppto!A:C,3,0),"")),_xlfn.XLOOKUP(1,(Tabla_Costos_Insumos!$A$2:$A$3199=TRIM($M$4))*(Tabla_Costos_Insumos!$C$2:$C$3199=TRIM(K380)),Tabla_Costos_Insumos!$E$2:$E$3199,"",0))</f>
        <v>25534.226046466123</v>
      </c>
      <c r="O380" s="442">
        <f t="shared" si="92"/>
        <v>510684.52092932246</v>
      </c>
      <c r="P380" s="216" t="str">
        <f t="shared" si="87"/>
        <v>Limón Común</v>
      </c>
      <c r="Q380" s="212" t="s">
        <v>142</v>
      </c>
      <c r="R380" s="212" t="s">
        <v>142</v>
      </c>
      <c r="S380" s="212"/>
      <c r="T380" s="212"/>
      <c r="U380" s="212"/>
      <c r="V380" s="212" t="s">
        <v>142</v>
      </c>
      <c r="W380" s="212" t="str">
        <f t="shared" si="103"/>
        <v/>
      </c>
      <c r="X380" s="214"/>
    </row>
    <row r="381" spans="1:24" ht="15">
      <c r="A381" s="211" t="s">
        <v>37</v>
      </c>
      <c r="B381" s="225" t="s">
        <v>258</v>
      </c>
      <c r="C381" s="216" t="s">
        <v>53</v>
      </c>
      <c r="D381" s="216" t="s">
        <v>145</v>
      </c>
      <c r="E381" s="216" t="s">
        <v>146</v>
      </c>
      <c r="F381" s="216" t="s">
        <v>167</v>
      </c>
      <c r="G381" s="216" t="s">
        <v>118</v>
      </c>
      <c r="H381" s="216" t="s">
        <v>174</v>
      </c>
      <c r="I381" s="216" t="s">
        <v>175</v>
      </c>
      <c r="J381" s="216" t="s">
        <v>176</v>
      </c>
      <c r="K381" s="216" t="s">
        <v>231</v>
      </c>
      <c r="L381" s="216" t="s">
        <v>172</v>
      </c>
      <c r="M381" s="217">
        <v>12</v>
      </c>
      <c r="N381" s="442" cm="1">
        <f t="array" ref="N381">IF(TRIM(K381)="Mano de Obra",IF(Formulario!$L$23&lt;&gt;"",Formulario!$L$23,IFERROR(VLOOKUP(TRIM($M$4),Jornalesdeppto!A:C,3,0),"")),_xlfn.XLOOKUP(1,(Tabla_Costos_Insumos!$A$2:$A$3199=TRIM($M$4))*(Tabla_Costos_Insumos!$C$2:$C$3199=TRIM(K381)),Tabla_Costos_Insumos!$E$2:$E$3199,"",0))</f>
        <v>23177.15</v>
      </c>
      <c r="O381" s="442">
        <f t="shared" si="92"/>
        <v>278125.80000000005</v>
      </c>
      <c r="P381" s="216" t="str">
        <f t="shared" si="87"/>
        <v>Limón Común</v>
      </c>
      <c r="Q381" s="212" t="s">
        <v>142</v>
      </c>
      <c r="R381" s="212" t="s">
        <v>142</v>
      </c>
      <c r="S381" s="212"/>
      <c r="T381" s="212"/>
      <c r="U381" s="212"/>
      <c r="V381" s="212" t="s">
        <v>142</v>
      </c>
      <c r="W381" s="212" t="str">
        <f t="shared" si="103"/>
        <v/>
      </c>
      <c r="X381" s="214"/>
    </row>
    <row r="382" spans="1:24" ht="15">
      <c r="A382" s="211" t="s">
        <v>37</v>
      </c>
      <c r="B382" s="225" t="s">
        <v>258</v>
      </c>
      <c r="C382" s="216" t="s">
        <v>53</v>
      </c>
      <c r="D382" s="216" t="s">
        <v>145</v>
      </c>
      <c r="E382" s="216" t="s">
        <v>146</v>
      </c>
      <c r="F382" s="216" t="s">
        <v>167</v>
      </c>
      <c r="G382" s="216" t="s">
        <v>118</v>
      </c>
      <c r="H382" s="216" t="s">
        <v>178</v>
      </c>
      <c r="I382" s="216" t="s">
        <v>179</v>
      </c>
      <c r="J382" s="216" t="s">
        <v>180</v>
      </c>
      <c r="K382" s="216" t="s">
        <v>263</v>
      </c>
      <c r="L382" s="216" t="s">
        <v>172</v>
      </c>
      <c r="M382" s="217">
        <v>3</v>
      </c>
      <c r="N382" s="442" cm="1">
        <f t="array" ref="N382">IF(TRIM(K382)="Mano de Obra",IF(Formulario!$L$23&lt;&gt;"",Formulario!$L$23,IFERROR(VLOOKUP(TRIM($M$4),Jornalesdeppto!A:C,3,0),"")),_xlfn.XLOOKUP(1,(Tabla_Costos_Insumos!$A$2:$A$3199=TRIM($M$4))*(Tabla_Costos_Insumos!$C$2:$C$3199=TRIM(K382)),Tabla_Costos_Insumos!$E$2:$E$3199,"",0))</f>
        <v>210423.61</v>
      </c>
      <c r="O382" s="442">
        <f t="shared" si="92"/>
        <v>631270.82999999996</v>
      </c>
      <c r="P382" s="216" t="str">
        <f t="shared" si="87"/>
        <v>Limón Común</v>
      </c>
      <c r="Q382" s="212" t="s">
        <v>142</v>
      </c>
      <c r="R382" s="212" t="s">
        <v>142</v>
      </c>
      <c r="S382" s="212"/>
      <c r="T382" s="212"/>
      <c r="U382" s="212"/>
      <c r="V382" s="212" t="s">
        <v>142</v>
      </c>
      <c r="W382" s="212" t="str">
        <f t="shared" si="103"/>
        <v/>
      </c>
      <c r="X382" s="214"/>
    </row>
    <row r="383" spans="1:24" ht="15">
      <c r="A383" s="211" t="s">
        <v>37</v>
      </c>
      <c r="B383" s="225" t="s">
        <v>258</v>
      </c>
      <c r="C383" s="216" t="s">
        <v>53</v>
      </c>
      <c r="D383" s="216" t="s">
        <v>145</v>
      </c>
      <c r="E383" s="216" t="s">
        <v>146</v>
      </c>
      <c r="F383" s="216" t="s">
        <v>167</v>
      </c>
      <c r="G383" s="216" t="s">
        <v>118</v>
      </c>
      <c r="H383" s="216" t="s">
        <v>178</v>
      </c>
      <c r="I383" s="216" t="s">
        <v>179</v>
      </c>
      <c r="J383" s="216" t="s">
        <v>180</v>
      </c>
      <c r="K383" s="216" t="s">
        <v>181</v>
      </c>
      <c r="L383" s="216" t="s">
        <v>172</v>
      </c>
      <c r="M383" s="217">
        <v>3</v>
      </c>
      <c r="N383" s="442" cm="1">
        <f t="array" ref="N383">IF(TRIM(K383)="Mano de Obra",IF(Formulario!$L$23&lt;&gt;"",Formulario!$L$23,IFERROR(VLOOKUP(TRIM($M$4),Jornalesdeppto!A:C,3,0),"")),_xlfn.XLOOKUP(1,(Tabla_Costos_Insumos!$A$2:$A$3199=TRIM($M$4))*(Tabla_Costos_Insumos!$C$2:$C$3199=TRIM(K383)),Tabla_Costos_Insumos!$E$2:$E$3199,"",0))</f>
        <v>34056.25</v>
      </c>
      <c r="O383" s="442">
        <f t="shared" si="92"/>
        <v>102168.75</v>
      </c>
      <c r="P383" s="216" t="str">
        <f t="shared" si="87"/>
        <v>Limón Común</v>
      </c>
      <c r="Q383" s="212" t="s">
        <v>142</v>
      </c>
      <c r="R383" s="212" t="s">
        <v>142</v>
      </c>
      <c r="S383" s="212"/>
      <c r="T383" s="212"/>
      <c r="U383" s="212"/>
      <c r="V383" s="212" t="s">
        <v>142</v>
      </c>
      <c r="W383" s="212" t="str">
        <f t="shared" si="103"/>
        <v/>
      </c>
      <c r="X383" s="214"/>
    </row>
    <row r="384" spans="1:24" ht="15">
      <c r="A384" s="211" t="s">
        <v>37</v>
      </c>
      <c r="B384" s="225" t="s">
        <v>258</v>
      </c>
      <c r="C384" s="216" t="s">
        <v>53</v>
      </c>
      <c r="D384" s="216" t="s">
        <v>145</v>
      </c>
      <c r="E384" s="216" t="s">
        <v>146</v>
      </c>
      <c r="F384" s="216" t="s">
        <v>183</v>
      </c>
      <c r="G384" s="216" t="s">
        <v>184</v>
      </c>
      <c r="H384" s="216" t="s">
        <v>185</v>
      </c>
      <c r="I384" s="216" t="s">
        <v>186</v>
      </c>
      <c r="J384" s="216" t="s">
        <v>105</v>
      </c>
      <c r="K384" s="216" t="s">
        <v>187</v>
      </c>
      <c r="L384" s="216" t="s">
        <v>188</v>
      </c>
      <c r="M384" s="217">
        <v>0.1</v>
      </c>
      <c r="N384" s="442" cm="1">
        <f t="array" ref="N384">IF(TRIM(K384)="Mano de Obra",IF(Formulario!$L$23&lt;&gt;"",Formulario!$L$23,IFERROR(VLOOKUP(TRIM($M$4),Jornalesdeppto!A:C,3,0),"")),_xlfn.XLOOKUP(1,(Tabla_Costos_Insumos!$A$2:$A$3199=TRIM($M$4))*(Tabla_Costos_Insumos!$C$2:$C$3199=TRIM(K384)),Tabla_Costos_Insumos!$E$2:$E$3199,"",0))</f>
        <v>175000</v>
      </c>
      <c r="O384" s="442">
        <f t="shared" si="92"/>
        <v>17500</v>
      </c>
      <c r="P384" s="216" t="str">
        <f t="shared" ref="P384:P447" si="104">CONCATENATE(A384," ",B384)</f>
        <v>Limón Común</v>
      </c>
      <c r="Q384" s="212" t="s">
        <v>142</v>
      </c>
      <c r="R384" s="212" t="s">
        <v>142</v>
      </c>
      <c r="S384" s="212"/>
      <c r="T384" s="212"/>
      <c r="U384" s="212"/>
      <c r="V384" s="212" t="s">
        <v>142</v>
      </c>
      <c r="W384" s="212" t="str">
        <f t="shared" si="103"/>
        <v/>
      </c>
      <c r="X384" s="214"/>
    </row>
    <row r="385" spans="1:24" ht="15">
      <c r="A385" s="211" t="s">
        <v>37</v>
      </c>
      <c r="B385" s="225" t="s">
        <v>258</v>
      </c>
      <c r="C385" s="216" t="s">
        <v>53</v>
      </c>
      <c r="D385" s="216" t="s">
        <v>189</v>
      </c>
      <c r="E385" s="216" t="s">
        <v>190</v>
      </c>
      <c r="F385" s="216" t="s">
        <v>191</v>
      </c>
      <c r="G385" s="216" t="s">
        <v>192</v>
      </c>
      <c r="H385" s="216" t="s">
        <v>193</v>
      </c>
      <c r="I385" s="216" t="s">
        <v>194</v>
      </c>
      <c r="J385" s="216" t="s">
        <v>195</v>
      </c>
      <c r="K385" s="216" t="s">
        <v>196</v>
      </c>
      <c r="L385" s="216" t="s">
        <v>197</v>
      </c>
      <c r="M385" s="217">
        <v>1</v>
      </c>
      <c r="N385" s="442">
        <f>IFERROR(SUM(O367:$O$384)*0.08,0)</f>
        <v>391800.96837333607</v>
      </c>
      <c r="O385" s="442">
        <f t="shared" si="92"/>
        <v>391800.96837333607</v>
      </c>
      <c r="P385" s="216" t="str">
        <f t="shared" si="104"/>
        <v>Limón Común</v>
      </c>
      <c r="Q385" s="212" t="s">
        <v>142</v>
      </c>
      <c r="R385" s="212" t="s">
        <v>142</v>
      </c>
      <c r="S385" s="212"/>
      <c r="T385" s="212"/>
      <c r="U385" s="212"/>
      <c r="V385" s="212" t="s">
        <v>142</v>
      </c>
      <c r="W385" s="212" t="str">
        <f t="shared" si="103"/>
        <v/>
      </c>
      <c r="X385" s="214"/>
    </row>
    <row r="386" spans="1:24" ht="15">
      <c r="A386" s="211" t="s">
        <v>37</v>
      </c>
      <c r="B386" s="225" t="s">
        <v>258</v>
      </c>
      <c r="C386" s="216" t="s">
        <v>53</v>
      </c>
      <c r="D386" s="216" t="s">
        <v>189</v>
      </c>
      <c r="E386" s="216" t="s">
        <v>190</v>
      </c>
      <c r="F386" s="216" t="s">
        <v>198</v>
      </c>
      <c r="G386" s="216" t="s">
        <v>199</v>
      </c>
      <c r="H386" s="216" t="s">
        <v>200</v>
      </c>
      <c r="I386" s="216" t="s">
        <v>201</v>
      </c>
      <c r="J386" s="216" t="s">
        <v>105</v>
      </c>
      <c r="K386" s="216" t="s">
        <v>202</v>
      </c>
      <c r="L386" s="216" t="s">
        <v>203</v>
      </c>
      <c r="M386" s="217">
        <v>1</v>
      </c>
      <c r="N386" s="442" cm="1">
        <f t="array" ref="N386">IF(TRIM(K386)="Mano de Obra",IF(Formulario!$L$23&lt;&gt;"",Formulario!$L$23,IFERROR(VLOOKUP(TRIM($M$4),Jornalesdeppto!A:C,3,0),"")),_xlfn.XLOOKUP(1,(Tabla_Costos_Insumos!$A$2:$A$3199=TRIM($M$4))*(Tabla_Costos_Insumos!$C$2:$C$3199=TRIM(K386)),Tabla_Costos_Insumos!$E$2:$E$3199,"",0))</f>
        <v>120000</v>
      </c>
      <c r="O386" s="442">
        <f t="shared" si="92"/>
        <v>120000</v>
      </c>
      <c r="P386" s="216" t="str">
        <f t="shared" si="104"/>
        <v>Limón Común</v>
      </c>
      <c r="Q386" s="212" t="s">
        <v>142</v>
      </c>
      <c r="R386" s="212" t="s">
        <v>142</v>
      </c>
      <c r="S386" s="212"/>
      <c r="T386" s="212"/>
      <c r="U386" s="212"/>
      <c r="V386" s="212" t="s">
        <v>142</v>
      </c>
      <c r="W386" s="212" t="str">
        <f t="shared" si="103"/>
        <v/>
      </c>
      <c r="X386" s="214"/>
    </row>
    <row r="387" spans="1:24" ht="15">
      <c r="A387" s="211" t="s">
        <v>37</v>
      </c>
      <c r="B387" s="225" t="s">
        <v>258</v>
      </c>
      <c r="C387" s="216" t="s">
        <v>53</v>
      </c>
      <c r="D387" s="216" t="s">
        <v>189</v>
      </c>
      <c r="E387" s="216" t="s">
        <v>190</v>
      </c>
      <c r="F387" s="216" t="s">
        <v>204</v>
      </c>
      <c r="G387" s="216" t="s">
        <v>205</v>
      </c>
      <c r="H387" s="216" t="s">
        <v>206</v>
      </c>
      <c r="I387" s="216" t="s">
        <v>207</v>
      </c>
      <c r="J387" s="216" t="s">
        <v>4127</v>
      </c>
      <c r="K387" s="216" t="s">
        <v>228</v>
      </c>
      <c r="L387" s="216" t="s">
        <v>197</v>
      </c>
      <c r="M387" s="217">
        <v>1</v>
      </c>
      <c r="N387" s="442" t="str">
        <f>IF($M$3="Limón Común",$J$4,"")</f>
        <v/>
      </c>
      <c r="O387" s="442" t="str">
        <f t="shared" si="92"/>
        <v/>
      </c>
      <c r="P387" s="216" t="str">
        <f t="shared" si="104"/>
        <v>Limón Común</v>
      </c>
      <c r="Q387" s="212" t="s">
        <v>142</v>
      </c>
      <c r="R387" s="212" t="s">
        <v>142</v>
      </c>
      <c r="S387" s="212"/>
      <c r="T387" s="212"/>
      <c r="U387" s="212"/>
      <c r="V387" s="212" t="s">
        <v>142</v>
      </c>
      <c r="W387" s="212" t="str">
        <f t="shared" si="103"/>
        <v/>
      </c>
      <c r="X387" s="214"/>
    </row>
    <row r="388" spans="1:24" ht="15">
      <c r="A388" s="211" t="s">
        <v>37</v>
      </c>
      <c r="B388" s="225" t="s">
        <v>265</v>
      </c>
      <c r="C388" s="220" t="s">
        <v>68</v>
      </c>
      <c r="D388" s="220" t="s">
        <v>99</v>
      </c>
      <c r="E388" s="220" t="s">
        <v>100</v>
      </c>
      <c r="F388" s="220" t="s">
        <v>101</v>
      </c>
      <c r="G388" s="220" t="s">
        <v>102</v>
      </c>
      <c r="H388" s="220" t="s">
        <v>214</v>
      </c>
      <c r="I388" s="220" t="s">
        <v>20</v>
      </c>
      <c r="J388" s="220" t="s">
        <v>105</v>
      </c>
      <c r="K388" s="220" t="s">
        <v>106</v>
      </c>
      <c r="L388" s="220" t="s">
        <v>107</v>
      </c>
      <c r="M388" s="221">
        <f t="shared" ref="M388:M397" si="105">IF(W388&lt;&gt;"", W388, ROUNDUP(X388*T388, 0))</f>
        <v>16</v>
      </c>
      <c r="N388" s="443" cm="1">
        <f t="array" ref="N388">IF(TRIM(K388)="Mano de Obra",IF(Formulario!$L$23&lt;&gt;"",Formulario!$L$23,IFERROR(VLOOKUP(TRIM($M$4),Jornalesdeppto!A:C,3,0),"")),_xlfn.XLOOKUP(1,(Tabla_Costos_Insumos!$A$2:$A$3199=TRIM($M$4))*(Tabla_Costos_Insumos!$C$2:$C$3199=TRIM(K388)),Tabla_Costos_Insumos!$E$2:$E$3199,"",0))</f>
        <v>46666.666666666664</v>
      </c>
      <c r="O388" s="443">
        <f t="shared" si="92"/>
        <v>746666.66666666663</v>
      </c>
      <c r="P388" s="220" t="str">
        <f t="shared" si="104"/>
        <v>Limón Tahití</v>
      </c>
      <c r="Q388" s="212" t="s">
        <v>108</v>
      </c>
      <c r="R388" s="212">
        <v>0.5</v>
      </c>
      <c r="S388" s="212"/>
      <c r="T388" s="212" cm="1">
        <f t="array" ref="T388">_xlfn.IFS($D$5&lt;=7, 1.1, $D$5&lt;=12,1.2, $D$5&lt;=25, 1.3, $D$5&gt;25,1.4)</f>
        <v>1.3</v>
      </c>
      <c r="U388" s="212"/>
      <c r="V388" s="212">
        <v>0</v>
      </c>
      <c r="W388" s="212"/>
      <c r="X388" s="214">
        <v>12</v>
      </c>
    </row>
    <row r="389" spans="1:24" ht="15">
      <c r="A389" s="211" t="s">
        <v>37</v>
      </c>
      <c r="B389" s="225" t="s">
        <v>265</v>
      </c>
      <c r="C389" s="220" t="s">
        <v>68</v>
      </c>
      <c r="D389" s="220" t="s">
        <v>99</v>
      </c>
      <c r="E389" s="220" t="s">
        <v>100</v>
      </c>
      <c r="F389" s="220" t="s">
        <v>109</v>
      </c>
      <c r="G389" s="220" t="s">
        <v>110</v>
      </c>
      <c r="H389" s="220" t="s">
        <v>111</v>
      </c>
      <c r="I389" s="220" t="s">
        <v>112</v>
      </c>
      <c r="J389" s="220" t="s">
        <v>105</v>
      </c>
      <c r="K389" s="220" t="s">
        <v>106</v>
      </c>
      <c r="L389" s="220" t="s">
        <v>107</v>
      </c>
      <c r="M389" s="221">
        <f t="shared" si="105"/>
        <v>4</v>
      </c>
      <c r="N389" s="443" cm="1">
        <f t="array" ref="N389">IF(TRIM(K389)="Mano de Obra",IF(Formulario!$L$23&lt;&gt;"",Formulario!$L$23,IFERROR(VLOOKUP(TRIM($M$4),Jornalesdeppto!A:C,3,0),"")),_xlfn.XLOOKUP(1,(Tabla_Costos_Insumos!$A$2:$A$3199=TRIM($M$4))*(Tabla_Costos_Insumos!$C$2:$C$3199=TRIM(K389)),Tabla_Costos_Insumos!$E$2:$E$3199,"",0))</f>
        <v>46666.666666666664</v>
      </c>
      <c r="O389" s="443">
        <f t="shared" si="92"/>
        <v>186666.66666666666</v>
      </c>
      <c r="P389" s="220" t="str">
        <f t="shared" si="104"/>
        <v>Limón Tahití</v>
      </c>
      <c r="Q389" s="212" t="s">
        <v>108</v>
      </c>
      <c r="R389" s="212">
        <v>0.4</v>
      </c>
      <c r="S389" s="212" t="str">
        <f>IF($M$3="Limón tahití",($I$3*R389) / 480,"")</f>
        <v/>
      </c>
      <c r="T389" s="212" cm="1">
        <f t="array" ref="T389">_xlfn.IFS($D$5&lt;=7, 1.1, $D$5&lt;=12,1.2, $D$5&lt;=25, 1.3, $D$5&gt;25,1.4)</f>
        <v>1.3</v>
      </c>
      <c r="U389" s="212" t="str">
        <f t="shared" ref="U389:U393" si="106">IFERROR(S389*T389,"")</f>
        <v/>
      </c>
      <c r="V389" s="212">
        <v>4</v>
      </c>
      <c r="W389" s="212" t="str">
        <f t="shared" si="103"/>
        <v/>
      </c>
      <c r="X389" s="214">
        <v>3</v>
      </c>
    </row>
    <row r="390" spans="1:24" ht="15">
      <c r="A390" s="211" t="s">
        <v>37</v>
      </c>
      <c r="B390" s="225" t="s">
        <v>265</v>
      </c>
      <c r="C390" s="220" t="s">
        <v>68</v>
      </c>
      <c r="D390" s="220" t="s">
        <v>99</v>
      </c>
      <c r="E390" s="220" t="s">
        <v>100</v>
      </c>
      <c r="F390" s="220" t="s">
        <v>109</v>
      </c>
      <c r="G390" s="220" t="s">
        <v>110</v>
      </c>
      <c r="H390" s="220" t="s">
        <v>234</v>
      </c>
      <c r="I390" s="220" t="s">
        <v>235</v>
      </c>
      <c r="J390" s="220" t="s">
        <v>105</v>
      </c>
      <c r="K390" s="220" t="s">
        <v>106</v>
      </c>
      <c r="L390" s="220" t="s">
        <v>107</v>
      </c>
      <c r="M390" s="221">
        <f t="shared" si="105"/>
        <v>6</v>
      </c>
      <c r="N390" s="443" cm="1">
        <f t="array" ref="N390">IF(TRIM(K390)="Mano de Obra",IF(Formulario!$L$23&lt;&gt;"",Formulario!$L$23,IFERROR(VLOOKUP(TRIM($M$4),Jornalesdeppto!A:C,3,0),"")),_xlfn.XLOOKUP(1,(Tabla_Costos_Insumos!$A$2:$A$3199=TRIM($M$4))*(Tabla_Costos_Insumos!$C$2:$C$3199=TRIM(K390)),Tabla_Costos_Insumos!$E$2:$E$3199,"",0))</f>
        <v>46666.666666666664</v>
      </c>
      <c r="O390" s="443">
        <f t="shared" si="92"/>
        <v>280000</v>
      </c>
      <c r="P390" s="220" t="str">
        <f t="shared" si="104"/>
        <v>Limón Tahití</v>
      </c>
      <c r="Q390" s="212" t="s">
        <v>108</v>
      </c>
      <c r="R390" s="212">
        <v>2</v>
      </c>
      <c r="S390" s="212" t="str">
        <f t="shared" ref="S390:S393" si="107">IF($M$3="Limón tahití",($I$3*R390) / 480,"")</f>
        <v/>
      </c>
      <c r="T390" s="212" cm="1">
        <f t="array" ref="T390">_xlfn.IFS($D$5&lt;=7, 1.1, $D$5&lt;=12,1.2, $D$5&lt;=25, 1.3, $D$5&gt;25,1.4)</f>
        <v>1.3</v>
      </c>
      <c r="U390" s="212" t="str">
        <f t="shared" si="106"/>
        <v/>
      </c>
      <c r="V390" s="212">
        <v>4</v>
      </c>
      <c r="W390" s="212" t="str">
        <f t="shared" si="103"/>
        <v/>
      </c>
      <c r="X390" s="214">
        <v>4</v>
      </c>
    </row>
    <row r="391" spans="1:24" ht="15">
      <c r="A391" s="211" t="s">
        <v>37</v>
      </c>
      <c r="B391" s="225" t="s">
        <v>265</v>
      </c>
      <c r="C391" s="220" t="s">
        <v>68</v>
      </c>
      <c r="D391" s="220" t="s">
        <v>99</v>
      </c>
      <c r="E391" s="220" t="s">
        <v>100</v>
      </c>
      <c r="F391" s="220" t="s">
        <v>113</v>
      </c>
      <c r="G391" s="220" t="s">
        <v>114</v>
      </c>
      <c r="H391" s="220" t="s">
        <v>115</v>
      </c>
      <c r="I391" s="220" t="s">
        <v>116</v>
      </c>
      <c r="J391" s="220" t="s">
        <v>105</v>
      </c>
      <c r="K391" s="220" t="s">
        <v>106</v>
      </c>
      <c r="L391" s="220" t="s">
        <v>107</v>
      </c>
      <c r="M391" s="221">
        <f t="shared" si="105"/>
        <v>6</v>
      </c>
      <c r="N391" s="443" cm="1">
        <f t="array" ref="N391">IF(TRIM(K391)="Mano de Obra",IF(Formulario!$L$23&lt;&gt;"",Formulario!$L$23,IFERROR(VLOOKUP(TRIM($M$4),Jornalesdeppto!A:C,3,0),"")),_xlfn.XLOOKUP(1,(Tabla_Costos_Insumos!$A$2:$A$3199=TRIM($M$4))*(Tabla_Costos_Insumos!$C$2:$C$3199=TRIM(K391)),Tabla_Costos_Insumos!$E$2:$E$3199,"",0))</f>
        <v>46666.666666666664</v>
      </c>
      <c r="O391" s="443">
        <f t="shared" si="92"/>
        <v>280000</v>
      </c>
      <c r="P391" s="220" t="str">
        <f t="shared" si="104"/>
        <v>Limón Tahití</v>
      </c>
      <c r="Q391" s="212" t="s">
        <v>108</v>
      </c>
      <c r="R391" s="212">
        <v>3</v>
      </c>
      <c r="S391" s="212" t="str">
        <f t="shared" si="107"/>
        <v/>
      </c>
      <c r="T391" s="212" cm="1">
        <f t="array" ref="T391">_xlfn.IFS($D$5&lt;=7, 1.1, $D$5&lt;=12,1.2, $D$5&lt;=25, 1.3, $D$5&gt;25,1.4)</f>
        <v>1.3</v>
      </c>
      <c r="U391" s="212" t="str">
        <f t="shared" si="106"/>
        <v/>
      </c>
      <c r="V391" s="212">
        <v>2</v>
      </c>
      <c r="W391" s="212" t="str">
        <f t="shared" si="103"/>
        <v/>
      </c>
      <c r="X391" s="214">
        <v>4</v>
      </c>
    </row>
    <row r="392" spans="1:24" ht="15">
      <c r="A392" s="211" t="s">
        <v>37</v>
      </c>
      <c r="B392" s="225" t="s">
        <v>265</v>
      </c>
      <c r="C392" s="220" t="s">
        <v>68</v>
      </c>
      <c r="D392" s="220" t="s">
        <v>99</v>
      </c>
      <c r="E392" s="220" t="s">
        <v>100</v>
      </c>
      <c r="F392" s="220" t="s">
        <v>117</v>
      </c>
      <c r="G392" s="220" t="s">
        <v>118</v>
      </c>
      <c r="H392" s="220" t="s">
        <v>119</v>
      </c>
      <c r="I392" s="220" t="s">
        <v>120</v>
      </c>
      <c r="J392" s="220" t="s">
        <v>105</v>
      </c>
      <c r="K392" s="220" t="s">
        <v>106</v>
      </c>
      <c r="L392" s="220" t="s">
        <v>107</v>
      </c>
      <c r="M392" s="221">
        <f t="shared" si="105"/>
        <v>10</v>
      </c>
      <c r="N392" s="443" cm="1">
        <f t="array" ref="N392">IF(TRIM(K392)="Mano de Obra",IF(Formulario!$L$23&lt;&gt;"",Formulario!$L$23,IFERROR(VLOOKUP(TRIM($M$4),Jornalesdeppto!A:C,3,0),"")),_xlfn.XLOOKUP(1,(Tabla_Costos_Insumos!$A$2:$A$3199=TRIM($M$4))*(Tabla_Costos_Insumos!$C$2:$C$3199=TRIM(K392)),Tabla_Costos_Insumos!$E$2:$E$3199,"",0))</f>
        <v>46666.666666666664</v>
      </c>
      <c r="O392" s="443">
        <f t="shared" si="92"/>
        <v>466666.66666666663</v>
      </c>
      <c r="P392" s="220" t="str">
        <f t="shared" si="104"/>
        <v>Limón Tahití</v>
      </c>
      <c r="Q392" s="212" t="s">
        <v>108</v>
      </c>
      <c r="R392" s="212">
        <v>4</v>
      </c>
      <c r="S392" s="212" t="str">
        <f t="shared" si="107"/>
        <v/>
      </c>
      <c r="T392" s="212" cm="1">
        <f t="array" ref="T392">_xlfn.IFS($D$5&lt;=7, 1.1, $D$5&lt;=12,1.2, $D$5&lt;=25, 1.3, $D$5&gt;25,1.4)</f>
        <v>1.3</v>
      </c>
      <c r="U392" s="212" t="str">
        <f t="shared" si="106"/>
        <v/>
      </c>
      <c r="V392" s="212">
        <v>9</v>
      </c>
      <c r="W392" s="212" t="str">
        <f t="shared" si="103"/>
        <v/>
      </c>
      <c r="X392" s="214">
        <v>7</v>
      </c>
    </row>
    <row r="393" spans="1:24" ht="15">
      <c r="A393" s="211" t="s">
        <v>37</v>
      </c>
      <c r="B393" s="225" t="s">
        <v>265</v>
      </c>
      <c r="C393" s="220" t="s">
        <v>68</v>
      </c>
      <c r="D393" s="220" t="s">
        <v>99</v>
      </c>
      <c r="E393" s="220" t="s">
        <v>100</v>
      </c>
      <c r="F393" s="220" t="s">
        <v>117</v>
      </c>
      <c r="G393" s="220" t="s">
        <v>118</v>
      </c>
      <c r="H393" s="220" t="s">
        <v>121</v>
      </c>
      <c r="I393" s="220" t="s">
        <v>122</v>
      </c>
      <c r="J393" s="220" t="s">
        <v>105</v>
      </c>
      <c r="K393" s="220" t="s">
        <v>106</v>
      </c>
      <c r="L393" s="220" t="s">
        <v>107</v>
      </c>
      <c r="M393" s="221">
        <f t="shared" si="105"/>
        <v>10</v>
      </c>
      <c r="N393" s="443" cm="1">
        <f t="array" ref="N393">IF(TRIM(K393)="Mano de Obra",IF(Formulario!$L$23&lt;&gt;"",Formulario!$L$23,IFERROR(VLOOKUP(TRIM($M$4),Jornalesdeppto!A:C,3,0),"")),_xlfn.XLOOKUP(1,(Tabla_Costos_Insumos!$A$2:$A$3199=TRIM($M$4))*(Tabla_Costos_Insumos!$C$2:$C$3199=TRIM(K393)),Tabla_Costos_Insumos!$E$2:$E$3199,"",0))</f>
        <v>46666.666666666664</v>
      </c>
      <c r="O393" s="443">
        <f t="shared" si="92"/>
        <v>466666.66666666663</v>
      </c>
      <c r="P393" s="220" t="str">
        <f t="shared" si="104"/>
        <v>Limón Tahití</v>
      </c>
      <c r="Q393" s="212" t="s">
        <v>108</v>
      </c>
      <c r="R393" s="212">
        <v>4</v>
      </c>
      <c r="S393" s="212" t="str">
        <f t="shared" si="107"/>
        <v/>
      </c>
      <c r="T393" s="212" cm="1">
        <f t="array" ref="T393">_xlfn.IFS($D$5&lt;=7, 1.1, $D$5&lt;=12,1.2, $D$5&lt;=25, 1.3, $D$5&gt;25,1.4)</f>
        <v>1.3</v>
      </c>
      <c r="U393" s="212" t="str">
        <f t="shared" si="106"/>
        <v/>
      </c>
      <c r="V393" s="212">
        <v>9</v>
      </c>
      <c r="W393" s="212" t="str">
        <f t="shared" si="103"/>
        <v/>
      </c>
      <c r="X393" s="214">
        <v>7</v>
      </c>
    </row>
    <row r="394" spans="1:24" ht="15">
      <c r="A394" s="211" t="s">
        <v>37</v>
      </c>
      <c r="B394" s="225" t="s">
        <v>265</v>
      </c>
      <c r="C394" s="220" t="s">
        <v>68</v>
      </c>
      <c r="D394" s="220" t="s">
        <v>99</v>
      </c>
      <c r="E394" s="220" t="s">
        <v>100</v>
      </c>
      <c r="F394" s="220" t="s">
        <v>123</v>
      </c>
      <c r="G394" s="220" t="s">
        <v>124</v>
      </c>
      <c r="H394" s="220" t="s">
        <v>125</v>
      </c>
      <c r="I394" s="220" t="s">
        <v>126</v>
      </c>
      <c r="J394" s="220" t="s">
        <v>105</v>
      </c>
      <c r="K394" s="220" t="s">
        <v>106</v>
      </c>
      <c r="L394" s="220" t="s">
        <v>107</v>
      </c>
      <c r="M394" s="221">
        <f t="shared" si="105"/>
        <v>4</v>
      </c>
      <c r="N394" s="443" cm="1">
        <f t="array" ref="N394">IF(TRIM(K394)="Mano de Obra",IF(Formulario!$L$23&lt;&gt;"",Formulario!$L$23,IFERROR(VLOOKUP(TRIM($M$4),Jornalesdeppto!A:C,3,0),"")),_xlfn.XLOOKUP(1,(Tabla_Costos_Insumos!$A$2:$A$3199=TRIM($M$4))*(Tabla_Costos_Insumos!$C$2:$C$3199=TRIM(K394)),Tabla_Costos_Insumos!$E$2:$E$3199,"",0))</f>
        <v>46666.666666666664</v>
      </c>
      <c r="O394" s="443">
        <f t="shared" si="92"/>
        <v>186666.66666666666</v>
      </c>
      <c r="P394" s="220" t="str">
        <f t="shared" si="104"/>
        <v>Limón Tahití</v>
      </c>
      <c r="Q394" s="212" t="s">
        <v>127</v>
      </c>
      <c r="R394" s="212">
        <v>0.09</v>
      </c>
      <c r="S394" s="212">
        <f t="shared" ref="S394:S395" si="108">10000*R394/480</f>
        <v>1.875</v>
      </c>
      <c r="T394" s="212" cm="1">
        <f t="array" ref="T394">_xlfn.IFS($D$5&lt;=7, 1.1, $D$5&lt;=12,1.2, $D$5&lt;=25, 1.3, $D$5&gt;25,1.4)</f>
        <v>1.3</v>
      </c>
      <c r="U394" s="212"/>
      <c r="V394" s="212">
        <v>2</v>
      </c>
      <c r="W394" s="212"/>
      <c r="X394" s="214">
        <v>3</v>
      </c>
    </row>
    <row r="395" spans="1:24" ht="15">
      <c r="A395" s="211" t="s">
        <v>37</v>
      </c>
      <c r="B395" s="225" t="s">
        <v>265</v>
      </c>
      <c r="C395" s="220" t="s">
        <v>68</v>
      </c>
      <c r="D395" s="220" t="s">
        <v>99</v>
      </c>
      <c r="E395" s="220" t="s">
        <v>100</v>
      </c>
      <c r="F395" s="220" t="s">
        <v>123</v>
      </c>
      <c r="G395" s="220" t="s">
        <v>124</v>
      </c>
      <c r="H395" s="220" t="s">
        <v>128</v>
      </c>
      <c r="I395" s="220" t="s">
        <v>129</v>
      </c>
      <c r="J395" s="220" t="s">
        <v>105</v>
      </c>
      <c r="K395" s="220" t="s">
        <v>106</v>
      </c>
      <c r="L395" s="220" t="s">
        <v>107</v>
      </c>
      <c r="M395" s="221">
        <f t="shared" si="105"/>
        <v>19</v>
      </c>
      <c r="N395" s="443" cm="1">
        <f t="array" ref="N395">IF(TRIM(K395)="Mano de Obra",IF(Formulario!$L$23&lt;&gt;"",Formulario!$L$23,IFERROR(VLOOKUP(TRIM($M$4),Jornalesdeppto!A:C,3,0),"")),_xlfn.XLOOKUP(1,(Tabla_Costos_Insumos!$A$2:$A$3199=TRIM($M$4))*(Tabla_Costos_Insumos!$C$2:$C$3199=TRIM(K395)),Tabla_Costos_Insumos!$E$2:$E$3199,"",0))</f>
        <v>46666.666666666664</v>
      </c>
      <c r="O395" s="443">
        <f t="shared" si="92"/>
        <v>886666.66666666663</v>
      </c>
      <c r="P395" s="220" t="str">
        <f t="shared" si="104"/>
        <v>Limón Tahití</v>
      </c>
      <c r="Q395" s="212" t="s">
        <v>127</v>
      </c>
      <c r="R395" s="212">
        <v>0.09</v>
      </c>
      <c r="S395" s="212">
        <f t="shared" si="108"/>
        <v>1.875</v>
      </c>
      <c r="T395" s="212" cm="1">
        <f t="array" ref="T395">_xlfn.IFS($D$5&lt;=7, 1.1, $D$5&lt;=12,1.2, $D$5&lt;=25, 1.3, $D$5&gt;25,1.4)</f>
        <v>1.3</v>
      </c>
      <c r="U395" s="212"/>
      <c r="V395" s="212">
        <v>2</v>
      </c>
      <c r="W395" s="212"/>
      <c r="X395" s="214">
        <v>14</v>
      </c>
    </row>
    <row r="396" spans="1:24" ht="15">
      <c r="A396" s="211" t="s">
        <v>37</v>
      </c>
      <c r="B396" s="225" t="s">
        <v>265</v>
      </c>
      <c r="C396" s="220" t="s">
        <v>68</v>
      </c>
      <c r="D396" s="220" t="s">
        <v>99</v>
      </c>
      <c r="E396" s="220" t="s">
        <v>100</v>
      </c>
      <c r="F396" s="220" t="s">
        <v>130</v>
      </c>
      <c r="G396" s="220" t="s">
        <v>131</v>
      </c>
      <c r="H396" s="220" t="s">
        <v>132</v>
      </c>
      <c r="I396" s="220" t="s">
        <v>133</v>
      </c>
      <c r="J396" s="220" t="s">
        <v>105</v>
      </c>
      <c r="K396" s="220" t="s">
        <v>106</v>
      </c>
      <c r="L396" s="220" t="s">
        <v>107</v>
      </c>
      <c r="M396" s="221">
        <f t="shared" si="105"/>
        <v>12</v>
      </c>
      <c r="N396" s="443" cm="1">
        <f t="array" ref="N396">IF(TRIM(K396)="Mano de Obra",IF(Formulario!$L$23&lt;&gt;"",Formulario!$L$23,IFERROR(VLOOKUP(TRIM($M$4),Jornalesdeppto!A:C,3,0),"")),_xlfn.XLOOKUP(1,(Tabla_Costos_Insumos!$A$2:$A$3199=TRIM($M$4))*(Tabla_Costos_Insumos!$C$2:$C$3199=TRIM(K396)),Tabla_Costos_Insumos!$E$2:$E$3199,"",0))</f>
        <v>46666.666666666664</v>
      </c>
      <c r="O396" s="443">
        <f t="shared" si="92"/>
        <v>560000</v>
      </c>
      <c r="P396" s="220" t="str">
        <f t="shared" si="104"/>
        <v>Limón Tahití</v>
      </c>
      <c r="Q396" s="212" t="s">
        <v>108</v>
      </c>
      <c r="R396" s="212">
        <v>1.5</v>
      </c>
      <c r="S396" s="212" t="str">
        <f t="shared" ref="S396:S397" si="109">IF($M$3="Limón tahití",($I$3*R396) / 480,"")</f>
        <v/>
      </c>
      <c r="T396" s="212" cm="1">
        <f t="array" ref="T396">_xlfn.IFS($D$5&lt;=7, 1.1, $D$5&lt;=12,1.2, $D$5&lt;=25, 1.3, $D$5&gt;25,1.4)</f>
        <v>1.3</v>
      </c>
      <c r="U396" s="212" t="str">
        <f t="shared" ref="U396:U397" si="110">IFERROR(S396*T396,"")</f>
        <v/>
      </c>
      <c r="V396" s="212">
        <v>4</v>
      </c>
      <c r="W396" s="212" t="str">
        <f t="shared" si="103"/>
        <v/>
      </c>
      <c r="X396" s="214">
        <v>9</v>
      </c>
    </row>
    <row r="397" spans="1:24" ht="15">
      <c r="A397" s="211" t="s">
        <v>37</v>
      </c>
      <c r="B397" s="225" t="s">
        <v>265</v>
      </c>
      <c r="C397" s="220" t="s">
        <v>68</v>
      </c>
      <c r="D397" s="220" t="s">
        <v>99</v>
      </c>
      <c r="E397" s="220" t="s">
        <v>100</v>
      </c>
      <c r="F397" s="220" t="s">
        <v>130</v>
      </c>
      <c r="G397" s="220" t="s">
        <v>131</v>
      </c>
      <c r="H397" s="220" t="s">
        <v>134</v>
      </c>
      <c r="I397" s="220" t="s">
        <v>135</v>
      </c>
      <c r="J397" s="220" t="s">
        <v>105</v>
      </c>
      <c r="K397" s="220" t="s">
        <v>106</v>
      </c>
      <c r="L397" s="220" t="s">
        <v>107</v>
      </c>
      <c r="M397" s="221">
        <f t="shared" si="105"/>
        <v>6</v>
      </c>
      <c r="N397" s="443" cm="1">
        <f t="array" ref="N397">IF(TRIM(K397)="Mano de Obra",IF(Formulario!$L$23&lt;&gt;"",Formulario!$L$23,IFERROR(VLOOKUP(TRIM($M$4),Jornalesdeppto!A:C,3,0),"")),_xlfn.XLOOKUP(1,(Tabla_Costos_Insumos!$A$2:$A$3199=TRIM($M$4))*(Tabla_Costos_Insumos!$C$2:$C$3199=TRIM(K397)),Tabla_Costos_Insumos!$E$2:$E$3199,"",0))</f>
        <v>46666.666666666664</v>
      </c>
      <c r="O397" s="443">
        <f t="shared" si="92"/>
        <v>280000</v>
      </c>
      <c r="P397" s="220" t="str">
        <f t="shared" si="104"/>
        <v>Limón Tahití</v>
      </c>
      <c r="Q397" s="212" t="s">
        <v>108</v>
      </c>
      <c r="R397" s="212">
        <v>1.5</v>
      </c>
      <c r="S397" s="212" t="str">
        <f t="shared" si="109"/>
        <v/>
      </c>
      <c r="T397" s="212" cm="1">
        <f t="array" ref="T397">_xlfn.IFS($D$5&lt;=7, 1.1, $D$5&lt;=12,1.2, $D$5&lt;=25, 1.3, $D$5&gt;25,1.4)</f>
        <v>1.3</v>
      </c>
      <c r="U397" s="212" t="str">
        <f t="shared" si="110"/>
        <v/>
      </c>
      <c r="V397" s="212">
        <v>4</v>
      </c>
      <c r="W397" s="212" t="str">
        <f t="shared" si="103"/>
        <v/>
      </c>
      <c r="X397" s="214">
        <v>4</v>
      </c>
    </row>
    <row r="398" spans="1:24" ht="15">
      <c r="A398" s="211" t="s">
        <v>37</v>
      </c>
      <c r="B398" s="225" t="s">
        <v>265</v>
      </c>
      <c r="C398" s="220" t="s">
        <v>68</v>
      </c>
      <c r="D398" s="220" t="s">
        <v>145</v>
      </c>
      <c r="E398" s="220" t="s">
        <v>146</v>
      </c>
      <c r="F398" s="220" t="s">
        <v>147</v>
      </c>
      <c r="G398" s="220" t="s">
        <v>131</v>
      </c>
      <c r="H398" s="220" t="s">
        <v>148</v>
      </c>
      <c r="I398" s="220" t="s">
        <v>299</v>
      </c>
      <c r="J398" s="220" t="s">
        <v>149</v>
      </c>
      <c r="K398" s="220" t="s">
        <v>150</v>
      </c>
      <c r="L398" s="220" t="s">
        <v>151</v>
      </c>
      <c r="M398" s="221">
        <v>1</v>
      </c>
      <c r="N398" s="443" cm="1">
        <f t="array" ref="N398">IF(TRIM(K398)="Mano de Obra",IF(Formulario!$L$23&lt;&gt;"",Formulario!$L$23,IFERROR(VLOOKUP(TRIM($M$4),Jornalesdeppto!A:C,3,0),"")),_xlfn.XLOOKUP(1,(Tabla_Costos_Insumos!$A$2:$A$3199=TRIM($M$4))*(Tabla_Costos_Insumos!$C$2:$C$3199=TRIM(K398)),Tabla_Costos_Insumos!$E$2:$E$3199,"",0))</f>
        <v>198055.68333333</v>
      </c>
      <c r="O398" s="443">
        <f t="shared" si="92"/>
        <v>198055.68333333</v>
      </c>
      <c r="P398" s="220" t="str">
        <f t="shared" si="104"/>
        <v>Limón Tahití</v>
      </c>
      <c r="Q398" s="212" t="s">
        <v>142</v>
      </c>
      <c r="R398" s="212" t="s">
        <v>142</v>
      </c>
      <c r="S398" s="212"/>
      <c r="T398" s="212"/>
      <c r="U398" s="212"/>
      <c r="V398" s="212" t="s">
        <v>142</v>
      </c>
      <c r="W398" s="212" t="str">
        <f t="shared" si="103"/>
        <v/>
      </c>
      <c r="X398" s="214"/>
    </row>
    <row r="399" spans="1:24" ht="15">
      <c r="A399" s="211" t="s">
        <v>37</v>
      </c>
      <c r="B399" s="225" t="s">
        <v>265</v>
      </c>
      <c r="C399" s="220" t="s">
        <v>68</v>
      </c>
      <c r="D399" s="220" t="s">
        <v>145</v>
      </c>
      <c r="E399" s="220" t="s">
        <v>146</v>
      </c>
      <c r="F399" s="220" t="s">
        <v>147</v>
      </c>
      <c r="G399" s="220" t="s">
        <v>131</v>
      </c>
      <c r="H399" s="220" t="s">
        <v>152</v>
      </c>
      <c r="I399" s="220" t="s">
        <v>153</v>
      </c>
      <c r="J399" s="220" t="s">
        <v>149</v>
      </c>
      <c r="K399" s="220" t="s">
        <v>4110</v>
      </c>
      <c r="L399" s="220" t="s">
        <v>151</v>
      </c>
      <c r="M399" s="221">
        <v>3</v>
      </c>
      <c r="N399" s="443" cm="1">
        <f t="array" ref="N399">IF(TRIM(K399)="Mano de Obra",IF(Formulario!$L$23&lt;&gt;"",Formulario!$L$23,IFERROR(VLOOKUP(TRIM($M$4),Jornalesdeppto!A:C,3,0),"")),_xlfn.XLOOKUP(1,(Tabla_Costos_Insumos!$A$2:$A$3199=TRIM($M$4))*(Tabla_Costos_Insumos!$C$2:$C$3199=TRIM(K399)),Tabla_Costos_Insumos!$E$2:$E$3199,"",0))</f>
        <v>125849.2424242409</v>
      </c>
      <c r="O399" s="443">
        <f t="shared" si="92"/>
        <v>377547.7272727227</v>
      </c>
      <c r="P399" s="220" t="str">
        <f t="shared" si="104"/>
        <v>Limón Tahití</v>
      </c>
      <c r="Q399" s="212" t="s">
        <v>142</v>
      </c>
      <c r="R399" s="212" t="s">
        <v>142</v>
      </c>
      <c r="S399" s="212"/>
      <c r="T399" s="212"/>
      <c r="U399" s="212"/>
      <c r="V399" s="212" t="s">
        <v>142</v>
      </c>
      <c r="W399" s="212" t="str">
        <f t="shared" si="103"/>
        <v/>
      </c>
      <c r="X399" s="214"/>
    </row>
    <row r="400" spans="1:24" ht="15">
      <c r="A400" s="211" t="s">
        <v>37</v>
      </c>
      <c r="B400" s="225" t="s">
        <v>265</v>
      </c>
      <c r="C400" s="220" t="s">
        <v>68</v>
      </c>
      <c r="D400" s="220" t="s">
        <v>145</v>
      </c>
      <c r="E400" s="220" t="s">
        <v>146</v>
      </c>
      <c r="F400" s="220" t="s">
        <v>147</v>
      </c>
      <c r="G400" s="220" t="s">
        <v>131</v>
      </c>
      <c r="H400" s="220" t="s">
        <v>154</v>
      </c>
      <c r="I400" s="220" t="s">
        <v>155</v>
      </c>
      <c r="J400" s="220" t="s">
        <v>149</v>
      </c>
      <c r="K400" s="220" t="s">
        <v>156</v>
      </c>
      <c r="L400" s="220" t="s">
        <v>151</v>
      </c>
      <c r="M400" s="221">
        <v>2</v>
      </c>
      <c r="N400" s="443" cm="1">
        <f t="array" ref="N400">IF(TRIM(K400)="Mano de Obra",IF(Formulario!$L$23&lt;&gt;"",Formulario!$L$23,IFERROR(VLOOKUP(TRIM($M$4),Jornalesdeppto!A:C,3,0),"")),_xlfn.XLOOKUP(1,(Tabla_Costos_Insumos!$A$2:$A$3199=TRIM($M$4))*(Tabla_Costos_Insumos!$C$2:$C$3199=TRIM(K400)),Tabla_Costos_Insumos!$E$2:$E$3199,"",0))</f>
        <v>17212.5</v>
      </c>
      <c r="O400" s="443">
        <f t="shared" si="92"/>
        <v>34425</v>
      </c>
      <c r="P400" s="220" t="str">
        <f t="shared" si="104"/>
        <v>Limón Tahití</v>
      </c>
      <c r="Q400" s="212" t="s">
        <v>142</v>
      </c>
      <c r="R400" s="212" t="s">
        <v>142</v>
      </c>
      <c r="S400" s="212"/>
      <c r="T400" s="212"/>
      <c r="U400" s="212"/>
      <c r="V400" s="212" t="s">
        <v>142</v>
      </c>
      <c r="W400" s="212" t="str">
        <f t="shared" si="103"/>
        <v/>
      </c>
      <c r="X400" s="214"/>
    </row>
    <row r="401" spans="1:24" ht="15">
      <c r="A401" s="211" t="s">
        <v>37</v>
      </c>
      <c r="B401" s="225" t="s">
        <v>265</v>
      </c>
      <c r="C401" s="220" t="s">
        <v>68</v>
      </c>
      <c r="D401" s="220" t="s">
        <v>145</v>
      </c>
      <c r="E401" s="220" t="s">
        <v>146</v>
      </c>
      <c r="F401" s="220" t="s">
        <v>147</v>
      </c>
      <c r="G401" s="220" t="s">
        <v>131</v>
      </c>
      <c r="H401" s="220" t="s">
        <v>157</v>
      </c>
      <c r="I401" s="220" t="s">
        <v>158</v>
      </c>
      <c r="J401" s="220" t="s">
        <v>149</v>
      </c>
      <c r="K401" s="220" t="s">
        <v>243</v>
      </c>
      <c r="L401" s="220" t="s">
        <v>172</v>
      </c>
      <c r="M401" s="221">
        <v>14</v>
      </c>
      <c r="N401" s="443" cm="1">
        <f t="array" ref="N401">IF(TRIM(K401)="Mano de Obra",IF(Formulario!$L$23&lt;&gt;"",Formulario!$L$23,IFERROR(VLOOKUP(TRIM($M$4),Jornalesdeppto!A:C,3,0),"")),_xlfn.XLOOKUP(1,(Tabla_Costos_Insumos!$A$2:$A$3199=TRIM($M$4))*(Tabla_Costos_Insumos!$C$2:$C$3199=TRIM(K401)),Tabla_Costos_Insumos!$E$2:$E$3199,"",0))</f>
        <v>26208.33</v>
      </c>
      <c r="O401" s="443">
        <f t="shared" si="92"/>
        <v>366916.62</v>
      </c>
      <c r="P401" s="220" t="str">
        <f t="shared" si="104"/>
        <v>Limón Tahití</v>
      </c>
      <c r="Q401" s="212" t="s">
        <v>142</v>
      </c>
      <c r="R401" s="212" t="s">
        <v>142</v>
      </c>
      <c r="S401" s="212"/>
      <c r="T401" s="212"/>
      <c r="U401" s="212"/>
      <c r="V401" s="212" t="s">
        <v>142</v>
      </c>
      <c r="W401" s="212" t="str">
        <f t="shared" si="103"/>
        <v/>
      </c>
      <c r="X401" s="214"/>
    </row>
    <row r="402" spans="1:24" ht="15">
      <c r="A402" s="211" t="s">
        <v>37</v>
      </c>
      <c r="B402" s="225" t="s">
        <v>265</v>
      </c>
      <c r="C402" s="220" t="s">
        <v>68</v>
      </c>
      <c r="D402" s="220" t="s">
        <v>145</v>
      </c>
      <c r="E402" s="220" t="s">
        <v>146</v>
      </c>
      <c r="F402" s="220" t="s">
        <v>147</v>
      </c>
      <c r="G402" s="220" t="s">
        <v>131</v>
      </c>
      <c r="H402" s="220" t="s">
        <v>161</v>
      </c>
      <c r="I402" s="220" t="s">
        <v>162</v>
      </c>
      <c r="J402" s="220" t="s">
        <v>149</v>
      </c>
      <c r="K402" s="220" t="s">
        <v>163</v>
      </c>
      <c r="L402" s="220" t="s">
        <v>164</v>
      </c>
      <c r="M402" s="221">
        <v>2</v>
      </c>
      <c r="N402" s="443" cm="1">
        <f t="array" ref="N402">IF(TRIM(K402)="Mano de Obra",IF(Formulario!$L$23&lt;&gt;"",Formulario!$L$23,IFERROR(VLOOKUP(TRIM($M$4),Jornalesdeppto!A:C,3,0),"")),_xlfn.XLOOKUP(1,(Tabla_Costos_Insumos!$A$2:$A$3199=TRIM($M$4))*(Tabla_Costos_Insumos!$C$2:$C$3199=TRIM(K402)),Tabla_Costos_Insumos!$E$2:$E$3199,"",0))</f>
        <v>128084.44444445</v>
      </c>
      <c r="O402" s="443">
        <f t="shared" ref="O402:O465" si="111">IF(OR(N402=0,N402=""),"",N402*M402)</f>
        <v>256168.88888889999</v>
      </c>
      <c r="P402" s="220" t="str">
        <f t="shared" si="104"/>
        <v>Limón Tahití</v>
      </c>
      <c r="Q402" s="212" t="s">
        <v>142</v>
      </c>
      <c r="R402" s="212" t="s">
        <v>142</v>
      </c>
      <c r="S402" s="212"/>
      <c r="T402" s="212"/>
      <c r="U402" s="212"/>
      <c r="V402" s="212" t="s">
        <v>142</v>
      </c>
      <c r="W402" s="212" t="str">
        <f t="shared" si="103"/>
        <v/>
      </c>
      <c r="X402" s="214"/>
    </row>
    <row r="403" spans="1:24" ht="15">
      <c r="A403" s="211" t="s">
        <v>37</v>
      </c>
      <c r="B403" s="225" t="s">
        <v>265</v>
      </c>
      <c r="C403" s="220" t="s">
        <v>68</v>
      </c>
      <c r="D403" s="220" t="s">
        <v>145</v>
      </c>
      <c r="E403" s="220" t="s">
        <v>146</v>
      </c>
      <c r="F403" s="220" t="s">
        <v>147</v>
      </c>
      <c r="G403" s="220" t="s">
        <v>131</v>
      </c>
      <c r="H403" s="220" t="s">
        <v>165</v>
      </c>
      <c r="I403" s="220" t="s">
        <v>153</v>
      </c>
      <c r="J403" s="220" t="s">
        <v>149</v>
      </c>
      <c r="K403" s="220" t="s">
        <v>166</v>
      </c>
      <c r="L403" s="220" t="s">
        <v>151</v>
      </c>
      <c r="M403" s="221">
        <v>3</v>
      </c>
      <c r="N403" s="443" cm="1">
        <f t="array" ref="N403">IF(TRIM(K403)="Mano de Obra",IF(Formulario!$L$23&lt;&gt;"",Formulario!$L$23,IFERROR(VLOOKUP(TRIM($M$4),Jornalesdeppto!A:C,3,0),"")),_xlfn.XLOOKUP(1,(Tabla_Costos_Insumos!$A$2:$A$3199=TRIM($M$4))*(Tabla_Costos_Insumos!$C$2:$C$3199=TRIM(K403)),Tabla_Costos_Insumos!$E$2:$E$3199,"",0))</f>
        <v>110000</v>
      </c>
      <c r="O403" s="443">
        <f t="shared" si="111"/>
        <v>330000</v>
      </c>
      <c r="P403" s="220" t="str">
        <f t="shared" si="104"/>
        <v>Limón Tahití</v>
      </c>
      <c r="Q403" s="212" t="s">
        <v>142</v>
      </c>
      <c r="R403" s="212" t="s">
        <v>142</v>
      </c>
      <c r="S403" s="212"/>
      <c r="T403" s="212"/>
      <c r="U403" s="212"/>
      <c r="V403" s="212" t="s">
        <v>142</v>
      </c>
      <c r="W403" s="212" t="str">
        <f t="shared" si="103"/>
        <v/>
      </c>
      <c r="X403" s="214"/>
    </row>
    <row r="404" spans="1:24" ht="15">
      <c r="A404" s="211" t="s">
        <v>37</v>
      </c>
      <c r="B404" s="225" t="s">
        <v>265</v>
      </c>
      <c r="C404" s="220" t="s">
        <v>68</v>
      </c>
      <c r="D404" s="220" t="s">
        <v>145</v>
      </c>
      <c r="E404" s="220" t="s">
        <v>146</v>
      </c>
      <c r="F404" s="220" t="s">
        <v>167</v>
      </c>
      <c r="G404" s="220" t="s">
        <v>118</v>
      </c>
      <c r="H404" s="220" t="s">
        <v>168</v>
      </c>
      <c r="I404" s="220" t="s">
        <v>169</v>
      </c>
      <c r="J404" s="220" t="s">
        <v>170</v>
      </c>
      <c r="K404" s="220" t="s">
        <v>227</v>
      </c>
      <c r="L404" s="220" t="s">
        <v>226</v>
      </c>
      <c r="M404" s="221">
        <v>9</v>
      </c>
      <c r="N404" s="443" cm="1">
        <f t="array" ref="N404">IF(TRIM(K404)="Mano de Obra",IF(Formulario!$L$23&lt;&gt;"",Formulario!$L$23,IFERROR(VLOOKUP(TRIM($M$4),Jornalesdeppto!A:C,3,0),"")),_xlfn.XLOOKUP(1,(Tabla_Costos_Insumos!$A$2:$A$3199=TRIM($M$4))*(Tabla_Costos_Insumos!$C$2:$C$3199=TRIM(K404)),Tabla_Costos_Insumos!$E$2:$E$3199,"",0))</f>
        <v>153430.65</v>
      </c>
      <c r="O404" s="443">
        <f t="shared" si="111"/>
        <v>1380875.8499999999</v>
      </c>
      <c r="P404" s="220" t="str">
        <f t="shared" si="104"/>
        <v>Limón Tahití</v>
      </c>
      <c r="Q404" s="212" t="s">
        <v>142</v>
      </c>
      <c r="R404" s="212" t="s">
        <v>142</v>
      </c>
      <c r="S404" s="212"/>
      <c r="T404" s="212"/>
      <c r="U404" s="212"/>
      <c r="V404" s="212" t="s">
        <v>142</v>
      </c>
      <c r="W404" s="212" t="str">
        <f t="shared" si="103"/>
        <v/>
      </c>
      <c r="X404" s="214"/>
    </row>
    <row r="405" spans="1:24" ht="15">
      <c r="A405" s="211" t="s">
        <v>37</v>
      </c>
      <c r="B405" s="225" t="s">
        <v>265</v>
      </c>
      <c r="C405" s="220" t="s">
        <v>68</v>
      </c>
      <c r="D405" s="220" t="s">
        <v>145</v>
      </c>
      <c r="E405" s="220" t="s">
        <v>146</v>
      </c>
      <c r="F405" s="220" t="s">
        <v>167</v>
      </c>
      <c r="G405" s="220" t="s">
        <v>118</v>
      </c>
      <c r="H405" s="220" t="s">
        <v>168</v>
      </c>
      <c r="I405" s="220" t="s">
        <v>169</v>
      </c>
      <c r="J405" s="220" t="s">
        <v>170</v>
      </c>
      <c r="K405" s="220" t="s">
        <v>260</v>
      </c>
      <c r="L405" s="220" t="s">
        <v>261</v>
      </c>
      <c r="M405" s="221">
        <v>41</v>
      </c>
      <c r="N405" s="443" cm="1">
        <f t="array" ref="N405">IF(TRIM(K405)="Mano de Obra",IF(Formulario!$L$23&lt;&gt;"",Formulario!$L$23,IFERROR(VLOOKUP(TRIM($M$4),Jornalesdeppto!A:C,3,0),"")),_xlfn.XLOOKUP(1,(Tabla_Costos_Insumos!$A$2:$A$3199=TRIM($M$4))*(Tabla_Costos_Insumos!$C$2:$C$3199=TRIM(K405)),Tabla_Costos_Insumos!$E$2:$E$3199,"",0))</f>
        <v>25534.226046466123</v>
      </c>
      <c r="O405" s="443">
        <f t="shared" si="111"/>
        <v>1046903.2679051111</v>
      </c>
      <c r="P405" s="220" t="str">
        <f t="shared" si="104"/>
        <v>Limón Tahití</v>
      </c>
      <c r="Q405" s="212" t="s">
        <v>142</v>
      </c>
      <c r="R405" s="212" t="s">
        <v>142</v>
      </c>
      <c r="S405" s="212"/>
      <c r="T405" s="212"/>
      <c r="U405" s="212"/>
      <c r="V405" s="212" t="s">
        <v>142</v>
      </c>
      <c r="W405" s="212" t="str">
        <f t="shared" si="103"/>
        <v/>
      </c>
      <c r="X405" s="214"/>
    </row>
    <row r="406" spans="1:24" ht="15">
      <c r="A406" s="211" t="s">
        <v>37</v>
      </c>
      <c r="B406" s="225" t="s">
        <v>265</v>
      </c>
      <c r="C406" s="220" t="s">
        <v>68</v>
      </c>
      <c r="D406" s="220" t="s">
        <v>145</v>
      </c>
      <c r="E406" s="220" t="s">
        <v>146</v>
      </c>
      <c r="F406" s="220" t="s">
        <v>167</v>
      </c>
      <c r="G406" s="220" t="s">
        <v>118</v>
      </c>
      <c r="H406" s="220" t="s">
        <v>174</v>
      </c>
      <c r="I406" s="220" t="s">
        <v>175</v>
      </c>
      <c r="J406" s="220" t="s">
        <v>176</v>
      </c>
      <c r="K406" s="220" t="s">
        <v>231</v>
      </c>
      <c r="L406" s="220" t="s">
        <v>172</v>
      </c>
      <c r="M406" s="221">
        <v>14</v>
      </c>
      <c r="N406" s="443" cm="1">
        <f t="array" ref="N406">IF(TRIM(K406)="Mano de Obra",IF(Formulario!$L$23&lt;&gt;"",Formulario!$L$23,IFERROR(VLOOKUP(TRIM($M$4),Jornalesdeppto!A:C,3,0),"")),_xlfn.XLOOKUP(1,(Tabla_Costos_Insumos!$A$2:$A$3199=TRIM($M$4))*(Tabla_Costos_Insumos!$C$2:$C$3199=TRIM(K406)),Tabla_Costos_Insumos!$E$2:$E$3199,"",0))</f>
        <v>23177.15</v>
      </c>
      <c r="O406" s="443">
        <f t="shared" si="111"/>
        <v>324480.10000000003</v>
      </c>
      <c r="P406" s="220" t="str">
        <f t="shared" si="104"/>
        <v>Limón Tahití</v>
      </c>
      <c r="Q406" s="212" t="s">
        <v>142</v>
      </c>
      <c r="R406" s="212" t="s">
        <v>142</v>
      </c>
      <c r="S406" s="212"/>
      <c r="T406" s="212"/>
      <c r="U406" s="212"/>
      <c r="V406" s="212" t="s">
        <v>142</v>
      </c>
      <c r="W406" s="212" t="str">
        <f t="shared" si="103"/>
        <v/>
      </c>
      <c r="X406" s="214"/>
    </row>
    <row r="407" spans="1:24" ht="15">
      <c r="A407" s="211" t="s">
        <v>37</v>
      </c>
      <c r="B407" s="225" t="s">
        <v>265</v>
      </c>
      <c r="C407" s="220" t="s">
        <v>68</v>
      </c>
      <c r="D407" s="220" t="s">
        <v>145</v>
      </c>
      <c r="E407" s="220" t="s">
        <v>146</v>
      </c>
      <c r="F407" s="220" t="s">
        <v>167</v>
      </c>
      <c r="G407" s="220" t="s">
        <v>118</v>
      </c>
      <c r="H407" s="220" t="s">
        <v>178</v>
      </c>
      <c r="I407" s="220" t="s">
        <v>179</v>
      </c>
      <c r="J407" s="220" t="s">
        <v>180</v>
      </c>
      <c r="K407" s="220" t="s">
        <v>263</v>
      </c>
      <c r="L407" s="220" t="s">
        <v>172</v>
      </c>
      <c r="M407" s="221">
        <v>7</v>
      </c>
      <c r="N407" s="443" cm="1">
        <f t="array" ref="N407">IF(TRIM(K407)="Mano de Obra",IF(Formulario!$L$23&lt;&gt;"",Formulario!$L$23,IFERROR(VLOOKUP(TRIM($M$4),Jornalesdeppto!A:C,3,0),"")),_xlfn.XLOOKUP(1,(Tabla_Costos_Insumos!$A$2:$A$3199=TRIM($M$4))*(Tabla_Costos_Insumos!$C$2:$C$3199=TRIM(K407)),Tabla_Costos_Insumos!$E$2:$E$3199,"",0))</f>
        <v>210423.61</v>
      </c>
      <c r="O407" s="443">
        <f t="shared" si="111"/>
        <v>1472965.27</v>
      </c>
      <c r="P407" s="220" t="str">
        <f t="shared" si="104"/>
        <v>Limón Tahití</v>
      </c>
      <c r="Q407" s="212" t="s">
        <v>142</v>
      </c>
      <c r="R407" s="212" t="s">
        <v>142</v>
      </c>
      <c r="S407" s="212"/>
      <c r="T407" s="212"/>
      <c r="U407" s="212"/>
      <c r="V407" s="212" t="s">
        <v>142</v>
      </c>
      <c r="W407" s="212" t="str">
        <f t="shared" si="103"/>
        <v/>
      </c>
      <c r="X407" s="214"/>
    </row>
    <row r="408" spans="1:24" ht="15">
      <c r="A408" s="211" t="s">
        <v>37</v>
      </c>
      <c r="B408" s="225" t="s">
        <v>265</v>
      </c>
      <c r="C408" s="220" t="s">
        <v>68</v>
      </c>
      <c r="D408" s="220" t="s">
        <v>145</v>
      </c>
      <c r="E408" s="220" t="s">
        <v>146</v>
      </c>
      <c r="F408" s="220" t="s">
        <v>167</v>
      </c>
      <c r="G408" s="220" t="s">
        <v>118</v>
      </c>
      <c r="H408" s="220" t="s">
        <v>178</v>
      </c>
      <c r="I408" s="220" t="s">
        <v>179</v>
      </c>
      <c r="J408" s="220" t="s">
        <v>180</v>
      </c>
      <c r="K408" s="220" t="s">
        <v>181</v>
      </c>
      <c r="L408" s="220" t="s">
        <v>172</v>
      </c>
      <c r="M408" s="221">
        <v>4</v>
      </c>
      <c r="N408" s="443" cm="1">
        <f t="array" ref="N408">IF(TRIM(K408)="Mano de Obra",IF(Formulario!$L$23&lt;&gt;"",Formulario!$L$23,IFERROR(VLOOKUP(TRIM($M$4),Jornalesdeppto!A:C,3,0),"")),_xlfn.XLOOKUP(1,(Tabla_Costos_Insumos!$A$2:$A$3199=TRIM($M$4))*(Tabla_Costos_Insumos!$C$2:$C$3199=TRIM(K408)),Tabla_Costos_Insumos!$E$2:$E$3199,"",0))</f>
        <v>34056.25</v>
      </c>
      <c r="O408" s="443">
        <f t="shared" si="111"/>
        <v>136225</v>
      </c>
      <c r="P408" s="220" t="str">
        <f t="shared" si="104"/>
        <v>Limón Tahití</v>
      </c>
      <c r="Q408" s="212" t="s">
        <v>142</v>
      </c>
      <c r="R408" s="212" t="s">
        <v>142</v>
      </c>
      <c r="S408" s="212"/>
      <c r="T408" s="212"/>
      <c r="U408" s="212"/>
      <c r="V408" s="212" t="s">
        <v>142</v>
      </c>
      <c r="W408" s="212" t="str">
        <f t="shared" si="103"/>
        <v/>
      </c>
      <c r="X408" s="214"/>
    </row>
    <row r="409" spans="1:24" ht="15">
      <c r="A409" s="211" t="s">
        <v>37</v>
      </c>
      <c r="B409" s="225" t="s">
        <v>265</v>
      </c>
      <c r="C409" s="220" t="s">
        <v>68</v>
      </c>
      <c r="D409" s="220" t="s">
        <v>145</v>
      </c>
      <c r="E409" s="220" t="s">
        <v>146</v>
      </c>
      <c r="F409" s="220" t="s">
        <v>183</v>
      </c>
      <c r="G409" s="220" t="s">
        <v>184</v>
      </c>
      <c r="H409" s="220" t="s">
        <v>185</v>
      </c>
      <c r="I409" s="220" t="s">
        <v>186</v>
      </c>
      <c r="J409" s="220" t="s">
        <v>105</v>
      </c>
      <c r="K409" s="220" t="s">
        <v>187</v>
      </c>
      <c r="L409" s="220" t="s">
        <v>188</v>
      </c>
      <c r="M409" s="221">
        <v>0.1</v>
      </c>
      <c r="N409" s="443" cm="1">
        <f t="array" ref="N409">IF(TRIM(K409)="Mano de Obra",IF(Formulario!$L$23&lt;&gt;"",Formulario!$L$23,IFERROR(VLOOKUP(TRIM($M$4),Jornalesdeppto!A:C,3,0),"")),_xlfn.XLOOKUP(1,(Tabla_Costos_Insumos!$A$2:$A$3199=TRIM($M$4))*(Tabla_Costos_Insumos!$C$2:$C$3199=TRIM(K409)),Tabla_Costos_Insumos!$E$2:$E$3199,"",0))</f>
        <v>175000</v>
      </c>
      <c r="O409" s="443">
        <f t="shared" si="111"/>
        <v>17500</v>
      </c>
      <c r="P409" s="220" t="str">
        <f t="shared" si="104"/>
        <v>Limón Tahití</v>
      </c>
      <c r="Q409" s="212" t="s">
        <v>142</v>
      </c>
      <c r="R409" s="212" t="s">
        <v>142</v>
      </c>
      <c r="S409" s="212"/>
      <c r="T409" s="212"/>
      <c r="U409" s="212"/>
      <c r="V409" s="212" t="s">
        <v>142</v>
      </c>
      <c r="W409" s="212" t="str">
        <f t="shared" si="103"/>
        <v/>
      </c>
      <c r="X409" s="214"/>
    </row>
    <row r="410" spans="1:24" ht="15">
      <c r="A410" s="211" t="s">
        <v>37</v>
      </c>
      <c r="B410" s="225" t="s">
        <v>265</v>
      </c>
      <c r="C410" s="220" t="s">
        <v>68</v>
      </c>
      <c r="D410" s="220" t="s">
        <v>189</v>
      </c>
      <c r="E410" s="220" t="s">
        <v>190</v>
      </c>
      <c r="F410" s="220" t="s">
        <v>191</v>
      </c>
      <c r="G410" s="220" t="s">
        <v>192</v>
      </c>
      <c r="H410" s="220" t="s">
        <v>193</v>
      </c>
      <c r="I410" s="220" t="s">
        <v>194</v>
      </c>
      <c r="J410" s="220" t="s">
        <v>195</v>
      </c>
      <c r="K410" s="220" t="s">
        <v>196</v>
      </c>
      <c r="L410" s="220" t="s">
        <v>197</v>
      </c>
      <c r="M410" s="221">
        <v>1</v>
      </c>
      <c r="N410" s="443">
        <f>IFERROR(SUM(O392:$O$409)*0.08,0)</f>
        <v>703098.40592533839</v>
      </c>
      <c r="O410" s="443">
        <f t="shared" si="111"/>
        <v>703098.40592533839</v>
      </c>
      <c r="P410" s="220" t="str">
        <f t="shared" si="104"/>
        <v>Limón Tahití</v>
      </c>
      <c r="Q410" s="212" t="s">
        <v>142</v>
      </c>
      <c r="R410" s="212" t="s">
        <v>142</v>
      </c>
      <c r="S410" s="212"/>
      <c r="T410" s="212"/>
      <c r="U410" s="212"/>
      <c r="V410" s="212" t="s">
        <v>142</v>
      </c>
      <c r="W410" s="212" t="str">
        <f t="shared" si="103"/>
        <v/>
      </c>
      <c r="X410" s="214"/>
    </row>
    <row r="411" spans="1:24" ht="15">
      <c r="A411" s="211" t="s">
        <v>37</v>
      </c>
      <c r="B411" s="225" t="s">
        <v>265</v>
      </c>
      <c r="C411" s="220" t="s">
        <v>68</v>
      </c>
      <c r="D411" s="220" t="s">
        <v>189</v>
      </c>
      <c r="E411" s="220" t="s">
        <v>190</v>
      </c>
      <c r="F411" s="220" t="s">
        <v>198</v>
      </c>
      <c r="G411" s="220" t="s">
        <v>199</v>
      </c>
      <c r="H411" s="220" t="s">
        <v>200</v>
      </c>
      <c r="I411" s="220" t="s">
        <v>201</v>
      </c>
      <c r="J411" s="220" t="s">
        <v>105</v>
      </c>
      <c r="K411" s="220" t="s">
        <v>202</v>
      </c>
      <c r="L411" s="220" t="s">
        <v>203</v>
      </c>
      <c r="M411" s="221">
        <v>1</v>
      </c>
      <c r="N411" s="443" cm="1">
        <f t="array" ref="N411">IF(TRIM(K411)="Mano de Obra",IF(Formulario!$L$23&lt;&gt;"",Formulario!$L$23,IFERROR(VLOOKUP(TRIM($M$4),Jornalesdeppto!A:C,3,0),"")),_xlfn.XLOOKUP(1,(Tabla_Costos_Insumos!$A$2:$A$3199=TRIM($M$4))*(Tabla_Costos_Insumos!$C$2:$C$3199=TRIM(K411)),Tabla_Costos_Insumos!$E$2:$E$3199,"",0))</f>
        <v>120000</v>
      </c>
      <c r="O411" s="443">
        <f t="shared" si="111"/>
        <v>120000</v>
      </c>
      <c r="P411" s="220" t="str">
        <f t="shared" si="104"/>
        <v>Limón Tahití</v>
      </c>
      <c r="Q411" s="212" t="s">
        <v>142</v>
      </c>
      <c r="R411" s="212" t="s">
        <v>142</v>
      </c>
      <c r="S411" s="212"/>
      <c r="T411" s="212"/>
      <c r="U411" s="212"/>
      <c r="V411" s="212" t="s">
        <v>142</v>
      </c>
      <c r="W411" s="212" t="str">
        <f t="shared" si="103"/>
        <v/>
      </c>
      <c r="X411" s="214"/>
    </row>
    <row r="412" spans="1:24" ht="15">
      <c r="A412" s="211" t="s">
        <v>37</v>
      </c>
      <c r="B412" s="225" t="s">
        <v>265</v>
      </c>
      <c r="C412" s="220" t="s">
        <v>68</v>
      </c>
      <c r="D412" s="220" t="s">
        <v>189</v>
      </c>
      <c r="E412" s="220" t="s">
        <v>190</v>
      </c>
      <c r="F412" s="220" t="s">
        <v>204</v>
      </c>
      <c r="G412" s="220" t="s">
        <v>205</v>
      </c>
      <c r="H412" s="220" t="s">
        <v>206</v>
      </c>
      <c r="I412" s="220" t="s">
        <v>207</v>
      </c>
      <c r="J412" s="220" t="s">
        <v>4127</v>
      </c>
      <c r="K412" s="220" t="s">
        <v>228</v>
      </c>
      <c r="L412" s="220" t="s">
        <v>197</v>
      </c>
      <c r="M412" s="221">
        <v>1</v>
      </c>
      <c r="N412" s="443" t="str">
        <f>IF($M$3="Limón tahití",$J$4,"")</f>
        <v/>
      </c>
      <c r="O412" s="443" t="str">
        <f t="shared" si="111"/>
        <v/>
      </c>
      <c r="P412" s="220" t="str">
        <f t="shared" si="104"/>
        <v>Limón Tahití</v>
      </c>
      <c r="Q412" s="212" t="s">
        <v>142</v>
      </c>
      <c r="R412" s="212" t="s">
        <v>142</v>
      </c>
      <c r="S412" s="212"/>
      <c r="T412" s="212"/>
      <c r="U412" s="212"/>
      <c r="V412" s="212" t="s">
        <v>142</v>
      </c>
      <c r="W412" s="212" t="str">
        <f t="shared" si="103"/>
        <v/>
      </c>
      <c r="X412" s="214"/>
    </row>
    <row r="413" spans="1:24" ht="15">
      <c r="A413" s="211" t="s">
        <v>37</v>
      </c>
      <c r="B413" s="225" t="s">
        <v>258</v>
      </c>
      <c r="C413" s="220" t="s">
        <v>68</v>
      </c>
      <c r="D413" s="220" t="s">
        <v>99</v>
      </c>
      <c r="E413" s="220" t="s">
        <v>100</v>
      </c>
      <c r="F413" s="220" t="s">
        <v>101</v>
      </c>
      <c r="G413" s="220" t="s">
        <v>102</v>
      </c>
      <c r="H413" s="220" t="s">
        <v>214</v>
      </c>
      <c r="I413" s="220" t="s">
        <v>20</v>
      </c>
      <c r="J413" s="220" t="s">
        <v>105</v>
      </c>
      <c r="K413" s="220" t="s">
        <v>106</v>
      </c>
      <c r="L413" s="220" t="s">
        <v>107</v>
      </c>
      <c r="M413" s="221">
        <f t="shared" ref="M413:M422" si="112">IF(W413&lt;&gt;"", W413, ROUNDUP(X413*T413, 0))</f>
        <v>6</v>
      </c>
      <c r="N413" s="443" cm="1">
        <f t="array" ref="N413">IF(TRIM(K413)="Mano de Obra",IF(Formulario!$L$23&lt;&gt;"",Formulario!$L$23,IFERROR(VLOOKUP(TRIM($M$4),Jornalesdeppto!A:C,3,0),"")),_xlfn.XLOOKUP(1,(Tabla_Costos_Insumos!$A$2:$A$3199=TRIM($M$4))*(Tabla_Costos_Insumos!$C$2:$C$3199=TRIM(K413)),Tabla_Costos_Insumos!$E$2:$E$3199,"",0))</f>
        <v>46666.666666666664</v>
      </c>
      <c r="O413" s="443">
        <f t="shared" si="111"/>
        <v>280000</v>
      </c>
      <c r="P413" s="220" t="str">
        <f t="shared" si="104"/>
        <v>Limón Común</v>
      </c>
      <c r="Q413" s="212" t="s">
        <v>108</v>
      </c>
      <c r="R413" s="212">
        <v>0.5</v>
      </c>
      <c r="S413" s="212" t="str">
        <f>IF($M$3="Limón Común",($I$3*R413) / 480,"")</f>
        <v/>
      </c>
      <c r="T413" s="212" cm="1">
        <f t="array" ref="T413">_xlfn.IFS($D$5&lt;=7, 1.1, $D$5&lt;=12,1.2, $D$5&lt;=25, 1.3, $D$5&gt;25,1.4)</f>
        <v>1.3</v>
      </c>
      <c r="U413" s="212"/>
      <c r="V413" s="212">
        <v>0</v>
      </c>
      <c r="W413" s="212"/>
      <c r="X413" s="214">
        <v>4</v>
      </c>
    </row>
    <row r="414" spans="1:24" ht="15">
      <c r="A414" s="211" t="s">
        <v>37</v>
      </c>
      <c r="B414" s="225" t="s">
        <v>258</v>
      </c>
      <c r="C414" s="220" t="s">
        <v>68</v>
      </c>
      <c r="D414" s="220" t="s">
        <v>99</v>
      </c>
      <c r="E414" s="220" t="s">
        <v>100</v>
      </c>
      <c r="F414" s="220" t="s">
        <v>109</v>
      </c>
      <c r="G414" s="220" t="s">
        <v>110</v>
      </c>
      <c r="H414" s="220" t="s">
        <v>111</v>
      </c>
      <c r="I414" s="220" t="s">
        <v>112</v>
      </c>
      <c r="J414" s="220" t="s">
        <v>105</v>
      </c>
      <c r="K414" s="220" t="s">
        <v>106</v>
      </c>
      <c r="L414" s="220" t="s">
        <v>107</v>
      </c>
      <c r="M414" s="221">
        <f t="shared" si="112"/>
        <v>4</v>
      </c>
      <c r="N414" s="443" cm="1">
        <f t="array" ref="N414">IF(TRIM(K414)="Mano de Obra",IF(Formulario!$L$23&lt;&gt;"",Formulario!$L$23,IFERROR(VLOOKUP(TRIM($M$4),Jornalesdeppto!A:C,3,0),"")),_xlfn.XLOOKUP(1,(Tabla_Costos_Insumos!$A$2:$A$3199=TRIM($M$4))*(Tabla_Costos_Insumos!$C$2:$C$3199=TRIM(K414)),Tabla_Costos_Insumos!$E$2:$E$3199,"",0))</f>
        <v>46666.666666666664</v>
      </c>
      <c r="O414" s="443">
        <f t="shared" si="111"/>
        <v>186666.66666666666</v>
      </c>
      <c r="P414" s="220" t="str">
        <f t="shared" si="104"/>
        <v>Limón Común</v>
      </c>
      <c r="Q414" s="212" t="s">
        <v>108</v>
      </c>
      <c r="R414" s="212">
        <v>0.4</v>
      </c>
      <c r="S414" s="212" t="str">
        <f>IF($M$3="Limón Común",($I$3*R414) / 480,"")</f>
        <v/>
      </c>
      <c r="T414" s="212" cm="1">
        <f t="array" ref="T414">_xlfn.IFS($D$5&lt;=7, 1.1, $D$5&lt;=12,1.2, $D$5&lt;=25, 1.3, $D$5&gt;25,1.4)</f>
        <v>1.3</v>
      </c>
      <c r="U414" s="212" t="str">
        <f t="shared" ref="U414:U418" si="113">IFERROR(S414*T414,"")</f>
        <v/>
      </c>
      <c r="V414" s="212">
        <v>2</v>
      </c>
      <c r="W414" s="212" t="str">
        <f t="shared" si="103"/>
        <v/>
      </c>
      <c r="X414" s="214">
        <v>3</v>
      </c>
    </row>
    <row r="415" spans="1:24" ht="15">
      <c r="A415" s="211" t="s">
        <v>37</v>
      </c>
      <c r="B415" s="225" t="s">
        <v>258</v>
      </c>
      <c r="C415" s="220" t="s">
        <v>68</v>
      </c>
      <c r="D415" s="220" t="s">
        <v>99</v>
      </c>
      <c r="E415" s="220" t="s">
        <v>100</v>
      </c>
      <c r="F415" s="220" t="s">
        <v>109</v>
      </c>
      <c r="G415" s="220" t="s">
        <v>110</v>
      </c>
      <c r="H415" s="220" t="s">
        <v>234</v>
      </c>
      <c r="I415" s="220" t="s">
        <v>235</v>
      </c>
      <c r="J415" s="220" t="s">
        <v>105</v>
      </c>
      <c r="K415" s="220" t="s">
        <v>106</v>
      </c>
      <c r="L415" s="220" t="s">
        <v>107</v>
      </c>
      <c r="M415" s="221">
        <f t="shared" si="112"/>
        <v>6</v>
      </c>
      <c r="N415" s="443" cm="1">
        <f t="array" ref="N415">IF(TRIM(K415)="Mano de Obra",IF(Formulario!$L$23&lt;&gt;"",Formulario!$L$23,IFERROR(VLOOKUP(TRIM($M$4),Jornalesdeppto!A:C,3,0),"")),_xlfn.XLOOKUP(1,(Tabla_Costos_Insumos!$A$2:$A$3199=TRIM($M$4))*(Tabla_Costos_Insumos!$C$2:$C$3199=TRIM(K415)),Tabla_Costos_Insumos!$E$2:$E$3199,"",0))</f>
        <v>46666.666666666664</v>
      </c>
      <c r="O415" s="443">
        <f t="shared" si="111"/>
        <v>280000</v>
      </c>
      <c r="P415" s="220" t="str">
        <f t="shared" si="104"/>
        <v>Limón Común</v>
      </c>
      <c r="Q415" s="212" t="s">
        <v>108</v>
      </c>
      <c r="R415" s="212">
        <v>2</v>
      </c>
      <c r="S415" s="212" t="str">
        <f t="shared" ref="S415:S418" si="114">IF($M$3="Limón Común",($I$3*R415) / 480,"")</f>
        <v/>
      </c>
      <c r="T415" s="212" cm="1">
        <f t="array" ref="T415">_xlfn.IFS($D$5&lt;=7, 1.1, $D$5&lt;=12,1.2, $D$5&lt;=25, 1.3, $D$5&gt;25,1.4)</f>
        <v>1.3</v>
      </c>
      <c r="U415" s="212" t="str">
        <f t="shared" si="113"/>
        <v/>
      </c>
      <c r="V415" s="212">
        <v>4</v>
      </c>
      <c r="W415" s="212" t="str">
        <f t="shared" si="103"/>
        <v/>
      </c>
      <c r="X415" s="214">
        <v>4</v>
      </c>
    </row>
    <row r="416" spans="1:24" ht="15">
      <c r="A416" s="211" t="s">
        <v>37</v>
      </c>
      <c r="B416" s="225" t="s">
        <v>258</v>
      </c>
      <c r="C416" s="220" t="s">
        <v>68</v>
      </c>
      <c r="D416" s="220" t="s">
        <v>99</v>
      </c>
      <c r="E416" s="220" t="s">
        <v>100</v>
      </c>
      <c r="F416" s="220" t="s">
        <v>113</v>
      </c>
      <c r="G416" s="220" t="s">
        <v>114</v>
      </c>
      <c r="H416" s="220" t="s">
        <v>115</v>
      </c>
      <c r="I416" s="220" t="s">
        <v>116</v>
      </c>
      <c r="J416" s="220" t="s">
        <v>105</v>
      </c>
      <c r="K416" s="220" t="s">
        <v>106</v>
      </c>
      <c r="L416" s="220" t="s">
        <v>107</v>
      </c>
      <c r="M416" s="221">
        <f t="shared" si="112"/>
        <v>8</v>
      </c>
      <c r="N416" s="443" cm="1">
        <f t="array" ref="N416">IF(TRIM(K416)="Mano de Obra",IF(Formulario!$L$23&lt;&gt;"",Formulario!$L$23,IFERROR(VLOOKUP(TRIM($M$4),Jornalesdeppto!A:C,3,0),"")),_xlfn.XLOOKUP(1,(Tabla_Costos_Insumos!$A$2:$A$3199=TRIM($M$4))*(Tabla_Costos_Insumos!$C$2:$C$3199=TRIM(K416)),Tabla_Costos_Insumos!$E$2:$E$3199,"",0))</f>
        <v>46666.666666666664</v>
      </c>
      <c r="O416" s="443">
        <f t="shared" si="111"/>
        <v>373333.33333333331</v>
      </c>
      <c r="P416" s="220" t="str">
        <f t="shared" si="104"/>
        <v>Limón Común</v>
      </c>
      <c r="Q416" s="212" t="s">
        <v>108</v>
      </c>
      <c r="R416" s="212">
        <v>3</v>
      </c>
      <c r="S416" s="212" t="str">
        <f t="shared" si="114"/>
        <v/>
      </c>
      <c r="T416" s="212" cm="1">
        <f t="array" ref="T416">_xlfn.IFS($D$5&lt;=7, 1.1, $D$5&lt;=12,1.2, $D$5&lt;=25, 1.3, $D$5&gt;25,1.4)</f>
        <v>1.3</v>
      </c>
      <c r="U416" s="212" t="str">
        <f t="shared" si="113"/>
        <v/>
      </c>
      <c r="V416" s="212">
        <v>2</v>
      </c>
      <c r="W416" s="212" t="str">
        <f t="shared" si="103"/>
        <v/>
      </c>
      <c r="X416" s="214">
        <v>6</v>
      </c>
    </row>
    <row r="417" spans="1:24" ht="15">
      <c r="A417" s="211" t="s">
        <v>37</v>
      </c>
      <c r="B417" s="225" t="s">
        <v>258</v>
      </c>
      <c r="C417" s="220" t="s">
        <v>68</v>
      </c>
      <c r="D417" s="220" t="s">
        <v>99</v>
      </c>
      <c r="E417" s="220" t="s">
        <v>100</v>
      </c>
      <c r="F417" s="220" t="s">
        <v>117</v>
      </c>
      <c r="G417" s="220" t="s">
        <v>118</v>
      </c>
      <c r="H417" s="220" t="s">
        <v>119</v>
      </c>
      <c r="I417" s="220" t="s">
        <v>120</v>
      </c>
      <c r="J417" s="220" t="s">
        <v>105</v>
      </c>
      <c r="K417" s="220" t="s">
        <v>106</v>
      </c>
      <c r="L417" s="220" t="s">
        <v>107</v>
      </c>
      <c r="M417" s="221">
        <f t="shared" si="112"/>
        <v>11</v>
      </c>
      <c r="N417" s="443" cm="1">
        <f t="array" ref="N417">IF(TRIM(K417)="Mano de Obra",IF(Formulario!$L$23&lt;&gt;"",Formulario!$L$23,IFERROR(VLOOKUP(TRIM($M$4),Jornalesdeppto!A:C,3,0),"")),_xlfn.XLOOKUP(1,(Tabla_Costos_Insumos!$A$2:$A$3199=TRIM($M$4))*(Tabla_Costos_Insumos!$C$2:$C$3199=TRIM(K417)),Tabla_Costos_Insumos!$E$2:$E$3199,"",0))</f>
        <v>46666.666666666664</v>
      </c>
      <c r="O417" s="443">
        <f t="shared" si="111"/>
        <v>513333.33333333331</v>
      </c>
      <c r="P417" s="220" t="str">
        <f t="shared" si="104"/>
        <v>Limón Común</v>
      </c>
      <c r="Q417" s="212" t="s">
        <v>108</v>
      </c>
      <c r="R417" s="212">
        <v>4</v>
      </c>
      <c r="S417" s="212" t="str">
        <f t="shared" si="114"/>
        <v/>
      </c>
      <c r="T417" s="212" cm="1">
        <f t="array" ref="T417">_xlfn.IFS($D$5&lt;=7, 1.1, $D$5&lt;=12,1.2, $D$5&lt;=25, 1.3, $D$5&gt;25,1.4)</f>
        <v>1.3</v>
      </c>
      <c r="U417" s="212" t="str">
        <f t="shared" si="113"/>
        <v/>
      </c>
      <c r="V417" s="212">
        <v>9</v>
      </c>
      <c r="W417" s="212" t="str">
        <f t="shared" si="103"/>
        <v/>
      </c>
      <c r="X417" s="214">
        <v>8</v>
      </c>
    </row>
    <row r="418" spans="1:24" ht="15">
      <c r="A418" s="211" t="s">
        <v>37</v>
      </c>
      <c r="B418" s="225" t="s">
        <v>258</v>
      </c>
      <c r="C418" s="220" t="s">
        <v>68</v>
      </c>
      <c r="D418" s="220" t="s">
        <v>99</v>
      </c>
      <c r="E418" s="220" t="s">
        <v>100</v>
      </c>
      <c r="F418" s="220" t="s">
        <v>117</v>
      </c>
      <c r="G418" s="220" t="s">
        <v>118</v>
      </c>
      <c r="H418" s="220" t="s">
        <v>121</v>
      </c>
      <c r="I418" s="220" t="s">
        <v>122</v>
      </c>
      <c r="J418" s="220" t="s">
        <v>105</v>
      </c>
      <c r="K418" s="220" t="s">
        <v>106</v>
      </c>
      <c r="L418" s="220" t="s">
        <v>107</v>
      </c>
      <c r="M418" s="221">
        <f t="shared" si="112"/>
        <v>11</v>
      </c>
      <c r="N418" s="443" cm="1">
        <f t="array" ref="N418">IF(TRIM(K418)="Mano de Obra",IF(Formulario!$L$23&lt;&gt;"",Formulario!$L$23,IFERROR(VLOOKUP(TRIM($M$4),Jornalesdeppto!A:C,3,0),"")),_xlfn.XLOOKUP(1,(Tabla_Costos_Insumos!$A$2:$A$3199=TRIM($M$4))*(Tabla_Costos_Insumos!$C$2:$C$3199=TRIM(K418)),Tabla_Costos_Insumos!$E$2:$E$3199,"",0))</f>
        <v>46666.666666666664</v>
      </c>
      <c r="O418" s="443">
        <f t="shared" si="111"/>
        <v>513333.33333333331</v>
      </c>
      <c r="P418" s="220" t="str">
        <f t="shared" si="104"/>
        <v>Limón Común</v>
      </c>
      <c r="Q418" s="212" t="s">
        <v>108</v>
      </c>
      <c r="R418" s="212">
        <v>4</v>
      </c>
      <c r="S418" s="212" t="str">
        <f t="shared" si="114"/>
        <v/>
      </c>
      <c r="T418" s="212" cm="1">
        <f t="array" ref="T418">_xlfn.IFS($D$5&lt;=7, 1.1, $D$5&lt;=12,1.2, $D$5&lt;=25, 1.3, $D$5&gt;25,1.4)</f>
        <v>1.3</v>
      </c>
      <c r="U418" s="212" t="str">
        <f t="shared" si="113"/>
        <v/>
      </c>
      <c r="V418" s="212">
        <v>9</v>
      </c>
      <c r="W418" s="212" t="str">
        <f t="shared" si="103"/>
        <v/>
      </c>
      <c r="X418" s="214">
        <v>8</v>
      </c>
    </row>
    <row r="419" spans="1:24" ht="15">
      <c r="A419" s="211" t="s">
        <v>37</v>
      </c>
      <c r="B419" s="225" t="s">
        <v>258</v>
      </c>
      <c r="C419" s="220" t="s">
        <v>68</v>
      </c>
      <c r="D419" s="220" t="s">
        <v>99</v>
      </c>
      <c r="E419" s="220" t="s">
        <v>100</v>
      </c>
      <c r="F419" s="220" t="s">
        <v>123</v>
      </c>
      <c r="G419" s="220" t="s">
        <v>124</v>
      </c>
      <c r="H419" s="220" t="s">
        <v>125</v>
      </c>
      <c r="I419" s="220" t="s">
        <v>126</v>
      </c>
      <c r="J419" s="220" t="s">
        <v>105</v>
      </c>
      <c r="K419" s="220" t="s">
        <v>106</v>
      </c>
      <c r="L419" s="220" t="s">
        <v>107</v>
      </c>
      <c r="M419" s="221">
        <f t="shared" si="112"/>
        <v>4</v>
      </c>
      <c r="N419" s="443" cm="1">
        <f t="array" ref="N419">IF(TRIM(K419)="Mano de Obra",IF(Formulario!$L$23&lt;&gt;"",Formulario!$L$23,IFERROR(VLOOKUP(TRIM($M$4),Jornalesdeppto!A:C,3,0),"")),_xlfn.XLOOKUP(1,(Tabla_Costos_Insumos!$A$2:$A$3199=TRIM($M$4))*(Tabla_Costos_Insumos!$C$2:$C$3199=TRIM(K419)),Tabla_Costos_Insumos!$E$2:$E$3199,"",0))</f>
        <v>46666.666666666664</v>
      </c>
      <c r="O419" s="443">
        <f t="shared" si="111"/>
        <v>186666.66666666666</v>
      </c>
      <c r="P419" s="220" t="str">
        <f t="shared" si="104"/>
        <v>Limón Común</v>
      </c>
      <c r="Q419" s="212" t="s">
        <v>127</v>
      </c>
      <c r="R419" s="212">
        <v>0.09</v>
      </c>
      <c r="S419" s="212">
        <f t="shared" ref="S419:S420" si="115">10000*R419/480</f>
        <v>1.875</v>
      </c>
      <c r="T419" s="212" cm="1">
        <f t="array" ref="T419">_xlfn.IFS($D$5&lt;=7, 1.1, $D$5&lt;=12,1.2, $D$5&lt;=25, 1.3, $D$5&gt;25,1.4)</f>
        <v>1.3</v>
      </c>
      <c r="U419" s="212"/>
      <c r="V419" s="212">
        <v>2</v>
      </c>
      <c r="W419" s="212"/>
      <c r="X419" s="214">
        <v>3</v>
      </c>
    </row>
    <row r="420" spans="1:24" ht="15">
      <c r="A420" s="211" t="s">
        <v>37</v>
      </c>
      <c r="B420" s="225" t="s">
        <v>258</v>
      </c>
      <c r="C420" s="220" t="s">
        <v>68</v>
      </c>
      <c r="D420" s="220" t="s">
        <v>99</v>
      </c>
      <c r="E420" s="220" t="s">
        <v>100</v>
      </c>
      <c r="F420" s="220" t="s">
        <v>123</v>
      </c>
      <c r="G420" s="220" t="s">
        <v>124</v>
      </c>
      <c r="H420" s="220" t="s">
        <v>128</v>
      </c>
      <c r="I420" s="220" t="s">
        <v>129</v>
      </c>
      <c r="J420" s="220" t="s">
        <v>105</v>
      </c>
      <c r="K420" s="220" t="s">
        <v>106</v>
      </c>
      <c r="L420" s="220" t="s">
        <v>107</v>
      </c>
      <c r="M420" s="221">
        <f t="shared" si="112"/>
        <v>10</v>
      </c>
      <c r="N420" s="443" cm="1">
        <f t="array" ref="N420">IF(TRIM(K420)="Mano de Obra",IF(Formulario!$L$23&lt;&gt;"",Formulario!$L$23,IFERROR(VLOOKUP(TRIM($M$4),Jornalesdeppto!A:C,3,0),"")),_xlfn.XLOOKUP(1,(Tabla_Costos_Insumos!$A$2:$A$3199=TRIM($M$4))*(Tabla_Costos_Insumos!$C$2:$C$3199=TRIM(K420)),Tabla_Costos_Insumos!$E$2:$E$3199,"",0))</f>
        <v>46666.666666666664</v>
      </c>
      <c r="O420" s="443">
        <f t="shared" si="111"/>
        <v>466666.66666666663</v>
      </c>
      <c r="P420" s="220" t="str">
        <f t="shared" si="104"/>
        <v>Limón Común</v>
      </c>
      <c r="Q420" s="212" t="s">
        <v>127</v>
      </c>
      <c r="R420" s="212">
        <v>0.09</v>
      </c>
      <c r="S420" s="212">
        <f t="shared" si="115"/>
        <v>1.875</v>
      </c>
      <c r="T420" s="212" cm="1">
        <f t="array" ref="T420">_xlfn.IFS($D$5&lt;=7, 1.1, $D$5&lt;=12,1.2, $D$5&lt;=25, 1.3, $D$5&gt;25,1.4)</f>
        <v>1.3</v>
      </c>
      <c r="U420" s="212"/>
      <c r="V420" s="212">
        <v>2</v>
      </c>
      <c r="W420" s="212"/>
      <c r="X420" s="214">
        <v>7</v>
      </c>
    </row>
    <row r="421" spans="1:24" ht="15">
      <c r="A421" s="211" t="s">
        <v>37</v>
      </c>
      <c r="B421" s="225" t="s">
        <v>258</v>
      </c>
      <c r="C421" s="220" t="s">
        <v>68</v>
      </c>
      <c r="D421" s="220" t="s">
        <v>99</v>
      </c>
      <c r="E421" s="220" t="s">
        <v>100</v>
      </c>
      <c r="F421" s="220" t="s">
        <v>130</v>
      </c>
      <c r="G421" s="220" t="s">
        <v>131</v>
      </c>
      <c r="H421" s="220" t="s">
        <v>132</v>
      </c>
      <c r="I421" s="220" t="s">
        <v>133</v>
      </c>
      <c r="J421" s="220" t="s">
        <v>105</v>
      </c>
      <c r="K421" s="220" t="s">
        <v>106</v>
      </c>
      <c r="L421" s="220" t="s">
        <v>107</v>
      </c>
      <c r="M421" s="221">
        <f t="shared" si="112"/>
        <v>4</v>
      </c>
      <c r="N421" s="443" cm="1">
        <f t="array" ref="N421">IF(TRIM(K421)="Mano de Obra",IF(Formulario!$L$23&lt;&gt;"",Formulario!$L$23,IFERROR(VLOOKUP(TRIM($M$4),Jornalesdeppto!A:C,3,0),"")),_xlfn.XLOOKUP(1,(Tabla_Costos_Insumos!$A$2:$A$3199=TRIM($M$4))*(Tabla_Costos_Insumos!$C$2:$C$3199=TRIM(K421)),Tabla_Costos_Insumos!$E$2:$E$3199,"",0))</f>
        <v>46666.666666666664</v>
      </c>
      <c r="O421" s="443">
        <f t="shared" si="111"/>
        <v>186666.66666666666</v>
      </c>
      <c r="P421" s="220" t="str">
        <f t="shared" si="104"/>
        <v>Limón Común</v>
      </c>
      <c r="Q421" s="212" t="s">
        <v>108</v>
      </c>
      <c r="R421" s="212">
        <v>1.5</v>
      </c>
      <c r="S421" s="212" t="str">
        <f>IF($M$3="Limón Común",($I$3*R421) / 480,"")</f>
        <v/>
      </c>
      <c r="T421" s="212" cm="1">
        <f t="array" ref="T421">_xlfn.IFS($D$5&lt;=7, 1.1, $D$5&lt;=12,1.2, $D$5&lt;=25, 1.3, $D$5&gt;25,1.4)</f>
        <v>1.3</v>
      </c>
      <c r="U421" s="212" t="str">
        <f t="shared" ref="U421:U422" si="116">IFERROR(S421*T421,"")</f>
        <v/>
      </c>
      <c r="V421" s="212">
        <v>4</v>
      </c>
      <c r="W421" s="212" t="str">
        <f t="shared" si="103"/>
        <v/>
      </c>
      <c r="X421" s="214">
        <v>3</v>
      </c>
    </row>
    <row r="422" spans="1:24" ht="15">
      <c r="A422" s="211" t="s">
        <v>37</v>
      </c>
      <c r="B422" s="225" t="s">
        <v>258</v>
      </c>
      <c r="C422" s="220" t="s">
        <v>68</v>
      </c>
      <c r="D422" s="220" t="s">
        <v>99</v>
      </c>
      <c r="E422" s="220" t="s">
        <v>100</v>
      </c>
      <c r="F422" s="220" t="s">
        <v>130</v>
      </c>
      <c r="G422" s="220" t="s">
        <v>131</v>
      </c>
      <c r="H422" s="220" t="s">
        <v>134</v>
      </c>
      <c r="I422" s="220" t="s">
        <v>135</v>
      </c>
      <c r="J422" s="220" t="s">
        <v>105</v>
      </c>
      <c r="K422" s="220" t="s">
        <v>106</v>
      </c>
      <c r="L422" s="220" t="s">
        <v>107</v>
      </c>
      <c r="M422" s="221">
        <f t="shared" si="112"/>
        <v>3</v>
      </c>
      <c r="N422" s="443" cm="1">
        <f t="array" ref="N422">IF(TRIM(K422)="Mano de Obra",IF(Formulario!$L$23&lt;&gt;"",Formulario!$L$23,IFERROR(VLOOKUP(TRIM($M$4),Jornalesdeppto!A:C,3,0),"")),_xlfn.XLOOKUP(1,(Tabla_Costos_Insumos!$A$2:$A$3199=TRIM($M$4))*(Tabla_Costos_Insumos!$C$2:$C$3199=TRIM(K422)),Tabla_Costos_Insumos!$E$2:$E$3199,"",0))</f>
        <v>46666.666666666664</v>
      </c>
      <c r="O422" s="443">
        <f t="shared" si="111"/>
        <v>140000</v>
      </c>
      <c r="P422" s="220" t="str">
        <f t="shared" si="104"/>
        <v>Limón Común</v>
      </c>
      <c r="Q422" s="212" t="s">
        <v>108</v>
      </c>
      <c r="R422" s="212">
        <v>1.5</v>
      </c>
      <c r="S422" s="212" t="str">
        <f>IF($M$3="Limón Común",($I$3*R422) / 480,"")</f>
        <v/>
      </c>
      <c r="T422" s="212" cm="1">
        <f t="array" ref="T422">_xlfn.IFS($D$5&lt;=7, 1.1, $D$5&lt;=12,1.2, $D$5&lt;=25, 1.3, $D$5&gt;25,1.4)</f>
        <v>1.3</v>
      </c>
      <c r="U422" s="212" t="str">
        <f t="shared" si="116"/>
        <v/>
      </c>
      <c r="V422" s="212">
        <v>4</v>
      </c>
      <c r="W422" s="212" t="str">
        <f t="shared" si="103"/>
        <v/>
      </c>
      <c r="X422" s="214">
        <v>2</v>
      </c>
    </row>
    <row r="423" spans="1:24" ht="15">
      <c r="A423" s="211" t="s">
        <v>37</v>
      </c>
      <c r="B423" s="225" t="s">
        <v>258</v>
      </c>
      <c r="C423" s="220" t="s">
        <v>68</v>
      </c>
      <c r="D423" s="220" t="s">
        <v>145</v>
      </c>
      <c r="E423" s="220" t="s">
        <v>146</v>
      </c>
      <c r="F423" s="220" t="s">
        <v>147</v>
      </c>
      <c r="G423" s="220" t="s">
        <v>131</v>
      </c>
      <c r="H423" s="220" t="s">
        <v>148</v>
      </c>
      <c r="I423" s="220" t="s">
        <v>153</v>
      </c>
      <c r="J423" s="220" t="s">
        <v>149</v>
      </c>
      <c r="K423" s="220" t="s">
        <v>166</v>
      </c>
      <c r="L423" s="220" t="s">
        <v>151</v>
      </c>
      <c r="M423" s="221">
        <v>3</v>
      </c>
      <c r="N423" s="443" cm="1">
        <f t="array" ref="N423">IF(TRIM(K423)="Mano de Obra",IF(Formulario!$L$23&lt;&gt;"",Formulario!$L$23,IFERROR(VLOOKUP(TRIM($M$4),Jornalesdeppto!A:C,3,0),"")),_xlfn.XLOOKUP(1,(Tabla_Costos_Insumos!$A$2:$A$3199=TRIM($M$4))*(Tabla_Costos_Insumos!$C$2:$C$3199=TRIM(K423)),Tabla_Costos_Insumos!$E$2:$E$3199,"",0))</f>
        <v>110000</v>
      </c>
      <c r="O423" s="443">
        <f t="shared" si="111"/>
        <v>330000</v>
      </c>
      <c r="P423" s="220" t="str">
        <f t="shared" si="104"/>
        <v>Limón Común</v>
      </c>
      <c r="Q423" s="212" t="s">
        <v>142</v>
      </c>
      <c r="R423" s="212" t="s">
        <v>142</v>
      </c>
      <c r="S423" s="212"/>
      <c r="T423" s="212"/>
      <c r="U423" s="212"/>
      <c r="V423" s="212" t="s">
        <v>142</v>
      </c>
      <c r="W423" s="212" t="str">
        <f t="shared" si="103"/>
        <v/>
      </c>
      <c r="X423" s="214"/>
    </row>
    <row r="424" spans="1:24" ht="15">
      <c r="A424" s="211" t="s">
        <v>37</v>
      </c>
      <c r="B424" s="225" t="s">
        <v>258</v>
      </c>
      <c r="C424" s="220" t="s">
        <v>68</v>
      </c>
      <c r="D424" s="220" t="s">
        <v>145</v>
      </c>
      <c r="E424" s="220" t="s">
        <v>146</v>
      </c>
      <c r="F424" s="220" t="s">
        <v>147</v>
      </c>
      <c r="G424" s="220" t="s">
        <v>131</v>
      </c>
      <c r="H424" s="220" t="s">
        <v>152</v>
      </c>
      <c r="I424" s="220" t="s">
        <v>299</v>
      </c>
      <c r="J424" s="220" t="s">
        <v>149</v>
      </c>
      <c r="K424" s="220" t="s">
        <v>150</v>
      </c>
      <c r="L424" s="220" t="s">
        <v>151</v>
      </c>
      <c r="M424" s="221">
        <v>1</v>
      </c>
      <c r="N424" s="443" cm="1">
        <f t="array" ref="N424">IF(TRIM(K424)="Mano de Obra",IF(Formulario!$L$23&lt;&gt;"",Formulario!$L$23,IFERROR(VLOOKUP(TRIM($M$4),Jornalesdeppto!A:C,3,0),"")),_xlfn.XLOOKUP(1,(Tabla_Costos_Insumos!$A$2:$A$3199=TRIM($M$4))*(Tabla_Costos_Insumos!$C$2:$C$3199=TRIM(K424)),Tabla_Costos_Insumos!$E$2:$E$3199,"",0))</f>
        <v>198055.68333333</v>
      </c>
      <c r="O424" s="443">
        <f t="shared" si="111"/>
        <v>198055.68333333</v>
      </c>
      <c r="P424" s="220" t="str">
        <f t="shared" si="104"/>
        <v>Limón Común</v>
      </c>
      <c r="Q424" s="212" t="s">
        <v>142</v>
      </c>
      <c r="R424" s="212" t="s">
        <v>142</v>
      </c>
      <c r="S424" s="212"/>
      <c r="T424" s="212"/>
      <c r="U424" s="212"/>
      <c r="V424" s="212" t="s">
        <v>142</v>
      </c>
      <c r="W424" s="212" t="str">
        <f t="shared" si="103"/>
        <v/>
      </c>
      <c r="X424" s="214"/>
    </row>
    <row r="425" spans="1:24" ht="15">
      <c r="A425" s="211" t="s">
        <v>37</v>
      </c>
      <c r="B425" s="225" t="s">
        <v>258</v>
      </c>
      <c r="C425" s="220" t="s">
        <v>68</v>
      </c>
      <c r="D425" s="220" t="s">
        <v>145</v>
      </c>
      <c r="E425" s="220" t="s">
        <v>146</v>
      </c>
      <c r="F425" s="220" t="s">
        <v>147</v>
      </c>
      <c r="G425" s="220" t="s">
        <v>131</v>
      </c>
      <c r="H425" s="220" t="s">
        <v>154</v>
      </c>
      <c r="I425" s="220" t="s">
        <v>155</v>
      </c>
      <c r="J425" s="220" t="s">
        <v>149</v>
      </c>
      <c r="K425" s="220" t="s">
        <v>156</v>
      </c>
      <c r="L425" s="220" t="s">
        <v>151</v>
      </c>
      <c r="M425" s="221">
        <v>2</v>
      </c>
      <c r="N425" s="443" cm="1">
        <f t="array" ref="N425">IF(TRIM(K425)="Mano de Obra",IF(Formulario!$L$23&lt;&gt;"",Formulario!$L$23,IFERROR(VLOOKUP(TRIM($M$4),Jornalesdeppto!A:C,3,0),"")),_xlfn.XLOOKUP(1,(Tabla_Costos_Insumos!$A$2:$A$3199=TRIM($M$4))*(Tabla_Costos_Insumos!$C$2:$C$3199=TRIM(K425)),Tabla_Costos_Insumos!$E$2:$E$3199,"",0))</f>
        <v>17212.5</v>
      </c>
      <c r="O425" s="443">
        <f t="shared" si="111"/>
        <v>34425</v>
      </c>
      <c r="P425" s="220" t="str">
        <f t="shared" si="104"/>
        <v>Limón Común</v>
      </c>
      <c r="Q425" s="212" t="s">
        <v>142</v>
      </c>
      <c r="R425" s="212" t="s">
        <v>142</v>
      </c>
      <c r="S425" s="212"/>
      <c r="T425" s="212"/>
      <c r="U425" s="212"/>
      <c r="V425" s="212" t="s">
        <v>142</v>
      </c>
      <c r="W425" s="212" t="str">
        <f t="shared" si="103"/>
        <v/>
      </c>
      <c r="X425" s="214"/>
    </row>
    <row r="426" spans="1:24" ht="15">
      <c r="A426" s="211" t="s">
        <v>37</v>
      </c>
      <c r="B426" s="225" t="s">
        <v>258</v>
      </c>
      <c r="C426" s="220" t="s">
        <v>68</v>
      </c>
      <c r="D426" s="220" t="s">
        <v>145</v>
      </c>
      <c r="E426" s="220" t="s">
        <v>146</v>
      </c>
      <c r="F426" s="220" t="s">
        <v>147</v>
      </c>
      <c r="G426" s="220" t="s">
        <v>131</v>
      </c>
      <c r="H426" s="220" t="s">
        <v>157</v>
      </c>
      <c r="I426" s="220" t="s">
        <v>158</v>
      </c>
      <c r="J426" s="220" t="s">
        <v>149</v>
      </c>
      <c r="K426" s="220" t="s">
        <v>243</v>
      </c>
      <c r="L426" s="220" t="s">
        <v>172</v>
      </c>
      <c r="M426" s="221">
        <v>14</v>
      </c>
      <c r="N426" s="443" cm="1">
        <f t="array" ref="N426">IF(TRIM(K426)="Mano de Obra",IF(Formulario!$L$23&lt;&gt;"",Formulario!$L$23,IFERROR(VLOOKUP(TRIM($M$4),Jornalesdeppto!A:C,3,0),"")),_xlfn.XLOOKUP(1,(Tabla_Costos_Insumos!$A$2:$A$3199=TRIM($M$4))*(Tabla_Costos_Insumos!$C$2:$C$3199=TRIM(K426)),Tabla_Costos_Insumos!$E$2:$E$3199,"",0))</f>
        <v>26208.33</v>
      </c>
      <c r="O426" s="443">
        <f t="shared" si="111"/>
        <v>366916.62</v>
      </c>
      <c r="P426" s="220" t="str">
        <f t="shared" si="104"/>
        <v>Limón Común</v>
      </c>
      <c r="Q426" s="212" t="s">
        <v>142</v>
      </c>
      <c r="R426" s="212" t="s">
        <v>142</v>
      </c>
      <c r="S426" s="212"/>
      <c r="T426" s="212"/>
      <c r="U426" s="212"/>
      <c r="V426" s="212" t="s">
        <v>142</v>
      </c>
      <c r="W426" s="212" t="str">
        <f t="shared" si="103"/>
        <v/>
      </c>
      <c r="X426" s="214"/>
    </row>
    <row r="427" spans="1:24" ht="15">
      <c r="A427" s="211" t="s">
        <v>37</v>
      </c>
      <c r="B427" s="225" t="s">
        <v>258</v>
      </c>
      <c r="C427" s="220" t="s">
        <v>68</v>
      </c>
      <c r="D427" s="220" t="s">
        <v>145</v>
      </c>
      <c r="E427" s="220" t="s">
        <v>146</v>
      </c>
      <c r="F427" s="220" t="s">
        <v>147</v>
      </c>
      <c r="G427" s="220" t="s">
        <v>131</v>
      </c>
      <c r="H427" s="220" t="s">
        <v>161</v>
      </c>
      <c r="I427" s="220" t="s">
        <v>162</v>
      </c>
      <c r="J427" s="220" t="s">
        <v>149</v>
      </c>
      <c r="K427" s="220" t="s">
        <v>163</v>
      </c>
      <c r="L427" s="220" t="s">
        <v>164</v>
      </c>
      <c r="M427" s="221">
        <v>2</v>
      </c>
      <c r="N427" s="443" cm="1">
        <f t="array" ref="N427">IF(TRIM(K427)="Mano de Obra",IF(Formulario!$L$23&lt;&gt;"",Formulario!$L$23,IFERROR(VLOOKUP(TRIM($M$4),Jornalesdeppto!A:C,3,0),"")),_xlfn.XLOOKUP(1,(Tabla_Costos_Insumos!$A$2:$A$3199=TRIM($M$4))*(Tabla_Costos_Insumos!$C$2:$C$3199=TRIM(K427)),Tabla_Costos_Insumos!$E$2:$E$3199,"",0))</f>
        <v>128084.44444445</v>
      </c>
      <c r="O427" s="443">
        <f t="shared" si="111"/>
        <v>256168.88888889999</v>
      </c>
      <c r="P427" s="220" t="str">
        <f t="shared" si="104"/>
        <v>Limón Común</v>
      </c>
      <c r="Q427" s="212" t="s">
        <v>142</v>
      </c>
      <c r="R427" s="212" t="s">
        <v>142</v>
      </c>
      <c r="S427" s="212"/>
      <c r="T427" s="212"/>
      <c r="U427" s="212"/>
      <c r="V427" s="212" t="s">
        <v>142</v>
      </c>
      <c r="W427" s="212" t="str">
        <f t="shared" si="103"/>
        <v/>
      </c>
      <c r="X427" s="214"/>
    </row>
    <row r="428" spans="1:24" ht="15">
      <c r="A428" s="211" t="s">
        <v>37</v>
      </c>
      <c r="B428" s="225" t="s">
        <v>258</v>
      </c>
      <c r="C428" s="220" t="s">
        <v>68</v>
      </c>
      <c r="D428" s="220" t="s">
        <v>145</v>
      </c>
      <c r="E428" s="220" t="s">
        <v>146</v>
      </c>
      <c r="F428" s="220" t="s">
        <v>147</v>
      </c>
      <c r="G428" s="220" t="s">
        <v>131</v>
      </c>
      <c r="H428" s="220" t="s">
        <v>165</v>
      </c>
      <c r="I428" s="220" t="s">
        <v>153</v>
      </c>
      <c r="J428" s="220" t="s">
        <v>149</v>
      </c>
      <c r="K428" s="220" t="s">
        <v>4110</v>
      </c>
      <c r="L428" s="220" t="s">
        <v>151</v>
      </c>
      <c r="M428" s="221">
        <v>3</v>
      </c>
      <c r="N428" s="443" cm="1">
        <f t="array" ref="N428">IF(TRIM(K428)="Mano de Obra",IF(Formulario!$L$23&lt;&gt;"",Formulario!$L$23,IFERROR(VLOOKUP(TRIM($M$4),Jornalesdeppto!A:C,3,0),"")),_xlfn.XLOOKUP(1,(Tabla_Costos_Insumos!$A$2:$A$3199=TRIM($M$4))*(Tabla_Costos_Insumos!$C$2:$C$3199=TRIM(K428)),Tabla_Costos_Insumos!$E$2:$E$3199,"",0))</f>
        <v>125849.2424242409</v>
      </c>
      <c r="O428" s="443">
        <f t="shared" si="111"/>
        <v>377547.7272727227</v>
      </c>
      <c r="P428" s="220" t="str">
        <f t="shared" si="104"/>
        <v>Limón Común</v>
      </c>
      <c r="Q428" s="212" t="s">
        <v>142</v>
      </c>
      <c r="R428" s="212" t="s">
        <v>142</v>
      </c>
      <c r="S428" s="212"/>
      <c r="T428" s="212"/>
      <c r="U428" s="212"/>
      <c r="V428" s="212" t="s">
        <v>142</v>
      </c>
      <c r="W428" s="212" t="str">
        <f t="shared" si="103"/>
        <v/>
      </c>
      <c r="X428" s="214"/>
    </row>
    <row r="429" spans="1:24" ht="15">
      <c r="A429" s="211" t="s">
        <v>37</v>
      </c>
      <c r="B429" s="225" t="s">
        <v>258</v>
      </c>
      <c r="C429" s="220" t="s">
        <v>68</v>
      </c>
      <c r="D429" s="220" t="s">
        <v>145</v>
      </c>
      <c r="E429" s="220" t="s">
        <v>146</v>
      </c>
      <c r="F429" s="220" t="s">
        <v>167</v>
      </c>
      <c r="G429" s="220" t="s">
        <v>118</v>
      </c>
      <c r="H429" s="220" t="s">
        <v>168</v>
      </c>
      <c r="I429" s="220" t="s">
        <v>169</v>
      </c>
      <c r="J429" s="220" t="s">
        <v>170</v>
      </c>
      <c r="K429" s="220" t="s">
        <v>259</v>
      </c>
      <c r="L429" s="220" t="s">
        <v>172</v>
      </c>
      <c r="M429" s="221">
        <v>4</v>
      </c>
      <c r="N429" s="443" cm="1">
        <f t="array" ref="N429">IF(TRIM(K429)="Mano de Obra",IF(Formulario!$L$23&lt;&gt;"",Formulario!$L$23,IFERROR(VLOOKUP(TRIM($M$4),Jornalesdeppto!A:C,3,0),"")),_xlfn.XLOOKUP(1,(Tabla_Costos_Insumos!$A$2:$A$3199=TRIM($M$4))*(Tabla_Costos_Insumos!$C$2:$C$3199=TRIM(K429)),Tabla_Costos_Insumos!$E$2:$E$3199,"",0))</f>
        <v>283758.28999999998</v>
      </c>
      <c r="O429" s="443">
        <f t="shared" si="111"/>
        <v>1135033.1599999999</v>
      </c>
      <c r="P429" s="220" t="str">
        <f t="shared" si="104"/>
        <v>Limón Común</v>
      </c>
      <c r="Q429" s="212" t="s">
        <v>142</v>
      </c>
      <c r="R429" s="212" t="s">
        <v>142</v>
      </c>
      <c r="S429" s="212"/>
      <c r="T429" s="212"/>
      <c r="U429" s="212"/>
      <c r="V429" s="212" t="s">
        <v>142</v>
      </c>
      <c r="W429" s="212" t="str">
        <f t="shared" si="103"/>
        <v/>
      </c>
      <c r="X429" s="214"/>
    </row>
    <row r="430" spans="1:24" ht="15">
      <c r="A430" s="211" t="s">
        <v>37</v>
      </c>
      <c r="B430" s="225" t="s">
        <v>258</v>
      </c>
      <c r="C430" s="220" t="s">
        <v>68</v>
      </c>
      <c r="D430" s="220" t="s">
        <v>145</v>
      </c>
      <c r="E430" s="220" t="s">
        <v>146</v>
      </c>
      <c r="F430" s="220" t="s">
        <v>167</v>
      </c>
      <c r="G430" s="220" t="s">
        <v>118</v>
      </c>
      <c r="H430" s="220" t="s">
        <v>168</v>
      </c>
      <c r="I430" s="220" t="s">
        <v>169</v>
      </c>
      <c r="J430" s="220" t="s">
        <v>170</v>
      </c>
      <c r="K430" s="220" t="s">
        <v>260</v>
      </c>
      <c r="L430" s="220" t="s">
        <v>261</v>
      </c>
      <c r="M430" s="221">
        <v>15</v>
      </c>
      <c r="N430" s="443" cm="1">
        <f t="array" ref="N430">IF(TRIM(K430)="Mano de Obra",IF(Formulario!$L$23&lt;&gt;"",Formulario!$L$23,IFERROR(VLOOKUP(TRIM($M$4),Jornalesdeppto!A:C,3,0),"")),_xlfn.XLOOKUP(1,(Tabla_Costos_Insumos!$A$2:$A$3199=TRIM($M$4))*(Tabla_Costos_Insumos!$C$2:$C$3199=TRIM(K430)),Tabla_Costos_Insumos!$E$2:$E$3199,"",0))</f>
        <v>25534.226046466123</v>
      </c>
      <c r="O430" s="443">
        <f t="shared" si="111"/>
        <v>383013.39069699182</v>
      </c>
      <c r="P430" s="220" t="str">
        <f t="shared" si="104"/>
        <v>Limón Común</v>
      </c>
      <c r="Q430" s="212" t="s">
        <v>142</v>
      </c>
      <c r="R430" s="212" t="s">
        <v>142</v>
      </c>
      <c r="S430" s="212"/>
      <c r="T430" s="212"/>
      <c r="U430" s="212"/>
      <c r="V430" s="212" t="s">
        <v>142</v>
      </c>
      <c r="W430" s="212" t="str">
        <f t="shared" si="103"/>
        <v/>
      </c>
      <c r="X430" s="214"/>
    </row>
    <row r="431" spans="1:24" ht="15">
      <c r="A431" s="211" t="s">
        <v>37</v>
      </c>
      <c r="B431" s="225" t="s">
        <v>258</v>
      </c>
      <c r="C431" s="220" t="s">
        <v>68</v>
      </c>
      <c r="D431" s="220" t="s">
        <v>145</v>
      </c>
      <c r="E431" s="220" t="s">
        <v>146</v>
      </c>
      <c r="F431" s="220" t="s">
        <v>167</v>
      </c>
      <c r="G431" s="220" t="s">
        <v>118</v>
      </c>
      <c r="H431" s="220" t="s">
        <v>174</v>
      </c>
      <c r="I431" s="220" t="s">
        <v>175</v>
      </c>
      <c r="J431" s="220" t="s">
        <v>176</v>
      </c>
      <c r="K431" s="220" t="s">
        <v>231</v>
      </c>
      <c r="L431" s="220" t="s">
        <v>172</v>
      </c>
      <c r="M431" s="221">
        <v>14</v>
      </c>
      <c r="N431" s="443" cm="1">
        <f t="array" ref="N431">IF(TRIM(K431)="Mano de Obra",IF(Formulario!$L$23&lt;&gt;"",Formulario!$L$23,IFERROR(VLOOKUP(TRIM($M$4),Jornalesdeppto!A:C,3,0),"")),_xlfn.XLOOKUP(1,(Tabla_Costos_Insumos!$A$2:$A$3199=TRIM($M$4))*(Tabla_Costos_Insumos!$C$2:$C$3199=TRIM(K431)),Tabla_Costos_Insumos!$E$2:$E$3199,"",0))</f>
        <v>23177.15</v>
      </c>
      <c r="O431" s="443">
        <f t="shared" si="111"/>
        <v>324480.10000000003</v>
      </c>
      <c r="P431" s="220" t="str">
        <f t="shared" si="104"/>
        <v>Limón Común</v>
      </c>
      <c r="Q431" s="212" t="s">
        <v>142</v>
      </c>
      <c r="R431" s="212" t="s">
        <v>142</v>
      </c>
      <c r="S431" s="212"/>
      <c r="T431" s="212"/>
      <c r="U431" s="212"/>
      <c r="V431" s="212" t="s">
        <v>142</v>
      </c>
      <c r="W431" s="212" t="str">
        <f t="shared" si="103"/>
        <v/>
      </c>
      <c r="X431" s="214"/>
    </row>
    <row r="432" spans="1:24" ht="15">
      <c r="A432" s="211" t="s">
        <v>37</v>
      </c>
      <c r="B432" s="225" t="s">
        <v>258</v>
      </c>
      <c r="C432" s="220" t="s">
        <v>68</v>
      </c>
      <c r="D432" s="220" t="s">
        <v>145</v>
      </c>
      <c r="E432" s="220" t="s">
        <v>146</v>
      </c>
      <c r="F432" s="220" t="s">
        <v>167</v>
      </c>
      <c r="G432" s="220" t="s">
        <v>118</v>
      </c>
      <c r="H432" s="220" t="s">
        <v>178</v>
      </c>
      <c r="I432" s="220" t="s">
        <v>179</v>
      </c>
      <c r="J432" s="220" t="s">
        <v>180</v>
      </c>
      <c r="K432" s="220" t="s">
        <v>263</v>
      </c>
      <c r="L432" s="220" t="s">
        <v>172</v>
      </c>
      <c r="M432" s="221">
        <v>7</v>
      </c>
      <c r="N432" s="443" cm="1">
        <f t="array" ref="N432">IF(TRIM(K432)="Mano de Obra",IF(Formulario!$L$23&lt;&gt;"",Formulario!$L$23,IFERROR(VLOOKUP(TRIM($M$4),Jornalesdeppto!A:C,3,0),"")),_xlfn.XLOOKUP(1,(Tabla_Costos_Insumos!$A$2:$A$3199=TRIM($M$4))*(Tabla_Costos_Insumos!$C$2:$C$3199=TRIM(K432)),Tabla_Costos_Insumos!$E$2:$E$3199,"",0))</f>
        <v>210423.61</v>
      </c>
      <c r="O432" s="443">
        <f t="shared" si="111"/>
        <v>1472965.27</v>
      </c>
      <c r="P432" s="220" t="str">
        <f t="shared" si="104"/>
        <v>Limón Común</v>
      </c>
      <c r="Q432" s="212" t="s">
        <v>142</v>
      </c>
      <c r="R432" s="212" t="s">
        <v>142</v>
      </c>
      <c r="S432" s="212"/>
      <c r="T432" s="212"/>
      <c r="U432" s="212"/>
      <c r="V432" s="212" t="s">
        <v>142</v>
      </c>
      <c r="W432" s="212" t="str">
        <f t="shared" si="103"/>
        <v/>
      </c>
      <c r="X432" s="214"/>
    </row>
    <row r="433" spans="1:24" ht="15">
      <c r="A433" s="211" t="s">
        <v>37</v>
      </c>
      <c r="B433" s="225" t="s">
        <v>258</v>
      </c>
      <c r="C433" s="220" t="s">
        <v>68</v>
      </c>
      <c r="D433" s="220" t="s">
        <v>145</v>
      </c>
      <c r="E433" s="220" t="s">
        <v>146</v>
      </c>
      <c r="F433" s="220" t="s">
        <v>167</v>
      </c>
      <c r="G433" s="220" t="s">
        <v>118</v>
      </c>
      <c r="H433" s="220" t="s">
        <v>178</v>
      </c>
      <c r="I433" s="220" t="s">
        <v>179</v>
      </c>
      <c r="J433" s="220" t="s">
        <v>180</v>
      </c>
      <c r="K433" s="220" t="s">
        <v>181</v>
      </c>
      <c r="L433" s="220" t="s">
        <v>172</v>
      </c>
      <c r="M433" s="221">
        <v>4</v>
      </c>
      <c r="N433" s="443" cm="1">
        <f t="array" ref="N433">IF(TRIM(K433)="Mano de Obra",IF(Formulario!$L$23&lt;&gt;"",Formulario!$L$23,IFERROR(VLOOKUP(TRIM($M$4),Jornalesdeppto!A:C,3,0),"")),_xlfn.XLOOKUP(1,(Tabla_Costos_Insumos!$A$2:$A$3199=TRIM($M$4))*(Tabla_Costos_Insumos!$C$2:$C$3199=TRIM(K433)),Tabla_Costos_Insumos!$E$2:$E$3199,"",0))</f>
        <v>34056.25</v>
      </c>
      <c r="O433" s="443">
        <f t="shared" si="111"/>
        <v>136225</v>
      </c>
      <c r="P433" s="220" t="str">
        <f t="shared" si="104"/>
        <v>Limón Común</v>
      </c>
      <c r="Q433" s="212" t="s">
        <v>142</v>
      </c>
      <c r="R433" s="212" t="s">
        <v>142</v>
      </c>
      <c r="S433" s="212"/>
      <c r="T433" s="212"/>
      <c r="U433" s="212"/>
      <c r="V433" s="212" t="s">
        <v>142</v>
      </c>
      <c r="W433" s="212" t="str">
        <f t="shared" si="103"/>
        <v/>
      </c>
      <c r="X433" s="214"/>
    </row>
    <row r="434" spans="1:24" ht="15">
      <c r="A434" s="211" t="s">
        <v>37</v>
      </c>
      <c r="B434" s="225" t="s">
        <v>258</v>
      </c>
      <c r="C434" s="220" t="s">
        <v>68</v>
      </c>
      <c r="D434" s="220" t="s">
        <v>145</v>
      </c>
      <c r="E434" s="220" t="s">
        <v>146</v>
      </c>
      <c r="F434" s="220" t="s">
        <v>183</v>
      </c>
      <c r="G434" s="220" t="s">
        <v>184</v>
      </c>
      <c r="H434" s="220" t="s">
        <v>185</v>
      </c>
      <c r="I434" s="220" t="s">
        <v>186</v>
      </c>
      <c r="J434" s="220" t="s">
        <v>105</v>
      </c>
      <c r="K434" s="220" t="s">
        <v>187</v>
      </c>
      <c r="L434" s="220" t="s">
        <v>188</v>
      </c>
      <c r="M434" s="221">
        <v>0.1</v>
      </c>
      <c r="N434" s="443" cm="1">
        <f t="array" ref="N434">IF(TRIM(K434)="Mano de Obra",IF(Formulario!$L$23&lt;&gt;"",Formulario!$L$23,IFERROR(VLOOKUP(TRIM($M$4),Jornalesdeppto!A:C,3,0),"")),_xlfn.XLOOKUP(1,(Tabla_Costos_Insumos!$A$2:$A$3199=TRIM($M$4))*(Tabla_Costos_Insumos!$C$2:$C$3199=TRIM(K434)),Tabla_Costos_Insumos!$E$2:$E$3199,"",0))</f>
        <v>175000</v>
      </c>
      <c r="O434" s="443">
        <f t="shared" si="111"/>
        <v>17500</v>
      </c>
      <c r="P434" s="220" t="str">
        <f t="shared" si="104"/>
        <v>Limón Común</v>
      </c>
      <c r="Q434" s="212" t="s">
        <v>142</v>
      </c>
      <c r="R434" s="212" t="s">
        <v>142</v>
      </c>
      <c r="S434" s="212"/>
      <c r="T434" s="212"/>
      <c r="U434" s="212"/>
      <c r="V434" s="212" t="s">
        <v>142</v>
      </c>
      <c r="W434" s="212" t="str">
        <f t="shared" si="103"/>
        <v/>
      </c>
      <c r="X434" s="214"/>
    </row>
    <row r="435" spans="1:24" ht="15">
      <c r="A435" s="211" t="s">
        <v>37</v>
      </c>
      <c r="B435" s="225" t="s">
        <v>258</v>
      </c>
      <c r="C435" s="220" t="s">
        <v>68</v>
      </c>
      <c r="D435" s="220" t="s">
        <v>189</v>
      </c>
      <c r="E435" s="220" t="s">
        <v>190</v>
      </c>
      <c r="F435" s="220" t="s">
        <v>191</v>
      </c>
      <c r="G435" s="220" t="s">
        <v>192</v>
      </c>
      <c r="H435" s="220" t="s">
        <v>193</v>
      </c>
      <c r="I435" s="220" t="s">
        <v>194</v>
      </c>
      <c r="J435" s="220" t="s">
        <v>195</v>
      </c>
      <c r="K435" s="220" t="s">
        <v>196</v>
      </c>
      <c r="L435" s="220" t="s">
        <v>197</v>
      </c>
      <c r="M435" s="221">
        <v>1</v>
      </c>
      <c r="N435" s="443">
        <f>IFERROR(SUM(O417:$O$434)*0.08,0)</f>
        <v>563119.80054868897</v>
      </c>
      <c r="O435" s="443">
        <f t="shared" si="111"/>
        <v>563119.80054868897</v>
      </c>
      <c r="P435" s="220" t="str">
        <f t="shared" si="104"/>
        <v>Limón Común</v>
      </c>
      <c r="Q435" s="212" t="s">
        <v>142</v>
      </c>
      <c r="R435" s="212" t="s">
        <v>142</v>
      </c>
      <c r="S435" s="212"/>
      <c r="T435" s="212"/>
      <c r="U435" s="212"/>
      <c r="V435" s="212" t="s">
        <v>142</v>
      </c>
      <c r="W435" s="212" t="str">
        <f t="shared" si="103"/>
        <v/>
      </c>
      <c r="X435" s="214"/>
    </row>
    <row r="436" spans="1:24" ht="15">
      <c r="A436" s="211" t="s">
        <v>37</v>
      </c>
      <c r="B436" s="225" t="s">
        <v>258</v>
      </c>
      <c r="C436" s="220" t="s">
        <v>68</v>
      </c>
      <c r="D436" s="220" t="s">
        <v>189</v>
      </c>
      <c r="E436" s="220" t="s">
        <v>190</v>
      </c>
      <c r="F436" s="220" t="s">
        <v>198</v>
      </c>
      <c r="G436" s="220" t="s">
        <v>199</v>
      </c>
      <c r="H436" s="220" t="s">
        <v>200</v>
      </c>
      <c r="I436" s="220" t="s">
        <v>201</v>
      </c>
      <c r="J436" s="220" t="s">
        <v>105</v>
      </c>
      <c r="K436" s="220" t="s">
        <v>202</v>
      </c>
      <c r="L436" s="220" t="s">
        <v>203</v>
      </c>
      <c r="M436" s="221">
        <v>1</v>
      </c>
      <c r="N436" s="443" cm="1">
        <f t="array" ref="N436">IF(TRIM(K436)="Mano de Obra",IF(Formulario!$L$23&lt;&gt;"",Formulario!$L$23,IFERROR(VLOOKUP(TRIM($M$4),Jornalesdeppto!A:C,3,0),"")),_xlfn.XLOOKUP(1,(Tabla_Costos_Insumos!$A$2:$A$3199=TRIM($M$4))*(Tabla_Costos_Insumos!$C$2:$C$3199=TRIM(K436)),Tabla_Costos_Insumos!$E$2:$E$3199,"",0))</f>
        <v>120000</v>
      </c>
      <c r="O436" s="443">
        <f t="shared" si="111"/>
        <v>120000</v>
      </c>
      <c r="P436" s="220" t="str">
        <f t="shared" si="104"/>
        <v>Limón Común</v>
      </c>
      <c r="Q436" s="212" t="s">
        <v>142</v>
      </c>
      <c r="R436" s="212" t="s">
        <v>142</v>
      </c>
      <c r="S436" s="212"/>
      <c r="T436" s="212"/>
      <c r="U436" s="212"/>
      <c r="V436" s="212" t="s">
        <v>142</v>
      </c>
      <c r="W436" s="212" t="str">
        <f t="shared" si="103"/>
        <v/>
      </c>
      <c r="X436" s="214"/>
    </row>
    <row r="437" spans="1:24" ht="15">
      <c r="A437" s="211" t="s">
        <v>37</v>
      </c>
      <c r="B437" s="225" t="s">
        <v>258</v>
      </c>
      <c r="C437" s="220" t="s">
        <v>68</v>
      </c>
      <c r="D437" s="220" t="s">
        <v>189</v>
      </c>
      <c r="E437" s="220" t="s">
        <v>190</v>
      </c>
      <c r="F437" s="220" t="s">
        <v>204</v>
      </c>
      <c r="G437" s="220" t="s">
        <v>205</v>
      </c>
      <c r="H437" s="220" t="s">
        <v>206</v>
      </c>
      <c r="I437" s="220" t="s">
        <v>207</v>
      </c>
      <c r="J437" s="220" t="s">
        <v>4127</v>
      </c>
      <c r="K437" s="220" t="s">
        <v>228</v>
      </c>
      <c r="L437" s="220" t="s">
        <v>197</v>
      </c>
      <c r="M437" s="221">
        <v>1</v>
      </c>
      <c r="N437" s="443" t="str">
        <f>IF($M$3="Limón Común",$J$4,"")</f>
        <v/>
      </c>
      <c r="O437" s="443" t="str">
        <f t="shared" si="111"/>
        <v/>
      </c>
      <c r="P437" s="220" t="str">
        <f t="shared" si="104"/>
        <v>Limón Común</v>
      </c>
      <c r="Q437" s="212" t="s">
        <v>142</v>
      </c>
      <c r="R437" s="212" t="s">
        <v>142</v>
      </c>
      <c r="S437" s="212"/>
      <c r="T437" s="212"/>
      <c r="U437" s="212"/>
      <c r="V437" s="212" t="s">
        <v>142</v>
      </c>
      <c r="W437" s="212" t="str">
        <f t="shared" ref="W437:W500" si="117">IFERROR(ROUNDUP(V437*U437,0),"")</f>
        <v/>
      </c>
      <c r="X437" s="214"/>
    </row>
    <row r="438" spans="1:24" ht="15">
      <c r="A438" s="211" t="s">
        <v>37</v>
      </c>
      <c r="B438" s="225" t="s">
        <v>38</v>
      </c>
      <c r="C438" s="220" t="s">
        <v>68</v>
      </c>
      <c r="D438" s="220" t="s">
        <v>99</v>
      </c>
      <c r="E438" s="220" t="s">
        <v>100</v>
      </c>
      <c r="F438" s="220" t="s">
        <v>101</v>
      </c>
      <c r="G438" s="220" t="s">
        <v>102</v>
      </c>
      <c r="H438" s="220" t="s">
        <v>214</v>
      </c>
      <c r="I438" s="220" t="s">
        <v>20</v>
      </c>
      <c r="J438" s="220" t="s">
        <v>105</v>
      </c>
      <c r="K438" s="220" t="s">
        <v>106</v>
      </c>
      <c r="L438" s="220" t="s">
        <v>107</v>
      </c>
      <c r="M438" s="221">
        <f t="shared" ref="M438:M446" si="118">IF(W438&lt;&gt;"", W438, ROUNDUP(X438*T438, 0))</f>
        <v>7</v>
      </c>
      <c r="N438" s="443" cm="1">
        <f t="array" ref="N438">IF(TRIM(K438)="Mano de Obra",IF(Formulario!$L$23&lt;&gt;"",Formulario!$L$23,IFERROR(VLOOKUP(TRIM($M$4),Jornalesdeppto!A:C,3,0),"")),_xlfn.XLOOKUP(1,(Tabla_Costos_Insumos!$A$2:$A$3199=TRIM($M$4))*(Tabla_Costos_Insumos!$C$2:$C$3199=TRIM(K438)),Tabla_Costos_Insumos!$E$2:$E$3199,"",0))</f>
        <v>46666.666666666664</v>
      </c>
      <c r="O438" s="443">
        <f t="shared" si="111"/>
        <v>326666.66666666663</v>
      </c>
      <c r="P438" s="220" t="str">
        <f t="shared" si="104"/>
        <v>Limón Mandarino</v>
      </c>
      <c r="Q438" s="212" t="s">
        <v>108</v>
      </c>
      <c r="R438" s="212">
        <v>0.5</v>
      </c>
      <c r="S438" s="212" t="str">
        <f>IF($M$3="Limón Mandarino",($I$3*R438) / 480,"")</f>
        <v/>
      </c>
      <c r="T438" s="212" cm="1">
        <f t="array" ref="T438">_xlfn.IFS($D$5&lt;=7, 1.1, $D$5&lt;=12,1.2, $D$5&lt;=25, 1.3, $D$5&gt;25,1.4)</f>
        <v>1.3</v>
      </c>
      <c r="U438" s="212" t="str">
        <f t="shared" ref="U438:U442" si="119">IFERROR(S438*T438,"")</f>
        <v/>
      </c>
      <c r="V438" s="212">
        <v>0</v>
      </c>
      <c r="W438" s="212" t="str">
        <f t="shared" si="117"/>
        <v/>
      </c>
      <c r="X438" s="214">
        <v>5</v>
      </c>
    </row>
    <row r="439" spans="1:24" ht="15">
      <c r="A439" s="211" t="s">
        <v>37</v>
      </c>
      <c r="B439" s="225" t="s">
        <v>38</v>
      </c>
      <c r="C439" s="220" t="s">
        <v>68</v>
      </c>
      <c r="D439" s="220" t="s">
        <v>99</v>
      </c>
      <c r="E439" s="220" t="s">
        <v>100</v>
      </c>
      <c r="F439" s="220" t="s">
        <v>109</v>
      </c>
      <c r="G439" s="220" t="s">
        <v>110</v>
      </c>
      <c r="H439" s="220" t="s">
        <v>234</v>
      </c>
      <c r="I439" s="220" t="s">
        <v>235</v>
      </c>
      <c r="J439" s="220" t="s">
        <v>105</v>
      </c>
      <c r="K439" s="220" t="s">
        <v>106</v>
      </c>
      <c r="L439" s="220" t="s">
        <v>107</v>
      </c>
      <c r="M439" s="221">
        <f t="shared" si="118"/>
        <v>7</v>
      </c>
      <c r="N439" s="443" cm="1">
        <f t="array" ref="N439">IF(TRIM(K439)="Mano de Obra",IF(Formulario!$L$23&lt;&gt;"",Formulario!$L$23,IFERROR(VLOOKUP(TRIM($M$4),Jornalesdeppto!A:C,3,0),"")),_xlfn.XLOOKUP(1,(Tabla_Costos_Insumos!$A$2:$A$3199=TRIM($M$4))*(Tabla_Costos_Insumos!$C$2:$C$3199=TRIM(K439)),Tabla_Costos_Insumos!$E$2:$E$3199,"",0))</f>
        <v>46666.666666666664</v>
      </c>
      <c r="O439" s="443">
        <f t="shared" si="111"/>
        <v>326666.66666666663</v>
      </c>
      <c r="P439" s="220" t="str">
        <f t="shared" si="104"/>
        <v>Limón Mandarino</v>
      </c>
      <c r="Q439" s="212" t="s">
        <v>108</v>
      </c>
      <c r="R439" s="212">
        <v>2</v>
      </c>
      <c r="S439" s="212" t="str">
        <f>IF($M$3="Limón Mandarino",($I$3*R439) / 480,"")</f>
        <v/>
      </c>
      <c r="T439" s="212" cm="1">
        <f t="array" ref="T439">_xlfn.IFS($D$5&lt;=7, 1.1, $D$5&lt;=12,1.2, $D$5&lt;=25, 1.3, $D$5&gt;25,1.4)</f>
        <v>1.3</v>
      </c>
      <c r="U439" s="212" t="str">
        <f t="shared" si="119"/>
        <v/>
      </c>
      <c r="V439" s="212">
        <v>4</v>
      </c>
      <c r="W439" s="212" t="str">
        <f t="shared" si="117"/>
        <v/>
      </c>
      <c r="X439" s="214">
        <v>5</v>
      </c>
    </row>
    <row r="440" spans="1:24" ht="15">
      <c r="A440" s="211" t="s">
        <v>37</v>
      </c>
      <c r="B440" s="225" t="s">
        <v>38</v>
      </c>
      <c r="C440" s="220" t="s">
        <v>68</v>
      </c>
      <c r="D440" s="220" t="s">
        <v>99</v>
      </c>
      <c r="E440" s="220" t="s">
        <v>100</v>
      </c>
      <c r="F440" s="220" t="s">
        <v>113</v>
      </c>
      <c r="G440" s="220" t="s">
        <v>114</v>
      </c>
      <c r="H440" s="220" t="s">
        <v>115</v>
      </c>
      <c r="I440" s="220" t="s">
        <v>116</v>
      </c>
      <c r="J440" s="220" t="s">
        <v>105</v>
      </c>
      <c r="K440" s="220" t="s">
        <v>106</v>
      </c>
      <c r="L440" s="220" t="s">
        <v>107</v>
      </c>
      <c r="M440" s="221">
        <f t="shared" si="118"/>
        <v>10</v>
      </c>
      <c r="N440" s="443" cm="1">
        <f t="array" ref="N440">IF(TRIM(K440)="Mano de Obra",IF(Formulario!$L$23&lt;&gt;"",Formulario!$L$23,IFERROR(VLOOKUP(TRIM($M$4),Jornalesdeppto!A:C,3,0),"")),_xlfn.XLOOKUP(1,(Tabla_Costos_Insumos!$A$2:$A$3199=TRIM($M$4))*(Tabla_Costos_Insumos!$C$2:$C$3199=TRIM(K440)),Tabla_Costos_Insumos!$E$2:$E$3199,"",0))</f>
        <v>46666.666666666664</v>
      </c>
      <c r="O440" s="443">
        <f t="shared" si="111"/>
        <v>466666.66666666663</v>
      </c>
      <c r="P440" s="220" t="str">
        <f t="shared" si="104"/>
        <v>Limón Mandarino</v>
      </c>
      <c r="Q440" s="212" t="s">
        <v>108</v>
      </c>
      <c r="R440" s="212">
        <v>3</v>
      </c>
      <c r="S440" s="212" t="str">
        <f t="shared" ref="S440:S442" si="120">IF($M$3="Limón Mandarino",($I$3*R440) / 480,"")</f>
        <v/>
      </c>
      <c r="T440" s="212" cm="1">
        <f t="array" ref="T440">_xlfn.IFS($D$5&lt;=7, 1.1, $D$5&lt;=12,1.2, $D$5&lt;=25, 1.3, $D$5&gt;25,1.4)</f>
        <v>1.3</v>
      </c>
      <c r="U440" s="212" t="str">
        <f t="shared" si="119"/>
        <v/>
      </c>
      <c r="V440" s="212">
        <v>2</v>
      </c>
      <c r="W440" s="212" t="str">
        <f t="shared" si="117"/>
        <v/>
      </c>
      <c r="X440" s="214">
        <v>7</v>
      </c>
    </row>
    <row r="441" spans="1:24" ht="15">
      <c r="A441" s="211" t="s">
        <v>37</v>
      </c>
      <c r="B441" s="225" t="s">
        <v>38</v>
      </c>
      <c r="C441" s="220" t="s">
        <v>68</v>
      </c>
      <c r="D441" s="220" t="s">
        <v>99</v>
      </c>
      <c r="E441" s="220" t="s">
        <v>100</v>
      </c>
      <c r="F441" s="220" t="s">
        <v>117</v>
      </c>
      <c r="G441" s="220" t="s">
        <v>118</v>
      </c>
      <c r="H441" s="220" t="s">
        <v>119</v>
      </c>
      <c r="I441" s="220" t="s">
        <v>120</v>
      </c>
      <c r="J441" s="220" t="s">
        <v>105</v>
      </c>
      <c r="K441" s="220" t="s">
        <v>106</v>
      </c>
      <c r="L441" s="220" t="s">
        <v>107</v>
      </c>
      <c r="M441" s="221">
        <f t="shared" si="118"/>
        <v>10</v>
      </c>
      <c r="N441" s="443" cm="1">
        <f t="array" ref="N441">IF(TRIM(K441)="Mano de Obra",IF(Formulario!$L$23&lt;&gt;"",Formulario!$L$23,IFERROR(VLOOKUP(TRIM($M$4),Jornalesdeppto!A:C,3,0),"")),_xlfn.XLOOKUP(1,(Tabla_Costos_Insumos!$A$2:$A$3199=TRIM($M$4))*(Tabla_Costos_Insumos!$C$2:$C$3199=TRIM(K441)),Tabla_Costos_Insumos!$E$2:$E$3199,"",0))</f>
        <v>46666.666666666664</v>
      </c>
      <c r="O441" s="443">
        <f t="shared" si="111"/>
        <v>466666.66666666663</v>
      </c>
      <c r="P441" s="220" t="str">
        <f t="shared" si="104"/>
        <v>Limón Mandarino</v>
      </c>
      <c r="Q441" s="212" t="s">
        <v>108</v>
      </c>
      <c r="R441" s="212">
        <v>4</v>
      </c>
      <c r="S441" s="212" t="str">
        <f t="shared" si="120"/>
        <v/>
      </c>
      <c r="T441" s="212" cm="1">
        <f t="array" ref="T441">_xlfn.IFS($D$5&lt;=7, 1.1, $D$5&lt;=12,1.2, $D$5&lt;=25, 1.3, $D$5&gt;25,1.4)</f>
        <v>1.3</v>
      </c>
      <c r="U441" s="212" t="str">
        <f t="shared" si="119"/>
        <v/>
      </c>
      <c r="V441" s="212">
        <v>9</v>
      </c>
      <c r="W441" s="212" t="str">
        <f t="shared" si="117"/>
        <v/>
      </c>
      <c r="X441" s="214">
        <v>7</v>
      </c>
    </row>
    <row r="442" spans="1:24" ht="15">
      <c r="A442" s="211" t="s">
        <v>37</v>
      </c>
      <c r="B442" s="225" t="s">
        <v>38</v>
      </c>
      <c r="C442" s="220" t="s">
        <v>68</v>
      </c>
      <c r="D442" s="220" t="s">
        <v>99</v>
      </c>
      <c r="E442" s="220" t="s">
        <v>100</v>
      </c>
      <c r="F442" s="220" t="s">
        <v>117</v>
      </c>
      <c r="G442" s="220" t="s">
        <v>118</v>
      </c>
      <c r="H442" s="220" t="s">
        <v>121</v>
      </c>
      <c r="I442" s="220" t="s">
        <v>122</v>
      </c>
      <c r="J442" s="220" t="s">
        <v>105</v>
      </c>
      <c r="K442" s="220" t="s">
        <v>106</v>
      </c>
      <c r="L442" s="220" t="s">
        <v>107</v>
      </c>
      <c r="M442" s="221">
        <f t="shared" si="118"/>
        <v>11</v>
      </c>
      <c r="N442" s="443" cm="1">
        <f t="array" ref="N442">IF(TRIM(K442)="Mano de Obra",IF(Formulario!$L$23&lt;&gt;"",Formulario!$L$23,IFERROR(VLOOKUP(TRIM($M$4),Jornalesdeppto!A:C,3,0),"")),_xlfn.XLOOKUP(1,(Tabla_Costos_Insumos!$A$2:$A$3199=TRIM($M$4))*(Tabla_Costos_Insumos!$C$2:$C$3199=TRIM(K442)),Tabla_Costos_Insumos!$E$2:$E$3199,"",0))</f>
        <v>46666.666666666664</v>
      </c>
      <c r="O442" s="443">
        <f t="shared" si="111"/>
        <v>513333.33333333331</v>
      </c>
      <c r="P442" s="220" t="str">
        <f t="shared" si="104"/>
        <v>Limón Mandarino</v>
      </c>
      <c r="Q442" s="212" t="s">
        <v>108</v>
      </c>
      <c r="R442" s="212">
        <v>4</v>
      </c>
      <c r="S442" s="212" t="str">
        <f t="shared" si="120"/>
        <v/>
      </c>
      <c r="T442" s="212" cm="1">
        <f t="array" ref="T442">_xlfn.IFS($D$5&lt;=7, 1.1, $D$5&lt;=12,1.2, $D$5&lt;=25, 1.3, $D$5&gt;25,1.4)</f>
        <v>1.3</v>
      </c>
      <c r="U442" s="212" t="str">
        <f t="shared" si="119"/>
        <v/>
      </c>
      <c r="V442" s="212">
        <v>9</v>
      </c>
      <c r="W442" s="212" t="str">
        <f t="shared" si="117"/>
        <v/>
      </c>
      <c r="X442" s="214">
        <v>8</v>
      </c>
    </row>
    <row r="443" spans="1:24" ht="15">
      <c r="A443" s="211" t="s">
        <v>37</v>
      </c>
      <c r="B443" s="225" t="s">
        <v>38</v>
      </c>
      <c r="C443" s="220" t="s">
        <v>68</v>
      </c>
      <c r="D443" s="220" t="s">
        <v>99</v>
      </c>
      <c r="E443" s="220" t="s">
        <v>100</v>
      </c>
      <c r="F443" s="220" t="s">
        <v>123</v>
      </c>
      <c r="G443" s="220" t="s">
        <v>124</v>
      </c>
      <c r="H443" s="220" t="s">
        <v>125</v>
      </c>
      <c r="I443" s="220" t="s">
        <v>126</v>
      </c>
      <c r="J443" s="220" t="s">
        <v>105</v>
      </c>
      <c r="K443" s="220" t="s">
        <v>106</v>
      </c>
      <c r="L443" s="220" t="s">
        <v>107</v>
      </c>
      <c r="M443" s="221">
        <f t="shared" si="118"/>
        <v>3</v>
      </c>
      <c r="N443" s="443" cm="1">
        <f t="array" ref="N443">IF(TRIM(K443)="Mano de Obra",IF(Formulario!$L$23&lt;&gt;"",Formulario!$L$23,IFERROR(VLOOKUP(TRIM($M$4),Jornalesdeppto!A:C,3,0),"")),_xlfn.XLOOKUP(1,(Tabla_Costos_Insumos!$A$2:$A$3199=TRIM($M$4))*(Tabla_Costos_Insumos!$C$2:$C$3199=TRIM(K443)),Tabla_Costos_Insumos!$E$2:$E$3199,"",0))</f>
        <v>46666.666666666664</v>
      </c>
      <c r="O443" s="443">
        <f t="shared" si="111"/>
        <v>140000</v>
      </c>
      <c r="P443" s="220" t="str">
        <f t="shared" si="104"/>
        <v>Limón Mandarino</v>
      </c>
      <c r="Q443" s="212" t="s">
        <v>127</v>
      </c>
      <c r="R443" s="212">
        <v>0.09</v>
      </c>
      <c r="S443" s="212">
        <f t="shared" ref="S443:S444" si="121">10000*R443/480</f>
        <v>1.875</v>
      </c>
      <c r="T443" s="212" cm="1">
        <f t="array" ref="T443">_xlfn.IFS($D$5&lt;=7, 1.1, $D$5&lt;=12,1.2, $D$5&lt;=25, 1.3, $D$5&gt;25,1.4)</f>
        <v>1.3</v>
      </c>
      <c r="U443" s="212"/>
      <c r="V443" s="212">
        <v>2</v>
      </c>
      <c r="W443" s="212"/>
      <c r="X443" s="214">
        <v>2</v>
      </c>
    </row>
    <row r="444" spans="1:24" ht="15">
      <c r="A444" s="211" t="s">
        <v>37</v>
      </c>
      <c r="B444" s="225" t="s">
        <v>38</v>
      </c>
      <c r="C444" s="220" t="s">
        <v>68</v>
      </c>
      <c r="D444" s="220" t="s">
        <v>99</v>
      </c>
      <c r="E444" s="220" t="s">
        <v>100</v>
      </c>
      <c r="F444" s="220" t="s">
        <v>123</v>
      </c>
      <c r="G444" s="220" t="s">
        <v>124</v>
      </c>
      <c r="H444" s="220" t="s">
        <v>128</v>
      </c>
      <c r="I444" s="220" t="s">
        <v>129</v>
      </c>
      <c r="J444" s="220" t="s">
        <v>105</v>
      </c>
      <c r="K444" s="220" t="s">
        <v>106</v>
      </c>
      <c r="L444" s="220" t="s">
        <v>107</v>
      </c>
      <c r="M444" s="221">
        <f t="shared" si="118"/>
        <v>10</v>
      </c>
      <c r="N444" s="443" cm="1">
        <f t="array" ref="N444">IF(TRIM(K444)="Mano de Obra",IF(Formulario!$L$23&lt;&gt;"",Formulario!$L$23,IFERROR(VLOOKUP(TRIM($M$4),Jornalesdeppto!A:C,3,0),"")),_xlfn.XLOOKUP(1,(Tabla_Costos_Insumos!$A$2:$A$3199=TRIM($M$4))*(Tabla_Costos_Insumos!$C$2:$C$3199=TRIM(K444)),Tabla_Costos_Insumos!$E$2:$E$3199,"",0))</f>
        <v>46666.666666666664</v>
      </c>
      <c r="O444" s="443">
        <f t="shared" si="111"/>
        <v>466666.66666666663</v>
      </c>
      <c r="P444" s="220" t="str">
        <f t="shared" si="104"/>
        <v>Limón Mandarino</v>
      </c>
      <c r="Q444" s="212" t="s">
        <v>127</v>
      </c>
      <c r="R444" s="212">
        <v>0.09</v>
      </c>
      <c r="S444" s="212">
        <f t="shared" si="121"/>
        <v>1.875</v>
      </c>
      <c r="T444" s="212" cm="1">
        <f t="array" ref="T444">_xlfn.IFS($D$5&lt;=7, 1.1, $D$5&lt;=12,1.2, $D$5&lt;=25, 1.3, $D$5&gt;25,1.4)</f>
        <v>1.3</v>
      </c>
      <c r="U444" s="212"/>
      <c r="V444" s="212">
        <v>2</v>
      </c>
      <c r="W444" s="212"/>
      <c r="X444" s="214">
        <v>7</v>
      </c>
    </row>
    <row r="445" spans="1:24" ht="15">
      <c r="A445" s="211" t="s">
        <v>37</v>
      </c>
      <c r="B445" s="225" t="s">
        <v>38</v>
      </c>
      <c r="C445" s="220" t="s">
        <v>68</v>
      </c>
      <c r="D445" s="220" t="s">
        <v>99</v>
      </c>
      <c r="E445" s="220" t="s">
        <v>100</v>
      </c>
      <c r="F445" s="220" t="s">
        <v>130</v>
      </c>
      <c r="G445" s="220" t="s">
        <v>131</v>
      </c>
      <c r="H445" s="220" t="s">
        <v>132</v>
      </c>
      <c r="I445" s="220" t="s">
        <v>133</v>
      </c>
      <c r="J445" s="220" t="s">
        <v>105</v>
      </c>
      <c r="K445" s="220" t="s">
        <v>106</v>
      </c>
      <c r="L445" s="220" t="s">
        <v>107</v>
      </c>
      <c r="M445" s="221">
        <f t="shared" si="118"/>
        <v>4</v>
      </c>
      <c r="N445" s="443" cm="1">
        <f t="array" ref="N445">IF(TRIM(K445)="Mano de Obra",IF(Formulario!$L$23&lt;&gt;"",Formulario!$L$23,IFERROR(VLOOKUP(TRIM($M$4),Jornalesdeppto!A:C,3,0),"")),_xlfn.XLOOKUP(1,(Tabla_Costos_Insumos!$A$2:$A$3199=TRIM($M$4))*(Tabla_Costos_Insumos!$C$2:$C$3199=TRIM(K445)),Tabla_Costos_Insumos!$E$2:$E$3199,"",0))</f>
        <v>46666.666666666664</v>
      </c>
      <c r="O445" s="443">
        <f t="shared" si="111"/>
        <v>186666.66666666666</v>
      </c>
      <c r="P445" s="220" t="str">
        <f t="shared" si="104"/>
        <v>Limón Mandarino</v>
      </c>
      <c r="Q445" s="212" t="s">
        <v>108</v>
      </c>
      <c r="R445" s="212">
        <v>1.5</v>
      </c>
      <c r="S445" s="212" t="str">
        <f t="shared" ref="S445:S446" si="122">IF($M$3="Limón Mandarino",($I$3*R445) / 480,"")</f>
        <v/>
      </c>
      <c r="T445" s="212" cm="1">
        <f t="array" ref="T445">_xlfn.IFS($D$5&lt;=7, 1.1, $D$5&lt;=12,1.2, $D$5&lt;=25, 1.3, $D$5&gt;25,1.4)</f>
        <v>1.3</v>
      </c>
      <c r="U445" s="212" t="str">
        <f t="shared" ref="U445:U446" si="123">IFERROR(S445*T445,"")</f>
        <v/>
      </c>
      <c r="V445" s="212">
        <v>4</v>
      </c>
      <c r="W445" s="212" t="str">
        <f t="shared" si="117"/>
        <v/>
      </c>
      <c r="X445" s="214">
        <v>3</v>
      </c>
    </row>
    <row r="446" spans="1:24" ht="15">
      <c r="A446" s="211" t="s">
        <v>37</v>
      </c>
      <c r="B446" s="225" t="s">
        <v>38</v>
      </c>
      <c r="C446" s="220" t="s">
        <v>68</v>
      </c>
      <c r="D446" s="220" t="s">
        <v>99</v>
      </c>
      <c r="E446" s="220" t="s">
        <v>100</v>
      </c>
      <c r="F446" s="220" t="s">
        <v>130</v>
      </c>
      <c r="G446" s="220" t="s">
        <v>131</v>
      </c>
      <c r="H446" s="220" t="s">
        <v>134</v>
      </c>
      <c r="I446" s="220" t="s">
        <v>135</v>
      </c>
      <c r="J446" s="220" t="s">
        <v>105</v>
      </c>
      <c r="K446" s="220" t="s">
        <v>106</v>
      </c>
      <c r="L446" s="220" t="s">
        <v>107</v>
      </c>
      <c r="M446" s="221">
        <f t="shared" si="118"/>
        <v>2</v>
      </c>
      <c r="N446" s="443" cm="1">
        <f t="array" ref="N446">IF(TRIM(K446)="Mano de Obra",IF(Formulario!$L$23&lt;&gt;"",Formulario!$L$23,IFERROR(VLOOKUP(TRIM($M$4),Jornalesdeppto!A:C,3,0),"")),_xlfn.XLOOKUP(1,(Tabla_Costos_Insumos!$A$2:$A$3199=TRIM($M$4))*(Tabla_Costos_Insumos!$C$2:$C$3199=TRIM(K446)),Tabla_Costos_Insumos!$E$2:$E$3199,"",0))</f>
        <v>46666.666666666664</v>
      </c>
      <c r="O446" s="443">
        <f t="shared" si="111"/>
        <v>93333.333333333328</v>
      </c>
      <c r="P446" s="220" t="str">
        <f t="shared" si="104"/>
        <v>Limón Mandarino</v>
      </c>
      <c r="Q446" s="212" t="s">
        <v>108</v>
      </c>
      <c r="R446" s="212">
        <v>1.5</v>
      </c>
      <c r="S446" s="212" t="str">
        <f t="shared" si="122"/>
        <v/>
      </c>
      <c r="T446" s="212" cm="1">
        <f t="array" ref="T446">_xlfn.IFS($D$5&lt;=7, 1.1, $D$5&lt;=12,1.2, $D$5&lt;=25, 1.3, $D$5&gt;25,1.4)</f>
        <v>1.3</v>
      </c>
      <c r="U446" s="212" t="str">
        <f t="shared" si="123"/>
        <v/>
      </c>
      <c r="V446" s="212">
        <v>4</v>
      </c>
      <c r="W446" s="212" t="str">
        <f t="shared" si="117"/>
        <v/>
      </c>
      <c r="X446" s="214">
        <v>1</v>
      </c>
    </row>
    <row r="447" spans="1:24" ht="15">
      <c r="A447" s="211" t="s">
        <v>37</v>
      </c>
      <c r="B447" s="225" t="s">
        <v>38</v>
      </c>
      <c r="C447" s="220" t="s">
        <v>68</v>
      </c>
      <c r="D447" s="220" t="s">
        <v>145</v>
      </c>
      <c r="E447" s="220" t="s">
        <v>146</v>
      </c>
      <c r="F447" s="220" t="s">
        <v>147</v>
      </c>
      <c r="G447" s="220" t="s">
        <v>131</v>
      </c>
      <c r="H447" s="220" t="s">
        <v>152</v>
      </c>
      <c r="I447" s="220" t="s">
        <v>153</v>
      </c>
      <c r="J447" s="220" t="s">
        <v>149</v>
      </c>
      <c r="K447" s="220" t="s">
        <v>150</v>
      </c>
      <c r="L447" s="220" t="s">
        <v>151</v>
      </c>
      <c r="M447" s="221">
        <v>2</v>
      </c>
      <c r="N447" s="443" cm="1">
        <f t="array" ref="N447">IF(TRIM(K447)="Mano de Obra",IF(Formulario!$L$23&lt;&gt;"",Formulario!$L$23,IFERROR(VLOOKUP(TRIM($M$4),Jornalesdeppto!A:C,3,0),"")),_xlfn.XLOOKUP(1,(Tabla_Costos_Insumos!$A$2:$A$3199=TRIM($M$4))*(Tabla_Costos_Insumos!$C$2:$C$3199=TRIM(K447)),Tabla_Costos_Insumos!$E$2:$E$3199,"",0))</f>
        <v>198055.68333333</v>
      </c>
      <c r="O447" s="443">
        <f t="shared" si="111"/>
        <v>396111.36666666</v>
      </c>
      <c r="P447" s="220" t="str">
        <f t="shared" si="104"/>
        <v>Limón Mandarino</v>
      </c>
      <c r="Q447" s="212" t="s">
        <v>142</v>
      </c>
      <c r="R447" s="212" t="s">
        <v>142</v>
      </c>
      <c r="S447" s="212"/>
      <c r="T447" s="212"/>
      <c r="U447" s="212"/>
      <c r="V447" s="212" t="s">
        <v>142</v>
      </c>
      <c r="W447" s="212" t="str">
        <f t="shared" si="117"/>
        <v/>
      </c>
      <c r="X447" s="214"/>
    </row>
    <row r="448" spans="1:24" ht="15">
      <c r="A448" s="211" t="s">
        <v>37</v>
      </c>
      <c r="B448" s="225" t="s">
        <v>38</v>
      </c>
      <c r="C448" s="220" t="s">
        <v>68</v>
      </c>
      <c r="D448" s="220" t="s">
        <v>145</v>
      </c>
      <c r="E448" s="220" t="s">
        <v>146</v>
      </c>
      <c r="F448" s="220" t="s">
        <v>147</v>
      </c>
      <c r="G448" s="220" t="s">
        <v>131</v>
      </c>
      <c r="H448" s="220" t="s">
        <v>152</v>
      </c>
      <c r="I448" s="220" t="s">
        <v>153</v>
      </c>
      <c r="J448" s="220" t="s">
        <v>149</v>
      </c>
      <c r="K448" s="220" t="s">
        <v>166</v>
      </c>
      <c r="L448" s="220" t="s">
        <v>151</v>
      </c>
      <c r="M448" s="221">
        <v>2</v>
      </c>
      <c r="N448" s="443" cm="1">
        <f t="array" ref="N448">IF(TRIM(K448)="Mano de Obra",IF(Formulario!$L$23&lt;&gt;"",Formulario!$L$23,IFERROR(VLOOKUP(TRIM($M$4),Jornalesdeppto!A:C,3,0),"")),_xlfn.XLOOKUP(1,(Tabla_Costos_Insumos!$A$2:$A$3199=TRIM($M$4))*(Tabla_Costos_Insumos!$C$2:$C$3199=TRIM(K448)),Tabla_Costos_Insumos!$E$2:$E$3199,"",0))</f>
        <v>110000</v>
      </c>
      <c r="O448" s="443">
        <f t="shared" si="111"/>
        <v>220000</v>
      </c>
      <c r="P448" s="220" t="str">
        <f t="shared" ref="P448:P511" si="124">CONCATENATE(A448," ",B448)</f>
        <v>Limón Mandarino</v>
      </c>
      <c r="Q448" s="212" t="s">
        <v>142</v>
      </c>
      <c r="R448" s="212" t="s">
        <v>142</v>
      </c>
      <c r="S448" s="212"/>
      <c r="T448" s="212"/>
      <c r="U448" s="212"/>
      <c r="V448" s="212" t="s">
        <v>142</v>
      </c>
      <c r="W448" s="212" t="str">
        <f t="shared" si="117"/>
        <v/>
      </c>
      <c r="X448" s="214"/>
    </row>
    <row r="449" spans="1:24" ht="15">
      <c r="A449" s="211" t="s">
        <v>37</v>
      </c>
      <c r="B449" s="225" t="s">
        <v>38</v>
      </c>
      <c r="C449" s="220" t="s">
        <v>68</v>
      </c>
      <c r="D449" s="220" t="s">
        <v>145</v>
      </c>
      <c r="E449" s="220" t="s">
        <v>146</v>
      </c>
      <c r="F449" s="220" t="s">
        <v>147</v>
      </c>
      <c r="G449" s="220" t="s">
        <v>131</v>
      </c>
      <c r="H449" s="220" t="s">
        <v>154</v>
      </c>
      <c r="I449" s="220" t="s">
        <v>155</v>
      </c>
      <c r="J449" s="220" t="s">
        <v>149</v>
      </c>
      <c r="K449" s="220" t="s">
        <v>156</v>
      </c>
      <c r="L449" s="220" t="s">
        <v>151</v>
      </c>
      <c r="M449" s="221">
        <v>2</v>
      </c>
      <c r="N449" s="443" cm="1">
        <f t="array" ref="N449">IF(TRIM(K449)="Mano de Obra",IF(Formulario!$L$23&lt;&gt;"",Formulario!$L$23,IFERROR(VLOOKUP(TRIM($M$4),Jornalesdeppto!A:C,3,0),"")),_xlfn.XLOOKUP(1,(Tabla_Costos_Insumos!$A$2:$A$3199=TRIM($M$4))*(Tabla_Costos_Insumos!$C$2:$C$3199=TRIM(K449)),Tabla_Costos_Insumos!$E$2:$E$3199,"",0))</f>
        <v>17212.5</v>
      </c>
      <c r="O449" s="443">
        <f t="shared" si="111"/>
        <v>34425</v>
      </c>
      <c r="P449" s="220" t="str">
        <f t="shared" si="124"/>
        <v>Limón Mandarino</v>
      </c>
      <c r="Q449" s="212" t="s">
        <v>142</v>
      </c>
      <c r="R449" s="212" t="s">
        <v>142</v>
      </c>
      <c r="S449" s="212"/>
      <c r="T449" s="212"/>
      <c r="U449" s="212"/>
      <c r="V449" s="212" t="s">
        <v>142</v>
      </c>
      <c r="W449" s="212" t="str">
        <f t="shared" si="117"/>
        <v/>
      </c>
      <c r="X449" s="214"/>
    </row>
    <row r="450" spans="1:24" ht="15">
      <c r="A450" s="211" t="s">
        <v>37</v>
      </c>
      <c r="B450" s="225" t="s">
        <v>38</v>
      </c>
      <c r="C450" s="220" t="s">
        <v>68</v>
      </c>
      <c r="D450" s="220" t="s">
        <v>145</v>
      </c>
      <c r="E450" s="220" t="s">
        <v>146</v>
      </c>
      <c r="F450" s="220" t="s">
        <v>147</v>
      </c>
      <c r="G450" s="220" t="s">
        <v>131</v>
      </c>
      <c r="H450" s="220" t="s">
        <v>157</v>
      </c>
      <c r="I450" s="220" t="s">
        <v>158</v>
      </c>
      <c r="J450" s="220" t="s">
        <v>149</v>
      </c>
      <c r="K450" s="220" t="s">
        <v>243</v>
      </c>
      <c r="L450" s="220" t="s">
        <v>172</v>
      </c>
      <c r="M450" s="221">
        <v>14</v>
      </c>
      <c r="N450" s="443" cm="1">
        <f t="array" ref="N450">IF(TRIM(K450)="Mano de Obra",IF(Formulario!$L$23&lt;&gt;"",Formulario!$L$23,IFERROR(VLOOKUP(TRIM($M$4),Jornalesdeppto!A:C,3,0),"")),_xlfn.XLOOKUP(1,(Tabla_Costos_Insumos!$A$2:$A$3199=TRIM($M$4))*(Tabla_Costos_Insumos!$C$2:$C$3199=TRIM(K450)),Tabla_Costos_Insumos!$E$2:$E$3199,"",0))</f>
        <v>26208.33</v>
      </c>
      <c r="O450" s="443">
        <f t="shared" si="111"/>
        <v>366916.62</v>
      </c>
      <c r="P450" s="220" t="str">
        <f t="shared" si="124"/>
        <v>Limón Mandarino</v>
      </c>
      <c r="Q450" s="212" t="s">
        <v>142</v>
      </c>
      <c r="R450" s="212" t="s">
        <v>142</v>
      </c>
      <c r="S450" s="212"/>
      <c r="T450" s="212"/>
      <c r="U450" s="212"/>
      <c r="V450" s="212" t="s">
        <v>142</v>
      </c>
      <c r="W450" s="212" t="str">
        <f t="shared" si="117"/>
        <v/>
      </c>
      <c r="X450" s="214"/>
    </row>
    <row r="451" spans="1:24" ht="15">
      <c r="A451" s="211" t="s">
        <v>37</v>
      </c>
      <c r="B451" s="225" t="s">
        <v>38</v>
      </c>
      <c r="C451" s="220" t="s">
        <v>68</v>
      </c>
      <c r="D451" s="220" t="s">
        <v>145</v>
      </c>
      <c r="E451" s="220" t="s">
        <v>146</v>
      </c>
      <c r="F451" s="220" t="s">
        <v>147</v>
      </c>
      <c r="G451" s="220" t="s">
        <v>131</v>
      </c>
      <c r="H451" s="220" t="s">
        <v>161</v>
      </c>
      <c r="I451" s="220" t="s">
        <v>162</v>
      </c>
      <c r="J451" s="220" t="s">
        <v>149</v>
      </c>
      <c r="K451" s="220" t="s">
        <v>163</v>
      </c>
      <c r="L451" s="220" t="s">
        <v>164</v>
      </c>
      <c r="M451" s="221">
        <v>2</v>
      </c>
      <c r="N451" s="443" cm="1">
        <f t="array" ref="N451">IF(TRIM(K451)="Mano de Obra",IF(Formulario!$L$23&lt;&gt;"",Formulario!$L$23,IFERROR(VLOOKUP(TRIM($M$4),Jornalesdeppto!A:C,3,0),"")),_xlfn.XLOOKUP(1,(Tabla_Costos_Insumos!$A$2:$A$3199=TRIM($M$4))*(Tabla_Costos_Insumos!$C$2:$C$3199=TRIM(K451)),Tabla_Costos_Insumos!$E$2:$E$3199,"",0))</f>
        <v>128084.44444445</v>
      </c>
      <c r="O451" s="443">
        <f t="shared" si="111"/>
        <v>256168.88888889999</v>
      </c>
      <c r="P451" s="220" t="str">
        <f t="shared" si="124"/>
        <v>Limón Mandarino</v>
      </c>
      <c r="Q451" s="212" t="s">
        <v>142</v>
      </c>
      <c r="R451" s="212" t="s">
        <v>142</v>
      </c>
      <c r="S451" s="212"/>
      <c r="T451" s="212"/>
      <c r="U451" s="212"/>
      <c r="V451" s="212" t="s">
        <v>142</v>
      </c>
      <c r="W451" s="212" t="str">
        <f t="shared" si="117"/>
        <v/>
      </c>
      <c r="X451" s="214"/>
    </row>
    <row r="452" spans="1:24" ht="15">
      <c r="A452" s="211" t="s">
        <v>37</v>
      </c>
      <c r="B452" s="225" t="s">
        <v>38</v>
      </c>
      <c r="C452" s="220" t="s">
        <v>68</v>
      </c>
      <c r="D452" s="220" t="s">
        <v>145</v>
      </c>
      <c r="E452" s="220" t="s">
        <v>146</v>
      </c>
      <c r="F452" s="220" t="s">
        <v>147</v>
      </c>
      <c r="G452" s="220" t="s">
        <v>131</v>
      </c>
      <c r="H452" s="220" t="s">
        <v>165</v>
      </c>
      <c r="I452" s="220" t="s">
        <v>153</v>
      </c>
      <c r="J452" s="220" t="s">
        <v>149</v>
      </c>
      <c r="K452" s="220" t="s">
        <v>4110</v>
      </c>
      <c r="L452" s="220" t="s">
        <v>151</v>
      </c>
      <c r="M452" s="221">
        <v>3</v>
      </c>
      <c r="N452" s="443" cm="1">
        <f t="array" ref="N452">IF(TRIM(K452)="Mano de Obra",IF(Formulario!$L$23&lt;&gt;"",Formulario!$L$23,IFERROR(VLOOKUP(TRIM($M$4),Jornalesdeppto!A:C,3,0),"")),_xlfn.XLOOKUP(1,(Tabla_Costos_Insumos!$A$2:$A$3199=TRIM($M$4))*(Tabla_Costos_Insumos!$C$2:$C$3199=TRIM(K452)),Tabla_Costos_Insumos!$E$2:$E$3199,"",0))</f>
        <v>125849.2424242409</v>
      </c>
      <c r="O452" s="443">
        <f t="shared" si="111"/>
        <v>377547.7272727227</v>
      </c>
      <c r="P452" s="220" t="str">
        <f t="shared" si="124"/>
        <v>Limón Mandarino</v>
      </c>
      <c r="Q452" s="212" t="s">
        <v>142</v>
      </c>
      <c r="R452" s="212" t="s">
        <v>142</v>
      </c>
      <c r="S452" s="212"/>
      <c r="T452" s="212"/>
      <c r="U452" s="212"/>
      <c r="V452" s="212" t="s">
        <v>142</v>
      </c>
      <c r="W452" s="212" t="str">
        <f t="shared" si="117"/>
        <v/>
      </c>
      <c r="X452" s="214"/>
    </row>
    <row r="453" spans="1:24" ht="15">
      <c r="A453" s="211" t="s">
        <v>37</v>
      </c>
      <c r="B453" s="225" t="s">
        <v>38</v>
      </c>
      <c r="C453" s="220" t="s">
        <v>68</v>
      </c>
      <c r="D453" s="220" t="s">
        <v>145</v>
      </c>
      <c r="E453" s="220" t="s">
        <v>146</v>
      </c>
      <c r="F453" s="220" t="s">
        <v>167</v>
      </c>
      <c r="G453" s="220" t="s">
        <v>118</v>
      </c>
      <c r="H453" s="220" t="s">
        <v>168</v>
      </c>
      <c r="I453" s="220" t="s">
        <v>169</v>
      </c>
      <c r="J453" s="220" t="s">
        <v>170</v>
      </c>
      <c r="K453" s="220" t="s">
        <v>259</v>
      </c>
      <c r="L453" s="220" t="s">
        <v>172</v>
      </c>
      <c r="M453" s="221">
        <v>3</v>
      </c>
      <c r="N453" s="443" cm="1">
        <f t="array" ref="N453">IF(TRIM(K453)="Mano de Obra",IF(Formulario!$L$23&lt;&gt;"",Formulario!$L$23,IFERROR(VLOOKUP(TRIM($M$4),Jornalesdeppto!A:C,3,0),"")),_xlfn.XLOOKUP(1,(Tabla_Costos_Insumos!$A$2:$A$3199=TRIM($M$4))*(Tabla_Costos_Insumos!$C$2:$C$3199=TRIM(K453)),Tabla_Costos_Insumos!$E$2:$E$3199,"",0))</f>
        <v>283758.28999999998</v>
      </c>
      <c r="O453" s="443">
        <f t="shared" si="111"/>
        <v>851274.86999999988</v>
      </c>
      <c r="P453" s="220" t="str">
        <f t="shared" si="124"/>
        <v>Limón Mandarino</v>
      </c>
      <c r="Q453" s="212" t="s">
        <v>142</v>
      </c>
      <c r="R453" s="212" t="s">
        <v>142</v>
      </c>
      <c r="S453" s="212"/>
      <c r="T453" s="212"/>
      <c r="U453" s="212"/>
      <c r="V453" s="212" t="s">
        <v>142</v>
      </c>
      <c r="W453" s="212" t="str">
        <f t="shared" si="117"/>
        <v/>
      </c>
      <c r="X453" s="214"/>
    </row>
    <row r="454" spans="1:24" ht="15">
      <c r="A454" s="211" t="s">
        <v>37</v>
      </c>
      <c r="B454" s="225" t="s">
        <v>38</v>
      </c>
      <c r="C454" s="220" t="s">
        <v>68</v>
      </c>
      <c r="D454" s="220" t="s">
        <v>145</v>
      </c>
      <c r="E454" s="220" t="s">
        <v>146</v>
      </c>
      <c r="F454" s="220" t="s">
        <v>167</v>
      </c>
      <c r="G454" s="220" t="s">
        <v>118</v>
      </c>
      <c r="H454" s="220" t="s">
        <v>168</v>
      </c>
      <c r="I454" s="220" t="s">
        <v>169</v>
      </c>
      <c r="J454" s="220" t="s">
        <v>170</v>
      </c>
      <c r="K454" s="220" t="s">
        <v>260</v>
      </c>
      <c r="L454" s="220" t="s">
        <v>261</v>
      </c>
      <c r="M454" s="221">
        <v>41</v>
      </c>
      <c r="N454" s="443" cm="1">
        <f t="array" ref="N454">IF(TRIM(K454)="Mano de Obra",IF(Formulario!$L$23&lt;&gt;"",Formulario!$L$23,IFERROR(VLOOKUP(TRIM($M$4),Jornalesdeppto!A:C,3,0),"")),_xlfn.XLOOKUP(1,(Tabla_Costos_Insumos!$A$2:$A$3199=TRIM($M$4))*(Tabla_Costos_Insumos!$C$2:$C$3199=TRIM(K454)),Tabla_Costos_Insumos!$E$2:$E$3199,"",0))</f>
        <v>25534.226046466123</v>
      </c>
      <c r="O454" s="443">
        <f t="shared" si="111"/>
        <v>1046903.2679051111</v>
      </c>
      <c r="P454" s="220" t="str">
        <f t="shared" si="124"/>
        <v>Limón Mandarino</v>
      </c>
      <c r="Q454" s="212" t="s">
        <v>142</v>
      </c>
      <c r="R454" s="212" t="s">
        <v>142</v>
      </c>
      <c r="S454" s="212"/>
      <c r="T454" s="212"/>
      <c r="U454" s="212"/>
      <c r="V454" s="212" t="s">
        <v>142</v>
      </c>
      <c r="W454" s="212" t="str">
        <f t="shared" si="117"/>
        <v/>
      </c>
      <c r="X454" s="214"/>
    </row>
    <row r="455" spans="1:24" ht="15">
      <c r="A455" s="211" t="s">
        <v>37</v>
      </c>
      <c r="B455" s="225" t="s">
        <v>38</v>
      </c>
      <c r="C455" s="220" t="s">
        <v>68</v>
      </c>
      <c r="D455" s="220" t="s">
        <v>145</v>
      </c>
      <c r="E455" s="220" t="s">
        <v>146</v>
      </c>
      <c r="F455" s="220" t="s">
        <v>167</v>
      </c>
      <c r="G455" s="220" t="s">
        <v>118</v>
      </c>
      <c r="H455" s="220" t="s">
        <v>174</v>
      </c>
      <c r="I455" s="220" t="s">
        <v>175</v>
      </c>
      <c r="J455" s="220" t="s">
        <v>176</v>
      </c>
      <c r="K455" s="220" t="s">
        <v>262</v>
      </c>
      <c r="L455" s="220" t="s">
        <v>172</v>
      </c>
      <c r="M455" s="221">
        <v>14</v>
      </c>
      <c r="N455" s="443" cm="1">
        <f t="array" ref="N455">IF(TRIM(K455)="Mano de Obra",IF(Formulario!$L$23&lt;&gt;"",Formulario!$L$23,IFERROR(VLOOKUP(TRIM($M$4),Jornalesdeppto!A:C,3,0),"")),_xlfn.XLOOKUP(1,(Tabla_Costos_Insumos!$A$2:$A$3199=TRIM($M$4))*(Tabla_Costos_Insumos!$C$2:$C$3199=TRIM(K455)),Tabla_Costos_Insumos!$E$2:$E$3199,"",0))</f>
        <v>17500</v>
      </c>
      <c r="O455" s="443">
        <f t="shared" si="111"/>
        <v>245000</v>
      </c>
      <c r="P455" s="220" t="str">
        <f t="shared" si="124"/>
        <v>Limón Mandarino</v>
      </c>
      <c r="Q455" s="212" t="s">
        <v>142</v>
      </c>
      <c r="R455" s="212" t="s">
        <v>142</v>
      </c>
      <c r="S455" s="212"/>
      <c r="T455" s="212"/>
      <c r="U455" s="212"/>
      <c r="V455" s="212" t="s">
        <v>142</v>
      </c>
      <c r="W455" s="212" t="str">
        <f t="shared" si="117"/>
        <v/>
      </c>
      <c r="X455" s="214"/>
    </row>
    <row r="456" spans="1:24" ht="15">
      <c r="A456" s="211" t="s">
        <v>37</v>
      </c>
      <c r="B456" s="225" t="s">
        <v>38</v>
      </c>
      <c r="C456" s="220" t="s">
        <v>68</v>
      </c>
      <c r="D456" s="220" t="s">
        <v>145</v>
      </c>
      <c r="E456" s="220" t="s">
        <v>146</v>
      </c>
      <c r="F456" s="220" t="s">
        <v>167</v>
      </c>
      <c r="G456" s="220" t="s">
        <v>118</v>
      </c>
      <c r="H456" s="220" t="s">
        <v>178</v>
      </c>
      <c r="I456" s="220" t="s">
        <v>179</v>
      </c>
      <c r="J456" s="220" t="s">
        <v>180</v>
      </c>
      <c r="K456" s="220" t="s">
        <v>181</v>
      </c>
      <c r="L456" s="220" t="s">
        <v>172</v>
      </c>
      <c r="M456" s="221">
        <v>6</v>
      </c>
      <c r="N456" s="443" cm="1">
        <f t="array" ref="N456">IF(TRIM(K456)="Mano de Obra",IF(Formulario!$L$23&lt;&gt;"",Formulario!$L$23,IFERROR(VLOOKUP(TRIM($M$4),Jornalesdeppto!A:C,3,0),"")),_xlfn.XLOOKUP(1,(Tabla_Costos_Insumos!$A$2:$A$3199=TRIM($M$4))*(Tabla_Costos_Insumos!$C$2:$C$3199=TRIM(K456)),Tabla_Costos_Insumos!$E$2:$E$3199,"",0))</f>
        <v>34056.25</v>
      </c>
      <c r="O456" s="443">
        <f t="shared" si="111"/>
        <v>204337.5</v>
      </c>
      <c r="P456" s="220" t="str">
        <f t="shared" si="124"/>
        <v>Limón Mandarino</v>
      </c>
      <c r="Q456" s="212" t="s">
        <v>142</v>
      </c>
      <c r="R456" s="212" t="s">
        <v>142</v>
      </c>
      <c r="S456" s="212"/>
      <c r="T456" s="212"/>
      <c r="U456" s="212"/>
      <c r="V456" s="212" t="s">
        <v>142</v>
      </c>
      <c r="W456" s="212" t="str">
        <f t="shared" si="117"/>
        <v/>
      </c>
      <c r="X456" s="214"/>
    </row>
    <row r="457" spans="1:24" ht="15">
      <c r="A457" s="211" t="s">
        <v>37</v>
      </c>
      <c r="B457" s="225" t="s">
        <v>38</v>
      </c>
      <c r="C457" s="220" t="s">
        <v>68</v>
      </c>
      <c r="D457" s="220" t="s">
        <v>145</v>
      </c>
      <c r="E457" s="220" t="s">
        <v>146</v>
      </c>
      <c r="F457" s="220" t="s">
        <v>167</v>
      </c>
      <c r="G457" s="220" t="s">
        <v>118</v>
      </c>
      <c r="H457" s="220" t="s">
        <v>178</v>
      </c>
      <c r="I457" s="220" t="s">
        <v>179</v>
      </c>
      <c r="J457" s="220" t="s">
        <v>180</v>
      </c>
      <c r="K457" s="220" t="s">
        <v>263</v>
      </c>
      <c r="L457" s="220" t="s">
        <v>172</v>
      </c>
      <c r="M457" s="221">
        <v>7</v>
      </c>
      <c r="N457" s="443" cm="1">
        <f t="array" ref="N457">IF(TRIM(K457)="Mano de Obra",IF(Formulario!$L$23&lt;&gt;"",Formulario!$L$23,IFERROR(VLOOKUP(TRIM($M$4),Jornalesdeppto!A:C,3,0),"")),_xlfn.XLOOKUP(1,(Tabla_Costos_Insumos!$A$2:$A$3199=TRIM($M$4))*(Tabla_Costos_Insumos!$C$2:$C$3199=TRIM(K457)),Tabla_Costos_Insumos!$E$2:$E$3199,"",0))</f>
        <v>210423.61</v>
      </c>
      <c r="O457" s="443">
        <f t="shared" si="111"/>
        <v>1472965.27</v>
      </c>
      <c r="P457" s="220" t="str">
        <f t="shared" si="124"/>
        <v>Limón Mandarino</v>
      </c>
      <c r="Q457" s="212" t="s">
        <v>142</v>
      </c>
      <c r="R457" s="212" t="s">
        <v>142</v>
      </c>
      <c r="S457" s="212"/>
      <c r="T457" s="212"/>
      <c r="U457" s="212"/>
      <c r="V457" s="212" t="s">
        <v>142</v>
      </c>
      <c r="W457" s="212" t="str">
        <f t="shared" si="117"/>
        <v/>
      </c>
      <c r="X457" s="214"/>
    </row>
    <row r="458" spans="1:24" ht="15">
      <c r="A458" s="211" t="s">
        <v>37</v>
      </c>
      <c r="B458" s="225" t="s">
        <v>38</v>
      </c>
      <c r="C458" s="220" t="s">
        <v>68</v>
      </c>
      <c r="D458" s="220" t="s">
        <v>145</v>
      </c>
      <c r="E458" s="220" t="s">
        <v>146</v>
      </c>
      <c r="F458" s="220" t="s">
        <v>183</v>
      </c>
      <c r="G458" s="220" t="s">
        <v>184</v>
      </c>
      <c r="H458" s="220" t="s">
        <v>185</v>
      </c>
      <c r="I458" s="220" t="s">
        <v>186</v>
      </c>
      <c r="J458" s="220" t="s">
        <v>105</v>
      </c>
      <c r="K458" s="220" t="s">
        <v>187</v>
      </c>
      <c r="L458" s="220" t="s">
        <v>188</v>
      </c>
      <c r="M458" s="221">
        <v>0.1</v>
      </c>
      <c r="N458" s="443" cm="1">
        <f t="array" ref="N458">IF(TRIM(K458)="Mano de Obra",IF(Formulario!$L$23&lt;&gt;"",Formulario!$L$23,IFERROR(VLOOKUP(TRIM($M$4),Jornalesdeppto!A:C,3,0),"")),_xlfn.XLOOKUP(1,(Tabla_Costos_Insumos!$A$2:$A$3199=TRIM($M$4))*(Tabla_Costos_Insumos!$C$2:$C$3199=TRIM(K458)),Tabla_Costos_Insumos!$E$2:$E$3199,"",0))</f>
        <v>175000</v>
      </c>
      <c r="O458" s="443">
        <f t="shared" si="111"/>
        <v>17500</v>
      </c>
      <c r="P458" s="220" t="str">
        <f t="shared" si="124"/>
        <v>Limón Mandarino</v>
      </c>
      <c r="Q458" s="212" t="s">
        <v>142</v>
      </c>
      <c r="R458" s="212" t="s">
        <v>142</v>
      </c>
      <c r="S458" s="212"/>
      <c r="T458" s="212"/>
      <c r="U458" s="212"/>
      <c r="V458" s="212" t="s">
        <v>142</v>
      </c>
      <c r="W458" s="212" t="str">
        <f t="shared" si="117"/>
        <v/>
      </c>
      <c r="X458" s="214"/>
    </row>
    <row r="459" spans="1:24" ht="15">
      <c r="A459" s="211" t="s">
        <v>37</v>
      </c>
      <c r="B459" s="225" t="s">
        <v>38</v>
      </c>
      <c r="C459" s="220" t="s">
        <v>68</v>
      </c>
      <c r="D459" s="220" t="s">
        <v>189</v>
      </c>
      <c r="E459" s="220" t="s">
        <v>190</v>
      </c>
      <c r="F459" s="220" t="s">
        <v>191</v>
      </c>
      <c r="G459" s="220" t="s">
        <v>192</v>
      </c>
      <c r="H459" s="220" t="s">
        <v>193</v>
      </c>
      <c r="I459" s="220" t="s">
        <v>194</v>
      </c>
      <c r="J459" s="220" t="s">
        <v>195</v>
      </c>
      <c r="K459" s="220" t="s">
        <v>196</v>
      </c>
      <c r="L459" s="220" t="s">
        <v>197</v>
      </c>
      <c r="M459" s="221">
        <v>1</v>
      </c>
      <c r="N459" s="443">
        <f>IFERROR(SUM(O441:$O$458)*0.08,0)</f>
        <v>588465.37419200491</v>
      </c>
      <c r="O459" s="443">
        <f t="shared" si="111"/>
        <v>588465.37419200491</v>
      </c>
      <c r="P459" s="220" t="str">
        <f t="shared" si="124"/>
        <v>Limón Mandarino</v>
      </c>
      <c r="Q459" s="212" t="s">
        <v>142</v>
      </c>
      <c r="R459" s="212" t="s">
        <v>142</v>
      </c>
      <c r="S459" s="212"/>
      <c r="T459" s="212"/>
      <c r="U459" s="212"/>
      <c r="V459" s="212" t="s">
        <v>142</v>
      </c>
      <c r="W459" s="212" t="str">
        <f t="shared" si="117"/>
        <v/>
      </c>
      <c r="X459" s="214"/>
    </row>
    <row r="460" spans="1:24" ht="15">
      <c r="A460" s="211" t="s">
        <v>37</v>
      </c>
      <c r="B460" s="225" t="s">
        <v>38</v>
      </c>
      <c r="C460" s="220" t="s">
        <v>68</v>
      </c>
      <c r="D460" s="220" t="s">
        <v>189</v>
      </c>
      <c r="E460" s="220" t="s">
        <v>190</v>
      </c>
      <c r="F460" s="220" t="s">
        <v>198</v>
      </c>
      <c r="G460" s="220" t="s">
        <v>199</v>
      </c>
      <c r="H460" s="220" t="s">
        <v>200</v>
      </c>
      <c r="I460" s="220" t="s">
        <v>201</v>
      </c>
      <c r="J460" s="220" t="s">
        <v>105</v>
      </c>
      <c r="K460" s="220" t="s">
        <v>202</v>
      </c>
      <c r="L460" s="220" t="s">
        <v>203</v>
      </c>
      <c r="M460" s="221">
        <v>1</v>
      </c>
      <c r="N460" s="443" cm="1">
        <f t="array" ref="N460">IF(TRIM(K460)="Mano de Obra",IF(Formulario!$L$23&lt;&gt;"",Formulario!$L$23,IFERROR(VLOOKUP(TRIM($M$4),Jornalesdeppto!A:C,3,0),"")),_xlfn.XLOOKUP(1,(Tabla_Costos_Insumos!$A$2:$A$3199=TRIM($M$4))*(Tabla_Costos_Insumos!$C$2:$C$3199=TRIM(K460)),Tabla_Costos_Insumos!$E$2:$E$3199,"",0))</f>
        <v>120000</v>
      </c>
      <c r="O460" s="443">
        <f t="shared" si="111"/>
        <v>120000</v>
      </c>
      <c r="P460" s="220" t="str">
        <f t="shared" si="124"/>
        <v>Limón Mandarino</v>
      </c>
      <c r="Q460" s="212" t="s">
        <v>142</v>
      </c>
      <c r="R460" s="212" t="s">
        <v>142</v>
      </c>
      <c r="S460" s="212"/>
      <c r="T460" s="212"/>
      <c r="U460" s="212"/>
      <c r="V460" s="212" t="s">
        <v>142</v>
      </c>
      <c r="W460" s="212" t="str">
        <f t="shared" si="117"/>
        <v/>
      </c>
      <c r="X460" s="214"/>
    </row>
    <row r="461" spans="1:24" ht="15">
      <c r="A461" s="211" t="s">
        <v>37</v>
      </c>
      <c r="B461" s="225" t="s">
        <v>38</v>
      </c>
      <c r="C461" s="220" t="s">
        <v>68</v>
      </c>
      <c r="D461" s="220" t="s">
        <v>189</v>
      </c>
      <c r="E461" s="220" t="s">
        <v>190</v>
      </c>
      <c r="F461" s="220" t="s">
        <v>204</v>
      </c>
      <c r="G461" s="220" t="s">
        <v>205</v>
      </c>
      <c r="H461" s="220" t="s">
        <v>206</v>
      </c>
      <c r="I461" s="220" t="s">
        <v>207</v>
      </c>
      <c r="J461" s="220" t="s">
        <v>4127</v>
      </c>
      <c r="K461" s="220" t="s">
        <v>228</v>
      </c>
      <c r="L461" s="220" t="s">
        <v>197</v>
      </c>
      <c r="M461" s="221">
        <v>1</v>
      </c>
      <c r="N461" s="443" t="str">
        <f>IF($M$3="Limón Mandarino",$J$4,"")</f>
        <v/>
      </c>
      <c r="O461" s="443" t="str">
        <f t="shared" si="111"/>
        <v/>
      </c>
      <c r="P461" s="220" t="str">
        <f t="shared" si="124"/>
        <v>Limón Mandarino</v>
      </c>
      <c r="Q461" s="212" t="s">
        <v>142</v>
      </c>
      <c r="R461" s="212" t="s">
        <v>142</v>
      </c>
      <c r="S461" s="212"/>
      <c r="T461" s="212"/>
      <c r="U461" s="212"/>
      <c r="V461" s="212" t="s">
        <v>142</v>
      </c>
      <c r="W461" s="212" t="str">
        <f t="shared" si="117"/>
        <v/>
      </c>
      <c r="X461" s="214"/>
    </row>
    <row r="462" spans="1:24" ht="15">
      <c r="A462" s="211" t="s">
        <v>270</v>
      </c>
      <c r="B462" s="225" t="s">
        <v>258</v>
      </c>
      <c r="C462" s="216" t="s">
        <v>53</v>
      </c>
      <c r="D462" s="216" t="s">
        <v>99</v>
      </c>
      <c r="E462" s="216" t="s">
        <v>100</v>
      </c>
      <c r="F462" s="216" t="s">
        <v>101</v>
      </c>
      <c r="G462" s="216" t="s">
        <v>102</v>
      </c>
      <c r="H462" s="216" t="s">
        <v>103</v>
      </c>
      <c r="I462" s="216" t="s">
        <v>104</v>
      </c>
      <c r="J462" s="216" t="s">
        <v>105</v>
      </c>
      <c r="K462" s="216" t="s">
        <v>106</v>
      </c>
      <c r="L462" s="216" t="s">
        <v>107</v>
      </c>
      <c r="M462" s="217">
        <f t="shared" ref="M462:M472" si="125">IF(W462&lt;&gt;"", W462, ROUNDUP(X462*T462, 0))</f>
        <v>11</v>
      </c>
      <c r="N462" s="442" cm="1">
        <f t="array" ref="N462">IF(TRIM(K462)="Mano de Obra",IF(Formulario!$L$23&lt;&gt;"",Formulario!$L$23,IFERROR(VLOOKUP(TRIM($M$4),Jornalesdeppto!A:C,3,0),"")),_xlfn.XLOOKUP(1,(Tabla_Costos_Insumos!$A$2:$A$3199=TRIM($M$4))*(Tabla_Costos_Insumos!$C$2:$C$3199=TRIM(K462)),Tabla_Costos_Insumos!$E$2:$E$3199,"",0))</f>
        <v>46666.666666666664</v>
      </c>
      <c r="O462" s="442">
        <f t="shared" si="111"/>
        <v>513333.33333333331</v>
      </c>
      <c r="P462" s="216" t="str">
        <f t="shared" si="124"/>
        <v>Mandarina Común</v>
      </c>
      <c r="Q462" s="212" t="s">
        <v>108</v>
      </c>
      <c r="R462" s="212">
        <v>7</v>
      </c>
      <c r="S462" s="212" t="str">
        <f>IF($M$3="Mandarina Común",($I$3*R462) / 480,"")</f>
        <v/>
      </c>
      <c r="T462" s="212" cm="1">
        <f t="array" ref="T462">_xlfn.IFS($D$5&lt;=7, 1.1, $D$5&lt;=12,1.2, $D$5&lt;=25, 1.3, $D$5&gt;25,1.4)</f>
        <v>1.3</v>
      </c>
      <c r="U462" s="212" t="str">
        <f t="shared" ref="U462:U472" si="126">IFERROR(S462*T462,"")</f>
        <v/>
      </c>
      <c r="V462" s="212">
        <v>1</v>
      </c>
      <c r="W462" s="212" t="str">
        <f t="shared" si="117"/>
        <v/>
      </c>
      <c r="X462" s="214">
        <v>8</v>
      </c>
    </row>
    <row r="463" spans="1:24" ht="15">
      <c r="A463" s="211" t="s">
        <v>270</v>
      </c>
      <c r="B463" s="225" t="s">
        <v>258</v>
      </c>
      <c r="C463" s="216" t="s">
        <v>53</v>
      </c>
      <c r="D463" s="216" t="s">
        <v>99</v>
      </c>
      <c r="E463" s="216" t="s">
        <v>100</v>
      </c>
      <c r="F463" s="216" t="s">
        <v>101</v>
      </c>
      <c r="G463" s="216" t="s">
        <v>102</v>
      </c>
      <c r="H463" s="216" t="s">
        <v>212</v>
      </c>
      <c r="I463" s="216" t="s">
        <v>213</v>
      </c>
      <c r="J463" s="216" t="s">
        <v>105</v>
      </c>
      <c r="K463" s="216" t="s">
        <v>106</v>
      </c>
      <c r="L463" s="216" t="s">
        <v>107</v>
      </c>
      <c r="M463" s="217">
        <f t="shared" si="125"/>
        <v>8</v>
      </c>
      <c r="N463" s="442" cm="1">
        <f t="array" ref="N463">IF(TRIM(K463)="Mano de Obra",IF(Formulario!$L$23&lt;&gt;"",Formulario!$L$23,IFERROR(VLOOKUP(TRIM($M$4),Jornalesdeppto!A:C,3,0),"")),_xlfn.XLOOKUP(1,(Tabla_Costos_Insumos!$A$2:$A$3199=TRIM($M$4))*(Tabla_Costos_Insumos!$C$2:$C$3199=TRIM(K463)),Tabla_Costos_Insumos!$E$2:$E$3199,"",0))</f>
        <v>46666.666666666664</v>
      </c>
      <c r="O463" s="442">
        <f t="shared" si="111"/>
        <v>373333.33333333331</v>
      </c>
      <c r="P463" s="216" t="str">
        <f t="shared" si="124"/>
        <v>Mandarina Común</v>
      </c>
      <c r="Q463" s="212" t="s">
        <v>108</v>
      </c>
      <c r="R463" s="212">
        <v>14</v>
      </c>
      <c r="S463" s="212" t="str">
        <f t="shared" ref="S463:S470" si="127">IF($M$3="Mandarina Común",($I$3*R463) / 480,"")</f>
        <v/>
      </c>
      <c r="T463" s="212" cm="1">
        <f t="array" ref="T463">_xlfn.IFS($D$5&lt;=7, 1.1, $D$5&lt;=12,1.2, $D$5&lt;=25, 1.3, $D$5&gt;25,1.4)</f>
        <v>1.3</v>
      </c>
      <c r="U463" s="212" t="str">
        <f t="shared" si="126"/>
        <v/>
      </c>
      <c r="V463" s="212">
        <v>1</v>
      </c>
      <c r="W463" s="212" t="str">
        <f t="shared" si="117"/>
        <v/>
      </c>
      <c r="X463" s="214">
        <v>6</v>
      </c>
    </row>
    <row r="464" spans="1:24" ht="15">
      <c r="A464" s="211" t="s">
        <v>270</v>
      </c>
      <c r="B464" s="225" t="s">
        <v>258</v>
      </c>
      <c r="C464" s="216" t="s">
        <v>53</v>
      </c>
      <c r="D464" s="216" t="s">
        <v>99</v>
      </c>
      <c r="E464" s="216" t="s">
        <v>100</v>
      </c>
      <c r="F464" s="216" t="s">
        <v>109</v>
      </c>
      <c r="G464" s="216" t="s">
        <v>110</v>
      </c>
      <c r="H464" s="216" t="s">
        <v>111</v>
      </c>
      <c r="I464" s="216" t="s">
        <v>112</v>
      </c>
      <c r="J464" s="216" t="s">
        <v>105</v>
      </c>
      <c r="K464" s="216" t="s">
        <v>106</v>
      </c>
      <c r="L464" s="216" t="s">
        <v>107</v>
      </c>
      <c r="M464" s="217">
        <f t="shared" si="125"/>
        <v>3</v>
      </c>
      <c r="N464" s="442" cm="1">
        <f t="array" ref="N464">IF(TRIM(K464)="Mano de Obra",IF(Formulario!$L$23&lt;&gt;"",Formulario!$L$23,IFERROR(VLOOKUP(TRIM($M$4),Jornalesdeppto!A:C,3,0),"")),_xlfn.XLOOKUP(1,(Tabla_Costos_Insumos!$A$2:$A$3199=TRIM($M$4))*(Tabla_Costos_Insumos!$C$2:$C$3199=TRIM(K464)),Tabla_Costos_Insumos!$E$2:$E$3199,"",0))</f>
        <v>46666.666666666664</v>
      </c>
      <c r="O464" s="442">
        <f t="shared" si="111"/>
        <v>140000</v>
      </c>
      <c r="P464" s="216" t="str">
        <f t="shared" si="124"/>
        <v>Mandarina Común</v>
      </c>
      <c r="Q464" s="212" t="s">
        <v>108</v>
      </c>
      <c r="R464" s="212">
        <v>0.5</v>
      </c>
      <c r="S464" s="212" t="str">
        <f t="shared" si="127"/>
        <v/>
      </c>
      <c r="T464" s="212" cm="1">
        <f t="array" ref="T464">_xlfn.IFS($D$5&lt;=7, 1.1, $D$5&lt;=12,1.2, $D$5&lt;=25, 1.3, $D$5&gt;25,1.4)</f>
        <v>1.3</v>
      </c>
      <c r="U464" s="212" t="str">
        <f t="shared" si="126"/>
        <v/>
      </c>
      <c r="V464" s="212">
        <v>2</v>
      </c>
      <c r="W464" s="212" t="str">
        <f t="shared" si="117"/>
        <v/>
      </c>
      <c r="X464" s="214">
        <v>2</v>
      </c>
    </row>
    <row r="465" spans="1:24" ht="15">
      <c r="A465" s="211" t="s">
        <v>270</v>
      </c>
      <c r="B465" s="225" t="s">
        <v>258</v>
      </c>
      <c r="C465" s="216" t="s">
        <v>53</v>
      </c>
      <c r="D465" s="216" t="s">
        <v>99</v>
      </c>
      <c r="E465" s="216" t="s">
        <v>100</v>
      </c>
      <c r="F465" s="216" t="s">
        <v>109</v>
      </c>
      <c r="G465" s="216" t="s">
        <v>110</v>
      </c>
      <c r="H465" s="216" t="s">
        <v>234</v>
      </c>
      <c r="I465" s="216" t="s">
        <v>235</v>
      </c>
      <c r="J465" s="216" t="s">
        <v>105</v>
      </c>
      <c r="K465" s="216" t="s">
        <v>106</v>
      </c>
      <c r="L465" s="216" t="s">
        <v>107</v>
      </c>
      <c r="M465" s="217">
        <f t="shared" si="125"/>
        <v>6</v>
      </c>
      <c r="N465" s="442" cm="1">
        <f t="array" ref="N465">IF(TRIM(K465)="Mano de Obra",IF(Formulario!$L$23&lt;&gt;"",Formulario!$L$23,IFERROR(VLOOKUP(TRIM($M$4),Jornalesdeppto!A:C,3,0),"")),_xlfn.XLOOKUP(1,(Tabla_Costos_Insumos!$A$2:$A$3199=TRIM($M$4))*(Tabla_Costos_Insumos!$C$2:$C$3199=TRIM(K465)),Tabla_Costos_Insumos!$E$2:$E$3199,"",0))</f>
        <v>46666.666666666664</v>
      </c>
      <c r="O465" s="442">
        <f t="shared" si="111"/>
        <v>280000</v>
      </c>
      <c r="P465" s="216" t="str">
        <f t="shared" si="124"/>
        <v>Mandarina Común</v>
      </c>
      <c r="Q465" s="212" t="s">
        <v>108</v>
      </c>
      <c r="R465" s="212">
        <v>2</v>
      </c>
      <c r="S465" s="212" t="str">
        <f t="shared" si="127"/>
        <v/>
      </c>
      <c r="T465" s="212" cm="1">
        <f t="array" ref="T465">_xlfn.IFS($D$5&lt;=7, 1.1, $D$5&lt;=12,1.2, $D$5&lt;=25, 1.3, $D$5&gt;25,1.4)</f>
        <v>1.3</v>
      </c>
      <c r="U465" s="212" t="str">
        <f t="shared" si="126"/>
        <v/>
      </c>
      <c r="V465" s="212">
        <v>4</v>
      </c>
      <c r="W465" s="212" t="str">
        <f t="shared" si="117"/>
        <v/>
      </c>
      <c r="X465" s="214">
        <v>4</v>
      </c>
    </row>
    <row r="466" spans="1:24" ht="15">
      <c r="A466" s="211" t="s">
        <v>270</v>
      </c>
      <c r="B466" s="225" t="s">
        <v>258</v>
      </c>
      <c r="C466" s="216" t="s">
        <v>53</v>
      </c>
      <c r="D466" s="216" t="s">
        <v>99</v>
      </c>
      <c r="E466" s="216" t="s">
        <v>100</v>
      </c>
      <c r="F466" s="216" t="s">
        <v>109</v>
      </c>
      <c r="G466" s="216" t="s">
        <v>110</v>
      </c>
      <c r="H466" s="216" t="s">
        <v>215</v>
      </c>
      <c r="I466" s="216" t="s">
        <v>216</v>
      </c>
      <c r="J466" s="216" t="s">
        <v>105</v>
      </c>
      <c r="K466" s="216" t="s">
        <v>106</v>
      </c>
      <c r="L466" s="216" t="s">
        <v>107</v>
      </c>
      <c r="M466" s="217">
        <f t="shared" si="125"/>
        <v>2</v>
      </c>
      <c r="N466" s="442" cm="1">
        <f t="array" ref="N466">IF(TRIM(K466)="Mano de Obra",IF(Formulario!$L$23&lt;&gt;"",Formulario!$L$23,IFERROR(VLOOKUP(TRIM($M$4),Jornalesdeppto!A:C,3,0),"")),_xlfn.XLOOKUP(1,(Tabla_Costos_Insumos!$A$2:$A$3199=TRIM($M$4))*(Tabla_Costos_Insumos!$C$2:$C$3199=TRIM(K466)),Tabla_Costos_Insumos!$E$2:$E$3199,"",0))</f>
        <v>46666.666666666664</v>
      </c>
      <c r="O466" s="442">
        <f t="shared" ref="O466:O529" si="128">IF(OR(N466=0,N466=""),"",N466*M466)</f>
        <v>93333.333333333328</v>
      </c>
      <c r="P466" s="216" t="str">
        <f t="shared" si="124"/>
        <v>Mandarina Común</v>
      </c>
      <c r="Q466" s="212" t="s">
        <v>108</v>
      </c>
      <c r="R466" s="212">
        <v>15</v>
      </c>
      <c r="S466" s="212" t="str">
        <f>IF($M$3="Mandarina Común",($I$3*R466)*0.1 / 480,"")</f>
        <v/>
      </c>
      <c r="T466" s="212" cm="1">
        <f t="array" ref="T466">_xlfn.IFS($D$5&lt;=7, 1.1, $D$5&lt;=12,1.2, $D$5&lt;=25, 1.3, $D$5&gt;25,1.4)</f>
        <v>1.3</v>
      </c>
      <c r="U466" s="212" t="str">
        <f t="shared" si="126"/>
        <v/>
      </c>
      <c r="V466" s="212">
        <v>1</v>
      </c>
      <c r="W466" s="212" t="str">
        <f t="shared" si="117"/>
        <v/>
      </c>
      <c r="X466" s="214">
        <v>1</v>
      </c>
    </row>
    <row r="467" spans="1:24" ht="15">
      <c r="A467" s="211" t="s">
        <v>270</v>
      </c>
      <c r="B467" s="225" t="s">
        <v>258</v>
      </c>
      <c r="C467" s="216" t="s">
        <v>53</v>
      </c>
      <c r="D467" s="216" t="s">
        <v>99</v>
      </c>
      <c r="E467" s="216" t="s">
        <v>100</v>
      </c>
      <c r="F467" s="216" t="s">
        <v>109</v>
      </c>
      <c r="G467" s="216" t="s">
        <v>110</v>
      </c>
      <c r="H467" s="216" t="s">
        <v>217</v>
      </c>
      <c r="I467" s="216" t="s">
        <v>218</v>
      </c>
      <c r="J467" s="216" t="s">
        <v>105</v>
      </c>
      <c r="K467" s="216" t="s">
        <v>106</v>
      </c>
      <c r="L467" s="216" t="s">
        <v>107</v>
      </c>
      <c r="M467" s="217">
        <f t="shared" si="125"/>
        <v>4</v>
      </c>
      <c r="N467" s="442" cm="1">
        <f t="array" ref="N467">IF(TRIM(K467)="Mano de Obra",IF(Formulario!$L$23&lt;&gt;"",Formulario!$L$23,IFERROR(VLOOKUP(TRIM($M$4),Jornalesdeppto!A:C,3,0),"")),_xlfn.XLOOKUP(1,(Tabla_Costos_Insumos!$A$2:$A$3199=TRIM($M$4))*(Tabla_Costos_Insumos!$C$2:$C$3199=TRIM(K467)),Tabla_Costos_Insumos!$E$2:$E$3199,"",0))</f>
        <v>46666.666666666664</v>
      </c>
      <c r="O467" s="442">
        <f t="shared" si="128"/>
        <v>186666.66666666666</v>
      </c>
      <c r="P467" s="216" t="str">
        <f t="shared" si="124"/>
        <v>Mandarina Común</v>
      </c>
      <c r="Q467" s="212" t="s">
        <v>108</v>
      </c>
      <c r="R467" s="212">
        <v>16</v>
      </c>
      <c r="S467" s="212" t="str">
        <f t="shared" si="127"/>
        <v/>
      </c>
      <c r="T467" s="212" cm="1">
        <f t="array" ref="T467">_xlfn.IFS($D$5&lt;=7, 1.1, $D$5&lt;=12,1.2, $D$5&lt;=25, 1.3, $D$5&gt;25,1.4)</f>
        <v>1.3</v>
      </c>
      <c r="U467" s="212" t="str">
        <f t="shared" si="126"/>
        <v/>
      </c>
      <c r="V467" s="212">
        <v>1</v>
      </c>
      <c r="W467" s="212" t="str">
        <f t="shared" si="117"/>
        <v/>
      </c>
      <c r="X467" s="214">
        <v>3</v>
      </c>
    </row>
    <row r="468" spans="1:24" ht="15">
      <c r="A468" s="211" t="s">
        <v>270</v>
      </c>
      <c r="B468" s="225" t="s">
        <v>258</v>
      </c>
      <c r="C468" s="216" t="s">
        <v>53</v>
      </c>
      <c r="D468" s="216" t="s">
        <v>99</v>
      </c>
      <c r="E468" s="216" t="s">
        <v>100</v>
      </c>
      <c r="F468" s="216" t="s">
        <v>113</v>
      </c>
      <c r="G468" s="216" t="s">
        <v>114</v>
      </c>
      <c r="H468" s="216" t="s">
        <v>115</v>
      </c>
      <c r="I468" s="216" t="s">
        <v>116</v>
      </c>
      <c r="J468" s="216" t="s">
        <v>105</v>
      </c>
      <c r="K468" s="216" t="s">
        <v>106</v>
      </c>
      <c r="L468" s="216" t="s">
        <v>107</v>
      </c>
      <c r="M468" s="217">
        <f t="shared" si="125"/>
        <v>2</v>
      </c>
      <c r="N468" s="442" cm="1">
        <f t="array" ref="N468">IF(TRIM(K468)="Mano de Obra",IF(Formulario!$L$23&lt;&gt;"",Formulario!$L$23,IFERROR(VLOOKUP(TRIM($M$4),Jornalesdeppto!A:C,3,0),"")),_xlfn.XLOOKUP(1,(Tabla_Costos_Insumos!$A$2:$A$3199=TRIM($M$4))*(Tabla_Costos_Insumos!$C$2:$C$3199=TRIM(K468)),Tabla_Costos_Insumos!$E$2:$E$3199,"",0))</f>
        <v>46666.666666666664</v>
      </c>
      <c r="O468" s="442">
        <f t="shared" si="128"/>
        <v>93333.333333333328</v>
      </c>
      <c r="P468" s="216" t="str">
        <f t="shared" si="124"/>
        <v>Mandarina Común</v>
      </c>
      <c r="Q468" s="212" t="s">
        <v>108</v>
      </c>
      <c r="R468" s="212">
        <v>3</v>
      </c>
      <c r="S468" s="212" t="str">
        <f t="shared" si="127"/>
        <v/>
      </c>
      <c r="T468" s="212" cm="1">
        <f t="array" ref="T468">_xlfn.IFS($D$5&lt;=7, 1.1, $D$5&lt;=12,1.2, $D$5&lt;=25, 1.3, $D$5&gt;25,1.4)</f>
        <v>1.3</v>
      </c>
      <c r="U468" s="212" t="str">
        <f t="shared" si="126"/>
        <v/>
      </c>
      <c r="V468" s="212">
        <v>2</v>
      </c>
      <c r="W468" s="212" t="str">
        <f t="shared" si="117"/>
        <v/>
      </c>
      <c r="X468" s="214">
        <v>1</v>
      </c>
    </row>
    <row r="469" spans="1:24" ht="15">
      <c r="A469" s="211" t="s">
        <v>270</v>
      </c>
      <c r="B469" s="225" t="s">
        <v>258</v>
      </c>
      <c r="C469" s="216" t="s">
        <v>53</v>
      </c>
      <c r="D469" s="216" t="s">
        <v>99</v>
      </c>
      <c r="E469" s="216" t="s">
        <v>100</v>
      </c>
      <c r="F469" s="216" t="s">
        <v>117</v>
      </c>
      <c r="G469" s="216" t="s">
        <v>118</v>
      </c>
      <c r="H469" s="216" t="s">
        <v>119</v>
      </c>
      <c r="I469" s="216" t="s">
        <v>120</v>
      </c>
      <c r="J469" s="216" t="s">
        <v>105</v>
      </c>
      <c r="K469" s="216" t="s">
        <v>106</v>
      </c>
      <c r="L469" s="216" t="s">
        <v>107</v>
      </c>
      <c r="M469" s="217">
        <f t="shared" si="125"/>
        <v>24</v>
      </c>
      <c r="N469" s="442" cm="1">
        <f t="array" ref="N469">IF(TRIM(K469)="Mano de Obra",IF(Formulario!$L$23&lt;&gt;"",Formulario!$L$23,IFERROR(VLOOKUP(TRIM($M$4),Jornalesdeppto!A:C,3,0),"")),_xlfn.XLOOKUP(1,(Tabla_Costos_Insumos!$A$2:$A$3199=TRIM($M$4))*(Tabla_Costos_Insumos!$C$2:$C$3199=TRIM(K469)),Tabla_Costos_Insumos!$E$2:$E$3199,"",0))</f>
        <v>46666.666666666664</v>
      </c>
      <c r="O469" s="442">
        <f t="shared" si="128"/>
        <v>1120000</v>
      </c>
      <c r="P469" s="216" t="str">
        <f t="shared" si="124"/>
        <v>Mandarina Común</v>
      </c>
      <c r="Q469" s="212" t="s">
        <v>108</v>
      </c>
      <c r="R469" s="212">
        <v>4</v>
      </c>
      <c r="S469" s="212" t="str">
        <f t="shared" si="127"/>
        <v/>
      </c>
      <c r="T469" s="212" cm="1">
        <f t="array" ref="T469">_xlfn.IFS($D$5&lt;=7, 1.1, $D$5&lt;=12,1.2, $D$5&lt;=25, 1.3, $D$5&gt;25,1.4)</f>
        <v>1.3</v>
      </c>
      <c r="U469" s="212" t="str">
        <f t="shared" si="126"/>
        <v/>
      </c>
      <c r="V469" s="212">
        <v>9</v>
      </c>
      <c r="W469" s="212" t="str">
        <f t="shared" si="117"/>
        <v/>
      </c>
      <c r="X469" s="214">
        <v>18</v>
      </c>
    </row>
    <row r="470" spans="1:24" ht="15">
      <c r="A470" s="211" t="s">
        <v>270</v>
      </c>
      <c r="B470" s="225" t="s">
        <v>258</v>
      </c>
      <c r="C470" s="216" t="s">
        <v>53</v>
      </c>
      <c r="D470" s="216" t="s">
        <v>99</v>
      </c>
      <c r="E470" s="216" t="s">
        <v>100</v>
      </c>
      <c r="F470" s="216" t="s">
        <v>117</v>
      </c>
      <c r="G470" s="216" t="s">
        <v>118</v>
      </c>
      <c r="H470" s="216" t="s">
        <v>121</v>
      </c>
      <c r="I470" s="216" t="s">
        <v>122</v>
      </c>
      <c r="J470" s="216" t="s">
        <v>105</v>
      </c>
      <c r="K470" s="216" t="s">
        <v>106</v>
      </c>
      <c r="L470" s="216" t="s">
        <v>107</v>
      </c>
      <c r="M470" s="217">
        <f t="shared" si="125"/>
        <v>24</v>
      </c>
      <c r="N470" s="442" cm="1">
        <f t="array" ref="N470">IF(TRIM(K470)="Mano de Obra",IF(Formulario!$L$23&lt;&gt;"",Formulario!$L$23,IFERROR(VLOOKUP(TRIM($M$4),Jornalesdeppto!A:C,3,0),"")),_xlfn.XLOOKUP(1,(Tabla_Costos_Insumos!$A$2:$A$3199=TRIM($M$4))*(Tabla_Costos_Insumos!$C$2:$C$3199=TRIM(K470)),Tabla_Costos_Insumos!$E$2:$E$3199,"",0))</f>
        <v>46666.666666666664</v>
      </c>
      <c r="O470" s="442">
        <f t="shared" si="128"/>
        <v>1120000</v>
      </c>
      <c r="P470" s="216" t="str">
        <f t="shared" si="124"/>
        <v>Mandarina Común</v>
      </c>
      <c r="Q470" s="212" t="s">
        <v>108</v>
      </c>
      <c r="R470" s="212">
        <v>4</v>
      </c>
      <c r="S470" s="212" t="str">
        <f t="shared" si="127"/>
        <v/>
      </c>
      <c r="T470" s="212" cm="1">
        <f t="array" ref="T470">_xlfn.IFS($D$5&lt;=7, 1.1, $D$5&lt;=12,1.2, $D$5&lt;=25, 1.3, $D$5&gt;25,1.4)</f>
        <v>1.3</v>
      </c>
      <c r="U470" s="212" t="str">
        <f t="shared" si="126"/>
        <v/>
      </c>
      <c r="V470" s="212">
        <v>9</v>
      </c>
      <c r="W470" s="212" t="str">
        <f t="shared" si="117"/>
        <v/>
      </c>
      <c r="X470" s="214">
        <v>18</v>
      </c>
    </row>
    <row r="471" spans="1:24" ht="15">
      <c r="A471" s="211" t="s">
        <v>270</v>
      </c>
      <c r="B471" s="225" t="s">
        <v>258</v>
      </c>
      <c r="C471" s="216" t="s">
        <v>53</v>
      </c>
      <c r="D471" s="216" t="s">
        <v>99</v>
      </c>
      <c r="E471" s="216" t="s">
        <v>100</v>
      </c>
      <c r="F471" s="216" t="s">
        <v>123</v>
      </c>
      <c r="G471" s="216" t="s">
        <v>124</v>
      </c>
      <c r="H471" s="216" t="s">
        <v>128</v>
      </c>
      <c r="I471" s="216" t="s">
        <v>129</v>
      </c>
      <c r="J471" s="216" t="s">
        <v>105</v>
      </c>
      <c r="K471" s="216" t="s">
        <v>106</v>
      </c>
      <c r="L471" s="216" t="s">
        <v>107</v>
      </c>
      <c r="M471" s="217">
        <f t="shared" si="125"/>
        <v>10</v>
      </c>
      <c r="N471" s="442" cm="1">
        <f t="array" ref="N471">IF(TRIM(K471)="Mano de Obra",IF(Formulario!$L$23&lt;&gt;"",Formulario!$L$23,IFERROR(VLOOKUP(TRIM($M$4),Jornalesdeppto!A:C,3,0),"")),_xlfn.XLOOKUP(1,(Tabla_Costos_Insumos!$A$2:$A$3199=TRIM($M$4))*(Tabla_Costos_Insumos!$C$2:$C$3199=TRIM(K471)),Tabla_Costos_Insumos!$E$2:$E$3199,"",0))</f>
        <v>46666.666666666664</v>
      </c>
      <c r="O471" s="442">
        <f t="shared" si="128"/>
        <v>466666.66666666663</v>
      </c>
      <c r="P471" s="216" t="str">
        <f t="shared" si="124"/>
        <v>Mandarina Común</v>
      </c>
      <c r="Q471" s="212" t="s">
        <v>127</v>
      </c>
      <c r="R471" s="212">
        <v>0.09</v>
      </c>
      <c r="S471" s="212">
        <f t="shared" ref="S471" si="129">10000*R471/480</f>
        <v>1.875</v>
      </c>
      <c r="T471" s="212" cm="1">
        <f t="array" ref="T471">_xlfn.IFS($D$5&lt;=7, 1.1, $D$5&lt;=12,1.2, $D$5&lt;=25, 1.3, $D$5&gt;25,1.4)</f>
        <v>1.3</v>
      </c>
      <c r="U471" s="212">
        <f t="shared" si="126"/>
        <v>2.4375</v>
      </c>
      <c r="V471" s="212">
        <v>2</v>
      </c>
      <c r="W471" s="212"/>
      <c r="X471" s="214">
        <v>7</v>
      </c>
    </row>
    <row r="472" spans="1:24" ht="15">
      <c r="A472" s="211" t="s">
        <v>270</v>
      </c>
      <c r="B472" s="225" t="s">
        <v>258</v>
      </c>
      <c r="C472" s="216" t="s">
        <v>53</v>
      </c>
      <c r="D472" s="216" t="s">
        <v>99</v>
      </c>
      <c r="E472" s="216" t="s">
        <v>100</v>
      </c>
      <c r="F472" s="216" t="s">
        <v>130</v>
      </c>
      <c r="G472" s="216" t="s">
        <v>131</v>
      </c>
      <c r="H472" s="216" t="s">
        <v>134</v>
      </c>
      <c r="I472" s="216" t="s">
        <v>135</v>
      </c>
      <c r="J472" s="216" t="s">
        <v>105</v>
      </c>
      <c r="K472" s="216" t="s">
        <v>106</v>
      </c>
      <c r="L472" s="216" t="s">
        <v>107</v>
      </c>
      <c r="M472" s="217">
        <f t="shared" si="125"/>
        <v>6</v>
      </c>
      <c r="N472" s="442" cm="1">
        <f t="array" ref="N472">IF(TRIM(K472)="Mano de Obra",IF(Formulario!$L$23&lt;&gt;"",Formulario!$L$23,IFERROR(VLOOKUP(TRIM($M$4),Jornalesdeppto!A:C,3,0),"")),_xlfn.XLOOKUP(1,(Tabla_Costos_Insumos!$A$2:$A$3199=TRIM($M$4))*(Tabla_Costos_Insumos!$C$2:$C$3199=TRIM(K472)),Tabla_Costos_Insumos!$E$2:$E$3199,"",0))</f>
        <v>46666.666666666664</v>
      </c>
      <c r="O472" s="442">
        <f t="shared" si="128"/>
        <v>280000</v>
      </c>
      <c r="P472" s="216" t="str">
        <f t="shared" si="124"/>
        <v>Mandarina Común</v>
      </c>
      <c r="Q472" s="212" t="s">
        <v>108</v>
      </c>
      <c r="R472" s="212">
        <v>1.5</v>
      </c>
      <c r="S472" s="212" t="str">
        <f>IF($M$3="Mandarina Común",($I$3*R472) / 480,"")</f>
        <v/>
      </c>
      <c r="T472" s="212" cm="1">
        <f t="array" ref="T472">_xlfn.IFS($D$5&lt;=7, 1.1, $D$5&lt;=12,1.2, $D$5&lt;=25, 1.3, $D$5&gt;25,1.4)</f>
        <v>1.3</v>
      </c>
      <c r="U472" s="212" t="str">
        <f t="shared" si="126"/>
        <v/>
      </c>
      <c r="V472" s="212">
        <v>4</v>
      </c>
      <c r="W472" s="212" t="str">
        <f t="shared" si="117"/>
        <v/>
      </c>
      <c r="X472" s="214">
        <v>4</v>
      </c>
    </row>
    <row r="473" spans="1:24" ht="15">
      <c r="A473" s="211" t="s">
        <v>270</v>
      </c>
      <c r="B473" s="225" t="s">
        <v>258</v>
      </c>
      <c r="C473" s="216" t="s">
        <v>53</v>
      </c>
      <c r="D473" s="216" t="s">
        <v>145</v>
      </c>
      <c r="E473" s="216" t="s">
        <v>146</v>
      </c>
      <c r="F473" s="216" t="s">
        <v>219</v>
      </c>
      <c r="G473" s="216" t="s">
        <v>220</v>
      </c>
      <c r="H473" s="216" t="s">
        <v>221</v>
      </c>
      <c r="I473" s="216" t="s">
        <v>222</v>
      </c>
      <c r="J473" s="216" t="s">
        <v>223</v>
      </c>
      <c r="K473" s="216" t="s">
        <v>271</v>
      </c>
      <c r="L473" s="216" t="s">
        <v>197</v>
      </c>
      <c r="M473" s="217">
        <f>IF($M$3="Mandarina Común",I3,0)</f>
        <v>0</v>
      </c>
      <c r="N473" s="442">
        <v>12000</v>
      </c>
      <c r="O473" s="442">
        <f t="shared" si="128"/>
        <v>0</v>
      </c>
      <c r="P473" s="216" t="str">
        <f t="shared" si="124"/>
        <v>Mandarina Común</v>
      </c>
      <c r="Q473" s="212" t="s">
        <v>142</v>
      </c>
      <c r="R473" s="212" t="s">
        <v>142</v>
      </c>
      <c r="S473" s="212"/>
      <c r="T473" s="212"/>
      <c r="U473" s="212"/>
      <c r="V473" s="212" t="s">
        <v>142</v>
      </c>
      <c r="W473" s="212" t="str">
        <f t="shared" si="117"/>
        <v/>
      </c>
      <c r="X473" s="214"/>
    </row>
    <row r="474" spans="1:24" ht="15">
      <c r="A474" s="211" t="s">
        <v>270</v>
      </c>
      <c r="B474" s="225" t="s">
        <v>258</v>
      </c>
      <c r="C474" s="216" t="s">
        <v>53</v>
      </c>
      <c r="D474" s="216" t="s">
        <v>145</v>
      </c>
      <c r="E474" s="216" t="s">
        <v>146</v>
      </c>
      <c r="F474" s="216" t="s">
        <v>147</v>
      </c>
      <c r="G474" s="216" t="s">
        <v>131</v>
      </c>
      <c r="H474" s="216" t="s">
        <v>165</v>
      </c>
      <c r="I474" s="216" t="s">
        <v>153</v>
      </c>
      <c r="J474" s="216" t="s">
        <v>149</v>
      </c>
      <c r="K474" s="216" t="s">
        <v>4110</v>
      </c>
      <c r="L474" s="216" t="s">
        <v>151</v>
      </c>
      <c r="M474" s="217">
        <v>2</v>
      </c>
      <c r="N474" s="442" cm="1">
        <f t="array" ref="N474">IF(TRIM(K474)="Mano de Obra",IF(Formulario!$L$23&lt;&gt;"",Formulario!$L$23,IFERROR(VLOOKUP(TRIM($M$4),Jornalesdeppto!A:C,3,0),"")),_xlfn.XLOOKUP(1,(Tabla_Costos_Insumos!$A$2:$A$3199=TRIM($M$4))*(Tabla_Costos_Insumos!$C$2:$C$3199=TRIM(K474)),Tabla_Costos_Insumos!$E$2:$E$3199,"",0))</f>
        <v>125849.2424242409</v>
      </c>
      <c r="O474" s="442">
        <f t="shared" si="128"/>
        <v>251698.48484848181</v>
      </c>
      <c r="P474" s="216" t="str">
        <f t="shared" si="124"/>
        <v>Mandarina Común</v>
      </c>
      <c r="Q474" s="212" t="s">
        <v>142</v>
      </c>
      <c r="R474" s="212" t="s">
        <v>142</v>
      </c>
      <c r="S474" s="212"/>
      <c r="T474" s="212"/>
      <c r="U474" s="212"/>
      <c r="V474" s="212" t="s">
        <v>142</v>
      </c>
      <c r="W474" s="212" t="str">
        <f t="shared" si="117"/>
        <v/>
      </c>
      <c r="X474" s="214"/>
    </row>
    <row r="475" spans="1:24" ht="15">
      <c r="A475" s="211" t="s">
        <v>270</v>
      </c>
      <c r="B475" s="225" t="s">
        <v>258</v>
      </c>
      <c r="C475" s="216" t="s">
        <v>53</v>
      </c>
      <c r="D475" s="216" t="s">
        <v>145</v>
      </c>
      <c r="E475" s="216" t="s">
        <v>146</v>
      </c>
      <c r="F475" s="216" t="s">
        <v>147</v>
      </c>
      <c r="G475" s="216" t="s">
        <v>131</v>
      </c>
      <c r="H475" s="216" t="s">
        <v>165</v>
      </c>
      <c r="I475" s="216" t="s">
        <v>299</v>
      </c>
      <c r="J475" s="216" t="s">
        <v>149</v>
      </c>
      <c r="K475" s="216" t="s">
        <v>150</v>
      </c>
      <c r="L475" s="216" t="s">
        <v>151</v>
      </c>
      <c r="M475" s="217">
        <v>1</v>
      </c>
      <c r="N475" s="442" cm="1">
        <f t="array" ref="N475">IF(TRIM(K475)="Mano de Obra",IF(Formulario!$L$23&lt;&gt;"",Formulario!$L$23,IFERROR(VLOOKUP(TRIM($M$4),Jornalesdeppto!A:C,3,0),"")),_xlfn.XLOOKUP(1,(Tabla_Costos_Insumos!$A$2:$A$3199=TRIM($M$4))*(Tabla_Costos_Insumos!$C$2:$C$3199=TRIM(K475)),Tabla_Costos_Insumos!$E$2:$E$3199,"",0))</f>
        <v>198055.68333333</v>
      </c>
      <c r="O475" s="442">
        <f t="shared" si="128"/>
        <v>198055.68333333</v>
      </c>
      <c r="P475" s="216" t="str">
        <f t="shared" si="124"/>
        <v>Mandarina Común</v>
      </c>
      <c r="Q475" s="212" t="s">
        <v>142</v>
      </c>
      <c r="R475" s="212" t="s">
        <v>142</v>
      </c>
      <c r="S475" s="212"/>
      <c r="T475" s="212"/>
      <c r="U475" s="212"/>
      <c r="V475" s="212" t="s">
        <v>142</v>
      </c>
      <c r="W475" s="212" t="str">
        <f t="shared" si="117"/>
        <v/>
      </c>
      <c r="X475" s="214"/>
    </row>
    <row r="476" spans="1:24" ht="15">
      <c r="A476" s="211" t="s">
        <v>270</v>
      </c>
      <c r="B476" s="225" t="s">
        <v>258</v>
      </c>
      <c r="C476" s="216" t="s">
        <v>53</v>
      </c>
      <c r="D476" s="216" t="s">
        <v>145</v>
      </c>
      <c r="E476" s="216" t="s">
        <v>146</v>
      </c>
      <c r="F476" s="216" t="s">
        <v>147</v>
      </c>
      <c r="G476" s="216" t="s">
        <v>131</v>
      </c>
      <c r="H476" s="216" t="s">
        <v>154</v>
      </c>
      <c r="I476" s="216" t="s">
        <v>155</v>
      </c>
      <c r="J476" s="216" t="s">
        <v>149</v>
      </c>
      <c r="K476" s="216" t="s">
        <v>156</v>
      </c>
      <c r="L476" s="216" t="s">
        <v>151</v>
      </c>
      <c r="M476" s="217">
        <v>2</v>
      </c>
      <c r="N476" s="442" cm="1">
        <f t="array" ref="N476">IF(TRIM(K476)="Mano de Obra",IF(Formulario!$L$23&lt;&gt;"",Formulario!$L$23,IFERROR(VLOOKUP(TRIM($M$4),Jornalesdeppto!A:C,3,0),"")),_xlfn.XLOOKUP(1,(Tabla_Costos_Insumos!$A$2:$A$3199=TRIM($M$4))*(Tabla_Costos_Insumos!$C$2:$C$3199=TRIM(K476)),Tabla_Costos_Insumos!$E$2:$E$3199,"",0))</f>
        <v>17212.5</v>
      </c>
      <c r="O476" s="442">
        <f t="shared" si="128"/>
        <v>34425</v>
      </c>
      <c r="P476" s="216" t="str">
        <f t="shared" si="124"/>
        <v>Mandarina Común</v>
      </c>
      <c r="Q476" s="212" t="s">
        <v>142</v>
      </c>
      <c r="R476" s="212" t="s">
        <v>142</v>
      </c>
      <c r="S476" s="212"/>
      <c r="T476" s="212"/>
      <c r="U476" s="212"/>
      <c r="V476" s="212" t="s">
        <v>142</v>
      </c>
      <c r="W476" s="212" t="str">
        <f t="shared" si="117"/>
        <v/>
      </c>
      <c r="X476" s="214"/>
    </row>
    <row r="477" spans="1:24" ht="15">
      <c r="A477" s="211" t="s">
        <v>270</v>
      </c>
      <c r="B477" s="225" t="s">
        <v>258</v>
      </c>
      <c r="C477" s="216" t="s">
        <v>53</v>
      </c>
      <c r="D477" s="216" t="s">
        <v>145</v>
      </c>
      <c r="E477" s="216" t="s">
        <v>146</v>
      </c>
      <c r="F477" s="216" t="s">
        <v>147</v>
      </c>
      <c r="G477" s="216" t="s">
        <v>131</v>
      </c>
      <c r="H477" s="216" t="s">
        <v>157</v>
      </c>
      <c r="I477" s="216" t="s">
        <v>158</v>
      </c>
      <c r="J477" s="216" t="s">
        <v>149</v>
      </c>
      <c r="K477" s="216" t="s">
        <v>237</v>
      </c>
      <c r="L477" s="216" t="s">
        <v>172</v>
      </c>
      <c r="M477" s="217">
        <v>8</v>
      </c>
      <c r="N477" s="442" cm="1">
        <f t="array" ref="N477">IF(TRIM(K477)="Mano de Obra",IF(Formulario!$L$23&lt;&gt;"",Formulario!$L$23,IFERROR(VLOOKUP(TRIM($M$4),Jornalesdeppto!A:C,3,0),"")),_xlfn.XLOOKUP(1,(Tabla_Costos_Insumos!$A$2:$A$3199=TRIM($M$4))*(Tabla_Costos_Insumos!$C$2:$C$3199=TRIM(K477)),Tabla_Costos_Insumos!$E$2:$E$3199,"",0))</f>
        <v>26190.48</v>
      </c>
      <c r="O477" s="442">
        <f t="shared" si="128"/>
        <v>209523.84</v>
      </c>
      <c r="P477" s="216" t="str">
        <f t="shared" si="124"/>
        <v>Mandarina Común</v>
      </c>
      <c r="Q477" s="212" t="s">
        <v>142</v>
      </c>
      <c r="R477" s="212" t="s">
        <v>142</v>
      </c>
      <c r="S477" s="212"/>
      <c r="T477" s="212"/>
      <c r="U477" s="212"/>
      <c r="V477" s="212" t="s">
        <v>142</v>
      </c>
      <c r="W477" s="212" t="str">
        <f t="shared" si="117"/>
        <v/>
      </c>
      <c r="X477" s="214"/>
    </row>
    <row r="478" spans="1:24" ht="15">
      <c r="A478" s="211" t="s">
        <v>270</v>
      </c>
      <c r="B478" s="225" t="s">
        <v>258</v>
      </c>
      <c r="C478" s="216" t="s">
        <v>53</v>
      </c>
      <c r="D478" s="216" t="s">
        <v>145</v>
      </c>
      <c r="E478" s="216" t="s">
        <v>146</v>
      </c>
      <c r="F478" s="216" t="s">
        <v>147</v>
      </c>
      <c r="G478" s="216" t="s">
        <v>131</v>
      </c>
      <c r="H478" s="216" t="s">
        <v>161</v>
      </c>
      <c r="I478" s="216" t="s">
        <v>162</v>
      </c>
      <c r="J478" s="216" t="s">
        <v>149</v>
      </c>
      <c r="K478" s="216" t="s">
        <v>163</v>
      </c>
      <c r="L478" s="216" t="s">
        <v>164</v>
      </c>
      <c r="M478" s="217">
        <v>2</v>
      </c>
      <c r="N478" s="442" cm="1">
        <f t="array" ref="N478">IF(TRIM(K478)="Mano de Obra",IF(Formulario!$L$23&lt;&gt;"",Formulario!$L$23,IFERROR(VLOOKUP(TRIM($M$4),Jornalesdeppto!A:C,3,0),"")),_xlfn.XLOOKUP(1,(Tabla_Costos_Insumos!$A$2:$A$3199=TRIM($M$4))*(Tabla_Costos_Insumos!$C$2:$C$3199=TRIM(K478)),Tabla_Costos_Insumos!$E$2:$E$3199,"",0))</f>
        <v>128084.44444445</v>
      </c>
      <c r="O478" s="442">
        <f t="shared" si="128"/>
        <v>256168.88888889999</v>
      </c>
      <c r="P478" s="216" t="str">
        <f t="shared" si="124"/>
        <v>Mandarina Común</v>
      </c>
      <c r="Q478" s="212" t="s">
        <v>142</v>
      </c>
      <c r="R478" s="212" t="s">
        <v>142</v>
      </c>
      <c r="S478" s="212"/>
      <c r="T478" s="212"/>
      <c r="U478" s="212"/>
      <c r="V478" s="212" t="s">
        <v>142</v>
      </c>
      <c r="W478" s="212" t="str">
        <f t="shared" si="117"/>
        <v/>
      </c>
      <c r="X478" s="214"/>
    </row>
    <row r="479" spans="1:24" ht="15">
      <c r="A479" s="211" t="s">
        <v>270</v>
      </c>
      <c r="B479" s="225" t="s">
        <v>258</v>
      </c>
      <c r="C479" s="216" t="s">
        <v>53</v>
      </c>
      <c r="D479" s="216" t="s">
        <v>145</v>
      </c>
      <c r="E479" s="216" t="s">
        <v>146</v>
      </c>
      <c r="F479" s="216" t="s">
        <v>147</v>
      </c>
      <c r="G479" s="216" t="s">
        <v>131</v>
      </c>
      <c r="H479" s="216" t="s">
        <v>165</v>
      </c>
      <c r="I479" s="216" t="s">
        <v>153</v>
      </c>
      <c r="J479" s="216" t="s">
        <v>149</v>
      </c>
      <c r="K479" s="216" t="s">
        <v>166</v>
      </c>
      <c r="L479" s="216" t="s">
        <v>151</v>
      </c>
      <c r="M479" s="217">
        <v>2</v>
      </c>
      <c r="N479" s="442" cm="1">
        <f t="array" ref="N479">IF(TRIM(K479)="Mano de Obra",IF(Formulario!$L$23&lt;&gt;"",Formulario!$L$23,IFERROR(VLOOKUP(TRIM($M$4),Jornalesdeppto!A:C,3,0),"")),_xlfn.XLOOKUP(1,(Tabla_Costos_Insumos!$A$2:$A$3199=TRIM($M$4))*(Tabla_Costos_Insumos!$C$2:$C$3199=TRIM(K479)),Tabla_Costos_Insumos!$E$2:$E$3199,"",0))</f>
        <v>110000</v>
      </c>
      <c r="O479" s="442">
        <f t="shared" si="128"/>
        <v>220000</v>
      </c>
      <c r="P479" s="216" t="str">
        <f t="shared" si="124"/>
        <v>Mandarina Común</v>
      </c>
      <c r="Q479" s="212" t="s">
        <v>142</v>
      </c>
      <c r="R479" s="212" t="s">
        <v>142</v>
      </c>
      <c r="S479" s="212"/>
      <c r="T479" s="212"/>
      <c r="U479" s="212"/>
      <c r="V479" s="212" t="s">
        <v>142</v>
      </c>
      <c r="W479" s="212" t="str">
        <f t="shared" si="117"/>
        <v/>
      </c>
      <c r="X479" s="214"/>
    </row>
    <row r="480" spans="1:24" ht="15">
      <c r="A480" s="211" t="s">
        <v>270</v>
      </c>
      <c r="B480" s="225" t="s">
        <v>258</v>
      </c>
      <c r="C480" s="216" t="s">
        <v>53</v>
      </c>
      <c r="D480" s="216" t="s">
        <v>145</v>
      </c>
      <c r="E480" s="216" t="s">
        <v>146</v>
      </c>
      <c r="F480" s="216" t="s">
        <v>167</v>
      </c>
      <c r="G480" s="216" t="s">
        <v>118</v>
      </c>
      <c r="H480" s="216" t="s">
        <v>168</v>
      </c>
      <c r="I480" s="216" t="s">
        <v>169</v>
      </c>
      <c r="J480" s="216" t="s">
        <v>170</v>
      </c>
      <c r="K480" s="216" t="s">
        <v>260</v>
      </c>
      <c r="L480" s="216" t="s">
        <v>261</v>
      </c>
      <c r="M480" s="217">
        <v>18</v>
      </c>
      <c r="N480" s="442" cm="1">
        <f t="array" ref="N480">IF(TRIM(K480)="Mano de Obra",IF(Formulario!$L$23&lt;&gt;"",Formulario!$L$23,IFERROR(VLOOKUP(TRIM($M$4),Jornalesdeppto!A:C,3,0),"")),_xlfn.XLOOKUP(1,(Tabla_Costos_Insumos!$A$2:$A$3199=TRIM($M$4))*(Tabla_Costos_Insumos!$C$2:$C$3199=TRIM(K480)),Tabla_Costos_Insumos!$E$2:$E$3199,"",0))</f>
        <v>25534.226046466123</v>
      </c>
      <c r="O480" s="442">
        <f t="shared" si="128"/>
        <v>459616.06883639022</v>
      </c>
      <c r="P480" s="216" t="str">
        <f t="shared" si="124"/>
        <v>Mandarina Común</v>
      </c>
      <c r="Q480" s="212" t="s">
        <v>142</v>
      </c>
      <c r="R480" s="212" t="s">
        <v>142</v>
      </c>
      <c r="S480" s="212"/>
      <c r="T480" s="212"/>
      <c r="U480" s="212"/>
      <c r="V480" s="212" t="s">
        <v>142</v>
      </c>
      <c r="W480" s="212" t="str">
        <f t="shared" si="117"/>
        <v/>
      </c>
      <c r="X480" s="214"/>
    </row>
    <row r="481" spans="1:24" ht="15">
      <c r="A481" s="211" t="s">
        <v>270</v>
      </c>
      <c r="B481" s="225" t="s">
        <v>258</v>
      </c>
      <c r="C481" s="216" t="s">
        <v>53</v>
      </c>
      <c r="D481" s="216" t="s">
        <v>145</v>
      </c>
      <c r="E481" s="216" t="s">
        <v>146</v>
      </c>
      <c r="F481" s="216" t="s">
        <v>167</v>
      </c>
      <c r="G481" s="216" t="s">
        <v>118</v>
      </c>
      <c r="H481" s="216" t="s">
        <v>168</v>
      </c>
      <c r="I481" s="216" t="s">
        <v>169</v>
      </c>
      <c r="J481" s="216" t="s">
        <v>170</v>
      </c>
      <c r="K481" s="216" t="s">
        <v>251</v>
      </c>
      <c r="L481" s="216" t="s">
        <v>226</v>
      </c>
      <c r="M481" s="217">
        <v>5</v>
      </c>
      <c r="N481" s="442" cm="1">
        <f t="array" ref="N481">IF(TRIM(K481)="Mano de Obra",IF(Formulario!$L$23&lt;&gt;"",Formulario!$L$23,IFERROR(VLOOKUP(TRIM($M$4),Jornalesdeppto!A:C,3,0),"")),_xlfn.XLOOKUP(1,(Tabla_Costos_Insumos!$A$2:$A$3199=TRIM($M$4))*(Tabla_Costos_Insumos!$C$2:$C$3199=TRIM(K481)),Tabla_Costos_Insumos!$E$2:$E$3199,"",0))</f>
        <v>61445.54</v>
      </c>
      <c r="O481" s="442">
        <f t="shared" si="128"/>
        <v>307227.7</v>
      </c>
      <c r="P481" s="216" t="str">
        <f t="shared" si="124"/>
        <v>Mandarina Común</v>
      </c>
      <c r="Q481" s="212" t="s">
        <v>142</v>
      </c>
      <c r="R481" s="212" t="s">
        <v>142</v>
      </c>
      <c r="S481" s="212"/>
      <c r="T481" s="212"/>
      <c r="U481" s="212"/>
      <c r="V481" s="212" t="s">
        <v>142</v>
      </c>
      <c r="W481" s="212" t="str">
        <f t="shared" si="117"/>
        <v/>
      </c>
      <c r="X481" s="214"/>
    </row>
    <row r="482" spans="1:24" ht="15">
      <c r="A482" s="211" t="s">
        <v>270</v>
      </c>
      <c r="B482" s="225" t="s">
        <v>258</v>
      </c>
      <c r="C482" s="216" t="s">
        <v>53</v>
      </c>
      <c r="D482" s="216" t="s">
        <v>145</v>
      </c>
      <c r="E482" s="216" t="s">
        <v>146</v>
      </c>
      <c r="F482" s="216" t="s">
        <v>167</v>
      </c>
      <c r="G482" s="216" t="s">
        <v>118</v>
      </c>
      <c r="H482" s="216" t="s">
        <v>174</v>
      </c>
      <c r="I482" s="216" t="s">
        <v>175</v>
      </c>
      <c r="J482" s="216" t="s">
        <v>176</v>
      </c>
      <c r="K482" s="216" t="s">
        <v>231</v>
      </c>
      <c r="L482" s="216" t="s">
        <v>172</v>
      </c>
      <c r="M482" s="217">
        <v>16</v>
      </c>
      <c r="N482" s="442" cm="1">
        <f t="array" ref="N482">IF(TRIM(K482)="Mano de Obra",IF(Formulario!$L$23&lt;&gt;"",Formulario!$L$23,IFERROR(VLOOKUP(TRIM($M$4),Jornalesdeppto!A:C,3,0),"")),_xlfn.XLOOKUP(1,(Tabla_Costos_Insumos!$A$2:$A$3199=TRIM($M$4))*(Tabla_Costos_Insumos!$C$2:$C$3199=TRIM(K482)),Tabla_Costos_Insumos!$E$2:$E$3199,"",0))</f>
        <v>23177.15</v>
      </c>
      <c r="O482" s="442">
        <f t="shared" si="128"/>
        <v>370834.4</v>
      </c>
      <c r="P482" s="216" t="str">
        <f t="shared" si="124"/>
        <v>Mandarina Común</v>
      </c>
      <c r="Q482" s="212" t="s">
        <v>142</v>
      </c>
      <c r="R482" s="212" t="s">
        <v>142</v>
      </c>
      <c r="S482" s="212"/>
      <c r="T482" s="212"/>
      <c r="U482" s="212"/>
      <c r="V482" s="212" t="s">
        <v>142</v>
      </c>
      <c r="W482" s="212" t="str">
        <f t="shared" si="117"/>
        <v/>
      </c>
      <c r="X482" s="214"/>
    </row>
    <row r="483" spans="1:24" ht="15">
      <c r="A483" s="211" t="s">
        <v>270</v>
      </c>
      <c r="B483" s="225" t="s">
        <v>258</v>
      </c>
      <c r="C483" s="216" t="s">
        <v>53</v>
      </c>
      <c r="D483" s="216" t="s">
        <v>145</v>
      </c>
      <c r="E483" s="216" t="s">
        <v>146</v>
      </c>
      <c r="F483" s="216" t="s">
        <v>167</v>
      </c>
      <c r="G483" s="216" t="s">
        <v>118</v>
      </c>
      <c r="H483" s="216" t="s">
        <v>178</v>
      </c>
      <c r="I483" s="216" t="s">
        <v>179</v>
      </c>
      <c r="J483" s="216" t="s">
        <v>180</v>
      </c>
      <c r="K483" s="216" t="s">
        <v>263</v>
      </c>
      <c r="L483" s="216" t="s">
        <v>172</v>
      </c>
      <c r="M483" s="217">
        <v>2</v>
      </c>
      <c r="N483" s="442" cm="1">
        <f t="array" ref="N483">IF(TRIM(K483)="Mano de Obra",IF(Formulario!$L$23&lt;&gt;"",Formulario!$L$23,IFERROR(VLOOKUP(TRIM($M$4),Jornalesdeppto!A:C,3,0),"")),_xlfn.XLOOKUP(1,(Tabla_Costos_Insumos!$A$2:$A$3199=TRIM($M$4))*(Tabla_Costos_Insumos!$C$2:$C$3199=TRIM(K483)),Tabla_Costos_Insumos!$E$2:$E$3199,"",0))</f>
        <v>210423.61</v>
      </c>
      <c r="O483" s="442">
        <f t="shared" si="128"/>
        <v>420847.22</v>
      </c>
      <c r="P483" s="216" t="str">
        <f t="shared" si="124"/>
        <v>Mandarina Común</v>
      </c>
      <c r="Q483" s="212" t="s">
        <v>142</v>
      </c>
      <c r="R483" s="212" t="s">
        <v>142</v>
      </c>
      <c r="S483" s="212"/>
      <c r="T483" s="212"/>
      <c r="U483" s="212"/>
      <c r="V483" s="212" t="s">
        <v>142</v>
      </c>
      <c r="W483" s="212" t="str">
        <f t="shared" si="117"/>
        <v/>
      </c>
      <c r="X483" s="214"/>
    </row>
    <row r="484" spans="1:24" ht="15">
      <c r="A484" s="211" t="s">
        <v>270</v>
      </c>
      <c r="B484" s="225" t="s">
        <v>258</v>
      </c>
      <c r="C484" s="216" t="s">
        <v>53</v>
      </c>
      <c r="D484" s="216" t="s">
        <v>145</v>
      </c>
      <c r="E484" s="216" t="s">
        <v>146</v>
      </c>
      <c r="F484" s="216" t="s">
        <v>167</v>
      </c>
      <c r="G484" s="216" t="s">
        <v>118</v>
      </c>
      <c r="H484" s="216" t="s">
        <v>178</v>
      </c>
      <c r="I484" s="216" t="s">
        <v>179</v>
      </c>
      <c r="J484" s="216" t="s">
        <v>180</v>
      </c>
      <c r="K484" s="216" t="s">
        <v>181</v>
      </c>
      <c r="L484" s="216" t="s">
        <v>172</v>
      </c>
      <c r="M484" s="217">
        <v>3</v>
      </c>
      <c r="N484" s="442" cm="1">
        <f t="array" ref="N484">IF(TRIM(K484)="Mano de Obra",IF(Formulario!$L$23&lt;&gt;"",Formulario!$L$23,IFERROR(VLOOKUP(TRIM($M$4),Jornalesdeppto!A:C,3,0),"")),_xlfn.XLOOKUP(1,(Tabla_Costos_Insumos!$A$2:$A$3199=TRIM($M$4))*(Tabla_Costos_Insumos!$C$2:$C$3199=TRIM(K484)),Tabla_Costos_Insumos!$E$2:$E$3199,"",0))</f>
        <v>34056.25</v>
      </c>
      <c r="O484" s="442">
        <f t="shared" si="128"/>
        <v>102168.75</v>
      </c>
      <c r="P484" s="216" t="str">
        <f t="shared" si="124"/>
        <v>Mandarina Común</v>
      </c>
      <c r="Q484" s="212" t="s">
        <v>142</v>
      </c>
      <c r="R484" s="212" t="s">
        <v>142</v>
      </c>
      <c r="S484" s="212"/>
      <c r="T484" s="212"/>
      <c r="U484" s="212"/>
      <c r="V484" s="212" t="s">
        <v>142</v>
      </c>
      <c r="W484" s="212" t="str">
        <f t="shared" si="117"/>
        <v/>
      </c>
      <c r="X484" s="214"/>
    </row>
    <row r="485" spans="1:24" ht="15">
      <c r="A485" s="211" t="s">
        <v>270</v>
      </c>
      <c r="B485" s="225" t="s">
        <v>258</v>
      </c>
      <c r="C485" s="216" t="s">
        <v>53</v>
      </c>
      <c r="D485" s="216" t="s">
        <v>145</v>
      </c>
      <c r="E485" s="216" t="s">
        <v>146</v>
      </c>
      <c r="F485" s="216" t="s">
        <v>183</v>
      </c>
      <c r="G485" s="216" t="s">
        <v>184</v>
      </c>
      <c r="H485" s="216" t="s">
        <v>185</v>
      </c>
      <c r="I485" s="216" t="s">
        <v>186</v>
      </c>
      <c r="J485" s="216" t="s">
        <v>105</v>
      </c>
      <c r="K485" s="216" t="s">
        <v>187</v>
      </c>
      <c r="L485" s="216" t="s">
        <v>188</v>
      </c>
      <c r="M485" s="217">
        <v>0.1</v>
      </c>
      <c r="N485" s="442" cm="1">
        <f t="array" ref="N485">IF(TRIM(K485)="Mano de Obra",IF(Formulario!$L$23&lt;&gt;"",Formulario!$L$23,IFERROR(VLOOKUP(TRIM($M$4),Jornalesdeppto!A:C,3,0),"")),_xlfn.XLOOKUP(1,(Tabla_Costos_Insumos!$A$2:$A$3199=TRIM($M$4))*(Tabla_Costos_Insumos!$C$2:$C$3199=TRIM(K485)),Tabla_Costos_Insumos!$E$2:$E$3199,"",0))</f>
        <v>175000</v>
      </c>
      <c r="O485" s="442">
        <f t="shared" si="128"/>
        <v>17500</v>
      </c>
      <c r="P485" s="216" t="str">
        <f t="shared" si="124"/>
        <v>Mandarina Común</v>
      </c>
      <c r="Q485" s="212" t="s">
        <v>142</v>
      </c>
      <c r="R485" s="212" t="s">
        <v>142</v>
      </c>
      <c r="S485" s="212"/>
      <c r="T485" s="212"/>
      <c r="U485" s="212"/>
      <c r="V485" s="212" t="s">
        <v>142</v>
      </c>
      <c r="W485" s="212" t="str">
        <f t="shared" si="117"/>
        <v/>
      </c>
      <c r="X485" s="214"/>
    </row>
    <row r="486" spans="1:24" ht="15">
      <c r="A486" s="211" t="s">
        <v>270</v>
      </c>
      <c r="B486" s="225" t="s">
        <v>258</v>
      </c>
      <c r="C486" s="216" t="s">
        <v>53</v>
      </c>
      <c r="D486" s="216" t="s">
        <v>189</v>
      </c>
      <c r="E486" s="216" t="s">
        <v>190</v>
      </c>
      <c r="F486" s="216" t="s">
        <v>191</v>
      </c>
      <c r="G486" s="216" t="s">
        <v>192</v>
      </c>
      <c r="H486" s="216" t="s">
        <v>193</v>
      </c>
      <c r="I486" s="216" t="s">
        <v>194</v>
      </c>
      <c r="J486" s="216" t="s">
        <v>195</v>
      </c>
      <c r="K486" s="216" t="s">
        <v>196</v>
      </c>
      <c r="L486" s="216" t="s">
        <v>197</v>
      </c>
      <c r="M486" s="217">
        <v>1</v>
      </c>
      <c r="N486" s="442">
        <f>IFERROR(SUM(O468:$O$485)*0.08,0)</f>
        <v>474245.28287256818</v>
      </c>
      <c r="O486" s="442">
        <f t="shared" si="128"/>
        <v>474245.28287256818</v>
      </c>
      <c r="P486" s="216" t="str">
        <f t="shared" si="124"/>
        <v>Mandarina Común</v>
      </c>
      <c r="Q486" s="212" t="s">
        <v>142</v>
      </c>
      <c r="R486" s="212" t="s">
        <v>142</v>
      </c>
      <c r="S486" s="212"/>
      <c r="T486" s="212"/>
      <c r="U486" s="212"/>
      <c r="V486" s="212" t="s">
        <v>142</v>
      </c>
      <c r="W486" s="212" t="str">
        <f t="shared" si="117"/>
        <v/>
      </c>
      <c r="X486" s="214"/>
    </row>
    <row r="487" spans="1:24" ht="15">
      <c r="A487" s="211" t="s">
        <v>270</v>
      </c>
      <c r="B487" s="225" t="s">
        <v>258</v>
      </c>
      <c r="C487" s="216" t="s">
        <v>53</v>
      </c>
      <c r="D487" s="216" t="s">
        <v>189</v>
      </c>
      <c r="E487" s="216" t="s">
        <v>190</v>
      </c>
      <c r="F487" s="216" t="s">
        <v>198</v>
      </c>
      <c r="G487" s="216" t="s">
        <v>199</v>
      </c>
      <c r="H487" s="216" t="s">
        <v>200</v>
      </c>
      <c r="I487" s="216" t="s">
        <v>201</v>
      </c>
      <c r="J487" s="216" t="s">
        <v>105</v>
      </c>
      <c r="K487" s="216" t="s">
        <v>202</v>
      </c>
      <c r="L487" s="216" t="s">
        <v>203</v>
      </c>
      <c r="M487" s="217">
        <v>1</v>
      </c>
      <c r="N487" s="442" cm="1">
        <f t="array" ref="N487">IF(TRIM(K487)="Mano de Obra",IF(Formulario!$L$23&lt;&gt;"",Formulario!$L$23,IFERROR(VLOOKUP(TRIM($M$4),Jornalesdeppto!A:C,3,0),"")),_xlfn.XLOOKUP(1,(Tabla_Costos_Insumos!$A$2:$A$3199=TRIM($M$4))*(Tabla_Costos_Insumos!$C$2:$C$3199=TRIM(K487)),Tabla_Costos_Insumos!$E$2:$E$3199,"",0))</f>
        <v>120000</v>
      </c>
      <c r="O487" s="442">
        <f t="shared" si="128"/>
        <v>120000</v>
      </c>
      <c r="P487" s="216" t="str">
        <f t="shared" si="124"/>
        <v>Mandarina Común</v>
      </c>
      <c r="Q487" s="212" t="s">
        <v>142</v>
      </c>
      <c r="R487" s="212" t="s">
        <v>142</v>
      </c>
      <c r="S487" s="212"/>
      <c r="T487" s="212"/>
      <c r="U487" s="212"/>
      <c r="V487" s="212" t="s">
        <v>142</v>
      </c>
      <c r="W487" s="212" t="str">
        <f t="shared" si="117"/>
        <v/>
      </c>
      <c r="X487" s="214"/>
    </row>
    <row r="488" spans="1:24" ht="15">
      <c r="A488" s="211" t="s">
        <v>270</v>
      </c>
      <c r="B488" s="225" t="s">
        <v>258</v>
      </c>
      <c r="C488" s="216" t="s">
        <v>53</v>
      </c>
      <c r="D488" s="216" t="s">
        <v>189</v>
      </c>
      <c r="E488" s="216" t="s">
        <v>190</v>
      </c>
      <c r="F488" s="216" t="s">
        <v>204</v>
      </c>
      <c r="G488" s="216" t="s">
        <v>205</v>
      </c>
      <c r="H488" s="216" t="s">
        <v>206</v>
      </c>
      <c r="I488" s="216" t="s">
        <v>207</v>
      </c>
      <c r="J488" s="216" t="s">
        <v>4127</v>
      </c>
      <c r="K488" s="216" t="s">
        <v>228</v>
      </c>
      <c r="L488" s="216" t="s">
        <v>197</v>
      </c>
      <c r="M488" s="217">
        <v>1</v>
      </c>
      <c r="N488" s="442" t="str">
        <f>IF($M$3="Mandarina Común",$J$4,"")</f>
        <v/>
      </c>
      <c r="O488" s="442" t="str">
        <f t="shared" si="128"/>
        <v/>
      </c>
      <c r="P488" s="216" t="str">
        <f t="shared" si="124"/>
        <v>Mandarina Común</v>
      </c>
      <c r="Q488" s="212" t="s">
        <v>142</v>
      </c>
      <c r="R488" s="212" t="s">
        <v>142</v>
      </c>
      <c r="S488" s="212"/>
      <c r="T488" s="212"/>
      <c r="U488" s="212"/>
      <c r="V488" s="212" t="s">
        <v>142</v>
      </c>
      <c r="W488" s="212" t="str">
        <f t="shared" si="117"/>
        <v/>
      </c>
      <c r="X488" s="214"/>
    </row>
    <row r="489" spans="1:24" ht="15">
      <c r="A489" s="211" t="s">
        <v>270</v>
      </c>
      <c r="B489" s="225" t="s">
        <v>258</v>
      </c>
      <c r="C489" s="220" t="s">
        <v>68</v>
      </c>
      <c r="D489" s="220" t="s">
        <v>99</v>
      </c>
      <c r="E489" s="220" t="s">
        <v>100</v>
      </c>
      <c r="F489" s="220" t="s">
        <v>101</v>
      </c>
      <c r="G489" s="220" t="s">
        <v>102</v>
      </c>
      <c r="H489" s="220" t="s">
        <v>103</v>
      </c>
      <c r="I489" s="220" t="s">
        <v>104</v>
      </c>
      <c r="J489" s="220" t="s">
        <v>105</v>
      </c>
      <c r="K489" s="220" t="s">
        <v>106</v>
      </c>
      <c r="L489" s="220" t="s">
        <v>107</v>
      </c>
      <c r="M489" s="221">
        <f t="shared" ref="M489:M498" si="130">IF(W489&lt;&gt;"", W489, ROUNDUP(X489*T489, 0))</f>
        <v>6</v>
      </c>
      <c r="N489" s="443" cm="1">
        <f t="array" ref="N489">IF(TRIM(K489)="Mano de Obra",IF(Formulario!$L$23&lt;&gt;"",Formulario!$L$23,IFERROR(VLOOKUP(TRIM($M$4),Jornalesdeppto!A:C,3,0),"")),_xlfn.XLOOKUP(1,(Tabla_Costos_Insumos!$A$2:$A$3199=TRIM($M$4))*(Tabla_Costos_Insumos!$C$2:$C$3199=TRIM(K489)),Tabla_Costos_Insumos!$E$2:$E$3199,"",0))</f>
        <v>46666.666666666664</v>
      </c>
      <c r="O489" s="443">
        <f t="shared" si="128"/>
        <v>280000</v>
      </c>
      <c r="P489" s="220" t="str">
        <f t="shared" si="124"/>
        <v>Mandarina Común</v>
      </c>
      <c r="Q489" s="212" t="s">
        <v>108</v>
      </c>
      <c r="R489" s="212">
        <v>7</v>
      </c>
      <c r="S489" s="212" t="str">
        <f t="shared" ref="S489:S494" si="131">IF($M$3="Mandarina Común",($I$3*R489) / 480,"")</f>
        <v/>
      </c>
      <c r="T489" s="212" cm="1">
        <f t="array" ref="T489">_xlfn.IFS($D$5&lt;=7, 1.1, $D$5&lt;=12,1.2, $D$5&lt;=25, 1.3, $D$5&gt;25,1.4)</f>
        <v>1.3</v>
      </c>
      <c r="U489" s="212" t="str">
        <f t="shared" ref="U489:U498" si="132">IFERROR(S489*T489,"")</f>
        <v/>
      </c>
      <c r="V489" s="212">
        <v>1</v>
      </c>
      <c r="W489" s="212" t="str">
        <f t="shared" si="117"/>
        <v/>
      </c>
      <c r="X489" s="214">
        <v>4</v>
      </c>
    </row>
    <row r="490" spans="1:24" ht="15">
      <c r="A490" s="211" t="s">
        <v>270</v>
      </c>
      <c r="B490" s="225" t="s">
        <v>258</v>
      </c>
      <c r="C490" s="220" t="s">
        <v>68</v>
      </c>
      <c r="D490" s="220" t="s">
        <v>99</v>
      </c>
      <c r="E490" s="220" t="s">
        <v>100</v>
      </c>
      <c r="F490" s="220" t="s">
        <v>109</v>
      </c>
      <c r="G490" s="220" t="s">
        <v>110</v>
      </c>
      <c r="H490" s="220" t="s">
        <v>234</v>
      </c>
      <c r="I490" s="220" t="s">
        <v>235</v>
      </c>
      <c r="J490" s="220" t="s">
        <v>105</v>
      </c>
      <c r="K490" s="220" t="s">
        <v>106</v>
      </c>
      <c r="L490" s="220" t="s">
        <v>107</v>
      </c>
      <c r="M490" s="221">
        <f t="shared" si="130"/>
        <v>3</v>
      </c>
      <c r="N490" s="443" cm="1">
        <f t="array" ref="N490">IF(TRIM(K490)="Mano de Obra",IF(Formulario!$L$23&lt;&gt;"",Formulario!$L$23,IFERROR(VLOOKUP(TRIM($M$4),Jornalesdeppto!A:C,3,0),"")),_xlfn.XLOOKUP(1,(Tabla_Costos_Insumos!$A$2:$A$3199=TRIM($M$4))*(Tabla_Costos_Insumos!$C$2:$C$3199=TRIM(K490)),Tabla_Costos_Insumos!$E$2:$E$3199,"",0))</f>
        <v>46666.666666666664</v>
      </c>
      <c r="O490" s="443">
        <f t="shared" si="128"/>
        <v>140000</v>
      </c>
      <c r="P490" s="220" t="str">
        <f t="shared" si="124"/>
        <v>Mandarina Común</v>
      </c>
      <c r="Q490" s="212" t="s">
        <v>108</v>
      </c>
      <c r="R490" s="212">
        <v>2</v>
      </c>
      <c r="S490" s="212" t="str">
        <f t="shared" si="131"/>
        <v/>
      </c>
      <c r="T490" s="212" cm="1">
        <f t="array" ref="T490">_xlfn.IFS($D$5&lt;=7, 1.1, $D$5&lt;=12,1.2, $D$5&lt;=25, 1.3, $D$5&gt;25,1.4)</f>
        <v>1.3</v>
      </c>
      <c r="U490" s="212" t="str">
        <f t="shared" si="132"/>
        <v/>
      </c>
      <c r="V490" s="212">
        <v>4</v>
      </c>
      <c r="W490" s="212" t="str">
        <f t="shared" si="117"/>
        <v/>
      </c>
      <c r="X490" s="214">
        <v>2</v>
      </c>
    </row>
    <row r="491" spans="1:24" ht="15">
      <c r="A491" s="211" t="s">
        <v>270</v>
      </c>
      <c r="B491" s="225" t="s">
        <v>258</v>
      </c>
      <c r="C491" s="220" t="s">
        <v>68</v>
      </c>
      <c r="D491" s="220" t="s">
        <v>99</v>
      </c>
      <c r="E491" s="220" t="s">
        <v>100</v>
      </c>
      <c r="F491" s="220" t="s">
        <v>113</v>
      </c>
      <c r="G491" s="220" t="s">
        <v>114</v>
      </c>
      <c r="H491" s="220" t="s">
        <v>115</v>
      </c>
      <c r="I491" s="220" t="s">
        <v>116</v>
      </c>
      <c r="J491" s="220" t="s">
        <v>105</v>
      </c>
      <c r="K491" s="220" t="s">
        <v>106</v>
      </c>
      <c r="L491" s="220" t="s">
        <v>107</v>
      </c>
      <c r="M491" s="221">
        <f t="shared" si="130"/>
        <v>13</v>
      </c>
      <c r="N491" s="443" cm="1">
        <f t="array" ref="N491">IF(TRIM(K491)="Mano de Obra",IF(Formulario!$L$23&lt;&gt;"",Formulario!$L$23,IFERROR(VLOOKUP(TRIM($M$4),Jornalesdeppto!A:C,3,0),"")),_xlfn.XLOOKUP(1,(Tabla_Costos_Insumos!$A$2:$A$3199=TRIM($M$4))*(Tabla_Costos_Insumos!$C$2:$C$3199=TRIM(K491)),Tabla_Costos_Insumos!$E$2:$E$3199,"",0))</f>
        <v>46666.666666666664</v>
      </c>
      <c r="O491" s="443">
        <f t="shared" si="128"/>
        <v>606666.66666666663</v>
      </c>
      <c r="P491" s="220" t="str">
        <f t="shared" si="124"/>
        <v>Mandarina Común</v>
      </c>
      <c r="Q491" s="212" t="s">
        <v>108</v>
      </c>
      <c r="R491" s="212">
        <v>3</v>
      </c>
      <c r="S491" s="212" t="str">
        <f t="shared" si="131"/>
        <v/>
      </c>
      <c r="T491" s="212" cm="1">
        <f t="array" ref="T491">_xlfn.IFS($D$5&lt;=7, 1.1, $D$5&lt;=12,1.2, $D$5&lt;=25, 1.3, $D$5&gt;25,1.4)</f>
        <v>1.3</v>
      </c>
      <c r="U491" s="212" t="str">
        <f t="shared" si="132"/>
        <v/>
      </c>
      <c r="V491" s="212">
        <v>2</v>
      </c>
      <c r="W491" s="212" t="str">
        <f t="shared" si="117"/>
        <v/>
      </c>
      <c r="X491" s="214">
        <v>10</v>
      </c>
    </row>
    <row r="492" spans="1:24" ht="15">
      <c r="A492" s="211" t="s">
        <v>270</v>
      </c>
      <c r="B492" s="225" t="s">
        <v>258</v>
      </c>
      <c r="C492" s="220" t="s">
        <v>68</v>
      </c>
      <c r="D492" s="220" t="s">
        <v>99</v>
      </c>
      <c r="E492" s="220" t="s">
        <v>100</v>
      </c>
      <c r="F492" s="220" t="s">
        <v>113</v>
      </c>
      <c r="G492" s="220" t="s">
        <v>114</v>
      </c>
      <c r="H492" s="220" t="s">
        <v>272</v>
      </c>
      <c r="I492" s="220" t="s">
        <v>273</v>
      </c>
      <c r="J492" s="220" t="s">
        <v>105</v>
      </c>
      <c r="K492" s="220" t="s">
        <v>106</v>
      </c>
      <c r="L492" s="220" t="s">
        <v>107</v>
      </c>
      <c r="M492" s="221">
        <f t="shared" si="130"/>
        <v>3</v>
      </c>
      <c r="N492" s="443" cm="1">
        <f t="array" ref="N492">IF(TRIM(K492)="Mano de Obra",IF(Formulario!$L$23&lt;&gt;"",Formulario!$L$23,IFERROR(VLOOKUP(TRIM($M$4),Jornalesdeppto!A:C,3,0),"")),_xlfn.XLOOKUP(1,(Tabla_Costos_Insumos!$A$2:$A$3199=TRIM($M$4))*(Tabla_Costos_Insumos!$C$2:$C$3199=TRIM(K492)),Tabla_Costos_Insumos!$E$2:$E$3199,"",0))</f>
        <v>46666.666666666664</v>
      </c>
      <c r="O492" s="443">
        <f t="shared" si="128"/>
        <v>140000</v>
      </c>
      <c r="P492" s="220" t="str">
        <f t="shared" si="124"/>
        <v>Mandarina Común</v>
      </c>
      <c r="Q492" s="212" t="s">
        <v>108</v>
      </c>
      <c r="R492" s="212">
        <v>0</v>
      </c>
      <c r="S492" s="212" t="str">
        <f t="shared" si="131"/>
        <v/>
      </c>
      <c r="T492" s="212" cm="1">
        <f t="array" ref="T492">_xlfn.IFS($D$5&lt;=7, 1.1, $D$5&lt;=12,1.2, $D$5&lt;=25, 1.3, $D$5&gt;25,1.4)</f>
        <v>1.3</v>
      </c>
      <c r="U492" s="212" t="str">
        <f t="shared" si="132"/>
        <v/>
      </c>
      <c r="V492" s="212">
        <v>0</v>
      </c>
      <c r="W492" s="212" t="str">
        <f t="shared" si="117"/>
        <v/>
      </c>
      <c r="X492" s="214">
        <v>2</v>
      </c>
    </row>
    <row r="493" spans="1:24" ht="15">
      <c r="A493" s="211" t="s">
        <v>270</v>
      </c>
      <c r="B493" s="225" t="s">
        <v>258</v>
      </c>
      <c r="C493" s="220" t="s">
        <v>68</v>
      </c>
      <c r="D493" s="220" t="s">
        <v>99</v>
      </c>
      <c r="E493" s="220" t="s">
        <v>100</v>
      </c>
      <c r="F493" s="220" t="s">
        <v>117</v>
      </c>
      <c r="G493" s="220" t="s">
        <v>118</v>
      </c>
      <c r="H493" s="220" t="s">
        <v>119</v>
      </c>
      <c r="I493" s="220" t="s">
        <v>120</v>
      </c>
      <c r="J493" s="220" t="s">
        <v>105</v>
      </c>
      <c r="K493" s="220" t="s">
        <v>106</v>
      </c>
      <c r="L493" s="220" t="s">
        <v>107</v>
      </c>
      <c r="M493" s="221">
        <f t="shared" si="130"/>
        <v>13</v>
      </c>
      <c r="N493" s="443" cm="1">
        <f t="array" ref="N493">IF(TRIM(K493)="Mano de Obra",IF(Formulario!$L$23&lt;&gt;"",Formulario!$L$23,IFERROR(VLOOKUP(TRIM($M$4),Jornalesdeppto!A:C,3,0),"")),_xlfn.XLOOKUP(1,(Tabla_Costos_Insumos!$A$2:$A$3199=TRIM($M$4))*(Tabla_Costos_Insumos!$C$2:$C$3199=TRIM(K493)),Tabla_Costos_Insumos!$E$2:$E$3199,"",0))</f>
        <v>46666.666666666664</v>
      </c>
      <c r="O493" s="443">
        <f t="shared" si="128"/>
        <v>606666.66666666663</v>
      </c>
      <c r="P493" s="220" t="str">
        <f t="shared" si="124"/>
        <v>Mandarina Común</v>
      </c>
      <c r="Q493" s="212" t="s">
        <v>108</v>
      </c>
      <c r="R493" s="212">
        <v>4</v>
      </c>
      <c r="S493" s="212" t="str">
        <f t="shared" si="131"/>
        <v/>
      </c>
      <c r="T493" s="212" cm="1">
        <f t="array" ref="T493">_xlfn.IFS($D$5&lt;=7, 1.1, $D$5&lt;=12,1.2, $D$5&lt;=25, 1.3, $D$5&gt;25,1.4)</f>
        <v>1.3</v>
      </c>
      <c r="U493" s="212" t="str">
        <f t="shared" si="132"/>
        <v/>
      </c>
      <c r="V493" s="212">
        <v>9</v>
      </c>
      <c r="W493" s="212" t="str">
        <f t="shared" si="117"/>
        <v/>
      </c>
      <c r="X493" s="214">
        <v>10</v>
      </c>
    </row>
    <row r="494" spans="1:24" ht="15">
      <c r="A494" s="211" t="s">
        <v>270</v>
      </c>
      <c r="B494" s="225" t="s">
        <v>258</v>
      </c>
      <c r="C494" s="220" t="s">
        <v>68</v>
      </c>
      <c r="D494" s="220" t="s">
        <v>99</v>
      </c>
      <c r="E494" s="220" t="s">
        <v>100</v>
      </c>
      <c r="F494" s="220" t="s">
        <v>117</v>
      </c>
      <c r="G494" s="220" t="s">
        <v>118</v>
      </c>
      <c r="H494" s="220" t="s">
        <v>121</v>
      </c>
      <c r="I494" s="220" t="s">
        <v>122</v>
      </c>
      <c r="J494" s="220" t="s">
        <v>105</v>
      </c>
      <c r="K494" s="220" t="s">
        <v>106</v>
      </c>
      <c r="L494" s="220" t="s">
        <v>107</v>
      </c>
      <c r="M494" s="221">
        <f t="shared" si="130"/>
        <v>13</v>
      </c>
      <c r="N494" s="443" cm="1">
        <f t="array" ref="N494">IF(TRIM(K494)="Mano de Obra",IF(Formulario!$L$23&lt;&gt;"",Formulario!$L$23,IFERROR(VLOOKUP(TRIM($M$4),Jornalesdeppto!A:C,3,0),"")),_xlfn.XLOOKUP(1,(Tabla_Costos_Insumos!$A$2:$A$3199=TRIM($M$4))*(Tabla_Costos_Insumos!$C$2:$C$3199=TRIM(K494)),Tabla_Costos_Insumos!$E$2:$E$3199,"",0))</f>
        <v>46666.666666666664</v>
      </c>
      <c r="O494" s="443">
        <f t="shared" si="128"/>
        <v>606666.66666666663</v>
      </c>
      <c r="P494" s="220" t="str">
        <f t="shared" si="124"/>
        <v>Mandarina Común</v>
      </c>
      <c r="Q494" s="212" t="s">
        <v>108</v>
      </c>
      <c r="R494" s="212">
        <v>4</v>
      </c>
      <c r="S494" s="212" t="str">
        <f t="shared" si="131"/>
        <v/>
      </c>
      <c r="T494" s="212" cm="1">
        <f t="array" ref="T494">_xlfn.IFS($D$5&lt;=7, 1.1, $D$5&lt;=12,1.2, $D$5&lt;=25, 1.3, $D$5&gt;25,1.4)</f>
        <v>1.3</v>
      </c>
      <c r="U494" s="212" t="str">
        <f t="shared" si="132"/>
        <v/>
      </c>
      <c r="V494" s="212">
        <v>9</v>
      </c>
      <c r="W494" s="212" t="str">
        <f t="shared" si="117"/>
        <v/>
      </c>
      <c r="X494" s="214">
        <v>10</v>
      </c>
    </row>
    <row r="495" spans="1:24" ht="15">
      <c r="A495" s="211" t="s">
        <v>270</v>
      </c>
      <c r="B495" s="225" t="s">
        <v>258</v>
      </c>
      <c r="C495" s="220" t="s">
        <v>68</v>
      </c>
      <c r="D495" s="220" t="s">
        <v>99</v>
      </c>
      <c r="E495" s="220" t="s">
        <v>100</v>
      </c>
      <c r="F495" s="220" t="s">
        <v>123</v>
      </c>
      <c r="G495" s="220" t="s">
        <v>124</v>
      </c>
      <c r="H495" s="220" t="s">
        <v>125</v>
      </c>
      <c r="I495" s="220" t="s">
        <v>126</v>
      </c>
      <c r="J495" s="220" t="s">
        <v>105</v>
      </c>
      <c r="K495" s="220" t="s">
        <v>106</v>
      </c>
      <c r="L495" s="220" t="s">
        <v>107</v>
      </c>
      <c r="M495" s="221">
        <f t="shared" si="130"/>
        <v>4</v>
      </c>
      <c r="N495" s="443" cm="1">
        <f t="array" ref="N495">IF(TRIM(K495)="Mano de Obra",IF(Formulario!$L$23&lt;&gt;"",Formulario!$L$23,IFERROR(VLOOKUP(TRIM($M$4),Jornalesdeppto!A:C,3,0),"")),_xlfn.XLOOKUP(1,(Tabla_Costos_Insumos!$A$2:$A$3199=TRIM($M$4))*(Tabla_Costos_Insumos!$C$2:$C$3199=TRIM(K495)),Tabla_Costos_Insumos!$E$2:$E$3199,"",0))</f>
        <v>46666.666666666664</v>
      </c>
      <c r="O495" s="443">
        <f t="shared" si="128"/>
        <v>186666.66666666666</v>
      </c>
      <c r="P495" s="220" t="str">
        <f t="shared" si="124"/>
        <v>Mandarina Común</v>
      </c>
      <c r="Q495" s="212" t="s">
        <v>127</v>
      </c>
      <c r="R495" s="212">
        <v>0.09</v>
      </c>
      <c r="S495" s="212">
        <f t="shared" ref="S495:S496" si="133">10000*R495/480</f>
        <v>1.875</v>
      </c>
      <c r="T495" s="212" cm="1">
        <f t="array" ref="T495">_xlfn.IFS($D$5&lt;=7, 1.1, $D$5&lt;=12,1.2, $D$5&lt;=25, 1.3, $D$5&gt;25,1.4)</f>
        <v>1.3</v>
      </c>
      <c r="U495" s="212">
        <f t="shared" si="132"/>
        <v>2.4375</v>
      </c>
      <c r="V495" s="212">
        <v>2</v>
      </c>
      <c r="W495" s="212"/>
      <c r="X495" s="214">
        <v>3</v>
      </c>
    </row>
    <row r="496" spans="1:24" ht="15">
      <c r="A496" s="211" t="s">
        <v>270</v>
      </c>
      <c r="B496" s="225" t="s">
        <v>258</v>
      </c>
      <c r="C496" s="220" t="s">
        <v>68</v>
      </c>
      <c r="D496" s="220" t="s">
        <v>99</v>
      </c>
      <c r="E496" s="220" t="s">
        <v>100</v>
      </c>
      <c r="F496" s="220" t="s">
        <v>123</v>
      </c>
      <c r="G496" s="220" t="s">
        <v>124</v>
      </c>
      <c r="H496" s="220" t="s">
        <v>128</v>
      </c>
      <c r="I496" s="220" t="s">
        <v>129</v>
      </c>
      <c r="J496" s="220" t="s">
        <v>105</v>
      </c>
      <c r="K496" s="220" t="s">
        <v>106</v>
      </c>
      <c r="L496" s="220" t="s">
        <v>107</v>
      </c>
      <c r="M496" s="221">
        <f t="shared" si="130"/>
        <v>16</v>
      </c>
      <c r="N496" s="443" cm="1">
        <f t="array" ref="N496">IF(TRIM(K496)="Mano de Obra",IF(Formulario!$L$23&lt;&gt;"",Formulario!$L$23,IFERROR(VLOOKUP(TRIM($M$4),Jornalesdeppto!A:C,3,0),"")),_xlfn.XLOOKUP(1,(Tabla_Costos_Insumos!$A$2:$A$3199=TRIM($M$4))*(Tabla_Costos_Insumos!$C$2:$C$3199=TRIM(K496)),Tabla_Costos_Insumos!$E$2:$E$3199,"",0))</f>
        <v>46666.666666666664</v>
      </c>
      <c r="O496" s="443">
        <f t="shared" si="128"/>
        <v>746666.66666666663</v>
      </c>
      <c r="P496" s="220" t="str">
        <f t="shared" si="124"/>
        <v>Mandarina Común</v>
      </c>
      <c r="Q496" s="212" t="s">
        <v>127</v>
      </c>
      <c r="R496" s="212">
        <v>0.09</v>
      </c>
      <c r="S496" s="212">
        <f t="shared" si="133"/>
        <v>1.875</v>
      </c>
      <c r="T496" s="212" cm="1">
        <f t="array" ref="T496">_xlfn.IFS($D$5&lt;=7, 1.1, $D$5&lt;=12,1.2, $D$5&lt;=25, 1.3, $D$5&gt;25,1.4)</f>
        <v>1.3</v>
      </c>
      <c r="U496" s="212">
        <f t="shared" si="132"/>
        <v>2.4375</v>
      </c>
      <c r="V496" s="212">
        <v>2</v>
      </c>
      <c r="W496" s="212"/>
      <c r="X496" s="214">
        <v>12</v>
      </c>
    </row>
    <row r="497" spans="1:24" ht="15">
      <c r="A497" s="211" t="s">
        <v>270</v>
      </c>
      <c r="B497" s="225" t="s">
        <v>258</v>
      </c>
      <c r="C497" s="220" t="s">
        <v>68</v>
      </c>
      <c r="D497" s="220" t="s">
        <v>99</v>
      </c>
      <c r="E497" s="220" t="s">
        <v>100</v>
      </c>
      <c r="F497" s="220" t="s">
        <v>130</v>
      </c>
      <c r="G497" s="220" t="s">
        <v>131</v>
      </c>
      <c r="H497" s="220" t="s">
        <v>132</v>
      </c>
      <c r="I497" s="220" t="s">
        <v>133</v>
      </c>
      <c r="J497" s="220" t="s">
        <v>105</v>
      </c>
      <c r="K497" s="220" t="s">
        <v>106</v>
      </c>
      <c r="L497" s="220" t="s">
        <v>107</v>
      </c>
      <c r="M497" s="221">
        <f t="shared" si="130"/>
        <v>7</v>
      </c>
      <c r="N497" s="443" cm="1">
        <f t="array" ref="N497">IF(TRIM(K497)="Mano de Obra",IF(Formulario!$L$23&lt;&gt;"",Formulario!$L$23,IFERROR(VLOOKUP(TRIM($M$4),Jornalesdeppto!A:C,3,0),"")),_xlfn.XLOOKUP(1,(Tabla_Costos_Insumos!$A$2:$A$3199=TRIM($M$4))*(Tabla_Costos_Insumos!$C$2:$C$3199=TRIM(K497)),Tabla_Costos_Insumos!$E$2:$E$3199,"",0))</f>
        <v>46666.666666666664</v>
      </c>
      <c r="O497" s="443">
        <f t="shared" si="128"/>
        <v>326666.66666666663</v>
      </c>
      <c r="P497" s="220" t="str">
        <f t="shared" si="124"/>
        <v>Mandarina Común</v>
      </c>
      <c r="Q497" s="212" t="s">
        <v>108</v>
      </c>
      <c r="R497" s="212">
        <v>1.5</v>
      </c>
      <c r="S497" s="212" t="str">
        <f t="shared" ref="S497:S498" si="134">IF($M$3="Mandarina Común",($I$3*R497) / 480,"")</f>
        <v/>
      </c>
      <c r="T497" s="212" cm="1">
        <f t="array" ref="T497">_xlfn.IFS($D$5&lt;=7, 1.1, $D$5&lt;=12,1.2, $D$5&lt;=25, 1.3, $D$5&gt;25,1.4)</f>
        <v>1.3</v>
      </c>
      <c r="U497" s="212" t="str">
        <f t="shared" si="132"/>
        <v/>
      </c>
      <c r="V497" s="212">
        <v>4</v>
      </c>
      <c r="W497" s="212" t="str">
        <f t="shared" si="117"/>
        <v/>
      </c>
      <c r="X497" s="214">
        <v>5</v>
      </c>
    </row>
    <row r="498" spans="1:24" ht="15">
      <c r="A498" s="211" t="s">
        <v>270</v>
      </c>
      <c r="B498" s="225" t="s">
        <v>258</v>
      </c>
      <c r="C498" s="220" t="s">
        <v>68</v>
      </c>
      <c r="D498" s="220" t="s">
        <v>99</v>
      </c>
      <c r="E498" s="220" t="s">
        <v>100</v>
      </c>
      <c r="F498" s="220" t="s">
        <v>130</v>
      </c>
      <c r="G498" s="220" t="s">
        <v>131</v>
      </c>
      <c r="H498" s="220" t="s">
        <v>134</v>
      </c>
      <c r="I498" s="220" t="s">
        <v>135</v>
      </c>
      <c r="J498" s="220" t="s">
        <v>105</v>
      </c>
      <c r="K498" s="220" t="s">
        <v>106</v>
      </c>
      <c r="L498" s="220" t="s">
        <v>107</v>
      </c>
      <c r="M498" s="221">
        <f t="shared" si="130"/>
        <v>6</v>
      </c>
      <c r="N498" s="443" cm="1">
        <f t="array" ref="N498">IF(TRIM(K498)="Mano de Obra",IF(Formulario!$L$23&lt;&gt;"",Formulario!$L$23,IFERROR(VLOOKUP(TRIM($M$4),Jornalesdeppto!A:C,3,0),"")),_xlfn.XLOOKUP(1,(Tabla_Costos_Insumos!$A$2:$A$3199=TRIM($M$4))*(Tabla_Costos_Insumos!$C$2:$C$3199=TRIM(K498)),Tabla_Costos_Insumos!$E$2:$E$3199,"",0))</f>
        <v>46666.666666666664</v>
      </c>
      <c r="O498" s="443">
        <f t="shared" si="128"/>
        <v>280000</v>
      </c>
      <c r="P498" s="220" t="str">
        <f t="shared" si="124"/>
        <v>Mandarina Común</v>
      </c>
      <c r="Q498" s="212" t="s">
        <v>108</v>
      </c>
      <c r="R498" s="212">
        <v>1.5</v>
      </c>
      <c r="S498" s="212" t="str">
        <f t="shared" si="134"/>
        <v/>
      </c>
      <c r="T498" s="212" cm="1">
        <f t="array" ref="T498">_xlfn.IFS($D$5&lt;=7, 1.1, $D$5&lt;=12,1.2, $D$5&lt;=25, 1.3, $D$5&gt;25,1.4)</f>
        <v>1.3</v>
      </c>
      <c r="U498" s="212" t="str">
        <f t="shared" si="132"/>
        <v/>
      </c>
      <c r="V498" s="212">
        <v>4</v>
      </c>
      <c r="W498" s="212" t="str">
        <f t="shared" si="117"/>
        <v/>
      </c>
      <c r="X498" s="214">
        <v>4</v>
      </c>
    </row>
    <row r="499" spans="1:24" ht="15">
      <c r="A499" s="211" t="s">
        <v>270</v>
      </c>
      <c r="B499" s="225" t="s">
        <v>258</v>
      </c>
      <c r="C499" s="220" t="s">
        <v>68</v>
      </c>
      <c r="D499" s="220" t="s">
        <v>145</v>
      </c>
      <c r="E499" s="220" t="s">
        <v>146</v>
      </c>
      <c r="F499" s="220" t="s">
        <v>147</v>
      </c>
      <c r="G499" s="220" t="s">
        <v>131</v>
      </c>
      <c r="H499" s="220" t="s">
        <v>165</v>
      </c>
      <c r="I499" s="220" t="s">
        <v>153</v>
      </c>
      <c r="J499" s="220" t="s">
        <v>149</v>
      </c>
      <c r="K499" s="220" t="s">
        <v>4110</v>
      </c>
      <c r="L499" s="220" t="s">
        <v>151</v>
      </c>
      <c r="M499" s="221">
        <v>3</v>
      </c>
      <c r="N499" s="443" cm="1">
        <f t="array" ref="N499">IF(TRIM(K499)="Mano de Obra",IF(Formulario!$L$23&lt;&gt;"",Formulario!$L$23,IFERROR(VLOOKUP(TRIM($M$4),Jornalesdeppto!A:C,3,0),"")),_xlfn.XLOOKUP(1,(Tabla_Costos_Insumos!$A$2:$A$3199=TRIM($M$4))*(Tabla_Costos_Insumos!$C$2:$C$3199=TRIM(K499)),Tabla_Costos_Insumos!$E$2:$E$3199,"",0))</f>
        <v>125849.2424242409</v>
      </c>
      <c r="O499" s="443">
        <f t="shared" si="128"/>
        <v>377547.7272727227</v>
      </c>
      <c r="P499" s="220" t="str">
        <f t="shared" si="124"/>
        <v>Mandarina Común</v>
      </c>
      <c r="Q499" s="212" t="s">
        <v>142</v>
      </c>
      <c r="R499" s="212" t="s">
        <v>142</v>
      </c>
      <c r="S499" s="212"/>
      <c r="T499" s="212"/>
      <c r="U499" s="212"/>
      <c r="V499" s="212" t="s">
        <v>142</v>
      </c>
      <c r="W499" s="212" t="str">
        <f t="shared" si="117"/>
        <v/>
      </c>
      <c r="X499" s="214"/>
    </row>
    <row r="500" spans="1:24" ht="15">
      <c r="A500" s="211" t="s">
        <v>270</v>
      </c>
      <c r="B500" s="225" t="s">
        <v>258</v>
      </c>
      <c r="C500" s="220" t="s">
        <v>68</v>
      </c>
      <c r="D500" s="220" t="s">
        <v>145</v>
      </c>
      <c r="E500" s="220" t="s">
        <v>146</v>
      </c>
      <c r="F500" s="220" t="s">
        <v>147</v>
      </c>
      <c r="G500" s="220" t="s">
        <v>131</v>
      </c>
      <c r="H500" s="220" t="s">
        <v>152</v>
      </c>
      <c r="I500" s="220" t="s">
        <v>299</v>
      </c>
      <c r="J500" s="220" t="s">
        <v>149</v>
      </c>
      <c r="K500" s="220" t="s">
        <v>150</v>
      </c>
      <c r="L500" s="220" t="s">
        <v>151</v>
      </c>
      <c r="M500" s="221">
        <v>1</v>
      </c>
      <c r="N500" s="443" cm="1">
        <f t="array" ref="N500">IF(TRIM(K500)="Mano de Obra",IF(Formulario!$L$23&lt;&gt;"",Formulario!$L$23,IFERROR(VLOOKUP(TRIM($M$4),Jornalesdeppto!A:C,3,0),"")),_xlfn.XLOOKUP(1,(Tabla_Costos_Insumos!$A$2:$A$3199=TRIM($M$4))*(Tabla_Costos_Insumos!$C$2:$C$3199=TRIM(K500)),Tabla_Costos_Insumos!$E$2:$E$3199,"",0))</f>
        <v>198055.68333333</v>
      </c>
      <c r="O500" s="443">
        <f t="shared" si="128"/>
        <v>198055.68333333</v>
      </c>
      <c r="P500" s="220" t="str">
        <f t="shared" si="124"/>
        <v>Mandarina Común</v>
      </c>
      <c r="Q500" s="212" t="s">
        <v>142</v>
      </c>
      <c r="R500" s="212" t="s">
        <v>142</v>
      </c>
      <c r="S500" s="212"/>
      <c r="T500" s="212"/>
      <c r="U500" s="212"/>
      <c r="V500" s="212" t="s">
        <v>142</v>
      </c>
      <c r="W500" s="212" t="str">
        <f t="shared" si="117"/>
        <v/>
      </c>
      <c r="X500" s="214"/>
    </row>
    <row r="501" spans="1:24" ht="15">
      <c r="A501" s="211" t="s">
        <v>270</v>
      </c>
      <c r="B501" s="225" t="s">
        <v>258</v>
      </c>
      <c r="C501" s="220" t="s">
        <v>68</v>
      </c>
      <c r="D501" s="220" t="s">
        <v>145</v>
      </c>
      <c r="E501" s="220" t="s">
        <v>146</v>
      </c>
      <c r="F501" s="220" t="s">
        <v>147</v>
      </c>
      <c r="G501" s="220" t="s">
        <v>131</v>
      </c>
      <c r="H501" s="220" t="s">
        <v>154</v>
      </c>
      <c r="I501" s="220" t="s">
        <v>155</v>
      </c>
      <c r="J501" s="220" t="s">
        <v>149</v>
      </c>
      <c r="K501" s="220" t="s">
        <v>156</v>
      </c>
      <c r="L501" s="220" t="s">
        <v>151</v>
      </c>
      <c r="M501" s="221">
        <v>2</v>
      </c>
      <c r="N501" s="443" cm="1">
        <f t="array" ref="N501">IF(TRIM(K501)="Mano de Obra",IF(Formulario!$L$23&lt;&gt;"",Formulario!$L$23,IFERROR(VLOOKUP(TRIM($M$4),Jornalesdeppto!A:C,3,0),"")),_xlfn.XLOOKUP(1,(Tabla_Costos_Insumos!$A$2:$A$3199=TRIM($M$4))*(Tabla_Costos_Insumos!$C$2:$C$3199=TRIM(K501)),Tabla_Costos_Insumos!$E$2:$E$3199,"",0))</f>
        <v>17212.5</v>
      </c>
      <c r="O501" s="443">
        <f t="shared" si="128"/>
        <v>34425</v>
      </c>
      <c r="P501" s="220" t="str">
        <f t="shared" si="124"/>
        <v>Mandarina Común</v>
      </c>
      <c r="Q501" s="212" t="s">
        <v>142</v>
      </c>
      <c r="R501" s="212" t="s">
        <v>142</v>
      </c>
      <c r="S501" s="212"/>
      <c r="T501" s="212"/>
      <c r="U501" s="212"/>
      <c r="V501" s="212" t="s">
        <v>142</v>
      </c>
      <c r="W501" s="212" t="str">
        <f t="shared" ref="W501:W564" si="135">IFERROR(ROUNDUP(V501*U501,0),"")</f>
        <v/>
      </c>
      <c r="X501" s="214"/>
    </row>
    <row r="502" spans="1:24" ht="15">
      <c r="A502" s="211" t="s">
        <v>270</v>
      </c>
      <c r="B502" s="225" t="s">
        <v>258</v>
      </c>
      <c r="C502" s="220" t="s">
        <v>68</v>
      </c>
      <c r="D502" s="220" t="s">
        <v>145</v>
      </c>
      <c r="E502" s="220" t="s">
        <v>146</v>
      </c>
      <c r="F502" s="220" t="s">
        <v>147</v>
      </c>
      <c r="G502" s="220" t="s">
        <v>131</v>
      </c>
      <c r="H502" s="220" t="s">
        <v>157</v>
      </c>
      <c r="I502" s="220" t="s">
        <v>158</v>
      </c>
      <c r="J502" s="220" t="s">
        <v>149</v>
      </c>
      <c r="K502" s="220" t="s">
        <v>243</v>
      </c>
      <c r="L502" s="220" t="s">
        <v>172</v>
      </c>
      <c r="M502" s="221">
        <v>18</v>
      </c>
      <c r="N502" s="443" cm="1">
        <f t="array" ref="N502">IF(TRIM(K502)="Mano de Obra",IF(Formulario!$L$23&lt;&gt;"",Formulario!$L$23,IFERROR(VLOOKUP(TRIM($M$4),Jornalesdeppto!A:C,3,0),"")),_xlfn.XLOOKUP(1,(Tabla_Costos_Insumos!$A$2:$A$3199=TRIM($M$4))*(Tabla_Costos_Insumos!$C$2:$C$3199=TRIM(K502)),Tabla_Costos_Insumos!$E$2:$E$3199,"",0))</f>
        <v>26208.33</v>
      </c>
      <c r="O502" s="443">
        <f t="shared" si="128"/>
        <v>471749.94000000006</v>
      </c>
      <c r="P502" s="220" t="str">
        <f t="shared" si="124"/>
        <v>Mandarina Común</v>
      </c>
      <c r="Q502" s="212" t="s">
        <v>142</v>
      </c>
      <c r="R502" s="212" t="s">
        <v>142</v>
      </c>
      <c r="S502" s="212"/>
      <c r="T502" s="212"/>
      <c r="U502" s="212"/>
      <c r="V502" s="212" t="s">
        <v>142</v>
      </c>
      <c r="W502" s="212" t="str">
        <f t="shared" si="135"/>
        <v/>
      </c>
      <c r="X502" s="214"/>
    </row>
    <row r="503" spans="1:24" ht="15">
      <c r="A503" s="211" t="s">
        <v>270</v>
      </c>
      <c r="B503" s="225" t="s">
        <v>258</v>
      </c>
      <c r="C503" s="220" t="s">
        <v>68</v>
      </c>
      <c r="D503" s="220" t="s">
        <v>145</v>
      </c>
      <c r="E503" s="220" t="s">
        <v>146</v>
      </c>
      <c r="F503" s="220" t="s">
        <v>147</v>
      </c>
      <c r="G503" s="220" t="s">
        <v>131</v>
      </c>
      <c r="H503" s="220" t="s">
        <v>161</v>
      </c>
      <c r="I503" s="220" t="s">
        <v>162</v>
      </c>
      <c r="J503" s="220" t="s">
        <v>149</v>
      </c>
      <c r="K503" s="220" t="s">
        <v>163</v>
      </c>
      <c r="L503" s="220" t="s">
        <v>164</v>
      </c>
      <c r="M503" s="221">
        <v>2</v>
      </c>
      <c r="N503" s="443" cm="1">
        <f t="array" ref="N503">IF(TRIM(K503)="Mano de Obra",IF(Formulario!$L$23&lt;&gt;"",Formulario!$L$23,IFERROR(VLOOKUP(TRIM($M$4),Jornalesdeppto!A:C,3,0),"")),_xlfn.XLOOKUP(1,(Tabla_Costos_Insumos!$A$2:$A$3199=TRIM($M$4))*(Tabla_Costos_Insumos!$C$2:$C$3199=TRIM(K503)),Tabla_Costos_Insumos!$E$2:$E$3199,"",0))</f>
        <v>128084.44444445</v>
      </c>
      <c r="O503" s="443">
        <f t="shared" si="128"/>
        <v>256168.88888889999</v>
      </c>
      <c r="P503" s="220" t="str">
        <f t="shared" si="124"/>
        <v>Mandarina Común</v>
      </c>
      <c r="Q503" s="212" t="s">
        <v>142</v>
      </c>
      <c r="R503" s="212" t="s">
        <v>142</v>
      </c>
      <c r="S503" s="212"/>
      <c r="T503" s="212"/>
      <c r="U503" s="212"/>
      <c r="V503" s="212" t="s">
        <v>142</v>
      </c>
      <c r="W503" s="212" t="str">
        <f t="shared" si="135"/>
        <v/>
      </c>
      <c r="X503" s="214"/>
    </row>
    <row r="504" spans="1:24" ht="15">
      <c r="A504" s="211" t="s">
        <v>270</v>
      </c>
      <c r="B504" s="225" t="s">
        <v>258</v>
      </c>
      <c r="C504" s="220" t="s">
        <v>68</v>
      </c>
      <c r="D504" s="220" t="s">
        <v>145</v>
      </c>
      <c r="E504" s="220" t="s">
        <v>146</v>
      </c>
      <c r="F504" s="220" t="s">
        <v>147</v>
      </c>
      <c r="G504" s="220" t="s">
        <v>131</v>
      </c>
      <c r="H504" s="220" t="s">
        <v>165</v>
      </c>
      <c r="I504" s="220" t="s">
        <v>153</v>
      </c>
      <c r="J504" s="220" t="s">
        <v>149</v>
      </c>
      <c r="K504" s="220" t="s">
        <v>166</v>
      </c>
      <c r="L504" s="220" t="s">
        <v>151</v>
      </c>
      <c r="M504" s="221">
        <v>3</v>
      </c>
      <c r="N504" s="443" cm="1">
        <f t="array" ref="N504">IF(TRIM(K504)="Mano de Obra",IF(Formulario!$L$23&lt;&gt;"",Formulario!$L$23,IFERROR(VLOOKUP(TRIM($M$4),Jornalesdeppto!A:C,3,0),"")),_xlfn.XLOOKUP(1,(Tabla_Costos_Insumos!$A$2:$A$3199=TRIM($M$4))*(Tabla_Costos_Insumos!$C$2:$C$3199=TRIM(K504)),Tabla_Costos_Insumos!$E$2:$E$3199,"",0))</f>
        <v>110000</v>
      </c>
      <c r="O504" s="443">
        <f t="shared" si="128"/>
        <v>330000</v>
      </c>
      <c r="P504" s="220" t="str">
        <f t="shared" si="124"/>
        <v>Mandarina Común</v>
      </c>
      <c r="Q504" s="212" t="s">
        <v>142</v>
      </c>
      <c r="R504" s="212" t="s">
        <v>142</v>
      </c>
      <c r="S504" s="212"/>
      <c r="T504" s="212"/>
      <c r="U504" s="212"/>
      <c r="V504" s="212" t="s">
        <v>142</v>
      </c>
      <c r="W504" s="212" t="str">
        <f t="shared" si="135"/>
        <v/>
      </c>
      <c r="X504" s="214"/>
    </row>
    <row r="505" spans="1:24" ht="15">
      <c r="A505" s="211" t="s">
        <v>270</v>
      </c>
      <c r="B505" s="225" t="s">
        <v>258</v>
      </c>
      <c r="C505" s="220" t="s">
        <v>68</v>
      </c>
      <c r="D505" s="220" t="s">
        <v>145</v>
      </c>
      <c r="E505" s="220" t="s">
        <v>146</v>
      </c>
      <c r="F505" s="220" t="s">
        <v>167</v>
      </c>
      <c r="G505" s="220" t="s">
        <v>118</v>
      </c>
      <c r="H505" s="220" t="s">
        <v>168</v>
      </c>
      <c r="I505" s="220" t="s">
        <v>169</v>
      </c>
      <c r="J505" s="220" t="s">
        <v>170</v>
      </c>
      <c r="K505" s="220" t="s">
        <v>260</v>
      </c>
      <c r="L505" s="220" t="s">
        <v>261</v>
      </c>
      <c r="M505" s="221">
        <v>21</v>
      </c>
      <c r="N505" s="443" cm="1">
        <f t="array" ref="N505">IF(TRIM(K505)="Mano de Obra",IF(Formulario!$L$23&lt;&gt;"",Formulario!$L$23,IFERROR(VLOOKUP(TRIM($M$4),Jornalesdeppto!A:C,3,0),"")),_xlfn.XLOOKUP(1,(Tabla_Costos_Insumos!$A$2:$A$3199=TRIM($M$4))*(Tabla_Costos_Insumos!$C$2:$C$3199=TRIM(K505)),Tabla_Costos_Insumos!$E$2:$E$3199,"",0))</f>
        <v>25534.226046466123</v>
      </c>
      <c r="O505" s="443">
        <f t="shared" si="128"/>
        <v>536218.74697578861</v>
      </c>
      <c r="P505" s="220" t="str">
        <f t="shared" si="124"/>
        <v>Mandarina Común</v>
      </c>
      <c r="Q505" s="212" t="s">
        <v>142</v>
      </c>
      <c r="R505" s="212" t="s">
        <v>142</v>
      </c>
      <c r="S505" s="212"/>
      <c r="T505" s="212"/>
      <c r="U505" s="212"/>
      <c r="V505" s="212" t="s">
        <v>142</v>
      </c>
      <c r="W505" s="212" t="str">
        <f t="shared" si="135"/>
        <v/>
      </c>
      <c r="X505" s="214"/>
    </row>
    <row r="506" spans="1:24" ht="15">
      <c r="A506" s="211" t="s">
        <v>270</v>
      </c>
      <c r="B506" s="225" t="s">
        <v>258</v>
      </c>
      <c r="C506" s="220" t="s">
        <v>68</v>
      </c>
      <c r="D506" s="220" t="s">
        <v>145</v>
      </c>
      <c r="E506" s="220" t="s">
        <v>146</v>
      </c>
      <c r="F506" s="220" t="s">
        <v>167</v>
      </c>
      <c r="G506" s="220" t="s">
        <v>118</v>
      </c>
      <c r="H506" s="220" t="s">
        <v>168</v>
      </c>
      <c r="I506" s="220" t="s">
        <v>169</v>
      </c>
      <c r="J506" s="220" t="s">
        <v>170</v>
      </c>
      <c r="K506" s="220" t="s">
        <v>251</v>
      </c>
      <c r="L506" s="220" t="s">
        <v>226</v>
      </c>
      <c r="M506" s="221">
        <v>7</v>
      </c>
      <c r="N506" s="443" cm="1">
        <f t="array" ref="N506">IF(TRIM(K506)="Mano de Obra",IF(Formulario!$L$23&lt;&gt;"",Formulario!$L$23,IFERROR(VLOOKUP(TRIM($M$4),Jornalesdeppto!A:C,3,0),"")),_xlfn.XLOOKUP(1,(Tabla_Costos_Insumos!$A$2:$A$3199=TRIM($M$4))*(Tabla_Costos_Insumos!$C$2:$C$3199=TRIM(K506)),Tabla_Costos_Insumos!$E$2:$E$3199,"",0))</f>
        <v>61445.54</v>
      </c>
      <c r="O506" s="443">
        <f t="shared" si="128"/>
        <v>430118.78</v>
      </c>
      <c r="P506" s="220" t="str">
        <f t="shared" si="124"/>
        <v>Mandarina Común</v>
      </c>
      <c r="Q506" s="212" t="s">
        <v>142</v>
      </c>
      <c r="R506" s="212" t="s">
        <v>142</v>
      </c>
      <c r="S506" s="212"/>
      <c r="T506" s="212"/>
      <c r="U506" s="212"/>
      <c r="V506" s="212" t="s">
        <v>142</v>
      </c>
      <c r="W506" s="212" t="str">
        <f t="shared" si="135"/>
        <v/>
      </c>
      <c r="X506" s="214"/>
    </row>
    <row r="507" spans="1:24" ht="15">
      <c r="A507" s="211" t="s">
        <v>270</v>
      </c>
      <c r="B507" s="225" t="s">
        <v>258</v>
      </c>
      <c r="C507" s="220" t="s">
        <v>68</v>
      </c>
      <c r="D507" s="220" t="s">
        <v>145</v>
      </c>
      <c r="E507" s="220" t="s">
        <v>146</v>
      </c>
      <c r="F507" s="220" t="s">
        <v>167</v>
      </c>
      <c r="G507" s="220" t="s">
        <v>118</v>
      </c>
      <c r="H507" s="220" t="s">
        <v>174</v>
      </c>
      <c r="I507" s="220" t="s">
        <v>175</v>
      </c>
      <c r="J507" s="220" t="s">
        <v>176</v>
      </c>
      <c r="K507" s="220" t="s">
        <v>231</v>
      </c>
      <c r="L507" s="220" t="s">
        <v>172</v>
      </c>
      <c r="M507" s="221">
        <v>14</v>
      </c>
      <c r="N507" s="443" cm="1">
        <f t="array" ref="N507">IF(TRIM(K507)="Mano de Obra",IF(Formulario!$L$23&lt;&gt;"",Formulario!$L$23,IFERROR(VLOOKUP(TRIM($M$4),Jornalesdeppto!A:C,3,0),"")),_xlfn.XLOOKUP(1,(Tabla_Costos_Insumos!$A$2:$A$3199=TRIM($M$4))*(Tabla_Costos_Insumos!$C$2:$C$3199=TRIM(K507)),Tabla_Costos_Insumos!$E$2:$E$3199,"",0))</f>
        <v>23177.15</v>
      </c>
      <c r="O507" s="443">
        <f t="shared" si="128"/>
        <v>324480.10000000003</v>
      </c>
      <c r="P507" s="220" t="str">
        <f t="shared" si="124"/>
        <v>Mandarina Común</v>
      </c>
      <c r="Q507" s="212" t="s">
        <v>142</v>
      </c>
      <c r="R507" s="212" t="s">
        <v>142</v>
      </c>
      <c r="S507" s="212"/>
      <c r="T507" s="212"/>
      <c r="U507" s="212"/>
      <c r="V507" s="212" t="s">
        <v>142</v>
      </c>
      <c r="W507" s="212" t="str">
        <f t="shared" si="135"/>
        <v/>
      </c>
      <c r="X507" s="214"/>
    </row>
    <row r="508" spans="1:24" ht="15">
      <c r="A508" s="211" t="s">
        <v>270</v>
      </c>
      <c r="B508" s="225" t="s">
        <v>258</v>
      </c>
      <c r="C508" s="220" t="s">
        <v>68</v>
      </c>
      <c r="D508" s="220" t="s">
        <v>145</v>
      </c>
      <c r="E508" s="220" t="s">
        <v>146</v>
      </c>
      <c r="F508" s="220" t="s">
        <v>167</v>
      </c>
      <c r="G508" s="220" t="s">
        <v>118</v>
      </c>
      <c r="H508" s="220" t="s">
        <v>178</v>
      </c>
      <c r="I508" s="220" t="s">
        <v>179</v>
      </c>
      <c r="J508" s="220" t="s">
        <v>180</v>
      </c>
      <c r="K508" s="220" t="s">
        <v>263</v>
      </c>
      <c r="L508" s="220" t="s">
        <v>172</v>
      </c>
      <c r="M508" s="221">
        <v>4</v>
      </c>
      <c r="N508" s="443" cm="1">
        <f t="array" ref="N508">IF(TRIM(K508)="Mano de Obra",IF(Formulario!$L$23&lt;&gt;"",Formulario!$L$23,IFERROR(VLOOKUP(TRIM($M$4),Jornalesdeppto!A:C,3,0),"")),_xlfn.XLOOKUP(1,(Tabla_Costos_Insumos!$A$2:$A$3199=TRIM($M$4))*(Tabla_Costos_Insumos!$C$2:$C$3199=TRIM(K508)),Tabla_Costos_Insumos!$E$2:$E$3199,"",0))</f>
        <v>210423.61</v>
      </c>
      <c r="O508" s="443">
        <f t="shared" si="128"/>
        <v>841694.44</v>
      </c>
      <c r="P508" s="220" t="str">
        <f t="shared" si="124"/>
        <v>Mandarina Común</v>
      </c>
      <c r="Q508" s="212" t="s">
        <v>142</v>
      </c>
      <c r="R508" s="212" t="s">
        <v>142</v>
      </c>
      <c r="S508" s="212"/>
      <c r="T508" s="212"/>
      <c r="U508" s="212"/>
      <c r="V508" s="212" t="s">
        <v>142</v>
      </c>
      <c r="W508" s="212" t="str">
        <f t="shared" si="135"/>
        <v/>
      </c>
      <c r="X508" s="214"/>
    </row>
    <row r="509" spans="1:24" ht="15">
      <c r="A509" s="211" t="s">
        <v>270</v>
      </c>
      <c r="B509" s="225" t="s">
        <v>258</v>
      </c>
      <c r="C509" s="220" t="s">
        <v>68</v>
      </c>
      <c r="D509" s="220" t="s">
        <v>145</v>
      </c>
      <c r="E509" s="220" t="s">
        <v>146</v>
      </c>
      <c r="F509" s="220" t="s">
        <v>167</v>
      </c>
      <c r="G509" s="220" t="s">
        <v>118</v>
      </c>
      <c r="H509" s="220" t="s">
        <v>178</v>
      </c>
      <c r="I509" s="220" t="s">
        <v>179</v>
      </c>
      <c r="J509" s="220" t="s">
        <v>180</v>
      </c>
      <c r="K509" s="220" t="s">
        <v>181</v>
      </c>
      <c r="L509" s="220" t="s">
        <v>172</v>
      </c>
      <c r="M509" s="221">
        <v>4</v>
      </c>
      <c r="N509" s="443" cm="1">
        <f t="array" ref="N509">IF(TRIM(K509)="Mano de Obra",IF(Formulario!$L$23&lt;&gt;"",Formulario!$L$23,IFERROR(VLOOKUP(TRIM($M$4),Jornalesdeppto!A:C,3,0),"")),_xlfn.XLOOKUP(1,(Tabla_Costos_Insumos!$A$2:$A$3199=TRIM($M$4))*(Tabla_Costos_Insumos!$C$2:$C$3199=TRIM(K509)),Tabla_Costos_Insumos!$E$2:$E$3199,"",0))</f>
        <v>34056.25</v>
      </c>
      <c r="O509" s="443">
        <f t="shared" si="128"/>
        <v>136225</v>
      </c>
      <c r="P509" s="220" t="str">
        <f t="shared" si="124"/>
        <v>Mandarina Común</v>
      </c>
      <c r="Q509" s="212" t="s">
        <v>142</v>
      </c>
      <c r="R509" s="212" t="s">
        <v>142</v>
      </c>
      <c r="S509" s="212"/>
      <c r="T509" s="212"/>
      <c r="U509" s="212"/>
      <c r="V509" s="212" t="s">
        <v>142</v>
      </c>
      <c r="W509" s="212" t="str">
        <f t="shared" si="135"/>
        <v/>
      </c>
      <c r="X509" s="214"/>
    </row>
    <row r="510" spans="1:24" ht="15">
      <c r="A510" s="211" t="s">
        <v>270</v>
      </c>
      <c r="B510" s="225" t="s">
        <v>258</v>
      </c>
      <c r="C510" s="220" t="s">
        <v>68</v>
      </c>
      <c r="D510" s="220" t="s">
        <v>145</v>
      </c>
      <c r="E510" s="220" t="s">
        <v>146</v>
      </c>
      <c r="F510" s="220" t="s">
        <v>183</v>
      </c>
      <c r="G510" s="220" t="s">
        <v>184</v>
      </c>
      <c r="H510" s="220" t="s">
        <v>185</v>
      </c>
      <c r="I510" s="220" t="s">
        <v>186</v>
      </c>
      <c r="J510" s="220" t="s">
        <v>105</v>
      </c>
      <c r="K510" s="220" t="s">
        <v>187</v>
      </c>
      <c r="L510" s="220" t="s">
        <v>188</v>
      </c>
      <c r="M510" s="221">
        <v>0.1</v>
      </c>
      <c r="N510" s="443" cm="1">
        <f t="array" ref="N510">IF(TRIM(K510)="Mano de Obra",IF(Formulario!$L$23&lt;&gt;"",Formulario!$L$23,IFERROR(VLOOKUP(TRIM($M$4),Jornalesdeppto!A:C,3,0),"")),_xlfn.XLOOKUP(1,(Tabla_Costos_Insumos!$A$2:$A$3199=TRIM($M$4))*(Tabla_Costos_Insumos!$C$2:$C$3199=TRIM(K510)),Tabla_Costos_Insumos!$E$2:$E$3199,"",0))</f>
        <v>175000</v>
      </c>
      <c r="O510" s="443">
        <f t="shared" si="128"/>
        <v>17500</v>
      </c>
      <c r="P510" s="220" t="str">
        <f t="shared" si="124"/>
        <v>Mandarina Común</v>
      </c>
      <c r="Q510" s="212" t="s">
        <v>142</v>
      </c>
      <c r="R510" s="212" t="s">
        <v>142</v>
      </c>
      <c r="S510" s="212"/>
      <c r="T510" s="212"/>
      <c r="U510" s="212"/>
      <c r="V510" s="212" t="s">
        <v>142</v>
      </c>
      <c r="W510" s="212" t="str">
        <f t="shared" si="135"/>
        <v/>
      </c>
      <c r="X510" s="214"/>
    </row>
    <row r="511" spans="1:24" ht="15">
      <c r="A511" s="211" t="s">
        <v>270</v>
      </c>
      <c r="B511" s="225" t="s">
        <v>258</v>
      </c>
      <c r="C511" s="220" t="s">
        <v>68</v>
      </c>
      <c r="D511" s="220" t="s">
        <v>189</v>
      </c>
      <c r="E511" s="220" t="s">
        <v>190</v>
      </c>
      <c r="F511" s="220" t="s">
        <v>191</v>
      </c>
      <c r="G511" s="220" t="s">
        <v>192</v>
      </c>
      <c r="H511" s="220" t="s">
        <v>193</v>
      </c>
      <c r="I511" s="220" t="s">
        <v>194</v>
      </c>
      <c r="J511" s="220" t="s">
        <v>195</v>
      </c>
      <c r="K511" s="220" t="s">
        <v>196</v>
      </c>
      <c r="L511" s="220" t="s">
        <v>197</v>
      </c>
      <c r="M511" s="221">
        <v>1</v>
      </c>
      <c r="N511" s="443">
        <f>IFERROR(SUM(O493:$O$510)*0.08,0)</f>
        <v>536601.41118432593</v>
      </c>
      <c r="O511" s="443">
        <f t="shared" si="128"/>
        <v>536601.41118432593</v>
      </c>
      <c r="P511" s="220" t="str">
        <f t="shared" si="124"/>
        <v>Mandarina Común</v>
      </c>
      <c r="Q511" s="212" t="s">
        <v>142</v>
      </c>
      <c r="R511" s="212" t="s">
        <v>142</v>
      </c>
      <c r="S511" s="212"/>
      <c r="T511" s="212"/>
      <c r="U511" s="212"/>
      <c r="V511" s="212" t="s">
        <v>142</v>
      </c>
      <c r="W511" s="212" t="str">
        <f t="shared" si="135"/>
        <v/>
      </c>
      <c r="X511" s="214"/>
    </row>
    <row r="512" spans="1:24" ht="15">
      <c r="A512" s="211" t="s">
        <v>270</v>
      </c>
      <c r="B512" s="225" t="s">
        <v>258</v>
      </c>
      <c r="C512" s="220" t="s">
        <v>68</v>
      </c>
      <c r="D512" s="220" t="s">
        <v>189</v>
      </c>
      <c r="E512" s="220" t="s">
        <v>190</v>
      </c>
      <c r="F512" s="220" t="s">
        <v>198</v>
      </c>
      <c r="G512" s="220" t="s">
        <v>199</v>
      </c>
      <c r="H512" s="220" t="s">
        <v>200</v>
      </c>
      <c r="I512" s="220" t="s">
        <v>201</v>
      </c>
      <c r="J512" s="220" t="s">
        <v>105</v>
      </c>
      <c r="K512" s="220" t="s">
        <v>202</v>
      </c>
      <c r="L512" s="220" t="s">
        <v>203</v>
      </c>
      <c r="M512" s="221">
        <v>1</v>
      </c>
      <c r="N512" s="443" cm="1">
        <f t="array" ref="N512">IF(TRIM(K512)="Mano de Obra",IF(Formulario!$L$23&lt;&gt;"",Formulario!$L$23,IFERROR(VLOOKUP(TRIM($M$4),Jornalesdeppto!A:C,3,0),"")),_xlfn.XLOOKUP(1,(Tabla_Costos_Insumos!$A$2:$A$3199=TRIM($M$4))*(Tabla_Costos_Insumos!$C$2:$C$3199=TRIM(K512)),Tabla_Costos_Insumos!$E$2:$E$3199,"",0))</f>
        <v>120000</v>
      </c>
      <c r="O512" s="443">
        <f t="shared" si="128"/>
        <v>120000</v>
      </c>
      <c r="P512" s="220" t="str">
        <f t="shared" ref="P512:P575" si="136">CONCATENATE(A512," ",B512)</f>
        <v>Mandarina Común</v>
      </c>
      <c r="Q512" s="212" t="s">
        <v>142</v>
      </c>
      <c r="R512" s="212" t="s">
        <v>142</v>
      </c>
      <c r="S512" s="212"/>
      <c r="T512" s="212"/>
      <c r="U512" s="212"/>
      <c r="V512" s="212" t="s">
        <v>142</v>
      </c>
      <c r="W512" s="212" t="str">
        <f t="shared" si="135"/>
        <v/>
      </c>
      <c r="X512" s="214"/>
    </row>
    <row r="513" spans="1:24" ht="15">
      <c r="A513" s="211" t="s">
        <v>270</v>
      </c>
      <c r="B513" s="225" t="s">
        <v>258</v>
      </c>
      <c r="C513" s="220" t="s">
        <v>68</v>
      </c>
      <c r="D513" s="220" t="s">
        <v>189</v>
      </c>
      <c r="E513" s="220" t="s">
        <v>190</v>
      </c>
      <c r="F513" s="220" t="s">
        <v>204</v>
      </c>
      <c r="G513" s="220" t="s">
        <v>205</v>
      </c>
      <c r="H513" s="220" t="s">
        <v>206</v>
      </c>
      <c r="I513" s="220" t="s">
        <v>207</v>
      </c>
      <c r="J513" s="220" t="s">
        <v>4127</v>
      </c>
      <c r="K513" s="220" t="s">
        <v>228</v>
      </c>
      <c r="L513" s="220" t="s">
        <v>197</v>
      </c>
      <c r="M513" s="221">
        <v>1</v>
      </c>
      <c r="N513" s="443" t="str">
        <f>IF($M$3="Mandarina Común",$J$4,"")</f>
        <v/>
      </c>
      <c r="O513" s="443" t="str">
        <f t="shared" si="128"/>
        <v/>
      </c>
      <c r="P513" s="220" t="str">
        <f t="shared" si="136"/>
        <v>Mandarina Común</v>
      </c>
      <c r="Q513" s="212" t="s">
        <v>142</v>
      </c>
      <c r="R513" s="212" t="s">
        <v>142</v>
      </c>
      <c r="S513" s="212"/>
      <c r="T513" s="212"/>
      <c r="U513" s="212"/>
      <c r="V513" s="212" t="s">
        <v>142</v>
      </c>
      <c r="W513" s="212" t="str">
        <f t="shared" si="135"/>
        <v/>
      </c>
      <c r="X513" s="214"/>
    </row>
    <row r="514" spans="1:24" ht="15">
      <c r="A514" s="211" t="s">
        <v>270</v>
      </c>
      <c r="B514" s="225" t="s">
        <v>258</v>
      </c>
      <c r="C514" s="212" t="s">
        <v>69</v>
      </c>
      <c r="D514" s="212" t="s">
        <v>99</v>
      </c>
      <c r="E514" s="212" t="s">
        <v>100</v>
      </c>
      <c r="F514" s="212" t="s">
        <v>101</v>
      </c>
      <c r="G514" s="212" t="s">
        <v>102</v>
      </c>
      <c r="H514" s="212" t="s">
        <v>103</v>
      </c>
      <c r="I514" s="212" t="s">
        <v>104</v>
      </c>
      <c r="J514" s="212" t="s">
        <v>105</v>
      </c>
      <c r="K514" s="212" t="s">
        <v>106</v>
      </c>
      <c r="L514" s="212" t="s">
        <v>107</v>
      </c>
      <c r="M514" s="213">
        <f t="shared" ref="M514:M522" si="137">IF(W514&lt;&gt;"", W514, ROUNDUP(X514*T514, 0))</f>
        <v>6</v>
      </c>
      <c r="N514" s="441" cm="1">
        <f t="array" ref="N514">IF(TRIM(K514)="Mano de Obra",IF(Formulario!$L$23&lt;&gt;"",Formulario!$L$23,IFERROR(VLOOKUP(TRIM($M$4),Jornalesdeppto!A:C,3,0),"")),_xlfn.XLOOKUP(1,(Tabla_Costos_Insumos!$A$2:$A$3199=TRIM($M$4))*(Tabla_Costos_Insumos!$C$2:$C$3199=TRIM(K514)),Tabla_Costos_Insumos!$E$2:$E$3199,"",0))</f>
        <v>46666.666666666664</v>
      </c>
      <c r="O514" s="441">
        <f t="shared" si="128"/>
        <v>280000</v>
      </c>
      <c r="P514" s="212" t="str">
        <f t="shared" si="136"/>
        <v>Mandarina Común</v>
      </c>
      <c r="Q514" s="212" t="s">
        <v>108</v>
      </c>
      <c r="R514" s="212">
        <v>7</v>
      </c>
      <c r="S514" s="212" t="str">
        <f t="shared" ref="S514:S520" si="138">IF($M$3="Mandarina Común",($I$3*R514) / 480,"")</f>
        <v/>
      </c>
      <c r="T514" s="212" cm="1">
        <f t="array" ref="T514">_xlfn.IFS($D$5&lt;=7, 1.1, $D$5&lt;=12,1.2, $D$5&lt;=25, 1.3, $D$5&gt;25,1.4)</f>
        <v>1.3</v>
      </c>
      <c r="U514" s="212" t="str">
        <f t="shared" ref="U514:U519" si="139">IFERROR(S514*T514,"")</f>
        <v/>
      </c>
      <c r="V514" s="212">
        <v>1</v>
      </c>
      <c r="W514" s="212" t="str">
        <f t="shared" si="135"/>
        <v/>
      </c>
      <c r="X514" s="214">
        <v>4</v>
      </c>
    </row>
    <row r="515" spans="1:24" ht="15">
      <c r="A515" s="211" t="s">
        <v>270</v>
      </c>
      <c r="B515" s="225" t="s">
        <v>258</v>
      </c>
      <c r="C515" s="212" t="s">
        <v>69</v>
      </c>
      <c r="D515" s="212" t="s">
        <v>99</v>
      </c>
      <c r="E515" s="212" t="s">
        <v>100</v>
      </c>
      <c r="F515" s="212" t="s">
        <v>109</v>
      </c>
      <c r="G515" s="212" t="s">
        <v>110</v>
      </c>
      <c r="H515" s="212" t="s">
        <v>234</v>
      </c>
      <c r="I515" s="212" t="s">
        <v>235</v>
      </c>
      <c r="J515" s="212" t="s">
        <v>105</v>
      </c>
      <c r="K515" s="212" t="s">
        <v>106</v>
      </c>
      <c r="L515" s="212" t="s">
        <v>107</v>
      </c>
      <c r="M515" s="213">
        <f t="shared" si="137"/>
        <v>3</v>
      </c>
      <c r="N515" s="441" cm="1">
        <f t="array" ref="N515">IF(TRIM(K515)="Mano de Obra",IF(Formulario!$L$23&lt;&gt;"",Formulario!$L$23,IFERROR(VLOOKUP(TRIM($M$4),Jornalesdeppto!A:C,3,0),"")),_xlfn.XLOOKUP(1,(Tabla_Costos_Insumos!$A$2:$A$3199=TRIM($M$4))*(Tabla_Costos_Insumos!$C$2:$C$3199=TRIM(K515)),Tabla_Costos_Insumos!$E$2:$E$3199,"",0))</f>
        <v>46666.666666666664</v>
      </c>
      <c r="O515" s="441">
        <f t="shared" si="128"/>
        <v>140000</v>
      </c>
      <c r="P515" s="212" t="str">
        <f t="shared" si="136"/>
        <v>Mandarina Común</v>
      </c>
      <c r="Q515" s="212" t="s">
        <v>108</v>
      </c>
      <c r="R515" s="212">
        <v>2</v>
      </c>
      <c r="S515" s="212" t="str">
        <f t="shared" si="138"/>
        <v/>
      </c>
      <c r="T515" s="212" cm="1">
        <f t="array" ref="T515">_xlfn.IFS($D$5&lt;=7, 1.1, $D$5&lt;=12,1.2, $D$5&lt;=25, 1.3, $D$5&gt;25,1.4)</f>
        <v>1.3</v>
      </c>
      <c r="U515" s="212" t="str">
        <f t="shared" si="139"/>
        <v/>
      </c>
      <c r="V515" s="212">
        <v>4</v>
      </c>
      <c r="W515" s="212" t="str">
        <f t="shared" si="135"/>
        <v/>
      </c>
      <c r="X515" s="214">
        <v>2</v>
      </c>
    </row>
    <row r="516" spans="1:24" ht="15">
      <c r="A516" s="211" t="s">
        <v>270</v>
      </c>
      <c r="B516" s="225" t="s">
        <v>258</v>
      </c>
      <c r="C516" s="212" t="s">
        <v>69</v>
      </c>
      <c r="D516" s="212" t="s">
        <v>99</v>
      </c>
      <c r="E516" s="212" t="s">
        <v>100</v>
      </c>
      <c r="F516" s="212" t="s">
        <v>113</v>
      </c>
      <c r="G516" s="212" t="s">
        <v>114</v>
      </c>
      <c r="H516" s="212" t="s">
        <v>115</v>
      </c>
      <c r="I516" s="212" t="s">
        <v>116</v>
      </c>
      <c r="J516" s="212" t="s">
        <v>105</v>
      </c>
      <c r="K516" s="212" t="s">
        <v>106</v>
      </c>
      <c r="L516" s="212" t="s">
        <v>107</v>
      </c>
      <c r="M516" s="213">
        <f t="shared" si="137"/>
        <v>13</v>
      </c>
      <c r="N516" s="441" cm="1">
        <f t="array" ref="N516">IF(TRIM(K516)="Mano de Obra",IF(Formulario!$L$23&lt;&gt;"",Formulario!$L$23,IFERROR(VLOOKUP(TRIM($M$4),Jornalesdeppto!A:C,3,0),"")),_xlfn.XLOOKUP(1,(Tabla_Costos_Insumos!$A$2:$A$3199=TRIM($M$4))*(Tabla_Costos_Insumos!$C$2:$C$3199=TRIM(K516)),Tabla_Costos_Insumos!$E$2:$E$3199,"",0))</f>
        <v>46666.666666666664</v>
      </c>
      <c r="O516" s="441">
        <f t="shared" si="128"/>
        <v>606666.66666666663</v>
      </c>
      <c r="P516" s="212" t="str">
        <f t="shared" si="136"/>
        <v>Mandarina Común</v>
      </c>
      <c r="Q516" s="212" t="s">
        <v>108</v>
      </c>
      <c r="R516" s="212">
        <v>3</v>
      </c>
      <c r="S516" s="212" t="str">
        <f t="shared" si="138"/>
        <v/>
      </c>
      <c r="T516" s="212" cm="1">
        <f t="array" ref="T516">_xlfn.IFS($D$5&lt;=7, 1.1, $D$5&lt;=12,1.2, $D$5&lt;=25, 1.3, $D$5&gt;25,1.4)</f>
        <v>1.3</v>
      </c>
      <c r="U516" s="212" t="str">
        <f t="shared" si="139"/>
        <v/>
      </c>
      <c r="V516" s="212">
        <v>2</v>
      </c>
      <c r="W516" s="212" t="str">
        <f t="shared" si="135"/>
        <v/>
      </c>
      <c r="X516" s="214">
        <v>10</v>
      </c>
    </row>
    <row r="517" spans="1:24" ht="15">
      <c r="A517" s="211" t="s">
        <v>270</v>
      </c>
      <c r="B517" s="225" t="s">
        <v>258</v>
      </c>
      <c r="C517" s="212" t="s">
        <v>69</v>
      </c>
      <c r="D517" s="212" t="s">
        <v>99</v>
      </c>
      <c r="E517" s="212" t="s">
        <v>100</v>
      </c>
      <c r="F517" s="212" t="s">
        <v>117</v>
      </c>
      <c r="G517" s="212" t="s">
        <v>118</v>
      </c>
      <c r="H517" s="212" t="s">
        <v>119</v>
      </c>
      <c r="I517" s="212" t="s">
        <v>120</v>
      </c>
      <c r="J517" s="212" t="s">
        <v>105</v>
      </c>
      <c r="K517" s="212" t="s">
        <v>106</v>
      </c>
      <c r="L517" s="212" t="s">
        <v>107</v>
      </c>
      <c r="M517" s="213">
        <f t="shared" si="137"/>
        <v>24</v>
      </c>
      <c r="N517" s="441" cm="1">
        <f t="array" ref="N517">IF(TRIM(K517)="Mano de Obra",IF(Formulario!$L$23&lt;&gt;"",Formulario!$L$23,IFERROR(VLOOKUP(TRIM($M$4),Jornalesdeppto!A:C,3,0),"")),_xlfn.XLOOKUP(1,(Tabla_Costos_Insumos!$A$2:$A$3199=TRIM($M$4))*(Tabla_Costos_Insumos!$C$2:$C$3199=TRIM(K517)),Tabla_Costos_Insumos!$E$2:$E$3199,"",0))</f>
        <v>46666.666666666664</v>
      </c>
      <c r="O517" s="441">
        <f t="shared" si="128"/>
        <v>1120000</v>
      </c>
      <c r="P517" s="212" t="str">
        <f t="shared" si="136"/>
        <v>Mandarina Común</v>
      </c>
      <c r="Q517" s="212" t="s">
        <v>108</v>
      </c>
      <c r="R517" s="212">
        <v>2</v>
      </c>
      <c r="S517" s="212" t="str">
        <f t="shared" si="138"/>
        <v/>
      </c>
      <c r="T517" s="212" cm="1">
        <f t="array" ref="T517">_xlfn.IFS($D$5&lt;=7, 1.1, $D$5&lt;=12,1.2, $D$5&lt;=25, 1.3, $D$5&gt;25,1.4)</f>
        <v>1.3</v>
      </c>
      <c r="U517" s="212" t="str">
        <f t="shared" si="139"/>
        <v/>
      </c>
      <c r="V517" s="212">
        <v>9</v>
      </c>
      <c r="W517" s="212" t="str">
        <f t="shared" si="135"/>
        <v/>
      </c>
      <c r="X517" s="214">
        <v>18</v>
      </c>
    </row>
    <row r="518" spans="1:24" ht="15">
      <c r="A518" s="211" t="s">
        <v>270</v>
      </c>
      <c r="B518" s="225" t="s">
        <v>258</v>
      </c>
      <c r="C518" s="212" t="s">
        <v>69</v>
      </c>
      <c r="D518" s="212" t="s">
        <v>99</v>
      </c>
      <c r="E518" s="212" t="s">
        <v>100</v>
      </c>
      <c r="F518" s="212" t="s">
        <v>117</v>
      </c>
      <c r="G518" s="212" t="s">
        <v>118</v>
      </c>
      <c r="H518" s="212" t="s">
        <v>121</v>
      </c>
      <c r="I518" s="212" t="s">
        <v>122</v>
      </c>
      <c r="J518" s="212" t="s">
        <v>105</v>
      </c>
      <c r="K518" s="212" t="s">
        <v>106</v>
      </c>
      <c r="L518" s="212" t="s">
        <v>107</v>
      </c>
      <c r="M518" s="213">
        <f t="shared" si="137"/>
        <v>24</v>
      </c>
      <c r="N518" s="441" cm="1">
        <f t="array" ref="N518">IF(TRIM(K518)="Mano de Obra",IF(Formulario!$L$23&lt;&gt;"",Formulario!$L$23,IFERROR(VLOOKUP(TRIM($M$4),Jornalesdeppto!A:C,3,0),"")),_xlfn.XLOOKUP(1,(Tabla_Costos_Insumos!$A$2:$A$3199=TRIM($M$4))*(Tabla_Costos_Insumos!$C$2:$C$3199=TRIM(K518)),Tabla_Costos_Insumos!$E$2:$E$3199,"",0))</f>
        <v>46666.666666666664</v>
      </c>
      <c r="O518" s="441">
        <f t="shared" si="128"/>
        <v>1120000</v>
      </c>
      <c r="P518" s="212" t="str">
        <f t="shared" si="136"/>
        <v>Mandarina Común</v>
      </c>
      <c r="Q518" s="212" t="s">
        <v>108</v>
      </c>
      <c r="R518" s="212">
        <v>2</v>
      </c>
      <c r="S518" s="212" t="str">
        <f t="shared" si="138"/>
        <v/>
      </c>
      <c r="T518" s="212" cm="1">
        <f t="array" ref="T518">_xlfn.IFS($D$5&lt;=7, 1.1, $D$5&lt;=12,1.2, $D$5&lt;=25, 1.3, $D$5&gt;25,1.4)</f>
        <v>1.3</v>
      </c>
      <c r="U518" s="212" t="str">
        <f t="shared" si="139"/>
        <v/>
      </c>
      <c r="V518" s="212">
        <v>9</v>
      </c>
      <c r="W518" s="212" t="str">
        <f t="shared" si="135"/>
        <v/>
      </c>
      <c r="X518" s="214">
        <v>18</v>
      </c>
    </row>
    <row r="519" spans="1:24" ht="15">
      <c r="A519" s="211" t="s">
        <v>270</v>
      </c>
      <c r="B519" s="225" t="s">
        <v>258</v>
      </c>
      <c r="C519" s="212" t="s">
        <v>69</v>
      </c>
      <c r="D519" s="212" t="s">
        <v>99</v>
      </c>
      <c r="E519" s="212" t="s">
        <v>100</v>
      </c>
      <c r="F519" s="212" t="s">
        <v>123</v>
      </c>
      <c r="G519" s="212" t="s">
        <v>124</v>
      </c>
      <c r="H519" s="212" t="s">
        <v>128</v>
      </c>
      <c r="I519" s="212" t="s">
        <v>129</v>
      </c>
      <c r="J519" s="212" t="s">
        <v>105</v>
      </c>
      <c r="K519" s="212" t="s">
        <v>106</v>
      </c>
      <c r="L519" s="212" t="s">
        <v>107</v>
      </c>
      <c r="M519" s="213">
        <f t="shared" si="137"/>
        <v>10</v>
      </c>
      <c r="N519" s="441" cm="1">
        <f t="array" ref="N519">IF(TRIM(K519)="Mano de Obra",IF(Formulario!$L$23&lt;&gt;"",Formulario!$L$23,IFERROR(VLOOKUP(TRIM($M$4),Jornalesdeppto!A:C,3,0),"")),_xlfn.XLOOKUP(1,(Tabla_Costos_Insumos!$A$2:$A$3199=TRIM($M$4))*(Tabla_Costos_Insumos!$C$2:$C$3199=TRIM(K519)),Tabla_Costos_Insumos!$E$2:$E$3199,"",0))</f>
        <v>46666.666666666664</v>
      </c>
      <c r="O519" s="441">
        <f t="shared" si="128"/>
        <v>466666.66666666663</v>
      </c>
      <c r="P519" s="212" t="str">
        <f t="shared" si="136"/>
        <v>Mandarina Común</v>
      </c>
      <c r="Q519" s="212" t="s">
        <v>127</v>
      </c>
      <c r="R519" s="212">
        <v>0.09</v>
      </c>
      <c r="S519" s="212">
        <f t="shared" ref="S519" si="140">10000*R519/480</f>
        <v>1.875</v>
      </c>
      <c r="T519" s="212" cm="1">
        <f t="array" ref="T519">_xlfn.IFS($D$5&lt;=7, 1.1, $D$5&lt;=12,1.2, $D$5&lt;=25, 1.3, $D$5&gt;25,1.4)</f>
        <v>1.3</v>
      </c>
      <c r="U519" s="212">
        <f t="shared" si="139"/>
        <v>2.4375</v>
      </c>
      <c r="V519" s="212">
        <v>2</v>
      </c>
      <c r="W519" s="212"/>
      <c r="X519" s="214">
        <v>7</v>
      </c>
    </row>
    <row r="520" spans="1:24" ht="15">
      <c r="A520" s="211" t="s">
        <v>270</v>
      </c>
      <c r="B520" s="225" t="s">
        <v>258</v>
      </c>
      <c r="C520" s="212" t="s">
        <v>69</v>
      </c>
      <c r="D520" s="212" t="s">
        <v>99</v>
      </c>
      <c r="E520" s="212" t="s">
        <v>100</v>
      </c>
      <c r="F520" s="212" t="s">
        <v>130</v>
      </c>
      <c r="G520" s="212" t="s">
        <v>131</v>
      </c>
      <c r="H520" s="212" t="s">
        <v>134</v>
      </c>
      <c r="I520" s="212" t="s">
        <v>135</v>
      </c>
      <c r="J520" s="212" t="s">
        <v>105</v>
      </c>
      <c r="K520" s="212" t="s">
        <v>106</v>
      </c>
      <c r="L520" s="212" t="s">
        <v>107</v>
      </c>
      <c r="M520" s="213">
        <f t="shared" si="137"/>
        <v>6</v>
      </c>
      <c r="N520" s="441" cm="1">
        <f t="array" ref="N520">IF(TRIM(K520)="Mano de Obra",IF(Formulario!$L$23&lt;&gt;"",Formulario!$L$23,IFERROR(VLOOKUP(TRIM($M$4),Jornalesdeppto!A:C,3,0),"")),_xlfn.XLOOKUP(1,(Tabla_Costos_Insumos!$A$2:$A$3199=TRIM($M$4))*(Tabla_Costos_Insumos!$C$2:$C$3199=TRIM(K520)),Tabla_Costos_Insumos!$E$2:$E$3199,"",0))</f>
        <v>46666.666666666664</v>
      </c>
      <c r="O520" s="441">
        <f t="shared" si="128"/>
        <v>280000</v>
      </c>
      <c r="P520" s="212" t="str">
        <f t="shared" si="136"/>
        <v>Mandarina Común</v>
      </c>
      <c r="Q520" s="212" t="s">
        <v>108</v>
      </c>
      <c r="R520" s="212">
        <v>1.5</v>
      </c>
      <c r="S520" s="212" t="str">
        <f t="shared" si="138"/>
        <v/>
      </c>
      <c r="T520" s="212" cm="1">
        <f t="array" ref="T520">_xlfn.IFS($D$5&lt;=7, 1.1, $D$5&lt;=12,1.2, $D$5&lt;=25, 1.3, $D$5&gt;25,1.4)</f>
        <v>1.3</v>
      </c>
      <c r="U520" s="212" t="str">
        <f>IFERROR(S520*T520,"")</f>
        <v/>
      </c>
      <c r="V520" s="212">
        <v>4</v>
      </c>
      <c r="W520" s="212" t="str">
        <f t="shared" si="135"/>
        <v/>
      </c>
      <c r="X520" s="214">
        <v>4</v>
      </c>
    </row>
    <row r="521" spans="1:24" ht="15">
      <c r="A521" s="211" t="s">
        <v>270</v>
      </c>
      <c r="B521" s="225" t="s">
        <v>258</v>
      </c>
      <c r="C521" s="212" t="s">
        <v>69</v>
      </c>
      <c r="D521" s="212" t="s">
        <v>99</v>
      </c>
      <c r="E521" s="212" t="s">
        <v>100</v>
      </c>
      <c r="F521" s="212" t="s">
        <v>138</v>
      </c>
      <c r="G521" s="212" t="s">
        <v>139</v>
      </c>
      <c r="H521" s="212" t="s">
        <v>140</v>
      </c>
      <c r="I521" s="212" t="s">
        <v>141</v>
      </c>
      <c r="J521" s="212" t="s">
        <v>105</v>
      </c>
      <c r="K521" s="212" t="s">
        <v>106</v>
      </c>
      <c r="L521" s="212" t="s">
        <v>107</v>
      </c>
      <c r="M521" s="213">
        <f t="shared" si="137"/>
        <v>6</v>
      </c>
      <c r="N521" s="441" cm="1">
        <f t="array" ref="N521">IF(TRIM(K521)="Mano de Obra",IF(Formulario!$L$23&lt;&gt;"",Formulario!$L$23,IFERROR(VLOOKUP(TRIM($M$4),Jornalesdeppto!A:C,3,0),"")),_xlfn.XLOOKUP(1,(Tabla_Costos_Insumos!$A$2:$A$3199=TRIM($M$4))*(Tabla_Costos_Insumos!$C$2:$C$3199=TRIM(K521)),Tabla_Costos_Insumos!$E$2:$E$3199,"",0))</f>
        <v>46666.666666666664</v>
      </c>
      <c r="O521" s="441">
        <f t="shared" si="128"/>
        <v>280000</v>
      </c>
      <c r="P521" s="212" t="str">
        <f t="shared" si="136"/>
        <v>Mandarina Común</v>
      </c>
      <c r="Q521" s="212" t="s">
        <v>142</v>
      </c>
      <c r="R521" s="212" t="s">
        <v>142</v>
      </c>
      <c r="S521" s="212"/>
      <c r="T521" s="212" cm="1">
        <f t="array" ref="T521">_xlfn.IFS($D$5&lt;=7, 1.1, $D$5&lt;=12,1.2, $D$5&lt;=25, 1.3, $D$5&gt;25,1.4)</f>
        <v>1.3</v>
      </c>
      <c r="U521" s="212"/>
      <c r="V521" s="212"/>
      <c r="W521" s="212"/>
      <c r="X521" s="214">
        <v>4</v>
      </c>
    </row>
    <row r="522" spans="1:24" ht="15">
      <c r="A522" s="211" t="s">
        <v>270</v>
      </c>
      <c r="B522" s="225" t="s">
        <v>258</v>
      </c>
      <c r="C522" s="212" t="s">
        <v>69</v>
      </c>
      <c r="D522" s="212" t="s">
        <v>99</v>
      </c>
      <c r="E522" s="212" t="s">
        <v>100</v>
      </c>
      <c r="F522" s="212" t="s">
        <v>138</v>
      </c>
      <c r="G522" s="212" t="s">
        <v>139</v>
      </c>
      <c r="H522" s="212" t="s">
        <v>143</v>
      </c>
      <c r="I522" s="212" t="s">
        <v>144</v>
      </c>
      <c r="J522" s="212" t="s">
        <v>105</v>
      </c>
      <c r="K522" s="212" t="s">
        <v>106</v>
      </c>
      <c r="L522" s="212" t="s">
        <v>107</v>
      </c>
      <c r="M522" s="213">
        <f t="shared" si="137"/>
        <v>33</v>
      </c>
      <c r="N522" s="441" cm="1">
        <f t="array" ref="N522">IF(TRIM(K522)="Mano de Obra",IF(Formulario!$L$23&lt;&gt;"",Formulario!$L$23,IFERROR(VLOOKUP(TRIM($M$4),Jornalesdeppto!A:C,3,0),"")),_xlfn.XLOOKUP(1,(Tabla_Costos_Insumos!$A$2:$A$3199=TRIM($M$4))*(Tabla_Costos_Insumos!$C$2:$C$3199=TRIM(K522)),Tabla_Costos_Insumos!$E$2:$E$3199,"",0))</f>
        <v>46666.666666666664</v>
      </c>
      <c r="O522" s="441">
        <f t="shared" si="128"/>
        <v>1540000</v>
      </c>
      <c r="P522" s="212" t="str">
        <f t="shared" si="136"/>
        <v>Mandarina Común</v>
      </c>
      <c r="Q522" s="212" t="s">
        <v>142</v>
      </c>
      <c r="R522" s="212" t="s">
        <v>142</v>
      </c>
      <c r="S522" s="212"/>
      <c r="T522" s="212" cm="1">
        <f t="array" ref="T522">_xlfn.IFS($D$5&lt;=7, 1.1, $D$5&lt;=12,1.2, $D$5&lt;=25, 1.3, $D$5&gt;25,1.4)</f>
        <v>1.3</v>
      </c>
      <c r="U522" s="212"/>
      <c r="V522" s="212" t="s">
        <v>142</v>
      </c>
      <c r="W522" s="212" t="str">
        <f t="shared" si="135"/>
        <v/>
      </c>
      <c r="X522" s="214">
        <v>25</v>
      </c>
    </row>
    <row r="523" spans="1:24" ht="15">
      <c r="A523" s="211" t="s">
        <v>270</v>
      </c>
      <c r="B523" s="225" t="s">
        <v>258</v>
      </c>
      <c r="C523" s="212" t="s">
        <v>69</v>
      </c>
      <c r="D523" s="212" t="s">
        <v>145</v>
      </c>
      <c r="E523" s="212" t="s">
        <v>146</v>
      </c>
      <c r="F523" s="212" t="s">
        <v>147</v>
      </c>
      <c r="G523" s="212" t="s">
        <v>131</v>
      </c>
      <c r="H523" s="212" t="s">
        <v>165</v>
      </c>
      <c r="I523" s="212" t="s">
        <v>153</v>
      </c>
      <c r="J523" s="212" t="s">
        <v>149</v>
      </c>
      <c r="K523" s="212" t="s">
        <v>4216</v>
      </c>
      <c r="L523" s="212" t="s">
        <v>151</v>
      </c>
      <c r="M523" s="213">
        <v>8</v>
      </c>
      <c r="N523" s="441" cm="1">
        <f t="array" ref="N523">IF(TRIM(K523)="Mano de Obra",IF(Formulario!$L$23&lt;&gt;"",Formulario!$L$23,IFERROR(VLOOKUP(TRIM($M$4),Jornalesdeppto!A:C,3,0),"")),_xlfn.XLOOKUP(1,(Tabla_Costos_Insumos!$A$2:$A$3199=TRIM($M$4))*(Tabla_Costos_Insumos!$C$2:$C$3199=TRIM(K523)),Tabla_Costos_Insumos!$E$2:$E$3199,"",0))</f>
        <v>125849.2424242409</v>
      </c>
      <c r="O523" s="441">
        <f t="shared" si="128"/>
        <v>1006793.9393939272</v>
      </c>
      <c r="P523" s="212" t="str">
        <f t="shared" si="136"/>
        <v>Mandarina Común</v>
      </c>
      <c r="Q523" s="212" t="s">
        <v>142</v>
      </c>
      <c r="R523" s="212" t="s">
        <v>142</v>
      </c>
      <c r="S523" s="212"/>
      <c r="T523" s="212"/>
      <c r="U523" s="212"/>
      <c r="V523" s="212" t="s">
        <v>142</v>
      </c>
      <c r="W523" s="212" t="str">
        <f t="shared" si="135"/>
        <v/>
      </c>
      <c r="X523" s="214"/>
    </row>
    <row r="524" spans="1:24" ht="15">
      <c r="A524" s="211" t="s">
        <v>270</v>
      </c>
      <c r="B524" s="225" t="s">
        <v>258</v>
      </c>
      <c r="C524" s="212" t="s">
        <v>69</v>
      </c>
      <c r="D524" s="212" t="s">
        <v>145</v>
      </c>
      <c r="E524" s="212" t="s">
        <v>146</v>
      </c>
      <c r="F524" s="212" t="s">
        <v>147</v>
      </c>
      <c r="G524" s="212" t="s">
        <v>131</v>
      </c>
      <c r="H524" s="212" t="s">
        <v>148</v>
      </c>
      <c r="I524" s="212" t="s">
        <v>299</v>
      </c>
      <c r="J524" s="212" t="s">
        <v>149</v>
      </c>
      <c r="K524" s="212" t="s">
        <v>150</v>
      </c>
      <c r="L524" s="212" t="s">
        <v>151</v>
      </c>
      <c r="M524" s="213">
        <v>2</v>
      </c>
      <c r="N524" s="441" cm="1">
        <f t="array" ref="N524">IF(TRIM(K524)="Mano de Obra",IF(Formulario!$L$23&lt;&gt;"",Formulario!$L$23,IFERROR(VLOOKUP(TRIM($M$4),Jornalesdeppto!A:C,3,0),"")),_xlfn.XLOOKUP(1,(Tabla_Costos_Insumos!$A$2:$A$3199=TRIM($M$4))*(Tabla_Costos_Insumos!$C$2:$C$3199=TRIM(K524)),Tabla_Costos_Insumos!$E$2:$E$3199,"",0))</f>
        <v>198055.68333333</v>
      </c>
      <c r="O524" s="441">
        <f t="shared" si="128"/>
        <v>396111.36666666</v>
      </c>
      <c r="P524" s="212" t="str">
        <f t="shared" si="136"/>
        <v>Mandarina Común</v>
      </c>
      <c r="Q524" s="212" t="s">
        <v>142</v>
      </c>
      <c r="R524" s="212" t="s">
        <v>142</v>
      </c>
      <c r="S524" s="212"/>
      <c r="T524" s="212"/>
      <c r="U524" s="212"/>
      <c r="V524" s="212" t="s">
        <v>142</v>
      </c>
      <c r="W524" s="212" t="str">
        <f t="shared" si="135"/>
        <v/>
      </c>
      <c r="X524" s="214"/>
    </row>
    <row r="525" spans="1:24" ht="15">
      <c r="A525" s="211" t="s">
        <v>270</v>
      </c>
      <c r="B525" s="225" t="s">
        <v>258</v>
      </c>
      <c r="C525" s="212" t="s">
        <v>69</v>
      </c>
      <c r="D525" s="212" t="s">
        <v>145</v>
      </c>
      <c r="E525" s="212" t="s">
        <v>146</v>
      </c>
      <c r="F525" s="212" t="s">
        <v>147</v>
      </c>
      <c r="G525" s="212" t="s">
        <v>131</v>
      </c>
      <c r="H525" s="212" t="s">
        <v>154</v>
      </c>
      <c r="I525" s="212" t="s">
        <v>155</v>
      </c>
      <c r="J525" s="212" t="s">
        <v>149</v>
      </c>
      <c r="K525" s="212" t="s">
        <v>156</v>
      </c>
      <c r="L525" s="212" t="s">
        <v>151</v>
      </c>
      <c r="M525" s="213">
        <v>2</v>
      </c>
      <c r="N525" s="441" cm="1">
        <f t="array" ref="N525">IF(TRIM(K525)="Mano de Obra",IF(Formulario!$L$23&lt;&gt;"",Formulario!$L$23,IFERROR(VLOOKUP(TRIM($M$4),Jornalesdeppto!A:C,3,0),"")),_xlfn.XLOOKUP(1,(Tabla_Costos_Insumos!$A$2:$A$3199=TRIM($M$4))*(Tabla_Costos_Insumos!$C$2:$C$3199=TRIM(K525)),Tabla_Costos_Insumos!$E$2:$E$3199,"",0))</f>
        <v>17212.5</v>
      </c>
      <c r="O525" s="441">
        <f t="shared" si="128"/>
        <v>34425</v>
      </c>
      <c r="P525" s="212" t="str">
        <f t="shared" si="136"/>
        <v>Mandarina Común</v>
      </c>
      <c r="Q525" s="212" t="s">
        <v>142</v>
      </c>
      <c r="R525" s="212" t="s">
        <v>142</v>
      </c>
      <c r="S525" s="212"/>
      <c r="T525" s="212"/>
      <c r="U525" s="212"/>
      <c r="V525" s="212" t="s">
        <v>142</v>
      </c>
      <c r="W525" s="212" t="str">
        <f t="shared" si="135"/>
        <v/>
      </c>
      <c r="X525" s="214"/>
    </row>
    <row r="526" spans="1:24" ht="15">
      <c r="A526" s="211" t="s">
        <v>270</v>
      </c>
      <c r="B526" s="225" t="s">
        <v>258</v>
      </c>
      <c r="C526" s="212" t="s">
        <v>69</v>
      </c>
      <c r="D526" s="212" t="s">
        <v>145</v>
      </c>
      <c r="E526" s="212" t="s">
        <v>146</v>
      </c>
      <c r="F526" s="212" t="s">
        <v>147</v>
      </c>
      <c r="G526" s="212" t="s">
        <v>131</v>
      </c>
      <c r="H526" s="212" t="s">
        <v>157</v>
      </c>
      <c r="I526" s="212" t="s">
        <v>158</v>
      </c>
      <c r="J526" s="212" t="s">
        <v>149</v>
      </c>
      <c r="K526" s="212" t="s">
        <v>243</v>
      </c>
      <c r="L526" s="212" t="s">
        <v>172</v>
      </c>
      <c r="M526" s="213">
        <v>18</v>
      </c>
      <c r="N526" s="441" cm="1">
        <f t="array" ref="N526">IF(TRIM(K526)="Mano de Obra",IF(Formulario!$L$23&lt;&gt;"",Formulario!$L$23,IFERROR(VLOOKUP(TRIM($M$4),Jornalesdeppto!A:C,3,0),"")),_xlfn.XLOOKUP(1,(Tabla_Costos_Insumos!$A$2:$A$3199=TRIM($M$4))*(Tabla_Costos_Insumos!$C$2:$C$3199=TRIM(K526)),Tabla_Costos_Insumos!$E$2:$E$3199,"",0))</f>
        <v>26208.33</v>
      </c>
      <c r="O526" s="441">
        <f t="shared" si="128"/>
        <v>471749.94000000006</v>
      </c>
      <c r="P526" s="212" t="str">
        <f t="shared" si="136"/>
        <v>Mandarina Común</v>
      </c>
      <c r="Q526" s="212" t="s">
        <v>142</v>
      </c>
      <c r="R526" s="212" t="s">
        <v>142</v>
      </c>
      <c r="S526" s="212"/>
      <c r="T526" s="212"/>
      <c r="U526" s="212"/>
      <c r="V526" s="212" t="s">
        <v>142</v>
      </c>
      <c r="W526" s="212" t="str">
        <f t="shared" si="135"/>
        <v/>
      </c>
      <c r="X526" s="214"/>
    </row>
    <row r="527" spans="1:24" ht="15">
      <c r="A527" s="211" t="s">
        <v>270</v>
      </c>
      <c r="B527" s="225" t="s">
        <v>258</v>
      </c>
      <c r="C527" s="212" t="s">
        <v>69</v>
      </c>
      <c r="D527" s="212" t="s">
        <v>145</v>
      </c>
      <c r="E527" s="212" t="s">
        <v>146</v>
      </c>
      <c r="F527" s="212" t="s">
        <v>147</v>
      </c>
      <c r="G527" s="212" t="s">
        <v>131</v>
      </c>
      <c r="H527" s="212" t="s">
        <v>161</v>
      </c>
      <c r="I527" s="212" t="s">
        <v>162</v>
      </c>
      <c r="J527" s="212" t="s">
        <v>149</v>
      </c>
      <c r="K527" s="212" t="s">
        <v>163</v>
      </c>
      <c r="L527" s="212" t="s">
        <v>164</v>
      </c>
      <c r="M527" s="213">
        <v>2</v>
      </c>
      <c r="N527" s="441" cm="1">
        <f t="array" ref="N527">IF(TRIM(K527)="Mano de Obra",IF(Formulario!$L$23&lt;&gt;"",Formulario!$L$23,IFERROR(VLOOKUP(TRIM($M$4),Jornalesdeppto!A:C,3,0),"")),_xlfn.XLOOKUP(1,(Tabla_Costos_Insumos!$A$2:$A$3199=TRIM($M$4))*(Tabla_Costos_Insumos!$C$2:$C$3199=TRIM(K527)),Tabla_Costos_Insumos!$E$2:$E$3199,"",0))</f>
        <v>128084.44444445</v>
      </c>
      <c r="O527" s="441">
        <f t="shared" si="128"/>
        <v>256168.88888889999</v>
      </c>
      <c r="P527" s="212" t="str">
        <f t="shared" si="136"/>
        <v>Mandarina Común</v>
      </c>
      <c r="Q527" s="212" t="s">
        <v>142</v>
      </c>
      <c r="R527" s="212" t="s">
        <v>142</v>
      </c>
      <c r="S527" s="212"/>
      <c r="T527" s="212"/>
      <c r="U527" s="212"/>
      <c r="V527" s="212" t="s">
        <v>142</v>
      </c>
      <c r="W527" s="212" t="str">
        <f t="shared" si="135"/>
        <v/>
      </c>
      <c r="X527" s="214"/>
    </row>
    <row r="528" spans="1:24" ht="15">
      <c r="A528" s="211" t="s">
        <v>270</v>
      </c>
      <c r="B528" s="225" t="s">
        <v>258</v>
      </c>
      <c r="C528" s="212" t="s">
        <v>69</v>
      </c>
      <c r="D528" s="212" t="s">
        <v>145</v>
      </c>
      <c r="E528" s="212" t="s">
        <v>146</v>
      </c>
      <c r="F528" s="212" t="s">
        <v>147</v>
      </c>
      <c r="G528" s="212" t="s">
        <v>131</v>
      </c>
      <c r="H528" s="212" t="s">
        <v>165</v>
      </c>
      <c r="I528" s="212" t="s">
        <v>153</v>
      </c>
      <c r="J528" s="212" t="s">
        <v>149</v>
      </c>
      <c r="K528" s="212" t="s">
        <v>166</v>
      </c>
      <c r="L528" s="212" t="s">
        <v>151</v>
      </c>
      <c r="M528" s="213">
        <v>8</v>
      </c>
      <c r="N528" s="441" cm="1">
        <f t="array" ref="N528">IF(TRIM(K528)="Mano de Obra",IF(Formulario!$L$23&lt;&gt;"",Formulario!$L$23,IFERROR(VLOOKUP(TRIM($M$4),Jornalesdeppto!A:C,3,0),"")),_xlfn.XLOOKUP(1,(Tabla_Costos_Insumos!$A$2:$A$3199=TRIM($M$4))*(Tabla_Costos_Insumos!$C$2:$C$3199=TRIM(K528)),Tabla_Costos_Insumos!$E$2:$E$3199,"",0))</f>
        <v>110000</v>
      </c>
      <c r="O528" s="441">
        <f t="shared" si="128"/>
        <v>880000</v>
      </c>
      <c r="P528" s="212" t="str">
        <f t="shared" si="136"/>
        <v>Mandarina Común</v>
      </c>
      <c r="Q528" s="212" t="s">
        <v>142</v>
      </c>
      <c r="R528" s="212" t="s">
        <v>142</v>
      </c>
      <c r="S528" s="212"/>
      <c r="T528" s="212"/>
      <c r="U528" s="212"/>
      <c r="V528" s="212" t="s">
        <v>142</v>
      </c>
      <c r="W528" s="212" t="str">
        <f t="shared" si="135"/>
        <v/>
      </c>
      <c r="X528" s="214"/>
    </row>
    <row r="529" spans="1:24" ht="15">
      <c r="A529" s="211" t="s">
        <v>270</v>
      </c>
      <c r="B529" s="225" t="s">
        <v>258</v>
      </c>
      <c r="C529" s="212" t="s">
        <v>69</v>
      </c>
      <c r="D529" s="212" t="s">
        <v>145</v>
      </c>
      <c r="E529" s="212" t="s">
        <v>146</v>
      </c>
      <c r="F529" s="212" t="s">
        <v>167</v>
      </c>
      <c r="G529" s="212" t="s">
        <v>118</v>
      </c>
      <c r="H529" s="212" t="s">
        <v>168</v>
      </c>
      <c r="I529" s="212" t="s">
        <v>169</v>
      </c>
      <c r="J529" s="212" t="s">
        <v>170</v>
      </c>
      <c r="K529" s="212" t="s">
        <v>260</v>
      </c>
      <c r="L529" s="212" t="s">
        <v>261</v>
      </c>
      <c r="M529" s="213">
        <v>24</v>
      </c>
      <c r="N529" s="441" cm="1">
        <f t="array" ref="N529">IF(TRIM(K529)="Mano de Obra",IF(Formulario!$L$23&lt;&gt;"",Formulario!$L$23,IFERROR(VLOOKUP(TRIM($M$4),Jornalesdeppto!A:C,3,0),"")),_xlfn.XLOOKUP(1,(Tabla_Costos_Insumos!$A$2:$A$3199=TRIM($M$4))*(Tabla_Costos_Insumos!$C$2:$C$3199=TRIM(K529)),Tabla_Costos_Insumos!$E$2:$E$3199,"",0))</f>
        <v>25534.226046466123</v>
      </c>
      <c r="O529" s="441">
        <f t="shared" si="128"/>
        <v>612821.42511518695</v>
      </c>
      <c r="P529" s="212" t="str">
        <f t="shared" si="136"/>
        <v>Mandarina Común</v>
      </c>
      <c r="Q529" s="212" t="s">
        <v>142</v>
      </c>
      <c r="R529" s="212" t="s">
        <v>142</v>
      </c>
      <c r="S529" s="212"/>
      <c r="T529" s="212"/>
      <c r="U529" s="212"/>
      <c r="V529" s="212" t="s">
        <v>142</v>
      </c>
      <c r="W529" s="212" t="str">
        <f t="shared" si="135"/>
        <v/>
      </c>
      <c r="X529" s="214"/>
    </row>
    <row r="530" spans="1:24" ht="15">
      <c r="A530" s="211" t="s">
        <v>270</v>
      </c>
      <c r="B530" s="225" t="s">
        <v>258</v>
      </c>
      <c r="C530" s="212" t="s">
        <v>69</v>
      </c>
      <c r="D530" s="212" t="s">
        <v>145</v>
      </c>
      <c r="E530" s="212" t="s">
        <v>146</v>
      </c>
      <c r="F530" s="212" t="s">
        <v>167</v>
      </c>
      <c r="G530" s="212" t="s">
        <v>118</v>
      </c>
      <c r="H530" s="212" t="s">
        <v>168</v>
      </c>
      <c r="I530" s="212" t="s">
        <v>169</v>
      </c>
      <c r="J530" s="212" t="s">
        <v>170</v>
      </c>
      <c r="K530" s="212" t="s">
        <v>251</v>
      </c>
      <c r="L530" s="212" t="s">
        <v>226</v>
      </c>
      <c r="M530" s="213">
        <v>7</v>
      </c>
      <c r="N530" s="441" cm="1">
        <f t="array" ref="N530">IF(TRIM(K530)="Mano de Obra",IF(Formulario!$L$23&lt;&gt;"",Formulario!$L$23,IFERROR(VLOOKUP(TRIM($M$4),Jornalesdeppto!A:C,3,0),"")),_xlfn.XLOOKUP(1,(Tabla_Costos_Insumos!$A$2:$A$3199=TRIM($M$4))*(Tabla_Costos_Insumos!$C$2:$C$3199=TRIM(K530)),Tabla_Costos_Insumos!$E$2:$E$3199,"",0))</f>
        <v>61445.54</v>
      </c>
      <c r="O530" s="441">
        <f t="shared" ref="O530:O593" si="141">IF(OR(N530=0,N530=""),"",N530*M530)</f>
        <v>430118.78</v>
      </c>
      <c r="P530" s="212" t="str">
        <f t="shared" si="136"/>
        <v>Mandarina Común</v>
      </c>
      <c r="Q530" s="212" t="s">
        <v>142</v>
      </c>
      <c r="R530" s="212" t="s">
        <v>142</v>
      </c>
      <c r="S530" s="212"/>
      <c r="T530" s="212"/>
      <c r="U530" s="212"/>
      <c r="V530" s="212" t="s">
        <v>142</v>
      </c>
      <c r="W530" s="212" t="str">
        <f t="shared" si="135"/>
        <v/>
      </c>
      <c r="X530" s="214"/>
    </row>
    <row r="531" spans="1:24" ht="15">
      <c r="A531" s="211" t="s">
        <v>270</v>
      </c>
      <c r="B531" s="225" t="s">
        <v>258</v>
      </c>
      <c r="C531" s="212" t="s">
        <v>69</v>
      </c>
      <c r="D531" s="212" t="s">
        <v>145</v>
      </c>
      <c r="E531" s="212" t="s">
        <v>146</v>
      </c>
      <c r="F531" s="212" t="s">
        <v>167</v>
      </c>
      <c r="G531" s="212" t="s">
        <v>118</v>
      </c>
      <c r="H531" s="212" t="s">
        <v>174</v>
      </c>
      <c r="I531" s="212" t="s">
        <v>175</v>
      </c>
      <c r="J531" s="212" t="s">
        <v>176</v>
      </c>
      <c r="K531" s="212" t="s">
        <v>231</v>
      </c>
      <c r="L531" s="212" t="s">
        <v>172</v>
      </c>
      <c r="M531" s="213">
        <v>12</v>
      </c>
      <c r="N531" s="441" cm="1">
        <f t="array" ref="N531">IF(TRIM(K531)="Mano de Obra",IF(Formulario!$L$23&lt;&gt;"",Formulario!$L$23,IFERROR(VLOOKUP(TRIM($M$4),Jornalesdeppto!A:C,3,0),"")),_xlfn.XLOOKUP(1,(Tabla_Costos_Insumos!$A$2:$A$3199=TRIM($M$4))*(Tabla_Costos_Insumos!$C$2:$C$3199=TRIM(K531)),Tabla_Costos_Insumos!$E$2:$E$3199,"",0))</f>
        <v>23177.15</v>
      </c>
      <c r="O531" s="441">
        <f t="shared" si="141"/>
        <v>278125.80000000005</v>
      </c>
      <c r="P531" s="212" t="str">
        <f t="shared" si="136"/>
        <v>Mandarina Común</v>
      </c>
      <c r="Q531" s="212" t="s">
        <v>142</v>
      </c>
      <c r="R531" s="212" t="s">
        <v>142</v>
      </c>
      <c r="S531" s="212"/>
      <c r="T531" s="212"/>
      <c r="U531" s="212"/>
      <c r="V531" s="212" t="s">
        <v>142</v>
      </c>
      <c r="W531" s="212" t="str">
        <f t="shared" si="135"/>
        <v/>
      </c>
      <c r="X531" s="214"/>
    </row>
    <row r="532" spans="1:24" ht="15">
      <c r="A532" s="211" t="s">
        <v>270</v>
      </c>
      <c r="B532" s="225" t="s">
        <v>258</v>
      </c>
      <c r="C532" s="212" t="s">
        <v>69</v>
      </c>
      <c r="D532" s="212" t="s">
        <v>145</v>
      </c>
      <c r="E532" s="212" t="s">
        <v>146</v>
      </c>
      <c r="F532" s="212" t="s">
        <v>167</v>
      </c>
      <c r="G532" s="212" t="s">
        <v>118</v>
      </c>
      <c r="H532" s="212" t="s">
        <v>178</v>
      </c>
      <c r="I532" s="212" t="s">
        <v>179</v>
      </c>
      <c r="J532" s="212" t="s">
        <v>180</v>
      </c>
      <c r="K532" s="212" t="s">
        <v>263</v>
      </c>
      <c r="L532" s="212" t="s">
        <v>172</v>
      </c>
      <c r="M532" s="213">
        <v>6</v>
      </c>
      <c r="N532" s="441" cm="1">
        <f t="array" ref="N532">IF(TRIM(K532)="Mano de Obra",IF(Formulario!$L$23&lt;&gt;"",Formulario!$L$23,IFERROR(VLOOKUP(TRIM($M$4),Jornalesdeppto!A:C,3,0),"")),_xlfn.XLOOKUP(1,(Tabla_Costos_Insumos!$A$2:$A$3199=TRIM($M$4))*(Tabla_Costos_Insumos!$C$2:$C$3199=TRIM(K532)),Tabla_Costos_Insumos!$E$2:$E$3199,"",0))</f>
        <v>210423.61</v>
      </c>
      <c r="O532" s="441">
        <f t="shared" si="141"/>
        <v>1262541.6599999999</v>
      </c>
      <c r="P532" s="212" t="str">
        <f t="shared" si="136"/>
        <v>Mandarina Común</v>
      </c>
      <c r="Q532" s="212" t="s">
        <v>142</v>
      </c>
      <c r="R532" s="212" t="s">
        <v>142</v>
      </c>
      <c r="S532" s="212"/>
      <c r="T532" s="212"/>
      <c r="U532" s="212"/>
      <c r="V532" s="212" t="s">
        <v>142</v>
      </c>
      <c r="W532" s="212" t="str">
        <f t="shared" si="135"/>
        <v/>
      </c>
      <c r="X532" s="214"/>
    </row>
    <row r="533" spans="1:24" ht="15">
      <c r="A533" s="211" t="s">
        <v>270</v>
      </c>
      <c r="B533" s="225" t="s">
        <v>258</v>
      </c>
      <c r="C533" s="212" t="s">
        <v>69</v>
      </c>
      <c r="D533" s="212" t="s">
        <v>145</v>
      </c>
      <c r="E533" s="212" t="s">
        <v>146</v>
      </c>
      <c r="F533" s="212" t="s">
        <v>167</v>
      </c>
      <c r="G533" s="212" t="s">
        <v>118</v>
      </c>
      <c r="H533" s="212" t="s">
        <v>178</v>
      </c>
      <c r="I533" s="212" t="s">
        <v>179</v>
      </c>
      <c r="J533" s="212" t="s">
        <v>180</v>
      </c>
      <c r="K533" s="212" t="s">
        <v>181</v>
      </c>
      <c r="L533" s="212" t="s">
        <v>172</v>
      </c>
      <c r="M533" s="213">
        <v>6</v>
      </c>
      <c r="N533" s="441" cm="1">
        <f t="array" ref="N533">IF(TRIM(K533)="Mano de Obra",IF(Formulario!$L$23&lt;&gt;"",Formulario!$L$23,IFERROR(VLOOKUP(TRIM($M$4),Jornalesdeppto!A:C,3,0),"")),_xlfn.XLOOKUP(1,(Tabla_Costos_Insumos!$A$2:$A$3199=TRIM($M$4))*(Tabla_Costos_Insumos!$C$2:$C$3199=TRIM(K533)),Tabla_Costos_Insumos!$E$2:$E$3199,"",0))</f>
        <v>34056.25</v>
      </c>
      <c r="O533" s="441">
        <f t="shared" si="141"/>
        <v>204337.5</v>
      </c>
      <c r="P533" s="212" t="str">
        <f t="shared" si="136"/>
        <v>Mandarina Común</v>
      </c>
      <c r="Q533" s="212" t="s">
        <v>142</v>
      </c>
      <c r="R533" s="212" t="s">
        <v>142</v>
      </c>
      <c r="S533" s="212"/>
      <c r="T533" s="212"/>
      <c r="U533" s="212"/>
      <c r="V533" s="212" t="s">
        <v>142</v>
      </c>
      <c r="W533" s="212" t="str">
        <f t="shared" si="135"/>
        <v/>
      </c>
      <c r="X533" s="214"/>
    </row>
    <row r="534" spans="1:24" ht="15">
      <c r="A534" s="211" t="s">
        <v>270</v>
      </c>
      <c r="B534" s="225" t="s">
        <v>258</v>
      </c>
      <c r="C534" s="212" t="s">
        <v>69</v>
      </c>
      <c r="D534" s="212" t="s">
        <v>145</v>
      </c>
      <c r="E534" s="212" t="s">
        <v>146</v>
      </c>
      <c r="F534" s="212" t="s">
        <v>183</v>
      </c>
      <c r="G534" s="212" t="s">
        <v>184</v>
      </c>
      <c r="H534" s="212" t="s">
        <v>185</v>
      </c>
      <c r="I534" s="212" t="s">
        <v>186</v>
      </c>
      <c r="J534" s="212" t="s">
        <v>105</v>
      </c>
      <c r="K534" s="212" t="s">
        <v>187</v>
      </c>
      <c r="L534" s="212" t="s">
        <v>188</v>
      </c>
      <c r="M534" s="213">
        <v>0.1</v>
      </c>
      <c r="N534" s="441" cm="1">
        <f t="array" ref="N534">IF(TRIM(K534)="Mano de Obra",IF(Formulario!$L$23&lt;&gt;"",Formulario!$L$23,IFERROR(VLOOKUP(TRIM($M$4),Jornalesdeppto!A:C,3,0),"")),_xlfn.XLOOKUP(1,(Tabla_Costos_Insumos!$A$2:$A$3199=TRIM($M$4))*(Tabla_Costos_Insumos!$C$2:$C$3199=TRIM(K534)),Tabla_Costos_Insumos!$E$2:$E$3199,"",0))</f>
        <v>175000</v>
      </c>
      <c r="O534" s="441">
        <f t="shared" si="141"/>
        <v>17500</v>
      </c>
      <c r="P534" s="212" t="str">
        <f t="shared" si="136"/>
        <v>Mandarina Común</v>
      </c>
      <c r="Q534" s="212" t="s">
        <v>142</v>
      </c>
      <c r="R534" s="212" t="s">
        <v>142</v>
      </c>
      <c r="S534" s="212"/>
      <c r="T534" s="212"/>
      <c r="U534" s="212"/>
      <c r="V534" s="212" t="s">
        <v>142</v>
      </c>
      <c r="W534" s="212" t="str">
        <f t="shared" si="135"/>
        <v/>
      </c>
      <c r="X534" s="214"/>
    </row>
    <row r="535" spans="1:24" ht="15">
      <c r="A535" s="211" t="s">
        <v>270</v>
      </c>
      <c r="B535" s="225" t="s">
        <v>258</v>
      </c>
      <c r="C535" s="212" t="s">
        <v>69</v>
      </c>
      <c r="D535" s="212" t="s">
        <v>189</v>
      </c>
      <c r="E535" s="212" t="s">
        <v>190</v>
      </c>
      <c r="F535" s="212" t="s">
        <v>191</v>
      </c>
      <c r="G535" s="212" t="s">
        <v>192</v>
      </c>
      <c r="H535" s="212" t="s">
        <v>193</v>
      </c>
      <c r="I535" s="212" t="s">
        <v>194</v>
      </c>
      <c r="J535" s="212" t="s">
        <v>195</v>
      </c>
      <c r="K535" s="212" t="s">
        <v>196</v>
      </c>
      <c r="L535" s="212" t="s">
        <v>197</v>
      </c>
      <c r="M535" s="213">
        <v>1</v>
      </c>
      <c r="N535" s="441">
        <f>IFERROR(SUM(O517:$O$534)*0.08,0)</f>
        <v>852588.87733850733</v>
      </c>
      <c r="O535" s="441">
        <f t="shared" si="141"/>
        <v>852588.87733850733</v>
      </c>
      <c r="P535" s="212" t="str">
        <f t="shared" si="136"/>
        <v>Mandarina Común</v>
      </c>
      <c r="Q535" s="212" t="s">
        <v>142</v>
      </c>
      <c r="R535" s="212" t="s">
        <v>142</v>
      </c>
      <c r="S535" s="212"/>
      <c r="T535" s="212"/>
      <c r="U535" s="212"/>
      <c r="V535" s="212" t="s">
        <v>142</v>
      </c>
      <c r="W535" s="212" t="str">
        <f t="shared" si="135"/>
        <v/>
      </c>
      <c r="X535" s="214"/>
    </row>
    <row r="536" spans="1:24" ht="15">
      <c r="A536" s="211" t="s">
        <v>270</v>
      </c>
      <c r="B536" s="225" t="s">
        <v>258</v>
      </c>
      <c r="C536" s="212" t="s">
        <v>69</v>
      </c>
      <c r="D536" s="212" t="s">
        <v>189</v>
      </c>
      <c r="E536" s="212" t="s">
        <v>190</v>
      </c>
      <c r="F536" s="212" t="s">
        <v>198</v>
      </c>
      <c r="G536" s="212" t="s">
        <v>199</v>
      </c>
      <c r="H536" s="212" t="s">
        <v>200</v>
      </c>
      <c r="I536" s="212" t="s">
        <v>201</v>
      </c>
      <c r="J536" s="212" t="s">
        <v>105</v>
      </c>
      <c r="K536" s="212" t="s">
        <v>202</v>
      </c>
      <c r="L536" s="212" t="s">
        <v>203</v>
      </c>
      <c r="M536" s="213">
        <v>1</v>
      </c>
      <c r="N536" s="441" cm="1">
        <f t="array" ref="N536">IF(TRIM(K536)="Mano de Obra",IF(Formulario!$L$23&lt;&gt;"",Formulario!$L$23,IFERROR(VLOOKUP(TRIM($M$4),Jornalesdeppto!A:C,3,0),"")),_xlfn.XLOOKUP(1,(Tabla_Costos_Insumos!$A$2:$A$3199=TRIM($M$4))*(Tabla_Costos_Insumos!$C$2:$C$3199=TRIM(K536)),Tabla_Costos_Insumos!$E$2:$E$3199,"",0))</f>
        <v>120000</v>
      </c>
      <c r="O536" s="441">
        <f t="shared" si="141"/>
        <v>120000</v>
      </c>
      <c r="P536" s="212" t="str">
        <f t="shared" si="136"/>
        <v>Mandarina Común</v>
      </c>
      <c r="Q536" s="212" t="s">
        <v>142</v>
      </c>
      <c r="R536" s="212" t="s">
        <v>142</v>
      </c>
      <c r="S536" s="212"/>
      <c r="T536" s="212"/>
      <c r="U536" s="212"/>
      <c r="V536" s="212" t="s">
        <v>142</v>
      </c>
      <c r="W536" s="212" t="str">
        <f t="shared" si="135"/>
        <v/>
      </c>
      <c r="X536" s="214"/>
    </row>
    <row r="537" spans="1:24" ht="15">
      <c r="A537" s="211" t="s">
        <v>270</v>
      </c>
      <c r="B537" s="225" t="s">
        <v>258</v>
      </c>
      <c r="C537" s="212" t="s">
        <v>69</v>
      </c>
      <c r="D537" s="212" t="s">
        <v>189</v>
      </c>
      <c r="E537" s="212" t="s">
        <v>190</v>
      </c>
      <c r="F537" s="212" t="s">
        <v>204</v>
      </c>
      <c r="G537" s="212" t="s">
        <v>205</v>
      </c>
      <c r="H537" s="212" t="s">
        <v>206</v>
      </c>
      <c r="I537" s="212" t="s">
        <v>207</v>
      </c>
      <c r="J537" s="212" t="s">
        <v>4127</v>
      </c>
      <c r="K537" s="212" t="s">
        <v>228</v>
      </c>
      <c r="L537" s="212" t="s">
        <v>197</v>
      </c>
      <c r="M537" s="213">
        <v>1</v>
      </c>
      <c r="N537" s="441" t="str">
        <f>IF($M$3="Mandarina Común",$J$4,"")</f>
        <v/>
      </c>
      <c r="O537" s="441" t="str">
        <f t="shared" si="141"/>
        <v/>
      </c>
      <c r="P537" s="212" t="str">
        <f t="shared" si="136"/>
        <v>Mandarina Común</v>
      </c>
      <c r="Q537" s="212" t="s">
        <v>142</v>
      </c>
      <c r="R537" s="212" t="s">
        <v>142</v>
      </c>
      <c r="S537" s="212"/>
      <c r="T537" s="212"/>
      <c r="U537" s="212"/>
      <c r="V537" s="212" t="s">
        <v>142</v>
      </c>
      <c r="W537" s="212" t="str">
        <f t="shared" si="135"/>
        <v/>
      </c>
      <c r="X537" s="214"/>
    </row>
    <row r="538" spans="1:24" ht="15">
      <c r="A538" s="211" t="s">
        <v>274</v>
      </c>
      <c r="B538" s="225" t="s">
        <v>275</v>
      </c>
      <c r="C538" s="212" t="s">
        <v>69</v>
      </c>
      <c r="D538" s="212" t="s">
        <v>99</v>
      </c>
      <c r="E538" s="212" t="s">
        <v>100</v>
      </c>
      <c r="F538" s="212" t="s">
        <v>109</v>
      </c>
      <c r="G538" s="212" t="s">
        <v>110</v>
      </c>
      <c r="H538" s="212" t="s">
        <v>111</v>
      </c>
      <c r="I538" s="212" t="s">
        <v>112</v>
      </c>
      <c r="J538" s="212" t="s">
        <v>105</v>
      </c>
      <c r="K538" s="212" t="s">
        <v>106</v>
      </c>
      <c r="L538" s="212" t="s">
        <v>107</v>
      </c>
      <c r="M538" s="213">
        <f t="shared" ref="M538:M545" si="142">IF(W538&lt;&gt;"", W538, ROUNDUP(X538*T538, 0))</f>
        <v>2</v>
      </c>
      <c r="N538" s="441" cm="1">
        <f t="array" ref="N538">IF(TRIM(K538)="Mano de Obra",IF(Formulario!$L$23&lt;&gt;"",Formulario!$L$23,IFERROR(VLOOKUP(TRIM($M$4),Jornalesdeppto!A:C,3,0),"")),_xlfn.XLOOKUP(1,(Tabla_Costos_Insumos!$A$2:$A$3199=TRIM($M$4))*(Tabla_Costos_Insumos!$C$2:$C$3199=TRIM(K538)),Tabla_Costos_Insumos!$E$2:$E$3199,"",0))</f>
        <v>46666.666666666664</v>
      </c>
      <c r="O538" s="441">
        <f t="shared" si="141"/>
        <v>93333.333333333328</v>
      </c>
      <c r="P538" s="212" t="str">
        <f t="shared" si="136"/>
        <v>Mango Tommy</v>
      </c>
      <c r="Q538" s="212" t="s">
        <v>108</v>
      </c>
      <c r="R538" s="212">
        <v>0.4</v>
      </c>
      <c r="S538" s="212" t="str">
        <f>IF($M$3="Mango Tommy",($I$3*R538) / 480,"")</f>
        <v/>
      </c>
      <c r="T538" s="212" cm="1">
        <f t="array" ref="T538">_xlfn.IFS($D$5&lt;=7, 1.1, $D$5&lt;=12,1.2, $D$5&lt;=25, 1.3, $D$5&gt;25,1.4)</f>
        <v>1.3</v>
      </c>
      <c r="U538" s="212" t="str">
        <f t="shared" ref="U538:U541" si="143">IFERROR(S538*T538,"")</f>
        <v/>
      </c>
      <c r="V538" s="212">
        <v>2</v>
      </c>
      <c r="W538" s="212" t="str">
        <f t="shared" si="135"/>
        <v/>
      </c>
      <c r="X538" s="214">
        <v>1</v>
      </c>
    </row>
    <row r="539" spans="1:24" ht="15">
      <c r="A539" s="211" t="s">
        <v>274</v>
      </c>
      <c r="B539" s="225" t="s">
        <v>275</v>
      </c>
      <c r="C539" s="212" t="s">
        <v>69</v>
      </c>
      <c r="D539" s="212" t="s">
        <v>99</v>
      </c>
      <c r="E539" s="212" t="s">
        <v>100</v>
      </c>
      <c r="F539" s="212" t="s">
        <v>117</v>
      </c>
      <c r="G539" s="212" t="s">
        <v>118</v>
      </c>
      <c r="H539" s="212" t="s">
        <v>119</v>
      </c>
      <c r="I539" s="212" t="s">
        <v>120</v>
      </c>
      <c r="J539" s="212" t="s">
        <v>105</v>
      </c>
      <c r="K539" s="212" t="s">
        <v>106</v>
      </c>
      <c r="L539" s="212" t="s">
        <v>107</v>
      </c>
      <c r="M539" s="213">
        <f t="shared" si="142"/>
        <v>24</v>
      </c>
      <c r="N539" s="441" cm="1">
        <f t="array" ref="N539">IF(TRIM(K539)="Mano de Obra",IF(Formulario!$L$23&lt;&gt;"",Formulario!$L$23,IFERROR(VLOOKUP(TRIM($M$4),Jornalesdeppto!A:C,3,0),"")),_xlfn.XLOOKUP(1,(Tabla_Costos_Insumos!$A$2:$A$3199=TRIM($M$4))*(Tabla_Costos_Insumos!$C$2:$C$3199=TRIM(K539)),Tabla_Costos_Insumos!$E$2:$E$3199,"",0))</f>
        <v>46666.666666666664</v>
      </c>
      <c r="O539" s="441">
        <f t="shared" si="141"/>
        <v>1120000</v>
      </c>
      <c r="P539" s="212" t="str">
        <f t="shared" si="136"/>
        <v>Mango Tommy</v>
      </c>
      <c r="Q539" s="212" t="s">
        <v>108</v>
      </c>
      <c r="R539" s="212">
        <v>7</v>
      </c>
      <c r="S539" s="212" t="str">
        <f t="shared" ref="S539:S541" si="144">IF($M$3="Mango Tommy",($I$3*R539) / 480,"")</f>
        <v/>
      </c>
      <c r="T539" s="212" cm="1">
        <f t="array" ref="T539">_xlfn.IFS($D$5&lt;=7, 1.1, $D$5&lt;=12,1.2, $D$5&lt;=25, 1.3, $D$5&gt;25,1.4)</f>
        <v>1.3</v>
      </c>
      <c r="U539" s="212" t="str">
        <f t="shared" si="143"/>
        <v/>
      </c>
      <c r="V539" s="212">
        <v>9</v>
      </c>
      <c r="W539" s="212" t="str">
        <f t="shared" si="135"/>
        <v/>
      </c>
      <c r="X539" s="214">
        <v>18</v>
      </c>
    </row>
    <row r="540" spans="1:24" ht="15">
      <c r="A540" s="211" t="s">
        <v>274</v>
      </c>
      <c r="B540" s="225" t="s">
        <v>275</v>
      </c>
      <c r="C540" s="212" t="s">
        <v>69</v>
      </c>
      <c r="D540" s="212" t="s">
        <v>99</v>
      </c>
      <c r="E540" s="212" t="s">
        <v>100</v>
      </c>
      <c r="F540" s="212" t="s">
        <v>117</v>
      </c>
      <c r="G540" s="212" t="s">
        <v>118</v>
      </c>
      <c r="H540" s="212" t="s">
        <v>121</v>
      </c>
      <c r="I540" s="212" t="s">
        <v>122</v>
      </c>
      <c r="J540" s="212" t="s">
        <v>105</v>
      </c>
      <c r="K540" s="212" t="s">
        <v>106</v>
      </c>
      <c r="L540" s="212" t="s">
        <v>107</v>
      </c>
      <c r="M540" s="213">
        <f t="shared" si="142"/>
        <v>24</v>
      </c>
      <c r="N540" s="441" cm="1">
        <f t="array" ref="N540">IF(TRIM(K540)="Mano de Obra",IF(Formulario!$L$23&lt;&gt;"",Formulario!$L$23,IFERROR(VLOOKUP(TRIM($M$4),Jornalesdeppto!A:C,3,0),"")),_xlfn.XLOOKUP(1,(Tabla_Costos_Insumos!$A$2:$A$3199=TRIM($M$4))*(Tabla_Costos_Insumos!$C$2:$C$3199=TRIM(K540)),Tabla_Costos_Insumos!$E$2:$E$3199,"",0))</f>
        <v>46666.666666666664</v>
      </c>
      <c r="O540" s="441">
        <f t="shared" si="141"/>
        <v>1120000</v>
      </c>
      <c r="P540" s="212" t="str">
        <f t="shared" si="136"/>
        <v>Mango Tommy</v>
      </c>
      <c r="Q540" s="212" t="s">
        <v>108</v>
      </c>
      <c r="R540" s="212">
        <v>7</v>
      </c>
      <c r="S540" s="212" t="str">
        <f t="shared" si="144"/>
        <v/>
      </c>
      <c r="T540" s="212" cm="1">
        <f t="array" ref="T540">_xlfn.IFS($D$5&lt;=7, 1.1, $D$5&lt;=12,1.2, $D$5&lt;=25, 1.3, $D$5&gt;25,1.4)</f>
        <v>1.3</v>
      </c>
      <c r="U540" s="212" t="str">
        <f t="shared" si="143"/>
        <v/>
      </c>
      <c r="V540" s="212">
        <v>9</v>
      </c>
      <c r="W540" s="212" t="str">
        <f t="shared" si="135"/>
        <v/>
      </c>
      <c r="X540" s="214">
        <v>18</v>
      </c>
    </row>
    <row r="541" spans="1:24" ht="15">
      <c r="A541" s="211" t="s">
        <v>274</v>
      </c>
      <c r="B541" s="225" t="s">
        <v>275</v>
      </c>
      <c r="C541" s="212" t="s">
        <v>69</v>
      </c>
      <c r="D541" s="212" t="s">
        <v>99</v>
      </c>
      <c r="E541" s="212" t="s">
        <v>100</v>
      </c>
      <c r="F541" s="212" t="s">
        <v>123</v>
      </c>
      <c r="G541" s="212" t="s">
        <v>124</v>
      </c>
      <c r="H541" s="212" t="s">
        <v>125</v>
      </c>
      <c r="I541" s="212" t="s">
        <v>126</v>
      </c>
      <c r="J541" s="212" t="s">
        <v>105</v>
      </c>
      <c r="K541" s="212" t="s">
        <v>106</v>
      </c>
      <c r="L541" s="212" t="s">
        <v>107</v>
      </c>
      <c r="M541" s="213">
        <f t="shared" si="142"/>
        <v>10</v>
      </c>
      <c r="N541" s="441" cm="1">
        <f t="array" ref="N541">IF(TRIM(K541)="Mano de Obra",IF(Formulario!$L$23&lt;&gt;"",Formulario!$L$23,IFERROR(VLOOKUP(TRIM($M$4),Jornalesdeppto!A:C,3,0),"")),_xlfn.XLOOKUP(1,(Tabla_Costos_Insumos!$A$2:$A$3199=TRIM($M$4))*(Tabla_Costos_Insumos!$C$2:$C$3199=TRIM(K541)),Tabla_Costos_Insumos!$E$2:$E$3199,"",0))</f>
        <v>46666.666666666664</v>
      </c>
      <c r="O541" s="441">
        <f t="shared" si="141"/>
        <v>466666.66666666663</v>
      </c>
      <c r="P541" s="212" t="str">
        <f t="shared" si="136"/>
        <v>Mango Tommy</v>
      </c>
      <c r="Q541" s="212" t="s">
        <v>108</v>
      </c>
      <c r="R541" s="212">
        <v>0.09</v>
      </c>
      <c r="S541" s="212" t="str">
        <f t="shared" si="144"/>
        <v/>
      </c>
      <c r="T541" s="212" cm="1">
        <f t="array" ref="T541">_xlfn.IFS($D$5&lt;=7, 1.1, $D$5&lt;=12,1.2, $D$5&lt;=25, 1.3, $D$5&gt;25,1.4)</f>
        <v>1.3</v>
      </c>
      <c r="U541" s="212" t="str">
        <f t="shared" si="143"/>
        <v/>
      </c>
      <c r="V541" s="212">
        <v>2</v>
      </c>
      <c r="W541" s="212" t="str">
        <f t="shared" si="135"/>
        <v/>
      </c>
      <c r="X541" s="214">
        <v>7</v>
      </c>
    </row>
    <row r="542" spans="1:24" ht="15">
      <c r="A542" s="211" t="s">
        <v>274</v>
      </c>
      <c r="B542" s="225" t="s">
        <v>275</v>
      </c>
      <c r="C542" s="212" t="s">
        <v>69</v>
      </c>
      <c r="D542" s="212" t="s">
        <v>99</v>
      </c>
      <c r="E542" s="212" t="s">
        <v>100</v>
      </c>
      <c r="F542" s="212" t="s">
        <v>123</v>
      </c>
      <c r="G542" s="212" t="s">
        <v>124</v>
      </c>
      <c r="H542" s="212" t="s">
        <v>128</v>
      </c>
      <c r="I542" s="212" t="s">
        <v>129</v>
      </c>
      <c r="J542" s="212" t="s">
        <v>105</v>
      </c>
      <c r="K542" s="212" t="s">
        <v>106</v>
      </c>
      <c r="L542" s="212" t="s">
        <v>107</v>
      </c>
      <c r="M542" s="213">
        <f t="shared" si="142"/>
        <v>6</v>
      </c>
      <c r="N542" s="441" cm="1">
        <f t="array" ref="N542">IF(TRIM(K542)="Mano de Obra",IF(Formulario!$L$23&lt;&gt;"",Formulario!$L$23,IFERROR(VLOOKUP(TRIM($M$4),Jornalesdeppto!A:C,3,0),"")),_xlfn.XLOOKUP(1,(Tabla_Costos_Insumos!$A$2:$A$3199=TRIM($M$4))*(Tabla_Costos_Insumos!$C$2:$C$3199=TRIM(K542)),Tabla_Costos_Insumos!$E$2:$E$3199,"",0))</f>
        <v>46666.666666666664</v>
      </c>
      <c r="O542" s="441">
        <f t="shared" si="141"/>
        <v>280000</v>
      </c>
      <c r="P542" s="212" t="str">
        <f t="shared" si="136"/>
        <v>Mango Tommy</v>
      </c>
      <c r="Q542" s="212" t="s">
        <v>127</v>
      </c>
      <c r="R542" s="212">
        <v>0.09</v>
      </c>
      <c r="S542" s="212">
        <f t="shared" ref="S542" si="145">10000*R542/480</f>
        <v>1.875</v>
      </c>
      <c r="T542" s="212" cm="1">
        <f t="array" ref="T542">_xlfn.IFS($D$5&lt;=7, 1.1, $D$5&lt;=12,1.2, $D$5&lt;=25, 1.3, $D$5&gt;25,1.4)</f>
        <v>1.3</v>
      </c>
      <c r="U542" s="212"/>
      <c r="V542" s="212">
        <v>2</v>
      </c>
      <c r="W542" s="212"/>
      <c r="X542" s="214">
        <v>4</v>
      </c>
    </row>
    <row r="543" spans="1:24" ht="15">
      <c r="A543" s="211" t="s">
        <v>274</v>
      </c>
      <c r="B543" s="225" t="s">
        <v>275</v>
      </c>
      <c r="C543" s="212" t="s">
        <v>69</v>
      </c>
      <c r="D543" s="212" t="s">
        <v>99</v>
      </c>
      <c r="E543" s="212" t="s">
        <v>100</v>
      </c>
      <c r="F543" s="212" t="s">
        <v>130</v>
      </c>
      <c r="G543" s="212" t="s">
        <v>131</v>
      </c>
      <c r="H543" s="212" t="s">
        <v>134</v>
      </c>
      <c r="I543" s="212" t="s">
        <v>135</v>
      </c>
      <c r="J543" s="212" t="s">
        <v>105</v>
      </c>
      <c r="K543" s="212" t="s">
        <v>106</v>
      </c>
      <c r="L543" s="212" t="s">
        <v>107</v>
      </c>
      <c r="M543" s="213">
        <f t="shared" si="142"/>
        <v>4</v>
      </c>
      <c r="N543" s="441" cm="1">
        <f t="array" ref="N543">IF(TRIM(K543)="Mano de Obra",IF(Formulario!$L$23&lt;&gt;"",Formulario!$L$23,IFERROR(VLOOKUP(TRIM($M$4),Jornalesdeppto!A:C,3,0),"")),_xlfn.XLOOKUP(1,(Tabla_Costos_Insumos!$A$2:$A$3199=TRIM($M$4))*(Tabla_Costos_Insumos!$C$2:$C$3199=TRIM(K543)),Tabla_Costos_Insumos!$E$2:$E$3199,"",0))</f>
        <v>46666.666666666664</v>
      </c>
      <c r="O543" s="441">
        <f t="shared" si="141"/>
        <v>186666.66666666666</v>
      </c>
      <c r="P543" s="212" t="str">
        <f t="shared" si="136"/>
        <v>Mango Tommy</v>
      </c>
      <c r="Q543" s="212" t="s">
        <v>108</v>
      </c>
      <c r="R543" s="212">
        <v>1.5</v>
      </c>
      <c r="S543" s="212" t="str">
        <f>IF($M$3="Mango Tommy",($I$3*R543) / 480,"")</f>
        <v/>
      </c>
      <c r="T543" s="212" cm="1">
        <f t="array" ref="T543">_xlfn.IFS($D$5&lt;=7, 1.1, $D$5&lt;=12,1.2, $D$5&lt;=25, 1.3, $D$5&gt;25,1.4)</f>
        <v>1.3</v>
      </c>
      <c r="U543" s="212" t="str">
        <f>IFERROR(S543*T543,"")</f>
        <v/>
      </c>
      <c r="V543" s="212">
        <v>4</v>
      </c>
      <c r="W543" s="212" t="str">
        <f t="shared" si="135"/>
        <v/>
      </c>
      <c r="X543" s="214">
        <v>3</v>
      </c>
    </row>
    <row r="544" spans="1:24" ht="15">
      <c r="A544" s="211" t="s">
        <v>274</v>
      </c>
      <c r="B544" s="225" t="s">
        <v>275</v>
      </c>
      <c r="C544" s="212" t="s">
        <v>69</v>
      </c>
      <c r="D544" s="212" t="s">
        <v>99</v>
      </c>
      <c r="E544" s="212" t="s">
        <v>100</v>
      </c>
      <c r="F544" s="212" t="s">
        <v>138</v>
      </c>
      <c r="G544" s="212" t="s">
        <v>139</v>
      </c>
      <c r="H544" s="212" t="s">
        <v>140</v>
      </c>
      <c r="I544" s="212" t="s">
        <v>141</v>
      </c>
      <c r="J544" s="212" t="s">
        <v>105</v>
      </c>
      <c r="K544" s="212" t="s">
        <v>106</v>
      </c>
      <c r="L544" s="212" t="s">
        <v>107</v>
      </c>
      <c r="M544" s="213">
        <f t="shared" si="142"/>
        <v>7</v>
      </c>
      <c r="N544" s="441" cm="1">
        <f t="array" ref="N544">IF(TRIM(K544)="Mano de Obra",IF(Formulario!$L$23&lt;&gt;"",Formulario!$L$23,IFERROR(VLOOKUP(TRIM($M$4),Jornalesdeppto!A:C,3,0),"")),_xlfn.XLOOKUP(1,(Tabla_Costos_Insumos!$A$2:$A$3199=TRIM($M$4))*(Tabla_Costos_Insumos!$C$2:$C$3199=TRIM(K544)),Tabla_Costos_Insumos!$E$2:$E$3199,"",0))</f>
        <v>46666.666666666664</v>
      </c>
      <c r="O544" s="441">
        <f t="shared" si="141"/>
        <v>326666.66666666663</v>
      </c>
      <c r="P544" s="212" t="str">
        <f t="shared" si="136"/>
        <v>Mango Tommy</v>
      </c>
      <c r="Q544" s="212" t="s">
        <v>142</v>
      </c>
      <c r="R544" s="212" t="s">
        <v>142</v>
      </c>
      <c r="S544" s="212"/>
      <c r="T544" s="212" cm="1">
        <f t="array" ref="T544">_xlfn.IFS($D$5&lt;=7, 1.1, $D$5&lt;=12,1.2, $D$5&lt;=25, 1.3, $D$5&gt;25,1.4)</f>
        <v>1.3</v>
      </c>
      <c r="U544" s="212"/>
      <c r="V544" s="212" t="s">
        <v>142</v>
      </c>
      <c r="W544" s="212" t="str">
        <f t="shared" si="135"/>
        <v/>
      </c>
      <c r="X544" s="214">
        <v>5</v>
      </c>
    </row>
    <row r="545" spans="1:24" ht="15">
      <c r="A545" s="211" t="s">
        <v>274</v>
      </c>
      <c r="B545" s="225" t="s">
        <v>275</v>
      </c>
      <c r="C545" s="212" t="s">
        <v>69</v>
      </c>
      <c r="D545" s="212" t="s">
        <v>99</v>
      </c>
      <c r="E545" s="212" t="s">
        <v>100</v>
      </c>
      <c r="F545" s="212" t="s">
        <v>138</v>
      </c>
      <c r="G545" s="212" t="s">
        <v>139</v>
      </c>
      <c r="H545" s="212" t="s">
        <v>143</v>
      </c>
      <c r="I545" s="212" t="s">
        <v>144</v>
      </c>
      <c r="J545" s="212" t="s">
        <v>105</v>
      </c>
      <c r="K545" s="212" t="s">
        <v>106</v>
      </c>
      <c r="L545" s="212" t="s">
        <v>107</v>
      </c>
      <c r="M545" s="213">
        <f t="shared" si="142"/>
        <v>52</v>
      </c>
      <c r="N545" s="441" cm="1">
        <f t="array" ref="N545">IF(TRIM(K545)="Mano de Obra",IF(Formulario!$L$23&lt;&gt;"",Formulario!$L$23,IFERROR(VLOOKUP(TRIM($M$4),Jornalesdeppto!A:C,3,0),"")),_xlfn.XLOOKUP(1,(Tabla_Costos_Insumos!$A$2:$A$3199=TRIM($M$4))*(Tabla_Costos_Insumos!$C$2:$C$3199=TRIM(K545)),Tabla_Costos_Insumos!$E$2:$E$3199,"",0))</f>
        <v>46666.666666666664</v>
      </c>
      <c r="O545" s="441">
        <f t="shared" si="141"/>
        <v>2426666.6666666665</v>
      </c>
      <c r="P545" s="212" t="str">
        <f t="shared" si="136"/>
        <v>Mango Tommy</v>
      </c>
      <c r="Q545" s="212" t="s">
        <v>142</v>
      </c>
      <c r="R545" s="212" t="s">
        <v>142</v>
      </c>
      <c r="S545" s="212"/>
      <c r="T545" s="212" cm="1">
        <f t="array" ref="T545">_xlfn.IFS($D$5&lt;=7, 1.1, $D$5&lt;=12,1.2, $D$5&lt;=25, 1.3, $D$5&gt;25,1.4)</f>
        <v>1.3</v>
      </c>
      <c r="U545" s="212"/>
      <c r="V545" s="212" t="s">
        <v>142</v>
      </c>
      <c r="W545" s="212" t="str">
        <f t="shared" si="135"/>
        <v/>
      </c>
      <c r="X545" s="214">
        <v>40</v>
      </c>
    </row>
    <row r="546" spans="1:24" ht="15">
      <c r="A546" s="211" t="s">
        <v>274</v>
      </c>
      <c r="B546" s="225" t="s">
        <v>275</v>
      </c>
      <c r="C546" s="212" t="s">
        <v>69</v>
      </c>
      <c r="D546" s="212" t="s">
        <v>145</v>
      </c>
      <c r="E546" s="212" t="s">
        <v>146</v>
      </c>
      <c r="F546" s="212" t="s">
        <v>147</v>
      </c>
      <c r="G546" s="212" t="s">
        <v>131</v>
      </c>
      <c r="H546" s="212" t="s">
        <v>148</v>
      </c>
      <c r="I546" s="212" t="s">
        <v>299</v>
      </c>
      <c r="J546" s="212" t="s">
        <v>149</v>
      </c>
      <c r="K546" s="212" t="s">
        <v>150</v>
      </c>
      <c r="L546" s="212" t="s">
        <v>151</v>
      </c>
      <c r="M546" s="213">
        <v>3</v>
      </c>
      <c r="N546" s="441" cm="1">
        <f t="array" ref="N546">IF(TRIM(K546)="Mano de Obra",IF(Formulario!$L$23&lt;&gt;"",Formulario!$L$23,IFERROR(VLOOKUP(TRIM($M$4),Jornalesdeppto!A:C,3,0),"")),_xlfn.XLOOKUP(1,(Tabla_Costos_Insumos!$A$2:$A$3199=TRIM($M$4))*(Tabla_Costos_Insumos!$C$2:$C$3199=TRIM(K546)),Tabla_Costos_Insumos!$E$2:$E$3199,"",0))</f>
        <v>198055.68333333</v>
      </c>
      <c r="O546" s="441">
        <f t="shared" si="141"/>
        <v>594167.04999999003</v>
      </c>
      <c r="P546" s="212" t="str">
        <f t="shared" si="136"/>
        <v>Mango Tommy</v>
      </c>
      <c r="Q546" s="212" t="s">
        <v>142</v>
      </c>
      <c r="R546" s="212" t="s">
        <v>142</v>
      </c>
      <c r="S546" s="212"/>
      <c r="T546" s="212"/>
      <c r="U546" s="212"/>
      <c r="V546" s="212" t="s">
        <v>142</v>
      </c>
      <c r="W546" s="212" t="str">
        <f t="shared" si="135"/>
        <v/>
      </c>
      <c r="X546" s="214"/>
    </row>
    <row r="547" spans="1:24" ht="15">
      <c r="A547" s="211" t="s">
        <v>274</v>
      </c>
      <c r="B547" s="225" t="s">
        <v>275</v>
      </c>
      <c r="C547" s="212" t="s">
        <v>69</v>
      </c>
      <c r="D547" s="212" t="s">
        <v>145</v>
      </c>
      <c r="E547" s="212" t="s">
        <v>146</v>
      </c>
      <c r="F547" s="212" t="s">
        <v>147</v>
      </c>
      <c r="G547" s="212" t="s">
        <v>131</v>
      </c>
      <c r="H547" s="212" t="s">
        <v>152</v>
      </c>
      <c r="I547" s="212" t="s">
        <v>153</v>
      </c>
      <c r="J547" s="212" t="s">
        <v>149</v>
      </c>
      <c r="K547" s="212" t="s">
        <v>4216</v>
      </c>
      <c r="L547" s="212" t="s">
        <v>151</v>
      </c>
      <c r="M547" s="213">
        <v>6</v>
      </c>
      <c r="N547" s="441" cm="1">
        <f t="array" ref="N547">IF(TRIM(K547)="Mano de Obra",IF(Formulario!$L$23&lt;&gt;"",Formulario!$L$23,IFERROR(VLOOKUP(TRIM($M$4),Jornalesdeppto!A:C,3,0),"")),_xlfn.XLOOKUP(1,(Tabla_Costos_Insumos!$A$2:$A$3199=TRIM($M$4))*(Tabla_Costos_Insumos!$C$2:$C$3199=TRIM(K547)),Tabla_Costos_Insumos!$E$2:$E$3199,"",0))</f>
        <v>125849.2424242409</v>
      </c>
      <c r="O547" s="441">
        <f t="shared" si="141"/>
        <v>755095.45454544539</v>
      </c>
      <c r="P547" s="212" t="str">
        <f t="shared" si="136"/>
        <v>Mango Tommy</v>
      </c>
      <c r="Q547" s="212" t="s">
        <v>142</v>
      </c>
      <c r="R547" s="212" t="s">
        <v>142</v>
      </c>
      <c r="S547" s="212"/>
      <c r="T547" s="212"/>
      <c r="U547" s="212"/>
      <c r="V547" s="212" t="s">
        <v>142</v>
      </c>
      <c r="W547" s="212" t="str">
        <f t="shared" si="135"/>
        <v/>
      </c>
      <c r="X547" s="214"/>
    </row>
    <row r="548" spans="1:24" ht="15">
      <c r="A548" s="211" t="s">
        <v>274</v>
      </c>
      <c r="B548" s="225" t="s">
        <v>275</v>
      </c>
      <c r="C548" s="212" t="s">
        <v>69</v>
      </c>
      <c r="D548" s="212" t="s">
        <v>145</v>
      </c>
      <c r="E548" s="212" t="s">
        <v>146</v>
      </c>
      <c r="F548" s="212" t="s">
        <v>147</v>
      </c>
      <c r="G548" s="212" t="s">
        <v>131</v>
      </c>
      <c r="H548" s="212" t="s">
        <v>154</v>
      </c>
      <c r="I548" s="212" t="s">
        <v>155</v>
      </c>
      <c r="J548" s="212" t="s">
        <v>149</v>
      </c>
      <c r="K548" s="212" t="s">
        <v>156</v>
      </c>
      <c r="L548" s="212" t="s">
        <v>151</v>
      </c>
      <c r="M548" s="213">
        <v>2</v>
      </c>
      <c r="N548" s="441" cm="1">
        <f t="array" ref="N548">IF(TRIM(K548)="Mano de Obra",IF(Formulario!$L$23&lt;&gt;"",Formulario!$L$23,IFERROR(VLOOKUP(TRIM($M$4),Jornalesdeppto!A:C,3,0),"")),_xlfn.XLOOKUP(1,(Tabla_Costos_Insumos!$A$2:$A$3199=TRIM($M$4))*(Tabla_Costos_Insumos!$C$2:$C$3199=TRIM(K548)),Tabla_Costos_Insumos!$E$2:$E$3199,"",0))</f>
        <v>17212.5</v>
      </c>
      <c r="O548" s="441">
        <f t="shared" si="141"/>
        <v>34425</v>
      </c>
      <c r="P548" s="212" t="str">
        <f t="shared" si="136"/>
        <v>Mango Tommy</v>
      </c>
      <c r="Q548" s="212" t="s">
        <v>142</v>
      </c>
      <c r="R548" s="212" t="s">
        <v>142</v>
      </c>
      <c r="S548" s="212"/>
      <c r="T548" s="212"/>
      <c r="U548" s="212"/>
      <c r="V548" s="212" t="s">
        <v>142</v>
      </c>
      <c r="W548" s="212" t="str">
        <f t="shared" si="135"/>
        <v/>
      </c>
      <c r="X548" s="214"/>
    </row>
    <row r="549" spans="1:24" ht="15">
      <c r="A549" s="211" t="s">
        <v>274</v>
      </c>
      <c r="B549" s="225" t="s">
        <v>275</v>
      </c>
      <c r="C549" s="212" t="s">
        <v>69</v>
      </c>
      <c r="D549" s="212" t="s">
        <v>145</v>
      </c>
      <c r="E549" s="212" t="s">
        <v>146</v>
      </c>
      <c r="F549" s="212" t="s">
        <v>147</v>
      </c>
      <c r="G549" s="212" t="s">
        <v>131</v>
      </c>
      <c r="H549" s="212" t="s">
        <v>157</v>
      </c>
      <c r="I549" s="212" t="s">
        <v>158</v>
      </c>
      <c r="J549" s="212" t="s">
        <v>149</v>
      </c>
      <c r="K549" s="212" t="s">
        <v>243</v>
      </c>
      <c r="L549" s="212" t="s">
        <v>172</v>
      </c>
      <c r="M549" s="213">
        <v>18</v>
      </c>
      <c r="N549" s="441" cm="1">
        <f t="array" ref="N549">IF(TRIM(K549)="Mano de Obra",IF(Formulario!$L$23&lt;&gt;"",Formulario!$L$23,IFERROR(VLOOKUP(TRIM($M$4),Jornalesdeppto!A:C,3,0),"")),_xlfn.XLOOKUP(1,(Tabla_Costos_Insumos!$A$2:$A$3199=TRIM($M$4))*(Tabla_Costos_Insumos!$C$2:$C$3199=TRIM(K549)),Tabla_Costos_Insumos!$E$2:$E$3199,"",0))</f>
        <v>26208.33</v>
      </c>
      <c r="O549" s="441">
        <f t="shared" si="141"/>
        <v>471749.94000000006</v>
      </c>
      <c r="P549" s="212" t="str">
        <f t="shared" si="136"/>
        <v>Mango Tommy</v>
      </c>
      <c r="Q549" s="212" t="s">
        <v>142</v>
      </c>
      <c r="R549" s="212" t="s">
        <v>142</v>
      </c>
      <c r="S549" s="212"/>
      <c r="T549" s="212"/>
      <c r="U549" s="212"/>
      <c r="V549" s="212" t="s">
        <v>142</v>
      </c>
      <c r="W549" s="212" t="str">
        <f t="shared" si="135"/>
        <v/>
      </c>
      <c r="X549" s="214"/>
    </row>
    <row r="550" spans="1:24" ht="15">
      <c r="A550" s="211" t="s">
        <v>274</v>
      </c>
      <c r="B550" s="225" t="s">
        <v>275</v>
      </c>
      <c r="C550" s="212" t="s">
        <v>69</v>
      </c>
      <c r="D550" s="212" t="s">
        <v>145</v>
      </c>
      <c r="E550" s="212" t="s">
        <v>146</v>
      </c>
      <c r="F550" s="212" t="s">
        <v>147</v>
      </c>
      <c r="G550" s="212" t="s">
        <v>131</v>
      </c>
      <c r="H550" s="212" t="s">
        <v>161</v>
      </c>
      <c r="I550" s="212" t="s">
        <v>162</v>
      </c>
      <c r="J550" s="212" t="s">
        <v>149</v>
      </c>
      <c r="K550" s="212" t="s">
        <v>163</v>
      </c>
      <c r="L550" s="212" t="s">
        <v>164</v>
      </c>
      <c r="M550" s="213">
        <v>2</v>
      </c>
      <c r="N550" s="441" cm="1">
        <f t="array" ref="N550">IF(TRIM(K550)="Mano de Obra",IF(Formulario!$L$23&lt;&gt;"",Formulario!$L$23,IFERROR(VLOOKUP(TRIM($M$4),Jornalesdeppto!A:C,3,0),"")),_xlfn.XLOOKUP(1,(Tabla_Costos_Insumos!$A$2:$A$3199=TRIM($M$4))*(Tabla_Costos_Insumos!$C$2:$C$3199=TRIM(K550)),Tabla_Costos_Insumos!$E$2:$E$3199,"",0))</f>
        <v>128084.44444445</v>
      </c>
      <c r="O550" s="441">
        <f t="shared" si="141"/>
        <v>256168.88888889999</v>
      </c>
      <c r="P550" s="212" t="str">
        <f t="shared" si="136"/>
        <v>Mango Tommy</v>
      </c>
      <c r="Q550" s="212" t="s">
        <v>142</v>
      </c>
      <c r="R550" s="212" t="s">
        <v>142</v>
      </c>
      <c r="S550" s="212"/>
      <c r="T550" s="212"/>
      <c r="U550" s="212"/>
      <c r="V550" s="212" t="s">
        <v>142</v>
      </c>
      <c r="W550" s="212" t="str">
        <f t="shared" si="135"/>
        <v/>
      </c>
      <c r="X550" s="214"/>
    </row>
    <row r="551" spans="1:24" ht="15">
      <c r="A551" s="211" t="s">
        <v>274</v>
      </c>
      <c r="B551" s="225" t="s">
        <v>275</v>
      </c>
      <c r="C551" s="212" t="s">
        <v>69</v>
      </c>
      <c r="D551" s="212" t="s">
        <v>145</v>
      </c>
      <c r="E551" s="212" t="s">
        <v>146</v>
      </c>
      <c r="F551" s="212" t="s">
        <v>147</v>
      </c>
      <c r="G551" s="212" t="s">
        <v>131</v>
      </c>
      <c r="H551" s="212" t="s">
        <v>165</v>
      </c>
      <c r="I551" s="212" t="s">
        <v>153</v>
      </c>
      <c r="J551" s="212" t="s">
        <v>149</v>
      </c>
      <c r="K551" s="212" t="s">
        <v>166</v>
      </c>
      <c r="L551" s="212" t="s">
        <v>151</v>
      </c>
      <c r="M551" s="213">
        <v>8</v>
      </c>
      <c r="N551" s="441" cm="1">
        <f t="array" ref="N551">IF(TRIM(K551)="Mano de Obra",IF(Formulario!$L$23&lt;&gt;"",Formulario!$L$23,IFERROR(VLOOKUP(TRIM($M$4),Jornalesdeppto!A:C,3,0),"")),_xlfn.XLOOKUP(1,(Tabla_Costos_Insumos!$A$2:$A$3199=TRIM($M$4))*(Tabla_Costos_Insumos!$C$2:$C$3199=TRIM(K551)),Tabla_Costos_Insumos!$E$2:$E$3199,"",0))</f>
        <v>110000</v>
      </c>
      <c r="O551" s="441">
        <f t="shared" si="141"/>
        <v>880000</v>
      </c>
      <c r="P551" s="212" t="str">
        <f t="shared" si="136"/>
        <v>Mango Tommy</v>
      </c>
      <c r="Q551" s="212" t="s">
        <v>142</v>
      </c>
      <c r="R551" s="212" t="s">
        <v>142</v>
      </c>
      <c r="S551" s="212"/>
      <c r="T551" s="212"/>
      <c r="U551" s="212"/>
      <c r="V551" s="212" t="s">
        <v>142</v>
      </c>
      <c r="W551" s="212" t="str">
        <f t="shared" si="135"/>
        <v/>
      </c>
      <c r="X551" s="214"/>
    </row>
    <row r="552" spans="1:24" ht="15">
      <c r="A552" s="211" t="s">
        <v>274</v>
      </c>
      <c r="B552" s="225" t="s">
        <v>275</v>
      </c>
      <c r="C552" s="212" t="s">
        <v>69</v>
      </c>
      <c r="D552" s="212" t="s">
        <v>145</v>
      </c>
      <c r="E552" s="212" t="s">
        <v>146</v>
      </c>
      <c r="F552" s="212" t="s">
        <v>167</v>
      </c>
      <c r="G552" s="212" t="s">
        <v>118</v>
      </c>
      <c r="H552" s="212" t="s">
        <v>168</v>
      </c>
      <c r="I552" s="212" t="s">
        <v>169</v>
      </c>
      <c r="J552" s="212" t="s">
        <v>170</v>
      </c>
      <c r="K552" s="212" t="s">
        <v>276</v>
      </c>
      <c r="L552" s="212" t="s">
        <v>172</v>
      </c>
      <c r="M552" s="213">
        <v>6</v>
      </c>
      <c r="N552" s="441" cm="1">
        <f t="array" ref="N552">IF(TRIM(K552)="Mano de Obra",IF(Formulario!$L$23&lt;&gt;"",Formulario!$L$23,IFERROR(VLOOKUP(TRIM($M$4),Jornalesdeppto!A:C,3,0),"")),_xlfn.XLOOKUP(1,(Tabla_Costos_Insumos!$A$2:$A$3199=TRIM($M$4))*(Tabla_Costos_Insumos!$C$2:$C$3199=TRIM(K552)),Tabla_Costos_Insumos!$E$2:$E$3199,"",0))</f>
        <v>83726.98</v>
      </c>
      <c r="O552" s="441">
        <f t="shared" si="141"/>
        <v>502361.88</v>
      </c>
      <c r="P552" s="212" t="str">
        <f t="shared" si="136"/>
        <v>Mango Tommy</v>
      </c>
      <c r="Q552" s="212" t="s">
        <v>142</v>
      </c>
      <c r="R552" s="212" t="s">
        <v>142</v>
      </c>
      <c r="S552" s="212"/>
      <c r="T552" s="212"/>
      <c r="U552" s="212"/>
      <c r="V552" s="212" t="s">
        <v>142</v>
      </c>
      <c r="W552" s="212" t="str">
        <f t="shared" si="135"/>
        <v/>
      </c>
      <c r="X552" s="214"/>
    </row>
    <row r="553" spans="1:24" ht="15">
      <c r="A553" s="211" t="s">
        <v>274</v>
      </c>
      <c r="B553" s="225" t="s">
        <v>275</v>
      </c>
      <c r="C553" s="212" t="s">
        <v>69</v>
      </c>
      <c r="D553" s="212" t="s">
        <v>145</v>
      </c>
      <c r="E553" s="212" t="s">
        <v>146</v>
      </c>
      <c r="F553" s="212" t="s">
        <v>167</v>
      </c>
      <c r="G553" s="212" t="s">
        <v>118</v>
      </c>
      <c r="H553" s="212" t="s">
        <v>168</v>
      </c>
      <c r="I553" s="212" t="s">
        <v>169</v>
      </c>
      <c r="J553" s="212" t="s">
        <v>170</v>
      </c>
      <c r="K553" s="212" t="s">
        <v>251</v>
      </c>
      <c r="L553" s="212" t="s">
        <v>226</v>
      </c>
      <c r="M553" s="213">
        <v>9</v>
      </c>
      <c r="N553" s="441" cm="1">
        <f t="array" ref="N553">IF(TRIM(K553)="Mano de Obra",IF(Formulario!$L$23&lt;&gt;"",Formulario!$L$23,IFERROR(VLOOKUP(TRIM($M$4),Jornalesdeppto!A:C,3,0),"")),_xlfn.XLOOKUP(1,(Tabla_Costos_Insumos!$A$2:$A$3199=TRIM($M$4))*(Tabla_Costos_Insumos!$C$2:$C$3199=TRIM(K553)),Tabla_Costos_Insumos!$E$2:$E$3199,"",0))</f>
        <v>61445.54</v>
      </c>
      <c r="O553" s="441">
        <f t="shared" si="141"/>
        <v>553009.86</v>
      </c>
      <c r="P553" s="212" t="str">
        <f t="shared" si="136"/>
        <v>Mango Tommy</v>
      </c>
      <c r="Q553" s="212" t="s">
        <v>142</v>
      </c>
      <c r="R553" s="212" t="s">
        <v>142</v>
      </c>
      <c r="S553" s="212"/>
      <c r="T553" s="212"/>
      <c r="U553" s="212"/>
      <c r="V553" s="212" t="s">
        <v>142</v>
      </c>
      <c r="W553" s="212" t="str">
        <f t="shared" si="135"/>
        <v/>
      </c>
      <c r="X553" s="214"/>
    </row>
    <row r="554" spans="1:24" ht="15">
      <c r="A554" s="211" t="s">
        <v>274</v>
      </c>
      <c r="B554" s="225" t="s">
        <v>275</v>
      </c>
      <c r="C554" s="212" t="s">
        <v>69</v>
      </c>
      <c r="D554" s="212" t="s">
        <v>145</v>
      </c>
      <c r="E554" s="212" t="s">
        <v>146</v>
      </c>
      <c r="F554" s="212" t="s">
        <v>167</v>
      </c>
      <c r="G554" s="212" t="s">
        <v>118</v>
      </c>
      <c r="H554" s="212" t="s">
        <v>174</v>
      </c>
      <c r="I554" s="212" t="s">
        <v>175</v>
      </c>
      <c r="J554" s="212" t="s">
        <v>176</v>
      </c>
      <c r="K554" s="212" t="s">
        <v>231</v>
      </c>
      <c r="L554" s="212" t="s">
        <v>172</v>
      </c>
      <c r="M554" s="213">
        <v>16</v>
      </c>
      <c r="N554" s="441" cm="1">
        <f t="array" ref="N554">IF(TRIM(K554)="Mano de Obra",IF(Formulario!$L$23&lt;&gt;"",Formulario!$L$23,IFERROR(VLOOKUP(TRIM($M$4),Jornalesdeppto!A:C,3,0),"")),_xlfn.XLOOKUP(1,(Tabla_Costos_Insumos!$A$2:$A$3199=TRIM($M$4))*(Tabla_Costos_Insumos!$C$2:$C$3199=TRIM(K554)),Tabla_Costos_Insumos!$E$2:$E$3199,"",0))</f>
        <v>23177.15</v>
      </c>
      <c r="O554" s="441">
        <f t="shared" si="141"/>
        <v>370834.4</v>
      </c>
      <c r="P554" s="212" t="str">
        <f t="shared" si="136"/>
        <v>Mango Tommy</v>
      </c>
      <c r="Q554" s="212" t="s">
        <v>142</v>
      </c>
      <c r="R554" s="212" t="s">
        <v>142</v>
      </c>
      <c r="S554" s="212"/>
      <c r="T554" s="212"/>
      <c r="U554" s="212"/>
      <c r="V554" s="212" t="s">
        <v>142</v>
      </c>
      <c r="W554" s="212" t="str">
        <f t="shared" si="135"/>
        <v/>
      </c>
      <c r="X554" s="214"/>
    </row>
    <row r="555" spans="1:24" ht="15">
      <c r="A555" s="211" t="s">
        <v>274</v>
      </c>
      <c r="B555" s="225" t="s">
        <v>275</v>
      </c>
      <c r="C555" s="212" t="s">
        <v>69</v>
      </c>
      <c r="D555" s="212" t="s">
        <v>145</v>
      </c>
      <c r="E555" s="212" t="s">
        <v>146</v>
      </c>
      <c r="F555" s="212" t="s">
        <v>167</v>
      </c>
      <c r="G555" s="212" t="s">
        <v>118</v>
      </c>
      <c r="H555" s="212" t="s">
        <v>178</v>
      </c>
      <c r="I555" s="212" t="s">
        <v>179</v>
      </c>
      <c r="J555" s="212" t="s">
        <v>180</v>
      </c>
      <c r="K555" s="212" t="s">
        <v>277</v>
      </c>
      <c r="L555" s="212" t="s">
        <v>172</v>
      </c>
      <c r="M555" s="213">
        <v>11</v>
      </c>
      <c r="N555" s="441" cm="1">
        <f t="array" ref="N555">IF(TRIM(K555)="Mano de Obra",IF(Formulario!$L$23&lt;&gt;"",Formulario!$L$23,IFERROR(VLOOKUP(TRIM($M$4),Jornalesdeppto!A:C,3,0),"")),_xlfn.XLOOKUP(1,(Tabla_Costos_Insumos!$A$2:$A$3199=TRIM($M$4))*(Tabla_Costos_Insumos!$C$2:$C$3199=TRIM(K555)),Tabla_Costos_Insumos!$E$2:$E$3199,"",0))</f>
        <v>90689.07</v>
      </c>
      <c r="O555" s="441">
        <f t="shared" si="141"/>
        <v>997579.77</v>
      </c>
      <c r="P555" s="212" t="str">
        <f t="shared" si="136"/>
        <v>Mango Tommy</v>
      </c>
      <c r="Q555" s="212" t="s">
        <v>142</v>
      </c>
      <c r="R555" s="212" t="s">
        <v>142</v>
      </c>
      <c r="S555" s="212"/>
      <c r="T555" s="212"/>
      <c r="U555" s="212"/>
      <c r="V555" s="212" t="s">
        <v>142</v>
      </c>
      <c r="W555" s="212" t="str">
        <f t="shared" si="135"/>
        <v/>
      </c>
      <c r="X555" s="214"/>
    </row>
    <row r="556" spans="1:24" ht="15">
      <c r="A556" s="211" t="s">
        <v>274</v>
      </c>
      <c r="B556" s="225" t="s">
        <v>275</v>
      </c>
      <c r="C556" s="212" t="s">
        <v>69</v>
      </c>
      <c r="D556" s="212" t="s">
        <v>145</v>
      </c>
      <c r="E556" s="212" t="s">
        <v>146</v>
      </c>
      <c r="F556" s="212" t="s">
        <v>167</v>
      </c>
      <c r="G556" s="212" t="s">
        <v>118</v>
      </c>
      <c r="H556" s="212" t="s">
        <v>178</v>
      </c>
      <c r="I556" s="212" t="s">
        <v>179</v>
      </c>
      <c r="J556" s="212" t="s">
        <v>180</v>
      </c>
      <c r="K556" s="212" t="s">
        <v>181</v>
      </c>
      <c r="L556" s="212" t="s">
        <v>172</v>
      </c>
      <c r="M556" s="213">
        <v>7</v>
      </c>
      <c r="N556" s="441" cm="1">
        <f t="array" ref="N556">IF(TRIM(K556)="Mano de Obra",IF(Formulario!$L$23&lt;&gt;"",Formulario!$L$23,IFERROR(VLOOKUP(TRIM($M$4),Jornalesdeppto!A:C,3,0),"")),_xlfn.XLOOKUP(1,(Tabla_Costos_Insumos!$A$2:$A$3199=TRIM($M$4))*(Tabla_Costos_Insumos!$C$2:$C$3199=TRIM(K556)),Tabla_Costos_Insumos!$E$2:$E$3199,"",0))</f>
        <v>34056.25</v>
      </c>
      <c r="O556" s="441">
        <f t="shared" si="141"/>
        <v>238393.75</v>
      </c>
      <c r="P556" s="212" t="str">
        <f t="shared" si="136"/>
        <v>Mango Tommy</v>
      </c>
      <c r="Q556" s="212" t="s">
        <v>142</v>
      </c>
      <c r="R556" s="212" t="s">
        <v>142</v>
      </c>
      <c r="S556" s="212"/>
      <c r="T556" s="212"/>
      <c r="U556" s="212"/>
      <c r="V556" s="212" t="s">
        <v>142</v>
      </c>
      <c r="W556" s="212" t="str">
        <f t="shared" si="135"/>
        <v/>
      </c>
      <c r="X556" s="214"/>
    </row>
    <row r="557" spans="1:24" ht="15">
      <c r="A557" s="211" t="s">
        <v>274</v>
      </c>
      <c r="B557" s="225" t="s">
        <v>275</v>
      </c>
      <c r="C557" s="212" t="s">
        <v>69</v>
      </c>
      <c r="D557" s="212" t="s">
        <v>145</v>
      </c>
      <c r="E557" s="212" t="s">
        <v>146</v>
      </c>
      <c r="F557" s="212" t="s">
        <v>183</v>
      </c>
      <c r="G557" s="212" t="s">
        <v>184</v>
      </c>
      <c r="H557" s="212" t="s">
        <v>185</v>
      </c>
      <c r="I557" s="212" t="s">
        <v>186</v>
      </c>
      <c r="J557" s="212" t="s">
        <v>105</v>
      </c>
      <c r="K557" s="212" t="s">
        <v>187</v>
      </c>
      <c r="L557" s="212" t="s">
        <v>188</v>
      </c>
      <c r="M557" s="213">
        <v>0.1</v>
      </c>
      <c r="N557" s="441" cm="1">
        <f t="array" ref="N557">IF(TRIM(K557)="Mano de Obra",IF(Formulario!$L$23&lt;&gt;"",Formulario!$L$23,IFERROR(VLOOKUP(TRIM($M$4),Jornalesdeppto!A:C,3,0),"")),_xlfn.XLOOKUP(1,(Tabla_Costos_Insumos!$A$2:$A$3199=TRIM($M$4))*(Tabla_Costos_Insumos!$C$2:$C$3199=TRIM(K557)),Tabla_Costos_Insumos!$E$2:$E$3199,"",0))</f>
        <v>175000</v>
      </c>
      <c r="O557" s="441">
        <f t="shared" si="141"/>
        <v>17500</v>
      </c>
      <c r="P557" s="212" t="str">
        <f t="shared" si="136"/>
        <v>Mango Tommy</v>
      </c>
      <c r="Q557" s="212" t="s">
        <v>142</v>
      </c>
      <c r="R557" s="212" t="s">
        <v>142</v>
      </c>
      <c r="S557" s="212"/>
      <c r="T557" s="212"/>
      <c r="U557" s="212"/>
      <c r="V557" s="212" t="s">
        <v>142</v>
      </c>
      <c r="W557" s="212" t="str">
        <f t="shared" si="135"/>
        <v/>
      </c>
      <c r="X557" s="214"/>
    </row>
    <row r="558" spans="1:24" ht="15">
      <c r="A558" s="211" t="s">
        <v>274</v>
      </c>
      <c r="B558" s="225" t="s">
        <v>275</v>
      </c>
      <c r="C558" s="212" t="s">
        <v>69</v>
      </c>
      <c r="D558" s="212" t="s">
        <v>189</v>
      </c>
      <c r="E558" s="212" t="s">
        <v>190</v>
      </c>
      <c r="F558" s="212" t="s">
        <v>191</v>
      </c>
      <c r="G558" s="212" t="s">
        <v>192</v>
      </c>
      <c r="H558" s="212" t="s">
        <v>193</v>
      </c>
      <c r="I558" s="212" t="s">
        <v>194</v>
      </c>
      <c r="J558" s="212" t="s">
        <v>195</v>
      </c>
      <c r="K558" s="212" t="s">
        <v>196</v>
      </c>
      <c r="L558" s="212" t="s">
        <v>197</v>
      </c>
      <c r="M558" s="213">
        <v>1</v>
      </c>
      <c r="N558" s="441">
        <f>IFERROR(SUM(O540:$O$557)*0.08,0)</f>
        <v>838236.21280808013</v>
      </c>
      <c r="O558" s="441">
        <f t="shared" si="141"/>
        <v>838236.21280808013</v>
      </c>
      <c r="P558" s="212" t="str">
        <f t="shared" si="136"/>
        <v>Mango Tommy</v>
      </c>
      <c r="Q558" s="212" t="s">
        <v>142</v>
      </c>
      <c r="R558" s="212" t="s">
        <v>142</v>
      </c>
      <c r="S558" s="212"/>
      <c r="T558" s="212"/>
      <c r="U558" s="212"/>
      <c r="V558" s="212" t="s">
        <v>142</v>
      </c>
      <c r="W558" s="212" t="str">
        <f t="shared" si="135"/>
        <v/>
      </c>
      <c r="X558" s="214"/>
    </row>
    <row r="559" spans="1:24" ht="15">
      <c r="A559" s="211" t="s">
        <v>274</v>
      </c>
      <c r="B559" s="225" t="s">
        <v>275</v>
      </c>
      <c r="C559" s="212" t="s">
        <v>69</v>
      </c>
      <c r="D559" s="212" t="s">
        <v>189</v>
      </c>
      <c r="E559" s="212" t="s">
        <v>190</v>
      </c>
      <c r="F559" s="212" t="s">
        <v>198</v>
      </c>
      <c r="G559" s="212" t="s">
        <v>199</v>
      </c>
      <c r="H559" s="212" t="s">
        <v>200</v>
      </c>
      <c r="I559" s="212" t="s">
        <v>201</v>
      </c>
      <c r="J559" s="212" t="s">
        <v>105</v>
      </c>
      <c r="K559" s="212" t="s">
        <v>202</v>
      </c>
      <c r="L559" s="212" t="s">
        <v>203</v>
      </c>
      <c r="M559" s="213">
        <v>1</v>
      </c>
      <c r="N559" s="441" cm="1">
        <f t="array" ref="N559">IF(TRIM(K559)="Mano de Obra",IF(Formulario!$L$23&lt;&gt;"",Formulario!$L$23,IFERROR(VLOOKUP(TRIM($M$4),Jornalesdeppto!A:C,3,0),"")),_xlfn.XLOOKUP(1,(Tabla_Costos_Insumos!$A$2:$A$3199=TRIM($M$4))*(Tabla_Costos_Insumos!$C$2:$C$3199=TRIM(K559)),Tabla_Costos_Insumos!$E$2:$E$3199,"",0))</f>
        <v>120000</v>
      </c>
      <c r="O559" s="441">
        <f t="shared" si="141"/>
        <v>120000</v>
      </c>
      <c r="P559" s="212" t="str">
        <f t="shared" si="136"/>
        <v>Mango Tommy</v>
      </c>
      <c r="Q559" s="212" t="s">
        <v>142</v>
      </c>
      <c r="R559" s="212" t="s">
        <v>142</v>
      </c>
      <c r="S559" s="212"/>
      <c r="T559" s="212"/>
      <c r="U559" s="212"/>
      <c r="V559" s="212" t="s">
        <v>142</v>
      </c>
      <c r="W559" s="212" t="str">
        <f t="shared" si="135"/>
        <v/>
      </c>
      <c r="X559" s="214"/>
    </row>
    <row r="560" spans="1:24" ht="15">
      <c r="A560" s="211" t="s">
        <v>274</v>
      </c>
      <c r="B560" s="225" t="s">
        <v>275</v>
      </c>
      <c r="C560" s="212" t="s">
        <v>69</v>
      </c>
      <c r="D560" s="212" t="s">
        <v>189</v>
      </c>
      <c r="E560" s="212" t="s">
        <v>190</v>
      </c>
      <c r="F560" s="212" t="s">
        <v>204</v>
      </c>
      <c r="G560" s="212" t="s">
        <v>205</v>
      </c>
      <c r="H560" s="212" t="s">
        <v>206</v>
      </c>
      <c r="I560" s="212" t="s">
        <v>207</v>
      </c>
      <c r="J560" s="212" t="s">
        <v>4127</v>
      </c>
      <c r="K560" s="212" t="s">
        <v>228</v>
      </c>
      <c r="L560" s="212" t="s">
        <v>197</v>
      </c>
      <c r="M560" s="213">
        <v>1</v>
      </c>
      <c r="N560" s="441" t="str">
        <f>IF($M$3="Mango Tommy",($J$4),"")</f>
        <v/>
      </c>
      <c r="O560" s="441" t="str">
        <f t="shared" si="141"/>
        <v/>
      </c>
      <c r="P560" s="212" t="str">
        <f t="shared" si="136"/>
        <v>Mango Tommy</v>
      </c>
      <c r="Q560" s="212" t="s">
        <v>142</v>
      </c>
      <c r="R560" s="212" t="s">
        <v>142</v>
      </c>
      <c r="S560" s="212"/>
      <c r="T560" s="212"/>
      <c r="U560" s="212"/>
      <c r="V560" s="212" t="s">
        <v>142</v>
      </c>
      <c r="W560" s="212" t="str">
        <f t="shared" si="135"/>
        <v/>
      </c>
      <c r="X560" s="214"/>
    </row>
    <row r="561" spans="1:24" ht="15">
      <c r="A561" s="211" t="s">
        <v>274</v>
      </c>
      <c r="B561" s="225" t="s">
        <v>275</v>
      </c>
      <c r="C561" s="216" t="s">
        <v>53</v>
      </c>
      <c r="D561" s="216" t="s">
        <v>99</v>
      </c>
      <c r="E561" s="216" t="s">
        <v>100</v>
      </c>
      <c r="F561" s="216" t="s">
        <v>101</v>
      </c>
      <c r="G561" s="216" t="s">
        <v>102</v>
      </c>
      <c r="H561" s="216" t="s">
        <v>278</v>
      </c>
      <c r="I561" s="216" t="s">
        <v>279</v>
      </c>
      <c r="J561" s="216" t="s">
        <v>280</v>
      </c>
      <c r="K561" s="216" t="s">
        <v>279</v>
      </c>
      <c r="L561" s="216" t="s">
        <v>281</v>
      </c>
      <c r="M561" s="217">
        <v>4</v>
      </c>
      <c r="N561" s="442">
        <v>74244</v>
      </c>
      <c r="O561" s="442">
        <f t="shared" si="141"/>
        <v>296976</v>
      </c>
      <c r="P561" s="216" t="str">
        <f t="shared" si="136"/>
        <v>Mango Tommy</v>
      </c>
      <c r="Q561" s="212" t="s">
        <v>142</v>
      </c>
      <c r="R561" s="212" t="s">
        <v>142</v>
      </c>
      <c r="S561" s="212"/>
      <c r="T561" s="212"/>
      <c r="U561" s="212"/>
      <c r="V561" s="212" t="s">
        <v>142</v>
      </c>
      <c r="W561" s="212" t="str">
        <f t="shared" si="135"/>
        <v/>
      </c>
      <c r="X561" s="214"/>
    </row>
    <row r="562" spans="1:24" ht="15">
      <c r="A562" s="211" t="s">
        <v>274</v>
      </c>
      <c r="B562" s="225" t="s">
        <v>275</v>
      </c>
      <c r="C562" s="216" t="s">
        <v>53</v>
      </c>
      <c r="D562" s="216" t="s">
        <v>99</v>
      </c>
      <c r="E562" s="216" t="s">
        <v>100</v>
      </c>
      <c r="F562" s="216" t="s">
        <v>101</v>
      </c>
      <c r="G562" s="216" t="s">
        <v>102</v>
      </c>
      <c r="H562" s="216" t="s">
        <v>103</v>
      </c>
      <c r="I562" s="216" t="s">
        <v>104</v>
      </c>
      <c r="J562" s="216" t="s">
        <v>105</v>
      </c>
      <c r="K562" s="216" t="s">
        <v>106</v>
      </c>
      <c r="L562" s="216" t="s">
        <v>107</v>
      </c>
      <c r="M562" s="217">
        <f>IF(W562&lt;&gt;"", W562, ROUNDUP(X562*T562, 0))</f>
        <v>7</v>
      </c>
      <c r="N562" s="442" cm="1">
        <f t="array" ref="N562">IF(TRIM(K562)="Mano de Obra",IF(Formulario!$L$23&lt;&gt;"",Formulario!$L$23,IFERROR(VLOOKUP(TRIM($M$4),Jornalesdeppto!A:C,3,0),"")),_xlfn.XLOOKUP(1,(Tabla_Costos_Insumos!$A$2:$A$3199=TRIM($M$4))*(Tabla_Costos_Insumos!$C$2:$C$3199=TRIM(K562)),Tabla_Costos_Insumos!$E$2:$E$3199,"",0))</f>
        <v>46666.666666666664</v>
      </c>
      <c r="O562" s="442">
        <f t="shared" si="141"/>
        <v>326666.66666666663</v>
      </c>
      <c r="P562" s="216" t="str">
        <f t="shared" si="136"/>
        <v>Mango Tommy</v>
      </c>
      <c r="Q562" s="212" t="s">
        <v>108</v>
      </c>
      <c r="R562" s="212">
        <v>0.69</v>
      </c>
      <c r="S562" s="212" t="str">
        <f>IF($M$3="Mango Tommy",($I$3*R562) / 480,"")</f>
        <v/>
      </c>
      <c r="T562" s="212" cm="1">
        <f t="array" ref="T562">_xlfn.IFS($D$5&lt;=7, 1.1, $D$5&lt;=12,1.2, $D$5&lt;=25, 1.3, $D$5&gt;25,1.4)</f>
        <v>1.3</v>
      </c>
      <c r="U562" s="212" t="str">
        <f>IFERROR(S562*T562,"")</f>
        <v/>
      </c>
      <c r="V562" s="212">
        <v>1</v>
      </c>
      <c r="W562" s="212" t="str">
        <f t="shared" si="135"/>
        <v/>
      </c>
      <c r="X562" s="214">
        <v>5</v>
      </c>
    </row>
    <row r="563" spans="1:24" ht="15">
      <c r="A563" s="211" t="s">
        <v>274</v>
      </c>
      <c r="B563" s="225" t="s">
        <v>275</v>
      </c>
      <c r="C563" s="216" t="s">
        <v>53</v>
      </c>
      <c r="D563" s="216" t="s">
        <v>99</v>
      </c>
      <c r="E563" s="216" t="s">
        <v>100</v>
      </c>
      <c r="F563" s="216" t="s">
        <v>101</v>
      </c>
      <c r="G563" s="216" t="s">
        <v>102</v>
      </c>
      <c r="H563" s="216" t="s">
        <v>282</v>
      </c>
      <c r="I563" s="216" t="s">
        <v>283</v>
      </c>
      <c r="J563" s="216" t="s">
        <v>280</v>
      </c>
      <c r="K563" s="216" t="s">
        <v>284</v>
      </c>
      <c r="L563" s="216" t="s">
        <v>281</v>
      </c>
      <c r="M563" s="217">
        <v>2</v>
      </c>
      <c r="N563" s="442">
        <v>73054</v>
      </c>
      <c r="O563" s="442">
        <f t="shared" si="141"/>
        <v>146108</v>
      </c>
      <c r="P563" s="216" t="str">
        <f t="shared" si="136"/>
        <v>Mango Tommy</v>
      </c>
      <c r="Q563" s="212" t="s">
        <v>142</v>
      </c>
      <c r="R563" s="212" t="s">
        <v>142</v>
      </c>
      <c r="S563" s="212"/>
      <c r="T563" s="212" cm="1">
        <f t="array" ref="T563">_xlfn.IFS($D$5&lt;=7, 1.1, $D$5&lt;=12,1.2, $D$5&lt;=25, 1.3, $D$5&gt;25,1.4)</f>
        <v>1.3</v>
      </c>
      <c r="U563" s="212"/>
      <c r="V563" s="212" t="s">
        <v>142</v>
      </c>
      <c r="W563" s="212" t="str">
        <f t="shared" si="135"/>
        <v/>
      </c>
      <c r="X563" s="214"/>
    </row>
    <row r="564" spans="1:24" ht="15">
      <c r="A564" s="211" t="s">
        <v>274</v>
      </c>
      <c r="B564" s="225" t="s">
        <v>275</v>
      </c>
      <c r="C564" s="216" t="s">
        <v>53</v>
      </c>
      <c r="D564" s="216" t="s">
        <v>99</v>
      </c>
      <c r="E564" s="216" t="s">
        <v>100</v>
      </c>
      <c r="F564" s="216" t="s">
        <v>101</v>
      </c>
      <c r="G564" s="216" t="s">
        <v>102</v>
      </c>
      <c r="H564" s="216" t="s">
        <v>212</v>
      </c>
      <c r="I564" s="216" t="s">
        <v>213</v>
      </c>
      <c r="J564" s="216" t="s">
        <v>105</v>
      </c>
      <c r="K564" s="216" t="s">
        <v>106</v>
      </c>
      <c r="L564" s="216" t="s">
        <v>107</v>
      </c>
      <c r="M564" s="217">
        <f t="shared" ref="M564:M573" si="146">IF(W564&lt;&gt;"", W564, ROUNDUP(X564*T564, 0))</f>
        <v>7</v>
      </c>
      <c r="N564" s="442" cm="1">
        <f t="array" ref="N564">IF(TRIM(K564)="Mano de Obra",IF(Formulario!$L$23&lt;&gt;"",Formulario!$L$23,IFERROR(VLOOKUP(TRIM($M$4),Jornalesdeppto!A:C,3,0),"")),_xlfn.XLOOKUP(1,(Tabla_Costos_Insumos!$A$2:$A$3199=TRIM($M$4))*(Tabla_Costos_Insumos!$C$2:$C$3199=TRIM(K564)),Tabla_Costos_Insumos!$E$2:$E$3199,"",0))</f>
        <v>46666.666666666664</v>
      </c>
      <c r="O564" s="442">
        <f t="shared" si="141"/>
        <v>326666.66666666663</v>
      </c>
      <c r="P564" s="216" t="str">
        <f t="shared" si="136"/>
        <v>Mango Tommy</v>
      </c>
      <c r="Q564" s="212" t="s">
        <v>108</v>
      </c>
      <c r="R564" s="212">
        <v>20</v>
      </c>
      <c r="S564" s="212" t="str">
        <f t="shared" ref="S564:S573" si="147">IF($M$3="Mango Tommy",($I$3*R564) / 480,"")</f>
        <v/>
      </c>
      <c r="T564" s="212" cm="1">
        <f t="array" ref="T564">_xlfn.IFS($D$5&lt;=7, 1.1, $D$5&lt;=12,1.2, $D$5&lt;=25, 1.3, $D$5&gt;25,1.4)</f>
        <v>1.3</v>
      </c>
      <c r="U564" s="212" t="str">
        <f t="shared" ref="U564:U573" si="148">IFERROR(S564*T564,"")</f>
        <v/>
      </c>
      <c r="V564" s="212">
        <v>1</v>
      </c>
      <c r="W564" s="212" t="str">
        <f t="shared" si="135"/>
        <v/>
      </c>
      <c r="X564" s="214">
        <v>5</v>
      </c>
    </row>
    <row r="565" spans="1:24" ht="15">
      <c r="A565" s="211" t="s">
        <v>274</v>
      </c>
      <c r="B565" s="225" t="s">
        <v>275</v>
      </c>
      <c r="C565" s="216" t="s">
        <v>53</v>
      </c>
      <c r="D565" s="216" t="s">
        <v>99</v>
      </c>
      <c r="E565" s="216" t="s">
        <v>100</v>
      </c>
      <c r="F565" s="216" t="s">
        <v>109</v>
      </c>
      <c r="G565" s="216" t="s">
        <v>110</v>
      </c>
      <c r="H565" s="216" t="s">
        <v>111</v>
      </c>
      <c r="I565" s="216" t="s">
        <v>112</v>
      </c>
      <c r="J565" s="216" t="s">
        <v>105</v>
      </c>
      <c r="K565" s="216" t="s">
        <v>106</v>
      </c>
      <c r="L565" s="216" t="s">
        <v>107</v>
      </c>
      <c r="M565" s="217">
        <f t="shared" si="146"/>
        <v>2</v>
      </c>
      <c r="N565" s="442" cm="1">
        <f t="array" ref="N565">IF(TRIM(K565)="Mano de Obra",IF(Formulario!$L$23&lt;&gt;"",Formulario!$L$23,IFERROR(VLOOKUP(TRIM($M$4),Jornalesdeppto!A:C,3,0),"")),_xlfn.XLOOKUP(1,(Tabla_Costos_Insumos!$A$2:$A$3199=TRIM($M$4))*(Tabla_Costos_Insumos!$C$2:$C$3199=TRIM(K565)),Tabla_Costos_Insumos!$E$2:$E$3199,"",0))</f>
        <v>46666.666666666664</v>
      </c>
      <c r="O565" s="442">
        <f t="shared" si="141"/>
        <v>93333.333333333328</v>
      </c>
      <c r="P565" s="216" t="str">
        <f t="shared" si="136"/>
        <v>Mango Tommy</v>
      </c>
      <c r="Q565" s="212" t="s">
        <v>108</v>
      </c>
      <c r="R565" s="212">
        <v>0.4</v>
      </c>
      <c r="S565" s="212" t="str">
        <f t="shared" si="147"/>
        <v/>
      </c>
      <c r="T565" s="212" cm="1">
        <f t="array" ref="T565">_xlfn.IFS($D$5&lt;=7, 1.1, $D$5&lt;=12,1.2, $D$5&lt;=25, 1.3, $D$5&gt;25,1.4)</f>
        <v>1.3</v>
      </c>
      <c r="U565" s="212" t="str">
        <f t="shared" si="148"/>
        <v/>
      </c>
      <c r="V565" s="212">
        <v>2</v>
      </c>
      <c r="W565" s="212" t="str">
        <f t="shared" ref="W565:W625" si="149">IFERROR(ROUNDUP(V565*U565,0),"")</f>
        <v/>
      </c>
      <c r="X565" s="214">
        <v>1</v>
      </c>
    </row>
    <row r="566" spans="1:24" ht="15">
      <c r="A566" s="211" t="s">
        <v>274</v>
      </c>
      <c r="B566" s="225" t="s">
        <v>275</v>
      </c>
      <c r="C566" s="216" t="s">
        <v>53</v>
      </c>
      <c r="D566" s="216" t="s">
        <v>99</v>
      </c>
      <c r="E566" s="216" t="s">
        <v>100</v>
      </c>
      <c r="F566" s="216" t="s">
        <v>109</v>
      </c>
      <c r="G566" s="216" t="s">
        <v>110</v>
      </c>
      <c r="H566" s="216" t="s">
        <v>234</v>
      </c>
      <c r="I566" s="216" t="s">
        <v>235</v>
      </c>
      <c r="J566" s="216" t="s">
        <v>105</v>
      </c>
      <c r="K566" s="216" t="s">
        <v>106</v>
      </c>
      <c r="L566" s="216" t="s">
        <v>107</v>
      </c>
      <c r="M566" s="217">
        <f t="shared" si="146"/>
        <v>6</v>
      </c>
      <c r="N566" s="442" cm="1">
        <f t="array" ref="N566">IF(TRIM(K566)="Mano de Obra",IF(Formulario!$L$23&lt;&gt;"",Formulario!$L$23,IFERROR(VLOOKUP(TRIM($M$4),Jornalesdeppto!A:C,3,0),"")),_xlfn.XLOOKUP(1,(Tabla_Costos_Insumos!$A$2:$A$3199=TRIM($M$4))*(Tabla_Costos_Insumos!$C$2:$C$3199=TRIM(K566)),Tabla_Costos_Insumos!$E$2:$E$3199,"",0))</f>
        <v>46666.666666666664</v>
      </c>
      <c r="O566" s="442">
        <f t="shared" si="141"/>
        <v>280000</v>
      </c>
      <c r="P566" s="216" t="str">
        <f t="shared" si="136"/>
        <v>Mango Tommy</v>
      </c>
      <c r="Q566" s="212" t="s">
        <v>108</v>
      </c>
      <c r="R566" s="212">
        <v>1</v>
      </c>
      <c r="S566" s="212" t="str">
        <f t="shared" si="147"/>
        <v/>
      </c>
      <c r="T566" s="212" cm="1">
        <f t="array" ref="T566">_xlfn.IFS($D$5&lt;=7, 1.1, $D$5&lt;=12,1.2, $D$5&lt;=25, 1.3, $D$5&gt;25,1.4)</f>
        <v>1.3</v>
      </c>
      <c r="U566" s="212" t="str">
        <f t="shared" si="148"/>
        <v/>
      </c>
      <c r="V566" s="212">
        <v>4</v>
      </c>
      <c r="W566" s="212" t="str">
        <f t="shared" si="149"/>
        <v/>
      </c>
      <c r="X566" s="214">
        <v>4</v>
      </c>
    </row>
    <row r="567" spans="1:24" ht="15">
      <c r="A567" s="211" t="s">
        <v>274</v>
      </c>
      <c r="B567" s="225" t="s">
        <v>275</v>
      </c>
      <c r="C567" s="216" t="s">
        <v>53</v>
      </c>
      <c r="D567" s="216" t="s">
        <v>99</v>
      </c>
      <c r="E567" s="216" t="s">
        <v>100</v>
      </c>
      <c r="F567" s="216" t="s">
        <v>109</v>
      </c>
      <c r="G567" s="216" t="s">
        <v>110</v>
      </c>
      <c r="H567" s="216" t="s">
        <v>215</v>
      </c>
      <c r="I567" s="216" t="s">
        <v>216</v>
      </c>
      <c r="J567" s="216" t="s">
        <v>105</v>
      </c>
      <c r="K567" s="216" t="s">
        <v>106</v>
      </c>
      <c r="L567" s="216" t="s">
        <v>107</v>
      </c>
      <c r="M567" s="217">
        <f t="shared" si="146"/>
        <v>2</v>
      </c>
      <c r="N567" s="442" cm="1">
        <f t="array" ref="N567">IF(TRIM(K567)="Mano de Obra",IF(Formulario!$L$23&lt;&gt;"",Formulario!$L$23,IFERROR(VLOOKUP(TRIM($M$4),Jornalesdeppto!A:C,3,0),"")),_xlfn.XLOOKUP(1,(Tabla_Costos_Insumos!$A$2:$A$3199=TRIM($M$4))*(Tabla_Costos_Insumos!$C$2:$C$3199=TRIM(K567)),Tabla_Costos_Insumos!$E$2:$E$3199,"",0))</f>
        <v>46666.666666666664</v>
      </c>
      <c r="O567" s="442">
        <f t="shared" si="141"/>
        <v>93333.333333333328</v>
      </c>
      <c r="P567" s="216" t="str">
        <f t="shared" si="136"/>
        <v>Mango Tommy</v>
      </c>
      <c r="Q567" s="212" t="s">
        <v>108</v>
      </c>
      <c r="R567" s="212">
        <v>10</v>
      </c>
      <c r="S567" s="212" t="str">
        <f t="shared" si="147"/>
        <v/>
      </c>
      <c r="T567" s="212" cm="1">
        <f t="array" ref="T567">_xlfn.IFS($D$5&lt;=7, 1.1, $D$5&lt;=12,1.2, $D$5&lt;=25, 1.3, $D$5&gt;25,1.4)</f>
        <v>1.3</v>
      </c>
      <c r="U567" s="212" t="str">
        <f t="shared" si="148"/>
        <v/>
      </c>
      <c r="V567" s="212">
        <v>1</v>
      </c>
      <c r="W567" s="212" t="str">
        <f t="shared" si="149"/>
        <v/>
      </c>
      <c r="X567" s="214">
        <v>1</v>
      </c>
    </row>
    <row r="568" spans="1:24" ht="15">
      <c r="A568" s="211" t="s">
        <v>274</v>
      </c>
      <c r="B568" s="225" t="s">
        <v>275</v>
      </c>
      <c r="C568" s="216" t="s">
        <v>53</v>
      </c>
      <c r="D568" s="216" t="s">
        <v>99</v>
      </c>
      <c r="E568" s="216" t="s">
        <v>100</v>
      </c>
      <c r="F568" s="216" t="s">
        <v>109</v>
      </c>
      <c r="G568" s="216" t="s">
        <v>110</v>
      </c>
      <c r="H568" s="216" t="s">
        <v>217</v>
      </c>
      <c r="I568" s="216" t="s">
        <v>218</v>
      </c>
      <c r="J568" s="216" t="s">
        <v>105</v>
      </c>
      <c r="K568" s="216" t="s">
        <v>106</v>
      </c>
      <c r="L568" s="216" t="s">
        <v>107</v>
      </c>
      <c r="M568" s="217">
        <f t="shared" si="146"/>
        <v>6</v>
      </c>
      <c r="N568" s="442" cm="1">
        <f t="array" ref="N568">IF(TRIM(K568)="Mano de Obra",IF(Formulario!$L$23&lt;&gt;"",Formulario!$L$23,IFERROR(VLOOKUP(TRIM($M$4),Jornalesdeppto!A:C,3,0),"")),_xlfn.XLOOKUP(1,(Tabla_Costos_Insumos!$A$2:$A$3199=TRIM($M$4))*(Tabla_Costos_Insumos!$C$2:$C$3199=TRIM(K568)),Tabla_Costos_Insumos!$E$2:$E$3199,"",0))</f>
        <v>46666.666666666664</v>
      </c>
      <c r="O568" s="442">
        <f t="shared" si="141"/>
        <v>280000</v>
      </c>
      <c r="P568" s="216" t="str">
        <f t="shared" si="136"/>
        <v>Mango Tommy</v>
      </c>
      <c r="Q568" s="212" t="s">
        <v>108</v>
      </c>
      <c r="R568" s="212">
        <v>6</v>
      </c>
      <c r="S568" s="212" t="str">
        <f t="shared" si="147"/>
        <v/>
      </c>
      <c r="T568" s="212" cm="1">
        <f t="array" ref="T568">_xlfn.IFS($D$5&lt;=7, 1.1, $D$5&lt;=12,1.2, $D$5&lt;=25, 1.3, $D$5&gt;25,1.4)</f>
        <v>1.3</v>
      </c>
      <c r="U568" s="212" t="str">
        <f t="shared" si="148"/>
        <v/>
      </c>
      <c r="V568" s="212">
        <v>1</v>
      </c>
      <c r="W568" s="212" t="str">
        <f t="shared" si="149"/>
        <v/>
      </c>
      <c r="X568" s="214">
        <v>4</v>
      </c>
    </row>
    <row r="569" spans="1:24" ht="15">
      <c r="A569" s="211" t="s">
        <v>274</v>
      </c>
      <c r="B569" s="225" t="s">
        <v>275</v>
      </c>
      <c r="C569" s="216" t="s">
        <v>53</v>
      </c>
      <c r="D569" s="216" t="s">
        <v>99</v>
      </c>
      <c r="E569" s="216" t="s">
        <v>100</v>
      </c>
      <c r="F569" s="216" t="s">
        <v>113</v>
      </c>
      <c r="G569" s="216" t="s">
        <v>114</v>
      </c>
      <c r="H569" s="216" t="s">
        <v>115</v>
      </c>
      <c r="I569" s="216" t="s">
        <v>116</v>
      </c>
      <c r="J569" s="216" t="s">
        <v>105</v>
      </c>
      <c r="K569" s="216" t="s">
        <v>106</v>
      </c>
      <c r="L569" s="216" t="s">
        <v>107</v>
      </c>
      <c r="M569" s="217">
        <f t="shared" si="146"/>
        <v>3</v>
      </c>
      <c r="N569" s="442" cm="1">
        <f t="array" ref="N569">IF(TRIM(K569)="Mano de Obra",IF(Formulario!$L$23&lt;&gt;"",Formulario!$L$23,IFERROR(VLOOKUP(TRIM($M$4),Jornalesdeppto!A:C,3,0),"")),_xlfn.XLOOKUP(1,(Tabla_Costos_Insumos!$A$2:$A$3199=TRIM($M$4))*(Tabla_Costos_Insumos!$C$2:$C$3199=TRIM(K569)),Tabla_Costos_Insumos!$E$2:$E$3199,"",0))</f>
        <v>46666.666666666664</v>
      </c>
      <c r="O569" s="442">
        <f t="shared" si="141"/>
        <v>140000</v>
      </c>
      <c r="P569" s="216" t="str">
        <f t="shared" si="136"/>
        <v>Mango Tommy</v>
      </c>
      <c r="Q569" s="212" t="s">
        <v>108</v>
      </c>
      <c r="R569" s="212">
        <v>3</v>
      </c>
      <c r="S569" s="212" t="str">
        <f t="shared" si="147"/>
        <v/>
      </c>
      <c r="T569" s="212" cm="1">
        <f t="array" ref="T569">_xlfn.IFS($D$5&lt;=7, 1.1, $D$5&lt;=12,1.2, $D$5&lt;=25, 1.3, $D$5&gt;25,1.4)</f>
        <v>1.3</v>
      </c>
      <c r="U569" s="212" t="str">
        <f t="shared" si="148"/>
        <v/>
      </c>
      <c r="V569" s="212">
        <v>2</v>
      </c>
      <c r="W569" s="212" t="str">
        <f t="shared" si="149"/>
        <v/>
      </c>
      <c r="X569" s="214">
        <v>2</v>
      </c>
    </row>
    <row r="570" spans="1:24" ht="15">
      <c r="A570" s="211" t="s">
        <v>274</v>
      </c>
      <c r="B570" s="225" t="s">
        <v>275</v>
      </c>
      <c r="C570" s="216" t="s">
        <v>53</v>
      </c>
      <c r="D570" s="216" t="s">
        <v>99</v>
      </c>
      <c r="E570" s="216" t="s">
        <v>100</v>
      </c>
      <c r="F570" s="216" t="s">
        <v>117</v>
      </c>
      <c r="G570" s="216" t="s">
        <v>118</v>
      </c>
      <c r="H570" s="216" t="s">
        <v>119</v>
      </c>
      <c r="I570" s="216" t="s">
        <v>120</v>
      </c>
      <c r="J570" s="216" t="s">
        <v>105</v>
      </c>
      <c r="K570" s="216" t="s">
        <v>106</v>
      </c>
      <c r="L570" s="216" t="s">
        <v>107</v>
      </c>
      <c r="M570" s="217">
        <f t="shared" si="146"/>
        <v>24</v>
      </c>
      <c r="N570" s="442" cm="1">
        <f t="array" ref="N570">IF(TRIM(K570)="Mano de Obra",IF(Formulario!$L$23&lt;&gt;"",Formulario!$L$23,IFERROR(VLOOKUP(TRIM($M$4),Jornalesdeppto!A:C,3,0),"")),_xlfn.XLOOKUP(1,(Tabla_Costos_Insumos!$A$2:$A$3199=TRIM($M$4))*(Tabla_Costos_Insumos!$C$2:$C$3199=TRIM(K570)),Tabla_Costos_Insumos!$E$2:$E$3199,"",0))</f>
        <v>46666.666666666664</v>
      </c>
      <c r="O570" s="442">
        <f t="shared" si="141"/>
        <v>1120000</v>
      </c>
      <c r="P570" s="216" t="str">
        <f t="shared" si="136"/>
        <v>Mango Tommy</v>
      </c>
      <c r="Q570" s="212" t="s">
        <v>108</v>
      </c>
      <c r="R570" s="212">
        <v>7</v>
      </c>
      <c r="S570" s="212" t="str">
        <f t="shared" si="147"/>
        <v/>
      </c>
      <c r="T570" s="212" cm="1">
        <f t="array" ref="T570">_xlfn.IFS($D$5&lt;=7, 1.1, $D$5&lt;=12,1.2, $D$5&lt;=25, 1.3, $D$5&gt;25,1.4)</f>
        <v>1.3</v>
      </c>
      <c r="U570" s="212" t="str">
        <f t="shared" si="148"/>
        <v/>
      </c>
      <c r="V570" s="212">
        <v>9</v>
      </c>
      <c r="W570" s="212" t="str">
        <f t="shared" si="149"/>
        <v/>
      </c>
      <c r="X570" s="214">
        <v>18</v>
      </c>
    </row>
    <row r="571" spans="1:24" ht="15">
      <c r="A571" s="211" t="s">
        <v>274</v>
      </c>
      <c r="B571" s="225" t="s">
        <v>275</v>
      </c>
      <c r="C571" s="216" t="s">
        <v>53</v>
      </c>
      <c r="D571" s="216" t="s">
        <v>99</v>
      </c>
      <c r="E571" s="216" t="s">
        <v>100</v>
      </c>
      <c r="F571" s="216" t="s">
        <v>117</v>
      </c>
      <c r="G571" s="216" t="s">
        <v>118</v>
      </c>
      <c r="H571" s="216" t="s">
        <v>121</v>
      </c>
      <c r="I571" s="216" t="s">
        <v>122</v>
      </c>
      <c r="J571" s="216" t="s">
        <v>105</v>
      </c>
      <c r="K571" s="216" t="s">
        <v>106</v>
      </c>
      <c r="L571" s="216" t="s">
        <v>107</v>
      </c>
      <c r="M571" s="217">
        <f t="shared" si="146"/>
        <v>24</v>
      </c>
      <c r="N571" s="442" cm="1">
        <f t="array" ref="N571">IF(TRIM(K571)="Mano de Obra",IF(Formulario!$L$23&lt;&gt;"",Formulario!$L$23,IFERROR(VLOOKUP(TRIM($M$4),Jornalesdeppto!A:C,3,0),"")),_xlfn.XLOOKUP(1,(Tabla_Costos_Insumos!$A$2:$A$3199=TRIM($M$4))*(Tabla_Costos_Insumos!$C$2:$C$3199=TRIM(K571)),Tabla_Costos_Insumos!$E$2:$E$3199,"",0))</f>
        <v>46666.666666666664</v>
      </c>
      <c r="O571" s="442">
        <f t="shared" si="141"/>
        <v>1120000</v>
      </c>
      <c r="P571" s="216" t="str">
        <f t="shared" si="136"/>
        <v>Mango Tommy</v>
      </c>
      <c r="Q571" s="212" t="s">
        <v>108</v>
      </c>
      <c r="R571" s="212">
        <v>7</v>
      </c>
      <c r="S571" s="212" t="str">
        <f t="shared" si="147"/>
        <v/>
      </c>
      <c r="T571" s="212" cm="1">
        <f t="array" ref="T571">_xlfn.IFS($D$5&lt;=7, 1.1, $D$5&lt;=12,1.2, $D$5&lt;=25, 1.3, $D$5&gt;25,1.4)</f>
        <v>1.3</v>
      </c>
      <c r="U571" s="212" t="str">
        <f t="shared" si="148"/>
        <v/>
      </c>
      <c r="V571" s="212">
        <v>9</v>
      </c>
      <c r="W571" s="212" t="str">
        <f t="shared" si="149"/>
        <v/>
      </c>
      <c r="X571" s="214">
        <v>18</v>
      </c>
    </row>
    <row r="572" spans="1:24" ht="15">
      <c r="A572" s="211" t="s">
        <v>274</v>
      </c>
      <c r="B572" s="225" t="s">
        <v>275</v>
      </c>
      <c r="C572" s="216" t="s">
        <v>53</v>
      </c>
      <c r="D572" s="216" t="s">
        <v>99</v>
      </c>
      <c r="E572" s="216" t="s">
        <v>100</v>
      </c>
      <c r="F572" s="216" t="s">
        <v>123</v>
      </c>
      <c r="G572" s="216" t="s">
        <v>124</v>
      </c>
      <c r="H572" s="216" t="s">
        <v>125</v>
      </c>
      <c r="I572" s="216" t="s">
        <v>126</v>
      </c>
      <c r="J572" s="216" t="s">
        <v>105</v>
      </c>
      <c r="K572" s="216" t="s">
        <v>106</v>
      </c>
      <c r="L572" s="216" t="s">
        <v>107</v>
      </c>
      <c r="M572" s="217">
        <f t="shared" si="146"/>
        <v>10</v>
      </c>
      <c r="N572" s="442" cm="1">
        <f t="array" ref="N572">IF(TRIM(K572)="Mano de Obra",IF(Formulario!$L$23&lt;&gt;"",Formulario!$L$23,IFERROR(VLOOKUP(TRIM($M$4),Jornalesdeppto!A:C,3,0),"")),_xlfn.XLOOKUP(1,(Tabla_Costos_Insumos!$A$2:$A$3199=TRIM($M$4))*(Tabla_Costos_Insumos!$C$2:$C$3199=TRIM(K572)),Tabla_Costos_Insumos!$E$2:$E$3199,"",0))</f>
        <v>46666.666666666664</v>
      </c>
      <c r="O572" s="442">
        <f t="shared" si="141"/>
        <v>466666.66666666663</v>
      </c>
      <c r="P572" s="216" t="str">
        <f t="shared" si="136"/>
        <v>Mango Tommy</v>
      </c>
      <c r="Q572" s="212" t="s">
        <v>108</v>
      </c>
      <c r="R572" s="212">
        <v>0.09</v>
      </c>
      <c r="S572" s="212" t="str">
        <f t="shared" si="147"/>
        <v/>
      </c>
      <c r="T572" s="212" cm="1">
        <f t="array" ref="T572">_xlfn.IFS($D$5&lt;=7, 1.1, $D$5&lt;=12,1.2, $D$5&lt;=25, 1.3, $D$5&gt;25,1.4)</f>
        <v>1.3</v>
      </c>
      <c r="U572" s="212" t="str">
        <f t="shared" si="148"/>
        <v/>
      </c>
      <c r="V572" s="212">
        <v>2</v>
      </c>
      <c r="W572" s="212" t="str">
        <f t="shared" si="149"/>
        <v/>
      </c>
      <c r="X572" s="214">
        <v>7</v>
      </c>
    </row>
    <row r="573" spans="1:24" ht="15">
      <c r="A573" s="211" t="s">
        <v>274</v>
      </c>
      <c r="B573" s="225" t="s">
        <v>275</v>
      </c>
      <c r="C573" s="216" t="s">
        <v>53</v>
      </c>
      <c r="D573" s="216" t="s">
        <v>99</v>
      </c>
      <c r="E573" s="216" t="s">
        <v>100</v>
      </c>
      <c r="F573" s="216" t="s">
        <v>130</v>
      </c>
      <c r="G573" s="216" t="s">
        <v>131</v>
      </c>
      <c r="H573" s="216" t="s">
        <v>134</v>
      </c>
      <c r="I573" s="216" t="s">
        <v>135</v>
      </c>
      <c r="J573" s="216" t="s">
        <v>105</v>
      </c>
      <c r="K573" s="216" t="s">
        <v>106</v>
      </c>
      <c r="L573" s="216" t="s">
        <v>107</v>
      </c>
      <c r="M573" s="217">
        <f t="shared" si="146"/>
        <v>6</v>
      </c>
      <c r="N573" s="442" cm="1">
        <f t="array" ref="N573">IF(TRIM(K573)="Mano de Obra",IF(Formulario!$L$23&lt;&gt;"",Formulario!$L$23,IFERROR(VLOOKUP(TRIM($M$4),Jornalesdeppto!A:C,3,0),"")),_xlfn.XLOOKUP(1,(Tabla_Costos_Insumos!$A$2:$A$3199=TRIM($M$4))*(Tabla_Costos_Insumos!$C$2:$C$3199=TRIM(K573)),Tabla_Costos_Insumos!$E$2:$E$3199,"",0))</f>
        <v>46666.666666666664</v>
      </c>
      <c r="O573" s="442">
        <f t="shared" si="141"/>
        <v>280000</v>
      </c>
      <c r="P573" s="216" t="str">
        <f t="shared" si="136"/>
        <v>Mango Tommy</v>
      </c>
      <c r="Q573" s="212" t="s">
        <v>108</v>
      </c>
      <c r="R573" s="212">
        <v>1.5</v>
      </c>
      <c r="S573" s="212" t="str">
        <f t="shared" si="147"/>
        <v/>
      </c>
      <c r="T573" s="212" cm="1">
        <f t="array" ref="T573">_xlfn.IFS($D$5&lt;=7, 1.1, $D$5&lt;=12,1.2, $D$5&lt;=25, 1.3, $D$5&gt;25,1.4)</f>
        <v>1.3</v>
      </c>
      <c r="U573" s="212" t="str">
        <f t="shared" si="148"/>
        <v/>
      </c>
      <c r="V573" s="212">
        <v>4</v>
      </c>
      <c r="W573" s="212" t="str">
        <f t="shared" si="149"/>
        <v/>
      </c>
      <c r="X573" s="214">
        <v>4</v>
      </c>
    </row>
    <row r="574" spans="1:24" ht="15">
      <c r="A574" s="211" t="s">
        <v>274</v>
      </c>
      <c r="B574" s="225" t="s">
        <v>275</v>
      </c>
      <c r="C574" s="216" t="s">
        <v>53</v>
      </c>
      <c r="D574" s="216" t="s">
        <v>145</v>
      </c>
      <c r="E574" s="216" t="s">
        <v>146</v>
      </c>
      <c r="F574" s="216" t="s">
        <v>219</v>
      </c>
      <c r="G574" s="216" t="s">
        <v>220</v>
      </c>
      <c r="H574" s="216" t="s">
        <v>221</v>
      </c>
      <c r="I574" s="216" t="s">
        <v>222</v>
      </c>
      <c r="J574" s="216" t="s">
        <v>223</v>
      </c>
      <c r="K574" s="216" t="s">
        <v>285</v>
      </c>
      <c r="L574" s="216" t="s">
        <v>197</v>
      </c>
      <c r="M574" s="217">
        <f>IF($M$3="Mango Tommy",I3,0)</f>
        <v>0</v>
      </c>
      <c r="N574" s="442">
        <v>9000</v>
      </c>
      <c r="O574" s="442">
        <f t="shared" si="141"/>
        <v>0</v>
      </c>
      <c r="P574" s="216" t="str">
        <f t="shared" si="136"/>
        <v>Mango Tommy</v>
      </c>
      <c r="Q574" s="212" t="s">
        <v>142</v>
      </c>
      <c r="R574" s="212" t="s">
        <v>142</v>
      </c>
      <c r="S574" s="212"/>
      <c r="T574" s="212"/>
      <c r="U574" s="212"/>
      <c r="V574" s="212" t="s">
        <v>142</v>
      </c>
      <c r="W574" s="212" t="str">
        <f t="shared" si="149"/>
        <v/>
      </c>
      <c r="X574" s="214"/>
    </row>
    <row r="575" spans="1:24" ht="15">
      <c r="A575" s="211" t="s">
        <v>274</v>
      </c>
      <c r="B575" s="225" t="s">
        <v>275</v>
      </c>
      <c r="C575" s="216" t="s">
        <v>53</v>
      </c>
      <c r="D575" s="216" t="s">
        <v>145</v>
      </c>
      <c r="E575" s="216" t="s">
        <v>146</v>
      </c>
      <c r="F575" s="216" t="s">
        <v>147</v>
      </c>
      <c r="G575" s="216" t="s">
        <v>131</v>
      </c>
      <c r="H575" s="216" t="s">
        <v>148</v>
      </c>
      <c r="I575" s="216" t="s">
        <v>299</v>
      </c>
      <c r="J575" s="216" t="s">
        <v>149</v>
      </c>
      <c r="K575" s="216" t="s">
        <v>150</v>
      </c>
      <c r="L575" s="216" t="s">
        <v>151</v>
      </c>
      <c r="M575" s="217">
        <v>1</v>
      </c>
      <c r="N575" s="442" cm="1">
        <f t="array" ref="N575">IF(TRIM(K575)="Mano de Obra",IF(Formulario!$L$23&lt;&gt;"",Formulario!$L$23,IFERROR(VLOOKUP(TRIM($M$4),Jornalesdeppto!A:C,3,0),"")),_xlfn.XLOOKUP(1,(Tabla_Costos_Insumos!$A$2:$A$3199=TRIM($M$4))*(Tabla_Costos_Insumos!$C$2:$C$3199=TRIM(K575)),Tabla_Costos_Insumos!$E$2:$E$3199,"",0))</f>
        <v>198055.68333333</v>
      </c>
      <c r="O575" s="442">
        <f t="shared" si="141"/>
        <v>198055.68333333</v>
      </c>
      <c r="P575" s="216" t="str">
        <f t="shared" si="136"/>
        <v>Mango Tommy</v>
      </c>
      <c r="Q575" s="212" t="s">
        <v>142</v>
      </c>
      <c r="R575" s="212" t="s">
        <v>142</v>
      </c>
      <c r="S575" s="212"/>
      <c r="T575" s="212"/>
      <c r="U575" s="212"/>
      <c r="V575" s="212" t="s">
        <v>142</v>
      </c>
      <c r="W575" s="212" t="str">
        <f t="shared" si="149"/>
        <v/>
      </c>
      <c r="X575" s="214"/>
    </row>
    <row r="576" spans="1:24" ht="15">
      <c r="A576" s="211" t="s">
        <v>274</v>
      </c>
      <c r="B576" s="225" t="s">
        <v>275</v>
      </c>
      <c r="C576" s="216" t="s">
        <v>53</v>
      </c>
      <c r="D576" s="216" t="s">
        <v>145</v>
      </c>
      <c r="E576" s="216" t="s">
        <v>146</v>
      </c>
      <c r="F576" s="216" t="s">
        <v>147</v>
      </c>
      <c r="G576" s="216" t="s">
        <v>131</v>
      </c>
      <c r="H576" s="216" t="s">
        <v>152</v>
      </c>
      <c r="I576" s="216" t="s">
        <v>153</v>
      </c>
      <c r="J576" s="216" t="s">
        <v>149</v>
      </c>
      <c r="K576" s="216" t="s">
        <v>166</v>
      </c>
      <c r="L576" s="216" t="s">
        <v>151</v>
      </c>
      <c r="M576" s="217">
        <v>2</v>
      </c>
      <c r="N576" s="442" cm="1">
        <f t="array" ref="N576">IF(TRIM(K576)="Mano de Obra",IF(Formulario!$L$23&lt;&gt;"",Formulario!$L$23,IFERROR(VLOOKUP(TRIM($M$4),Jornalesdeppto!A:C,3,0),"")),_xlfn.XLOOKUP(1,(Tabla_Costos_Insumos!$A$2:$A$3199=TRIM($M$4))*(Tabla_Costos_Insumos!$C$2:$C$3199=TRIM(K576)),Tabla_Costos_Insumos!$E$2:$E$3199,"",0))</f>
        <v>110000</v>
      </c>
      <c r="O576" s="442">
        <f t="shared" si="141"/>
        <v>220000</v>
      </c>
      <c r="P576" s="216" t="str">
        <f t="shared" ref="P576:P636" si="150">CONCATENATE(A576," ",B576)</f>
        <v>Mango Tommy</v>
      </c>
      <c r="Q576" s="212" t="s">
        <v>142</v>
      </c>
      <c r="R576" s="212" t="s">
        <v>142</v>
      </c>
      <c r="S576" s="212"/>
      <c r="T576" s="212"/>
      <c r="U576" s="212"/>
      <c r="V576" s="212" t="s">
        <v>142</v>
      </c>
      <c r="W576" s="212" t="str">
        <f t="shared" si="149"/>
        <v/>
      </c>
      <c r="X576" s="214"/>
    </row>
    <row r="577" spans="1:24" ht="15">
      <c r="A577" s="211" t="s">
        <v>274</v>
      </c>
      <c r="B577" s="225" t="s">
        <v>275</v>
      </c>
      <c r="C577" s="216" t="s">
        <v>53</v>
      </c>
      <c r="D577" s="216" t="s">
        <v>145</v>
      </c>
      <c r="E577" s="216" t="s">
        <v>146</v>
      </c>
      <c r="F577" s="216" t="s">
        <v>147</v>
      </c>
      <c r="G577" s="216" t="s">
        <v>131</v>
      </c>
      <c r="H577" s="216" t="s">
        <v>154</v>
      </c>
      <c r="I577" s="216" t="s">
        <v>155</v>
      </c>
      <c r="J577" s="216" t="s">
        <v>149</v>
      </c>
      <c r="K577" s="216" t="s">
        <v>156</v>
      </c>
      <c r="L577" s="216" t="s">
        <v>151</v>
      </c>
      <c r="M577" s="217">
        <v>2</v>
      </c>
      <c r="N577" s="442" cm="1">
        <f t="array" ref="N577">IF(TRIM(K577)="Mano de Obra",IF(Formulario!$L$23&lt;&gt;"",Formulario!$L$23,IFERROR(VLOOKUP(TRIM($M$4),Jornalesdeppto!A:C,3,0),"")),_xlfn.XLOOKUP(1,(Tabla_Costos_Insumos!$A$2:$A$3199=TRIM($M$4))*(Tabla_Costos_Insumos!$C$2:$C$3199=TRIM(K577)),Tabla_Costos_Insumos!$E$2:$E$3199,"",0))</f>
        <v>17212.5</v>
      </c>
      <c r="O577" s="442">
        <f t="shared" si="141"/>
        <v>34425</v>
      </c>
      <c r="P577" s="216" t="str">
        <f t="shared" si="150"/>
        <v>Mango Tommy</v>
      </c>
      <c r="Q577" s="212" t="s">
        <v>142</v>
      </c>
      <c r="R577" s="212" t="s">
        <v>142</v>
      </c>
      <c r="S577" s="212"/>
      <c r="T577" s="212"/>
      <c r="U577" s="212"/>
      <c r="V577" s="212" t="s">
        <v>142</v>
      </c>
      <c r="W577" s="212" t="str">
        <f t="shared" si="149"/>
        <v/>
      </c>
      <c r="X577" s="214"/>
    </row>
    <row r="578" spans="1:24" ht="15">
      <c r="A578" s="211" t="s">
        <v>274</v>
      </c>
      <c r="B578" s="225" t="s">
        <v>275</v>
      </c>
      <c r="C578" s="216" t="s">
        <v>53</v>
      </c>
      <c r="D578" s="216" t="s">
        <v>145</v>
      </c>
      <c r="E578" s="216" t="s">
        <v>146</v>
      </c>
      <c r="F578" s="216" t="s">
        <v>147</v>
      </c>
      <c r="G578" s="216" t="s">
        <v>131</v>
      </c>
      <c r="H578" s="216" t="s">
        <v>157</v>
      </c>
      <c r="I578" s="216" t="s">
        <v>158</v>
      </c>
      <c r="J578" s="216" t="s">
        <v>149</v>
      </c>
      <c r="K578" s="216" t="s">
        <v>237</v>
      </c>
      <c r="L578" s="216" t="s">
        <v>172</v>
      </c>
      <c r="M578" s="217">
        <v>9</v>
      </c>
      <c r="N578" s="442" cm="1">
        <f t="array" ref="N578">IF(TRIM(K578)="Mano de Obra",IF(Formulario!$L$23&lt;&gt;"",Formulario!$L$23,IFERROR(VLOOKUP(TRIM($M$4),Jornalesdeppto!A:C,3,0),"")),_xlfn.XLOOKUP(1,(Tabla_Costos_Insumos!$A$2:$A$3199=TRIM($M$4))*(Tabla_Costos_Insumos!$C$2:$C$3199=TRIM(K578)),Tabla_Costos_Insumos!$E$2:$E$3199,"",0))</f>
        <v>26190.48</v>
      </c>
      <c r="O578" s="442">
        <f t="shared" si="141"/>
        <v>235714.32</v>
      </c>
      <c r="P578" s="216" t="str">
        <f t="shared" si="150"/>
        <v>Mango Tommy</v>
      </c>
      <c r="Q578" s="212" t="s">
        <v>142</v>
      </c>
      <c r="R578" s="212" t="s">
        <v>142</v>
      </c>
      <c r="S578" s="212"/>
      <c r="T578" s="212"/>
      <c r="U578" s="212"/>
      <c r="V578" s="212" t="s">
        <v>142</v>
      </c>
      <c r="W578" s="212" t="str">
        <f t="shared" si="149"/>
        <v/>
      </c>
      <c r="X578" s="214"/>
    </row>
    <row r="579" spans="1:24" ht="15">
      <c r="A579" s="211" t="s">
        <v>274</v>
      </c>
      <c r="B579" s="225" t="s">
        <v>275</v>
      </c>
      <c r="C579" s="216" t="s">
        <v>53</v>
      </c>
      <c r="D579" s="216" t="s">
        <v>145</v>
      </c>
      <c r="E579" s="216" t="s">
        <v>146</v>
      </c>
      <c r="F579" s="216" t="s">
        <v>147</v>
      </c>
      <c r="G579" s="216" t="s">
        <v>131</v>
      </c>
      <c r="H579" s="216" t="s">
        <v>161</v>
      </c>
      <c r="I579" s="216" t="s">
        <v>162</v>
      </c>
      <c r="J579" s="216" t="s">
        <v>149</v>
      </c>
      <c r="K579" s="216" t="s">
        <v>163</v>
      </c>
      <c r="L579" s="216" t="s">
        <v>164</v>
      </c>
      <c r="M579" s="217">
        <v>2</v>
      </c>
      <c r="N579" s="442" cm="1">
        <f t="array" ref="N579">IF(TRIM(K579)="Mano de Obra",IF(Formulario!$L$23&lt;&gt;"",Formulario!$L$23,IFERROR(VLOOKUP(TRIM($M$4),Jornalesdeppto!A:C,3,0),"")),_xlfn.XLOOKUP(1,(Tabla_Costos_Insumos!$A$2:$A$3199=TRIM($M$4))*(Tabla_Costos_Insumos!$C$2:$C$3199=TRIM(K579)),Tabla_Costos_Insumos!$E$2:$E$3199,"",0))</f>
        <v>128084.44444445</v>
      </c>
      <c r="O579" s="442">
        <f t="shared" si="141"/>
        <v>256168.88888889999</v>
      </c>
      <c r="P579" s="216" t="str">
        <f t="shared" si="150"/>
        <v>Mango Tommy</v>
      </c>
      <c r="Q579" s="212" t="s">
        <v>142</v>
      </c>
      <c r="R579" s="212" t="s">
        <v>142</v>
      </c>
      <c r="S579" s="212"/>
      <c r="T579" s="212"/>
      <c r="U579" s="212"/>
      <c r="V579" s="212" t="s">
        <v>142</v>
      </c>
      <c r="W579" s="212" t="str">
        <f t="shared" si="149"/>
        <v/>
      </c>
      <c r="X579" s="214"/>
    </row>
    <row r="580" spans="1:24" ht="15">
      <c r="A580" s="211" t="s">
        <v>274</v>
      </c>
      <c r="B580" s="225" t="s">
        <v>275</v>
      </c>
      <c r="C580" s="216" t="s">
        <v>53</v>
      </c>
      <c r="D580" s="216" t="s">
        <v>145</v>
      </c>
      <c r="E580" s="216" t="s">
        <v>146</v>
      </c>
      <c r="F580" s="216" t="s">
        <v>147</v>
      </c>
      <c r="G580" s="216" t="s">
        <v>131</v>
      </c>
      <c r="H580" s="216" t="s">
        <v>165</v>
      </c>
      <c r="I580" s="216" t="s">
        <v>153</v>
      </c>
      <c r="J580" s="216" t="s">
        <v>149</v>
      </c>
      <c r="K580" s="216" t="s">
        <v>4110</v>
      </c>
      <c r="L580" s="216" t="s">
        <v>151</v>
      </c>
      <c r="M580" s="217">
        <v>1</v>
      </c>
      <c r="N580" s="442" cm="1">
        <f t="array" ref="N580">IF(TRIM(K580)="Mano de Obra",IF(Formulario!$L$23&lt;&gt;"",Formulario!$L$23,IFERROR(VLOOKUP(TRIM($M$4),Jornalesdeppto!A:C,3,0),"")),_xlfn.XLOOKUP(1,(Tabla_Costos_Insumos!$A$2:$A$3199=TRIM($M$4))*(Tabla_Costos_Insumos!$C$2:$C$3199=TRIM(K580)),Tabla_Costos_Insumos!$E$2:$E$3199,"",0))</f>
        <v>125849.2424242409</v>
      </c>
      <c r="O580" s="442">
        <f t="shared" si="141"/>
        <v>125849.2424242409</v>
      </c>
      <c r="P580" s="216" t="str">
        <f t="shared" si="150"/>
        <v>Mango Tommy</v>
      </c>
      <c r="Q580" s="212" t="s">
        <v>142</v>
      </c>
      <c r="R580" s="212" t="s">
        <v>142</v>
      </c>
      <c r="S580" s="212"/>
      <c r="T580" s="212"/>
      <c r="U580" s="212"/>
      <c r="V580" s="212" t="s">
        <v>142</v>
      </c>
      <c r="W580" s="212" t="str">
        <f t="shared" si="149"/>
        <v/>
      </c>
      <c r="X580" s="214"/>
    </row>
    <row r="581" spans="1:24" ht="15">
      <c r="A581" s="211" t="s">
        <v>274</v>
      </c>
      <c r="B581" s="225" t="s">
        <v>275</v>
      </c>
      <c r="C581" s="216" t="s">
        <v>53</v>
      </c>
      <c r="D581" s="216" t="s">
        <v>145</v>
      </c>
      <c r="E581" s="216" t="s">
        <v>146</v>
      </c>
      <c r="F581" s="216" t="s">
        <v>167</v>
      </c>
      <c r="G581" s="216" t="s">
        <v>118</v>
      </c>
      <c r="H581" s="216" t="s">
        <v>168</v>
      </c>
      <c r="I581" s="216" t="s">
        <v>169</v>
      </c>
      <c r="J581" s="216" t="s">
        <v>170</v>
      </c>
      <c r="K581" s="216" t="s">
        <v>276</v>
      </c>
      <c r="L581" s="216" t="s">
        <v>172</v>
      </c>
      <c r="M581" s="217">
        <v>3</v>
      </c>
      <c r="N581" s="442" cm="1">
        <f t="array" ref="N581">IF(TRIM(K581)="Mano de Obra",IF(Formulario!$L$23&lt;&gt;"",Formulario!$L$23,IFERROR(VLOOKUP(TRIM($M$4),Jornalesdeppto!A:C,3,0),"")),_xlfn.XLOOKUP(1,(Tabla_Costos_Insumos!$A$2:$A$3199=TRIM($M$4))*(Tabla_Costos_Insumos!$C$2:$C$3199=TRIM(K581)),Tabla_Costos_Insumos!$E$2:$E$3199,"",0))</f>
        <v>83726.98</v>
      </c>
      <c r="O581" s="442">
        <f t="shared" si="141"/>
        <v>251180.94</v>
      </c>
      <c r="P581" s="216" t="str">
        <f t="shared" si="150"/>
        <v>Mango Tommy</v>
      </c>
      <c r="Q581" s="212" t="s">
        <v>142</v>
      </c>
      <c r="R581" s="212" t="s">
        <v>142</v>
      </c>
      <c r="S581" s="212"/>
      <c r="T581" s="212"/>
      <c r="U581" s="212"/>
      <c r="V581" s="212" t="s">
        <v>142</v>
      </c>
      <c r="W581" s="212" t="str">
        <f t="shared" si="149"/>
        <v/>
      </c>
      <c r="X581" s="214"/>
    </row>
    <row r="582" spans="1:24" ht="15">
      <c r="A582" s="211" t="s">
        <v>274</v>
      </c>
      <c r="B582" s="225" t="s">
        <v>275</v>
      </c>
      <c r="C582" s="216" t="s">
        <v>53</v>
      </c>
      <c r="D582" s="216" t="s">
        <v>145</v>
      </c>
      <c r="E582" s="216" t="s">
        <v>146</v>
      </c>
      <c r="F582" s="216" t="s">
        <v>167</v>
      </c>
      <c r="G582" s="216" t="s">
        <v>118</v>
      </c>
      <c r="H582" s="216" t="s">
        <v>168</v>
      </c>
      <c r="I582" s="216" t="s">
        <v>169</v>
      </c>
      <c r="J582" s="216" t="s">
        <v>170</v>
      </c>
      <c r="K582" s="216" t="s">
        <v>251</v>
      </c>
      <c r="L582" s="216" t="s">
        <v>226</v>
      </c>
      <c r="M582" s="217">
        <v>5</v>
      </c>
      <c r="N582" s="442" cm="1">
        <f t="array" ref="N582">IF(TRIM(K582)="Mano de Obra",IF(Formulario!$L$23&lt;&gt;"",Formulario!$L$23,IFERROR(VLOOKUP(TRIM($M$4),Jornalesdeppto!A:C,3,0),"")),_xlfn.XLOOKUP(1,(Tabla_Costos_Insumos!$A$2:$A$3199=TRIM($M$4))*(Tabla_Costos_Insumos!$C$2:$C$3199=TRIM(K582)),Tabla_Costos_Insumos!$E$2:$E$3199,"",0))</f>
        <v>61445.54</v>
      </c>
      <c r="O582" s="442">
        <f t="shared" si="141"/>
        <v>307227.7</v>
      </c>
      <c r="P582" s="216" t="str">
        <f t="shared" si="150"/>
        <v>Mango Tommy</v>
      </c>
      <c r="Q582" s="212" t="s">
        <v>142</v>
      </c>
      <c r="R582" s="212" t="s">
        <v>142</v>
      </c>
      <c r="S582" s="212"/>
      <c r="T582" s="212"/>
      <c r="U582" s="212"/>
      <c r="V582" s="212" t="s">
        <v>142</v>
      </c>
      <c r="W582" s="212" t="str">
        <f t="shared" si="149"/>
        <v/>
      </c>
      <c r="X582" s="214"/>
    </row>
    <row r="583" spans="1:24" ht="15">
      <c r="A583" s="211" t="s">
        <v>274</v>
      </c>
      <c r="B583" s="225" t="s">
        <v>275</v>
      </c>
      <c r="C583" s="216" t="s">
        <v>53</v>
      </c>
      <c r="D583" s="216" t="s">
        <v>145</v>
      </c>
      <c r="E583" s="216" t="s">
        <v>146</v>
      </c>
      <c r="F583" s="216" t="s">
        <v>167</v>
      </c>
      <c r="G583" s="216" t="s">
        <v>118</v>
      </c>
      <c r="H583" s="216" t="s">
        <v>174</v>
      </c>
      <c r="I583" s="216" t="s">
        <v>175</v>
      </c>
      <c r="J583" s="216" t="s">
        <v>176</v>
      </c>
      <c r="K583" s="216" t="s">
        <v>231</v>
      </c>
      <c r="L583" s="216" t="s">
        <v>172</v>
      </c>
      <c r="M583" s="217">
        <v>12</v>
      </c>
      <c r="N583" s="442" cm="1">
        <f t="array" ref="N583">IF(TRIM(K583)="Mano de Obra",IF(Formulario!$L$23&lt;&gt;"",Formulario!$L$23,IFERROR(VLOOKUP(TRIM($M$4),Jornalesdeppto!A:C,3,0),"")),_xlfn.XLOOKUP(1,(Tabla_Costos_Insumos!$A$2:$A$3199=TRIM($M$4))*(Tabla_Costos_Insumos!$C$2:$C$3199=TRIM(K583)),Tabla_Costos_Insumos!$E$2:$E$3199,"",0))</f>
        <v>23177.15</v>
      </c>
      <c r="O583" s="442">
        <f t="shared" si="141"/>
        <v>278125.80000000005</v>
      </c>
      <c r="P583" s="216" t="str">
        <f t="shared" si="150"/>
        <v>Mango Tommy</v>
      </c>
      <c r="Q583" s="212" t="s">
        <v>142</v>
      </c>
      <c r="R583" s="212" t="s">
        <v>142</v>
      </c>
      <c r="S583" s="212"/>
      <c r="T583" s="212"/>
      <c r="U583" s="212"/>
      <c r="V583" s="212" t="s">
        <v>142</v>
      </c>
      <c r="W583" s="212" t="str">
        <f t="shared" si="149"/>
        <v/>
      </c>
      <c r="X583" s="214"/>
    </row>
    <row r="584" spans="1:24" ht="15">
      <c r="A584" s="211" t="s">
        <v>274</v>
      </c>
      <c r="B584" s="225" t="s">
        <v>275</v>
      </c>
      <c r="C584" s="216" t="s">
        <v>53</v>
      </c>
      <c r="D584" s="216" t="s">
        <v>145</v>
      </c>
      <c r="E584" s="216" t="s">
        <v>146</v>
      </c>
      <c r="F584" s="216" t="s">
        <v>167</v>
      </c>
      <c r="G584" s="216" t="s">
        <v>118</v>
      </c>
      <c r="H584" s="216" t="s">
        <v>178</v>
      </c>
      <c r="I584" s="216" t="s">
        <v>179</v>
      </c>
      <c r="J584" s="216" t="s">
        <v>180</v>
      </c>
      <c r="K584" s="216" t="s">
        <v>277</v>
      </c>
      <c r="L584" s="216" t="s">
        <v>172</v>
      </c>
      <c r="M584" s="217">
        <v>4</v>
      </c>
      <c r="N584" s="442" cm="1">
        <f t="array" ref="N584">IF(TRIM(K584)="Mano de Obra",IF(Formulario!$L$23&lt;&gt;"",Formulario!$L$23,IFERROR(VLOOKUP(TRIM($M$4),Jornalesdeppto!A:C,3,0),"")),_xlfn.XLOOKUP(1,(Tabla_Costos_Insumos!$A$2:$A$3199=TRIM($M$4))*(Tabla_Costos_Insumos!$C$2:$C$3199=TRIM(K584)),Tabla_Costos_Insumos!$E$2:$E$3199,"",0))</f>
        <v>90689.07</v>
      </c>
      <c r="O584" s="442">
        <f t="shared" si="141"/>
        <v>362756.28</v>
      </c>
      <c r="P584" s="216" t="str">
        <f t="shared" si="150"/>
        <v>Mango Tommy</v>
      </c>
      <c r="Q584" s="212" t="s">
        <v>142</v>
      </c>
      <c r="R584" s="212" t="s">
        <v>142</v>
      </c>
      <c r="S584" s="212"/>
      <c r="T584" s="212"/>
      <c r="U584" s="212"/>
      <c r="V584" s="212" t="s">
        <v>142</v>
      </c>
      <c r="W584" s="212" t="str">
        <f t="shared" si="149"/>
        <v/>
      </c>
      <c r="X584" s="214"/>
    </row>
    <row r="585" spans="1:24" ht="15">
      <c r="A585" s="211" t="s">
        <v>274</v>
      </c>
      <c r="B585" s="225" t="s">
        <v>275</v>
      </c>
      <c r="C585" s="216" t="s">
        <v>53</v>
      </c>
      <c r="D585" s="216" t="s">
        <v>145</v>
      </c>
      <c r="E585" s="216" t="s">
        <v>146</v>
      </c>
      <c r="F585" s="216" t="s">
        <v>167</v>
      </c>
      <c r="G585" s="216" t="s">
        <v>118</v>
      </c>
      <c r="H585" s="216" t="s">
        <v>178</v>
      </c>
      <c r="I585" s="216" t="s">
        <v>179</v>
      </c>
      <c r="J585" s="216" t="s">
        <v>180</v>
      </c>
      <c r="K585" s="216" t="s">
        <v>181</v>
      </c>
      <c r="L585" s="216" t="s">
        <v>172</v>
      </c>
      <c r="M585" s="217">
        <v>3</v>
      </c>
      <c r="N585" s="442" cm="1">
        <f t="array" ref="N585">IF(TRIM(K585)="Mano de Obra",IF(Formulario!$L$23&lt;&gt;"",Formulario!$L$23,IFERROR(VLOOKUP(TRIM($M$4),Jornalesdeppto!A:C,3,0),"")),_xlfn.XLOOKUP(1,(Tabla_Costos_Insumos!$A$2:$A$3199=TRIM($M$4))*(Tabla_Costos_Insumos!$C$2:$C$3199=TRIM(K585)),Tabla_Costos_Insumos!$E$2:$E$3199,"",0))</f>
        <v>34056.25</v>
      </c>
      <c r="O585" s="442">
        <f t="shared" si="141"/>
        <v>102168.75</v>
      </c>
      <c r="P585" s="216" t="str">
        <f t="shared" si="150"/>
        <v>Mango Tommy</v>
      </c>
      <c r="Q585" s="212" t="s">
        <v>142</v>
      </c>
      <c r="R585" s="212" t="s">
        <v>142</v>
      </c>
      <c r="S585" s="212"/>
      <c r="T585" s="212"/>
      <c r="U585" s="212"/>
      <c r="V585" s="212" t="s">
        <v>142</v>
      </c>
      <c r="W585" s="212" t="str">
        <f t="shared" si="149"/>
        <v/>
      </c>
      <c r="X585" s="214"/>
    </row>
    <row r="586" spans="1:24" ht="15">
      <c r="A586" s="211" t="s">
        <v>274</v>
      </c>
      <c r="B586" s="225" t="s">
        <v>275</v>
      </c>
      <c r="C586" s="216" t="s">
        <v>53</v>
      </c>
      <c r="D586" s="216" t="s">
        <v>145</v>
      </c>
      <c r="E586" s="216" t="s">
        <v>146</v>
      </c>
      <c r="F586" s="216" t="s">
        <v>183</v>
      </c>
      <c r="G586" s="216" t="s">
        <v>184</v>
      </c>
      <c r="H586" s="216" t="s">
        <v>185</v>
      </c>
      <c r="I586" s="216" t="s">
        <v>186</v>
      </c>
      <c r="J586" s="216" t="s">
        <v>105</v>
      </c>
      <c r="K586" s="216" t="s">
        <v>187</v>
      </c>
      <c r="L586" s="216" t="s">
        <v>188</v>
      </c>
      <c r="M586" s="217">
        <v>0.1</v>
      </c>
      <c r="N586" s="442" cm="1">
        <f t="array" ref="N586">IF(TRIM(K586)="Mano de Obra",IF(Formulario!$L$23&lt;&gt;"",Formulario!$L$23,IFERROR(VLOOKUP(TRIM($M$4),Jornalesdeppto!A:C,3,0),"")),_xlfn.XLOOKUP(1,(Tabla_Costos_Insumos!$A$2:$A$3199=TRIM($M$4))*(Tabla_Costos_Insumos!$C$2:$C$3199=TRIM(K586)),Tabla_Costos_Insumos!$E$2:$E$3199,"",0))</f>
        <v>175000</v>
      </c>
      <c r="O586" s="442">
        <f t="shared" si="141"/>
        <v>17500</v>
      </c>
      <c r="P586" s="216" t="str">
        <f t="shared" si="150"/>
        <v>Mango Tommy</v>
      </c>
      <c r="Q586" s="212" t="s">
        <v>142</v>
      </c>
      <c r="R586" s="212" t="s">
        <v>142</v>
      </c>
      <c r="S586" s="212"/>
      <c r="T586" s="212"/>
      <c r="U586" s="212"/>
      <c r="V586" s="212" t="s">
        <v>142</v>
      </c>
      <c r="W586" s="212" t="str">
        <f t="shared" si="149"/>
        <v/>
      </c>
      <c r="X586" s="214"/>
    </row>
    <row r="587" spans="1:24" ht="15">
      <c r="A587" s="211" t="s">
        <v>274</v>
      </c>
      <c r="B587" s="225" t="s">
        <v>275</v>
      </c>
      <c r="C587" s="216" t="s">
        <v>53</v>
      </c>
      <c r="D587" s="216" t="s">
        <v>189</v>
      </c>
      <c r="E587" s="216" t="s">
        <v>190</v>
      </c>
      <c r="F587" s="216" t="s">
        <v>191</v>
      </c>
      <c r="G587" s="216" t="s">
        <v>192</v>
      </c>
      <c r="H587" s="216" t="s">
        <v>193</v>
      </c>
      <c r="I587" s="216" t="s">
        <v>194</v>
      </c>
      <c r="J587" s="216" t="s">
        <v>195</v>
      </c>
      <c r="K587" s="216" t="s">
        <v>196</v>
      </c>
      <c r="L587" s="216" t="s">
        <v>197</v>
      </c>
      <c r="M587" s="217">
        <v>1</v>
      </c>
      <c r="N587" s="442">
        <f>IFERROR(SUM(O569:$O$586)*0.08,0)</f>
        <v>441267.14170505106</v>
      </c>
      <c r="O587" s="442">
        <f t="shared" si="141"/>
        <v>441267.14170505106</v>
      </c>
      <c r="P587" s="216" t="str">
        <f t="shared" si="150"/>
        <v>Mango Tommy</v>
      </c>
      <c r="Q587" s="212" t="s">
        <v>142</v>
      </c>
      <c r="R587" s="212" t="s">
        <v>142</v>
      </c>
      <c r="S587" s="212"/>
      <c r="T587" s="212"/>
      <c r="U587" s="212"/>
      <c r="V587" s="212" t="s">
        <v>142</v>
      </c>
      <c r="W587" s="212" t="str">
        <f t="shared" si="149"/>
        <v/>
      </c>
      <c r="X587" s="214"/>
    </row>
    <row r="588" spans="1:24" ht="15">
      <c r="A588" s="211" t="s">
        <v>274</v>
      </c>
      <c r="B588" s="225" t="s">
        <v>275</v>
      </c>
      <c r="C588" s="216" t="s">
        <v>53</v>
      </c>
      <c r="D588" s="216" t="s">
        <v>189</v>
      </c>
      <c r="E588" s="216" t="s">
        <v>190</v>
      </c>
      <c r="F588" s="216" t="s">
        <v>198</v>
      </c>
      <c r="G588" s="216" t="s">
        <v>199</v>
      </c>
      <c r="H588" s="216" t="s">
        <v>200</v>
      </c>
      <c r="I588" s="216" t="s">
        <v>201</v>
      </c>
      <c r="J588" s="216" t="s">
        <v>105</v>
      </c>
      <c r="K588" s="216" t="s">
        <v>202</v>
      </c>
      <c r="L588" s="216" t="s">
        <v>203</v>
      </c>
      <c r="M588" s="217">
        <v>1</v>
      </c>
      <c r="N588" s="442" cm="1">
        <f t="array" ref="N588">IF(TRIM(K588)="Mano de Obra",IF(Formulario!$L$23&lt;&gt;"",Formulario!$L$23,IFERROR(VLOOKUP(TRIM($M$4),Jornalesdeppto!A:C,3,0),"")),_xlfn.XLOOKUP(1,(Tabla_Costos_Insumos!$A$2:$A$3199=TRIM($M$4))*(Tabla_Costos_Insumos!$C$2:$C$3199=TRIM(K588)),Tabla_Costos_Insumos!$E$2:$E$3199,"",0))</f>
        <v>120000</v>
      </c>
      <c r="O588" s="442">
        <f t="shared" si="141"/>
        <v>120000</v>
      </c>
      <c r="P588" s="216" t="str">
        <f t="shared" si="150"/>
        <v>Mango Tommy</v>
      </c>
      <c r="Q588" s="212" t="s">
        <v>142</v>
      </c>
      <c r="R588" s="212" t="s">
        <v>142</v>
      </c>
      <c r="S588" s="212"/>
      <c r="T588" s="212"/>
      <c r="U588" s="212"/>
      <c r="V588" s="212" t="s">
        <v>142</v>
      </c>
      <c r="W588" s="212" t="str">
        <f t="shared" si="149"/>
        <v/>
      </c>
      <c r="X588" s="214"/>
    </row>
    <row r="589" spans="1:24" ht="15">
      <c r="A589" s="211" t="s">
        <v>274</v>
      </c>
      <c r="B589" s="225" t="s">
        <v>275</v>
      </c>
      <c r="C589" s="216" t="s">
        <v>53</v>
      </c>
      <c r="D589" s="216" t="s">
        <v>189</v>
      </c>
      <c r="E589" s="216" t="s">
        <v>190</v>
      </c>
      <c r="F589" s="216" t="s">
        <v>204</v>
      </c>
      <c r="G589" s="216" t="s">
        <v>205</v>
      </c>
      <c r="H589" s="216" t="s">
        <v>206</v>
      </c>
      <c r="I589" s="216" t="s">
        <v>207</v>
      </c>
      <c r="J589" s="216" t="s">
        <v>4127</v>
      </c>
      <c r="K589" s="216" t="s">
        <v>228</v>
      </c>
      <c r="L589" s="216" t="s">
        <v>197</v>
      </c>
      <c r="M589" s="217">
        <v>1</v>
      </c>
      <c r="N589" s="442" t="str">
        <f>IF($M$3="Mango Tommy",($J$4),"")</f>
        <v/>
      </c>
      <c r="O589" s="442" t="str">
        <f t="shared" si="141"/>
        <v/>
      </c>
      <c r="P589" s="216" t="str">
        <f t="shared" si="150"/>
        <v>Mango Tommy</v>
      </c>
      <c r="Q589" s="212" t="s">
        <v>142</v>
      </c>
      <c r="R589" s="212" t="s">
        <v>142</v>
      </c>
      <c r="S589" s="212"/>
      <c r="T589" s="212"/>
      <c r="U589" s="212"/>
      <c r="V589" s="212" t="s">
        <v>142</v>
      </c>
      <c r="W589" s="212" t="str">
        <f t="shared" si="149"/>
        <v/>
      </c>
      <c r="X589" s="214"/>
    </row>
    <row r="590" spans="1:24" ht="15">
      <c r="A590" s="211" t="s">
        <v>274</v>
      </c>
      <c r="B590" s="225" t="s">
        <v>275</v>
      </c>
      <c r="C590" s="220" t="s">
        <v>68</v>
      </c>
      <c r="D590" s="220" t="s">
        <v>99</v>
      </c>
      <c r="E590" s="220" t="s">
        <v>100</v>
      </c>
      <c r="F590" s="220" t="s">
        <v>101</v>
      </c>
      <c r="G590" s="220" t="s">
        <v>102</v>
      </c>
      <c r="H590" s="220" t="s">
        <v>103</v>
      </c>
      <c r="I590" s="220" t="s">
        <v>104</v>
      </c>
      <c r="J590" s="220" t="s">
        <v>105</v>
      </c>
      <c r="K590" s="220" t="s">
        <v>106</v>
      </c>
      <c r="L590" s="220" t="s">
        <v>107</v>
      </c>
      <c r="M590" s="221">
        <f t="shared" ref="M590:M596" si="151">IF(W590&lt;&gt;"", W590, ROUNDUP(X590*T590, 0))</f>
        <v>6</v>
      </c>
      <c r="N590" s="443" cm="1">
        <f t="array" ref="N590">IF(TRIM(K590)="Mano de Obra",IF(Formulario!$L$23&lt;&gt;"",Formulario!$L$23,IFERROR(VLOOKUP(TRIM($M$4),Jornalesdeppto!A:C,3,0),"")),_xlfn.XLOOKUP(1,(Tabla_Costos_Insumos!$A$2:$A$3199=TRIM($M$4))*(Tabla_Costos_Insumos!$C$2:$C$3199=TRIM(K590)),Tabla_Costos_Insumos!$E$2:$E$3199,"",0))</f>
        <v>46666.666666666664</v>
      </c>
      <c r="O590" s="443">
        <f t="shared" si="141"/>
        <v>280000</v>
      </c>
      <c r="P590" s="220" t="str">
        <f t="shared" si="150"/>
        <v>Mango Tommy</v>
      </c>
      <c r="Q590" s="212" t="s">
        <v>108</v>
      </c>
      <c r="R590" s="212">
        <v>0.69</v>
      </c>
      <c r="S590" s="212" t="str">
        <f t="shared" ref="S590:S594" si="152">IF($M$3="Mango Tommy",($I$3*R590) / 480,"")</f>
        <v/>
      </c>
      <c r="T590" s="212" cm="1">
        <f t="array" ref="T590">_xlfn.IFS($D$5&lt;=7, 1.1, $D$5&lt;=12,1.2, $D$5&lt;=25, 1.3, $D$5&gt;25,1.4)</f>
        <v>1.3</v>
      </c>
      <c r="U590" s="212" t="str">
        <f t="shared" ref="U590:U594" si="153">IFERROR(S590*T590,"")</f>
        <v/>
      </c>
      <c r="V590" s="212">
        <v>1</v>
      </c>
      <c r="W590" s="212" t="str">
        <f t="shared" si="149"/>
        <v/>
      </c>
      <c r="X590" s="214">
        <v>4</v>
      </c>
    </row>
    <row r="591" spans="1:24" ht="15">
      <c r="A591" s="211" t="s">
        <v>274</v>
      </c>
      <c r="B591" s="225" t="s">
        <v>275</v>
      </c>
      <c r="C591" s="220" t="s">
        <v>68</v>
      </c>
      <c r="D591" s="220" t="s">
        <v>99</v>
      </c>
      <c r="E591" s="220" t="s">
        <v>100</v>
      </c>
      <c r="F591" s="220" t="s">
        <v>109</v>
      </c>
      <c r="G591" s="220" t="s">
        <v>110</v>
      </c>
      <c r="H591" s="220" t="s">
        <v>111</v>
      </c>
      <c r="I591" s="220" t="s">
        <v>112</v>
      </c>
      <c r="J591" s="220" t="s">
        <v>105</v>
      </c>
      <c r="K591" s="220" t="s">
        <v>106</v>
      </c>
      <c r="L591" s="220" t="s">
        <v>107</v>
      </c>
      <c r="M591" s="221">
        <f t="shared" si="151"/>
        <v>2</v>
      </c>
      <c r="N591" s="443" cm="1">
        <f t="array" ref="N591">IF(TRIM(K591)="Mano de Obra",IF(Formulario!$L$23&lt;&gt;"",Formulario!$L$23,IFERROR(VLOOKUP(TRIM($M$4),Jornalesdeppto!A:C,3,0),"")),_xlfn.XLOOKUP(1,(Tabla_Costos_Insumos!$A$2:$A$3199=TRIM($M$4))*(Tabla_Costos_Insumos!$C$2:$C$3199=TRIM(K591)),Tabla_Costos_Insumos!$E$2:$E$3199,"",0))</f>
        <v>46666.666666666664</v>
      </c>
      <c r="O591" s="443">
        <f t="shared" si="141"/>
        <v>93333.333333333328</v>
      </c>
      <c r="P591" s="220" t="str">
        <f t="shared" si="150"/>
        <v>Mango Tommy</v>
      </c>
      <c r="Q591" s="212" t="s">
        <v>108</v>
      </c>
      <c r="R591" s="212">
        <v>0.4</v>
      </c>
      <c r="S591" s="212" t="str">
        <f t="shared" si="152"/>
        <v/>
      </c>
      <c r="T591" s="212" cm="1">
        <f t="array" ref="T591">_xlfn.IFS($D$5&lt;=7, 1.1, $D$5&lt;=12,1.2, $D$5&lt;=25, 1.3, $D$5&gt;25,1.4)</f>
        <v>1.3</v>
      </c>
      <c r="U591" s="212" t="str">
        <f t="shared" si="153"/>
        <v/>
      </c>
      <c r="V591" s="212">
        <v>2</v>
      </c>
      <c r="W591" s="212" t="str">
        <f t="shared" si="149"/>
        <v/>
      </c>
      <c r="X591" s="214">
        <v>1</v>
      </c>
    </row>
    <row r="592" spans="1:24" ht="15">
      <c r="A592" s="211" t="s">
        <v>274</v>
      </c>
      <c r="B592" s="225" t="s">
        <v>275</v>
      </c>
      <c r="C592" s="220" t="s">
        <v>68</v>
      </c>
      <c r="D592" s="220" t="s">
        <v>99</v>
      </c>
      <c r="E592" s="220" t="s">
        <v>100</v>
      </c>
      <c r="F592" s="220" t="s">
        <v>117</v>
      </c>
      <c r="G592" s="220" t="s">
        <v>118</v>
      </c>
      <c r="H592" s="220" t="s">
        <v>119</v>
      </c>
      <c r="I592" s="220" t="s">
        <v>120</v>
      </c>
      <c r="J592" s="220" t="s">
        <v>105</v>
      </c>
      <c r="K592" s="220" t="s">
        <v>106</v>
      </c>
      <c r="L592" s="220" t="s">
        <v>107</v>
      </c>
      <c r="M592" s="221">
        <f t="shared" si="151"/>
        <v>24</v>
      </c>
      <c r="N592" s="443" cm="1">
        <f t="array" ref="N592">IF(TRIM(K592)="Mano de Obra",IF(Formulario!$L$23&lt;&gt;"",Formulario!$L$23,IFERROR(VLOOKUP(TRIM($M$4),Jornalesdeppto!A:C,3,0),"")),_xlfn.XLOOKUP(1,(Tabla_Costos_Insumos!$A$2:$A$3199=TRIM($M$4))*(Tabla_Costos_Insumos!$C$2:$C$3199=TRIM(K592)),Tabla_Costos_Insumos!$E$2:$E$3199,"",0))</f>
        <v>46666.666666666664</v>
      </c>
      <c r="O592" s="443">
        <f t="shared" si="141"/>
        <v>1120000</v>
      </c>
      <c r="P592" s="220" t="str">
        <f t="shared" si="150"/>
        <v>Mango Tommy</v>
      </c>
      <c r="Q592" s="212" t="s">
        <v>108</v>
      </c>
      <c r="R592" s="212">
        <v>7</v>
      </c>
      <c r="S592" s="212" t="str">
        <f t="shared" si="152"/>
        <v/>
      </c>
      <c r="T592" s="212" cm="1">
        <f t="array" ref="T592">_xlfn.IFS($D$5&lt;=7, 1.1, $D$5&lt;=12,1.2, $D$5&lt;=25, 1.3, $D$5&gt;25,1.4)</f>
        <v>1.3</v>
      </c>
      <c r="U592" s="212" t="str">
        <f t="shared" si="153"/>
        <v/>
      </c>
      <c r="V592" s="212">
        <v>9</v>
      </c>
      <c r="W592" s="212" t="str">
        <f t="shared" si="149"/>
        <v/>
      </c>
      <c r="X592" s="214">
        <v>18</v>
      </c>
    </row>
    <row r="593" spans="1:24" ht="15">
      <c r="A593" s="211" t="s">
        <v>274</v>
      </c>
      <c r="B593" s="225" t="s">
        <v>275</v>
      </c>
      <c r="C593" s="220" t="s">
        <v>68</v>
      </c>
      <c r="D593" s="220" t="s">
        <v>99</v>
      </c>
      <c r="E593" s="220" t="s">
        <v>100</v>
      </c>
      <c r="F593" s="220" t="s">
        <v>117</v>
      </c>
      <c r="G593" s="220" t="s">
        <v>118</v>
      </c>
      <c r="H593" s="220" t="s">
        <v>121</v>
      </c>
      <c r="I593" s="220" t="s">
        <v>122</v>
      </c>
      <c r="J593" s="220" t="s">
        <v>105</v>
      </c>
      <c r="K593" s="220" t="s">
        <v>106</v>
      </c>
      <c r="L593" s="220" t="s">
        <v>107</v>
      </c>
      <c r="M593" s="221">
        <f t="shared" si="151"/>
        <v>24</v>
      </c>
      <c r="N593" s="443" cm="1">
        <f t="array" ref="N593">IF(TRIM(K593)="Mano de Obra",IF(Formulario!$L$23&lt;&gt;"",Formulario!$L$23,IFERROR(VLOOKUP(TRIM($M$4),Jornalesdeppto!A:C,3,0),"")),_xlfn.XLOOKUP(1,(Tabla_Costos_Insumos!$A$2:$A$3199=TRIM($M$4))*(Tabla_Costos_Insumos!$C$2:$C$3199=TRIM(K593)),Tabla_Costos_Insumos!$E$2:$E$3199,"",0))</f>
        <v>46666.666666666664</v>
      </c>
      <c r="O593" s="443">
        <f t="shared" si="141"/>
        <v>1120000</v>
      </c>
      <c r="P593" s="220" t="str">
        <f t="shared" si="150"/>
        <v>Mango Tommy</v>
      </c>
      <c r="Q593" s="212" t="s">
        <v>108</v>
      </c>
      <c r="R593" s="212">
        <v>7</v>
      </c>
      <c r="S593" s="212" t="str">
        <f t="shared" si="152"/>
        <v/>
      </c>
      <c r="T593" s="212" cm="1">
        <f t="array" ref="T593">_xlfn.IFS($D$5&lt;=7, 1.1, $D$5&lt;=12,1.2, $D$5&lt;=25, 1.3, $D$5&gt;25,1.4)</f>
        <v>1.3</v>
      </c>
      <c r="U593" s="212" t="str">
        <f t="shared" si="153"/>
        <v/>
      </c>
      <c r="V593" s="212">
        <v>9</v>
      </c>
      <c r="W593" s="212" t="str">
        <f t="shared" si="149"/>
        <v/>
      </c>
      <c r="X593" s="214">
        <v>18</v>
      </c>
    </row>
    <row r="594" spans="1:24" ht="15">
      <c r="A594" s="211" t="s">
        <v>274</v>
      </c>
      <c r="B594" s="225" t="s">
        <v>275</v>
      </c>
      <c r="C594" s="220" t="s">
        <v>68</v>
      </c>
      <c r="D594" s="220" t="s">
        <v>99</v>
      </c>
      <c r="E594" s="220" t="s">
        <v>100</v>
      </c>
      <c r="F594" s="220" t="s">
        <v>123</v>
      </c>
      <c r="G594" s="220" t="s">
        <v>124</v>
      </c>
      <c r="H594" s="220" t="s">
        <v>125</v>
      </c>
      <c r="I594" s="220" t="s">
        <v>126</v>
      </c>
      <c r="J594" s="220" t="s">
        <v>105</v>
      </c>
      <c r="K594" s="220" t="s">
        <v>106</v>
      </c>
      <c r="L594" s="220" t="s">
        <v>107</v>
      </c>
      <c r="M594" s="221">
        <f t="shared" si="151"/>
        <v>10</v>
      </c>
      <c r="N594" s="443" cm="1">
        <f t="array" ref="N594">IF(TRIM(K594)="Mano de Obra",IF(Formulario!$L$23&lt;&gt;"",Formulario!$L$23,IFERROR(VLOOKUP(TRIM($M$4),Jornalesdeppto!A:C,3,0),"")),_xlfn.XLOOKUP(1,(Tabla_Costos_Insumos!$A$2:$A$3199=TRIM($M$4))*(Tabla_Costos_Insumos!$C$2:$C$3199=TRIM(K594)),Tabla_Costos_Insumos!$E$2:$E$3199,"",0))</f>
        <v>46666.666666666664</v>
      </c>
      <c r="O594" s="443">
        <f t="shared" ref="O594:O654" si="154">IF(OR(N594=0,N594=""),"",N594*M594)</f>
        <v>466666.66666666663</v>
      </c>
      <c r="P594" s="220" t="str">
        <f t="shared" si="150"/>
        <v>Mango Tommy</v>
      </c>
      <c r="Q594" s="212" t="s">
        <v>108</v>
      </c>
      <c r="R594" s="212">
        <v>0.09</v>
      </c>
      <c r="S594" s="212" t="str">
        <f t="shared" si="152"/>
        <v/>
      </c>
      <c r="T594" s="212" cm="1">
        <f t="array" ref="T594">_xlfn.IFS($D$5&lt;=7, 1.1, $D$5&lt;=12,1.2, $D$5&lt;=25, 1.3, $D$5&gt;25,1.4)</f>
        <v>1.3</v>
      </c>
      <c r="U594" s="212" t="str">
        <f t="shared" si="153"/>
        <v/>
      </c>
      <c r="V594" s="212">
        <v>2</v>
      </c>
      <c r="W594" s="212" t="str">
        <f t="shared" si="149"/>
        <v/>
      </c>
      <c r="X594" s="214">
        <v>7</v>
      </c>
    </row>
    <row r="595" spans="1:24" ht="15">
      <c r="A595" s="211" t="s">
        <v>274</v>
      </c>
      <c r="B595" s="225" t="s">
        <v>275</v>
      </c>
      <c r="C595" s="220" t="s">
        <v>68</v>
      </c>
      <c r="D595" s="220" t="s">
        <v>99</v>
      </c>
      <c r="E595" s="220" t="s">
        <v>100</v>
      </c>
      <c r="F595" s="220" t="s">
        <v>123</v>
      </c>
      <c r="G595" s="220" t="s">
        <v>124</v>
      </c>
      <c r="H595" s="220" t="s">
        <v>128</v>
      </c>
      <c r="I595" s="220" t="s">
        <v>129</v>
      </c>
      <c r="J595" s="220" t="s">
        <v>105</v>
      </c>
      <c r="K595" s="220" t="s">
        <v>106</v>
      </c>
      <c r="L595" s="220" t="s">
        <v>107</v>
      </c>
      <c r="M595" s="221">
        <f t="shared" si="151"/>
        <v>6</v>
      </c>
      <c r="N595" s="443" cm="1">
        <f t="array" ref="N595">IF(TRIM(K595)="Mano de Obra",IF(Formulario!$L$23&lt;&gt;"",Formulario!$L$23,IFERROR(VLOOKUP(TRIM($M$4),Jornalesdeppto!A:C,3,0),"")),_xlfn.XLOOKUP(1,(Tabla_Costos_Insumos!$A$2:$A$3199=TRIM($M$4))*(Tabla_Costos_Insumos!$C$2:$C$3199=TRIM(K595)),Tabla_Costos_Insumos!$E$2:$E$3199,"",0))</f>
        <v>46666.666666666664</v>
      </c>
      <c r="O595" s="443">
        <f t="shared" si="154"/>
        <v>280000</v>
      </c>
      <c r="P595" s="220" t="str">
        <f t="shared" si="150"/>
        <v>Mango Tommy</v>
      </c>
      <c r="Q595" s="212" t="s">
        <v>127</v>
      </c>
      <c r="R595" s="212">
        <v>0.09</v>
      </c>
      <c r="S595" s="212">
        <f t="shared" ref="S595" si="155">10000*R595/480</f>
        <v>1.875</v>
      </c>
      <c r="T595" s="212" cm="1">
        <f t="array" ref="T595">_xlfn.IFS($D$5&lt;=7, 1.1, $D$5&lt;=12,1.2, $D$5&lt;=25, 1.3, $D$5&gt;25,1.4)</f>
        <v>1.3</v>
      </c>
      <c r="U595" s="212"/>
      <c r="V595" s="212">
        <v>2</v>
      </c>
      <c r="W595" s="212"/>
      <c r="X595" s="214">
        <v>4</v>
      </c>
    </row>
    <row r="596" spans="1:24" ht="15">
      <c r="A596" s="211" t="s">
        <v>274</v>
      </c>
      <c r="B596" s="225" t="s">
        <v>275</v>
      </c>
      <c r="C596" s="220" t="s">
        <v>68</v>
      </c>
      <c r="D596" s="220" t="s">
        <v>99</v>
      </c>
      <c r="E596" s="220" t="s">
        <v>100</v>
      </c>
      <c r="F596" s="220" t="s">
        <v>130</v>
      </c>
      <c r="G596" s="220" t="s">
        <v>131</v>
      </c>
      <c r="H596" s="220" t="s">
        <v>134</v>
      </c>
      <c r="I596" s="220" t="s">
        <v>135</v>
      </c>
      <c r="J596" s="220" t="s">
        <v>105</v>
      </c>
      <c r="K596" s="220" t="s">
        <v>106</v>
      </c>
      <c r="L596" s="220" t="s">
        <v>107</v>
      </c>
      <c r="M596" s="221">
        <f t="shared" si="151"/>
        <v>4</v>
      </c>
      <c r="N596" s="443" cm="1">
        <f t="array" ref="N596">IF(TRIM(K596)="Mano de Obra",IF(Formulario!$L$23&lt;&gt;"",Formulario!$L$23,IFERROR(VLOOKUP(TRIM($M$4),Jornalesdeppto!A:C,3,0),"")),_xlfn.XLOOKUP(1,(Tabla_Costos_Insumos!$A$2:$A$3199=TRIM($M$4))*(Tabla_Costos_Insumos!$C$2:$C$3199=TRIM(K596)),Tabla_Costos_Insumos!$E$2:$E$3199,"",0))</f>
        <v>46666.666666666664</v>
      </c>
      <c r="O596" s="443">
        <f t="shared" si="154"/>
        <v>186666.66666666666</v>
      </c>
      <c r="P596" s="220" t="str">
        <f t="shared" si="150"/>
        <v>Mango Tommy</v>
      </c>
      <c r="Q596" s="212" t="s">
        <v>108</v>
      </c>
      <c r="R596" s="212">
        <v>1.5</v>
      </c>
      <c r="S596" s="212" t="str">
        <f>IF($M$3="Mango Tommy",($I$3*R596) / 480,"")</f>
        <v/>
      </c>
      <c r="T596" s="212" cm="1">
        <f t="array" ref="T596">_xlfn.IFS($D$5&lt;=7, 1.1, $D$5&lt;=12,1.2, $D$5&lt;=25, 1.3, $D$5&gt;25,1.4)</f>
        <v>1.3</v>
      </c>
      <c r="U596" s="212" t="str">
        <f>IFERROR(S596*T596,"")</f>
        <v/>
      </c>
      <c r="V596" s="212">
        <v>4</v>
      </c>
      <c r="W596" s="212" t="str">
        <f t="shared" si="149"/>
        <v/>
      </c>
      <c r="X596" s="214">
        <v>3</v>
      </c>
    </row>
    <row r="597" spans="1:24" ht="15">
      <c r="A597" s="211" t="s">
        <v>274</v>
      </c>
      <c r="B597" s="225" t="s">
        <v>275</v>
      </c>
      <c r="C597" s="220" t="s">
        <v>68</v>
      </c>
      <c r="D597" s="220" t="s">
        <v>145</v>
      </c>
      <c r="E597" s="220" t="s">
        <v>146</v>
      </c>
      <c r="F597" s="220" t="s">
        <v>147</v>
      </c>
      <c r="G597" s="220" t="s">
        <v>131</v>
      </c>
      <c r="H597" s="220" t="s">
        <v>148</v>
      </c>
      <c r="I597" s="220" t="s">
        <v>299</v>
      </c>
      <c r="J597" s="220" t="s">
        <v>149</v>
      </c>
      <c r="K597" s="220" t="s">
        <v>150</v>
      </c>
      <c r="L597" s="220" t="s">
        <v>151</v>
      </c>
      <c r="M597" s="221">
        <v>2</v>
      </c>
      <c r="N597" s="443" cm="1">
        <f t="array" ref="N597">IF(TRIM(K597)="Mano de Obra",IF(Formulario!$L$23&lt;&gt;"",Formulario!$L$23,IFERROR(VLOOKUP(TRIM($M$4),Jornalesdeppto!A:C,3,0),"")),_xlfn.XLOOKUP(1,(Tabla_Costos_Insumos!$A$2:$A$3199=TRIM($M$4))*(Tabla_Costos_Insumos!$C$2:$C$3199=TRIM(K597)),Tabla_Costos_Insumos!$E$2:$E$3199,"",0))</f>
        <v>198055.68333333</v>
      </c>
      <c r="O597" s="443">
        <f t="shared" si="154"/>
        <v>396111.36666666</v>
      </c>
      <c r="P597" s="220" t="str">
        <f t="shared" si="150"/>
        <v>Mango Tommy</v>
      </c>
      <c r="Q597" s="212" t="s">
        <v>142</v>
      </c>
      <c r="R597" s="212" t="s">
        <v>142</v>
      </c>
      <c r="S597" s="212"/>
      <c r="T597" s="212"/>
      <c r="U597" s="212"/>
      <c r="V597" s="212" t="s">
        <v>142</v>
      </c>
      <c r="W597" s="212" t="str">
        <f t="shared" si="149"/>
        <v/>
      </c>
      <c r="X597" s="214"/>
    </row>
    <row r="598" spans="1:24" ht="15">
      <c r="A598" s="211" t="s">
        <v>274</v>
      </c>
      <c r="B598" s="225" t="s">
        <v>275</v>
      </c>
      <c r="C598" s="220" t="s">
        <v>68</v>
      </c>
      <c r="D598" s="220" t="s">
        <v>145</v>
      </c>
      <c r="E598" s="220" t="s">
        <v>146</v>
      </c>
      <c r="F598" s="220" t="s">
        <v>147</v>
      </c>
      <c r="G598" s="220" t="s">
        <v>131</v>
      </c>
      <c r="H598" s="220" t="s">
        <v>152</v>
      </c>
      <c r="I598" s="220" t="s">
        <v>153</v>
      </c>
      <c r="J598" s="220" t="s">
        <v>149</v>
      </c>
      <c r="K598" s="220" t="s">
        <v>4110</v>
      </c>
      <c r="L598" s="220" t="s">
        <v>151</v>
      </c>
      <c r="M598" s="221">
        <v>3</v>
      </c>
      <c r="N598" s="443" cm="1">
        <f t="array" ref="N598">IF(TRIM(K598)="Mano de Obra",IF(Formulario!$L$23&lt;&gt;"",Formulario!$L$23,IFERROR(VLOOKUP(TRIM($M$4),Jornalesdeppto!A:C,3,0),"")),_xlfn.XLOOKUP(1,(Tabla_Costos_Insumos!$A$2:$A$3199=TRIM($M$4))*(Tabla_Costos_Insumos!$C$2:$C$3199=TRIM(K598)),Tabla_Costos_Insumos!$E$2:$E$3199,"",0))</f>
        <v>125849.2424242409</v>
      </c>
      <c r="O598" s="443">
        <f t="shared" si="154"/>
        <v>377547.7272727227</v>
      </c>
      <c r="P598" s="220" t="str">
        <f t="shared" si="150"/>
        <v>Mango Tommy</v>
      </c>
      <c r="Q598" s="212" t="s">
        <v>142</v>
      </c>
      <c r="R598" s="212" t="s">
        <v>142</v>
      </c>
      <c r="S598" s="212"/>
      <c r="T598" s="212"/>
      <c r="U598" s="212"/>
      <c r="V598" s="212" t="s">
        <v>142</v>
      </c>
      <c r="W598" s="212" t="str">
        <f t="shared" si="149"/>
        <v/>
      </c>
      <c r="X598" s="214"/>
    </row>
    <row r="599" spans="1:24" ht="15">
      <c r="A599" s="211" t="s">
        <v>274</v>
      </c>
      <c r="B599" s="225" t="s">
        <v>275</v>
      </c>
      <c r="C599" s="220" t="s">
        <v>68</v>
      </c>
      <c r="D599" s="220" t="s">
        <v>145</v>
      </c>
      <c r="E599" s="220" t="s">
        <v>146</v>
      </c>
      <c r="F599" s="220" t="s">
        <v>147</v>
      </c>
      <c r="G599" s="220" t="s">
        <v>131</v>
      </c>
      <c r="H599" s="220" t="s">
        <v>154</v>
      </c>
      <c r="I599" s="220" t="s">
        <v>155</v>
      </c>
      <c r="J599" s="220" t="s">
        <v>149</v>
      </c>
      <c r="K599" s="220" t="s">
        <v>156</v>
      </c>
      <c r="L599" s="220" t="s">
        <v>151</v>
      </c>
      <c r="M599" s="221">
        <v>2</v>
      </c>
      <c r="N599" s="443" cm="1">
        <f t="array" ref="N599">IF(TRIM(K599)="Mano de Obra",IF(Formulario!$L$23&lt;&gt;"",Formulario!$L$23,IFERROR(VLOOKUP(TRIM($M$4),Jornalesdeppto!A:C,3,0),"")),_xlfn.XLOOKUP(1,(Tabla_Costos_Insumos!$A$2:$A$3199=TRIM($M$4))*(Tabla_Costos_Insumos!$C$2:$C$3199=TRIM(K599)),Tabla_Costos_Insumos!$E$2:$E$3199,"",0))</f>
        <v>17212.5</v>
      </c>
      <c r="O599" s="443">
        <f t="shared" si="154"/>
        <v>34425</v>
      </c>
      <c r="P599" s="220" t="str">
        <f t="shared" si="150"/>
        <v>Mango Tommy</v>
      </c>
      <c r="Q599" s="212" t="s">
        <v>142</v>
      </c>
      <c r="R599" s="212" t="s">
        <v>142</v>
      </c>
      <c r="S599" s="212"/>
      <c r="T599" s="212"/>
      <c r="U599" s="212"/>
      <c r="V599" s="212" t="s">
        <v>142</v>
      </c>
      <c r="W599" s="212" t="str">
        <f t="shared" si="149"/>
        <v/>
      </c>
      <c r="X599" s="214"/>
    </row>
    <row r="600" spans="1:24" ht="15">
      <c r="A600" s="211" t="s">
        <v>274</v>
      </c>
      <c r="B600" s="225" t="s">
        <v>275</v>
      </c>
      <c r="C600" s="220" t="s">
        <v>68</v>
      </c>
      <c r="D600" s="220" t="s">
        <v>145</v>
      </c>
      <c r="E600" s="220" t="s">
        <v>146</v>
      </c>
      <c r="F600" s="220" t="s">
        <v>147</v>
      </c>
      <c r="G600" s="220" t="s">
        <v>131</v>
      </c>
      <c r="H600" s="220" t="s">
        <v>157</v>
      </c>
      <c r="I600" s="220" t="s">
        <v>158</v>
      </c>
      <c r="J600" s="220" t="s">
        <v>149</v>
      </c>
      <c r="K600" s="220" t="s">
        <v>243</v>
      </c>
      <c r="L600" s="220" t="s">
        <v>172</v>
      </c>
      <c r="M600" s="221">
        <v>14</v>
      </c>
      <c r="N600" s="443" cm="1">
        <f t="array" ref="N600">IF(TRIM(K600)="Mano de Obra",IF(Formulario!$L$23&lt;&gt;"",Formulario!$L$23,IFERROR(VLOOKUP(TRIM($M$4),Jornalesdeppto!A:C,3,0),"")),_xlfn.XLOOKUP(1,(Tabla_Costos_Insumos!$A$2:$A$3199=TRIM($M$4))*(Tabla_Costos_Insumos!$C$2:$C$3199=TRIM(K600)),Tabla_Costos_Insumos!$E$2:$E$3199,"",0))</f>
        <v>26208.33</v>
      </c>
      <c r="O600" s="443">
        <f t="shared" si="154"/>
        <v>366916.62</v>
      </c>
      <c r="P600" s="220" t="str">
        <f t="shared" si="150"/>
        <v>Mango Tommy</v>
      </c>
      <c r="Q600" s="212" t="s">
        <v>142</v>
      </c>
      <c r="R600" s="212" t="s">
        <v>142</v>
      </c>
      <c r="S600" s="212"/>
      <c r="T600" s="212"/>
      <c r="U600" s="212"/>
      <c r="V600" s="212" t="s">
        <v>142</v>
      </c>
      <c r="W600" s="212" t="str">
        <f t="shared" si="149"/>
        <v/>
      </c>
      <c r="X600" s="214"/>
    </row>
    <row r="601" spans="1:24" ht="15">
      <c r="A601" s="211" t="s">
        <v>274</v>
      </c>
      <c r="B601" s="225" t="s">
        <v>275</v>
      </c>
      <c r="C601" s="220" t="s">
        <v>68</v>
      </c>
      <c r="D601" s="220" t="s">
        <v>145</v>
      </c>
      <c r="E601" s="220" t="s">
        <v>146</v>
      </c>
      <c r="F601" s="220" t="s">
        <v>147</v>
      </c>
      <c r="G601" s="220" t="s">
        <v>131</v>
      </c>
      <c r="H601" s="220" t="s">
        <v>161</v>
      </c>
      <c r="I601" s="220" t="s">
        <v>162</v>
      </c>
      <c r="J601" s="220" t="s">
        <v>149</v>
      </c>
      <c r="K601" s="220" t="s">
        <v>163</v>
      </c>
      <c r="L601" s="220" t="s">
        <v>164</v>
      </c>
      <c r="M601" s="221">
        <v>2</v>
      </c>
      <c r="N601" s="443" cm="1">
        <f t="array" ref="N601">IF(TRIM(K601)="Mano de Obra",IF(Formulario!$L$23&lt;&gt;"",Formulario!$L$23,IFERROR(VLOOKUP(TRIM($M$4),Jornalesdeppto!A:C,3,0),"")),_xlfn.XLOOKUP(1,(Tabla_Costos_Insumos!$A$2:$A$3199=TRIM($M$4))*(Tabla_Costos_Insumos!$C$2:$C$3199=TRIM(K601)),Tabla_Costos_Insumos!$E$2:$E$3199,"",0))</f>
        <v>128084.44444445</v>
      </c>
      <c r="O601" s="443">
        <f t="shared" si="154"/>
        <v>256168.88888889999</v>
      </c>
      <c r="P601" s="220" t="str">
        <f t="shared" si="150"/>
        <v>Mango Tommy</v>
      </c>
      <c r="Q601" s="212" t="s">
        <v>142</v>
      </c>
      <c r="R601" s="212" t="s">
        <v>142</v>
      </c>
      <c r="S601" s="212"/>
      <c r="T601" s="212"/>
      <c r="U601" s="212"/>
      <c r="V601" s="212" t="s">
        <v>142</v>
      </c>
      <c r="W601" s="212" t="str">
        <f t="shared" si="149"/>
        <v/>
      </c>
      <c r="X601" s="214"/>
    </row>
    <row r="602" spans="1:24" ht="15">
      <c r="A602" s="211" t="s">
        <v>274</v>
      </c>
      <c r="B602" s="225" t="s">
        <v>275</v>
      </c>
      <c r="C602" s="220" t="s">
        <v>68</v>
      </c>
      <c r="D602" s="220" t="s">
        <v>145</v>
      </c>
      <c r="E602" s="220" t="s">
        <v>146</v>
      </c>
      <c r="F602" s="220" t="s">
        <v>147</v>
      </c>
      <c r="G602" s="220" t="s">
        <v>131</v>
      </c>
      <c r="H602" s="220" t="s">
        <v>165</v>
      </c>
      <c r="I602" s="220" t="s">
        <v>153</v>
      </c>
      <c r="J602" s="220" t="s">
        <v>149</v>
      </c>
      <c r="K602" s="220" t="s">
        <v>166</v>
      </c>
      <c r="L602" s="220" t="s">
        <v>151</v>
      </c>
      <c r="M602" s="221">
        <v>3</v>
      </c>
      <c r="N602" s="443" cm="1">
        <f t="array" ref="N602">IF(TRIM(K602)="Mano de Obra",IF(Formulario!$L$23&lt;&gt;"",Formulario!$L$23,IFERROR(VLOOKUP(TRIM($M$4),Jornalesdeppto!A:C,3,0),"")),_xlfn.XLOOKUP(1,(Tabla_Costos_Insumos!$A$2:$A$3199=TRIM($M$4))*(Tabla_Costos_Insumos!$C$2:$C$3199=TRIM(K602)),Tabla_Costos_Insumos!$E$2:$E$3199,"",0))</f>
        <v>110000</v>
      </c>
      <c r="O602" s="443">
        <f t="shared" si="154"/>
        <v>330000</v>
      </c>
      <c r="P602" s="220" t="str">
        <f t="shared" si="150"/>
        <v>Mango Tommy</v>
      </c>
      <c r="Q602" s="212" t="s">
        <v>142</v>
      </c>
      <c r="R602" s="212" t="s">
        <v>142</v>
      </c>
      <c r="S602" s="212"/>
      <c r="T602" s="212"/>
      <c r="U602" s="212"/>
      <c r="V602" s="212" t="s">
        <v>142</v>
      </c>
      <c r="W602" s="212" t="str">
        <f t="shared" si="149"/>
        <v/>
      </c>
      <c r="X602" s="214"/>
    </row>
    <row r="603" spans="1:24" ht="15">
      <c r="A603" s="211" t="s">
        <v>274</v>
      </c>
      <c r="B603" s="225" t="s">
        <v>275</v>
      </c>
      <c r="C603" s="220" t="s">
        <v>68</v>
      </c>
      <c r="D603" s="220" t="s">
        <v>145</v>
      </c>
      <c r="E603" s="220" t="s">
        <v>146</v>
      </c>
      <c r="F603" s="220" t="s">
        <v>167</v>
      </c>
      <c r="G603" s="220" t="s">
        <v>118</v>
      </c>
      <c r="H603" s="220" t="s">
        <v>168</v>
      </c>
      <c r="I603" s="220" t="s">
        <v>169</v>
      </c>
      <c r="J603" s="220" t="s">
        <v>170</v>
      </c>
      <c r="K603" s="220" t="s">
        <v>276</v>
      </c>
      <c r="L603" s="220" t="s">
        <v>172</v>
      </c>
      <c r="M603" s="221">
        <v>7</v>
      </c>
      <c r="N603" s="443" cm="1">
        <f t="array" ref="N603">IF(TRIM(K603)="Mano de Obra",IF(Formulario!$L$23&lt;&gt;"",Formulario!$L$23,IFERROR(VLOOKUP(TRIM($M$4),Jornalesdeppto!A:C,3,0),"")),_xlfn.XLOOKUP(1,(Tabla_Costos_Insumos!$A$2:$A$3199=TRIM($M$4))*(Tabla_Costos_Insumos!$C$2:$C$3199=TRIM(K603)),Tabla_Costos_Insumos!$E$2:$E$3199,"",0))</f>
        <v>83726.98</v>
      </c>
      <c r="O603" s="443">
        <f t="shared" si="154"/>
        <v>586088.86</v>
      </c>
      <c r="P603" s="220" t="str">
        <f t="shared" si="150"/>
        <v>Mango Tommy</v>
      </c>
      <c r="Q603" s="212" t="s">
        <v>142</v>
      </c>
      <c r="R603" s="212" t="s">
        <v>142</v>
      </c>
      <c r="S603" s="212"/>
      <c r="T603" s="212"/>
      <c r="U603" s="212"/>
      <c r="V603" s="212" t="s">
        <v>142</v>
      </c>
      <c r="W603" s="212" t="str">
        <f t="shared" si="149"/>
        <v/>
      </c>
      <c r="X603" s="214"/>
    </row>
    <row r="604" spans="1:24" ht="15">
      <c r="A604" s="211" t="s">
        <v>274</v>
      </c>
      <c r="B604" s="225" t="s">
        <v>275</v>
      </c>
      <c r="C604" s="220" t="s">
        <v>68</v>
      </c>
      <c r="D604" s="220" t="s">
        <v>145</v>
      </c>
      <c r="E604" s="220" t="s">
        <v>146</v>
      </c>
      <c r="F604" s="220" t="s">
        <v>167</v>
      </c>
      <c r="G604" s="220" t="s">
        <v>118</v>
      </c>
      <c r="H604" s="220" t="s">
        <v>168</v>
      </c>
      <c r="I604" s="220" t="s">
        <v>169</v>
      </c>
      <c r="J604" s="220" t="s">
        <v>170</v>
      </c>
      <c r="K604" s="220" t="s">
        <v>251</v>
      </c>
      <c r="L604" s="220" t="s">
        <v>226</v>
      </c>
      <c r="M604" s="221">
        <v>8</v>
      </c>
      <c r="N604" s="443" cm="1">
        <f t="array" ref="N604">IF(TRIM(K604)="Mano de Obra",IF(Formulario!$L$23&lt;&gt;"",Formulario!$L$23,IFERROR(VLOOKUP(TRIM($M$4),Jornalesdeppto!A:C,3,0),"")),_xlfn.XLOOKUP(1,(Tabla_Costos_Insumos!$A$2:$A$3199=TRIM($M$4))*(Tabla_Costos_Insumos!$C$2:$C$3199=TRIM(K604)),Tabla_Costos_Insumos!$E$2:$E$3199,"",0))</f>
        <v>61445.54</v>
      </c>
      <c r="O604" s="443">
        <f t="shared" si="154"/>
        <v>491564.32</v>
      </c>
      <c r="P604" s="220" t="str">
        <f t="shared" si="150"/>
        <v>Mango Tommy</v>
      </c>
      <c r="Q604" s="212" t="s">
        <v>142</v>
      </c>
      <c r="R604" s="212" t="s">
        <v>142</v>
      </c>
      <c r="S604" s="212"/>
      <c r="T604" s="212"/>
      <c r="U604" s="212"/>
      <c r="V604" s="212" t="s">
        <v>142</v>
      </c>
      <c r="W604" s="212" t="str">
        <f t="shared" si="149"/>
        <v/>
      </c>
      <c r="X604" s="214"/>
    </row>
    <row r="605" spans="1:24" ht="15">
      <c r="A605" s="211" t="s">
        <v>274</v>
      </c>
      <c r="B605" s="225" t="s">
        <v>275</v>
      </c>
      <c r="C605" s="220" t="s">
        <v>68</v>
      </c>
      <c r="D605" s="220" t="s">
        <v>145</v>
      </c>
      <c r="E605" s="220" t="s">
        <v>146</v>
      </c>
      <c r="F605" s="220" t="s">
        <v>167</v>
      </c>
      <c r="G605" s="220" t="s">
        <v>118</v>
      </c>
      <c r="H605" s="220" t="s">
        <v>174</v>
      </c>
      <c r="I605" s="220" t="s">
        <v>175</v>
      </c>
      <c r="J605" s="220" t="s">
        <v>176</v>
      </c>
      <c r="K605" s="220" t="s">
        <v>231</v>
      </c>
      <c r="L605" s="220" t="s">
        <v>172</v>
      </c>
      <c r="M605" s="221">
        <v>14</v>
      </c>
      <c r="N605" s="443" cm="1">
        <f t="array" ref="N605">IF(TRIM(K605)="Mano de Obra",IF(Formulario!$L$23&lt;&gt;"",Formulario!$L$23,IFERROR(VLOOKUP(TRIM($M$4),Jornalesdeppto!A:C,3,0),"")),_xlfn.XLOOKUP(1,(Tabla_Costos_Insumos!$A$2:$A$3199=TRIM($M$4))*(Tabla_Costos_Insumos!$C$2:$C$3199=TRIM(K605)),Tabla_Costos_Insumos!$E$2:$E$3199,"",0))</f>
        <v>23177.15</v>
      </c>
      <c r="O605" s="443">
        <f t="shared" si="154"/>
        <v>324480.10000000003</v>
      </c>
      <c r="P605" s="220" t="str">
        <f t="shared" si="150"/>
        <v>Mango Tommy</v>
      </c>
      <c r="Q605" s="212" t="s">
        <v>142</v>
      </c>
      <c r="R605" s="212" t="s">
        <v>142</v>
      </c>
      <c r="S605" s="212"/>
      <c r="T605" s="212"/>
      <c r="U605" s="212"/>
      <c r="V605" s="212" t="s">
        <v>142</v>
      </c>
      <c r="W605" s="212" t="str">
        <f t="shared" si="149"/>
        <v/>
      </c>
      <c r="X605" s="214"/>
    </row>
    <row r="606" spans="1:24" ht="15">
      <c r="A606" s="211" t="s">
        <v>274</v>
      </c>
      <c r="B606" s="225" t="s">
        <v>275</v>
      </c>
      <c r="C606" s="220" t="s">
        <v>68</v>
      </c>
      <c r="D606" s="220" t="s">
        <v>145</v>
      </c>
      <c r="E606" s="220" t="s">
        <v>146</v>
      </c>
      <c r="F606" s="220" t="s">
        <v>167</v>
      </c>
      <c r="G606" s="220" t="s">
        <v>118</v>
      </c>
      <c r="H606" s="220" t="s">
        <v>178</v>
      </c>
      <c r="I606" s="220" t="s">
        <v>179</v>
      </c>
      <c r="J606" s="220" t="s">
        <v>180</v>
      </c>
      <c r="K606" s="220" t="s">
        <v>277</v>
      </c>
      <c r="L606" s="220" t="s">
        <v>172</v>
      </c>
      <c r="M606" s="221">
        <v>5</v>
      </c>
      <c r="N606" s="443" cm="1">
        <f t="array" ref="N606">IF(TRIM(K606)="Mano de Obra",IF(Formulario!$L$23&lt;&gt;"",Formulario!$L$23,IFERROR(VLOOKUP(TRIM($M$4),Jornalesdeppto!A:C,3,0),"")),_xlfn.XLOOKUP(1,(Tabla_Costos_Insumos!$A$2:$A$3199=TRIM($M$4))*(Tabla_Costos_Insumos!$C$2:$C$3199=TRIM(K606)),Tabla_Costos_Insumos!$E$2:$E$3199,"",0))</f>
        <v>90689.07</v>
      </c>
      <c r="O606" s="443">
        <f t="shared" si="154"/>
        <v>453445.35000000003</v>
      </c>
      <c r="P606" s="220" t="str">
        <f t="shared" si="150"/>
        <v>Mango Tommy</v>
      </c>
      <c r="Q606" s="212" t="s">
        <v>142</v>
      </c>
      <c r="R606" s="212" t="s">
        <v>142</v>
      </c>
      <c r="S606" s="212"/>
      <c r="T606" s="212"/>
      <c r="U606" s="212"/>
      <c r="V606" s="212" t="s">
        <v>142</v>
      </c>
      <c r="W606" s="212" t="str">
        <f t="shared" si="149"/>
        <v/>
      </c>
      <c r="X606" s="214"/>
    </row>
    <row r="607" spans="1:24" ht="15">
      <c r="A607" s="211" t="s">
        <v>274</v>
      </c>
      <c r="B607" s="225" t="s">
        <v>275</v>
      </c>
      <c r="C607" s="220" t="s">
        <v>68</v>
      </c>
      <c r="D607" s="220" t="s">
        <v>145</v>
      </c>
      <c r="E607" s="220" t="s">
        <v>146</v>
      </c>
      <c r="F607" s="220" t="s">
        <v>167</v>
      </c>
      <c r="G607" s="220" t="s">
        <v>118</v>
      </c>
      <c r="H607" s="220" t="s">
        <v>178</v>
      </c>
      <c r="I607" s="220" t="s">
        <v>179</v>
      </c>
      <c r="J607" s="220" t="s">
        <v>180</v>
      </c>
      <c r="K607" s="220" t="s">
        <v>181</v>
      </c>
      <c r="L607" s="220" t="s">
        <v>172</v>
      </c>
      <c r="M607" s="221">
        <v>4</v>
      </c>
      <c r="N607" s="443" cm="1">
        <f t="array" ref="N607">IF(TRIM(K607)="Mano de Obra",IF(Formulario!$L$23&lt;&gt;"",Formulario!$L$23,IFERROR(VLOOKUP(TRIM($M$4),Jornalesdeppto!A:C,3,0),"")),_xlfn.XLOOKUP(1,(Tabla_Costos_Insumos!$A$2:$A$3199=TRIM($M$4))*(Tabla_Costos_Insumos!$C$2:$C$3199=TRIM(K607)),Tabla_Costos_Insumos!$E$2:$E$3199,"",0))</f>
        <v>34056.25</v>
      </c>
      <c r="O607" s="443">
        <f t="shared" si="154"/>
        <v>136225</v>
      </c>
      <c r="P607" s="220" t="str">
        <f t="shared" si="150"/>
        <v>Mango Tommy</v>
      </c>
      <c r="Q607" s="212" t="s">
        <v>142</v>
      </c>
      <c r="R607" s="212" t="s">
        <v>142</v>
      </c>
      <c r="S607" s="212"/>
      <c r="T607" s="212"/>
      <c r="U607" s="212"/>
      <c r="V607" s="212" t="s">
        <v>142</v>
      </c>
      <c r="W607" s="212" t="str">
        <f t="shared" si="149"/>
        <v/>
      </c>
      <c r="X607" s="214"/>
    </row>
    <row r="608" spans="1:24" ht="15">
      <c r="A608" s="211" t="s">
        <v>274</v>
      </c>
      <c r="B608" s="225" t="s">
        <v>275</v>
      </c>
      <c r="C608" s="220" t="s">
        <v>68</v>
      </c>
      <c r="D608" s="220" t="s">
        <v>145</v>
      </c>
      <c r="E608" s="220" t="s">
        <v>146</v>
      </c>
      <c r="F608" s="220" t="s">
        <v>183</v>
      </c>
      <c r="G608" s="220" t="s">
        <v>184</v>
      </c>
      <c r="H608" s="220" t="s">
        <v>185</v>
      </c>
      <c r="I608" s="220" t="s">
        <v>186</v>
      </c>
      <c r="J608" s="220" t="s">
        <v>105</v>
      </c>
      <c r="K608" s="220" t="s">
        <v>187</v>
      </c>
      <c r="L608" s="220" t="s">
        <v>188</v>
      </c>
      <c r="M608" s="221">
        <v>0.1</v>
      </c>
      <c r="N608" s="443" cm="1">
        <f t="array" ref="N608">IF(TRIM(K608)="Mano de Obra",IF(Formulario!$L$23&lt;&gt;"",Formulario!$L$23,IFERROR(VLOOKUP(TRIM($M$4),Jornalesdeppto!A:C,3,0),"")),_xlfn.XLOOKUP(1,(Tabla_Costos_Insumos!$A$2:$A$3199=TRIM($M$4))*(Tabla_Costos_Insumos!$C$2:$C$3199=TRIM(K608)),Tabla_Costos_Insumos!$E$2:$E$3199,"",0))</f>
        <v>175000</v>
      </c>
      <c r="O608" s="443">
        <f t="shared" si="154"/>
        <v>17500</v>
      </c>
      <c r="P608" s="220" t="str">
        <f t="shared" si="150"/>
        <v>Mango Tommy</v>
      </c>
      <c r="Q608" s="212" t="s">
        <v>142</v>
      </c>
      <c r="R608" s="212" t="s">
        <v>142</v>
      </c>
      <c r="S608" s="212"/>
      <c r="T608" s="212"/>
      <c r="U608" s="212"/>
      <c r="V608" s="212" t="s">
        <v>142</v>
      </c>
      <c r="W608" s="212" t="str">
        <f t="shared" si="149"/>
        <v/>
      </c>
      <c r="X608" s="214"/>
    </row>
    <row r="609" spans="1:24" ht="15">
      <c r="A609" s="211" t="s">
        <v>274</v>
      </c>
      <c r="B609" s="225" t="s">
        <v>275</v>
      </c>
      <c r="C609" s="220" t="s">
        <v>68</v>
      </c>
      <c r="D609" s="220" t="s">
        <v>189</v>
      </c>
      <c r="E609" s="220" t="s">
        <v>190</v>
      </c>
      <c r="F609" s="220" t="s">
        <v>191</v>
      </c>
      <c r="G609" s="220" t="s">
        <v>192</v>
      </c>
      <c r="H609" s="220" t="s">
        <v>193</v>
      </c>
      <c r="I609" s="220" t="s">
        <v>194</v>
      </c>
      <c r="J609" s="220" t="s">
        <v>195</v>
      </c>
      <c r="K609" s="220" t="s">
        <v>196</v>
      </c>
      <c r="L609" s="220" t="s">
        <v>197</v>
      </c>
      <c r="M609" s="221">
        <v>1</v>
      </c>
      <c r="N609" s="443">
        <f>IFERROR(SUM(O591:$O$608)*0.08,0)</f>
        <v>562971.19195959589</v>
      </c>
      <c r="O609" s="443">
        <f t="shared" si="154"/>
        <v>562971.19195959589</v>
      </c>
      <c r="P609" s="220" t="str">
        <f t="shared" si="150"/>
        <v>Mango Tommy</v>
      </c>
      <c r="Q609" s="212" t="s">
        <v>142</v>
      </c>
      <c r="R609" s="212" t="s">
        <v>142</v>
      </c>
      <c r="S609" s="212"/>
      <c r="T609" s="212"/>
      <c r="U609" s="212"/>
      <c r="V609" s="212" t="s">
        <v>142</v>
      </c>
      <c r="W609" s="212" t="str">
        <f t="shared" si="149"/>
        <v/>
      </c>
      <c r="X609" s="214"/>
    </row>
    <row r="610" spans="1:24" ht="15">
      <c r="A610" s="211" t="s">
        <v>274</v>
      </c>
      <c r="B610" s="225" t="s">
        <v>275</v>
      </c>
      <c r="C610" s="220" t="s">
        <v>68</v>
      </c>
      <c r="D610" s="220" t="s">
        <v>189</v>
      </c>
      <c r="E610" s="220" t="s">
        <v>190</v>
      </c>
      <c r="F610" s="220" t="s">
        <v>198</v>
      </c>
      <c r="G610" s="220" t="s">
        <v>199</v>
      </c>
      <c r="H610" s="220" t="s">
        <v>200</v>
      </c>
      <c r="I610" s="220" t="s">
        <v>201</v>
      </c>
      <c r="J610" s="220" t="s">
        <v>105</v>
      </c>
      <c r="K610" s="220" t="s">
        <v>202</v>
      </c>
      <c r="L610" s="220" t="s">
        <v>203</v>
      </c>
      <c r="M610" s="221">
        <v>1</v>
      </c>
      <c r="N610" s="443" cm="1">
        <f t="array" ref="N610">IF(TRIM(K610)="Mano de Obra",IF(Formulario!$L$23&lt;&gt;"",Formulario!$L$23,IFERROR(VLOOKUP(TRIM($M$4),Jornalesdeppto!A:C,3,0),"")),_xlfn.XLOOKUP(1,(Tabla_Costos_Insumos!$A$2:$A$3199=TRIM($M$4))*(Tabla_Costos_Insumos!$C$2:$C$3199=TRIM(K610)),Tabla_Costos_Insumos!$E$2:$E$3199,"",0))</f>
        <v>120000</v>
      </c>
      <c r="O610" s="443">
        <f t="shared" si="154"/>
        <v>120000</v>
      </c>
      <c r="P610" s="220" t="str">
        <f t="shared" si="150"/>
        <v>Mango Tommy</v>
      </c>
      <c r="Q610" s="212" t="s">
        <v>142</v>
      </c>
      <c r="R610" s="212" t="s">
        <v>142</v>
      </c>
      <c r="S610" s="212"/>
      <c r="T610" s="212"/>
      <c r="U610" s="212"/>
      <c r="V610" s="212" t="s">
        <v>142</v>
      </c>
      <c r="W610" s="212" t="str">
        <f t="shared" si="149"/>
        <v/>
      </c>
      <c r="X610" s="214"/>
    </row>
    <row r="611" spans="1:24" ht="15">
      <c r="A611" s="211" t="s">
        <v>274</v>
      </c>
      <c r="B611" s="225" t="s">
        <v>275</v>
      </c>
      <c r="C611" s="220" t="s">
        <v>68</v>
      </c>
      <c r="D611" s="220" t="s">
        <v>189</v>
      </c>
      <c r="E611" s="220" t="s">
        <v>190</v>
      </c>
      <c r="F611" s="220" t="s">
        <v>204</v>
      </c>
      <c r="G611" s="220" t="s">
        <v>205</v>
      </c>
      <c r="H611" s="220" t="s">
        <v>206</v>
      </c>
      <c r="I611" s="220" t="s">
        <v>207</v>
      </c>
      <c r="J611" s="220" t="s">
        <v>4127</v>
      </c>
      <c r="K611" s="220" t="s">
        <v>228</v>
      </c>
      <c r="L611" s="220" t="s">
        <v>197</v>
      </c>
      <c r="M611" s="221">
        <v>1</v>
      </c>
      <c r="N611" s="443" t="str">
        <f>IF($M$3="Mango Tommy",($J$4),"")</f>
        <v/>
      </c>
      <c r="O611" s="443" t="str">
        <f t="shared" si="154"/>
        <v/>
      </c>
      <c r="P611" s="220" t="str">
        <f t="shared" si="150"/>
        <v>Mango Tommy</v>
      </c>
      <c r="Q611" s="212" t="s">
        <v>142</v>
      </c>
      <c r="R611" s="212" t="s">
        <v>142</v>
      </c>
      <c r="S611" s="212"/>
      <c r="T611" s="212"/>
      <c r="U611" s="212"/>
      <c r="V611" s="212" t="s">
        <v>142</v>
      </c>
      <c r="W611" s="212" t="str">
        <f>IFERROR(ROUNDUP(V611*U611,0),"")</f>
        <v/>
      </c>
      <c r="X611" s="214"/>
    </row>
    <row r="612" spans="1:24" ht="15">
      <c r="A612" s="211" t="s">
        <v>3774</v>
      </c>
      <c r="B612" s="225" t="s">
        <v>287</v>
      </c>
      <c r="C612" s="212" t="s">
        <v>69</v>
      </c>
      <c r="D612" s="212" t="s">
        <v>99</v>
      </c>
      <c r="E612" s="212" t="s">
        <v>100</v>
      </c>
      <c r="F612" s="212" t="s">
        <v>109</v>
      </c>
      <c r="G612" s="212" t="s">
        <v>110</v>
      </c>
      <c r="H612" s="212" t="s">
        <v>234</v>
      </c>
      <c r="I612" s="212" t="s">
        <v>235</v>
      </c>
      <c r="J612" s="212" t="s">
        <v>105</v>
      </c>
      <c r="K612" s="212" t="s">
        <v>106</v>
      </c>
      <c r="L612" s="212" t="s">
        <v>107</v>
      </c>
      <c r="M612" s="213">
        <f t="shared" ref="M612:M622" si="156">IF(W612&lt;&gt;"", W612, ROUNDUP(X612*T612, 0))</f>
        <v>6</v>
      </c>
      <c r="N612" s="441" cm="1">
        <f t="array" ref="N612">IF(TRIM(K612)="Mano de Obra",IF(Formulario!$L$23&lt;&gt;"",Formulario!$L$23,IFERROR(VLOOKUP(TRIM($M$4),Jornalesdeppto!A:C,3,0),"")),_xlfn.XLOOKUP(1,(Tabla_Costos_Insumos!$A$2:$A$3199=TRIM($M$4))*(Tabla_Costos_Insumos!$C$2:$C$3199=TRIM(K612)),Tabla_Costos_Insumos!$E$2:$E$3199,"",0))</f>
        <v>46666.666666666664</v>
      </c>
      <c r="O612" s="441">
        <f t="shared" si="154"/>
        <v>280000</v>
      </c>
      <c r="P612" s="212" t="str">
        <f t="shared" si="150"/>
        <v>Palma_Aceite Elaeis guineensis</v>
      </c>
      <c r="Q612" s="212" t="s">
        <v>108</v>
      </c>
      <c r="R612" s="212">
        <v>1</v>
      </c>
      <c r="S612" s="212" t="str">
        <f t="shared" ref="S612:S616" si="157">IF($M$3="Palma_Aceite Elaeis guineensis",($I$3*R612) / 480,"")</f>
        <v/>
      </c>
      <c r="T612" s="212" cm="1">
        <f t="array" ref="T612">_xlfn.IFS($D$5&lt;=7, 1.1, $D$5&lt;=12,1.2, $D$5&lt;=25, 1.3, $D$5&gt;25,1.4)</f>
        <v>1.3</v>
      </c>
      <c r="U612" s="212" t="str">
        <f t="shared" ref="U612:U616" si="158">IFERROR(S612*T612,"")</f>
        <v/>
      </c>
      <c r="V612" s="212">
        <v>4</v>
      </c>
      <c r="W612" s="212" t="str">
        <f t="shared" si="149"/>
        <v/>
      </c>
      <c r="X612" s="214">
        <v>4</v>
      </c>
    </row>
    <row r="613" spans="1:24" ht="15">
      <c r="A613" s="211" t="s">
        <v>3774</v>
      </c>
      <c r="B613" s="225" t="s">
        <v>287</v>
      </c>
      <c r="C613" s="212" t="s">
        <v>69</v>
      </c>
      <c r="D613" s="212" t="s">
        <v>99</v>
      </c>
      <c r="E613" s="212" t="s">
        <v>100</v>
      </c>
      <c r="F613" s="212" t="s">
        <v>113</v>
      </c>
      <c r="G613" s="212" t="s">
        <v>114</v>
      </c>
      <c r="H613" s="212" t="s">
        <v>115</v>
      </c>
      <c r="I613" s="212" t="s">
        <v>116</v>
      </c>
      <c r="J613" s="212" t="s">
        <v>105</v>
      </c>
      <c r="K613" s="212" t="s">
        <v>106</v>
      </c>
      <c r="L613" s="212" t="s">
        <v>107</v>
      </c>
      <c r="M613" s="213">
        <f t="shared" si="156"/>
        <v>3</v>
      </c>
      <c r="N613" s="441" cm="1">
        <f t="array" ref="N613">IF(TRIM(K613)="Mano de Obra",IF(Formulario!$L$23&lt;&gt;"",Formulario!$L$23,IFERROR(VLOOKUP(TRIM($M$4),Jornalesdeppto!A:C,3,0),"")),_xlfn.XLOOKUP(1,(Tabla_Costos_Insumos!$A$2:$A$3199=TRIM($M$4))*(Tabla_Costos_Insumos!$C$2:$C$3199=TRIM(K613)),Tabla_Costos_Insumos!$E$2:$E$3199,"",0))</f>
        <v>46666.666666666664</v>
      </c>
      <c r="O613" s="441">
        <f t="shared" si="154"/>
        <v>140000</v>
      </c>
      <c r="P613" s="212" t="str">
        <f t="shared" si="150"/>
        <v>Palma_Aceite Elaeis guineensis</v>
      </c>
      <c r="Q613" s="212" t="s">
        <v>108</v>
      </c>
      <c r="R613" s="212">
        <v>3</v>
      </c>
      <c r="S613" s="212" t="str">
        <f t="shared" si="157"/>
        <v/>
      </c>
      <c r="T613" s="212" cm="1">
        <f t="array" ref="T613">_xlfn.IFS($D$5&lt;=7, 1.1, $D$5&lt;=12,1.2, $D$5&lt;=25, 1.3, $D$5&gt;25,1.4)</f>
        <v>1.3</v>
      </c>
      <c r="U613" s="212" t="str">
        <f t="shared" si="158"/>
        <v/>
      </c>
      <c r="V613" s="212">
        <v>2</v>
      </c>
      <c r="W613" s="212" t="str">
        <f t="shared" si="149"/>
        <v/>
      </c>
      <c r="X613" s="214">
        <v>2</v>
      </c>
    </row>
    <row r="614" spans="1:24" ht="15">
      <c r="A614" s="211" t="s">
        <v>3774</v>
      </c>
      <c r="B614" s="225" t="s">
        <v>287</v>
      </c>
      <c r="C614" s="212" t="s">
        <v>69</v>
      </c>
      <c r="D614" s="212" t="s">
        <v>99</v>
      </c>
      <c r="E614" s="212" t="s">
        <v>100</v>
      </c>
      <c r="F614" s="212" t="s">
        <v>117</v>
      </c>
      <c r="G614" s="212" t="s">
        <v>118</v>
      </c>
      <c r="H614" s="212" t="s">
        <v>119</v>
      </c>
      <c r="I614" s="212" t="s">
        <v>120</v>
      </c>
      <c r="J614" s="212" t="s">
        <v>105</v>
      </c>
      <c r="K614" s="212" t="s">
        <v>106</v>
      </c>
      <c r="L614" s="212" t="s">
        <v>107</v>
      </c>
      <c r="M614" s="213">
        <f t="shared" si="156"/>
        <v>7</v>
      </c>
      <c r="N614" s="441" cm="1">
        <f t="array" ref="N614">IF(TRIM(K614)="Mano de Obra",IF(Formulario!$L$23&lt;&gt;"",Formulario!$L$23,IFERROR(VLOOKUP(TRIM($M$4),Jornalesdeppto!A:C,3,0),"")),_xlfn.XLOOKUP(1,(Tabla_Costos_Insumos!$A$2:$A$3199=TRIM($M$4))*(Tabla_Costos_Insumos!$C$2:$C$3199=TRIM(K614)),Tabla_Costos_Insumos!$E$2:$E$3199,"",0))</f>
        <v>46666.666666666664</v>
      </c>
      <c r="O614" s="441">
        <f t="shared" si="154"/>
        <v>326666.66666666663</v>
      </c>
      <c r="P614" s="212" t="str">
        <f t="shared" si="150"/>
        <v>Palma_Aceite Elaeis guineensis</v>
      </c>
      <c r="Q614" s="212" t="s">
        <v>108</v>
      </c>
      <c r="R614" s="212">
        <v>7</v>
      </c>
      <c r="S614" s="212" t="str">
        <f t="shared" si="157"/>
        <v/>
      </c>
      <c r="T614" s="212" cm="1">
        <f t="array" ref="T614">_xlfn.IFS($D$5&lt;=7, 1.1, $D$5&lt;=12,1.2, $D$5&lt;=25, 1.3, $D$5&gt;25,1.4)</f>
        <v>1.3</v>
      </c>
      <c r="U614" s="212" t="str">
        <f t="shared" si="158"/>
        <v/>
      </c>
      <c r="V614" s="212">
        <v>5</v>
      </c>
      <c r="W614" s="212" t="str">
        <f t="shared" si="149"/>
        <v/>
      </c>
      <c r="X614" s="214">
        <v>5</v>
      </c>
    </row>
    <row r="615" spans="1:24" ht="15">
      <c r="A615" s="211" t="s">
        <v>3774</v>
      </c>
      <c r="B615" s="225" t="s">
        <v>287</v>
      </c>
      <c r="C615" s="212" t="s">
        <v>69</v>
      </c>
      <c r="D615" s="212" t="s">
        <v>99</v>
      </c>
      <c r="E615" s="212" t="s">
        <v>100</v>
      </c>
      <c r="F615" s="212" t="s">
        <v>117</v>
      </c>
      <c r="G615" s="212" t="s">
        <v>118</v>
      </c>
      <c r="H615" s="212" t="s">
        <v>121</v>
      </c>
      <c r="I615" s="212" t="s">
        <v>122</v>
      </c>
      <c r="J615" s="212" t="s">
        <v>105</v>
      </c>
      <c r="K615" s="212" t="s">
        <v>106</v>
      </c>
      <c r="L615" s="212" t="s">
        <v>107</v>
      </c>
      <c r="M615" s="213">
        <f t="shared" si="156"/>
        <v>7</v>
      </c>
      <c r="N615" s="441" cm="1">
        <f t="array" ref="N615">IF(TRIM(K615)="Mano de Obra",IF(Formulario!$L$23&lt;&gt;"",Formulario!$L$23,IFERROR(VLOOKUP(TRIM($M$4),Jornalesdeppto!A:C,3,0),"")),_xlfn.XLOOKUP(1,(Tabla_Costos_Insumos!$A$2:$A$3199=TRIM($M$4))*(Tabla_Costos_Insumos!$C$2:$C$3199=TRIM(K615)),Tabla_Costos_Insumos!$E$2:$E$3199,"",0))</f>
        <v>46666.666666666664</v>
      </c>
      <c r="O615" s="441">
        <f t="shared" si="154"/>
        <v>326666.66666666663</v>
      </c>
      <c r="P615" s="212" t="str">
        <f t="shared" si="150"/>
        <v>Palma_Aceite Elaeis guineensis</v>
      </c>
      <c r="Q615" s="212" t="s">
        <v>108</v>
      </c>
      <c r="R615" s="212">
        <v>7</v>
      </c>
      <c r="S615" s="212" t="str">
        <f t="shared" si="157"/>
        <v/>
      </c>
      <c r="T615" s="212" cm="1">
        <f t="array" ref="T615">_xlfn.IFS($D$5&lt;=7, 1.1, $D$5&lt;=12,1.2, $D$5&lt;=25, 1.3, $D$5&gt;25,1.4)</f>
        <v>1.3</v>
      </c>
      <c r="U615" s="212" t="str">
        <f t="shared" si="158"/>
        <v/>
      </c>
      <c r="V615" s="212">
        <v>5</v>
      </c>
      <c r="W615" s="212" t="str">
        <f t="shared" si="149"/>
        <v/>
      </c>
      <c r="X615" s="214">
        <v>5</v>
      </c>
    </row>
    <row r="616" spans="1:24" ht="15">
      <c r="A616" s="211" t="s">
        <v>3774</v>
      </c>
      <c r="B616" s="225" t="s">
        <v>287</v>
      </c>
      <c r="C616" s="212" t="s">
        <v>69</v>
      </c>
      <c r="D616" s="212" t="s">
        <v>99</v>
      </c>
      <c r="E616" s="212" t="s">
        <v>100</v>
      </c>
      <c r="F616" s="212" t="s">
        <v>123</v>
      </c>
      <c r="G616" s="212" t="s">
        <v>124</v>
      </c>
      <c r="H616" s="212" t="s">
        <v>125</v>
      </c>
      <c r="I616" s="212" t="s">
        <v>126</v>
      </c>
      <c r="J616" s="212" t="s">
        <v>105</v>
      </c>
      <c r="K616" s="212" t="s">
        <v>106</v>
      </c>
      <c r="L616" s="212" t="s">
        <v>107</v>
      </c>
      <c r="M616" s="213">
        <f t="shared" si="156"/>
        <v>2</v>
      </c>
      <c r="N616" s="441" cm="1">
        <f t="array" ref="N616">IF(TRIM(K616)="Mano de Obra",IF(Formulario!$L$23&lt;&gt;"",Formulario!$L$23,IFERROR(VLOOKUP(TRIM($M$4),Jornalesdeppto!A:C,3,0),"")),_xlfn.XLOOKUP(1,(Tabla_Costos_Insumos!$A$2:$A$3199=TRIM($M$4))*(Tabla_Costos_Insumos!$C$2:$C$3199=TRIM(K616)),Tabla_Costos_Insumos!$E$2:$E$3199,"",0))</f>
        <v>46666.666666666664</v>
      </c>
      <c r="O616" s="441">
        <f t="shared" si="154"/>
        <v>93333.333333333328</v>
      </c>
      <c r="P616" s="212" t="str">
        <f t="shared" si="150"/>
        <v>Palma_Aceite Elaeis guineensis</v>
      </c>
      <c r="Q616" s="212" t="s">
        <v>108</v>
      </c>
      <c r="R616" s="212">
        <v>0.09</v>
      </c>
      <c r="S616" s="212" t="str">
        <f t="shared" si="157"/>
        <v/>
      </c>
      <c r="T616" s="212" cm="1">
        <f t="array" ref="T616">_xlfn.IFS($D$5&lt;=7, 1.1, $D$5&lt;=12,1.2, $D$5&lt;=25, 1.3, $D$5&gt;25,1.4)</f>
        <v>1.3</v>
      </c>
      <c r="U616" s="212" t="str">
        <f t="shared" si="158"/>
        <v/>
      </c>
      <c r="V616" s="212">
        <v>2</v>
      </c>
      <c r="W616" s="212" t="str">
        <f t="shared" si="149"/>
        <v/>
      </c>
      <c r="X616" s="214">
        <v>1</v>
      </c>
    </row>
    <row r="617" spans="1:24" ht="15">
      <c r="A617" s="211" t="s">
        <v>3774</v>
      </c>
      <c r="B617" s="225" t="s">
        <v>287</v>
      </c>
      <c r="C617" s="212" t="s">
        <v>69</v>
      </c>
      <c r="D617" s="212" t="s">
        <v>99</v>
      </c>
      <c r="E617" s="212" t="s">
        <v>100</v>
      </c>
      <c r="F617" s="212" t="s">
        <v>123</v>
      </c>
      <c r="G617" s="212" t="s">
        <v>124</v>
      </c>
      <c r="H617" s="212" t="s">
        <v>128</v>
      </c>
      <c r="I617" s="212" t="s">
        <v>129</v>
      </c>
      <c r="J617" s="212" t="s">
        <v>105</v>
      </c>
      <c r="K617" s="212" t="s">
        <v>106</v>
      </c>
      <c r="L617" s="212" t="s">
        <v>107</v>
      </c>
      <c r="M617" s="213">
        <f t="shared" si="156"/>
        <v>6</v>
      </c>
      <c r="N617" s="441" cm="1">
        <f t="array" ref="N617">IF(TRIM(K617)="Mano de Obra",IF(Formulario!$L$23&lt;&gt;"",Formulario!$L$23,IFERROR(VLOOKUP(TRIM($M$4),Jornalesdeppto!A:C,3,0),"")),_xlfn.XLOOKUP(1,(Tabla_Costos_Insumos!$A$2:$A$3199=TRIM($M$4))*(Tabla_Costos_Insumos!$C$2:$C$3199=TRIM(K617)),Tabla_Costos_Insumos!$E$2:$E$3199,"",0))</f>
        <v>46666.666666666664</v>
      </c>
      <c r="O617" s="441">
        <f t="shared" si="154"/>
        <v>280000</v>
      </c>
      <c r="P617" s="212" t="str">
        <f t="shared" si="150"/>
        <v>Palma_Aceite Elaeis guineensis</v>
      </c>
      <c r="Q617" s="212" t="s">
        <v>127</v>
      </c>
      <c r="R617" s="212">
        <v>0.09</v>
      </c>
      <c r="S617" s="212">
        <f t="shared" ref="S617" si="159">10000*R617/480</f>
        <v>1.875</v>
      </c>
      <c r="T617" s="212" cm="1">
        <f t="array" ref="T617">_xlfn.IFS($D$5&lt;=7, 1.1, $D$5&lt;=12,1.2, $D$5&lt;=25, 1.3, $D$5&gt;25,1.4)</f>
        <v>1.3</v>
      </c>
      <c r="U617" s="212"/>
      <c r="V617" s="212">
        <v>2</v>
      </c>
      <c r="W617" s="212"/>
      <c r="X617" s="214">
        <v>4</v>
      </c>
    </row>
    <row r="618" spans="1:24" ht="15">
      <c r="A618" s="211" t="s">
        <v>3774</v>
      </c>
      <c r="B618" s="225" t="s">
        <v>287</v>
      </c>
      <c r="C618" s="212" t="s">
        <v>69</v>
      </c>
      <c r="D618" s="212" t="s">
        <v>99</v>
      </c>
      <c r="E618" s="212" t="s">
        <v>100</v>
      </c>
      <c r="F618" s="212" t="s">
        <v>130</v>
      </c>
      <c r="G618" s="212" t="s">
        <v>131</v>
      </c>
      <c r="H618" s="212" t="s">
        <v>132</v>
      </c>
      <c r="I618" s="212" t="s">
        <v>133</v>
      </c>
      <c r="J618" s="212" t="s">
        <v>105</v>
      </c>
      <c r="K618" s="212" t="s">
        <v>106</v>
      </c>
      <c r="L618" s="212" t="s">
        <v>107</v>
      </c>
      <c r="M618" s="213">
        <f t="shared" si="156"/>
        <v>4</v>
      </c>
      <c r="N618" s="441" cm="1">
        <f t="array" ref="N618">IF(TRIM(K618)="Mano de Obra",IF(Formulario!$L$23&lt;&gt;"",Formulario!$L$23,IFERROR(VLOOKUP(TRIM($M$4),Jornalesdeppto!A:C,3,0),"")),_xlfn.XLOOKUP(1,(Tabla_Costos_Insumos!$A$2:$A$3199=TRIM($M$4))*(Tabla_Costos_Insumos!$C$2:$C$3199=TRIM(K618)),Tabla_Costos_Insumos!$E$2:$E$3199,"",0))</f>
        <v>46666.666666666664</v>
      </c>
      <c r="O618" s="441">
        <f t="shared" si="154"/>
        <v>186666.66666666666</v>
      </c>
      <c r="P618" s="212" t="str">
        <f t="shared" si="150"/>
        <v>Palma_Aceite Elaeis guineensis</v>
      </c>
      <c r="Q618" s="212" t="s">
        <v>108</v>
      </c>
      <c r="R618" s="212">
        <v>1.5</v>
      </c>
      <c r="S618" s="212" t="str">
        <f t="shared" ref="S618:S619" si="160">IF($M$3="Palma_Aceite Elaeis guineensis",($I$3*R618) / 480,"")</f>
        <v/>
      </c>
      <c r="T618" s="212" cm="1">
        <f t="array" ref="T618">_xlfn.IFS($D$5&lt;=7, 1.1, $D$5&lt;=12,1.2, $D$5&lt;=25, 1.3, $D$5&gt;25,1.4)</f>
        <v>1.3</v>
      </c>
      <c r="U618" s="212" t="str">
        <f t="shared" ref="U618:U619" si="161">IFERROR(S618*T618,"")</f>
        <v/>
      </c>
      <c r="V618" s="212">
        <v>4</v>
      </c>
      <c r="W618" s="212" t="str">
        <f t="shared" si="149"/>
        <v/>
      </c>
      <c r="X618" s="214">
        <v>3</v>
      </c>
    </row>
    <row r="619" spans="1:24" ht="15">
      <c r="A619" s="211" t="s">
        <v>3774</v>
      </c>
      <c r="B619" s="225" t="s">
        <v>287</v>
      </c>
      <c r="C619" s="212" t="s">
        <v>69</v>
      </c>
      <c r="D619" s="212" t="s">
        <v>99</v>
      </c>
      <c r="E619" s="212" t="s">
        <v>100</v>
      </c>
      <c r="F619" s="212" t="s">
        <v>130</v>
      </c>
      <c r="G619" s="212" t="s">
        <v>131</v>
      </c>
      <c r="H619" s="212" t="s">
        <v>134</v>
      </c>
      <c r="I619" s="212" t="s">
        <v>135</v>
      </c>
      <c r="J619" s="212" t="s">
        <v>105</v>
      </c>
      <c r="K619" s="212" t="s">
        <v>106</v>
      </c>
      <c r="L619" s="212" t="s">
        <v>107</v>
      </c>
      <c r="M619" s="213">
        <f t="shared" si="156"/>
        <v>2</v>
      </c>
      <c r="N619" s="441" cm="1">
        <f t="array" ref="N619">IF(TRIM(K619)="Mano de Obra",IF(Formulario!$L$23&lt;&gt;"",Formulario!$L$23,IFERROR(VLOOKUP(TRIM($M$4),Jornalesdeppto!A:C,3,0),"")),_xlfn.XLOOKUP(1,(Tabla_Costos_Insumos!$A$2:$A$3199=TRIM($M$4))*(Tabla_Costos_Insumos!$C$2:$C$3199=TRIM(K619)),Tabla_Costos_Insumos!$E$2:$E$3199,"",0))</f>
        <v>46666.666666666664</v>
      </c>
      <c r="O619" s="441">
        <f t="shared" si="154"/>
        <v>93333.333333333328</v>
      </c>
      <c r="P619" s="212" t="str">
        <f t="shared" si="150"/>
        <v>Palma_Aceite Elaeis guineensis</v>
      </c>
      <c r="Q619" s="212" t="s">
        <v>108</v>
      </c>
      <c r="R619" s="212">
        <v>1.5</v>
      </c>
      <c r="S619" s="212" t="str">
        <f t="shared" si="160"/>
        <v/>
      </c>
      <c r="T619" s="212" cm="1">
        <f t="array" ref="T619">_xlfn.IFS($D$5&lt;=7, 1.1, $D$5&lt;=12,1.2, $D$5&lt;=25, 1.3, $D$5&gt;25,1.4)</f>
        <v>1.3</v>
      </c>
      <c r="U619" s="212" t="str">
        <f t="shared" si="161"/>
        <v/>
      </c>
      <c r="V619" s="212">
        <v>4</v>
      </c>
      <c r="W619" s="212" t="str">
        <f t="shared" si="149"/>
        <v/>
      </c>
      <c r="X619" s="214">
        <v>1</v>
      </c>
    </row>
    <row r="620" spans="1:24" ht="15">
      <c r="A620" s="211" t="s">
        <v>3774</v>
      </c>
      <c r="B620" s="225" t="s">
        <v>287</v>
      </c>
      <c r="C620" s="212" t="s">
        <v>69</v>
      </c>
      <c r="D620" s="212" t="s">
        <v>99</v>
      </c>
      <c r="E620" s="212" t="s">
        <v>100</v>
      </c>
      <c r="F620" s="212" t="s">
        <v>138</v>
      </c>
      <c r="G620" s="212" t="s">
        <v>139</v>
      </c>
      <c r="H620" s="212" t="s">
        <v>143</v>
      </c>
      <c r="I620" s="212" t="s">
        <v>144</v>
      </c>
      <c r="J620" s="212" t="s">
        <v>105</v>
      </c>
      <c r="K620" s="212" t="s">
        <v>106</v>
      </c>
      <c r="L620" s="212" t="s">
        <v>107</v>
      </c>
      <c r="M620" s="213">
        <f t="shared" si="156"/>
        <v>20</v>
      </c>
      <c r="N620" s="441" cm="1">
        <f t="array" ref="N620">IF(TRIM(K620)="Mano de Obra",IF(Formulario!$L$23&lt;&gt;"",Formulario!$L$23,IFERROR(VLOOKUP(TRIM($M$4),Jornalesdeppto!A:C,3,0),"")),_xlfn.XLOOKUP(1,(Tabla_Costos_Insumos!$A$2:$A$3199=TRIM($M$4))*(Tabla_Costos_Insumos!$C$2:$C$3199=TRIM(K620)),Tabla_Costos_Insumos!$E$2:$E$3199,"",0))</f>
        <v>46666.666666666664</v>
      </c>
      <c r="O620" s="441">
        <f t="shared" si="154"/>
        <v>933333.33333333326</v>
      </c>
      <c r="P620" s="212" t="str">
        <f t="shared" si="150"/>
        <v>Palma_Aceite Elaeis guineensis</v>
      </c>
      <c r="Q620" s="212" t="s">
        <v>142</v>
      </c>
      <c r="R620" s="212" t="s">
        <v>142</v>
      </c>
      <c r="S620" s="212"/>
      <c r="T620" s="212" cm="1">
        <f t="array" ref="T620">_xlfn.IFS($D$5&lt;=7, 1.1, $D$5&lt;=12,1.2, $D$5&lt;=25, 1.3, $D$5&gt;25,1.4)</f>
        <v>1.3</v>
      </c>
      <c r="U620" s="212"/>
      <c r="V620" s="212" t="s">
        <v>142</v>
      </c>
      <c r="W620" s="212" t="str">
        <f t="shared" si="149"/>
        <v/>
      </c>
      <c r="X620" s="214">
        <v>15</v>
      </c>
    </row>
    <row r="621" spans="1:24" ht="15">
      <c r="A621" s="211" t="s">
        <v>3774</v>
      </c>
      <c r="B621" s="225" t="s">
        <v>287</v>
      </c>
      <c r="C621" s="212" t="s">
        <v>69</v>
      </c>
      <c r="D621" s="212" t="s">
        <v>99</v>
      </c>
      <c r="E621" s="212" t="s">
        <v>100</v>
      </c>
      <c r="F621" s="212" t="s">
        <v>138</v>
      </c>
      <c r="G621" s="212" t="s">
        <v>139</v>
      </c>
      <c r="H621" s="212" t="s">
        <v>288</v>
      </c>
      <c r="I621" s="212" t="s">
        <v>289</v>
      </c>
      <c r="J621" s="212" t="s">
        <v>105</v>
      </c>
      <c r="K621" s="212" t="s">
        <v>106</v>
      </c>
      <c r="L621" s="212" t="s">
        <v>107</v>
      </c>
      <c r="M621" s="213">
        <f t="shared" si="156"/>
        <v>7</v>
      </c>
      <c r="N621" s="441" cm="1">
        <f t="array" ref="N621">IF(TRIM(K621)="Mano de Obra",IF(Formulario!$L$23&lt;&gt;"",Formulario!$L$23,IFERROR(VLOOKUP(TRIM($M$4),Jornalesdeppto!A:C,3,0),"")),_xlfn.XLOOKUP(1,(Tabla_Costos_Insumos!$A$2:$A$3199=TRIM($M$4))*(Tabla_Costos_Insumos!$C$2:$C$3199=TRIM(K621)),Tabla_Costos_Insumos!$E$2:$E$3199,"",0))</f>
        <v>46666.666666666664</v>
      </c>
      <c r="O621" s="441">
        <f t="shared" si="154"/>
        <v>326666.66666666663</v>
      </c>
      <c r="P621" s="212" t="str">
        <f t="shared" si="150"/>
        <v>Palma_Aceite Elaeis guineensis</v>
      </c>
      <c r="Q621" s="212" t="s">
        <v>142</v>
      </c>
      <c r="R621" s="212" t="s">
        <v>142</v>
      </c>
      <c r="S621" s="212"/>
      <c r="T621" s="212" cm="1">
        <f t="array" ref="T621">_xlfn.IFS($D$5&lt;=7, 1.1, $D$5&lt;=12,1.2, $D$5&lt;=25, 1.3, $D$5&gt;25,1.4)</f>
        <v>1.3</v>
      </c>
      <c r="U621" s="212"/>
      <c r="V621" s="212" t="s">
        <v>142</v>
      </c>
      <c r="W621" s="212" t="str">
        <f t="shared" si="149"/>
        <v/>
      </c>
      <c r="X621" s="214">
        <v>5</v>
      </c>
    </row>
    <row r="622" spans="1:24" ht="15">
      <c r="A622" s="211" t="s">
        <v>3774</v>
      </c>
      <c r="B622" s="225" t="s">
        <v>287</v>
      </c>
      <c r="C622" s="212" t="s">
        <v>69</v>
      </c>
      <c r="D622" s="212" t="s">
        <v>99</v>
      </c>
      <c r="E622" s="212" t="s">
        <v>100</v>
      </c>
      <c r="F622" s="212" t="s">
        <v>138</v>
      </c>
      <c r="G622" s="212" t="s">
        <v>139</v>
      </c>
      <c r="H622" s="212" t="s">
        <v>290</v>
      </c>
      <c r="I622" s="212" t="s">
        <v>20</v>
      </c>
      <c r="J622" s="212" t="s">
        <v>105</v>
      </c>
      <c r="K622" s="212" t="s">
        <v>106</v>
      </c>
      <c r="L622" s="212" t="s">
        <v>107</v>
      </c>
      <c r="M622" s="213">
        <f t="shared" si="156"/>
        <v>3</v>
      </c>
      <c r="N622" s="441" cm="1">
        <f t="array" ref="N622">IF(TRIM(K622)="Mano de Obra",IF(Formulario!$L$23&lt;&gt;"",Formulario!$L$23,IFERROR(VLOOKUP(TRIM($M$4),Jornalesdeppto!A:C,3,0),"")),_xlfn.XLOOKUP(1,(Tabla_Costos_Insumos!$A$2:$A$3199=TRIM($M$4))*(Tabla_Costos_Insumos!$C$2:$C$3199=TRIM(K622)),Tabla_Costos_Insumos!$E$2:$E$3199,"",0))</f>
        <v>46666.666666666664</v>
      </c>
      <c r="O622" s="441">
        <f t="shared" si="154"/>
        <v>140000</v>
      </c>
      <c r="P622" s="212" t="str">
        <f t="shared" si="150"/>
        <v>Palma_Aceite Elaeis guineensis</v>
      </c>
      <c r="Q622" s="212" t="s">
        <v>108</v>
      </c>
      <c r="R622" s="212">
        <v>0.5</v>
      </c>
      <c r="S622" s="212" t="str">
        <f t="shared" ref="S622" si="162">IF($M$3="Palma_Aceite Elaeis guineensis",($I$3*R622) / 480,"")</f>
        <v/>
      </c>
      <c r="T622" s="212" cm="1">
        <f t="array" ref="T622">_xlfn.IFS($D$5&lt;=7, 1.1, $D$5&lt;=12,1.2, $D$5&lt;=25, 1.3, $D$5&gt;25,1.4)</f>
        <v>1.3</v>
      </c>
      <c r="U622" s="212"/>
      <c r="V622" s="212">
        <v>0</v>
      </c>
      <c r="W622" s="212"/>
      <c r="X622" s="214">
        <v>2</v>
      </c>
    </row>
    <row r="623" spans="1:24" ht="15">
      <c r="A623" s="211" t="s">
        <v>3774</v>
      </c>
      <c r="B623" s="225" t="s">
        <v>287</v>
      </c>
      <c r="C623" s="212" t="s">
        <v>69</v>
      </c>
      <c r="D623" s="212" t="s">
        <v>145</v>
      </c>
      <c r="E623" s="212" t="s">
        <v>146</v>
      </c>
      <c r="F623" s="212" t="s">
        <v>147</v>
      </c>
      <c r="G623" s="212" t="s">
        <v>131</v>
      </c>
      <c r="H623" s="212" t="s">
        <v>148</v>
      </c>
      <c r="I623" s="212" t="s">
        <v>299</v>
      </c>
      <c r="J623" s="212" t="s">
        <v>149</v>
      </c>
      <c r="K623" s="212" t="s">
        <v>150</v>
      </c>
      <c r="L623" s="212" t="s">
        <v>151</v>
      </c>
      <c r="M623" s="213">
        <v>2</v>
      </c>
      <c r="N623" s="441" cm="1">
        <f t="array" ref="N623">IF(TRIM(K623)="Mano de Obra",IF(Formulario!$L$23&lt;&gt;"",Formulario!$L$23,IFERROR(VLOOKUP(TRIM($M$4),Jornalesdeppto!A:C,3,0),"")),_xlfn.XLOOKUP(1,(Tabla_Costos_Insumos!$A$2:$A$3199=TRIM($M$4))*(Tabla_Costos_Insumos!$C$2:$C$3199=TRIM(K623)),Tabla_Costos_Insumos!$E$2:$E$3199,"",0))</f>
        <v>198055.68333333</v>
      </c>
      <c r="O623" s="441">
        <f t="shared" si="154"/>
        <v>396111.36666666</v>
      </c>
      <c r="P623" s="212" t="str">
        <f t="shared" si="150"/>
        <v>Palma_Aceite Elaeis guineensis</v>
      </c>
      <c r="Q623" s="212" t="s">
        <v>142</v>
      </c>
      <c r="R623" s="212" t="s">
        <v>142</v>
      </c>
      <c r="S623" s="212"/>
      <c r="T623" s="212"/>
      <c r="U623" s="212"/>
      <c r="V623" s="212" t="s">
        <v>142</v>
      </c>
      <c r="W623" s="212" t="str">
        <f t="shared" si="149"/>
        <v/>
      </c>
      <c r="X623" s="214"/>
    </row>
    <row r="624" spans="1:24" ht="15">
      <c r="A624" s="211" t="s">
        <v>3774</v>
      </c>
      <c r="B624" s="225" t="s">
        <v>287</v>
      </c>
      <c r="C624" s="212" t="s">
        <v>69</v>
      </c>
      <c r="D624" s="212" t="s">
        <v>145</v>
      </c>
      <c r="E624" s="212" t="s">
        <v>146</v>
      </c>
      <c r="F624" s="212" t="s">
        <v>147</v>
      </c>
      <c r="G624" s="212" t="s">
        <v>131</v>
      </c>
      <c r="H624" s="212" t="s">
        <v>152</v>
      </c>
      <c r="I624" s="212" t="s">
        <v>153</v>
      </c>
      <c r="J624" s="212" t="s">
        <v>149</v>
      </c>
      <c r="K624" s="212" t="s">
        <v>166</v>
      </c>
      <c r="L624" s="212" t="s">
        <v>151</v>
      </c>
      <c r="M624" s="213">
        <v>14</v>
      </c>
      <c r="N624" s="441" cm="1">
        <f t="array" ref="N624">IF(TRIM(K624)="Mano de Obra",IF(Formulario!$L$23&lt;&gt;"",Formulario!$L$23,IFERROR(VLOOKUP(TRIM($M$4),Jornalesdeppto!A:C,3,0),"")),_xlfn.XLOOKUP(1,(Tabla_Costos_Insumos!$A$2:$A$3199=TRIM($M$4))*(Tabla_Costos_Insumos!$C$2:$C$3199=TRIM(K624)),Tabla_Costos_Insumos!$E$2:$E$3199,"",0))</f>
        <v>110000</v>
      </c>
      <c r="O624" s="441">
        <f t="shared" si="154"/>
        <v>1540000</v>
      </c>
      <c r="P624" s="212" t="str">
        <f t="shared" si="150"/>
        <v>Palma_Aceite Elaeis guineensis</v>
      </c>
      <c r="Q624" s="212" t="s">
        <v>142</v>
      </c>
      <c r="R624" s="212" t="s">
        <v>142</v>
      </c>
      <c r="S624" s="212"/>
      <c r="T624" s="212"/>
      <c r="U624" s="212"/>
      <c r="V624" s="212" t="s">
        <v>142</v>
      </c>
      <c r="W624" s="212" t="str">
        <f t="shared" si="149"/>
        <v/>
      </c>
      <c r="X624" s="214"/>
    </row>
    <row r="625" spans="1:24" ht="15">
      <c r="A625" s="211" t="s">
        <v>3774</v>
      </c>
      <c r="B625" s="225" t="s">
        <v>287</v>
      </c>
      <c r="C625" s="212" t="s">
        <v>69</v>
      </c>
      <c r="D625" s="212" t="s">
        <v>145</v>
      </c>
      <c r="E625" s="212" t="s">
        <v>146</v>
      </c>
      <c r="F625" s="212" t="s">
        <v>147</v>
      </c>
      <c r="G625" s="212" t="s">
        <v>131</v>
      </c>
      <c r="H625" s="212" t="s">
        <v>154</v>
      </c>
      <c r="I625" s="212" t="s">
        <v>155</v>
      </c>
      <c r="J625" s="212" t="s">
        <v>149</v>
      </c>
      <c r="K625" s="212" t="s">
        <v>156</v>
      </c>
      <c r="L625" s="212" t="s">
        <v>151</v>
      </c>
      <c r="M625" s="213">
        <v>3</v>
      </c>
      <c r="N625" s="441" cm="1">
        <f t="array" ref="N625">IF(TRIM(K625)="Mano de Obra",IF(Formulario!$L$23&lt;&gt;"",Formulario!$L$23,IFERROR(VLOOKUP(TRIM($M$4),Jornalesdeppto!A:C,3,0),"")),_xlfn.XLOOKUP(1,(Tabla_Costos_Insumos!$A$2:$A$3199=TRIM($M$4))*(Tabla_Costos_Insumos!$C$2:$C$3199=TRIM(K625)),Tabla_Costos_Insumos!$E$2:$E$3199,"",0))</f>
        <v>17212.5</v>
      </c>
      <c r="O625" s="441">
        <f t="shared" si="154"/>
        <v>51637.5</v>
      </c>
      <c r="P625" s="212" t="str">
        <f t="shared" si="150"/>
        <v>Palma_Aceite Elaeis guineensis</v>
      </c>
      <c r="Q625" s="212" t="s">
        <v>142</v>
      </c>
      <c r="R625" s="212" t="s">
        <v>142</v>
      </c>
      <c r="S625" s="212"/>
      <c r="T625" s="212"/>
      <c r="U625" s="212"/>
      <c r="V625" s="212" t="s">
        <v>142</v>
      </c>
      <c r="W625" s="212" t="str">
        <f t="shared" si="149"/>
        <v/>
      </c>
      <c r="X625" s="214"/>
    </row>
    <row r="626" spans="1:24" ht="15">
      <c r="A626" s="211" t="s">
        <v>3774</v>
      </c>
      <c r="B626" s="225" t="s">
        <v>287</v>
      </c>
      <c r="C626" s="212" t="s">
        <v>69</v>
      </c>
      <c r="D626" s="212" t="s">
        <v>145</v>
      </c>
      <c r="E626" s="212" t="s">
        <v>146</v>
      </c>
      <c r="F626" s="212" t="s">
        <v>147</v>
      </c>
      <c r="G626" s="212" t="s">
        <v>131</v>
      </c>
      <c r="H626" s="212" t="s">
        <v>157</v>
      </c>
      <c r="I626" s="212" t="s">
        <v>158</v>
      </c>
      <c r="J626" s="212" t="s">
        <v>149</v>
      </c>
      <c r="K626" s="212" t="s">
        <v>291</v>
      </c>
      <c r="L626" s="212" t="s">
        <v>172</v>
      </c>
      <c r="M626" s="213">
        <v>9</v>
      </c>
      <c r="N626" s="441" cm="1">
        <f t="array" ref="N626">IF(TRIM(K626)="Mano de Obra",IF(Formulario!$L$23&lt;&gt;"",Formulario!$L$23,IFERROR(VLOOKUP(TRIM($M$4),Jornalesdeppto!A:C,3,0),"")),_xlfn.XLOOKUP(1,(Tabla_Costos_Insumos!$A$2:$A$3199=TRIM($M$4))*(Tabla_Costos_Insumos!$C$2:$C$3199=TRIM(K626)),Tabla_Costos_Insumos!$E$2:$E$3199,"",0))</f>
        <v>22086.61</v>
      </c>
      <c r="O626" s="441">
        <f t="shared" si="154"/>
        <v>198779.49</v>
      </c>
      <c r="P626" s="212" t="str">
        <f t="shared" si="150"/>
        <v>Palma_Aceite Elaeis guineensis</v>
      </c>
      <c r="Q626" s="212" t="s">
        <v>142</v>
      </c>
      <c r="R626" s="212" t="s">
        <v>142</v>
      </c>
      <c r="S626" s="212"/>
      <c r="T626" s="212"/>
      <c r="U626" s="212"/>
      <c r="V626" s="212" t="s">
        <v>142</v>
      </c>
      <c r="W626" s="212" t="str">
        <f t="shared" ref="W626:W685" si="163">IFERROR(ROUNDUP(V626*U626,0),"")</f>
        <v/>
      </c>
      <c r="X626" s="214"/>
    </row>
    <row r="627" spans="1:24" ht="15">
      <c r="A627" s="211" t="s">
        <v>3774</v>
      </c>
      <c r="B627" s="225" t="s">
        <v>287</v>
      </c>
      <c r="C627" s="212" t="s">
        <v>69</v>
      </c>
      <c r="D627" s="212" t="s">
        <v>145</v>
      </c>
      <c r="E627" s="212" t="s">
        <v>146</v>
      </c>
      <c r="F627" s="212" t="s">
        <v>147</v>
      </c>
      <c r="G627" s="212" t="s">
        <v>131</v>
      </c>
      <c r="H627" s="212" t="s">
        <v>161</v>
      </c>
      <c r="I627" s="212" t="s">
        <v>162</v>
      </c>
      <c r="J627" s="212" t="s">
        <v>149</v>
      </c>
      <c r="K627" s="212" t="s">
        <v>163</v>
      </c>
      <c r="L627" s="212" t="s">
        <v>164</v>
      </c>
      <c r="M627" s="213">
        <v>2</v>
      </c>
      <c r="N627" s="441" cm="1">
        <f t="array" ref="N627">IF(TRIM(K627)="Mano de Obra",IF(Formulario!$L$23&lt;&gt;"",Formulario!$L$23,IFERROR(VLOOKUP(TRIM($M$4),Jornalesdeppto!A:C,3,0),"")),_xlfn.XLOOKUP(1,(Tabla_Costos_Insumos!$A$2:$A$3199=TRIM($M$4))*(Tabla_Costos_Insumos!$C$2:$C$3199=TRIM(K627)),Tabla_Costos_Insumos!$E$2:$E$3199,"",0))</f>
        <v>128084.44444445</v>
      </c>
      <c r="O627" s="441">
        <f t="shared" si="154"/>
        <v>256168.88888889999</v>
      </c>
      <c r="P627" s="212" t="str">
        <f t="shared" si="150"/>
        <v>Palma_Aceite Elaeis guineensis</v>
      </c>
      <c r="Q627" s="212" t="s">
        <v>142</v>
      </c>
      <c r="R627" s="212" t="s">
        <v>142</v>
      </c>
      <c r="S627" s="212"/>
      <c r="T627" s="212"/>
      <c r="U627" s="212"/>
      <c r="V627" s="212" t="s">
        <v>142</v>
      </c>
      <c r="W627" s="212" t="str">
        <f t="shared" si="163"/>
        <v/>
      </c>
      <c r="X627" s="214"/>
    </row>
    <row r="628" spans="1:24" ht="15">
      <c r="A628" s="211" t="s">
        <v>3774</v>
      </c>
      <c r="B628" s="225" t="s">
        <v>287</v>
      </c>
      <c r="C628" s="212" t="s">
        <v>69</v>
      </c>
      <c r="D628" s="212" t="s">
        <v>145</v>
      </c>
      <c r="E628" s="212" t="s">
        <v>146</v>
      </c>
      <c r="F628" s="212" t="s">
        <v>147</v>
      </c>
      <c r="G628" s="212" t="s">
        <v>131</v>
      </c>
      <c r="H628" s="212" t="s">
        <v>165</v>
      </c>
      <c r="I628" s="212" t="s">
        <v>153</v>
      </c>
      <c r="J628" s="212" t="s">
        <v>149</v>
      </c>
      <c r="K628" s="212" t="s">
        <v>4216</v>
      </c>
      <c r="L628" s="212" t="s">
        <v>151</v>
      </c>
      <c r="M628" s="213">
        <v>8</v>
      </c>
      <c r="N628" s="441" cm="1">
        <f t="array" ref="N628">IF(TRIM(K628)="Mano de Obra",IF(Formulario!$L$23&lt;&gt;"",Formulario!$L$23,IFERROR(VLOOKUP(TRIM($M$4),Jornalesdeppto!A:C,3,0),"")),_xlfn.XLOOKUP(1,(Tabla_Costos_Insumos!$A$2:$A$3199=TRIM($M$4))*(Tabla_Costos_Insumos!$C$2:$C$3199=TRIM(K628)),Tabla_Costos_Insumos!$E$2:$E$3199,"",0))</f>
        <v>125849.2424242409</v>
      </c>
      <c r="O628" s="441">
        <f t="shared" si="154"/>
        <v>1006793.9393939272</v>
      </c>
      <c r="P628" s="212" t="str">
        <f t="shared" si="150"/>
        <v>Palma_Aceite Elaeis guineensis</v>
      </c>
      <c r="Q628" s="212" t="s">
        <v>142</v>
      </c>
      <c r="R628" s="212" t="s">
        <v>142</v>
      </c>
      <c r="S628" s="212"/>
      <c r="T628" s="212"/>
      <c r="U628" s="212"/>
      <c r="V628" s="212" t="s">
        <v>142</v>
      </c>
      <c r="W628" s="212" t="str">
        <f t="shared" si="163"/>
        <v/>
      </c>
      <c r="X628" s="214"/>
    </row>
    <row r="629" spans="1:24" ht="15">
      <c r="A629" s="211" t="s">
        <v>3774</v>
      </c>
      <c r="B629" s="225" t="s">
        <v>287</v>
      </c>
      <c r="C629" s="212" t="s">
        <v>69</v>
      </c>
      <c r="D629" s="212" t="s">
        <v>145</v>
      </c>
      <c r="E629" s="212" t="s">
        <v>146</v>
      </c>
      <c r="F629" s="212" t="s">
        <v>167</v>
      </c>
      <c r="G629" s="212" t="s">
        <v>118</v>
      </c>
      <c r="H629" s="212" t="s">
        <v>292</v>
      </c>
      <c r="I629" s="212" t="s">
        <v>293</v>
      </c>
      <c r="J629" s="212" t="s">
        <v>249</v>
      </c>
      <c r="K629" s="212" t="s">
        <v>4077</v>
      </c>
      <c r="L629" s="212" t="s">
        <v>294</v>
      </c>
      <c r="M629" s="213">
        <v>5</v>
      </c>
      <c r="N629" s="441" cm="1">
        <f t="array" ref="N629">IF(TRIM(K629)="Mano de Obra",IF(Formulario!$L$23&lt;&gt;"",Formulario!$L$23,IFERROR(VLOOKUP(TRIM($M$4),Jornalesdeppto!A:C,3,0),"")),_xlfn.XLOOKUP(1,(Tabla_Costos_Insumos!$A$2:$A$3199=TRIM($M$4))*(Tabla_Costos_Insumos!$C$2:$C$3199=TRIM(K629)),Tabla_Costos_Insumos!$E$2:$E$3199,"",0))</f>
        <v>36066.666666664285</v>
      </c>
      <c r="O629" s="441">
        <f t="shared" si="154"/>
        <v>180333.33333332144</v>
      </c>
      <c r="P629" s="212" t="str">
        <f t="shared" si="150"/>
        <v>Palma_Aceite Elaeis guineensis</v>
      </c>
      <c r="Q629" s="212" t="s">
        <v>142</v>
      </c>
      <c r="R629" s="212" t="s">
        <v>142</v>
      </c>
      <c r="S629" s="212"/>
      <c r="T629" s="212"/>
      <c r="U629" s="212"/>
      <c r="V629" s="212" t="s">
        <v>142</v>
      </c>
      <c r="W629" s="212" t="str">
        <f t="shared" si="163"/>
        <v/>
      </c>
      <c r="X629" s="214"/>
    </row>
    <row r="630" spans="1:24" ht="15">
      <c r="A630" s="211" t="s">
        <v>3774</v>
      </c>
      <c r="B630" s="225" t="s">
        <v>287</v>
      </c>
      <c r="C630" s="212" t="s">
        <v>69</v>
      </c>
      <c r="D630" s="212" t="s">
        <v>145</v>
      </c>
      <c r="E630" s="212" t="s">
        <v>146</v>
      </c>
      <c r="F630" s="212" t="s">
        <v>167</v>
      </c>
      <c r="G630" s="212" t="s">
        <v>118</v>
      </c>
      <c r="H630" s="212" t="s">
        <v>168</v>
      </c>
      <c r="I630" s="212" t="s">
        <v>169</v>
      </c>
      <c r="J630" s="212" t="s">
        <v>170</v>
      </c>
      <c r="K630" s="212" t="s">
        <v>295</v>
      </c>
      <c r="L630" s="212" t="s">
        <v>261</v>
      </c>
      <c r="M630" s="213">
        <v>35</v>
      </c>
      <c r="N630" s="441" cm="1">
        <f t="array" ref="N630">IF(TRIM(K630)="Mano de Obra",IF(Formulario!$L$23&lt;&gt;"",Formulario!$L$23,IFERROR(VLOOKUP(TRIM($M$4),Jornalesdeppto!A:C,3,0),"")),_xlfn.XLOOKUP(1,(Tabla_Costos_Insumos!$A$2:$A$3199=TRIM($M$4))*(Tabla_Costos_Insumos!$C$2:$C$3199=TRIM(K630)),Tabla_Costos_Insumos!$E$2:$E$3199,"",0))</f>
        <v>29269.489247313439</v>
      </c>
      <c r="O630" s="441">
        <f t="shared" si="154"/>
        <v>1024432.1236559703</v>
      </c>
      <c r="P630" s="212" t="str">
        <f t="shared" si="150"/>
        <v>Palma_Aceite Elaeis guineensis</v>
      </c>
      <c r="Q630" s="212" t="s">
        <v>142</v>
      </c>
      <c r="R630" s="212" t="s">
        <v>142</v>
      </c>
      <c r="S630" s="212"/>
      <c r="T630" s="212"/>
      <c r="U630" s="212"/>
      <c r="V630" s="212" t="s">
        <v>142</v>
      </c>
      <c r="W630" s="212" t="str">
        <f t="shared" si="163"/>
        <v/>
      </c>
      <c r="X630" s="214"/>
    </row>
    <row r="631" spans="1:24" ht="15">
      <c r="A631" s="211" t="s">
        <v>3774</v>
      </c>
      <c r="B631" s="225" t="s">
        <v>287</v>
      </c>
      <c r="C631" s="212" t="s">
        <v>69</v>
      </c>
      <c r="D631" s="212" t="s">
        <v>145</v>
      </c>
      <c r="E631" s="212" t="s">
        <v>146</v>
      </c>
      <c r="F631" s="212" t="s">
        <v>167</v>
      </c>
      <c r="G631" s="212" t="s">
        <v>118</v>
      </c>
      <c r="H631" s="212" t="s">
        <v>168</v>
      </c>
      <c r="I631" s="212" t="s">
        <v>169</v>
      </c>
      <c r="J631" s="212" t="s">
        <v>170</v>
      </c>
      <c r="K631" s="212" t="s">
        <v>296</v>
      </c>
      <c r="L631" s="212" t="s">
        <v>226</v>
      </c>
      <c r="M631" s="213">
        <v>46</v>
      </c>
      <c r="N631" s="441" cm="1">
        <f t="array" ref="N631">IF(TRIM(K631)="Mano de Obra",IF(Formulario!$L$23&lt;&gt;"",Formulario!$L$23,IFERROR(VLOOKUP(TRIM($M$4),Jornalesdeppto!A:C,3,0),"")),_xlfn.XLOOKUP(1,(Tabla_Costos_Insumos!$A$2:$A$3199=TRIM($M$4))*(Tabla_Costos_Insumos!$C$2:$C$3199=TRIM(K631)),Tabla_Costos_Insumos!$E$2:$E$3199,"",0))</f>
        <v>23167.62</v>
      </c>
      <c r="O631" s="441">
        <f t="shared" si="154"/>
        <v>1065710.52</v>
      </c>
      <c r="P631" s="212" t="str">
        <f t="shared" si="150"/>
        <v>Palma_Aceite Elaeis guineensis</v>
      </c>
      <c r="Q631" s="212" t="s">
        <v>142</v>
      </c>
      <c r="R631" s="212" t="s">
        <v>142</v>
      </c>
      <c r="S631" s="212"/>
      <c r="T631" s="212"/>
      <c r="U631" s="212"/>
      <c r="V631" s="212" t="s">
        <v>142</v>
      </c>
      <c r="W631" s="212" t="str">
        <f t="shared" si="163"/>
        <v/>
      </c>
      <c r="X631" s="214"/>
    </row>
    <row r="632" spans="1:24" ht="15">
      <c r="A632" s="211" t="s">
        <v>3774</v>
      </c>
      <c r="B632" s="225" t="s">
        <v>287</v>
      </c>
      <c r="C632" s="212" t="s">
        <v>69</v>
      </c>
      <c r="D632" s="212" t="s">
        <v>145</v>
      </c>
      <c r="E632" s="212" t="s">
        <v>146</v>
      </c>
      <c r="F632" s="212" t="s">
        <v>167</v>
      </c>
      <c r="G632" s="212" t="s">
        <v>118</v>
      </c>
      <c r="H632" s="212" t="s">
        <v>174</v>
      </c>
      <c r="I632" s="212" t="s">
        <v>175</v>
      </c>
      <c r="J632" s="212" t="s">
        <v>176</v>
      </c>
      <c r="K632" s="212" t="s">
        <v>231</v>
      </c>
      <c r="L632" s="212" t="s">
        <v>172</v>
      </c>
      <c r="M632" s="213">
        <v>24</v>
      </c>
      <c r="N632" s="441" cm="1">
        <f t="array" ref="N632">IF(TRIM(K632)="Mano de Obra",IF(Formulario!$L$23&lt;&gt;"",Formulario!$L$23,IFERROR(VLOOKUP(TRIM($M$4),Jornalesdeppto!A:C,3,0),"")),_xlfn.XLOOKUP(1,(Tabla_Costos_Insumos!$A$2:$A$3199=TRIM($M$4))*(Tabla_Costos_Insumos!$C$2:$C$3199=TRIM(K632)),Tabla_Costos_Insumos!$E$2:$E$3199,"",0))</f>
        <v>23177.15</v>
      </c>
      <c r="O632" s="441">
        <f t="shared" si="154"/>
        <v>556251.60000000009</v>
      </c>
      <c r="P632" s="212" t="str">
        <f t="shared" si="150"/>
        <v>Palma_Aceite Elaeis guineensis</v>
      </c>
      <c r="Q632" s="212" t="s">
        <v>142</v>
      </c>
      <c r="R632" s="212" t="s">
        <v>142</v>
      </c>
      <c r="S632" s="212"/>
      <c r="T632" s="212"/>
      <c r="U632" s="212"/>
      <c r="V632" s="212" t="s">
        <v>142</v>
      </c>
      <c r="W632" s="212" t="str">
        <f t="shared" si="163"/>
        <v/>
      </c>
      <c r="X632" s="214"/>
    </row>
    <row r="633" spans="1:24" ht="15">
      <c r="A633" s="211" t="s">
        <v>3774</v>
      </c>
      <c r="B633" s="225" t="s">
        <v>287</v>
      </c>
      <c r="C633" s="212" t="s">
        <v>69</v>
      </c>
      <c r="D633" s="212" t="s">
        <v>145</v>
      </c>
      <c r="E633" s="212" t="s">
        <v>146</v>
      </c>
      <c r="F633" s="212" t="s">
        <v>167</v>
      </c>
      <c r="G633" s="212" t="s">
        <v>118</v>
      </c>
      <c r="H633" s="212" t="s">
        <v>178</v>
      </c>
      <c r="I633" s="212" t="s">
        <v>179</v>
      </c>
      <c r="J633" s="212" t="s">
        <v>180</v>
      </c>
      <c r="K633" s="212" t="s">
        <v>182</v>
      </c>
      <c r="L633" s="212" t="s">
        <v>172</v>
      </c>
      <c r="M633" s="213">
        <v>6</v>
      </c>
      <c r="N633" s="441" cm="1">
        <f t="array" ref="N633">IF(TRIM(K633)="Mano de Obra",IF(Formulario!$L$23&lt;&gt;"",Formulario!$L$23,IFERROR(VLOOKUP(TRIM($M$4),Jornalesdeppto!A:C,3,0),"")),_xlfn.XLOOKUP(1,(Tabla_Costos_Insumos!$A$2:$A$3199=TRIM($M$4))*(Tabla_Costos_Insumos!$C$2:$C$3199=TRIM(K633)),Tabla_Costos_Insumos!$E$2:$E$3199,"",0))</f>
        <v>151029.59</v>
      </c>
      <c r="O633" s="441">
        <f t="shared" si="154"/>
        <v>906177.54</v>
      </c>
      <c r="P633" s="212" t="str">
        <f t="shared" si="150"/>
        <v>Palma_Aceite Elaeis guineensis</v>
      </c>
      <c r="Q633" s="212" t="s">
        <v>142</v>
      </c>
      <c r="R633" s="212" t="s">
        <v>142</v>
      </c>
      <c r="S633" s="212"/>
      <c r="T633" s="212"/>
      <c r="U633" s="212"/>
      <c r="V633" s="212" t="s">
        <v>142</v>
      </c>
      <c r="W633" s="212" t="str">
        <f t="shared" si="163"/>
        <v/>
      </c>
      <c r="X633" s="214"/>
    </row>
    <row r="634" spans="1:24" ht="15">
      <c r="A634" s="211" t="s">
        <v>3774</v>
      </c>
      <c r="B634" s="225" t="s">
        <v>287</v>
      </c>
      <c r="C634" s="212" t="s">
        <v>69</v>
      </c>
      <c r="D634" s="212" t="s">
        <v>145</v>
      </c>
      <c r="E634" s="212" t="s">
        <v>146</v>
      </c>
      <c r="F634" s="212" t="s">
        <v>167</v>
      </c>
      <c r="G634" s="212" t="s">
        <v>118</v>
      </c>
      <c r="H634" s="212" t="s">
        <v>178</v>
      </c>
      <c r="I634" s="212" t="s">
        <v>179</v>
      </c>
      <c r="J634" s="212" t="s">
        <v>180</v>
      </c>
      <c r="K634" s="212" t="s">
        <v>297</v>
      </c>
      <c r="L634" s="212" t="s">
        <v>172</v>
      </c>
      <c r="M634" s="213">
        <v>6</v>
      </c>
      <c r="N634" s="441" cm="1">
        <f t="array" ref="N634">IF(TRIM(K634)="Mano de Obra",IF(Formulario!$L$23&lt;&gt;"",Formulario!$L$23,IFERROR(VLOOKUP(TRIM($M$4),Jornalesdeppto!A:C,3,0),"")),_xlfn.XLOOKUP(1,(Tabla_Costos_Insumos!$A$2:$A$3199=TRIM($M$4))*(Tabla_Costos_Insumos!$C$2:$C$3199=TRIM(K634)),Tabla_Costos_Insumos!$E$2:$E$3199,"",0))</f>
        <v>149375.29999999999</v>
      </c>
      <c r="O634" s="441">
        <f t="shared" si="154"/>
        <v>896251.79999999993</v>
      </c>
      <c r="P634" s="212" t="str">
        <f t="shared" si="150"/>
        <v>Palma_Aceite Elaeis guineensis</v>
      </c>
      <c r="Q634" s="212" t="s">
        <v>142</v>
      </c>
      <c r="R634" s="212" t="s">
        <v>142</v>
      </c>
      <c r="S634" s="212"/>
      <c r="T634" s="212"/>
      <c r="U634" s="212"/>
      <c r="V634" s="212" t="s">
        <v>142</v>
      </c>
      <c r="W634" s="212" t="str">
        <f t="shared" si="163"/>
        <v/>
      </c>
      <c r="X634" s="214"/>
    </row>
    <row r="635" spans="1:24" ht="15">
      <c r="A635" s="211" t="s">
        <v>3774</v>
      </c>
      <c r="B635" s="225" t="s">
        <v>287</v>
      </c>
      <c r="C635" s="212" t="s">
        <v>69</v>
      </c>
      <c r="D635" s="212" t="s">
        <v>145</v>
      </c>
      <c r="E635" s="212" t="s">
        <v>146</v>
      </c>
      <c r="F635" s="212" t="s">
        <v>183</v>
      </c>
      <c r="G635" s="212" t="s">
        <v>184</v>
      </c>
      <c r="H635" s="212" t="s">
        <v>185</v>
      </c>
      <c r="I635" s="212" t="s">
        <v>186</v>
      </c>
      <c r="J635" s="212" t="s">
        <v>105</v>
      </c>
      <c r="K635" s="212" t="s">
        <v>187</v>
      </c>
      <c r="L635" s="212" t="s">
        <v>188</v>
      </c>
      <c r="M635" s="213">
        <v>0.1</v>
      </c>
      <c r="N635" s="441" cm="1">
        <f t="array" ref="N635">IF(TRIM(K635)="Mano de Obra",IF(Formulario!$L$23&lt;&gt;"",Formulario!$L$23,IFERROR(VLOOKUP(TRIM($M$4),Jornalesdeppto!A:C,3,0),"")),_xlfn.XLOOKUP(1,(Tabla_Costos_Insumos!$A$2:$A$3199=TRIM($M$4))*(Tabla_Costos_Insumos!$C$2:$C$3199=TRIM(K635)),Tabla_Costos_Insumos!$E$2:$E$3199,"",0))</f>
        <v>175000</v>
      </c>
      <c r="O635" s="441">
        <f t="shared" si="154"/>
        <v>17500</v>
      </c>
      <c r="P635" s="212" t="str">
        <f t="shared" si="150"/>
        <v>Palma_Aceite Elaeis guineensis</v>
      </c>
      <c r="Q635" s="212" t="s">
        <v>142</v>
      </c>
      <c r="R635" s="212" t="s">
        <v>142</v>
      </c>
      <c r="S635" s="212"/>
      <c r="T635" s="212"/>
      <c r="U635" s="212"/>
      <c r="V635" s="212" t="s">
        <v>142</v>
      </c>
      <c r="W635" s="212" t="str">
        <f t="shared" si="163"/>
        <v/>
      </c>
      <c r="X635" s="214"/>
    </row>
    <row r="636" spans="1:24" ht="15">
      <c r="A636" s="211" t="s">
        <v>3774</v>
      </c>
      <c r="B636" s="225" t="s">
        <v>287</v>
      </c>
      <c r="C636" s="212" t="s">
        <v>69</v>
      </c>
      <c r="D636" s="212" t="s">
        <v>189</v>
      </c>
      <c r="E636" s="212" t="s">
        <v>190</v>
      </c>
      <c r="F636" s="212" t="s">
        <v>191</v>
      </c>
      <c r="G636" s="212" t="s">
        <v>192</v>
      </c>
      <c r="H636" s="212" t="s">
        <v>193</v>
      </c>
      <c r="I636" s="212" t="s">
        <v>194</v>
      </c>
      <c r="J636" s="212" t="s">
        <v>195</v>
      </c>
      <c r="K636" s="212" t="s">
        <v>196</v>
      </c>
      <c r="L636" s="212" t="s">
        <v>197</v>
      </c>
      <c r="M636" s="213">
        <v>1</v>
      </c>
      <c r="N636" s="441">
        <f>IFERROR(SUM(O618:$O$635)*0.08,0)</f>
        <v>782091.84815510246</v>
      </c>
      <c r="O636" s="441">
        <f t="shared" si="154"/>
        <v>782091.84815510246</v>
      </c>
      <c r="P636" s="212" t="str">
        <f t="shared" si="150"/>
        <v>Palma_Aceite Elaeis guineensis</v>
      </c>
      <c r="Q636" s="212" t="s">
        <v>142</v>
      </c>
      <c r="R636" s="212" t="s">
        <v>142</v>
      </c>
      <c r="S636" s="212"/>
      <c r="T636" s="212"/>
      <c r="U636" s="212"/>
      <c r="V636" s="212" t="s">
        <v>142</v>
      </c>
      <c r="W636" s="212" t="str">
        <f t="shared" si="163"/>
        <v/>
      </c>
      <c r="X636" s="214"/>
    </row>
    <row r="637" spans="1:24" ht="15">
      <c r="A637" s="211" t="s">
        <v>3774</v>
      </c>
      <c r="B637" s="225" t="s">
        <v>287</v>
      </c>
      <c r="C637" s="212" t="s">
        <v>69</v>
      </c>
      <c r="D637" s="212" t="s">
        <v>189</v>
      </c>
      <c r="E637" s="212" t="s">
        <v>190</v>
      </c>
      <c r="F637" s="212" t="s">
        <v>198</v>
      </c>
      <c r="G637" s="212" t="s">
        <v>199</v>
      </c>
      <c r="H637" s="212" t="s">
        <v>200</v>
      </c>
      <c r="I637" s="212" t="s">
        <v>201</v>
      </c>
      <c r="J637" s="212" t="s">
        <v>105</v>
      </c>
      <c r="K637" s="212" t="s">
        <v>202</v>
      </c>
      <c r="L637" s="212" t="s">
        <v>203</v>
      </c>
      <c r="M637" s="213">
        <v>1</v>
      </c>
      <c r="N637" s="441" cm="1">
        <f t="array" ref="N637">IF(TRIM(K637)="Mano de Obra",IF(Formulario!$L$23&lt;&gt;"",Formulario!$L$23,IFERROR(VLOOKUP(TRIM($M$4),Jornalesdeppto!A:C,3,0),"")),_xlfn.XLOOKUP(1,(Tabla_Costos_Insumos!$A$2:$A$3199=TRIM($M$4))*(Tabla_Costos_Insumos!$C$2:$C$3199=TRIM(K637)),Tabla_Costos_Insumos!$E$2:$E$3199,"",0))</f>
        <v>120000</v>
      </c>
      <c r="O637" s="441">
        <f t="shared" si="154"/>
        <v>120000</v>
      </c>
      <c r="P637" s="212" t="str">
        <f t="shared" ref="P637:P696" si="164">CONCATENATE(A637," ",B637)</f>
        <v>Palma_Aceite Elaeis guineensis</v>
      </c>
      <c r="Q637" s="212" t="s">
        <v>142</v>
      </c>
      <c r="R637" s="212" t="s">
        <v>142</v>
      </c>
      <c r="S637" s="212"/>
      <c r="T637" s="212"/>
      <c r="U637" s="212"/>
      <c r="V637" s="212" t="s">
        <v>142</v>
      </c>
      <c r="W637" s="212" t="str">
        <f t="shared" si="163"/>
        <v/>
      </c>
      <c r="X637" s="214"/>
    </row>
    <row r="638" spans="1:24" ht="15">
      <c r="A638" s="211" t="s">
        <v>3774</v>
      </c>
      <c r="B638" s="225" t="s">
        <v>287</v>
      </c>
      <c r="C638" s="212" t="s">
        <v>69</v>
      </c>
      <c r="D638" s="212" t="s">
        <v>189</v>
      </c>
      <c r="E638" s="212" t="s">
        <v>190</v>
      </c>
      <c r="F638" s="212" t="s">
        <v>204</v>
      </c>
      <c r="G638" s="212" t="s">
        <v>205</v>
      </c>
      <c r="H638" s="212" t="s">
        <v>206</v>
      </c>
      <c r="I638" s="212" t="s">
        <v>207</v>
      </c>
      <c r="J638" s="212" t="s">
        <v>4127</v>
      </c>
      <c r="K638" s="212" t="s">
        <v>228</v>
      </c>
      <c r="L638" s="212" t="s">
        <v>197</v>
      </c>
      <c r="M638" s="213">
        <v>1</v>
      </c>
      <c r="N638" s="441" t="str">
        <f>IF($M$3="Palma_Aceite Elaeis guineensis",($J$4),"")</f>
        <v/>
      </c>
      <c r="O638" s="441" t="str">
        <f t="shared" si="154"/>
        <v/>
      </c>
      <c r="P638" s="212" t="str">
        <f t="shared" si="164"/>
        <v>Palma_Aceite Elaeis guineensis</v>
      </c>
      <c r="Q638" s="212" t="s">
        <v>142</v>
      </c>
      <c r="R638" s="212" t="s">
        <v>142</v>
      </c>
      <c r="S638" s="212"/>
      <c r="T638" s="212"/>
      <c r="U638" s="212"/>
      <c r="V638" s="212" t="s">
        <v>142</v>
      </c>
      <c r="W638" s="212" t="str">
        <f t="shared" si="163"/>
        <v/>
      </c>
      <c r="X638" s="214"/>
    </row>
    <row r="639" spans="1:24" ht="15">
      <c r="A639" s="211" t="s">
        <v>3774</v>
      </c>
      <c r="B639" s="225" t="s">
        <v>287</v>
      </c>
      <c r="C639" s="216" t="s">
        <v>53</v>
      </c>
      <c r="D639" s="216" t="s">
        <v>99</v>
      </c>
      <c r="E639" s="216" t="s">
        <v>100</v>
      </c>
      <c r="F639" s="216" t="s">
        <v>101</v>
      </c>
      <c r="G639" s="216" t="s">
        <v>102</v>
      </c>
      <c r="H639" s="216" t="s">
        <v>278</v>
      </c>
      <c r="I639" s="216" t="s">
        <v>279</v>
      </c>
      <c r="J639" s="216" t="s">
        <v>280</v>
      </c>
      <c r="K639" s="216" t="s">
        <v>279</v>
      </c>
      <c r="L639" s="216" t="s">
        <v>281</v>
      </c>
      <c r="M639" s="217">
        <v>4</v>
      </c>
      <c r="N639" s="442" cm="1">
        <f t="array" ref="N639">IF(TRIM(K639)="Mano de Obra",IF(Formulario!$L$23&lt;&gt;"",Formulario!$L$23,IFERROR(VLOOKUP(TRIM($M$4),Jornalesdeppto!A:C,3,0),"")),_xlfn.XLOOKUP(1,(Tabla_Costos_Insumos!$A$2:$A$3199=TRIM($M$4))*(Tabla_Costos_Insumos!$C$2:$C$3199=TRIM(K639)),Tabla_Costos_Insumos!$E$2:$E$3199,"",0))</f>
        <v>124833</v>
      </c>
      <c r="O639" s="442">
        <f t="shared" si="154"/>
        <v>499332</v>
      </c>
      <c r="P639" s="216" t="str">
        <f t="shared" si="164"/>
        <v>Palma_Aceite Elaeis guineensis</v>
      </c>
      <c r="Q639" s="212" t="s">
        <v>142</v>
      </c>
      <c r="R639" s="212" t="s">
        <v>142</v>
      </c>
      <c r="S639" s="212"/>
      <c r="T639" s="212" cm="1">
        <f t="array" ref="T639">_xlfn.IFS($D$5&lt;=7, 1.1, $D$5&lt;=12,1.2, $D$5&lt;=25, 1.3, $D$5&gt;25,1.4)</f>
        <v>1.3</v>
      </c>
      <c r="U639" s="212"/>
      <c r="V639" s="212" t="s">
        <v>142</v>
      </c>
      <c r="W639" s="212" t="str">
        <f t="shared" si="163"/>
        <v/>
      </c>
      <c r="X639" s="214"/>
    </row>
    <row r="640" spans="1:24" ht="15">
      <c r="A640" s="211" t="s">
        <v>3774</v>
      </c>
      <c r="B640" s="225" t="s">
        <v>287</v>
      </c>
      <c r="C640" s="216" t="s">
        <v>53</v>
      </c>
      <c r="D640" s="216" t="s">
        <v>99</v>
      </c>
      <c r="E640" s="216" t="s">
        <v>100</v>
      </c>
      <c r="F640" s="216" t="s">
        <v>101</v>
      </c>
      <c r="G640" s="216" t="s">
        <v>102</v>
      </c>
      <c r="H640" s="216" t="s">
        <v>209</v>
      </c>
      <c r="I640" s="216" t="s">
        <v>210</v>
      </c>
      <c r="J640" s="216" t="s">
        <v>105</v>
      </c>
      <c r="K640" s="216" t="s">
        <v>106</v>
      </c>
      <c r="L640" s="216" t="s">
        <v>107</v>
      </c>
      <c r="M640" s="217">
        <f t="shared" ref="M640:M653" si="165">IF(W640&lt;&gt;"", W640, ROUNDUP(X640*T640, 0))</f>
        <v>3</v>
      </c>
      <c r="N640" s="442" cm="1">
        <f t="array" ref="N640">IF(TRIM(K640)="Mano de Obra",IF(Formulario!$L$23&lt;&gt;"",Formulario!$L$23,IFERROR(VLOOKUP(TRIM($M$4),Jornalesdeppto!A:C,3,0),"")),_xlfn.XLOOKUP(1,(Tabla_Costos_Insumos!$A$2:$A$3199=TRIM($M$4))*(Tabla_Costos_Insumos!$C$2:$C$3199=TRIM(K640)),Tabla_Costos_Insumos!$E$2:$E$3199,"",0))</f>
        <v>46666.666666666664</v>
      </c>
      <c r="O640" s="442">
        <f t="shared" si="154"/>
        <v>140000</v>
      </c>
      <c r="P640" s="216" t="str">
        <f t="shared" si="164"/>
        <v>Palma_Aceite Elaeis guineensis</v>
      </c>
      <c r="Q640" s="212" t="s">
        <v>211</v>
      </c>
      <c r="R640" s="212">
        <v>5</v>
      </c>
      <c r="S640" s="212"/>
      <c r="T640" s="212" cm="1">
        <f t="array" ref="T640">_xlfn.IFS($D$5&lt;=7, 1.1, $D$5&lt;=12,1.2, $D$5&lt;=25, 1.3, $D$5&gt;25,1.4)</f>
        <v>1.3</v>
      </c>
      <c r="U640" s="212"/>
      <c r="V640" s="212">
        <v>0</v>
      </c>
      <c r="W640" s="212"/>
      <c r="X640" s="214">
        <v>2</v>
      </c>
    </row>
    <row r="641" spans="1:24" ht="15">
      <c r="A641" s="211" t="s">
        <v>3774</v>
      </c>
      <c r="B641" s="225" t="s">
        <v>287</v>
      </c>
      <c r="C641" s="216" t="s">
        <v>53</v>
      </c>
      <c r="D641" s="216" t="s">
        <v>99</v>
      </c>
      <c r="E641" s="216" t="s">
        <v>100</v>
      </c>
      <c r="F641" s="216" t="s">
        <v>101</v>
      </c>
      <c r="G641" s="216" t="s">
        <v>102</v>
      </c>
      <c r="H641" s="216" t="s">
        <v>103</v>
      </c>
      <c r="I641" s="216" t="s">
        <v>104</v>
      </c>
      <c r="J641" s="216" t="s">
        <v>105</v>
      </c>
      <c r="K641" s="216" t="s">
        <v>106</v>
      </c>
      <c r="L641" s="216" t="s">
        <v>107</v>
      </c>
      <c r="M641" s="217">
        <f t="shared" si="165"/>
        <v>8</v>
      </c>
      <c r="N641" s="442" cm="1">
        <f t="array" ref="N641">IF(TRIM(K641)="Mano de Obra",IF(Formulario!$L$23&lt;&gt;"",Formulario!$L$23,IFERROR(VLOOKUP(TRIM($M$4),Jornalesdeppto!A:C,3,0),"")),_xlfn.XLOOKUP(1,(Tabla_Costos_Insumos!$A$2:$A$3199=TRIM($M$4))*(Tabla_Costos_Insumos!$C$2:$C$3199=TRIM(K641)),Tabla_Costos_Insumos!$E$2:$E$3199,"",0))</f>
        <v>46666.666666666664</v>
      </c>
      <c r="O641" s="442">
        <f t="shared" si="154"/>
        <v>373333.33333333331</v>
      </c>
      <c r="P641" s="216" t="str">
        <f t="shared" si="164"/>
        <v>Palma_Aceite Elaeis guineensis</v>
      </c>
      <c r="Q641" s="212" t="s">
        <v>108</v>
      </c>
      <c r="R641" s="212">
        <v>0.69</v>
      </c>
      <c r="S641" s="212" t="str">
        <f>IF($M$3="Palma_Aceite Elaeis guineensis",($I$3*R641) / 480,"")</f>
        <v/>
      </c>
      <c r="T641" s="212" cm="1">
        <f t="array" ref="T641">_xlfn.IFS($D$5&lt;=7, 1.1, $D$5&lt;=12,1.2, $D$5&lt;=25, 1.3, $D$5&gt;25,1.4)</f>
        <v>1.3</v>
      </c>
      <c r="U641" s="212" t="str">
        <f>IFERROR(S641*T641,"")</f>
        <v/>
      </c>
      <c r="V641" s="212">
        <v>1</v>
      </c>
      <c r="W641" s="212" t="str">
        <f t="shared" si="163"/>
        <v/>
      </c>
      <c r="X641" s="214">
        <v>6</v>
      </c>
    </row>
    <row r="642" spans="1:24" ht="15">
      <c r="A642" s="211" t="s">
        <v>3774</v>
      </c>
      <c r="B642" s="225" t="s">
        <v>287</v>
      </c>
      <c r="C642" s="216" t="s">
        <v>53</v>
      </c>
      <c r="D642" s="216" t="s">
        <v>99</v>
      </c>
      <c r="E642" s="216" t="s">
        <v>100</v>
      </c>
      <c r="F642" s="216" t="s">
        <v>101</v>
      </c>
      <c r="G642" s="216" t="s">
        <v>102</v>
      </c>
      <c r="H642" s="216" t="s">
        <v>282</v>
      </c>
      <c r="I642" s="216" t="s">
        <v>283</v>
      </c>
      <c r="J642" s="216" t="s">
        <v>280</v>
      </c>
      <c r="K642" s="216" t="s">
        <v>284</v>
      </c>
      <c r="L642" s="216" t="s">
        <v>281</v>
      </c>
      <c r="M642" s="217">
        <v>2</v>
      </c>
      <c r="N642" s="442" cm="1">
        <f t="array" ref="N642">IF(TRIM(K642)="Mano de Obra",IF(Formulario!$L$23&lt;&gt;"",Formulario!$L$23,IFERROR(VLOOKUP(TRIM($M$4),Jornalesdeppto!A:C,3,0),"")),_xlfn.XLOOKUP(1,(Tabla_Costos_Insumos!$A$2:$A$3199=TRIM($M$4))*(Tabla_Costos_Insumos!$C$2:$C$3199=TRIM(K642)),Tabla_Costos_Insumos!$E$2:$E$3199,"",0))</f>
        <v>80000</v>
      </c>
      <c r="O642" s="442">
        <f t="shared" si="154"/>
        <v>160000</v>
      </c>
      <c r="P642" s="216" t="str">
        <f t="shared" si="164"/>
        <v>Palma_Aceite Elaeis guineensis</v>
      </c>
      <c r="Q642" s="212" t="s">
        <v>142</v>
      </c>
      <c r="R642" s="212" t="s">
        <v>142</v>
      </c>
      <c r="S642" s="212"/>
      <c r="T642" s="212" cm="1">
        <f t="array" ref="T642">_xlfn.IFS($D$5&lt;=7, 1.1, $D$5&lt;=12,1.2, $D$5&lt;=25, 1.3, $D$5&gt;25,1.4)</f>
        <v>1.3</v>
      </c>
      <c r="U642" s="212"/>
      <c r="V642" s="212" t="s">
        <v>142</v>
      </c>
      <c r="W642" s="212" t="str">
        <f t="shared" si="163"/>
        <v/>
      </c>
      <c r="X642" s="214"/>
    </row>
    <row r="643" spans="1:24" ht="15">
      <c r="A643" s="211" t="s">
        <v>3774</v>
      </c>
      <c r="B643" s="225" t="s">
        <v>287</v>
      </c>
      <c r="C643" s="216" t="s">
        <v>53</v>
      </c>
      <c r="D643" s="216" t="s">
        <v>99</v>
      </c>
      <c r="E643" s="216" t="s">
        <v>100</v>
      </c>
      <c r="F643" s="216" t="s">
        <v>101</v>
      </c>
      <c r="G643" s="216" t="s">
        <v>102</v>
      </c>
      <c r="H643" s="216" t="s">
        <v>212</v>
      </c>
      <c r="I643" s="216" t="s">
        <v>213</v>
      </c>
      <c r="J643" s="216" t="s">
        <v>105</v>
      </c>
      <c r="K643" s="216" t="s">
        <v>106</v>
      </c>
      <c r="L643" s="216" t="s">
        <v>107</v>
      </c>
      <c r="M643" s="217">
        <f t="shared" si="165"/>
        <v>10</v>
      </c>
      <c r="N643" s="442" cm="1">
        <f t="array" ref="N643">IF(TRIM(K643)="Mano de Obra",IF(Formulario!$L$23&lt;&gt;"",Formulario!$L$23,IFERROR(VLOOKUP(TRIM($M$4),Jornalesdeppto!A:C,3,0),"")),_xlfn.XLOOKUP(1,(Tabla_Costos_Insumos!$A$2:$A$3199=TRIM($M$4))*(Tabla_Costos_Insumos!$C$2:$C$3199=TRIM(K643)),Tabla_Costos_Insumos!$E$2:$E$3199,"",0))</f>
        <v>46666.666666666664</v>
      </c>
      <c r="O643" s="442">
        <f t="shared" si="154"/>
        <v>466666.66666666663</v>
      </c>
      <c r="P643" s="216" t="str">
        <f t="shared" si="164"/>
        <v>Palma_Aceite Elaeis guineensis</v>
      </c>
      <c r="Q643" s="212" t="s">
        <v>108</v>
      </c>
      <c r="R643" s="212">
        <v>20</v>
      </c>
      <c r="S643" s="212" t="str">
        <f>IF($M$3="Palma_Aceite Elaeis guineensis",($I$3*R643) / 480,"")</f>
        <v/>
      </c>
      <c r="T643" s="212" cm="1">
        <f t="array" ref="T643">_xlfn.IFS($D$5&lt;=7, 1.1, $D$5&lt;=12,1.2, $D$5&lt;=25, 1.3, $D$5&gt;25,1.4)</f>
        <v>1.3</v>
      </c>
      <c r="U643" s="212" t="str">
        <f>IFERROR(S643*T643,"")</f>
        <v/>
      </c>
      <c r="V643" s="212">
        <v>1</v>
      </c>
      <c r="W643" s="212" t="str">
        <f t="shared" si="163"/>
        <v/>
      </c>
      <c r="X643" s="214">
        <v>7</v>
      </c>
    </row>
    <row r="644" spans="1:24" ht="15">
      <c r="A644" s="211" t="s">
        <v>3774</v>
      </c>
      <c r="B644" s="225" t="s">
        <v>287</v>
      </c>
      <c r="C644" s="216" t="s">
        <v>53</v>
      </c>
      <c r="D644" s="216" t="s">
        <v>99</v>
      </c>
      <c r="E644" s="216" t="s">
        <v>100</v>
      </c>
      <c r="F644" s="216" t="s">
        <v>101</v>
      </c>
      <c r="G644" s="216" t="s">
        <v>102</v>
      </c>
      <c r="H644" s="216" t="s">
        <v>214</v>
      </c>
      <c r="I644" s="216" t="s">
        <v>20</v>
      </c>
      <c r="J644" s="216" t="s">
        <v>105</v>
      </c>
      <c r="K644" s="216" t="s">
        <v>106</v>
      </c>
      <c r="L644" s="216" t="s">
        <v>107</v>
      </c>
      <c r="M644" s="217">
        <f t="shared" si="165"/>
        <v>7</v>
      </c>
      <c r="N644" s="442" cm="1">
        <f t="array" ref="N644">IF(TRIM(K644)="Mano de Obra",IF(Formulario!$L$23&lt;&gt;"",Formulario!$L$23,IFERROR(VLOOKUP(TRIM($M$4),Jornalesdeppto!A:C,3,0),"")),_xlfn.XLOOKUP(1,(Tabla_Costos_Insumos!$A$2:$A$3199=TRIM($M$4))*(Tabla_Costos_Insumos!$C$2:$C$3199=TRIM(K644)),Tabla_Costos_Insumos!$E$2:$E$3199,"",0))</f>
        <v>46666.666666666664</v>
      </c>
      <c r="O644" s="442">
        <f t="shared" si="154"/>
        <v>326666.66666666663</v>
      </c>
      <c r="P644" s="216" t="str">
        <f t="shared" si="164"/>
        <v>Palma_Aceite Elaeis guineensis</v>
      </c>
      <c r="Q644" s="212" t="s">
        <v>108</v>
      </c>
      <c r="R644" s="212">
        <v>0.5</v>
      </c>
      <c r="S644" s="212" t="str">
        <f>IF($M$3="Palma_Aceite Elaeis guineensis",($I$3*R644) / 480,"")</f>
        <v/>
      </c>
      <c r="T644" s="212" cm="1">
        <f t="array" ref="T644">_xlfn.IFS($D$5&lt;=7, 1.1, $D$5&lt;=12,1.2, $D$5&lt;=25, 1.3, $D$5&gt;25,1.4)</f>
        <v>1.3</v>
      </c>
      <c r="U644" s="212"/>
      <c r="V644" s="212">
        <v>0</v>
      </c>
      <c r="W644" s="212"/>
      <c r="X644" s="214">
        <v>5</v>
      </c>
    </row>
    <row r="645" spans="1:24" ht="15">
      <c r="A645" s="211" t="s">
        <v>3774</v>
      </c>
      <c r="B645" s="225" t="s">
        <v>287</v>
      </c>
      <c r="C645" s="216" t="s">
        <v>53</v>
      </c>
      <c r="D645" s="216" t="s">
        <v>99</v>
      </c>
      <c r="E645" s="216" t="s">
        <v>100</v>
      </c>
      <c r="F645" s="216" t="s">
        <v>109</v>
      </c>
      <c r="G645" s="216" t="s">
        <v>110</v>
      </c>
      <c r="H645" s="216" t="s">
        <v>234</v>
      </c>
      <c r="I645" s="216" t="s">
        <v>235</v>
      </c>
      <c r="J645" s="216" t="s">
        <v>105</v>
      </c>
      <c r="K645" s="216" t="s">
        <v>106</v>
      </c>
      <c r="L645" s="216" t="s">
        <v>107</v>
      </c>
      <c r="M645" s="217">
        <f t="shared" si="165"/>
        <v>6</v>
      </c>
      <c r="N645" s="442" cm="1">
        <f t="array" ref="N645">IF(TRIM(K645)="Mano de Obra",IF(Formulario!$L$23&lt;&gt;"",Formulario!$L$23,IFERROR(VLOOKUP(TRIM($M$4),Jornalesdeppto!A:C,3,0),"")),_xlfn.XLOOKUP(1,(Tabla_Costos_Insumos!$A$2:$A$3199=TRIM($M$4))*(Tabla_Costos_Insumos!$C$2:$C$3199=TRIM(K645)),Tabla_Costos_Insumos!$E$2:$E$3199,"",0))</f>
        <v>46666.666666666664</v>
      </c>
      <c r="O645" s="442">
        <f t="shared" si="154"/>
        <v>280000</v>
      </c>
      <c r="P645" s="216" t="str">
        <f t="shared" si="164"/>
        <v>Palma_Aceite Elaeis guineensis</v>
      </c>
      <c r="Q645" s="212" t="s">
        <v>108</v>
      </c>
      <c r="R645" s="212">
        <v>1</v>
      </c>
      <c r="S645" s="212" t="str">
        <f t="shared" ref="S645:S650" si="166">IF($M$3="Palma_Aceite Elaeis guineensis",($I$3*R645) / 480,"")</f>
        <v/>
      </c>
      <c r="T645" s="212" cm="1">
        <f t="array" ref="T645">_xlfn.IFS($D$5&lt;=7, 1.1, $D$5&lt;=12,1.2, $D$5&lt;=25, 1.3, $D$5&gt;25,1.4)</f>
        <v>1.3</v>
      </c>
      <c r="U645" s="212" t="str">
        <f t="shared" ref="U645:U650" si="167">IFERROR(S645*T645,"")</f>
        <v/>
      </c>
      <c r="V645" s="212">
        <v>4</v>
      </c>
      <c r="W645" s="212" t="str">
        <f t="shared" si="163"/>
        <v/>
      </c>
      <c r="X645" s="214">
        <v>4</v>
      </c>
    </row>
    <row r="646" spans="1:24" ht="15">
      <c r="A646" s="211" t="s">
        <v>3774</v>
      </c>
      <c r="B646" s="225" t="s">
        <v>287</v>
      </c>
      <c r="C646" s="216" t="s">
        <v>53</v>
      </c>
      <c r="D646" s="216" t="s">
        <v>99</v>
      </c>
      <c r="E646" s="216" t="s">
        <v>100</v>
      </c>
      <c r="F646" s="216" t="s">
        <v>109</v>
      </c>
      <c r="G646" s="216" t="s">
        <v>110</v>
      </c>
      <c r="H646" s="216" t="s">
        <v>215</v>
      </c>
      <c r="I646" s="216" t="s">
        <v>216</v>
      </c>
      <c r="J646" s="216" t="s">
        <v>105</v>
      </c>
      <c r="K646" s="216" t="s">
        <v>106</v>
      </c>
      <c r="L646" s="216" t="s">
        <v>107</v>
      </c>
      <c r="M646" s="217">
        <f t="shared" si="165"/>
        <v>2</v>
      </c>
      <c r="N646" s="442" cm="1">
        <f t="array" ref="N646">IF(TRIM(K646)="Mano de Obra",IF(Formulario!$L$23&lt;&gt;"",Formulario!$L$23,IFERROR(VLOOKUP(TRIM($M$4),Jornalesdeppto!A:C,3,0),"")),_xlfn.XLOOKUP(1,(Tabla_Costos_Insumos!$A$2:$A$3199=TRIM($M$4))*(Tabla_Costos_Insumos!$C$2:$C$3199=TRIM(K646)),Tabla_Costos_Insumos!$E$2:$E$3199,"",0))</f>
        <v>46666.666666666664</v>
      </c>
      <c r="O646" s="442">
        <f t="shared" si="154"/>
        <v>93333.333333333328</v>
      </c>
      <c r="P646" s="216" t="str">
        <f t="shared" si="164"/>
        <v>Palma_Aceite Elaeis guineensis</v>
      </c>
      <c r="Q646" s="212" t="s">
        <v>108</v>
      </c>
      <c r="R646" s="212">
        <v>10</v>
      </c>
      <c r="S646" s="212" t="str">
        <f t="shared" si="166"/>
        <v/>
      </c>
      <c r="T646" s="212" cm="1">
        <f t="array" ref="T646">_xlfn.IFS($D$5&lt;=7, 1.1, $D$5&lt;=12,1.2, $D$5&lt;=25, 1.3, $D$5&gt;25,1.4)</f>
        <v>1.3</v>
      </c>
      <c r="U646" s="212" t="str">
        <f t="shared" si="167"/>
        <v/>
      </c>
      <c r="V646" s="212">
        <v>1</v>
      </c>
      <c r="W646" s="212" t="str">
        <f t="shared" si="163"/>
        <v/>
      </c>
      <c r="X646" s="214">
        <v>1</v>
      </c>
    </row>
    <row r="647" spans="1:24" ht="15">
      <c r="A647" s="211" t="s">
        <v>3774</v>
      </c>
      <c r="B647" s="225" t="s">
        <v>287</v>
      </c>
      <c r="C647" s="216" t="s">
        <v>53</v>
      </c>
      <c r="D647" s="216" t="s">
        <v>99</v>
      </c>
      <c r="E647" s="216" t="s">
        <v>100</v>
      </c>
      <c r="F647" s="216" t="s">
        <v>109</v>
      </c>
      <c r="G647" s="216" t="s">
        <v>110</v>
      </c>
      <c r="H647" s="216" t="s">
        <v>217</v>
      </c>
      <c r="I647" s="216" t="s">
        <v>218</v>
      </c>
      <c r="J647" s="216" t="s">
        <v>105</v>
      </c>
      <c r="K647" s="216" t="s">
        <v>106</v>
      </c>
      <c r="L647" s="216" t="s">
        <v>107</v>
      </c>
      <c r="M647" s="217">
        <f t="shared" si="165"/>
        <v>6</v>
      </c>
      <c r="N647" s="442" cm="1">
        <f t="array" ref="N647">IF(TRIM(K647)="Mano de Obra",IF(Formulario!$L$23&lt;&gt;"",Formulario!$L$23,IFERROR(VLOOKUP(TRIM($M$4),Jornalesdeppto!A:C,3,0),"")),_xlfn.XLOOKUP(1,(Tabla_Costos_Insumos!$A$2:$A$3199=TRIM($M$4))*(Tabla_Costos_Insumos!$C$2:$C$3199=TRIM(K647)),Tabla_Costos_Insumos!$E$2:$E$3199,"",0))</f>
        <v>46666.666666666664</v>
      </c>
      <c r="O647" s="442">
        <f t="shared" si="154"/>
        <v>280000</v>
      </c>
      <c r="P647" s="216" t="str">
        <f t="shared" si="164"/>
        <v>Palma_Aceite Elaeis guineensis</v>
      </c>
      <c r="Q647" s="212" t="s">
        <v>108</v>
      </c>
      <c r="R647" s="212">
        <v>6</v>
      </c>
      <c r="S647" s="212" t="str">
        <f t="shared" si="166"/>
        <v/>
      </c>
      <c r="T647" s="212" cm="1">
        <f t="array" ref="T647">_xlfn.IFS($D$5&lt;=7, 1.1, $D$5&lt;=12,1.2, $D$5&lt;=25, 1.3, $D$5&gt;25,1.4)</f>
        <v>1.3</v>
      </c>
      <c r="U647" s="212" t="str">
        <f t="shared" si="167"/>
        <v/>
      </c>
      <c r="V647" s="212">
        <v>1</v>
      </c>
      <c r="W647" s="212" t="str">
        <f t="shared" si="163"/>
        <v/>
      </c>
      <c r="X647" s="214">
        <v>4</v>
      </c>
    </row>
    <row r="648" spans="1:24" ht="15">
      <c r="A648" s="211" t="s">
        <v>3774</v>
      </c>
      <c r="B648" s="225" t="s">
        <v>287</v>
      </c>
      <c r="C648" s="216" t="s">
        <v>53</v>
      </c>
      <c r="D648" s="216" t="s">
        <v>99</v>
      </c>
      <c r="E648" s="216" t="s">
        <v>100</v>
      </c>
      <c r="F648" s="216" t="s">
        <v>117</v>
      </c>
      <c r="G648" s="216" t="s">
        <v>118</v>
      </c>
      <c r="H648" s="216" t="s">
        <v>119</v>
      </c>
      <c r="I648" s="216" t="s">
        <v>120</v>
      </c>
      <c r="J648" s="216" t="s">
        <v>105</v>
      </c>
      <c r="K648" s="216" t="s">
        <v>106</v>
      </c>
      <c r="L648" s="216" t="s">
        <v>107</v>
      </c>
      <c r="M648" s="217">
        <f t="shared" si="165"/>
        <v>3</v>
      </c>
      <c r="N648" s="442" cm="1">
        <f t="array" ref="N648">IF(TRIM(K648)="Mano de Obra",IF(Formulario!$L$23&lt;&gt;"",Formulario!$L$23,IFERROR(VLOOKUP(TRIM($M$4),Jornalesdeppto!A:C,3,0),"")),_xlfn.XLOOKUP(1,(Tabla_Costos_Insumos!$A$2:$A$3199=TRIM($M$4))*(Tabla_Costos_Insumos!$C$2:$C$3199=TRIM(K648)),Tabla_Costos_Insumos!$E$2:$E$3199,"",0))</f>
        <v>46666.666666666664</v>
      </c>
      <c r="O648" s="442">
        <f t="shared" si="154"/>
        <v>140000</v>
      </c>
      <c r="P648" s="216" t="str">
        <f t="shared" si="164"/>
        <v>Palma_Aceite Elaeis guineensis</v>
      </c>
      <c r="Q648" s="212" t="s">
        <v>108</v>
      </c>
      <c r="R648" s="212">
        <v>7</v>
      </c>
      <c r="S648" s="212" t="str">
        <f t="shared" si="166"/>
        <v/>
      </c>
      <c r="T648" s="212" cm="1">
        <f t="array" ref="T648">_xlfn.IFS($D$5&lt;=7, 1.1, $D$5&lt;=12,1.2, $D$5&lt;=25, 1.3, $D$5&gt;25,1.4)</f>
        <v>1.3</v>
      </c>
      <c r="U648" s="212" t="str">
        <f t="shared" si="167"/>
        <v/>
      </c>
      <c r="V648" s="212">
        <v>9</v>
      </c>
      <c r="W648" s="212" t="str">
        <f t="shared" si="163"/>
        <v/>
      </c>
      <c r="X648" s="214">
        <v>2</v>
      </c>
    </row>
    <row r="649" spans="1:24" ht="15">
      <c r="A649" s="211" t="s">
        <v>3774</v>
      </c>
      <c r="B649" s="225" t="s">
        <v>287</v>
      </c>
      <c r="C649" s="216" t="s">
        <v>53</v>
      </c>
      <c r="D649" s="216" t="s">
        <v>99</v>
      </c>
      <c r="E649" s="216" t="s">
        <v>100</v>
      </c>
      <c r="F649" s="216" t="s">
        <v>117</v>
      </c>
      <c r="G649" s="216" t="s">
        <v>118</v>
      </c>
      <c r="H649" s="216" t="s">
        <v>121</v>
      </c>
      <c r="I649" s="216" t="s">
        <v>122</v>
      </c>
      <c r="J649" s="216" t="s">
        <v>105</v>
      </c>
      <c r="K649" s="216" t="s">
        <v>106</v>
      </c>
      <c r="L649" s="216" t="s">
        <v>107</v>
      </c>
      <c r="M649" s="217">
        <f t="shared" si="165"/>
        <v>3</v>
      </c>
      <c r="N649" s="442" cm="1">
        <f t="array" ref="N649">IF(TRIM(K649)="Mano de Obra",IF(Formulario!$L$23&lt;&gt;"",Formulario!$L$23,IFERROR(VLOOKUP(TRIM($M$4),Jornalesdeppto!A:C,3,0),"")),_xlfn.XLOOKUP(1,(Tabla_Costos_Insumos!$A$2:$A$3199=TRIM($M$4))*(Tabla_Costos_Insumos!$C$2:$C$3199=TRIM(K649)),Tabla_Costos_Insumos!$E$2:$E$3199,"",0))</f>
        <v>46666.666666666664</v>
      </c>
      <c r="O649" s="442">
        <f t="shared" si="154"/>
        <v>140000</v>
      </c>
      <c r="P649" s="216" t="str">
        <f t="shared" si="164"/>
        <v>Palma_Aceite Elaeis guineensis</v>
      </c>
      <c r="Q649" s="212" t="s">
        <v>108</v>
      </c>
      <c r="R649" s="212">
        <v>7</v>
      </c>
      <c r="S649" s="212" t="str">
        <f t="shared" si="166"/>
        <v/>
      </c>
      <c r="T649" s="212" cm="1">
        <f t="array" ref="T649">_xlfn.IFS($D$5&lt;=7, 1.1, $D$5&lt;=12,1.2, $D$5&lt;=25, 1.3, $D$5&gt;25,1.4)</f>
        <v>1.3</v>
      </c>
      <c r="U649" s="212" t="str">
        <f t="shared" si="167"/>
        <v/>
      </c>
      <c r="V649" s="212">
        <v>9</v>
      </c>
      <c r="W649" s="212" t="str">
        <f t="shared" si="163"/>
        <v/>
      </c>
      <c r="X649" s="214">
        <v>2</v>
      </c>
    </row>
    <row r="650" spans="1:24" ht="15">
      <c r="A650" s="211" t="s">
        <v>3774</v>
      </c>
      <c r="B650" s="225" t="s">
        <v>287</v>
      </c>
      <c r="C650" s="216" t="s">
        <v>53</v>
      </c>
      <c r="D650" s="216" t="s">
        <v>99</v>
      </c>
      <c r="E650" s="216" t="s">
        <v>100</v>
      </c>
      <c r="F650" s="216" t="s">
        <v>123</v>
      </c>
      <c r="G650" s="216" t="s">
        <v>124</v>
      </c>
      <c r="H650" s="216" t="s">
        <v>125</v>
      </c>
      <c r="I650" s="216" t="s">
        <v>126</v>
      </c>
      <c r="J650" s="216" t="s">
        <v>105</v>
      </c>
      <c r="K650" s="216" t="s">
        <v>106</v>
      </c>
      <c r="L650" s="216" t="s">
        <v>107</v>
      </c>
      <c r="M650" s="217">
        <f t="shared" si="165"/>
        <v>2</v>
      </c>
      <c r="N650" s="442" cm="1">
        <f t="array" ref="N650">IF(TRIM(K650)="Mano de Obra",IF(Formulario!$L$23&lt;&gt;"",Formulario!$L$23,IFERROR(VLOOKUP(TRIM($M$4),Jornalesdeppto!A:C,3,0),"")),_xlfn.XLOOKUP(1,(Tabla_Costos_Insumos!$A$2:$A$3199=TRIM($M$4))*(Tabla_Costos_Insumos!$C$2:$C$3199=TRIM(K650)),Tabla_Costos_Insumos!$E$2:$E$3199,"",0))</f>
        <v>46666.666666666664</v>
      </c>
      <c r="O650" s="442">
        <f t="shared" si="154"/>
        <v>93333.333333333328</v>
      </c>
      <c r="P650" s="216" t="str">
        <f t="shared" si="164"/>
        <v>Palma_Aceite Elaeis guineensis</v>
      </c>
      <c r="Q650" s="212" t="s">
        <v>108</v>
      </c>
      <c r="R650" s="212">
        <v>0.09</v>
      </c>
      <c r="S650" s="212" t="str">
        <f t="shared" si="166"/>
        <v/>
      </c>
      <c r="T650" s="212" cm="1">
        <f t="array" ref="T650">_xlfn.IFS($D$5&lt;=7, 1.1, $D$5&lt;=12,1.2, $D$5&lt;=25, 1.3, $D$5&gt;25,1.4)</f>
        <v>1.3</v>
      </c>
      <c r="U650" s="212" t="str">
        <f t="shared" si="167"/>
        <v/>
      </c>
      <c r="V650" s="212">
        <v>2</v>
      </c>
      <c r="W650" s="212" t="str">
        <f t="shared" si="163"/>
        <v/>
      </c>
      <c r="X650" s="214">
        <v>1</v>
      </c>
    </row>
    <row r="651" spans="1:24" ht="15">
      <c r="A651" s="211" t="s">
        <v>3774</v>
      </c>
      <c r="B651" s="225" t="s">
        <v>287</v>
      </c>
      <c r="C651" s="216" t="s">
        <v>53</v>
      </c>
      <c r="D651" s="216" t="s">
        <v>99</v>
      </c>
      <c r="E651" s="216" t="s">
        <v>100</v>
      </c>
      <c r="F651" s="216" t="s">
        <v>123</v>
      </c>
      <c r="G651" s="216" t="s">
        <v>124</v>
      </c>
      <c r="H651" s="216" t="s">
        <v>128</v>
      </c>
      <c r="I651" s="216" t="s">
        <v>129</v>
      </c>
      <c r="J651" s="216" t="s">
        <v>105</v>
      </c>
      <c r="K651" s="216" t="s">
        <v>106</v>
      </c>
      <c r="L651" s="216" t="s">
        <v>107</v>
      </c>
      <c r="M651" s="217">
        <f t="shared" si="165"/>
        <v>4</v>
      </c>
      <c r="N651" s="442" cm="1">
        <f t="array" ref="N651">IF(TRIM(K651)="Mano de Obra",IF(Formulario!$L$23&lt;&gt;"",Formulario!$L$23,IFERROR(VLOOKUP(TRIM($M$4),Jornalesdeppto!A:C,3,0),"")),_xlfn.XLOOKUP(1,(Tabla_Costos_Insumos!$A$2:$A$3199=TRIM($M$4))*(Tabla_Costos_Insumos!$C$2:$C$3199=TRIM(K651)),Tabla_Costos_Insumos!$E$2:$E$3199,"",0))</f>
        <v>46666.666666666664</v>
      </c>
      <c r="O651" s="442">
        <f t="shared" si="154"/>
        <v>186666.66666666666</v>
      </c>
      <c r="P651" s="216" t="str">
        <f t="shared" si="164"/>
        <v>Palma_Aceite Elaeis guineensis</v>
      </c>
      <c r="Q651" s="212" t="s">
        <v>127</v>
      </c>
      <c r="R651" s="212">
        <v>0.09</v>
      </c>
      <c r="S651" s="212">
        <f t="shared" ref="S651" si="168">10000*R651/480</f>
        <v>1.875</v>
      </c>
      <c r="T651" s="212" cm="1">
        <f t="array" ref="T651">_xlfn.IFS($D$5&lt;=7, 1.1, $D$5&lt;=12,1.2, $D$5&lt;=25, 1.3, $D$5&gt;25,1.4)</f>
        <v>1.3</v>
      </c>
      <c r="U651" s="212"/>
      <c r="V651" s="212">
        <v>2</v>
      </c>
      <c r="W651" s="212"/>
      <c r="X651" s="214">
        <v>3</v>
      </c>
    </row>
    <row r="652" spans="1:24" ht="15">
      <c r="A652" s="211" t="s">
        <v>3774</v>
      </c>
      <c r="B652" s="225" t="s">
        <v>287</v>
      </c>
      <c r="C652" s="216" t="s">
        <v>53</v>
      </c>
      <c r="D652" s="216" t="s">
        <v>99</v>
      </c>
      <c r="E652" s="216" t="s">
        <v>100</v>
      </c>
      <c r="F652" s="216" t="s">
        <v>130</v>
      </c>
      <c r="G652" s="216" t="s">
        <v>131</v>
      </c>
      <c r="H652" s="216" t="s">
        <v>132</v>
      </c>
      <c r="I652" s="216" t="s">
        <v>133</v>
      </c>
      <c r="J652" s="216" t="s">
        <v>105</v>
      </c>
      <c r="K652" s="216" t="s">
        <v>106</v>
      </c>
      <c r="L652" s="216" t="s">
        <v>107</v>
      </c>
      <c r="M652" s="217">
        <f t="shared" si="165"/>
        <v>3</v>
      </c>
      <c r="N652" s="442" cm="1">
        <f t="array" ref="N652">IF(TRIM(K652)="Mano de Obra",IF(Formulario!$L$23&lt;&gt;"",Formulario!$L$23,IFERROR(VLOOKUP(TRIM($M$4),Jornalesdeppto!A:C,3,0),"")),_xlfn.XLOOKUP(1,(Tabla_Costos_Insumos!$A$2:$A$3199=TRIM($M$4))*(Tabla_Costos_Insumos!$C$2:$C$3199=TRIM(K652)),Tabla_Costos_Insumos!$E$2:$E$3199,"",0))</f>
        <v>46666.666666666664</v>
      </c>
      <c r="O652" s="442">
        <f t="shared" si="154"/>
        <v>140000</v>
      </c>
      <c r="P652" s="216" t="str">
        <f t="shared" si="164"/>
        <v>Palma_Aceite Elaeis guineensis</v>
      </c>
      <c r="Q652" s="212" t="s">
        <v>108</v>
      </c>
      <c r="R652" s="212">
        <v>1.5</v>
      </c>
      <c r="S652" s="212" t="str">
        <f t="shared" ref="S652:S653" si="169">IF($M$3="Palma_Aceite Elaeis guineensis",($I$3*R652) / 480,"")</f>
        <v/>
      </c>
      <c r="T652" s="212" cm="1">
        <f t="array" ref="T652">_xlfn.IFS($D$5&lt;=7, 1.1, $D$5&lt;=12,1.2, $D$5&lt;=25, 1.3, $D$5&gt;25,1.4)</f>
        <v>1.3</v>
      </c>
      <c r="U652" s="212" t="str">
        <f t="shared" ref="U652:U653" si="170">IFERROR(S652*T652,"")</f>
        <v/>
      </c>
      <c r="V652" s="212">
        <v>4</v>
      </c>
      <c r="W652" s="212" t="str">
        <f t="shared" si="163"/>
        <v/>
      </c>
      <c r="X652" s="214">
        <v>2</v>
      </c>
    </row>
    <row r="653" spans="1:24" ht="15">
      <c r="A653" s="211" t="s">
        <v>3774</v>
      </c>
      <c r="B653" s="225" t="s">
        <v>287</v>
      </c>
      <c r="C653" s="216" t="s">
        <v>53</v>
      </c>
      <c r="D653" s="216" t="s">
        <v>99</v>
      </c>
      <c r="E653" s="216" t="s">
        <v>100</v>
      </c>
      <c r="F653" s="216" t="s">
        <v>130</v>
      </c>
      <c r="G653" s="216" t="s">
        <v>131</v>
      </c>
      <c r="H653" s="216" t="s">
        <v>134</v>
      </c>
      <c r="I653" s="216" t="s">
        <v>135</v>
      </c>
      <c r="J653" s="216" t="s">
        <v>105</v>
      </c>
      <c r="K653" s="216" t="s">
        <v>106</v>
      </c>
      <c r="L653" s="216" t="s">
        <v>107</v>
      </c>
      <c r="M653" s="217">
        <f t="shared" si="165"/>
        <v>2</v>
      </c>
      <c r="N653" s="442" cm="1">
        <f t="array" ref="N653">IF(TRIM(K653)="Mano de Obra",IF(Formulario!$L$23&lt;&gt;"",Formulario!$L$23,IFERROR(VLOOKUP(TRIM($M$4),Jornalesdeppto!A:C,3,0),"")),_xlfn.XLOOKUP(1,(Tabla_Costos_Insumos!$A$2:$A$3199=TRIM($M$4))*(Tabla_Costos_Insumos!$C$2:$C$3199=TRIM(K653)),Tabla_Costos_Insumos!$E$2:$E$3199,"",0))</f>
        <v>46666.666666666664</v>
      </c>
      <c r="O653" s="442">
        <f t="shared" si="154"/>
        <v>93333.333333333328</v>
      </c>
      <c r="P653" s="216" t="str">
        <f t="shared" si="164"/>
        <v>Palma_Aceite Elaeis guineensis</v>
      </c>
      <c r="Q653" s="212" t="s">
        <v>108</v>
      </c>
      <c r="R653" s="212">
        <v>1.5</v>
      </c>
      <c r="S653" s="212" t="str">
        <f t="shared" si="169"/>
        <v/>
      </c>
      <c r="T653" s="212" cm="1">
        <f t="array" ref="T653">_xlfn.IFS($D$5&lt;=7, 1.1, $D$5&lt;=12,1.2, $D$5&lt;=25, 1.3, $D$5&gt;25,1.4)</f>
        <v>1.3</v>
      </c>
      <c r="U653" s="212" t="str">
        <f t="shared" si="170"/>
        <v/>
      </c>
      <c r="V653" s="212">
        <v>4</v>
      </c>
      <c r="W653" s="212" t="str">
        <f t="shared" si="163"/>
        <v/>
      </c>
      <c r="X653" s="214">
        <v>1</v>
      </c>
    </row>
    <row r="654" spans="1:24" ht="15">
      <c r="A654" s="211" t="s">
        <v>3774</v>
      </c>
      <c r="B654" s="225" t="s">
        <v>287</v>
      </c>
      <c r="C654" s="216" t="s">
        <v>53</v>
      </c>
      <c r="D654" s="216" t="s">
        <v>145</v>
      </c>
      <c r="E654" s="216" t="s">
        <v>146</v>
      </c>
      <c r="F654" s="216" t="s">
        <v>219</v>
      </c>
      <c r="G654" s="216" t="s">
        <v>220</v>
      </c>
      <c r="H654" s="216" t="s">
        <v>221</v>
      </c>
      <c r="I654" s="216" t="s">
        <v>222</v>
      </c>
      <c r="J654" s="216" t="s">
        <v>223</v>
      </c>
      <c r="K654" s="216" t="s">
        <v>298</v>
      </c>
      <c r="L654" s="216" t="s">
        <v>197</v>
      </c>
      <c r="M654" s="217">
        <f>IF($M$3="Palma_Aceite Elaeis guineensis",I3,0)</f>
        <v>0</v>
      </c>
      <c r="N654" s="442">
        <v>22000</v>
      </c>
      <c r="O654" s="442">
        <f t="shared" si="154"/>
        <v>0</v>
      </c>
      <c r="P654" s="216" t="str">
        <f t="shared" si="164"/>
        <v>Palma_Aceite Elaeis guineensis</v>
      </c>
      <c r="Q654" s="212" t="s">
        <v>142</v>
      </c>
      <c r="R654" s="212" t="s">
        <v>142</v>
      </c>
      <c r="S654" s="212"/>
      <c r="T654" s="212"/>
      <c r="U654" s="212"/>
      <c r="V654" s="212" t="s">
        <v>142</v>
      </c>
      <c r="W654" s="212" t="str">
        <f t="shared" si="163"/>
        <v/>
      </c>
      <c r="X654" s="214"/>
    </row>
    <row r="655" spans="1:24" ht="15">
      <c r="A655" s="211" t="s">
        <v>3774</v>
      </c>
      <c r="B655" s="225" t="s">
        <v>287</v>
      </c>
      <c r="C655" s="216" t="s">
        <v>53</v>
      </c>
      <c r="D655" s="216" t="s">
        <v>145</v>
      </c>
      <c r="E655" s="216" t="s">
        <v>146</v>
      </c>
      <c r="F655" s="216" t="s">
        <v>147</v>
      </c>
      <c r="G655" s="216" t="s">
        <v>131</v>
      </c>
      <c r="H655" s="216" t="s">
        <v>148</v>
      </c>
      <c r="I655" s="216" t="s">
        <v>299</v>
      </c>
      <c r="J655" s="216" t="s">
        <v>149</v>
      </c>
      <c r="K655" s="216" t="s">
        <v>150</v>
      </c>
      <c r="L655" s="216" t="s">
        <v>151</v>
      </c>
      <c r="M655" s="217">
        <v>1</v>
      </c>
      <c r="N655" s="442" cm="1">
        <f t="array" ref="N655">IF(TRIM(K655)="Mano de Obra",IF(Formulario!$L$23&lt;&gt;"",Formulario!$L$23,IFERROR(VLOOKUP(TRIM($M$4),Jornalesdeppto!A:C,3,0),"")),_xlfn.XLOOKUP(1,(Tabla_Costos_Insumos!$A$2:$A$3199=TRIM($M$4))*(Tabla_Costos_Insumos!$C$2:$C$3199=TRIM(K655)),Tabla_Costos_Insumos!$E$2:$E$3199,"",0))</f>
        <v>198055.68333333</v>
      </c>
      <c r="O655" s="442">
        <f t="shared" ref="O655:O715" si="171">IF(OR(N655=0,N655=""),"",N655*M655)</f>
        <v>198055.68333333</v>
      </c>
      <c r="P655" s="216" t="str">
        <f t="shared" si="164"/>
        <v>Palma_Aceite Elaeis guineensis</v>
      </c>
      <c r="Q655" s="212" t="s">
        <v>142</v>
      </c>
      <c r="R655" s="212" t="s">
        <v>142</v>
      </c>
      <c r="S655" s="212"/>
      <c r="T655" s="212"/>
      <c r="U655" s="212"/>
      <c r="V655" s="212" t="s">
        <v>142</v>
      </c>
      <c r="W655" s="212" t="str">
        <f t="shared" si="163"/>
        <v/>
      </c>
      <c r="X655" s="214"/>
    </row>
    <row r="656" spans="1:24" ht="15">
      <c r="A656" s="211" t="s">
        <v>3774</v>
      </c>
      <c r="B656" s="225" t="s">
        <v>287</v>
      </c>
      <c r="C656" s="216" t="s">
        <v>53</v>
      </c>
      <c r="D656" s="216" t="s">
        <v>145</v>
      </c>
      <c r="E656" s="216" t="s">
        <v>146</v>
      </c>
      <c r="F656" s="216" t="s">
        <v>147</v>
      </c>
      <c r="G656" s="216" t="s">
        <v>131</v>
      </c>
      <c r="H656" s="216" t="s">
        <v>152</v>
      </c>
      <c r="I656" s="216" t="s">
        <v>153</v>
      </c>
      <c r="J656" s="216" t="s">
        <v>149</v>
      </c>
      <c r="K656" s="216" t="s">
        <v>166</v>
      </c>
      <c r="L656" s="216" t="s">
        <v>151</v>
      </c>
      <c r="M656" s="217">
        <v>5</v>
      </c>
      <c r="N656" s="442" cm="1">
        <f t="array" ref="N656">IF(TRIM(K656)="Mano de Obra",IF(Formulario!$L$23&lt;&gt;"",Formulario!$L$23,IFERROR(VLOOKUP(TRIM($M$4),Jornalesdeppto!A:C,3,0),"")),_xlfn.XLOOKUP(1,(Tabla_Costos_Insumos!$A$2:$A$3199=TRIM($M$4))*(Tabla_Costos_Insumos!$C$2:$C$3199=TRIM(K656)),Tabla_Costos_Insumos!$E$2:$E$3199,"",0))</f>
        <v>110000</v>
      </c>
      <c r="O656" s="442">
        <f t="shared" si="171"/>
        <v>550000</v>
      </c>
      <c r="P656" s="216" t="str">
        <f t="shared" si="164"/>
        <v>Palma_Aceite Elaeis guineensis</v>
      </c>
      <c r="Q656" s="212" t="s">
        <v>142</v>
      </c>
      <c r="R656" s="212" t="s">
        <v>142</v>
      </c>
      <c r="S656" s="212"/>
      <c r="T656" s="212"/>
      <c r="U656" s="212"/>
      <c r="V656" s="212" t="s">
        <v>142</v>
      </c>
      <c r="W656" s="212" t="str">
        <f t="shared" si="163"/>
        <v/>
      </c>
      <c r="X656" s="214"/>
    </row>
    <row r="657" spans="1:24" ht="15">
      <c r="A657" s="211" t="s">
        <v>3774</v>
      </c>
      <c r="B657" s="225" t="s">
        <v>287</v>
      </c>
      <c r="C657" s="216" t="s">
        <v>53</v>
      </c>
      <c r="D657" s="216" t="s">
        <v>145</v>
      </c>
      <c r="E657" s="216" t="s">
        <v>146</v>
      </c>
      <c r="F657" s="216" t="s">
        <v>147</v>
      </c>
      <c r="G657" s="216" t="s">
        <v>131</v>
      </c>
      <c r="H657" s="216" t="s">
        <v>154</v>
      </c>
      <c r="I657" s="216" t="s">
        <v>155</v>
      </c>
      <c r="J657" s="216" t="s">
        <v>149</v>
      </c>
      <c r="K657" s="216" t="s">
        <v>156</v>
      </c>
      <c r="L657" s="216" t="s">
        <v>151</v>
      </c>
      <c r="M657" s="217">
        <v>5</v>
      </c>
      <c r="N657" s="442" cm="1">
        <f t="array" ref="N657">IF(TRIM(K657)="Mano de Obra",IF(Formulario!$L$23&lt;&gt;"",Formulario!$L$23,IFERROR(VLOOKUP(TRIM($M$4),Jornalesdeppto!A:C,3,0),"")),_xlfn.XLOOKUP(1,(Tabla_Costos_Insumos!$A$2:$A$3199=TRIM($M$4))*(Tabla_Costos_Insumos!$C$2:$C$3199=TRIM(K657)),Tabla_Costos_Insumos!$E$2:$E$3199,"",0))</f>
        <v>17212.5</v>
      </c>
      <c r="O657" s="442">
        <f t="shared" si="171"/>
        <v>86062.5</v>
      </c>
      <c r="P657" s="216" t="str">
        <f t="shared" si="164"/>
        <v>Palma_Aceite Elaeis guineensis</v>
      </c>
      <c r="Q657" s="212" t="s">
        <v>142</v>
      </c>
      <c r="R657" s="212" t="s">
        <v>142</v>
      </c>
      <c r="S657" s="212"/>
      <c r="T657" s="212"/>
      <c r="U657" s="212"/>
      <c r="V657" s="212" t="s">
        <v>142</v>
      </c>
      <c r="W657" s="212" t="str">
        <f t="shared" si="163"/>
        <v/>
      </c>
      <c r="X657" s="214"/>
    </row>
    <row r="658" spans="1:24" ht="15">
      <c r="A658" s="211" t="s">
        <v>3774</v>
      </c>
      <c r="B658" s="225" t="s">
        <v>287</v>
      </c>
      <c r="C658" s="216" t="s">
        <v>53</v>
      </c>
      <c r="D658" s="216" t="s">
        <v>145</v>
      </c>
      <c r="E658" s="216" t="s">
        <v>146</v>
      </c>
      <c r="F658" s="216" t="s">
        <v>147</v>
      </c>
      <c r="G658" s="216" t="s">
        <v>131</v>
      </c>
      <c r="H658" s="216" t="s">
        <v>157</v>
      </c>
      <c r="I658" s="216" t="s">
        <v>158</v>
      </c>
      <c r="J658" s="216" t="s">
        <v>149</v>
      </c>
      <c r="K658" s="216" t="s">
        <v>291</v>
      </c>
      <c r="L658" s="216" t="s">
        <v>172</v>
      </c>
      <c r="M658" s="217">
        <v>8</v>
      </c>
      <c r="N658" s="442" cm="1">
        <f t="array" ref="N658">IF(TRIM(K658)="Mano de Obra",IF(Formulario!$L$23&lt;&gt;"",Formulario!$L$23,IFERROR(VLOOKUP(TRIM($M$4),Jornalesdeppto!A:C,3,0),"")),_xlfn.XLOOKUP(1,(Tabla_Costos_Insumos!$A$2:$A$3199=TRIM($M$4))*(Tabla_Costos_Insumos!$C$2:$C$3199=TRIM(K658)),Tabla_Costos_Insumos!$E$2:$E$3199,"",0))</f>
        <v>22086.61</v>
      </c>
      <c r="O658" s="442">
        <f t="shared" si="171"/>
        <v>176692.88</v>
      </c>
      <c r="P658" s="216" t="str">
        <f t="shared" si="164"/>
        <v>Palma_Aceite Elaeis guineensis</v>
      </c>
      <c r="Q658" s="212" t="s">
        <v>142</v>
      </c>
      <c r="R658" s="212" t="s">
        <v>142</v>
      </c>
      <c r="S658" s="212"/>
      <c r="T658" s="212"/>
      <c r="U658" s="212"/>
      <c r="V658" s="212" t="s">
        <v>142</v>
      </c>
      <c r="W658" s="212" t="str">
        <f t="shared" si="163"/>
        <v/>
      </c>
      <c r="X658" s="214"/>
    </row>
    <row r="659" spans="1:24" ht="15">
      <c r="A659" s="211" t="s">
        <v>3774</v>
      </c>
      <c r="B659" s="225" t="s">
        <v>287</v>
      </c>
      <c r="C659" s="216" t="s">
        <v>53</v>
      </c>
      <c r="D659" s="216" t="s">
        <v>145</v>
      </c>
      <c r="E659" s="216" t="s">
        <v>146</v>
      </c>
      <c r="F659" s="216" t="s">
        <v>147</v>
      </c>
      <c r="G659" s="216" t="s">
        <v>131</v>
      </c>
      <c r="H659" s="216" t="s">
        <v>161</v>
      </c>
      <c r="I659" s="216" t="s">
        <v>162</v>
      </c>
      <c r="J659" s="216" t="s">
        <v>149</v>
      </c>
      <c r="K659" s="216" t="s">
        <v>163</v>
      </c>
      <c r="L659" s="216" t="s">
        <v>164</v>
      </c>
      <c r="M659" s="217">
        <v>2</v>
      </c>
      <c r="N659" s="442" cm="1">
        <f t="array" ref="N659">IF(TRIM(K659)="Mano de Obra",IF(Formulario!$L$23&lt;&gt;"",Formulario!$L$23,IFERROR(VLOOKUP(TRIM($M$4),Jornalesdeppto!A:C,3,0),"")),_xlfn.XLOOKUP(1,(Tabla_Costos_Insumos!$A$2:$A$3199=TRIM($M$4))*(Tabla_Costos_Insumos!$C$2:$C$3199=TRIM(K659)),Tabla_Costos_Insumos!$E$2:$E$3199,"",0))</f>
        <v>128084.44444445</v>
      </c>
      <c r="O659" s="442">
        <f t="shared" si="171"/>
        <v>256168.88888889999</v>
      </c>
      <c r="P659" s="216" t="str">
        <f t="shared" si="164"/>
        <v>Palma_Aceite Elaeis guineensis</v>
      </c>
      <c r="Q659" s="212" t="s">
        <v>142</v>
      </c>
      <c r="R659" s="212" t="s">
        <v>142</v>
      </c>
      <c r="S659" s="212"/>
      <c r="T659" s="212"/>
      <c r="U659" s="212"/>
      <c r="V659" s="212" t="s">
        <v>142</v>
      </c>
      <c r="W659" s="212" t="str">
        <f t="shared" si="163"/>
        <v/>
      </c>
      <c r="X659" s="214"/>
    </row>
    <row r="660" spans="1:24" ht="15">
      <c r="A660" s="211" t="s">
        <v>3774</v>
      </c>
      <c r="B660" s="225" t="s">
        <v>287</v>
      </c>
      <c r="C660" s="216" t="s">
        <v>53</v>
      </c>
      <c r="D660" s="216" t="s">
        <v>145</v>
      </c>
      <c r="E660" s="216" t="s">
        <v>146</v>
      </c>
      <c r="F660" s="216" t="s">
        <v>147</v>
      </c>
      <c r="G660" s="216" t="s">
        <v>131</v>
      </c>
      <c r="H660" s="216" t="s">
        <v>165</v>
      </c>
      <c r="I660" s="216" t="s">
        <v>153</v>
      </c>
      <c r="J660" s="216" t="s">
        <v>149</v>
      </c>
      <c r="K660" s="216" t="s">
        <v>4110</v>
      </c>
      <c r="L660" s="216" t="s">
        <v>151</v>
      </c>
      <c r="M660" s="217">
        <v>5</v>
      </c>
      <c r="N660" s="442" cm="1">
        <f t="array" ref="N660">IF(TRIM(K660)="Mano de Obra",IF(Formulario!$L$23&lt;&gt;"",Formulario!$L$23,IFERROR(VLOOKUP(TRIM($M$4),Jornalesdeppto!A:C,3,0),"")),_xlfn.XLOOKUP(1,(Tabla_Costos_Insumos!$A$2:$A$3199=TRIM($M$4))*(Tabla_Costos_Insumos!$C$2:$C$3199=TRIM(K660)),Tabla_Costos_Insumos!$E$2:$E$3199,"",0))</f>
        <v>125849.2424242409</v>
      </c>
      <c r="O660" s="442">
        <f t="shared" si="171"/>
        <v>629246.21212120447</v>
      </c>
      <c r="P660" s="216" t="str">
        <f t="shared" si="164"/>
        <v>Palma_Aceite Elaeis guineensis</v>
      </c>
      <c r="Q660" s="212" t="s">
        <v>142</v>
      </c>
      <c r="R660" s="212" t="s">
        <v>142</v>
      </c>
      <c r="S660" s="212"/>
      <c r="T660" s="212"/>
      <c r="U660" s="212"/>
      <c r="V660" s="212" t="s">
        <v>142</v>
      </c>
      <c r="W660" s="212" t="str">
        <f t="shared" si="163"/>
        <v/>
      </c>
      <c r="X660" s="214"/>
    </row>
    <row r="661" spans="1:24" ht="15">
      <c r="A661" s="211" t="s">
        <v>3774</v>
      </c>
      <c r="B661" s="225" t="s">
        <v>287</v>
      </c>
      <c r="C661" s="216" t="s">
        <v>53</v>
      </c>
      <c r="D661" s="216" t="s">
        <v>145</v>
      </c>
      <c r="E661" s="216" t="s">
        <v>146</v>
      </c>
      <c r="F661" s="216" t="s">
        <v>167</v>
      </c>
      <c r="G661" s="216" t="s">
        <v>118</v>
      </c>
      <c r="H661" s="216" t="s">
        <v>168</v>
      </c>
      <c r="I661" s="216" t="s">
        <v>169</v>
      </c>
      <c r="J661" s="216" t="s">
        <v>170</v>
      </c>
      <c r="K661" s="216" t="s">
        <v>295</v>
      </c>
      <c r="L661" s="216" t="s">
        <v>261</v>
      </c>
      <c r="M661" s="217">
        <v>41</v>
      </c>
      <c r="N661" s="442" cm="1">
        <f t="array" ref="N661">IF(TRIM(K661)="Mano de Obra",IF(Formulario!$L$23&lt;&gt;"",Formulario!$L$23,IFERROR(VLOOKUP(TRIM($M$4),Jornalesdeppto!A:C,3,0),"")),_xlfn.XLOOKUP(1,(Tabla_Costos_Insumos!$A$2:$A$3199=TRIM($M$4))*(Tabla_Costos_Insumos!$C$2:$C$3199=TRIM(K661)),Tabla_Costos_Insumos!$E$2:$E$3199,"",0))</f>
        <v>29269.489247313439</v>
      </c>
      <c r="O661" s="442">
        <f t="shared" si="171"/>
        <v>1200049.059139851</v>
      </c>
      <c r="P661" s="216" t="str">
        <f t="shared" si="164"/>
        <v>Palma_Aceite Elaeis guineensis</v>
      </c>
      <c r="Q661" s="212" t="s">
        <v>142</v>
      </c>
      <c r="R661" s="212" t="s">
        <v>142</v>
      </c>
      <c r="S661" s="212"/>
      <c r="T661" s="212"/>
      <c r="U661" s="212"/>
      <c r="V661" s="212" t="s">
        <v>142</v>
      </c>
      <c r="W661" s="212" t="str">
        <f t="shared" si="163"/>
        <v/>
      </c>
      <c r="X661" s="214"/>
    </row>
    <row r="662" spans="1:24" ht="15">
      <c r="A662" s="211" t="s">
        <v>3774</v>
      </c>
      <c r="B662" s="225" t="s">
        <v>287</v>
      </c>
      <c r="C662" s="216" t="s">
        <v>53</v>
      </c>
      <c r="D662" s="216" t="s">
        <v>145</v>
      </c>
      <c r="E662" s="216" t="s">
        <v>146</v>
      </c>
      <c r="F662" s="216" t="s">
        <v>167</v>
      </c>
      <c r="G662" s="216" t="s">
        <v>118</v>
      </c>
      <c r="H662" s="216" t="s">
        <v>168</v>
      </c>
      <c r="I662" s="216" t="s">
        <v>169</v>
      </c>
      <c r="J662" s="216" t="s">
        <v>170</v>
      </c>
      <c r="K662" s="216" t="s">
        <v>296</v>
      </c>
      <c r="L662" s="216" t="s">
        <v>226</v>
      </c>
      <c r="M662" s="217">
        <v>23</v>
      </c>
      <c r="N662" s="442" cm="1">
        <f t="array" ref="N662">IF(TRIM(K662)="Mano de Obra",IF(Formulario!$L$23&lt;&gt;"",Formulario!$L$23,IFERROR(VLOOKUP(TRIM($M$4),Jornalesdeppto!A:C,3,0),"")),_xlfn.XLOOKUP(1,(Tabla_Costos_Insumos!$A$2:$A$3199=TRIM($M$4))*(Tabla_Costos_Insumos!$C$2:$C$3199=TRIM(K662)),Tabla_Costos_Insumos!$E$2:$E$3199,"",0))</f>
        <v>23167.62</v>
      </c>
      <c r="O662" s="442">
        <f t="shared" si="171"/>
        <v>532855.26</v>
      </c>
      <c r="P662" s="216" t="str">
        <f t="shared" si="164"/>
        <v>Palma_Aceite Elaeis guineensis</v>
      </c>
      <c r="Q662" s="212" t="s">
        <v>142</v>
      </c>
      <c r="R662" s="212" t="s">
        <v>142</v>
      </c>
      <c r="S662" s="212"/>
      <c r="T662" s="212"/>
      <c r="U662" s="212"/>
      <c r="V662" s="212" t="s">
        <v>142</v>
      </c>
      <c r="W662" s="212" t="str">
        <f t="shared" si="163"/>
        <v/>
      </c>
      <c r="X662" s="214"/>
    </row>
    <row r="663" spans="1:24" ht="15">
      <c r="A663" s="211" t="s">
        <v>3774</v>
      </c>
      <c r="B663" s="225" t="s">
        <v>287</v>
      </c>
      <c r="C663" s="216" t="s">
        <v>53</v>
      </c>
      <c r="D663" s="216" t="s">
        <v>145</v>
      </c>
      <c r="E663" s="216" t="s">
        <v>146</v>
      </c>
      <c r="F663" s="216" t="s">
        <v>167</v>
      </c>
      <c r="G663" s="216" t="s">
        <v>118</v>
      </c>
      <c r="H663" s="216" t="s">
        <v>174</v>
      </c>
      <c r="I663" s="216" t="s">
        <v>175</v>
      </c>
      <c r="J663" s="216" t="s">
        <v>176</v>
      </c>
      <c r="K663" s="216" t="s">
        <v>231</v>
      </c>
      <c r="L663" s="216" t="s">
        <v>172</v>
      </c>
      <c r="M663" s="217">
        <v>24</v>
      </c>
      <c r="N663" s="442" cm="1">
        <f t="array" ref="N663">IF(TRIM(K663)="Mano de Obra",IF(Formulario!$L$23&lt;&gt;"",Formulario!$L$23,IFERROR(VLOOKUP(TRIM($M$4),Jornalesdeppto!A:C,3,0),"")),_xlfn.XLOOKUP(1,(Tabla_Costos_Insumos!$A$2:$A$3199=TRIM($M$4))*(Tabla_Costos_Insumos!$C$2:$C$3199=TRIM(K663)),Tabla_Costos_Insumos!$E$2:$E$3199,"",0))</f>
        <v>23177.15</v>
      </c>
      <c r="O663" s="442">
        <f t="shared" si="171"/>
        <v>556251.60000000009</v>
      </c>
      <c r="P663" s="216" t="str">
        <f t="shared" si="164"/>
        <v>Palma_Aceite Elaeis guineensis</v>
      </c>
      <c r="Q663" s="212" t="s">
        <v>142</v>
      </c>
      <c r="R663" s="212" t="s">
        <v>142</v>
      </c>
      <c r="S663" s="212"/>
      <c r="T663" s="212"/>
      <c r="U663" s="212"/>
      <c r="V663" s="212" t="s">
        <v>142</v>
      </c>
      <c r="W663" s="212" t="str">
        <f t="shared" si="163"/>
        <v/>
      </c>
      <c r="X663" s="214"/>
    </row>
    <row r="664" spans="1:24" ht="15">
      <c r="A664" s="211" t="s">
        <v>3774</v>
      </c>
      <c r="B664" s="225" t="s">
        <v>287</v>
      </c>
      <c r="C664" s="216" t="s">
        <v>53</v>
      </c>
      <c r="D664" s="216" t="s">
        <v>145</v>
      </c>
      <c r="E664" s="216" t="s">
        <v>146</v>
      </c>
      <c r="F664" s="216" t="s">
        <v>167</v>
      </c>
      <c r="G664" s="216" t="s">
        <v>118</v>
      </c>
      <c r="H664" s="216" t="s">
        <v>178</v>
      </c>
      <c r="I664" s="216" t="s">
        <v>179</v>
      </c>
      <c r="J664" s="216" t="s">
        <v>180</v>
      </c>
      <c r="K664" s="223" t="s">
        <v>300</v>
      </c>
      <c r="L664" s="216" t="s">
        <v>172</v>
      </c>
      <c r="M664" s="217">
        <v>5</v>
      </c>
      <c r="N664" s="442" cm="1">
        <f t="array" ref="N664">IF(TRIM(K664)="Mano de Obra",IF(Formulario!$L$23&lt;&gt;"",Formulario!$L$23,IFERROR(VLOOKUP(TRIM($M$4),Jornalesdeppto!A:C,3,0),"")),_xlfn.XLOOKUP(1,(Tabla_Costos_Insumos!$A$2:$A$3199=TRIM($M$4))*(Tabla_Costos_Insumos!$C$2:$C$3199=TRIM(K664)),Tabla_Costos_Insumos!$E$2:$E$3199,"",0))</f>
        <v>66141.87</v>
      </c>
      <c r="O664" s="442">
        <f t="shared" si="171"/>
        <v>330709.34999999998</v>
      </c>
      <c r="P664" s="216" t="str">
        <f t="shared" si="164"/>
        <v>Palma_Aceite Elaeis guineensis</v>
      </c>
      <c r="Q664" s="212" t="s">
        <v>142</v>
      </c>
      <c r="R664" s="212" t="s">
        <v>142</v>
      </c>
      <c r="S664" s="212"/>
      <c r="T664" s="212"/>
      <c r="U664" s="212"/>
      <c r="V664" s="212" t="s">
        <v>142</v>
      </c>
      <c r="W664" s="212" t="str">
        <f t="shared" si="163"/>
        <v/>
      </c>
      <c r="X664" s="214"/>
    </row>
    <row r="665" spans="1:24" ht="15">
      <c r="A665" s="211" t="s">
        <v>3774</v>
      </c>
      <c r="B665" s="225" t="s">
        <v>287</v>
      </c>
      <c r="C665" s="216" t="s">
        <v>53</v>
      </c>
      <c r="D665" s="216" t="s">
        <v>145</v>
      </c>
      <c r="E665" s="216" t="s">
        <v>146</v>
      </c>
      <c r="F665" s="216" t="s">
        <v>167</v>
      </c>
      <c r="G665" s="216" t="s">
        <v>118</v>
      </c>
      <c r="H665" s="216" t="s">
        <v>178</v>
      </c>
      <c r="I665" s="216" t="s">
        <v>179</v>
      </c>
      <c r="J665" s="216" t="s">
        <v>180</v>
      </c>
      <c r="K665" s="216" t="s">
        <v>181</v>
      </c>
      <c r="L665" s="216" t="s">
        <v>172</v>
      </c>
      <c r="M665" s="217">
        <v>7</v>
      </c>
      <c r="N665" s="442" cm="1">
        <f t="array" ref="N665">IF(TRIM(K665)="Mano de Obra",IF(Formulario!$L$23&lt;&gt;"",Formulario!$L$23,IFERROR(VLOOKUP(TRIM($M$4),Jornalesdeppto!A:C,3,0),"")),_xlfn.XLOOKUP(1,(Tabla_Costos_Insumos!$A$2:$A$3199=TRIM($M$4))*(Tabla_Costos_Insumos!$C$2:$C$3199=TRIM(K665)),Tabla_Costos_Insumos!$E$2:$E$3199,"",0))</f>
        <v>34056.25</v>
      </c>
      <c r="O665" s="442">
        <f t="shared" si="171"/>
        <v>238393.75</v>
      </c>
      <c r="P665" s="216" t="str">
        <f t="shared" si="164"/>
        <v>Palma_Aceite Elaeis guineensis</v>
      </c>
      <c r="Q665" s="212" t="s">
        <v>142</v>
      </c>
      <c r="R665" s="212" t="s">
        <v>142</v>
      </c>
      <c r="S665" s="212"/>
      <c r="T665" s="212"/>
      <c r="U665" s="212"/>
      <c r="V665" s="212" t="s">
        <v>142</v>
      </c>
      <c r="W665" s="212" t="str">
        <f t="shared" si="163"/>
        <v/>
      </c>
      <c r="X665" s="214"/>
    </row>
    <row r="666" spans="1:24" ht="15">
      <c r="A666" s="211" t="s">
        <v>3774</v>
      </c>
      <c r="B666" s="225" t="s">
        <v>287</v>
      </c>
      <c r="C666" s="216" t="s">
        <v>53</v>
      </c>
      <c r="D666" s="216" t="s">
        <v>145</v>
      </c>
      <c r="E666" s="216" t="s">
        <v>146</v>
      </c>
      <c r="F666" s="216" t="s">
        <v>183</v>
      </c>
      <c r="G666" s="216" t="s">
        <v>184</v>
      </c>
      <c r="H666" s="216" t="s">
        <v>185</v>
      </c>
      <c r="I666" s="216" t="s">
        <v>186</v>
      </c>
      <c r="J666" s="216" t="s">
        <v>105</v>
      </c>
      <c r="K666" s="216" t="s">
        <v>187</v>
      </c>
      <c r="L666" s="216" t="s">
        <v>188</v>
      </c>
      <c r="M666" s="217">
        <v>0.1</v>
      </c>
      <c r="N666" s="442" cm="1">
        <f t="array" ref="N666">IF(TRIM(K666)="Mano de Obra",IF(Formulario!$L$23&lt;&gt;"",Formulario!$L$23,IFERROR(VLOOKUP(TRIM($M$4),Jornalesdeppto!A:C,3,0),"")),_xlfn.XLOOKUP(1,(Tabla_Costos_Insumos!$A$2:$A$3199=TRIM($M$4))*(Tabla_Costos_Insumos!$C$2:$C$3199=TRIM(K666)),Tabla_Costos_Insumos!$E$2:$E$3199,"",0))</f>
        <v>175000</v>
      </c>
      <c r="O666" s="442">
        <f t="shared" si="171"/>
        <v>17500</v>
      </c>
      <c r="P666" s="216" t="str">
        <f t="shared" si="164"/>
        <v>Palma_Aceite Elaeis guineensis</v>
      </c>
      <c r="Q666" s="212" t="s">
        <v>142</v>
      </c>
      <c r="R666" s="212" t="s">
        <v>142</v>
      </c>
      <c r="S666" s="212"/>
      <c r="T666" s="212"/>
      <c r="U666" s="212"/>
      <c r="V666" s="212" t="s">
        <v>142</v>
      </c>
      <c r="W666" s="212" t="str">
        <f t="shared" si="163"/>
        <v/>
      </c>
      <c r="X666" s="214"/>
    </row>
    <row r="667" spans="1:24" ht="15">
      <c r="A667" s="211" t="s">
        <v>3774</v>
      </c>
      <c r="B667" s="225" t="s">
        <v>287</v>
      </c>
      <c r="C667" s="216" t="s">
        <v>53</v>
      </c>
      <c r="D667" s="216" t="s">
        <v>189</v>
      </c>
      <c r="E667" s="216" t="s">
        <v>190</v>
      </c>
      <c r="F667" s="216" t="s">
        <v>191</v>
      </c>
      <c r="G667" s="216" t="s">
        <v>192</v>
      </c>
      <c r="H667" s="216" t="s">
        <v>193</v>
      </c>
      <c r="I667" s="216" t="s">
        <v>194</v>
      </c>
      <c r="J667" s="216" t="s">
        <v>195</v>
      </c>
      <c r="K667" s="216" t="s">
        <v>196</v>
      </c>
      <c r="L667" s="216" t="s">
        <v>197</v>
      </c>
      <c r="M667" s="217">
        <v>1</v>
      </c>
      <c r="N667" s="442">
        <f>IFERROR(SUM(O649:$O$666)*0.08,0)</f>
        <v>434025.48134532943</v>
      </c>
      <c r="O667" s="442">
        <f t="shared" si="171"/>
        <v>434025.48134532943</v>
      </c>
      <c r="P667" s="216" t="str">
        <f t="shared" si="164"/>
        <v>Palma_Aceite Elaeis guineensis</v>
      </c>
      <c r="Q667" s="212" t="s">
        <v>142</v>
      </c>
      <c r="R667" s="212" t="s">
        <v>142</v>
      </c>
      <c r="S667" s="212"/>
      <c r="T667" s="212"/>
      <c r="U667" s="212"/>
      <c r="V667" s="212" t="s">
        <v>142</v>
      </c>
      <c r="W667" s="212" t="str">
        <f t="shared" si="163"/>
        <v/>
      </c>
      <c r="X667" s="214"/>
    </row>
    <row r="668" spans="1:24" ht="15">
      <c r="A668" s="211" t="s">
        <v>3774</v>
      </c>
      <c r="B668" s="225" t="s">
        <v>287</v>
      </c>
      <c r="C668" s="216" t="s">
        <v>53</v>
      </c>
      <c r="D668" s="216" t="s">
        <v>189</v>
      </c>
      <c r="E668" s="216" t="s">
        <v>190</v>
      </c>
      <c r="F668" s="216" t="s">
        <v>198</v>
      </c>
      <c r="G668" s="216" t="s">
        <v>199</v>
      </c>
      <c r="H668" s="216" t="s">
        <v>200</v>
      </c>
      <c r="I668" s="216" t="s">
        <v>201</v>
      </c>
      <c r="J668" s="216" t="s">
        <v>105</v>
      </c>
      <c r="K668" s="216" t="s">
        <v>202</v>
      </c>
      <c r="L668" s="216" t="s">
        <v>203</v>
      </c>
      <c r="M668" s="217">
        <v>1</v>
      </c>
      <c r="N668" s="442" cm="1">
        <f t="array" ref="N668">IF(TRIM(K668)="Mano de Obra",IF(Formulario!$L$23&lt;&gt;"",Formulario!$L$23,IFERROR(VLOOKUP(TRIM($M$4),Jornalesdeppto!A:C,3,0),"")),_xlfn.XLOOKUP(1,(Tabla_Costos_Insumos!$A$2:$A$3199=TRIM($M$4))*(Tabla_Costos_Insumos!$C$2:$C$3199=TRIM(K668)),Tabla_Costos_Insumos!$E$2:$E$3199,"",0))</f>
        <v>120000</v>
      </c>
      <c r="O668" s="442">
        <f t="shared" si="171"/>
        <v>120000</v>
      </c>
      <c r="P668" s="216" t="str">
        <f t="shared" si="164"/>
        <v>Palma_Aceite Elaeis guineensis</v>
      </c>
      <c r="Q668" s="212" t="s">
        <v>142</v>
      </c>
      <c r="R668" s="212" t="s">
        <v>142</v>
      </c>
      <c r="S668" s="212"/>
      <c r="T668" s="212"/>
      <c r="U668" s="212"/>
      <c r="V668" s="212" t="s">
        <v>142</v>
      </c>
      <c r="W668" s="212" t="str">
        <f t="shared" si="163"/>
        <v/>
      </c>
      <c r="X668" s="214"/>
    </row>
    <row r="669" spans="1:24" ht="15">
      <c r="A669" s="211" t="s">
        <v>3774</v>
      </c>
      <c r="B669" s="225" t="s">
        <v>287</v>
      </c>
      <c r="C669" s="216" t="s">
        <v>53</v>
      </c>
      <c r="D669" s="216" t="s">
        <v>189</v>
      </c>
      <c r="E669" s="216" t="s">
        <v>190</v>
      </c>
      <c r="F669" s="216" t="s">
        <v>204</v>
      </c>
      <c r="G669" s="216" t="s">
        <v>205</v>
      </c>
      <c r="H669" s="216" t="s">
        <v>206</v>
      </c>
      <c r="I669" s="216" t="s">
        <v>207</v>
      </c>
      <c r="J669" s="216" t="s">
        <v>4127</v>
      </c>
      <c r="K669" s="216" t="s">
        <v>228</v>
      </c>
      <c r="L669" s="216" t="s">
        <v>197</v>
      </c>
      <c r="M669" s="217">
        <v>1</v>
      </c>
      <c r="N669" s="442" t="str">
        <f>IF($M$3="Palma_Aceite Elaeis guineensis",($J$4),"")</f>
        <v/>
      </c>
      <c r="O669" s="442" t="str">
        <f t="shared" si="171"/>
        <v/>
      </c>
      <c r="P669" s="216" t="str">
        <f t="shared" si="164"/>
        <v>Palma_Aceite Elaeis guineensis</v>
      </c>
      <c r="Q669" s="212" t="s">
        <v>142</v>
      </c>
      <c r="R669" s="212" t="s">
        <v>142</v>
      </c>
      <c r="S669" s="212"/>
      <c r="T669" s="212"/>
      <c r="U669" s="212"/>
      <c r="V669" s="212" t="s">
        <v>142</v>
      </c>
      <c r="W669" s="212" t="str">
        <f t="shared" si="163"/>
        <v/>
      </c>
      <c r="X669" s="214"/>
    </row>
    <row r="670" spans="1:24" ht="15">
      <c r="A670" s="211" t="s">
        <v>3774</v>
      </c>
      <c r="B670" s="225" t="s">
        <v>287</v>
      </c>
      <c r="C670" s="220" t="s">
        <v>68</v>
      </c>
      <c r="D670" s="220" t="s">
        <v>99</v>
      </c>
      <c r="E670" s="220" t="s">
        <v>100</v>
      </c>
      <c r="F670" s="220" t="s">
        <v>109</v>
      </c>
      <c r="G670" s="220" t="s">
        <v>110</v>
      </c>
      <c r="H670" s="220" t="s">
        <v>234</v>
      </c>
      <c r="I670" s="220" t="s">
        <v>235</v>
      </c>
      <c r="J670" s="220" t="s">
        <v>105</v>
      </c>
      <c r="K670" s="220" t="s">
        <v>106</v>
      </c>
      <c r="L670" s="220" t="s">
        <v>107</v>
      </c>
      <c r="M670" s="221">
        <f t="shared" ref="M670:M677" si="172">IF(W670&lt;&gt;"", W670, ROUNDUP(X670*T670, 0))</f>
        <v>6</v>
      </c>
      <c r="N670" s="443" cm="1">
        <f t="array" ref="N670">IF(TRIM(K670)="Mano de Obra",IF(Formulario!$L$23&lt;&gt;"",Formulario!$L$23,IFERROR(VLOOKUP(TRIM($M$4),Jornalesdeppto!A:C,3,0),"")),_xlfn.XLOOKUP(1,(Tabla_Costos_Insumos!$A$2:$A$3199=TRIM($M$4))*(Tabla_Costos_Insumos!$C$2:$C$3199=TRIM(K670)),Tabla_Costos_Insumos!$E$2:$E$3199,"",0))</f>
        <v>46666.666666666664</v>
      </c>
      <c r="O670" s="443">
        <f t="shared" si="171"/>
        <v>280000</v>
      </c>
      <c r="P670" s="220" t="str">
        <f t="shared" si="164"/>
        <v>Palma_Aceite Elaeis guineensis</v>
      </c>
      <c r="Q670" s="212" t="s">
        <v>108</v>
      </c>
      <c r="R670" s="212">
        <v>1</v>
      </c>
      <c r="S670" s="212" t="str">
        <f t="shared" ref="S670:S674" si="173">IF($M$3="Palma_Aceite Elaeis guineensis",($I$3*R670) / 480,"")</f>
        <v/>
      </c>
      <c r="T670" s="212" cm="1">
        <f t="array" ref="T670">_xlfn.IFS($D$5&lt;=7, 1.1, $D$5&lt;=12,1.2, $D$5&lt;=25, 1.3, $D$5&gt;25,1.4)</f>
        <v>1.3</v>
      </c>
      <c r="U670" s="212" t="str">
        <f t="shared" ref="U670:U674" si="174">IFERROR(S670*T670,"")</f>
        <v/>
      </c>
      <c r="V670" s="212">
        <v>4</v>
      </c>
      <c r="W670" s="212" t="str">
        <f t="shared" si="163"/>
        <v/>
      </c>
      <c r="X670" s="214">
        <v>4</v>
      </c>
    </row>
    <row r="671" spans="1:24" ht="15">
      <c r="A671" s="211" t="s">
        <v>3774</v>
      </c>
      <c r="B671" s="225" t="s">
        <v>287</v>
      </c>
      <c r="C671" s="220" t="s">
        <v>68</v>
      </c>
      <c r="D671" s="220" t="s">
        <v>99</v>
      </c>
      <c r="E671" s="220" t="s">
        <v>100</v>
      </c>
      <c r="F671" s="220" t="s">
        <v>113</v>
      </c>
      <c r="G671" s="220" t="s">
        <v>114</v>
      </c>
      <c r="H671" s="220" t="s">
        <v>115</v>
      </c>
      <c r="I671" s="220" t="s">
        <v>116</v>
      </c>
      <c r="J671" s="220" t="s">
        <v>105</v>
      </c>
      <c r="K671" s="220" t="s">
        <v>106</v>
      </c>
      <c r="L671" s="220" t="s">
        <v>107</v>
      </c>
      <c r="M671" s="221">
        <f t="shared" si="172"/>
        <v>3</v>
      </c>
      <c r="N671" s="443" cm="1">
        <f t="array" ref="N671">IF(TRIM(K671)="Mano de Obra",IF(Formulario!$L$23&lt;&gt;"",Formulario!$L$23,IFERROR(VLOOKUP(TRIM($M$4),Jornalesdeppto!A:C,3,0),"")),_xlfn.XLOOKUP(1,(Tabla_Costos_Insumos!$A$2:$A$3199=TRIM($M$4))*(Tabla_Costos_Insumos!$C$2:$C$3199=TRIM(K671)),Tabla_Costos_Insumos!$E$2:$E$3199,"",0))</f>
        <v>46666.666666666664</v>
      </c>
      <c r="O671" s="443">
        <f t="shared" si="171"/>
        <v>140000</v>
      </c>
      <c r="P671" s="220" t="str">
        <f t="shared" si="164"/>
        <v>Palma_Aceite Elaeis guineensis</v>
      </c>
      <c r="Q671" s="212" t="s">
        <v>108</v>
      </c>
      <c r="R671" s="212">
        <v>3</v>
      </c>
      <c r="S671" s="212" t="str">
        <f t="shared" si="173"/>
        <v/>
      </c>
      <c r="T671" s="212" cm="1">
        <f t="array" ref="T671">_xlfn.IFS($D$5&lt;=7, 1.1, $D$5&lt;=12,1.2, $D$5&lt;=25, 1.3, $D$5&gt;25,1.4)</f>
        <v>1.3</v>
      </c>
      <c r="U671" s="212" t="str">
        <f t="shared" si="174"/>
        <v/>
      </c>
      <c r="V671" s="212">
        <v>2</v>
      </c>
      <c r="W671" s="212" t="str">
        <f t="shared" si="163"/>
        <v/>
      </c>
      <c r="X671" s="214">
        <v>2</v>
      </c>
    </row>
    <row r="672" spans="1:24" ht="15">
      <c r="A672" s="211" t="s">
        <v>3774</v>
      </c>
      <c r="B672" s="225" t="s">
        <v>287</v>
      </c>
      <c r="C672" s="220" t="s">
        <v>68</v>
      </c>
      <c r="D672" s="220" t="s">
        <v>99</v>
      </c>
      <c r="E672" s="220" t="s">
        <v>100</v>
      </c>
      <c r="F672" s="220" t="s">
        <v>117</v>
      </c>
      <c r="G672" s="220" t="s">
        <v>118</v>
      </c>
      <c r="H672" s="220" t="s">
        <v>119</v>
      </c>
      <c r="I672" s="220" t="s">
        <v>120</v>
      </c>
      <c r="J672" s="220" t="s">
        <v>105</v>
      </c>
      <c r="K672" s="220" t="s">
        <v>106</v>
      </c>
      <c r="L672" s="220" t="s">
        <v>107</v>
      </c>
      <c r="M672" s="221">
        <f t="shared" si="172"/>
        <v>6</v>
      </c>
      <c r="N672" s="443" cm="1">
        <f t="array" ref="N672">IF(TRIM(K672)="Mano de Obra",IF(Formulario!$L$23&lt;&gt;"",Formulario!$L$23,IFERROR(VLOOKUP(TRIM($M$4),Jornalesdeppto!A:C,3,0),"")),_xlfn.XLOOKUP(1,(Tabla_Costos_Insumos!$A$2:$A$3199=TRIM($M$4))*(Tabla_Costos_Insumos!$C$2:$C$3199=TRIM(K672)),Tabla_Costos_Insumos!$E$2:$E$3199,"",0))</f>
        <v>46666.666666666664</v>
      </c>
      <c r="O672" s="443">
        <f t="shared" si="171"/>
        <v>280000</v>
      </c>
      <c r="P672" s="220" t="str">
        <f t="shared" si="164"/>
        <v>Palma_Aceite Elaeis guineensis</v>
      </c>
      <c r="Q672" s="212" t="s">
        <v>108</v>
      </c>
      <c r="R672" s="212">
        <v>7</v>
      </c>
      <c r="S672" s="212" t="str">
        <f t="shared" si="173"/>
        <v/>
      </c>
      <c r="T672" s="212" cm="1">
        <f t="array" ref="T672">_xlfn.IFS($D$5&lt;=7, 1.1, $D$5&lt;=12,1.2, $D$5&lt;=25, 1.3, $D$5&gt;25,1.4)</f>
        <v>1.3</v>
      </c>
      <c r="U672" s="212" t="str">
        <f t="shared" si="174"/>
        <v/>
      </c>
      <c r="V672" s="212">
        <v>5</v>
      </c>
      <c r="W672" s="212" t="str">
        <f t="shared" si="163"/>
        <v/>
      </c>
      <c r="X672" s="214">
        <v>4</v>
      </c>
    </row>
    <row r="673" spans="1:24" ht="15">
      <c r="A673" s="211" t="s">
        <v>3774</v>
      </c>
      <c r="B673" s="225" t="s">
        <v>287</v>
      </c>
      <c r="C673" s="220" t="s">
        <v>68</v>
      </c>
      <c r="D673" s="220" t="s">
        <v>99</v>
      </c>
      <c r="E673" s="220" t="s">
        <v>100</v>
      </c>
      <c r="F673" s="220" t="s">
        <v>117</v>
      </c>
      <c r="G673" s="220" t="s">
        <v>118</v>
      </c>
      <c r="H673" s="220" t="s">
        <v>121</v>
      </c>
      <c r="I673" s="220" t="s">
        <v>122</v>
      </c>
      <c r="J673" s="220" t="s">
        <v>105</v>
      </c>
      <c r="K673" s="220" t="s">
        <v>106</v>
      </c>
      <c r="L673" s="220" t="s">
        <v>107</v>
      </c>
      <c r="M673" s="221">
        <f t="shared" si="172"/>
        <v>6</v>
      </c>
      <c r="N673" s="443" cm="1">
        <f t="array" ref="N673">IF(TRIM(K673)="Mano de Obra",IF(Formulario!$L$23&lt;&gt;"",Formulario!$L$23,IFERROR(VLOOKUP(TRIM($M$4),Jornalesdeppto!A:C,3,0),"")),_xlfn.XLOOKUP(1,(Tabla_Costos_Insumos!$A$2:$A$3199=TRIM($M$4))*(Tabla_Costos_Insumos!$C$2:$C$3199=TRIM(K673)),Tabla_Costos_Insumos!$E$2:$E$3199,"",0))</f>
        <v>46666.666666666664</v>
      </c>
      <c r="O673" s="443">
        <f t="shared" si="171"/>
        <v>280000</v>
      </c>
      <c r="P673" s="220" t="str">
        <f t="shared" si="164"/>
        <v>Palma_Aceite Elaeis guineensis</v>
      </c>
      <c r="Q673" s="212" t="s">
        <v>108</v>
      </c>
      <c r="R673" s="212">
        <v>7</v>
      </c>
      <c r="S673" s="212" t="str">
        <f t="shared" si="173"/>
        <v/>
      </c>
      <c r="T673" s="212" cm="1">
        <f t="array" ref="T673">_xlfn.IFS($D$5&lt;=7, 1.1, $D$5&lt;=12,1.2, $D$5&lt;=25, 1.3, $D$5&gt;25,1.4)</f>
        <v>1.3</v>
      </c>
      <c r="U673" s="212" t="str">
        <f t="shared" si="174"/>
        <v/>
      </c>
      <c r="V673" s="212">
        <v>5</v>
      </c>
      <c r="W673" s="212" t="str">
        <f t="shared" si="163"/>
        <v/>
      </c>
      <c r="X673" s="214">
        <v>4</v>
      </c>
    </row>
    <row r="674" spans="1:24" ht="15">
      <c r="A674" s="211" t="s">
        <v>3774</v>
      </c>
      <c r="B674" s="225" t="s">
        <v>287</v>
      </c>
      <c r="C674" s="220" t="s">
        <v>68</v>
      </c>
      <c r="D674" s="220" t="s">
        <v>99</v>
      </c>
      <c r="E674" s="220" t="s">
        <v>100</v>
      </c>
      <c r="F674" s="220" t="s">
        <v>123</v>
      </c>
      <c r="G674" s="220" t="s">
        <v>124</v>
      </c>
      <c r="H674" s="220" t="s">
        <v>125</v>
      </c>
      <c r="I674" s="220" t="s">
        <v>126</v>
      </c>
      <c r="J674" s="220" t="s">
        <v>105</v>
      </c>
      <c r="K674" s="220" t="s">
        <v>106</v>
      </c>
      <c r="L674" s="220" t="s">
        <v>107</v>
      </c>
      <c r="M674" s="221">
        <f t="shared" si="172"/>
        <v>2</v>
      </c>
      <c r="N674" s="443" cm="1">
        <f t="array" ref="N674">IF(TRIM(K674)="Mano de Obra",IF(Formulario!$L$23&lt;&gt;"",Formulario!$L$23,IFERROR(VLOOKUP(TRIM($M$4),Jornalesdeppto!A:C,3,0),"")),_xlfn.XLOOKUP(1,(Tabla_Costos_Insumos!$A$2:$A$3199=TRIM($M$4))*(Tabla_Costos_Insumos!$C$2:$C$3199=TRIM(K674)),Tabla_Costos_Insumos!$E$2:$E$3199,"",0))</f>
        <v>46666.666666666664</v>
      </c>
      <c r="O674" s="443">
        <f t="shared" si="171"/>
        <v>93333.333333333328</v>
      </c>
      <c r="P674" s="220" t="str">
        <f t="shared" si="164"/>
        <v>Palma_Aceite Elaeis guineensis</v>
      </c>
      <c r="Q674" s="212" t="s">
        <v>108</v>
      </c>
      <c r="R674" s="212">
        <v>0.09</v>
      </c>
      <c r="S674" s="212" t="str">
        <f t="shared" si="173"/>
        <v/>
      </c>
      <c r="T674" s="212" cm="1">
        <f t="array" ref="T674">_xlfn.IFS($D$5&lt;=7, 1.1, $D$5&lt;=12,1.2, $D$5&lt;=25, 1.3, $D$5&gt;25,1.4)</f>
        <v>1.3</v>
      </c>
      <c r="U674" s="212" t="str">
        <f t="shared" si="174"/>
        <v/>
      </c>
      <c r="V674" s="212">
        <v>4</v>
      </c>
      <c r="W674" s="212" t="str">
        <f t="shared" si="163"/>
        <v/>
      </c>
      <c r="X674" s="214">
        <v>1</v>
      </c>
    </row>
    <row r="675" spans="1:24" ht="15">
      <c r="A675" s="211" t="s">
        <v>3774</v>
      </c>
      <c r="B675" s="225" t="s">
        <v>287</v>
      </c>
      <c r="C675" s="220" t="s">
        <v>68</v>
      </c>
      <c r="D675" s="220" t="s">
        <v>99</v>
      </c>
      <c r="E675" s="220" t="s">
        <v>100</v>
      </c>
      <c r="F675" s="220" t="s">
        <v>123</v>
      </c>
      <c r="G675" s="220" t="s">
        <v>124</v>
      </c>
      <c r="H675" s="220" t="s">
        <v>128</v>
      </c>
      <c r="I675" s="220" t="s">
        <v>129</v>
      </c>
      <c r="J675" s="220" t="s">
        <v>105</v>
      </c>
      <c r="K675" s="220" t="s">
        <v>106</v>
      </c>
      <c r="L675" s="220" t="s">
        <v>107</v>
      </c>
      <c r="M675" s="221">
        <f t="shared" si="172"/>
        <v>6</v>
      </c>
      <c r="N675" s="443" cm="1">
        <f t="array" ref="N675">IF(TRIM(K675)="Mano de Obra",IF(Formulario!$L$23&lt;&gt;"",Formulario!$L$23,IFERROR(VLOOKUP(TRIM($M$4),Jornalesdeppto!A:C,3,0),"")),_xlfn.XLOOKUP(1,(Tabla_Costos_Insumos!$A$2:$A$3199=TRIM($M$4))*(Tabla_Costos_Insumos!$C$2:$C$3199=TRIM(K675)),Tabla_Costos_Insumos!$E$2:$E$3199,"",0))</f>
        <v>46666.666666666664</v>
      </c>
      <c r="O675" s="443">
        <f t="shared" si="171"/>
        <v>280000</v>
      </c>
      <c r="P675" s="220" t="str">
        <f t="shared" si="164"/>
        <v>Palma_Aceite Elaeis guineensis</v>
      </c>
      <c r="Q675" s="212" t="s">
        <v>127</v>
      </c>
      <c r="R675" s="212">
        <v>0.09</v>
      </c>
      <c r="S675" s="212">
        <f t="shared" ref="S675" si="175">10000*R675/480</f>
        <v>1.875</v>
      </c>
      <c r="T675" s="212" cm="1">
        <f t="array" ref="T675">_xlfn.IFS($D$5&lt;=7, 1.1, $D$5&lt;=12,1.2, $D$5&lt;=25, 1.3, $D$5&gt;25,1.4)</f>
        <v>1.3</v>
      </c>
      <c r="U675" s="212"/>
      <c r="V675" s="212">
        <v>2</v>
      </c>
      <c r="W675" s="212"/>
      <c r="X675" s="214">
        <v>4</v>
      </c>
    </row>
    <row r="676" spans="1:24" ht="15">
      <c r="A676" s="211" t="s">
        <v>3774</v>
      </c>
      <c r="B676" s="225" t="s">
        <v>287</v>
      </c>
      <c r="C676" s="220" t="s">
        <v>68</v>
      </c>
      <c r="D676" s="220" t="s">
        <v>99</v>
      </c>
      <c r="E676" s="220" t="s">
        <v>100</v>
      </c>
      <c r="F676" s="220" t="s">
        <v>130</v>
      </c>
      <c r="G676" s="220" t="s">
        <v>131</v>
      </c>
      <c r="H676" s="220" t="s">
        <v>132</v>
      </c>
      <c r="I676" s="220" t="s">
        <v>133</v>
      </c>
      <c r="J676" s="220" t="s">
        <v>105</v>
      </c>
      <c r="K676" s="220" t="s">
        <v>106</v>
      </c>
      <c r="L676" s="220" t="s">
        <v>107</v>
      </c>
      <c r="M676" s="221">
        <f t="shared" si="172"/>
        <v>4</v>
      </c>
      <c r="N676" s="443" cm="1">
        <f t="array" ref="N676">IF(TRIM(K676)="Mano de Obra",IF(Formulario!$L$23&lt;&gt;"",Formulario!$L$23,IFERROR(VLOOKUP(TRIM($M$4),Jornalesdeppto!A:C,3,0),"")),_xlfn.XLOOKUP(1,(Tabla_Costos_Insumos!$A$2:$A$3199=TRIM($M$4))*(Tabla_Costos_Insumos!$C$2:$C$3199=TRIM(K676)),Tabla_Costos_Insumos!$E$2:$E$3199,"",0))</f>
        <v>46666.666666666664</v>
      </c>
      <c r="O676" s="443">
        <f t="shared" si="171"/>
        <v>186666.66666666666</v>
      </c>
      <c r="P676" s="220" t="str">
        <f t="shared" si="164"/>
        <v>Palma_Aceite Elaeis guineensis</v>
      </c>
      <c r="Q676" s="212" t="s">
        <v>108</v>
      </c>
      <c r="R676" s="212">
        <v>1.5</v>
      </c>
      <c r="S676" s="212" t="str">
        <f t="shared" ref="S676:S677" si="176">IF($M$3="Palma_Aceite Elaeis guineensis",($I$3*R676) / 480,"")</f>
        <v/>
      </c>
      <c r="T676" s="212" cm="1">
        <f t="array" ref="T676">_xlfn.IFS($D$5&lt;=7, 1.1, $D$5&lt;=12,1.2, $D$5&lt;=25, 1.3, $D$5&gt;25,1.4)</f>
        <v>1.3</v>
      </c>
      <c r="U676" s="212" t="str">
        <f t="shared" ref="U676:U677" si="177">IFERROR(S676*T676,"")</f>
        <v/>
      </c>
      <c r="V676" s="212">
        <v>4</v>
      </c>
      <c r="W676" s="212" t="str">
        <f t="shared" si="163"/>
        <v/>
      </c>
      <c r="X676" s="214">
        <v>3</v>
      </c>
    </row>
    <row r="677" spans="1:24" ht="15">
      <c r="A677" s="211" t="s">
        <v>3774</v>
      </c>
      <c r="B677" s="225" t="s">
        <v>287</v>
      </c>
      <c r="C677" s="220" t="s">
        <v>68</v>
      </c>
      <c r="D677" s="220" t="s">
        <v>99</v>
      </c>
      <c r="E677" s="220" t="s">
        <v>100</v>
      </c>
      <c r="F677" s="220" t="s">
        <v>130</v>
      </c>
      <c r="G677" s="220" t="s">
        <v>131</v>
      </c>
      <c r="H677" s="220" t="s">
        <v>134</v>
      </c>
      <c r="I677" s="220" t="s">
        <v>135</v>
      </c>
      <c r="J677" s="220" t="s">
        <v>105</v>
      </c>
      <c r="K677" s="220" t="s">
        <v>106</v>
      </c>
      <c r="L677" s="220" t="s">
        <v>107</v>
      </c>
      <c r="M677" s="221">
        <f t="shared" si="172"/>
        <v>2</v>
      </c>
      <c r="N677" s="443" cm="1">
        <f t="array" ref="N677">IF(TRIM(K677)="Mano de Obra",IF(Formulario!$L$23&lt;&gt;"",Formulario!$L$23,IFERROR(VLOOKUP(TRIM($M$4),Jornalesdeppto!A:C,3,0),"")),_xlfn.XLOOKUP(1,(Tabla_Costos_Insumos!$A$2:$A$3199=TRIM($M$4))*(Tabla_Costos_Insumos!$C$2:$C$3199=TRIM(K677)),Tabla_Costos_Insumos!$E$2:$E$3199,"",0))</f>
        <v>46666.666666666664</v>
      </c>
      <c r="O677" s="443">
        <f t="shared" si="171"/>
        <v>93333.333333333328</v>
      </c>
      <c r="P677" s="220" t="str">
        <f t="shared" si="164"/>
        <v>Palma_Aceite Elaeis guineensis</v>
      </c>
      <c r="Q677" s="212" t="s">
        <v>108</v>
      </c>
      <c r="R677" s="212">
        <v>1.5</v>
      </c>
      <c r="S677" s="212" t="str">
        <f t="shared" si="176"/>
        <v/>
      </c>
      <c r="T677" s="212" cm="1">
        <f t="array" ref="T677">_xlfn.IFS($D$5&lt;=7, 1.1, $D$5&lt;=12,1.2, $D$5&lt;=25, 1.3, $D$5&gt;25,1.4)</f>
        <v>1.3</v>
      </c>
      <c r="U677" s="212" t="str">
        <f t="shared" si="177"/>
        <v/>
      </c>
      <c r="V677" s="212">
        <v>4</v>
      </c>
      <c r="W677" s="212" t="str">
        <f t="shared" si="163"/>
        <v/>
      </c>
      <c r="X677" s="214">
        <v>1</v>
      </c>
    </row>
    <row r="678" spans="1:24" ht="15">
      <c r="A678" s="211" t="s">
        <v>3774</v>
      </c>
      <c r="B678" s="225" t="s">
        <v>287</v>
      </c>
      <c r="C678" s="220" t="s">
        <v>68</v>
      </c>
      <c r="D678" s="220" t="s">
        <v>145</v>
      </c>
      <c r="E678" s="220" t="s">
        <v>146</v>
      </c>
      <c r="F678" s="220" t="s">
        <v>147</v>
      </c>
      <c r="G678" s="220" t="s">
        <v>131</v>
      </c>
      <c r="H678" s="220" t="s">
        <v>148</v>
      </c>
      <c r="I678" s="220" t="s">
        <v>299</v>
      </c>
      <c r="J678" s="220" t="s">
        <v>149</v>
      </c>
      <c r="K678" s="220" t="s">
        <v>150</v>
      </c>
      <c r="L678" s="220" t="s">
        <v>151</v>
      </c>
      <c r="M678" s="221">
        <v>2</v>
      </c>
      <c r="N678" s="443" cm="1">
        <f t="array" ref="N678">IF(TRIM(K678)="Mano de Obra",IF(Formulario!$L$23&lt;&gt;"",Formulario!$L$23,IFERROR(VLOOKUP(TRIM($M$4),Jornalesdeppto!A:C,3,0),"")),_xlfn.XLOOKUP(1,(Tabla_Costos_Insumos!$A$2:$A$3199=TRIM($M$4))*(Tabla_Costos_Insumos!$C$2:$C$3199=TRIM(K678)),Tabla_Costos_Insumos!$E$2:$E$3199,"",0))</f>
        <v>198055.68333333</v>
      </c>
      <c r="O678" s="443">
        <f t="shared" si="171"/>
        <v>396111.36666666</v>
      </c>
      <c r="P678" s="220" t="str">
        <f t="shared" si="164"/>
        <v>Palma_Aceite Elaeis guineensis</v>
      </c>
      <c r="Q678" s="212" t="s">
        <v>142</v>
      </c>
      <c r="R678" s="212" t="s">
        <v>142</v>
      </c>
      <c r="S678" s="212"/>
      <c r="T678" s="212"/>
      <c r="U678" s="212"/>
      <c r="V678" s="212" t="s">
        <v>142</v>
      </c>
      <c r="W678" s="212" t="str">
        <f t="shared" si="163"/>
        <v/>
      </c>
      <c r="X678" s="214"/>
    </row>
    <row r="679" spans="1:24" ht="15">
      <c r="A679" s="211" t="s">
        <v>3774</v>
      </c>
      <c r="B679" s="225" t="s">
        <v>287</v>
      </c>
      <c r="C679" s="220" t="s">
        <v>68</v>
      </c>
      <c r="D679" s="220" t="s">
        <v>145</v>
      </c>
      <c r="E679" s="220" t="s">
        <v>146</v>
      </c>
      <c r="F679" s="220" t="s">
        <v>147</v>
      </c>
      <c r="G679" s="220" t="s">
        <v>131</v>
      </c>
      <c r="H679" s="220" t="s">
        <v>152</v>
      </c>
      <c r="I679" s="220" t="s">
        <v>153</v>
      </c>
      <c r="J679" s="220" t="s">
        <v>149</v>
      </c>
      <c r="K679" s="220" t="s">
        <v>166</v>
      </c>
      <c r="L679" s="220" t="s">
        <v>151</v>
      </c>
      <c r="M679" s="221">
        <v>8</v>
      </c>
      <c r="N679" s="443" cm="1">
        <f t="array" ref="N679">IF(TRIM(K679)="Mano de Obra",IF(Formulario!$L$23&lt;&gt;"",Formulario!$L$23,IFERROR(VLOOKUP(TRIM($M$4),Jornalesdeppto!A:C,3,0),"")),_xlfn.XLOOKUP(1,(Tabla_Costos_Insumos!$A$2:$A$3199=TRIM($M$4))*(Tabla_Costos_Insumos!$C$2:$C$3199=TRIM(K679)),Tabla_Costos_Insumos!$E$2:$E$3199,"",0))</f>
        <v>110000</v>
      </c>
      <c r="O679" s="443">
        <f t="shared" si="171"/>
        <v>880000</v>
      </c>
      <c r="P679" s="220" t="str">
        <f t="shared" si="164"/>
        <v>Palma_Aceite Elaeis guineensis</v>
      </c>
      <c r="Q679" s="212" t="s">
        <v>142</v>
      </c>
      <c r="R679" s="212" t="s">
        <v>142</v>
      </c>
      <c r="S679" s="212"/>
      <c r="T679" s="212"/>
      <c r="U679" s="212"/>
      <c r="V679" s="212" t="s">
        <v>142</v>
      </c>
      <c r="W679" s="212" t="str">
        <f t="shared" si="163"/>
        <v/>
      </c>
      <c r="X679" s="214"/>
    </row>
    <row r="680" spans="1:24" ht="15">
      <c r="A680" s="211" t="s">
        <v>3774</v>
      </c>
      <c r="B680" s="225" t="s">
        <v>287</v>
      </c>
      <c r="C680" s="220" t="s">
        <v>68</v>
      </c>
      <c r="D680" s="220" t="s">
        <v>145</v>
      </c>
      <c r="E680" s="220" t="s">
        <v>146</v>
      </c>
      <c r="F680" s="220" t="s">
        <v>147</v>
      </c>
      <c r="G680" s="220" t="s">
        <v>131</v>
      </c>
      <c r="H680" s="220" t="s">
        <v>154</v>
      </c>
      <c r="I680" s="220" t="s">
        <v>155</v>
      </c>
      <c r="J680" s="220" t="s">
        <v>149</v>
      </c>
      <c r="K680" s="220" t="s">
        <v>156</v>
      </c>
      <c r="L680" s="220" t="s">
        <v>151</v>
      </c>
      <c r="M680" s="221">
        <v>3</v>
      </c>
      <c r="N680" s="443" cm="1">
        <f t="array" ref="N680">IF(TRIM(K680)="Mano de Obra",IF(Formulario!$L$23&lt;&gt;"",Formulario!$L$23,IFERROR(VLOOKUP(TRIM($M$4),Jornalesdeppto!A:C,3,0),"")),_xlfn.XLOOKUP(1,(Tabla_Costos_Insumos!$A$2:$A$3199=TRIM($M$4))*(Tabla_Costos_Insumos!$C$2:$C$3199=TRIM(K680)),Tabla_Costos_Insumos!$E$2:$E$3199,"",0))</f>
        <v>17212.5</v>
      </c>
      <c r="O680" s="443">
        <f t="shared" si="171"/>
        <v>51637.5</v>
      </c>
      <c r="P680" s="220" t="str">
        <f t="shared" si="164"/>
        <v>Palma_Aceite Elaeis guineensis</v>
      </c>
      <c r="Q680" s="212" t="s">
        <v>142</v>
      </c>
      <c r="R680" s="212" t="s">
        <v>142</v>
      </c>
      <c r="S680" s="212"/>
      <c r="T680" s="212"/>
      <c r="U680" s="212"/>
      <c r="V680" s="212" t="s">
        <v>142</v>
      </c>
      <c r="W680" s="212" t="str">
        <f t="shared" si="163"/>
        <v/>
      </c>
      <c r="X680" s="214"/>
    </row>
    <row r="681" spans="1:24" ht="15">
      <c r="A681" s="211" t="s">
        <v>3774</v>
      </c>
      <c r="B681" s="225" t="s">
        <v>287</v>
      </c>
      <c r="C681" s="220" t="s">
        <v>68</v>
      </c>
      <c r="D681" s="220" t="s">
        <v>145</v>
      </c>
      <c r="E681" s="220" t="s">
        <v>146</v>
      </c>
      <c r="F681" s="220" t="s">
        <v>147</v>
      </c>
      <c r="G681" s="220" t="s">
        <v>131</v>
      </c>
      <c r="H681" s="220" t="s">
        <v>157</v>
      </c>
      <c r="I681" s="220" t="s">
        <v>158</v>
      </c>
      <c r="J681" s="220" t="s">
        <v>149</v>
      </c>
      <c r="K681" s="224" t="s">
        <v>291</v>
      </c>
      <c r="L681" s="220" t="s">
        <v>172</v>
      </c>
      <c r="M681" s="221">
        <v>9</v>
      </c>
      <c r="N681" s="443" cm="1">
        <f t="array" ref="N681">IF(TRIM(K681)="Mano de Obra",IF(Formulario!$L$23&lt;&gt;"",Formulario!$L$23,IFERROR(VLOOKUP(TRIM($M$4),Jornalesdeppto!A:C,3,0),"")),_xlfn.XLOOKUP(1,(Tabla_Costos_Insumos!$A$2:$A$3199=TRIM($M$4))*(Tabla_Costos_Insumos!$C$2:$C$3199=TRIM(K681)),Tabla_Costos_Insumos!$E$2:$E$3199,"",0))</f>
        <v>22086.61</v>
      </c>
      <c r="O681" s="443">
        <f t="shared" si="171"/>
        <v>198779.49</v>
      </c>
      <c r="P681" s="220" t="str">
        <f t="shared" si="164"/>
        <v>Palma_Aceite Elaeis guineensis</v>
      </c>
      <c r="Q681" s="212" t="s">
        <v>142</v>
      </c>
      <c r="R681" s="212" t="s">
        <v>142</v>
      </c>
      <c r="S681" s="212"/>
      <c r="T681" s="212"/>
      <c r="U681" s="212"/>
      <c r="V681" s="212" t="s">
        <v>142</v>
      </c>
      <c r="W681" s="212" t="str">
        <f t="shared" si="163"/>
        <v/>
      </c>
      <c r="X681" s="214"/>
    </row>
    <row r="682" spans="1:24" ht="15">
      <c r="A682" s="211" t="s">
        <v>3774</v>
      </c>
      <c r="B682" s="225" t="s">
        <v>287</v>
      </c>
      <c r="C682" s="220" t="s">
        <v>68</v>
      </c>
      <c r="D682" s="220" t="s">
        <v>145</v>
      </c>
      <c r="E682" s="220" t="s">
        <v>146</v>
      </c>
      <c r="F682" s="220" t="s">
        <v>147</v>
      </c>
      <c r="G682" s="220" t="s">
        <v>131</v>
      </c>
      <c r="H682" s="220" t="s">
        <v>161</v>
      </c>
      <c r="I682" s="220" t="s">
        <v>162</v>
      </c>
      <c r="J682" s="220" t="s">
        <v>149</v>
      </c>
      <c r="K682" s="220" t="s">
        <v>163</v>
      </c>
      <c r="L682" s="220" t="s">
        <v>164</v>
      </c>
      <c r="M682" s="221">
        <v>2</v>
      </c>
      <c r="N682" s="443" cm="1">
        <f t="array" ref="N682">IF(TRIM(K682)="Mano de Obra",IF(Formulario!$L$23&lt;&gt;"",Formulario!$L$23,IFERROR(VLOOKUP(TRIM($M$4),Jornalesdeppto!A:C,3,0),"")),_xlfn.XLOOKUP(1,(Tabla_Costos_Insumos!$A$2:$A$3199=TRIM($M$4))*(Tabla_Costos_Insumos!$C$2:$C$3199=TRIM(K682)),Tabla_Costos_Insumos!$E$2:$E$3199,"",0))</f>
        <v>128084.44444445</v>
      </c>
      <c r="O682" s="443">
        <f t="shared" si="171"/>
        <v>256168.88888889999</v>
      </c>
      <c r="P682" s="220" t="str">
        <f t="shared" si="164"/>
        <v>Palma_Aceite Elaeis guineensis</v>
      </c>
      <c r="Q682" s="212" t="s">
        <v>142</v>
      </c>
      <c r="R682" s="212" t="s">
        <v>142</v>
      </c>
      <c r="S682" s="212"/>
      <c r="T682" s="212"/>
      <c r="U682" s="212"/>
      <c r="V682" s="212" t="s">
        <v>142</v>
      </c>
      <c r="W682" s="212" t="str">
        <f t="shared" si="163"/>
        <v/>
      </c>
      <c r="X682" s="214"/>
    </row>
    <row r="683" spans="1:24" ht="15">
      <c r="A683" s="211" t="s">
        <v>3774</v>
      </c>
      <c r="B683" s="225" t="s">
        <v>287</v>
      </c>
      <c r="C683" s="220" t="s">
        <v>68</v>
      </c>
      <c r="D683" s="220" t="s">
        <v>145</v>
      </c>
      <c r="E683" s="220" t="s">
        <v>146</v>
      </c>
      <c r="F683" s="220" t="s">
        <v>147</v>
      </c>
      <c r="G683" s="220" t="s">
        <v>131</v>
      </c>
      <c r="H683" s="220" t="s">
        <v>165</v>
      </c>
      <c r="I683" s="220" t="s">
        <v>153</v>
      </c>
      <c r="J683" s="220" t="s">
        <v>149</v>
      </c>
      <c r="K683" s="220" t="s">
        <v>4110</v>
      </c>
      <c r="L683" s="220" t="s">
        <v>151</v>
      </c>
      <c r="M683" s="221">
        <v>5</v>
      </c>
      <c r="N683" s="443" cm="1">
        <f t="array" ref="N683">IF(TRIM(K683)="Mano de Obra",IF(Formulario!$L$23&lt;&gt;"",Formulario!$L$23,IFERROR(VLOOKUP(TRIM($M$4),Jornalesdeppto!A:C,3,0),"")),_xlfn.XLOOKUP(1,(Tabla_Costos_Insumos!$A$2:$A$3199=TRIM($M$4))*(Tabla_Costos_Insumos!$C$2:$C$3199=TRIM(K683)),Tabla_Costos_Insumos!$E$2:$E$3199,"",0))</f>
        <v>125849.2424242409</v>
      </c>
      <c r="O683" s="443">
        <f t="shared" si="171"/>
        <v>629246.21212120447</v>
      </c>
      <c r="P683" s="220" t="str">
        <f t="shared" si="164"/>
        <v>Palma_Aceite Elaeis guineensis</v>
      </c>
      <c r="Q683" s="212" t="s">
        <v>142</v>
      </c>
      <c r="R683" s="212" t="s">
        <v>142</v>
      </c>
      <c r="S683" s="212"/>
      <c r="T683" s="212"/>
      <c r="U683" s="212"/>
      <c r="V683" s="212" t="s">
        <v>142</v>
      </c>
      <c r="W683" s="212" t="str">
        <f t="shared" si="163"/>
        <v/>
      </c>
      <c r="X683" s="214"/>
    </row>
    <row r="684" spans="1:24" ht="15">
      <c r="A684" s="211" t="s">
        <v>3774</v>
      </c>
      <c r="B684" s="225" t="s">
        <v>287</v>
      </c>
      <c r="C684" s="220" t="s">
        <v>68</v>
      </c>
      <c r="D684" s="220" t="s">
        <v>145</v>
      </c>
      <c r="E684" s="220" t="s">
        <v>146</v>
      </c>
      <c r="F684" s="220" t="s">
        <v>167</v>
      </c>
      <c r="G684" s="220" t="s">
        <v>118</v>
      </c>
      <c r="H684" s="220" t="s">
        <v>292</v>
      </c>
      <c r="I684" s="220" t="s">
        <v>293</v>
      </c>
      <c r="J684" s="220" t="s">
        <v>249</v>
      </c>
      <c r="K684" s="220" t="s">
        <v>4077</v>
      </c>
      <c r="L684" s="220" t="s">
        <v>294</v>
      </c>
      <c r="M684" s="221">
        <v>5</v>
      </c>
      <c r="N684" s="443" cm="1">
        <f t="array" ref="N684">IF(TRIM(K684)="Mano de Obra",IF(Formulario!$L$23&lt;&gt;"",Formulario!$L$23,IFERROR(VLOOKUP(TRIM($M$4),Jornalesdeppto!A:C,3,0),"")),_xlfn.XLOOKUP(1,(Tabla_Costos_Insumos!$A$2:$A$3199=TRIM($M$4))*(Tabla_Costos_Insumos!$C$2:$C$3199=TRIM(K684)),Tabla_Costos_Insumos!$E$2:$E$3199,"",0))</f>
        <v>36066.666666664285</v>
      </c>
      <c r="O684" s="443">
        <f t="shared" si="171"/>
        <v>180333.33333332144</v>
      </c>
      <c r="P684" s="220" t="str">
        <f t="shared" si="164"/>
        <v>Palma_Aceite Elaeis guineensis</v>
      </c>
      <c r="Q684" s="212" t="s">
        <v>142</v>
      </c>
      <c r="R684" s="212" t="s">
        <v>142</v>
      </c>
      <c r="S684" s="212"/>
      <c r="T684" s="212"/>
      <c r="U684" s="212"/>
      <c r="V684" s="212" t="s">
        <v>142</v>
      </c>
      <c r="W684" s="212" t="str">
        <f t="shared" si="163"/>
        <v/>
      </c>
      <c r="X684" s="214"/>
    </row>
    <row r="685" spans="1:24" ht="15">
      <c r="A685" s="211" t="s">
        <v>3774</v>
      </c>
      <c r="B685" s="225" t="s">
        <v>287</v>
      </c>
      <c r="C685" s="220" t="s">
        <v>68</v>
      </c>
      <c r="D685" s="220" t="s">
        <v>145</v>
      </c>
      <c r="E685" s="220" t="s">
        <v>146</v>
      </c>
      <c r="F685" s="220" t="s">
        <v>167</v>
      </c>
      <c r="G685" s="220" t="s">
        <v>118</v>
      </c>
      <c r="H685" s="220" t="s">
        <v>168</v>
      </c>
      <c r="I685" s="220" t="s">
        <v>169</v>
      </c>
      <c r="J685" s="220" t="s">
        <v>170</v>
      </c>
      <c r="K685" s="220" t="s">
        <v>295</v>
      </c>
      <c r="L685" s="220" t="s">
        <v>268</v>
      </c>
      <c r="M685" s="221">
        <v>35</v>
      </c>
      <c r="N685" s="443" cm="1">
        <f t="array" ref="N685">IF(TRIM(K685)="Mano de Obra",IF(Formulario!$L$23&lt;&gt;"",Formulario!$L$23,IFERROR(VLOOKUP(TRIM($M$4),Jornalesdeppto!A:C,3,0),"")),_xlfn.XLOOKUP(1,(Tabla_Costos_Insumos!$A$2:$A$3199=TRIM($M$4))*(Tabla_Costos_Insumos!$C$2:$C$3199=TRIM(K685)),Tabla_Costos_Insumos!$E$2:$E$3199,"",0))</f>
        <v>29269.489247313439</v>
      </c>
      <c r="O685" s="443">
        <f t="shared" si="171"/>
        <v>1024432.1236559703</v>
      </c>
      <c r="P685" s="220" t="str">
        <f t="shared" si="164"/>
        <v>Palma_Aceite Elaeis guineensis</v>
      </c>
      <c r="Q685" s="212" t="s">
        <v>142</v>
      </c>
      <c r="R685" s="212" t="s">
        <v>142</v>
      </c>
      <c r="S685" s="212"/>
      <c r="T685" s="212"/>
      <c r="U685" s="212"/>
      <c r="V685" s="212" t="s">
        <v>142</v>
      </c>
      <c r="W685" s="212" t="str">
        <f t="shared" si="163"/>
        <v/>
      </c>
      <c r="X685" s="214"/>
    </row>
    <row r="686" spans="1:24" ht="15">
      <c r="A686" s="211" t="s">
        <v>3774</v>
      </c>
      <c r="B686" s="225" t="s">
        <v>287</v>
      </c>
      <c r="C686" s="220" t="s">
        <v>68</v>
      </c>
      <c r="D686" s="220" t="s">
        <v>145</v>
      </c>
      <c r="E686" s="220" t="s">
        <v>146</v>
      </c>
      <c r="F686" s="220" t="s">
        <v>167</v>
      </c>
      <c r="G686" s="220" t="s">
        <v>118</v>
      </c>
      <c r="H686" s="220" t="s">
        <v>168</v>
      </c>
      <c r="I686" s="220" t="s">
        <v>169</v>
      </c>
      <c r="J686" s="220" t="s">
        <v>170</v>
      </c>
      <c r="K686" s="220" t="s">
        <v>296</v>
      </c>
      <c r="L686" s="220" t="s">
        <v>226</v>
      </c>
      <c r="M686" s="221">
        <v>46</v>
      </c>
      <c r="N686" s="443" cm="1">
        <f t="array" ref="N686">IF(TRIM(K686)="Mano de Obra",IF(Formulario!$L$23&lt;&gt;"",Formulario!$L$23,IFERROR(VLOOKUP(TRIM($M$4),Jornalesdeppto!A:C,3,0),"")),_xlfn.XLOOKUP(1,(Tabla_Costos_Insumos!$A$2:$A$3199=TRIM($M$4))*(Tabla_Costos_Insumos!$C$2:$C$3199=TRIM(K686)),Tabla_Costos_Insumos!$E$2:$E$3199,"",0))</f>
        <v>23167.62</v>
      </c>
      <c r="O686" s="443">
        <f t="shared" si="171"/>
        <v>1065710.52</v>
      </c>
      <c r="P686" s="220" t="str">
        <f t="shared" si="164"/>
        <v>Palma_Aceite Elaeis guineensis</v>
      </c>
      <c r="Q686" s="212" t="s">
        <v>142</v>
      </c>
      <c r="R686" s="212" t="s">
        <v>142</v>
      </c>
      <c r="S686" s="212"/>
      <c r="T686" s="212"/>
      <c r="U686" s="212"/>
      <c r="V686" s="212" t="s">
        <v>142</v>
      </c>
      <c r="W686" s="212" t="str">
        <f t="shared" ref="W686:W747" si="178">IFERROR(ROUNDUP(V686*U686,0),"")</f>
        <v/>
      </c>
      <c r="X686" s="214"/>
    </row>
    <row r="687" spans="1:24" ht="15">
      <c r="A687" s="211" t="s">
        <v>3774</v>
      </c>
      <c r="B687" s="225" t="s">
        <v>287</v>
      </c>
      <c r="C687" s="220" t="s">
        <v>68</v>
      </c>
      <c r="D687" s="220" t="s">
        <v>145</v>
      </c>
      <c r="E687" s="220" t="s">
        <v>146</v>
      </c>
      <c r="F687" s="220" t="s">
        <v>167</v>
      </c>
      <c r="G687" s="220" t="s">
        <v>118</v>
      </c>
      <c r="H687" s="220" t="s">
        <v>174</v>
      </c>
      <c r="I687" s="220" t="s">
        <v>175</v>
      </c>
      <c r="J687" s="220" t="s">
        <v>176</v>
      </c>
      <c r="K687" s="220" t="s">
        <v>231</v>
      </c>
      <c r="L687" s="220" t="s">
        <v>172</v>
      </c>
      <c r="M687" s="221">
        <v>24</v>
      </c>
      <c r="N687" s="443" cm="1">
        <f t="array" ref="N687">IF(TRIM(K687)="Mano de Obra",IF(Formulario!$L$23&lt;&gt;"",Formulario!$L$23,IFERROR(VLOOKUP(TRIM($M$4),Jornalesdeppto!A:C,3,0),"")),_xlfn.XLOOKUP(1,(Tabla_Costos_Insumos!$A$2:$A$3199=TRIM($M$4))*(Tabla_Costos_Insumos!$C$2:$C$3199=TRIM(K687)),Tabla_Costos_Insumos!$E$2:$E$3199,"",0))</f>
        <v>23177.15</v>
      </c>
      <c r="O687" s="443">
        <f t="shared" si="171"/>
        <v>556251.60000000009</v>
      </c>
      <c r="P687" s="220" t="str">
        <f t="shared" si="164"/>
        <v>Palma_Aceite Elaeis guineensis</v>
      </c>
      <c r="Q687" s="212" t="s">
        <v>142</v>
      </c>
      <c r="R687" s="212" t="s">
        <v>142</v>
      </c>
      <c r="S687" s="212"/>
      <c r="T687" s="212"/>
      <c r="U687" s="212"/>
      <c r="V687" s="212" t="s">
        <v>142</v>
      </c>
      <c r="W687" s="212" t="str">
        <f t="shared" si="178"/>
        <v/>
      </c>
      <c r="X687" s="214"/>
    </row>
    <row r="688" spans="1:24" ht="15">
      <c r="A688" s="211" t="s">
        <v>3774</v>
      </c>
      <c r="B688" s="225" t="s">
        <v>287</v>
      </c>
      <c r="C688" s="220" t="s">
        <v>68</v>
      </c>
      <c r="D688" s="220" t="s">
        <v>145</v>
      </c>
      <c r="E688" s="220" t="s">
        <v>146</v>
      </c>
      <c r="F688" s="220" t="s">
        <v>167</v>
      </c>
      <c r="G688" s="220" t="s">
        <v>118</v>
      </c>
      <c r="H688" s="220" t="s">
        <v>178</v>
      </c>
      <c r="I688" s="220" t="s">
        <v>179</v>
      </c>
      <c r="J688" s="220" t="s">
        <v>180</v>
      </c>
      <c r="K688" s="220" t="s">
        <v>182</v>
      </c>
      <c r="L688" s="220" t="s">
        <v>172</v>
      </c>
      <c r="M688" s="221">
        <v>6</v>
      </c>
      <c r="N688" s="443" cm="1">
        <f t="array" ref="N688">IF(TRIM(K688)="Mano de Obra",IF(Formulario!$L$23&lt;&gt;"",Formulario!$L$23,IFERROR(VLOOKUP(TRIM($M$4),Jornalesdeppto!A:C,3,0),"")),_xlfn.XLOOKUP(1,(Tabla_Costos_Insumos!$A$2:$A$3199=TRIM($M$4))*(Tabla_Costos_Insumos!$C$2:$C$3199=TRIM(K688)),Tabla_Costos_Insumos!$E$2:$E$3199,"",0))</f>
        <v>151029.59</v>
      </c>
      <c r="O688" s="443">
        <f t="shared" si="171"/>
        <v>906177.54</v>
      </c>
      <c r="P688" s="220" t="str">
        <f t="shared" si="164"/>
        <v>Palma_Aceite Elaeis guineensis</v>
      </c>
      <c r="Q688" s="212" t="s">
        <v>142</v>
      </c>
      <c r="R688" s="212" t="s">
        <v>142</v>
      </c>
      <c r="S688" s="212"/>
      <c r="T688" s="212"/>
      <c r="U688" s="212"/>
      <c r="V688" s="212" t="s">
        <v>142</v>
      </c>
      <c r="W688" s="212" t="str">
        <f t="shared" si="178"/>
        <v/>
      </c>
      <c r="X688" s="214"/>
    </row>
    <row r="689" spans="1:24" ht="15">
      <c r="A689" s="211" t="s">
        <v>3774</v>
      </c>
      <c r="B689" s="225" t="s">
        <v>287</v>
      </c>
      <c r="C689" s="220" t="s">
        <v>68</v>
      </c>
      <c r="D689" s="220" t="s">
        <v>145</v>
      </c>
      <c r="E689" s="220" t="s">
        <v>146</v>
      </c>
      <c r="F689" s="220" t="s">
        <v>167</v>
      </c>
      <c r="G689" s="220" t="s">
        <v>118</v>
      </c>
      <c r="H689" s="220" t="s">
        <v>178</v>
      </c>
      <c r="I689" s="220" t="s">
        <v>179</v>
      </c>
      <c r="J689" s="220" t="s">
        <v>180</v>
      </c>
      <c r="K689" s="220" t="s">
        <v>297</v>
      </c>
      <c r="L689" s="220" t="s">
        <v>172</v>
      </c>
      <c r="M689" s="221">
        <v>6</v>
      </c>
      <c r="N689" s="443" cm="1">
        <f t="array" ref="N689">IF(TRIM(K689)="Mano de Obra",IF(Formulario!$L$23&lt;&gt;"",Formulario!$L$23,IFERROR(VLOOKUP(TRIM($M$4),Jornalesdeppto!A:C,3,0),"")),_xlfn.XLOOKUP(1,(Tabla_Costos_Insumos!$A$2:$A$3199=TRIM($M$4))*(Tabla_Costos_Insumos!$C$2:$C$3199=TRIM(K689)),Tabla_Costos_Insumos!$E$2:$E$3199,"",0))</f>
        <v>149375.29999999999</v>
      </c>
      <c r="O689" s="443">
        <f t="shared" si="171"/>
        <v>896251.79999999993</v>
      </c>
      <c r="P689" s="220" t="str">
        <f t="shared" si="164"/>
        <v>Palma_Aceite Elaeis guineensis</v>
      </c>
      <c r="Q689" s="212" t="s">
        <v>142</v>
      </c>
      <c r="R689" s="212" t="s">
        <v>142</v>
      </c>
      <c r="S689" s="212"/>
      <c r="T689" s="212"/>
      <c r="U689" s="212"/>
      <c r="V689" s="212" t="s">
        <v>142</v>
      </c>
      <c r="W689" s="212" t="str">
        <f t="shared" si="178"/>
        <v/>
      </c>
      <c r="X689" s="214"/>
    </row>
    <row r="690" spans="1:24" ht="15">
      <c r="A690" s="211" t="s">
        <v>3774</v>
      </c>
      <c r="B690" s="225" t="s">
        <v>287</v>
      </c>
      <c r="C690" s="220" t="s">
        <v>68</v>
      </c>
      <c r="D690" s="220" t="s">
        <v>145</v>
      </c>
      <c r="E690" s="220" t="s">
        <v>146</v>
      </c>
      <c r="F690" s="220" t="s">
        <v>183</v>
      </c>
      <c r="G690" s="220" t="s">
        <v>184</v>
      </c>
      <c r="H690" s="220" t="s">
        <v>185</v>
      </c>
      <c r="I690" s="220" t="s">
        <v>186</v>
      </c>
      <c r="J690" s="220" t="s">
        <v>105</v>
      </c>
      <c r="K690" s="220" t="s">
        <v>187</v>
      </c>
      <c r="L690" s="220" t="s">
        <v>188</v>
      </c>
      <c r="M690" s="221">
        <v>0.1</v>
      </c>
      <c r="N690" s="443" cm="1">
        <f t="array" ref="N690">IF(TRIM(K690)="Mano de Obra",IF(Formulario!$L$23&lt;&gt;"",Formulario!$L$23,IFERROR(VLOOKUP(TRIM($M$4),Jornalesdeppto!A:C,3,0),"")),_xlfn.XLOOKUP(1,(Tabla_Costos_Insumos!$A$2:$A$3199=TRIM($M$4))*(Tabla_Costos_Insumos!$C$2:$C$3199=TRIM(K690)),Tabla_Costos_Insumos!$E$2:$E$3199,"",0))</f>
        <v>175000</v>
      </c>
      <c r="O690" s="443">
        <f t="shared" si="171"/>
        <v>17500</v>
      </c>
      <c r="P690" s="220" t="str">
        <f t="shared" si="164"/>
        <v>Palma_Aceite Elaeis guineensis</v>
      </c>
      <c r="Q690" s="212" t="s">
        <v>142</v>
      </c>
      <c r="R690" s="212" t="s">
        <v>142</v>
      </c>
      <c r="S690" s="212"/>
      <c r="T690" s="212"/>
      <c r="U690" s="212"/>
      <c r="V690" s="212" t="s">
        <v>142</v>
      </c>
      <c r="W690" s="212" t="str">
        <f t="shared" si="178"/>
        <v/>
      </c>
      <c r="X690" s="214"/>
    </row>
    <row r="691" spans="1:24" ht="15">
      <c r="A691" s="211" t="s">
        <v>3774</v>
      </c>
      <c r="B691" s="225" t="s">
        <v>287</v>
      </c>
      <c r="C691" s="220" t="s">
        <v>68</v>
      </c>
      <c r="D691" s="220" t="s">
        <v>189</v>
      </c>
      <c r="E691" s="220" t="s">
        <v>190</v>
      </c>
      <c r="F691" s="220" t="s">
        <v>191</v>
      </c>
      <c r="G691" s="220" t="s">
        <v>192</v>
      </c>
      <c r="H691" s="220" t="s">
        <v>193</v>
      </c>
      <c r="I691" s="220" t="s">
        <v>194</v>
      </c>
      <c r="J691" s="220" t="s">
        <v>195</v>
      </c>
      <c r="K691" s="220" t="s">
        <v>196</v>
      </c>
      <c r="L691" s="220" t="s">
        <v>197</v>
      </c>
      <c r="M691" s="221">
        <v>1</v>
      </c>
      <c r="N691" s="443">
        <f>IFERROR(SUM(O673:$O$690)*0.08,0)</f>
        <v>639354.6966399512</v>
      </c>
      <c r="O691" s="443">
        <f t="shared" si="171"/>
        <v>639354.6966399512</v>
      </c>
      <c r="P691" s="220" t="str">
        <f t="shared" si="164"/>
        <v>Palma_Aceite Elaeis guineensis</v>
      </c>
      <c r="Q691" s="212" t="s">
        <v>142</v>
      </c>
      <c r="R691" s="212" t="s">
        <v>142</v>
      </c>
      <c r="S691" s="212"/>
      <c r="T691" s="212"/>
      <c r="U691" s="212"/>
      <c r="V691" s="212" t="s">
        <v>142</v>
      </c>
      <c r="W691" s="212" t="str">
        <f t="shared" si="178"/>
        <v/>
      </c>
      <c r="X691" s="214"/>
    </row>
    <row r="692" spans="1:24" ht="15">
      <c r="A692" s="211" t="s">
        <v>3774</v>
      </c>
      <c r="B692" s="225" t="s">
        <v>287</v>
      </c>
      <c r="C692" s="220" t="s">
        <v>68</v>
      </c>
      <c r="D692" s="220" t="s">
        <v>189</v>
      </c>
      <c r="E692" s="220" t="s">
        <v>190</v>
      </c>
      <c r="F692" s="220" t="s">
        <v>198</v>
      </c>
      <c r="G692" s="220" t="s">
        <v>199</v>
      </c>
      <c r="H692" s="220" t="s">
        <v>200</v>
      </c>
      <c r="I692" s="220" t="s">
        <v>201</v>
      </c>
      <c r="J692" s="220" t="s">
        <v>105</v>
      </c>
      <c r="K692" s="220" t="s">
        <v>202</v>
      </c>
      <c r="L692" s="220" t="s">
        <v>203</v>
      </c>
      <c r="M692" s="221">
        <v>1</v>
      </c>
      <c r="N692" s="443" cm="1">
        <f t="array" ref="N692">IF(TRIM(K692)="Mano de Obra",IF(Formulario!$L$23&lt;&gt;"",Formulario!$L$23,IFERROR(VLOOKUP(TRIM($M$4),Jornalesdeppto!A:C,3,0),"")),_xlfn.XLOOKUP(1,(Tabla_Costos_Insumos!$A$2:$A$3199=TRIM($M$4))*(Tabla_Costos_Insumos!$C$2:$C$3199=TRIM(K692)),Tabla_Costos_Insumos!$E$2:$E$3199,"",0))</f>
        <v>120000</v>
      </c>
      <c r="O692" s="443">
        <f t="shared" si="171"/>
        <v>120000</v>
      </c>
      <c r="P692" s="220" t="str">
        <f t="shared" si="164"/>
        <v>Palma_Aceite Elaeis guineensis</v>
      </c>
      <c r="Q692" s="212" t="s">
        <v>142</v>
      </c>
      <c r="R692" s="212" t="s">
        <v>142</v>
      </c>
      <c r="S692" s="212"/>
      <c r="T692" s="212"/>
      <c r="U692" s="212"/>
      <c r="V692" s="212" t="s">
        <v>142</v>
      </c>
      <c r="W692" s="212" t="str">
        <f t="shared" si="178"/>
        <v/>
      </c>
      <c r="X692" s="214"/>
    </row>
    <row r="693" spans="1:24" ht="15">
      <c r="A693" s="211" t="s">
        <v>3774</v>
      </c>
      <c r="B693" s="225" t="s">
        <v>287</v>
      </c>
      <c r="C693" s="220" t="s">
        <v>68</v>
      </c>
      <c r="D693" s="220" t="s">
        <v>189</v>
      </c>
      <c r="E693" s="220" t="s">
        <v>190</v>
      </c>
      <c r="F693" s="220" t="s">
        <v>204</v>
      </c>
      <c r="G693" s="220" t="s">
        <v>205</v>
      </c>
      <c r="H693" s="220" t="s">
        <v>206</v>
      </c>
      <c r="I693" s="220" t="s">
        <v>207</v>
      </c>
      <c r="J693" s="220" t="s">
        <v>4127</v>
      </c>
      <c r="K693" s="220" t="s">
        <v>228</v>
      </c>
      <c r="L693" s="220" t="s">
        <v>197</v>
      </c>
      <c r="M693" s="221">
        <v>1</v>
      </c>
      <c r="N693" s="443" t="str">
        <f>IF($M$3="Palma_Aceite Elaeis guineensis",($J$4),"")</f>
        <v/>
      </c>
      <c r="O693" s="443" t="str">
        <f t="shared" si="171"/>
        <v/>
      </c>
      <c r="P693" s="220" t="str">
        <f t="shared" si="164"/>
        <v>Palma_Aceite Elaeis guineensis</v>
      </c>
      <c r="Q693" s="212" t="s">
        <v>142</v>
      </c>
      <c r="R693" s="212" t="s">
        <v>142</v>
      </c>
      <c r="S693" s="212"/>
      <c r="T693" s="212"/>
      <c r="U693" s="212"/>
      <c r="V693" s="212" t="s">
        <v>142</v>
      </c>
      <c r="W693" s="212" t="str">
        <f t="shared" si="178"/>
        <v/>
      </c>
      <c r="X693" s="214"/>
    </row>
    <row r="694" spans="1:24" ht="15">
      <c r="A694" s="211" t="s">
        <v>3774</v>
      </c>
      <c r="B694" s="225" t="s">
        <v>301</v>
      </c>
      <c r="C694" s="216" t="s">
        <v>53</v>
      </c>
      <c r="D694" s="216" t="s">
        <v>99</v>
      </c>
      <c r="E694" s="216" t="s">
        <v>100</v>
      </c>
      <c r="F694" s="216" t="s">
        <v>101</v>
      </c>
      <c r="G694" s="216" t="s">
        <v>102</v>
      </c>
      <c r="H694" s="216" t="s">
        <v>278</v>
      </c>
      <c r="I694" s="216" t="s">
        <v>279</v>
      </c>
      <c r="J694" s="216" t="s">
        <v>280</v>
      </c>
      <c r="K694" s="216" t="s">
        <v>279</v>
      </c>
      <c r="L694" s="216" t="s">
        <v>281</v>
      </c>
      <c r="M694" s="217">
        <v>4</v>
      </c>
      <c r="N694" s="442">
        <v>74244</v>
      </c>
      <c r="O694" s="442">
        <f t="shared" si="171"/>
        <v>296976</v>
      </c>
      <c r="P694" s="216" t="str">
        <f t="shared" si="164"/>
        <v>Palma_Aceite Hibrido (OxG)</v>
      </c>
      <c r="Q694" s="212" t="s">
        <v>142</v>
      </c>
      <c r="R694" s="212" t="s">
        <v>142</v>
      </c>
      <c r="S694" s="212"/>
      <c r="T694" s="212"/>
      <c r="U694" s="212"/>
      <c r="V694" s="212" t="s">
        <v>142</v>
      </c>
      <c r="W694" s="212" t="str">
        <f t="shared" si="178"/>
        <v/>
      </c>
      <c r="X694" s="214"/>
    </row>
    <row r="695" spans="1:24" ht="15">
      <c r="A695" s="211" t="s">
        <v>3774</v>
      </c>
      <c r="B695" s="225" t="s">
        <v>301</v>
      </c>
      <c r="C695" s="216" t="s">
        <v>53</v>
      </c>
      <c r="D695" s="216" t="s">
        <v>99</v>
      </c>
      <c r="E695" s="216" t="s">
        <v>100</v>
      </c>
      <c r="F695" s="216" t="s">
        <v>101</v>
      </c>
      <c r="G695" s="216" t="s">
        <v>102</v>
      </c>
      <c r="H695" s="216" t="s">
        <v>209</v>
      </c>
      <c r="I695" s="216" t="s">
        <v>210</v>
      </c>
      <c r="J695" s="216" t="s">
        <v>105</v>
      </c>
      <c r="K695" s="216" t="s">
        <v>106</v>
      </c>
      <c r="L695" s="216" t="s">
        <v>107</v>
      </c>
      <c r="M695" s="217">
        <f>IF(W695&lt;&gt;"", W695, ROUNDUP(X695*T695, 0))</f>
        <v>2</v>
      </c>
      <c r="N695" s="442" cm="1">
        <f t="array" ref="N695">IF(TRIM(K695)="Mano de Obra",IF(Formulario!$L$23&lt;&gt;"",Formulario!$L$23,IFERROR(VLOOKUP(TRIM($M$4),Jornalesdeppto!A:C,3,0),"")),_xlfn.XLOOKUP(1,(Tabla_Costos_Insumos!$A$2:$A$3199=TRIM($M$4))*(Tabla_Costos_Insumos!$C$2:$C$3199=TRIM(K695)),Tabla_Costos_Insumos!$E$2:$E$3199,"",0))</f>
        <v>46666.666666666664</v>
      </c>
      <c r="O695" s="442">
        <f t="shared" si="171"/>
        <v>93333.333333333328</v>
      </c>
      <c r="P695" s="216" t="str">
        <f t="shared" si="164"/>
        <v>Palma_Aceite Hibrido (OxG)</v>
      </c>
      <c r="Q695" s="212" t="s">
        <v>211</v>
      </c>
      <c r="R695" s="212">
        <v>5</v>
      </c>
      <c r="S695" s="212"/>
      <c r="T695" s="212" cm="1">
        <f t="array" ref="T695">_xlfn.IFS($D$5&lt;=7, 1.1, $D$5&lt;=12,1.2, $D$5&lt;=25, 1.3, $D$5&gt;25,1.4)</f>
        <v>1.3</v>
      </c>
      <c r="U695" s="212"/>
      <c r="V695" s="212">
        <v>0</v>
      </c>
      <c r="W695" s="212"/>
      <c r="X695" s="214">
        <v>1</v>
      </c>
    </row>
    <row r="696" spans="1:24" ht="15">
      <c r="A696" s="211" t="s">
        <v>3774</v>
      </c>
      <c r="B696" s="225" t="s">
        <v>301</v>
      </c>
      <c r="C696" s="216" t="s">
        <v>53</v>
      </c>
      <c r="D696" s="216" t="s">
        <v>99</v>
      </c>
      <c r="E696" s="216" t="s">
        <v>100</v>
      </c>
      <c r="F696" s="216" t="s">
        <v>101</v>
      </c>
      <c r="G696" s="216" t="s">
        <v>102</v>
      </c>
      <c r="H696" s="216" t="s">
        <v>103</v>
      </c>
      <c r="I696" s="216" t="s">
        <v>104</v>
      </c>
      <c r="J696" s="216" t="s">
        <v>105</v>
      </c>
      <c r="K696" s="216" t="s">
        <v>106</v>
      </c>
      <c r="L696" s="216" t="s">
        <v>107</v>
      </c>
      <c r="M696" s="217">
        <f>IF(W696&lt;&gt;"", W696, ROUNDUP(X696*T696, 0))</f>
        <v>10</v>
      </c>
      <c r="N696" s="442" cm="1">
        <f t="array" ref="N696">IF(TRIM(K696)="Mano de Obra",IF(Formulario!$L$23&lt;&gt;"",Formulario!$L$23,IFERROR(VLOOKUP(TRIM($M$4),Jornalesdeppto!A:C,3,0),"")),_xlfn.XLOOKUP(1,(Tabla_Costos_Insumos!$A$2:$A$3199=TRIM($M$4))*(Tabla_Costos_Insumos!$C$2:$C$3199=TRIM(K696)),Tabla_Costos_Insumos!$E$2:$E$3199,"",0))</f>
        <v>46666.666666666664</v>
      </c>
      <c r="O696" s="442">
        <f t="shared" si="171"/>
        <v>466666.66666666663</v>
      </c>
      <c r="P696" s="216" t="str">
        <f t="shared" si="164"/>
        <v>Palma_Aceite Hibrido (OxG)</v>
      </c>
      <c r="Q696" s="212" t="s">
        <v>108</v>
      </c>
      <c r="R696" s="212">
        <v>0.69</v>
      </c>
      <c r="S696" s="212" t="str">
        <f>IF($M$3="Palma_Aceite Hibrido (OxG)",($I$3*R696) / 480,"")</f>
        <v/>
      </c>
      <c r="T696" s="212" cm="1">
        <f t="array" ref="T696">_xlfn.IFS($D$5&lt;=7, 1.1, $D$5&lt;=12,1.2, $D$5&lt;=25, 1.3, $D$5&gt;25,1.4)</f>
        <v>1.3</v>
      </c>
      <c r="U696" s="212" t="str">
        <f>IFERROR(S696*T696,"")</f>
        <v/>
      </c>
      <c r="V696" s="212">
        <v>1</v>
      </c>
      <c r="W696" s="212" t="str">
        <f t="shared" si="178"/>
        <v/>
      </c>
      <c r="X696" s="214">
        <v>7</v>
      </c>
    </row>
    <row r="697" spans="1:24" ht="15">
      <c r="A697" s="211" t="s">
        <v>3774</v>
      </c>
      <c r="B697" s="225" t="s">
        <v>301</v>
      </c>
      <c r="C697" s="216" t="s">
        <v>53</v>
      </c>
      <c r="D697" s="216" t="s">
        <v>99</v>
      </c>
      <c r="E697" s="216" t="s">
        <v>100</v>
      </c>
      <c r="F697" s="216" t="s">
        <v>101</v>
      </c>
      <c r="G697" s="216" t="s">
        <v>102</v>
      </c>
      <c r="H697" s="216" t="s">
        <v>282</v>
      </c>
      <c r="I697" s="216" t="s">
        <v>283</v>
      </c>
      <c r="J697" s="216" t="s">
        <v>280</v>
      </c>
      <c r="K697" s="216" t="s">
        <v>284</v>
      </c>
      <c r="L697" s="216" t="s">
        <v>281</v>
      </c>
      <c r="M697" s="217">
        <v>2</v>
      </c>
      <c r="N697" s="442">
        <v>73052</v>
      </c>
      <c r="O697" s="442">
        <f t="shared" si="171"/>
        <v>146104</v>
      </c>
      <c r="P697" s="216" t="str">
        <f t="shared" ref="P697:P758" si="179">CONCATENATE(A697," ",B697)</f>
        <v>Palma_Aceite Hibrido (OxG)</v>
      </c>
      <c r="Q697" s="212" t="s">
        <v>142</v>
      </c>
      <c r="R697" s="212" t="s">
        <v>142</v>
      </c>
      <c r="S697" s="212"/>
      <c r="T697" s="212" cm="1">
        <f t="array" ref="T697">_xlfn.IFS($D$5&lt;=7, 1.1, $D$5&lt;=12,1.2, $D$5&lt;=25, 1.3, $D$5&gt;25,1.4)</f>
        <v>1.3</v>
      </c>
      <c r="U697" s="212"/>
      <c r="V697" s="212" t="s">
        <v>142</v>
      </c>
      <c r="W697" s="212" t="str">
        <f t="shared" si="178"/>
        <v/>
      </c>
      <c r="X697" s="214"/>
    </row>
    <row r="698" spans="1:24" ht="15">
      <c r="A698" s="211" t="s">
        <v>3774</v>
      </c>
      <c r="B698" s="225" t="s">
        <v>301</v>
      </c>
      <c r="C698" s="216" t="s">
        <v>53</v>
      </c>
      <c r="D698" s="216" t="s">
        <v>99</v>
      </c>
      <c r="E698" s="216" t="s">
        <v>100</v>
      </c>
      <c r="F698" s="216" t="s">
        <v>101</v>
      </c>
      <c r="G698" s="216" t="s">
        <v>102</v>
      </c>
      <c r="H698" s="216" t="s">
        <v>212</v>
      </c>
      <c r="I698" s="216" t="s">
        <v>213</v>
      </c>
      <c r="J698" s="216" t="s">
        <v>105</v>
      </c>
      <c r="K698" s="216" t="s">
        <v>106</v>
      </c>
      <c r="L698" s="216" t="s">
        <v>107</v>
      </c>
      <c r="M698" s="217">
        <f t="shared" ref="M698:M707" si="180">IF(W698&lt;&gt;"", W698, ROUNDUP(X698*T698, 0))</f>
        <v>10</v>
      </c>
      <c r="N698" s="442" cm="1">
        <f t="array" ref="N698">IF(TRIM(K698)="Mano de Obra",IF(Formulario!$L$23&lt;&gt;"",Formulario!$L$23,IFERROR(VLOOKUP(TRIM($M$4),Jornalesdeppto!A:C,3,0),"")),_xlfn.XLOOKUP(1,(Tabla_Costos_Insumos!$A$2:$A$3199=TRIM($M$4))*(Tabla_Costos_Insumos!$C$2:$C$3199=TRIM(K698)),Tabla_Costos_Insumos!$E$2:$E$3199,"",0))</f>
        <v>46666.666666666664</v>
      </c>
      <c r="O698" s="442">
        <f t="shared" si="171"/>
        <v>466666.66666666663</v>
      </c>
      <c r="P698" s="216" t="str">
        <f t="shared" si="179"/>
        <v>Palma_Aceite Hibrido (OxG)</v>
      </c>
      <c r="Q698" s="212" t="s">
        <v>108</v>
      </c>
      <c r="R698" s="212">
        <v>20</v>
      </c>
      <c r="S698" s="212" t="str">
        <f>IF($M$3="Palma_Aceite Hibrido (OxG)",($I$3*R698) / 480,"")</f>
        <v/>
      </c>
      <c r="T698" s="212" cm="1">
        <f t="array" ref="T698">_xlfn.IFS($D$5&lt;=7, 1.1, $D$5&lt;=12,1.2, $D$5&lt;=25, 1.3, $D$5&gt;25,1.4)</f>
        <v>1.3</v>
      </c>
      <c r="U698" s="212" t="str">
        <f>IFERROR(S698*T698,"")</f>
        <v/>
      </c>
      <c r="V698" s="212">
        <v>1</v>
      </c>
      <c r="W698" s="212" t="str">
        <f t="shared" si="178"/>
        <v/>
      </c>
      <c r="X698" s="214">
        <v>7</v>
      </c>
    </row>
    <row r="699" spans="1:24" ht="15">
      <c r="A699" s="211" t="s">
        <v>3774</v>
      </c>
      <c r="B699" s="225" t="s">
        <v>301</v>
      </c>
      <c r="C699" s="216" t="s">
        <v>53</v>
      </c>
      <c r="D699" s="216" t="s">
        <v>99</v>
      </c>
      <c r="E699" s="216" t="s">
        <v>100</v>
      </c>
      <c r="F699" s="216" t="s">
        <v>101</v>
      </c>
      <c r="G699" s="216" t="s">
        <v>102</v>
      </c>
      <c r="H699" s="216" t="s">
        <v>214</v>
      </c>
      <c r="I699" s="216" t="s">
        <v>20</v>
      </c>
      <c r="J699" s="216" t="s">
        <v>105</v>
      </c>
      <c r="K699" s="216" t="s">
        <v>106</v>
      </c>
      <c r="L699" s="216" t="s">
        <v>107</v>
      </c>
      <c r="M699" s="217">
        <f t="shared" si="180"/>
        <v>7</v>
      </c>
      <c r="N699" s="442" cm="1">
        <f t="array" ref="N699">IF(TRIM(K699)="Mano de Obra",IF(Formulario!$L$23&lt;&gt;"",Formulario!$L$23,IFERROR(VLOOKUP(TRIM($M$4),Jornalesdeppto!A:C,3,0),"")),_xlfn.XLOOKUP(1,(Tabla_Costos_Insumos!$A$2:$A$3199=TRIM($M$4))*(Tabla_Costos_Insumos!$C$2:$C$3199=TRIM(K699)),Tabla_Costos_Insumos!$E$2:$E$3199,"",0))</f>
        <v>46666.666666666664</v>
      </c>
      <c r="O699" s="442">
        <f t="shared" si="171"/>
        <v>326666.66666666663</v>
      </c>
      <c r="P699" s="216" t="str">
        <f t="shared" si="179"/>
        <v>Palma_Aceite Hibrido (OxG)</v>
      </c>
      <c r="Q699" s="212" t="s">
        <v>108</v>
      </c>
      <c r="R699" s="212">
        <v>0.5</v>
      </c>
      <c r="S699" s="212"/>
      <c r="T699" s="212" cm="1">
        <f t="array" ref="T699">_xlfn.IFS($D$5&lt;=7, 1.1, $D$5&lt;=12,1.2, $D$5&lt;=25, 1.3, $D$5&gt;25,1.4)</f>
        <v>1.3</v>
      </c>
      <c r="U699" s="212"/>
      <c r="V699" s="212">
        <v>0</v>
      </c>
      <c r="W699" s="212"/>
      <c r="X699" s="214">
        <v>5</v>
      </c>
    </row>
    <row r="700" spans="1:24" ht="15">
      <c r="A700" s="211" t="s">
        <v>3774</v>
      </c>
      <c r="B700" s="225" t="s">
        <v>301</v>
      </c>
      <c r="C700" s="216" t="s">
        <v>53</v>
      </c>
      <c r="D700" s="216" t="s">
        <v>99</v>
      </c>
      <c r="E700" s="216" t="s">
        <v>100</v>
      </c>
      <c r="F700" s="216" t="s">
        <v>109</v>
      </c>
      <c r="G700" s="216" t="s">
        <v>110</v>
      </c>
      <c r="H700" s="216" t="s">
        <v>234</v>
      </c>
      <c r="I700" s="216" t="s">
        <v>235</v>
      </c>
      <c r="J700" s="216" t="s">
        <v>105</v>
      </c>
      <c r="K700" s="216" t="s">
        <v>106</v>
      </c>
      <c r="L700" s="216" t="s">
        <v>107</v>
      </c>
      <c r="M700" s="217">
        <f t="shared" si="180"/>
        <v>6</v>
      </c>
      <c r="N700" s="442" cm="1">
        <f t="array" ref="N700">IF(TRIM(K700)="Mano de Obra",IF(Formulario!$L$23&lt;&gt;"",Formulario!$L$23,IFERROR(VLOOKUP(TRIM($M$4),Jornalesdeppto!A:C,3,0),"")),_xlfn.XLOOKUP(1,(Tabla_Costos_Insumos!$A$2:$A$3199=TRIM($M$4))*(Tabla_Costos_Insumos!$C$2:$C$3199=TRIM(K700)),Tabla_Costos_Insumos!$E$2:$E$3199,"",0))</f>
        <v>46666.666666666664</v>
      </c>
      <c r="O700" s="442">
        <f t="shared" si="171"/>
        <v>280000</v>
      </c>
      <c r="P700" s="216" t="str">
        <f t="shared" si="179"/>
        <v>Palma_Aceite Hibrido (OxG)</v>
      </c>
      <c r="Q700" s="212" t="s">
        <v>108</v>
      </c>
      <c r="R700" s="212">
        <v>1</v>
      </c>
      <c r="S700" s="212" t="str">
        <f t="shared" ref="S700:S707" si="181">IF($M$3="Palma_Aceite Hibrido (OxG)",($I$3*R700) / 480,"")</f>
        <v/>
      </c>
      <c r="T700" s="212" cm="1">
        <f t="array" ref="T700">_xlfn.IFS($D$5&lt;=7, 1.1, $D$5&lt;=12,1.2, $D$5&lt;=25, 1.3, $D$5&gt;25,1.4)</f>
        <v>1.3</v>
      </c>
      <c r="U700" s="212" t="str">
        <f t="shared" ref="U700:U707" si="182">IFERROR(S700*T700,"")</f>
        <v/>
      </c>
      <c r="V700" s="212">
        <v>4</v>
      </c>
      <c r="W700" s="212" t="str">
        <f t="shared" si="178"/>
        <v/>
      </c>
      <c r="X700" s="214">
        <v>4</v>
      </c>
    </row>
    <row r="701" spans="1:24" ht="15">
      <c r="A701" s="211" t="s">
        <v>3774</v>
      </c>
      <c r="B701" s="225" t="s">
        <v>301</v>
      </c>
      <c r="C701" s="216" t="s">
        <v>53</v>
      </c>
      <c r="D701" s="216" t="s">
        <v>99</v>
      </c>
      <c r="E701" s="216" t="s">
        <v>100</v>
      </c>
      <c r="F701" s="216" t="s">
        <v>109</v>
      </c>
      <c r="G701" s="216" t="s">
        <v>110</v>
      </c>
      <c r="H701" s="216" t="s">
        <v>215</v>
      </c>
      <c r="I701" s="216" t="s">
        <v>216</v>
      </c>
      <c r="J701" s="216" t="s">
        <v>105</v>
      </c>
      <c r="K701" s="216" t="s">
        <v>106</v>
      </c>
      <c r="L701" s="216" t="s">
        <v>107</v>
      </c>
      <c r="M701" s="217">
        <f t="shared" si="180"/>
        <v>2</v>
      </c>
      <c r="N701" s="442" cm="1">
        <f t="array" ref="N701">IF(TRIM(K701)="Mano de Obra",IF(Formulario!$L$23&lt;&gt;"",Formulario!$L$23,IFERROR(VLOOKUP(TRIM($M$4),Jornalesdeppto!A:C,3,0),"")),_xlfn.XLOOKUP(1,(Tabla_Costos_Insumos!$A$2:$A$3199=TRIM($M$4))*(Tabla_Costos_Insumos!$C$2:$C$3199=TRIM(K701)),Tabla_Costos_Insumos!$E$2:$E$3199,"",0))</f>
        <v>46666.666666666664</v>
      </c>
      <c r="O701" s="442">
        <f t="shared" si="171"/>
        <v>93333.333333333328</v>
      </c>
      <c r="P701" s="216" t="str">
        <f t="shared" si="179"/>
        <v>Palma_Aceite Hibrido (OxG)</v>
      </c>
      <c r="Q701" s="212" t="s">
        <v>108</v>
      </c>
      <c r="R701" s="212">
        <v>10</v>
      </c>
      <c r="S701" s="212" t="str">
        <f t="shared" si="181"/>
        <v/>
      </c>
      <c r="T701" s="212" cm="1">
        <f t="array" ref="T701">_xlfn.IFS($D$5&lt;=7, 1.1, $D$5&lt;=12,1.2, $D$5&lt;=25, 1.3, $D$5&gt;25,1.4)</f>
        <v>1.3</v>
      </c>
      <c r="U701" s="212" t="str">
        <f t="shared" si="182"/>
        <v/>
      </c>
      <c r="V701" s="212">
        <v>1</v>
      </c>
      <c r="W701" s="212" t="str">
        <f t="shared" si="178"/>
        <v/>
      </c>
      <c r="X701" s="214">
        <v>1</v>
      </c>
    </row>
    <row r="702" spans="1:24" ht="15">
      <c r="A702" s="211" t="s">
        <v>3774</v>
      </c>
      <c r="B702" s="225" t="s">
        <v>301</v>
      </c>
      <c r="C702" s="216" t="s">
        <v>53</v>
      </c>
      <c r="D702" s="216" t="s">
        <v>99</v>
      </c>
      <c r="E702" s="216" t="s">
        <v>100</v>
      </c>
      <c r="F702" s="216" t="s">
        <v>109</v>
      </c>
      <c r="G702" s="216" t="s">
        <v>110</v>
      </c>
      <c r="H702" s="216" t="s">
        <v>217</v>
      </c>
      <c r="I702" s="216" t="s">
        <v>218</v>
      </c>
      <c r="J702" s="216" t="s">
        <v>105</v>
      </c>
      <c r="K702" s="216" t="s">
        <v>106</v>
      </c>
      <c r="L702" s="216" t="s">
        <v>107</v>
      </c>
      <c r="M702" s="217">
        <f t="shared" si="180"/>
        <v>6</v>
      </c>
      <c r="N702" s="442" cm="1">
        <f t="array" ref="N702">IF(TRIM(K702)="Mano de Obra",IF(Formulario!$L$23&lt;&gt;"",Formulario!$L$23,IFERROR(VLOOKUP(TRIM($M$4),Jornalesdeppto!A:C,3,0),"")),_xlfn.XLOOKUP(1,(Tabla_Costos_Insumos!$A$2:$A$3199=TRIM($M$4))*(Tabla_Costos_Insumos!$C$2:$C$3199=TRIM(K702)),Tabla_Costos_Insumos!$E$2:$E$3199,"",0))</f>
        <v>46666.666666666664</v>
      </c>
      <c r="O702" s="442">
        <f t="shared" si="171"/>
        <v>280000</v>
      </c>
      <c r="P702" s="216" t="str">
        <f t="shared" si="179"/>
        <v>Palma_Aceite Hibrido (OxG)</v>
      </c>
      <c r="Q702" s="212" t="s">
        <v>108</v>
      </c>
      <c r="R702" s="212">
        <v>6</v>
      </c>
      <c r="S702" s="212" t="str">
        <f t="shared" si="181"/>
        <v/>
      </c>
      <c r="T702" s="212" cm="1">
        <f t="array" ref="T702">_xlfn.IFS($D$5&lt;=7, 1.1, $D$5&lt;=12,1.2, $D$5&lt;=25, 1.3, $D$5&gt;25,1.4)</f>
        <v>1.3</v>
      </c>
      <c r="U702" s="212" t="str">
        <f t="shared" si="182"/>
        <v/>
      </c>
      <c r="V702" s="212">
        <v>1</v>
      </c>
      <c r="W702" s="212" t="str">
        <f t="shared" si="178"/>
        <v/>
      </c>
      <c r="X702" s="214">
        <v>4</v>
      </c>
    </row>
    <row r="703" spans="1:24" ht="15">
      <c r="A703" s="211" t="s">
        <v>3774</v>
      </c>
      <c r="B703" s="225" t="s">
        <v>301</v>
      </c>
      <c r="C703" s="216" t="s">
        <v>53</v>
      </c>
      <c r="D703" s="216" t="s">
        <v>99</v>
      </c>
      <c r="E703" s="216" t="s">
        <v>100</v>
      </c>
      <c r="F703" s="216" t="s">
        <v>117</v>
      </c>
      <c r="G703" s="216" t="s">
        <v>118</v>
      </c>
      <c r="H703" s="216" t="s">
        <v>119</v>
      </c>
      <c r="I703" s="216" t="s">
        <v>120</v>
      </c>
      <c r="J703" s="216" t="s">
        <v>105</v>
      </c>
      <c r="K703" s="216" t="s">
        <v>106</v>
      </c>
      <c r="L703" s="216" t="s">
        <v>107</v>
      </c>
      <c r="M703" s="217">
        <f t="shared" si="180"/>
        <v>2</v>
      </c>
      <c r="N703" s="442" cm="1">
        <f t="array" ref="N703">IF(TRIM(K703)="Mano de Obra",IF(Formulario!$L$23&lt;&gt;"",Formulario!$L$23,IFERROR(VLOOKUP(TRIM($M$4),Jornalesdeppto!A:C,3,0),"")),_xlfn.XLOOKUP(1,(Tabla_Costos_Insumos!$A$2:$A$3199=TRIM($M$4))*(Tabla_Costos_Insumos!$C$2:$C$3199=TRIM(K703)),Tabla_Costos_Insumos!$E$2:$E$3199,"",0))</f>
        <v>46666.666666666664</v>
      </c>
      <c r="O703" s="442">
        <f t="shared" si="171"/>
        <v>93333.333333333328</v>
      </c>
      <c r="P703" s="216" t="str">
        <f t="shared" si="179"/>
        <v>Palma_Aceite Hibrido (OxG)</v>
      </c>
      <c r="Q703" s="212" t="s">
        <v>108</v>
      </c>
      <c r="R703" s="212">
        <v>7</v>
      </c>
      <c r="S703" s="212" t="str">
        <f t="shared" si="181"/>
        <v/>
      </c>
      <c r="T703" s="212" cm="1">
        <f t="array" ref="T703">_xlfn.IFS($D$5&lt;=7, 1.1, $D$5&lt;=12,1.2, $D$5&lt;=25, 1.3, $D$5&gt;25,1.4)</f>
        <v>1.3</v>
      </c>
      <c r="U703" s="212" t="str">
        <f t="shared" si="182"/>
        <v/>
      </c>
      <c r="V703" s="212">
        <v>9</v>
      </c>
      <c r="W703" s="212" t="str">
        <f t="shared" si="178"/>
        <v/>
      </c>
      <c r="X703" s="214">
        <v>1</v>
      </c>
    </row>
    <row r="704" spans="1:24" ht="15">
      <c r="A704" s="211" t="s">
        <v>3774</v>
      </c>
      <c r="B704" s="225" t="s">
        <v>301</v>
      </c>
      <c r="C704" s="216" t="s">
        <v>53</v>
      </c>
      <c r="D704" s="216" t="s">
        <v>99</v>
      </c>
      <c r="E704" s="216" t="s">
        <v>100</v>
      </c>
      <c r="F704" s="216" t="s">
        <v>117</v>
      </c>
      <c r="G704" s="216" t="s">
        <v>118</v>
      </c>
      <c r="H704" s="216" t="s">
        <v>121</v>
      </c>
      <c r="I704" s="216" t="s">
        <v>122</v>
      </c>
      <c r="J704" s="216" t="s">
        <v>105</v>
      </c>
      <c r="K704" s="216" t="s">
        <v>106</v>
      </c>
      <c r="L704" s="216" t="s">
        <v>107</v>
      </c>
      <c r="M704" s="217">
        <f t="shared" si="180"/>
        <v>2</v>
      </c>
      <c r="N704" s="442" cm="1">
        <f t="array" ref="N704">IF(TRIM(K704)="Mano de Obra",IF(Formulario!$L$23&lt;&gt;"",Formulario!$L$23,IFERROR(VLOOKUP(TRIM($M$4),Jornalesdeppto!A:C,3,0),"")),_xlfn.XLOOKUP(1,(Tabla_Costos_Insumos!$A$2:$A$3199=TRIM($M$4))*(Tabla_Costos_Insumos!$C$2:$C$3199=TRIM(K704)),Tabla_Costos_Insumos!$E$2:$E$3199,"",0))</f>
        <v>46666.666666666664</v>
      </c>
      <c r="O704" s="442">
        <f t="shared" si="171"/>
        <v>93333.333333333328</v>
      </c>
      <c r="P704" s="216" t="str">
        <f t="shared" si="179"/>
        <v>Palma_Aceite Hibrido (OxG)</v>
      </c>
      <c r="Q704" s="212" t="s">
        <v>108</v>
      </c>
      <c r="R704" s="212">
        <v>7</v>
      </c>
      <c r="S704" s="212" t="str">
        <f t="shared" si="181"/>
        <v/>
      </c>
      <c r="T704" s="212" cm="1">
        <f t="array" ref="T704">_xlfn.IFS($D$5&lt;=7, 1.1, $D$5&lt;=12,1.2, $D$5&lt;=25, 1.3, $D$5&gt;25,1.4)</f>
        <v>1.3</v>
      </c>
      <c r="U704" s="212" t="str">
        <f t="shared" si="182"/>
        <v/>
      </c>
      <c r="V704" s="212">
        <v>9</v>
      </c>
      <c r="W704" s="212" t="str">
        <f t="shared" si="178"/>
        <v/>
      </c>
      <c r="X704" s="214">
        <v>1</v>
      </c>
    </row>
    <row r="705" spans="1:24" ht="15">
      <c r="A705" s="211" t="s">
        <v>3774</v>
      </c>
      <c r="B705" s="225" t="s">
        <v>301</v>
      </c>
      <c r="C705" s="216" t="s">
        <v>53</v>
      </c>
      <c r="D705" s="216" t="s">
        <v>99</v>
      </c>
      <c r="E705" s="216" t="s">
        <v>100</v>
      </c>
      <c r="F705" s="216" t="s">
        <v>123</v>
      </c>
      <c r="G705" s="216" t="s">
        <v>124</v>
      </c>
      <c r="H705" s="216" t="s">
        <v>125</v>
      </c>
      <c r="I705" s="216" t="s">
        <v>126</v>
      </c>
      <c r="J705" s="216" t="s">
        <v>105</v>
      </c>
      <c r="K705" s="216" t="s">
        <v>106</v>
      </c>
      <c r="L705" s="216" t="s">
        <v>107</v>
      </c>
      <c r="M705" s="217">
        <f t="shared" si="180"/>
        <v>2</v>
      </c>
      <c r="N705" s="442" cm="1">
        <f t="array" ref="N705">IF(TRIM(K705)="Mano de Obra",IF(Formulario!$L$23&lt;&gt;"",Formulario!$L$23,IFERROR(VLOOKUP(TRIM($M$4),Jornalesdeppto!A:C,3,0),"")),_xlfn.XLOOKUP(1,(Tabla_Costos_Insumos!$A$2:$A$3199=TRIM($M$4))*(Tabla_Costos_Insumos!$C$2:$C$3199=TRIM(K705)),Tabla_Costos_Insumos!$E$2:$E$3199,"",0))</f>
        <v>46666.666666666664</v>
      </c>
      <c r="O705" s="442">
        <f t="shared" si="171"/>
        <v>93333.333333333328</v>
      </c>
      <c r="P705" s="216" t="str">
        <f t="shared" si="179"/>
        <v>Palma_Aceite Hibrido (OxG)</v>
      </c>
      <c r="Q705" s="212" t="s">
        <v>108</v>
      </c>
      <c r="R705" s="212">
        <v>0.09</v>
      </c>
      <c r="S705" s="212" t="str">
        <f t="shared" si="181"/>
        <v/>
      </c>
      <c r="T705" s="212" cm="1">
        <f t="array" ref="T705">_xlfn.IFS($D$5&lt;=7, 1.1, $D$5&lt;=12,1.2, $D$5&lt;=25, 1.3, $D$5&gt;25,1.4)</f>
        <v>1.3</v>
      </c>
      <c r="U705" s="212" t="str">
        <f t="shared" si="182"/>
        <v/>
      </c>
      <c r="V705" s="212">
        <v>2</v>
      </c>
      <c r="W705" s="212" t="str">
        <f t="shared" si="178"/>
        <v/>
      </c>
      <c r="X705" s="214">
        <v>1</v>
      </c>
    </row>
    <row r="706" spans="1:24" ht="15">
      <c r="A706" s="211" t="s">
        <v>3774</v>
      </c>
      <c r="B706" s="225" t="s">
        <v>301</v>
      </c>
      <c r="C706" s="216" t="s">
        <v>53</v>
      </c>
      <c r="D706" s="216" t="s">
        <v>99</v>
      </c>
      <c r="E706" s="216" t="s">
        <v>100</v>
      </c>
      <c r="F706" s="216" t="s">
        <v>130</v>
      </c>
      <c r="G706" s="216" t="s">
        <v>131</v>
      </c>
      <c r="H706" s="216" t="s">
        <v>132</v>
      </c>
      <c r="I706" s="216" t="s">
        <v>133</v>
      </c>
      <c r="J706" s="216" t="s">
        <v>105</v>
      </c>
      <c r="K706" s="216" t="s">
        <v>106</v>
      </c>
      <c r="L706" s="216" t="s">
        <v>107</v>
      </c>
      <c r="M706" s="217">
        <f t="shared" si="180"/>
        <v>3</v>
      </c>
      <c r="N706" s="442" cm="1">
        <f t="array" ref="N706">IF(TRIM(K706)="Mano de Obra",IF(Formulario!$L$23&lt;&gt;"",Formulario!$L$23,IFERROR(VLOOKUP(TRIM($M$4),Jornalesdeppto!A:C,3,0),"")),_xlfn.XLOOKUP(1,(Tabla_Costos_Insumos!$A$2:$A$3199=TRIM($M$4))*(Tabla_Costos_Insumos!$C$2:$C$3199=TRIM(K706)),Tabla_Costos_Insumos!$E$2:$E$3199,"",0))</f>
        <v>46666.666666666664</v>
      </c>
      <c r="O706" s="442">
        <f t="shared" si="171"/>
        <v>140000</v>
      </c>
      <c r="P706" s="216" t="str">
        <f t="shared" si="179"/>
        <v>Palma_Aceite Hibrido (OxG)</v>
      </c>
      <c r="Q706" s="212" t="s">
        <v>108</v>
      </c>
      <c r="R706" s="212">
        <v>1.5</v>
      </c>
      <c r="S706" s="212" t="str">
        <f t="shared" si="181"/>
        <v/>
      </c>
      <c r="T706" s="212" cm="1">
        <f t="array" ref="T706">_xlfn.IFS($D$5&lt;=7, 1.1, $D$5&lt;=12,1.2, $D$5&lt;=25, 1.3, $D$5&gt;25,1.4)</f>
        <v>1.3</v>
      </c>
      <c r="U706" s="212" t="str">
        <f t="shared" si="182"/>
        <v/>
      </c>
      <c r="V706" s="212">
        <v>4</v>
      </c>
      <c r="W706" s="212" t="str">
        <f t="shared" si="178"/>
        <v/>
      </c>
      <c r="X706" s="214">
        <v>2</v>
      </c>
    </row>
    <row r="707" spans="1:24" ht="15">
      <c r="A707" s="211" t="s">
        <v>3774</v>
      </c>
      <c r="B707" s="225" t="s">
        <v>301</v>
      </c>
      <c r="C707" s="216" t="s">
        <v>53</v>
      </c>
      <c r="D707" s="216" t="s">
        <v>99</v>
      </c>
      <c r="E707" s="216" t="s">
        <v>100</v>
      </c>
      <c r="F707" s="216" t="s">
        <v>130</v>
      </c>
      <c r="G707" s="216" t="s">
        <v>131</v>
      </c>
      <c r="H707" s="216" t="s">
        <v>134</v>
      </c>
      <c r="I707" s="216" t="s">
        <v>135</v>
      </c>
      <c r="J707" s="216" t="s">
        <v>105</v>
      </c>
      <c r="K707" s="216" t="s">
        <v>106</v>
      </c>
      <c r="L707" s="216" t="s">
        <v>107</v>
      </c>
      <c r="M707" s="217">
        <f t="shared" si="180"/>
        <v>2</v>
      </c>
      <c r="N707" s="442" cm="1">
        <f t="array" ref="N707">IF(TRIM(K707)="Mano de Obra",IF(Formulario!$L$23&lt;&gt;"",Formulario!$L$23,IFERROR(VLOOKUP(TRIM($M$4),Jornalesdeppto!A:C,3,0),"")),_xlfn.XLOOKUP(1,(Tabla_Costos_Insumos!$A$2:$A$3199=TRIM($M$4))*(Tabla_Costos_Insumos!$C$2:$C$3199=TRIM(K707)),Tabla_Costos_Insumos!$E$2:$E$3199,"",0))</f>
        <v>46666.666666666664</v>
      </c>
      <c r="O707" s="442">
        <f t="shared" si="171"/>
        <v>93333.333333333328</v>
      </c>
      <c r="P707" s="216" t="str">
        <f t="shared" si="179"/>
        <v>Palma_Aceite Hibrido (OxG)</v>
      </c>
      <c r="Q707" s="212" t="s">
        <v>108</v>
      </c>
      <c r="R707" s="212">
        <v>1.5</v>
      </c>
      <c r="S707" s="212" t="str">
        <f t="shared" si="181"/>
        <v/>
      </c>
      <c r="T707" s="212" cm="1">
        <f t="array" ref="T707">_xlfn.IFS($D$5&lt;=7, 1.1, $D$5&lt;=12,1.2, $D$5&lt;=25, 1.3, $D$5&gt;25,1.4)</f>
        <v>1.3</v>
      </c>
      <c r="U707" s="212" t="str">
        <f t="shared" si="182"/>
        <v/>
      </c>
      <c r="V707" s="212">
        <v>4</v>
      </c>
      <c r="W707" s="212" t="str">
        <f t="shared" si="178"/>
        <v/>
      </c>
      <c r="X707" s="214">
        <v>1</v>
      </c>
    </row>
    <row r="708" spans="1:24" ht="15">
      <c r="A708" s="211" t="s">
        <v>3774</v>
      </c>
      <c r="B708" s="225" t="s">
        <v>301</v>
      </c>
      <c r="C708" s="216" t="s">
        <v>53</v>
      </c>
      <c r="D708" s="216" t="s">
        <v>145</v>
      </c>
      <c r="E708" s="216" t="s">
        <v>146</v>
      </c>
      <c r="F708" s="216" t="s">
        <v>219</v>
      </c>
      <c r="G708" s="216" t="s">
        <v>220</v>
      </c>
      <c r="H708" s="216" t="s">
        <v>221</v>
      </c>
      <c r="I708" s="216" t="s">
        <v>222</v>
      </c>
      <c r="J708" s="216" t="s">
        <v>223</v>
      </c>
      <c r="K708" s="216" t="s">
        <v>302</v>
      </c>
      <c r="L708" s="216" t="s">
        <v>197</v>
      </c>
      <c r="M708" s="217">
        <f>IF($M$3="Palma_Aceite Hibrido (OxG)",I3,0)</f>
        <v>0</v>
      </c>
      <c r="N708" s="442">
        <v>30000</v>
      </c>
      <c r="O708" s="442">
        <f t="shared" si="171"/>
        <v>0</v>
      </c>
      <c r="P708" s="216" t="str">
        <f t="shared" si="179"/>
        <v>Palma_Aceite Hibrido (OxG)</v>
      </c>
      <c r="Q708" s="212" t="s">
        <v>142</v>
      </c>
      <c r="R708" s="212" t="s">
        <v>142</v>
      </c>
      <c r="S708" s="212"/>
      <c r="T708" s="212"/>
      <c r="U708" s="212"/>
      <c r="V708" s="212" t="s">
        <v>142</v>
      </c>
      <c r="W708" s="212" t="str">
        <f t="shared" si="178"/>
        <v/>
      </c>
      <c r="X708" s="214"/>
    </row>
    <row r="709" spans="1:24" ht="15">
      <c r="A709" s="211" t="s">
        <v>3774</v>
      </c>
      <c r="B709" s="225" t="s">
        <v>301</v>
      </c>
      <c r="C709" s="216" t="s">
        <v>53</v>
      </c>
      <c r="D709" s="216" t="s">
        <v>145</v>
      </c>
      <c r="E709" s="216" t="s">
        <v>146</v>
      </c>
      <c r="F709" s="216" t="s">
        <v>147</v>
      </c>
      <c r="G709" s="216" t="s">
        <v>131</v>
      </c>
      <c r="H709" s="216" t="s">
        <v>148</v>
      </c>
      <c r="I709" s="216" t="s">
        <v>299</v>
      </c>
      <c r="J709" s="216" t="s">
        <v>149</v>
      </c>
      <c r="K709" s="216" t="s">
        <v>150</v>
      </c>
      <c r="L709" s="216" t="s">
        <v>151</v>
      </c>
      <c r="M709" s="217">
        <v>2</v>
      </c>
      <c r="N709" s="442" cm="1">
        <f t="array" ref="N709">IF(TRIM(K709)="Mano de Obra",IF(Formulario!$L$23&lt;&gt;"",Formulario!$L$23,IFERROR(VLOOKUP(TRIM($M$4),Jornalesdeppto!A:C,3,0),"")),_xlfn.XLOOKUP(1,(Tabla_Costos_Insumos!$A$2:$A$3199=TRIM($M$4))*(Tabla_Costos_Insumos!$C$2:$C$3199=TRIM(K709)),Tabla_Costos_Insumos!$E$2:$E$3199,"",0))</f>
        <v>198055.68333333</v>
      </c>
      <c r="O709" s="442">
        <f t="shared" si="171"/>
        <v>396111.36666666</v>
      </c>
      <c r="P709" s="216" t="str">
        <f t="shared" si="179"/>
        <v>Palma_Aceite Hibrido (OxG)</v>
      </c>
      <c r="Q709" s="212" t="s">
        <v>142</v>
      </c>
      <c r="R709" s="212" t="s">
        <v>142</v>
      </c>
      <c r="S709" s="212"/>
      <c r="T709" s="212"/>
      <c r="U709" s="212"/>
      <c r="V709" s="212" t="s">
        <v>142</v>
      </c>
      <c r="W709" s="212" t="str">
        <f t="shared" si="178"/>
        <v/>
      </c>
      <c r="X709" s="214"/>
    </row>
    <row r="710" spans="1:24" ht="15">
      <c r="A710" s="211" t="s">
        <v>3774</v>
      </c>
      <c r="B710" s="225" t="s">
        <v>301</v>
      </c>
      <c r="C710" s="216" t="s">
        <v>53</v>
      </c>
      <c r="D710" s="216" t="s">
        <v>145</v>
      </c>
      <c r="E710" s="216" t="s">
        <v>146</v>
      </c>
      <c r="F710" s="216" t="s">
        <v>147</v>
      </c>
      <c r="G710" s="216" t="s">
        <v>131</v>
      </c>
      <c r="H710" s="216" t="s">
        <v>152</v>
      </c>
      <c r="I710" s="216" t="s">
        <v>153</v>
      </c>
      <c r="J710" s="216" t="s">
        <v>149</v>
      </c>
      <c r="K710" s="216" t="s">
        <v>166</v>
      </c>
      <c r="L710" s="216" t="s">
        <v>151</v>
      </c>
      <c r="M710" s="217">
        <v>7</v>
      </c>
      <c r="N710" s="442" cm="1">
        <f t="array" ref="N710">IF(TRIM(K710)="Mano de Obra",IF(Formulario!$L$23&lt;&gt;"",Formulario!$L$23,IFERROR(VLOOKUP(TRIM($M$4),Jornalesdeppto!A:C,3,0),"")),_xlfn.XLOOKUP(1,(Tabla_Costos_Insumos!$A$2:$A$3199=TRIM($M$4))*(Tabla_Costos_Insumos!$C$2:$C$3199=TRIM(K710)),Tabla_Costos_Insumos!$E$2:$E$3199,"",0))</f>
        <v>110000</v>
      </c>
      <c r="O710" s="442">
        <f t="shared" si="171"/>
        <v>770000</v>
      </c>
      <c r="P710" s="216" t="str">
        <f t="shared" si="179"/>
        <v>Palma_Aceite Hibrido (OxG)</v>
      </c>
      <c r="Q710" s="212" t="s">
        <v>142</v>
      </c>
      <c r="R710" s="212" t="s">
        <v>142</v>
      </c>
      <c r="S710" s="212"/>
      <c r="T710" s="212"/>
      <c r="U710" s="212"/>
      <c r="V710" s="212" t="s">
        <v>142</v>
      </c>
      <c r="W710" s="212" t="str">
        <f t="shared" si="178"/>
        <v/>
      </c>
      <c r="X710" s="214"/>
    </row>
    <row r="711" spans="1:24" ht="15">
      <c r="A711" s="211" t="s">
        <v>3774</v>
      </c>
      <c r="B711" s="225" t="s">
        <v>301</v>
      </c>
      <c r="C711" s="216" t="s">
        <v>53</v>
      </c>
      <c r="D711" s="216" t="s">
        <v>145</v>
      </c>
      <c r="E711" s="216" t="s">
        <v>146</v>
      </c>
      <c r="F711" s="216" t="s">
        <v>147</v>
      </c>
      <c r="G711" s="216" t="s">
        <v>131</v>
      </c>
      <c r="H711" s="216" t="s">
        <v>154</v>
      </c>
      <c r="I711" s="216" t="s">
        <v>155</v>
      </c>
      <c r="J711" s="216" t="s">
        <v>149</v>
      </c>
      <c r="K711" s="216" t="s">
        <v>156</v>
      </c>
      <c r="L711" s="216" t="s">
        <v>151</v>
      </c>
      <c r="M711" s="217">
        <v>5</v>
      </c>
      <c r="N711" s="442" cm="1">
        <f t="array" ref="N711">IF(TRIM(K711)="Mano de Obra",IF(Formulario!$L$23&lt;&gt;"",Formulario!$L$23,IFERROR(VLOOKUP(TRIM($M$4),Jornalesdeppto!A:C,3,0),"")),_xlfn.XLOOKUP(1,(Tabla_Costos_Insumos!$A$2:$A$3199=TRIM($M$4))*(Tabla_Costos_Insumos!$C$2:$C$3199=TRIM(K711)),Tabla_Costos_Insumos!$E$2:$E$3199,"",0))</f>
        <v>17212.5</v>
      </c>
      <c r="O711" s="442">
        <f t="shared" si="171"/>
        <v>86062.5</v>
      </c>
      <c r="P711" s="216" t="str">
        <f t="shared" si="179"/>
        <v>Palma_Aceite Hibrido (OxG)</v>
      </c>
      <c r="Q711" s="212" t="s">
        <v>142</v>
      </c>
      <c r="R711" s="212" t="s">
        <v>142</v>
      </c>
      <c r="S711" s="212"/>
      <c r="T711" s="212"/>
      <c r="U711" s="212"/>
      <c r="V711" s="212" t="s">
        <v>142</v>
      </c>
      <c r="W711" s="212" t="str">
        <f t="shared" si="178"/>
        <v/>
      </c>
      <c r="X711" s="214"/>
    </row>
    <row r="712" spans="1:24" ht="15">
      <c r="A712" s="211" t="s">
        <v>3774</v>
      </c>
      <c r="B712" s="225" t="s">
        <v>301</v>
      </c>
      <c r="C712" s="216" t="s">
        <v>53</v>
      </c>
      <c r="D712" s="216" t="s">
        <v>145</v>
      </c>
      <c r="E712" s="216" t="s">
        <v>146</v>
      </c>
      <c r="F712" s="216" t="s">
        <v>147</v>
      </c>
      <c r="G712" s="216" t="s">
        <v>131</v>
      </c>
      <c r="H712" s="216" t="s">
        <v>157</v>
      </c>
      <c r="I712" s="216" t="s">
        <v>158</v>
      </c>
      <c r="J712" s="216" t="s">
        <v>149</v>
      </c>
      <c r="K712" s="216" t="s">
        <v>291</v>
      </c>
      <c r="L712" s="216" t="s">
        <v>172</v>
      </c>
      <c r="M712" s="217">
        <v>8</v>
      </c>
      <c r="N712" s="442" cm="1">
        <f t="array" ref="N712">IF(TRIM(K712)="Mano de Obra",IF(Formulario!$L$23&lt;&gt;"",Formulario!$L$23,IFERROR(VLOOKUP(TRIM($M$4),Jornalesdeppto!A:C,3,0),"")),_xlfn.XLOOKUP(1,(Tabla_Costos_Insumos!$A$2:$A$3199=TRIM($M$4))*(Tabla_Costos_Insumos!$C$2:$C$3199=TRIM(K712)),Tabla_Costos_Insumos!$E$2:$E$3199,"",0))</f>
        <v>22086.61</v>
      </c>
      <c r="O712" s="442">
        <f t="shared" si="171"/>
        <v>176692.88</v>
      </c>
      <c r="P712" s="216" t="str">
        <f t="shared" si="179"/>
        <v>Palma_Aceite Hibrido (OxG)</v>
      </c>
      <c r="Q712" s="212" t="s">
        <v>142</v>
      </c>
      <c r="R712" s="212" t="s">
        <v>142</v>
      </c>
      <c r="S712" s="212"/>
      <c r="T712" s="212"/>
      <c r="U712" s="212"/>
      <c r="V712" s="212" t="s">
        <v>142</v>
      </c>
      <c r="W712" s="212" t="str">
        <f t="shared" si="178"/>
        <v/>
      </c>
      <c r="X712" s="214"/>
    </row>
    <row r="713" spans="1:24" ht="15">
      <c r="A713" s="211" t="s">
        <v>3774</v>
      </c>
      <c r="B713" s="225" t="s">
        <v>301</v>
      </c>
      <c r="C713" s="216" t="s">
        <v>53</v>
      </c>
      <c r="D713" s="216" t="s">
        <v>145</v>
      </c>
      <c r="E713" s="216" t="s">
        <v>146</v>
      </c>
      <c r="F713" s="216" t="s">
        <v>147</v>
      </c>
      <c r="G713" s="216" t="s">
        <v>131</v>
      </c>
      <c r="H713" s="216" t="s">
        <v>161</v>
      </c>
      <c r="I713" s="216" t="s">
        <v>162</v>
      </c>
      <c r="J713" s="216" t="s">
        <v>149</v>
      </c>
      <c r="K713" s="216" t="s">
        <v>163</v>
      </c>
      <c r="L713" s="216" t="s">
        <v>164</v>
      </c>
      <c r="M713" s="217">
        <v>2</v>
      </c>
      <c r="N713" s="442" cm="1">
        <f t="array" ref="N713">IF(TRIM(K713)="Mano de Obra",IF(Formulario!$L$23&lt;&gt;"",Formulario!$L$23,IFERROR(VLOOKUP(TRIM($M$4),Jornalesdeppto!A:C,3,0),"")),_xlfn.XLOOKUP(1,(Tabla_Costos_Insumos!$A$2:$A$3199=TRIM($M$4))*(Tabla_Costos_Insumos!$C$2:$C$3199=TRIM(K713)),Tabla_Costos_Insumos!$E$2:$E$3199,"",0))</f>
        <v>128084.44444445</v>
      </c>
      <c r="O713" s="442">
        <f t="shared" si="171"/>
        <v>256168.88888889999</v>
      </c>
      <c r="P713" s="216" t="str">
        <f t="shared" si="179"/>
        <v>Palma_Aceite Hibrido (OxG)</v>
      </c>
      <c r="Q713" s="212" t="s">
        <v>142</v>
      </c>
      <c r="R713" s="212" t="s">
        <v>142</v>
      </c>
      <c r="S713" s="212"/>
      <c r="T713" s="212"/>
      <c r="U713" s="212"/>
      <c r="V713" s="212" t="s">
        <v>142</v>
      </c>
      <c r="W713" s="212" t="str">
        <f t="shared" si="178"/>
        <v/>
      </c>
      <c r="X713" s="214"/>
    </row>
    <row r="714" spans="1:24" ht="15">
      <c r="A714" s="211" t="s">
        <v>3774</v>
      </c>
      <c r="B714" s="225" t="s">
        <v>301</v>
      </c>
      <c r="C714" s="216" t="s">
        <v>53</v>
      </c>
      <c r="D714" s="216" t="s">
        <v>145</v>
      </c>
      <c r="E714" s="216" t="s">
        <v>146</v>
      </c>
      <c r="F714" s="216" t="s">
        <v>147</v>
      </c>
      <c r="G714" s="216" t="s">
        <v>131</v>
      </c>
      <c r="H714" s="216" t="s">
        <v>165</v>
      </c>
      <c r="I714" s="216" t="s">
        <v>153</v>
      </c>
      <c r="J714" s="216" t="s">
        <v>149</v>
      </c>
      <c r="K714" s="216" t="s">
        <v>4110</v>
      </c>
      <c r="L714" s="216" t="s">
        <v>151</v>
      </c>
      <c r="M714" s="217">
        <v>6</v>
      </c>
      <c r="N714" s="442" cm="1">
        <f t="array" ref="N714">IF(TRIM(K714)="Mano de Obra",IF(Formulario!$L$23&lt;&gt;"",Formulario!$L$23,IFERROR(VLOOKUP(TRIM($M$4),Jornalesdeppto!A:C,3,0),"")),_xlfn.XLOOKUP(1,(Tabla_Costos_Insumos!$A$2:$A$3199=TRIM($M$4))*(Tabla_Costos_Insumos!$C$2:$C$3199=TRIM(K714)),Tabla_Costos_Insumos!$E$2:$E$3199,"",0))</f>
        <v>125849.2424242409</v>
      </c>
      <c r="O714" s="442">
        <f t="shared" si="171"/>
        <v>755095.45454544539</v>
      </c>
      <c r="P714" s="216" t="str">
        <f t="shared" si="179"/>
        <v>Palma_Aceite Hibrido (OxG)</v>
      </c>
      <c r="Q714" s="212" t="s">
        <v>142</v>
      </c>
      <c r="R714" s="212" t="s">
        <v>142</v>
      </c>
      <c r="S714" s="212"/>
      <c r="T714" s="212"/>
      <c r="U714" s="212"/>
      <c r="V714" s="212" t="s">
        <v>142</v>
      </c>
      <c r="W714" s="212" t="str">
        <f t="shared" si="178"/>
        <v/>
      </c>
      <c r="X714" s="214"/>
    </row>
    <row r="715" spans="1:24" ht="15">
      <c r="A715" s="211" t="s">
        <v>3774</v>
      </c>
      <c r="B715" s="225" t="s">
        <v>301</v>
      </c>
      <c r="C715" s="216" t="s">
        <v>53</v>
      </c>
      <c r="D715" s="216" t="s">
        <v>145</v>
      </c>
      <c r="E715" s="216" t="s">
        <v>146</v>
      </c>
      <c r="F715" s="216" t="s">
        <v>167</v>
      </c>
      <c r="G715" s="216" t="s">
        <v>118</v>
      </c>
      <c r="H715" s="216" t="s">
        <v>168</v>
      </c>
      <c r="I715" s="216" t="s">
        <v>169</v>
      </c>
      <c r="J715" s="216" t="s">
        <v>170</v>
      </c>
      <c r="K715" s="216" t="s">
        <v>295</v>
      </c>
      <c r="L715" s="216" t="s">
        <v>261</v>
      </c>
      <c r="M715" s="217">
        <v>27</v>
      </c>
      <c r="N715" s="442" cm="1">
        <f t="array" ref="N715">IF(TRIM(K715)="Mano de Obra",IF(Formulario!$L$23&lt;&gt;"",Formulario!$L$23,IFERROR(VLOOKUP(TRIM($M$4),Jornalesdeppto!A:C,3,0),"")),_xlfn.XLOOKUP(1,(Tabla_Costos_Insumos!$A$2:$A$3199=TRIM($M$4))*(Tabla_Costos_Insumos!$C$2:$C$3199=TRIM(K715)),Tabla_Costos_Insumos!$E$2:$E$3199,"",0))</f>
        <v>29269.489247313439</v>
      </c>
      <c r="O715" s="442">
        <f t="shared" si="171"/>
        <v>790276.20967746282</v>
      </c>
      <c r="P715" s="216" t="str">
        <f t="shared" si="179"/>
        <v>Palma_Aceite Hibrido (OxG)</v>
      </c>
      <c r="Q715" s="212" t="s">
        <v>142</v>
      </c>
      <c r="R715" s="212" t="s">
        <v>142</v>
      </c>
      <c r="S715" s="212"/>
      <c r="T715" s="212"/>
      <c r="U715" s="212"/>
      <c r="V715" s="212" t="s">
        <v>142</v>
      </c>
      <c r="W715" s="212" t="str">
        <f t="shared" si="178"/>
        <v/>
      </c>
      <c r="X715" s="214"/>
    </row>
    <row r="716" spans="1:24" ht="15">
      <c r="A716" s="211" t="s">
        <v>3774</v>
      </c>
      <c r="B716" s="225" t="s">
        <v>301</v>
      </c>
      <c r="C716" s="216" t="s">
        <v>53</v>
      </c>
      <c r="D716" s="216" t="s">
        <v>145</v>
      </c>
      <c r="E716" s="216" t="s">
        <v>146</v>
      </c>
      <c r="F716" s="216" t="s">
        <v>167</v>
      </c>
      <c r="G716" s="216" t="s">
        <v>118</v>
      </c>
      <c r="H716" s="216" t="s">
        <v>168</v>
      </c>
      <c r="I716" s="216" t="s">
        <v>169</v>
      </c>
      <c r="J716" s="216" t="s">
        <v>170</v>
      </c>
      <c r="K716" s="216" t="s">
        <v>252</v>
      </c>
      <c r="L716" s="216" t="s">
        <v>226</v>
      </c>
      <c r="M716" s="217">
        <v>23</v>
      </c>
      <c r="N716" s="442" cm="1">
        <f t="array" ref="N716">IF(TRIM(K716)="Mano de Obra",IF(Formulario!$L$23&lt;&gt;"",Formulario!$L$23,IFERROR(VLOOKUP(TRIM($M$4),Jornalesdeppto!A:C,3,0),"")),_xlfn.XLOOKUP(1,(Tabla_Costos_Insumos!$A$2:$A$3199=TRIM($M$4))*(Tabla_Costos_Insumos!$C$2:$C$3199=TRIM(K716)),Tabla_Costos_Insumos!$E$2:$E$3199,"",0))</f>
        <v>24440.35</v>
      </c>
      <c r="O716" s="442">
        <f t="shared" ref="O716:O777" si="183">IF(OR(N716=0,N716=""),"",N716*M716)</f>
        <v>562128.04999999993</v>
      </c>
      <c r="P716" s="216" t="str">
        <f t="shared" si="179"/>
        <v>Palma_Aceite Hibrido (OxG)</v>
      </c>
      <c r="Q716" s="212" t="s">
        <v>142</v>
      </c>
      <c r="R716" s="212" t="s">
        <v>142</v>
      </c>
      <c r="S716" s="212"/>
      <c r="T716" s="212"/>
      <c r="U716" s="212"/>
      <c r="V716" s="212" t="s">
        <v>142</v>
      </c>
      <c r="W716" s="212" t="str">
        <f t="shared" si="178"/>
        <v/>
      </c>
      <c r="X716" s="214"/>
    </row>
    <row r="717" spans="1:24" ht="15">
      <c r="A717" s="211" t="s">
        <v>3774</v>
      </c>
      <c r="B717" s="225" t="s">
        <v>301</v>
      </c>
      <c r="C717" s="216" t="s">
        <v>53</v>
      </c>
      <c r="D717" s="216" t="s">
        <v>145</v>
      </c>
      <c r="E717" s="216" t="s">
        <v>146</v>
      </c>
      <c r="F717" s="216" t="s">
        <v>167</v>
      </c>
      <c r="G717" s="216" t="s">
        <v>118</v>
      </c>
      <c r="H717" s="216" t="s">
        <v>174</v>
      </c>
      <c r="I717" s="216" t="s">
        <v>175</v>
      </c>
      <c r="J717" s="216" t="s">
        <v>176</v>
      </c>
      <c r="K717" s="216" t="s">
        <v>231</v>
      </c>
      <c r="L717" s="216" t="s">
        <v>172</v>
      </c>
      <c r="M717" s="217">
        <v>24</v>
      </c>
      <c r="N717" s="442" cm="1">
        <f t="array" ref="N717">IF(TRIM(K717)="Mano de Obra",IF(Formulario!$L$23&lt;&gt;"",Formulario!$L$23,IFERROR(VLOOKUP(TRIM($M$4),Jornalesdeppto!A:C,3,0),"")),_xlfn.XLOOKUP(1,(Tabla_Costos_Insumos!$A$2:$A$3199=TRIM($M$4))*(Tabla_Costos_Insumos!$C$2:$C$3199=TRIM(K717)),Tabla_Costos_Insumos!$E$2:$E$3199,"",0))</f>
        <v>23177.15</v>
      </c>
      <c r="O717" s="442">
        <f t="shared" si="183"/>
        <v>556251.60000000009</v>
      </c>
      <c r="P717" s="216" t="str">
        <f t="shared" si="179"/>
        <v>Palma_Aceite Hibrido (OxG)</v>
      </c>
      <c r="Q717" s="212" t="s">
        <v>142</v>
      </c>
      <c r="R717" s="212" t="s">
        <v>142</v>
      </c>
      <c r="S717" s="212"/>
      <c r="T717" s="212"/>
      <c r="U717" s="212"/>
      <c r="V717" s="212" t="s">
        <v>142</v>
      </c>
      <c r="W717" s="212" t="str">
        <f t="shared" si="178"/>
        <v/>
      </c>
      <c r="X717" s="214"/>
    </row>
    <row r="718" spans="1:24" ht="15">
      <c r="A718" s="211" t="s">
        <v>3774</v>
      </c>
      <c r="B718" s="225" t="s">
        <v>301</v>
      </c>
      <c r="C718" s="216" t="s">
        <v>53</v>
      </c>
      <c r="D718" s="216" t="s">
        <v>145</v>
      </c>
      <c r="E718" s="216" t="s">
        <v>146</v>
      </c>
      <c r="F718" s="216" t="s">
        <v>167</v>
      </c>
      <c r="G718" s="216" t="s">
        <v>118</v>
      </c>
      <c r="H718" s="216" t="s">
        <v>178</v>
      </c>
      <c r="I718" s="216" t="s">
        <v>179</v>
      </c>
      <c r="J718" s="216" t="s">
        <v>180</v>
      </c>
      <c r="K718" s="223" t="s">
        <v>300</v>
      </c>
      <c r="L718" s="216" t="s">
        <v>172</v>
      </c>
      <c r="M718" s="217">
        <v>5</v>
      </c>
      <c r="N718" s="442" cm="1">
        <f t="array" ref="N718">IF(TRIM(K718)="Mano de Obra",IF(Formulario!$L$23&lt;&gt;"",Formulario!$L$23,IFERROR(VLOOKUP(TRIM($M$4),Jornalesdeppto!A:C,3,0),"")),_xlfn.XLOOKUP(1,(Tabla_Costos_Insumos!$A$2:$A$3199=TRIM($M$4))*(Tabla_Costos_Insumos!$C$2:$C$3199=TRIM(K718)),Tabla_Costos_Insumos!$E$2:$E$3199,"",0))</f>
        <v>66141.87</v>
      </c>
      <c r="O718" s="442">
        <f t="shared" si="183"/>
        <v>330709.34999999998</v>
      </c>
      <c r="P718" s="216" t="str">
        <f t="shared" si="179"/>
        <v>Palma_Aceite Hibrido (OxG)</v>
      </c>
      <c r="Q718" s="212" t="s">
        <v>142</v>
      </c>
      <c r="R718" s="212" t="s">
        <v>142</v>
      </c>
      <c r="S718" s="212"/>
      <c r="T718" s="212"/>
      <c r="U718" s="212"/>
      <c r="V718" s="212" t="s">
        <v>142</v>
      </c>
      <c r="W718" s="212" t="str">
        <f t="shared" si="178"/>
        <v/>
      </c>
      <c r="X718" s="214"/>
    </row>
    <row r="719" spans="1:24" ht="15">
      <c r="A719" s="211" t="s">
        <v>3774</v>
      </c>
      <c r="B719" s="225" t="s">
        <v>301</v>
      </c>
      <c r="C719" s="216" t="s">
        <v>53</v>
      </c>
      <c r="D719" s="216" t="s">
        <v>145</v>
      </c>
      <c r="E719" s="216" t="s">
        <v>146</v>
      </c>
      <c r="F719" s="216" t="s">
        <v>167</v>
      </c>
      <c r="G719" s="216" t="s">
        <v>118</v>
      </c>
      <c r="H719" s="216" t="s">
        <v>178</v>
      </c>
      <c r="I719" s="216" t="s">
        <v>179</v>
      </c>
      <c r="J719" s="216" t="s">
        <v>180</v>
      </c>
      <c r="K719" s="216" t="s">
        <v>181</v>
      </c>
      <c r="L719" s="216" t="s">
        <v>172</v>
      </c>
      <c r="M719" s="217">
        <v>7</v>
      </c>
      <c r="N719" s="442" cm="1">
        <f t="array" ref="N719">IF(TRIM(K719)="Mano de Obra",IF(Formulario!$L$23&lt;&gt;"",Formulario!$L$23,IFERROR(VLOOKUP(TRIM($M$4),Jornalesdeppto!A:C,3,0),"")),_xlfn.XLOOKUP(1,(Tabla_Costos_Insumos!$A$2:$A$3199=TRIM($M$4))*(Tabla_Costos_Insumos!$C$2:$C$3199=TRIM(K719)),Tabla_Costos_Insumos!$E$2:$E$3199,"",0))</f>
        <v>34056.25</v>
      </c>
      <c r="O719" s="442">
        <f t="shared" si="183"/>
        <v>238393.75</v>
      </c>
      <c r="P719" s="216" t="str">
        <f t="shared" si="179"/>
        <v>Palma_Aceite Hibrido (OxG)</v>
      </c>
      <c r="Q719" s="212" t="s">
        <v>142</v>
      </c>
      <c r="R719" s="212" t="s">
        <v>142</v>
      </c>
      <c r="S719" s="212"/>
      <c r="T719" s="212"/>
      <c r="U719" s="212"/>
      <c r="V719" s="212" t="s">
        <v>142</v>
      </c>
      <c r="W719" s="212" t="str">
        <f t="shared" si="178"/>
        <v/>
      </c>
      <c r="X719" s="214"/>
    </row>
    <row r="720" spans="1:24" ht="15">
      <c r="A720" s="211" t="s">
        <v>3774</v>
      </c>
      <c r="B720" s="225" t="s">
        <v>301</v>
      </c>
      <c r="C720" s="216" t="s">
        <v>53</v>
      </c>
      <c r="D720" s="216" t="s">
        <v>145</v>
      </c>
      <c r="E720" s="216" t="s">
        <v>146</v>
      </c>
      <c r="F720" s="216" t="s">
        <v>183</v>
      </c>
      <c r="G720" s="216" t="s">
        <v>184</v>
      </c>
      <c r="H720" s="216" t="s">
        <v>185</v>
      </c>
      <c r="I720" s="216" t="s">
        <v>186</v>
      </c>
      <c r="J720" s="216" t="s">
        <v>105</v>
      </c>
      <c r="K720" s="216" t="s">
        <v>187</v>
      </c>
      <c r="L720" s="216" t="s">
        <v>188</v>
      </c>
      <c r="M720" s="217">
        <v>0.1</v>
      </c>
      <c r="N720" s="442" cm="1">
        <f t="array" ref="N720">IF(TRIM(K720)="Mano de Obra",IF(Formulario!$L$23&lt;&gt;"",Formulario!$L$23,IFERROR(VLOOKUP(TRIM($M$4),Jornalesdeppto!A:C,3,0),"")),_xlfn.XLOOKUP(1,(Tabla_Costos_Insumos!$A$2:$A$3199=TRIM($M$4))*(Tabla_Costos_Insumos!$C$2:$C$3199=TRIM(K720)),Tabla_Costos_Insumos!$E$2:$E$3199,"",0))</f>
        <v>175000</v>
      </c>
      <c r="O720" s="442">
        <f t="shared" si="183"/>
        <v>17500</v>
      </c>
      <c r="P720" s="216" t="str">
        <f t="shared" si="179"/>
        <v>Palma_Aceite Hibrido (OxG)</v>
      </c>
      <c r="Q720" s="212" t="s">
        <v>142</v>
      </c>
      <c r="R720" s="212" t="s">
        <v>142</v>
      </c>
      <c r="S720" s="212"/>
      <c r="T720" s="212"/>
      <c r="U720" s="212"/>
      <c r="V720" s="212" t="s">
        <v>142</v>
      </c>
      <c r="W720" s="212" t="str">
        <f t="shared" si="178"/>
        <v/>
      </c>
      <c r="X720" s="214"/>
    </row>
    <row r="721" spans="1:24" ht="15">
      <c r="A721" s="211" t="s">
        <v>3774</v>
      </c>
      <c r="B721" s="225" t="s">
        <v>301</v>
      </c>
      <c r="C721" s="216" t="s">
        <v>53</v>
      </c>
      <c r="D721" s="216" t="s">
        <v>189</v>
      </c>
      <c r="E721" s="216" t="s">
        <v>190</v>
      </c>
      <c r="F721" s="216" t="s">
        <v>191</v>
      </c>
      <c r="G721" s="216" t="s">
        <v>192</v>
      </c>
      <c r="H721" s="216" t="s">
        <v>193</v>
      </c>
      <c r="I721" s="216" t="s">
        <v>194</v>
      </c>
      <c r="J721" s="216" t="s">
        <v>195</v>
      </c>
      <c r="K721" s="216" t="s">
        <v>196</v>
      </c>
      <c r="L721" s="216" t="s">
        <v>197</v>
      </c>
      <c r="M721" s="217">
        <v>1</v>
      </c>
      <c r="N721" s="442">
        <f>IFERROR(SUM(O703:$O$720)*0.08,0)</f>
        <v>435897.87064894411</v>
      </c>
      <c r="O721" s="442">
        <f t="shared" si="183"/>
        <v>435897.87064894411</v>
      </c>
      <c r="P721" s="216" t="str">
        <f t="shared" si="179"/>
        <v>Palma_Aceite Hibrido (OxG)</v>
      </c>
      <c r="Q721" s="212" t="s">
        <v>142</v>
      </c>
      <c r="R721" s="212" t="s">
        <v>142</v>
      </c>
      <c r="S721" s="212"/>
      <c r="T721" s="212"/>
      <c r="U721" s="212"/>
      <c r="V721" s="212" t="s">
        <v>142</v>
      </c>
      <c r="W721" s="212" t="str">
        <f t="shared" si="178"/>
        <v/>
      </c>
      <c r="X721" s="214"/>
    </row>
    <row r="722" spans="1:24" ht="15">
      <c r="A722" s="211" t="s">
        <v>3774</v>
      </c>
      <c r="B722" s="225" t="s">
        <v>301</v>
      </c>
      <c r="C722" s="216" t="s">
        <v>53</v>
      </c>
      <c r="D722" s="216" t="s">
        <v>189</v>
      </c>
      <c r="E722" s="216" t="s">
        <v>190</v>
      </c>
      <c r="F722" s="216" t="s">
        <v>198</v>
      </c>
      <c r="G722" s="216" t="s">
        <v>199</v>
      </c>
      <c r="H722" s="216" t="s">
        <v>200</v>
      </c>
      <c r="I722" s="216" t="s">
        <v>201</v>
      </c>
      <c r="J722" s="216" t="s">
        <v>105</v>
      </c>
      <c r="K722" s="216" t="s">
        <v>202</v>
      </c>
      <c r="L722" s="216" t="s">
        <v>203</v>
      </c>
      <c r="M722" s="217">
        <v>1</v>
      </c>
      <c r="N722" s="442" cm="1">
        <f t="array" ref="N722">IF(TRIM(K722)="Mano de Obra",IF(Formulario!$L$23&lt;&gt;"",Formulario!$L$23,IFERROR(VLOOKUP(TRIM($M$4),Jornalesdeppto!A:C,3,0),"")),_xlfn.XLOOKUP(1,(Tabla_Costos_Insumos!$A$2:$A$3199=TRIM($M$4))*(Tabla_Costos_Insumos!$C$2:$C$3199=TRIM(K722)),Tabla_Costos_Insumos!$E$2:$E$3199,"",0))</f>
        <v>120000</v>
      </c>
      <c r="O722" s="442">
        <f t="shared" si="183"/>
        <v>120000</v>
      </c>
      <c r="P722" s="216" t="str">
        <f t="shared" si="179"/>
        <v>Palma_Aceite Hibrido (OxG)</v>
      </c>
      <c r="Q722" s="212" t="s">
        <v>142</v>
      </c>
      <c r="R722" s="212" t="s">
        <v>142</v>
      </c>
      <c r="S722" s="212"/>
      <c r="T722" s="212"/>
      <c r="U722" s="212"/>
      <c r="V722" s="212" t="s">
        <v>142</v>
      </c>
      <c r="W722" s="212" t="str">
        <f t="shared" si="178"/>
        <v/>
      </c>
      <c r="X722" s="214"/>
    </row>
    <row r="723" spans="1:24" ht="15">
      <c r="A723" s="211" t="s">
        <v>3774</v>
      </c>
      <c r="B723" s="225" t="s">
        <v>301</v>
      </c>
      <c r="C723" s="216" t="s">
        <v>53</v>
      </c>
      <c r="D723" s="216" t="s">
        <v>189</v>
      </c>
      <c r="E723" s="216" t="s">
        <v>190</v>
      </c>
      <c r="F723" s="216" t="s">
        <v>204</v>
      </c>
      <c r="G723" s="216" t="s">
        <v>205</v>
      </c>
      <c r="H723" s="216" t="s">
        <v>206</v>
      </c>
      <c r="I723" s="216" t="s">
        <v>207</v>
      </c>
      <c r="J723" s="216" t="s">
        <v>4127</v>
      </c>
      <c r="K723" s="216" t="s">
        <v>228</v>
      </c>
      <c r="L723" s="216" t="s">
        <v>197</v>
      </c>
      <c r="M723" s="217">
        <v>1</v>
      </c>
      <c r="N723" s="442" t="str">
        <f>IF($M$3="Palma_Aceite Hibrido (OxG)",($J$4),"")</f>
        <v/>
      </c>
      <c r="O723" s="442" t="str">
        <f t="shared" si="183"/>
        <v/>
      </c>
      <c r="P723" s="216" t="str">
        <f t="shared" si="179"/>
        <v>Palma_Aceite Hibrido (OxG)</v>
      </c>
      <c r="Q723" s="212" t="s">
        <v>142</v>
      </c>
      <c r="R723" s="212" t="s">
        <v>142</v>
      </c>
      <c r="S723" s="212"/>
      <c r="T723" s="212"/>
      <c r="U723" s="212"/>
      <c r="V723" s="212" t="s">
        <v>142</v>
      </c>
      <c r="W723" s="212" t="str">
        <f t="shared" si="178"/>
        <v/>
      </c>
      <c r="X723" s="214"/>
    </row>
    <row r="724" spans="1:24" ht="15">
      <c r="A724" s="211" t="s">
        <v>3774</v>
      </c>
      <c r="B724" s="225" t="s">
        <v>301</v>
      </c>
      <c r="C724" s="220" t="s">
        <v>68</v>
      </c>
      <c r="D724" s="220" t="s">
        <v>99</v>
      </c>
      <c r="E724" s="220" t="s">
        <v>100</v>
      </c>
      <c r="F724" s="220" t="s">
        <v>101</v>
      </c>
      <c r="G724" s="220" t="s">
        <v>102</v>
      </c>
      <c r="H724" s="220" t="s">
        <v>209</v>
      </c>
      <c r="I724" s="220" t="s">
        <v>210</v>
      </c>
      <c r="J724" s="220" t="s">
        <v>105</v>
      </c>
      <c r="K724" s="220" t="s">
        <v>106</v>
      </c>
      <c r="L724" s="220" t="s">
        <v>107</v>
      </c>
      <c r="M724" s="221">
        <f t="shared" ref="M724:M733" si="184">IF(W724&lt;&gt;"", W724, ROUNDUP(X724*T724, 0))</f>
        <v>4</v>
      </c>
      <c r="N724" s="443" cm="1">
        <f t="array" ref="N724">IF(TRIM(K724)="Mano de Obra",IF(Formulario!$L$23&lt;&gt;"",Formulario!$L$23,IFERROR(VLOOKUP(TRIM($M$4),Jornalesdeppto!A:C,3,0),"")),_xlfn.XLOOKUP(1,(Tabla_Costos_Insumos!$A$2:$A$3199=TRIM($M$4))*(Tabla_Costos_Insumos!$C$2:$C$3199=TRIM(K724)),Tabla_Costos_Insumos!$E$2:$E$3199,"",0))</f>
        <v>46666.666666666664</v>
      </c>
      <c r="O724" s="443">
        <f t="shared" si="183"/>
        <v>186666.66666666666</v>
      </c>
      <c r="P724" s="220" t="str">
        <f t="shared" si="179"/>
        <v>Palma_Aceite Hibrido (OxG)</v>
      </c>
      <c r="Q724" s="212" t="s">
        <v>211</v>
      </c>
      <c r="R724" s="212">
        <v>5</v>
      </c>
      <c r="S724" s="212"/>
      <c r="T724" s="212" cm="1">
        <f t="array" ref="T724">_xlfn.IFS($D$5&lt;=7, 1.1, $D$5&lt;=12,1.2, $D$5&lt;=25, 1.3, $D$5&gt;25,1.4)</f>
        <v>1.3</v>
      </c>
      <c r="U724" s="212"/>
      <c r="V724" s="212">
        <v>0</v>
      </c>
      <c r="W724" s="212"/>
      <c r="X724" s="214">
        <v>3</v>
      </c>
    </row>
    <row r="725" spans="1:24" ht="15">
      <c r="A725" s="211" t="s">
        <v>3774</v>
      </c>
      <c r="B725" s="225" t="s">
        <v>301</v>
      </c>
      <c r="C725" s="220" t="s">
        <v>68</v>
      </c>
      <c r="D725" s="220" t="s">
        <v>99</v>
      </c>
      <c r="E725" s="220" t="s">
        <v>100</v>
      </c>
      <c r="F725" s="220" t="s">
        <v>109</v>
      </c>
      <c r="G725" s="220" t="s">
        <v>110</v>
      </c>
      <c r="H725" s="220" t="s">
        <v>234</v>
      </c>
      <c r="I725" s="220" t="s">
        <v>235</v>
      </c>
      <c r="J725" s="220" t="s">
        <v>105</v>
      </c>
      <c r="K725" s="220" t="s">
        <v>106</v>
      </c>
      <c r="L725" s="220" t="s">
        <v>107</v>
      </c>
      <c r="M725" s="221">
        <f t="shared" si="184"/>
        <v>6</v>
      </c>
      <c r="N725" s="443" cm="1">
        <f t="array" ref="N725">IF(TRIM(K725)="Mano de Obra",IF(Formulario!$L$23&lt;&gt;"",Formulario!$L$23,IFERROR(VLOOKUP(TRIM($M$4),Jornalesdeppto!A:C,3,0),"")),_xlfn.XLOOKUP(1,(Tabla_Costos_Insumos!$A$2:$A$3199=TRIM($M$4))*(Tabla_Costos_Insumos!$C$2:$C$3199=TRIM(K725)),Tabla_Costos_Insumos!$E$2:$E$3199,"",0))</f>
        <v>46666.666666666664</v>
      </c>
      <c r="O725" s="443">
        <f t="shared" si="183"/>
        <v>280000</v>
      </c>
      <c r="P725" s="220" t="str">
        <f t="shared" si="179"/>
        <v>Palma_Aceite Hibrido (OxG)</v>
      </c>
      <c r="Q725" s="212" t="s">
        <v>108</v>
      </c>
      <c r="R725" s="212">
        <v>1</v>
      </c>
      <c r="S725" s="212" t="str">
        <f t="shared" ref="S725:S726" si="185">IF($M$3="Palma_Aceite Hibrido (OxG)",($I$3*R725) / 480,"")</f>
        <v/>
      </c>
      <c r="T725" s="212" cm="1">
        <f t="array" ref="T725">_xlfn.IFS($D$5&lt;=7, 1.1, $D$5&lt;=12,1.2, $D$5&lt;=25, 1.3, $D$5&gt;25,1.4)</f>
        <v>1.3</v>
      </c>
      <c r="U725" s="212" t="str">
        <f t="shared" ref="U725:U726" si="186">IFERROR(S725*T725,"")</f>
        <v/>
      </c>
      <c r="V725" s="212">
        <v>4</v>
      </c>
      <c r="W725" s="212" t="str">
        <f t="shared" si="178"/>
        <v/>
      </c>
      <c r="X725" s="214">
        <v>4</v>
      </c>
    </row>
    <row r="726" spans="1:24" ht="15">
      <c r="A726" s="211" t="s">
        <v>3774</v>
      </c>
      <c r="B726" s="225" t="s">
        <v>301</v>
      </c>
      <c r="C726" s="220" t="s">
        <v>68</v>
      </c>
      <c r="D726" s="220" t="s">
        <v>99</v>
      </c>
      <c r="E726" s="220" t="s">
        <v>100</v>
      </c>
      <c r="F726" s="220" t="s">
        <v>113</v>
      </c>
      <c r="G726" s="220" t="s">
        <v>114</v>
      </c>
      <c r="H726" s="220" t="s">
        <v>115</v>
      </c>
      <c r="I726" s="220" t="s">
        <v>116</v>
      </c>
      <c r="J726" s="220" t="s">
        <v>105</v>
      </c>
      <c r="K726" s="220" t="s">
        <v>106</v>
      </c>
      <c r="L726" s="220" t="s">
        <v>107</v>
      </c>
      <c r="M726" s="221">
        <f t="shared" si="184"/>
        <v>8</v>
      </c>
      <c r="N726" s="443" cm="1">
        <f t="array" ref="N726">IF(TRIM(K726)="Mano de Obra",IF(Formulario!$L$23&lt;&gt;"",Formulario!$L$23,IFERROR(VLOOKUP(TRIM($M$4),Jornalesdeppto!A:C,3,0),"")),_xlfn.XLOOKUP(1,(Tabla_Costos_Insumos!$A$2:$A$3199=TRIM($M$4))*(Tabla_Costos_Insumos!$C$2:$C$3199=TRIM(K726)),Tabla_Costos_Insumos!$E$2:$E$3199,"",0))</f>
        <v>46666.666666666664</v>
      </c>
      <c r="O726" s="443">
        <f t="shared" si="183"/>
        <v>373333.33333333331</v>
      </c>
      <c r="P726" s="220" t="str">
        <f t="shared" si="179"/>
        <v>Palma_Aceite Hibrido (OxG)</v>
      </c>
      <c r="Q726" s="212" t="s">
        <v>108</v>
      </c>
      <c r="R726" s="212">
        <v>3</v>
      </c>
      <c r="S726" s="212" t="str">
        <f t="shared" si="185"/>
        <v/>
      </c>
      <c r="T726" s="212" cm="1">
        <f t="array" ref="T726">_xlfn.IFS($D$5&lt;=7, 1.1, $D$5&lt;=12,1.2, $D$5&lt;=25, 1.3, $D$5&gt;25,1.4)</f>
        <v>1.3</v>
      </c>
      <c r="U726" s="212" t="str">
        <f t="shared" si="186"/>
        <v/>
      </c>
      <c r="V726" s="212">
        <v>2</v>
      </c>
      <c r="W726" s="212" t="str">
        <f t="shared" si="178"/>
        <v/>
      </c>
      <c r="X726" s="214">
        <v>6</v>
      </c>
    </row>
    <row r="727" spans="1:24" ht="15">
      <c r="A727" s="211" t="s">
        <v>3774</v>
      </c>
      <c r="B727" s="225" t="s">
        <v>301</v>
      </c>
      <c r="C727" s="220" t="s">
        <v>68</v>
      </c>
      <c r="D727" s="220" t="s">
        <v>99</v>
      </c>
      <c r="E727" s="220" t="s">
        <v>100</v>
      </c>
      <c r="F727" s="220" t="s">
        <v>113</v>
      </c>
      <c r="G727" s="220" t="s">
        <v>114</v>
      </c>
      <c r="H727" s="220" t="s">
        <v>303</v>
      </c>
      <c r="I727" s="220" t="s">
        <v>20</v>
      </c>
      <c r="J727" s="220" t="s">
        <v>105</v>
      </c>
      <c r="K727" s="220" t="s">
        <v>304</v>
      </c>
      <c r="L727" s="220" t="s">
        <v>188</v>
      </c>
      <c r="M727" s="221">
        <f t="shared" si="184"/>
        <v>0</v>
      </c>
      <c r="N727" s="443" cm="1">
        <f t="array" ref="N727">IF(TRIM(K727)="Mano de Obra",IF(Formulario!$L$23&lt;&gt;"",Formulario!$L$23,IFERROR(VLOOKUP(TRIM($M$4),Jornalesdeppto!A:C,3,0),"")),_xlfn.XLOOKUP(1,(Tabla_Costos_Insumos!$A$2:$A$3199=TRIM($M$4))*(Tabla_Costos_Insumos!$C$2:$C$3199=TRIM(K727)),Tabla_Costos_Insumos!$E$2:$E$3199,"",0))</f>
        <v>180000</v>
      </c>
      <c r="O727" s="443">
        <f t="shared" si="183"/>
        <v>0</v>
      </c>
      <c r="P727" s="220" t="str">
        <f t="shared" si="179"/>
        <v>Palma_Aceite Hibrido (OxG)</v>
      </c>
      <c r="Q727" s="212" t="s">
        <v>108</v>
      </c>
      <c r="R727" s="212">
        <v>0.5</v>
      </c>
      <c r="S727" s="212"/>
      <c r="T727" s="212" cm="1">
        <f t="array" ref="T727">_xlfn.IFS($D$5&lt;=7, 1.1, $D$5&lt;=12,1.2, $D$5&lt;=25, 1.3, $D$5&gt;25,1.4)</f>
        <v>1.3</v>
      </c>
      <c r="U727" s="212"/>
      <c r="V727" s="212">
        <v>0</v>
      </c>
      <c r="W727" s="212"/>
      <c r="X727" s="214"/>
    </row>
    <row r="728" spans="1:24" ht="15">
      <c r="A728" s="211" t="s">
        <v>3774</v>
      </c>
      <c r="B728" s="225" t="s">
        <v>301</v>
      </c>
      <c r="C728" s="220" t="s">
        <v>68</v>
      </c>
      <c r="D728" s="220" t="s">
        <v>99</v>
      </c>
      <c r="E728" s="220" t="s">
        <v>100</v>
      </c>
      <c r="F728" s="220" t="s">
        <v>117</v>
      </c>
      <c r="G728" s="220" t="s">
        <v>118</v>
      </c>
      <c r="H728" s="220" t="s">
        <v>119</v>
      </c>
      <c r="I728" s="220" t="s">
        <v>120</v>
      </c>
      <c r="J728" s="220" t="s">
        <v>105</v>
      </c>
      <c r="K728" s="220" t="s">
        <v>106</v>
      </c>
      <c r="L728" s="220" t="s">
        <v>107</v>
      </c>
      <c r="M728" s="221">
        <f t="shared" si="184"/>
        <v>6</v>
      </c>
      <c r="N728" s="443" cm="1">
        <f t="array" ref="N728">IF(TRIM(K728)="Mano de Obra",IF(Formulario!$L$23&lt;&gt;"",Formulario!$L$23,IFERROR(VLOOKUP(TRIM($M$4),Jornalesdeppto!A:C,3,0),"")),_xlfn.XLOOKUP(1,(Tabla_Costos_Insumos!$A$2:$A$3199=TRIM($M$4))*(Tabla_Costos_Insumos!$C$2:$C$3199=TRIM(K728)),Tabla_Costos_Insumos!$E$2:$E$3199,"",0))</f>
        <v>46666.666666666664</v>
      </c>
      <c r="O728" s="443">
        <f t="shared" si="183"/>
        <v>280000</v>
      </c>
      <c r="P728" s="220" t="str">
        <f t="shared" si="179"/>
        <v>Palma_Aceite Hibrido (OxG)</v>
      </c>
      <c r="Q728" s="212" t="s">
        <v>108</v>
      </c>
      <c r="R728" s="212">
        <v>7</v>
      </c>
      <c r="S728" s="212" t="str">
        <f t="shared" ref="S728:S730" si="187">IF($M$3="Palma_Aceite Hibrido (OxG)",($I$3*R728) / 480,"")</f>
        <v/>
      </c>
      <c r="T728" s="212" cm="1">
        <f t="array" ref="T728">_xlfn.IFS($D$5&lt;=7, 1.1, $D$5&lt;=12,1.2, $D$5&lt;=25, 1.3, $D$5&gt;25,1.4)</f>
        <v>1.3</v>
      </c>
      <c r="U728" s="212" t="str">
        <f t="shared" ref="U728:U730" si="188">IFERROR(S728*T728,"")</f>
        <v/>
      </c>
      <c r="V728" s="212">
        <v>9</v>
      </c>
      <c r="W728" s="212" t="str">
        <f t="shared" si="178"/>
        <v/>
      </c>
      <c r="X728" s="214">
        <v>4</v>
      </c>
    </row>
    <row r="729" spans="1:24" ht="15">
      <c r="A729" s="211" t="s">
        <v>3774</v>
      </c>
      <c r="B729" s="225" t="s">
        <v>301</v>
      </c>
      <c r="C729" s="220" t="s">
        <v>68</v>
      </c>
      <c r="D729" s="220" t="s">
        <v>99</v>
      </c>
      <c r="E729" s="220" t="s">
        <v>100</v>
      </c>
      <c r="F729" s="220" t="s">
        <v>117</v>
      </c>
      <c r="G729" s="220" t="s">
        <v>118</v>
      </c>
      <c r="H729" s="220" t="s">
        <v>121</v>
      </c>
      <c r="I729" s="220" t="s">
        <v>122</v>
      </c>
      <c r="J729" s="220" t="s">
        <v>105</v>
      </c>
      <c r="K729" s="220" t="s">
        <v>106</v>
      </c>
      <c r="L729" s="220" t="s">
        <v>107</v>
      </c>
      <c r="M729" s="221">
        <f t="shared" si="184"/>
        <v>6</v>
      </c>
      <c r="N729" s="443" cm="1">
        <f t="array" ref="N729">IF(TRIM(K729)="Mano de Obra",IF(Formulario!$L$23&lt;&gt;"",Formulario!$L$23,IFERROR(VLOOKUP(TRIM($M$4),Jornalesdeppto!A:C,3,0),"")),_xlfn.XLOOKUP(1,(Tabla_Costos_Insumos!$A$2:$A$3199=TRIM($M$4))*(Tabla_Costos_Insumos!$C$2:$C$3199=TRIM(K729)),Tabla_Costos_Insumos!$E$2:$E$3199,"",0))</f>
        <v>46666.666666666664</v>
      </c>
      <c r="O729" s="443">
        <f t="shared" si="183"/>
        <v>280000</v>
      </c>
      <c r="P729" s="220" t="str">
        <f t="shared" si="179"/>
        <v>Palma_Aceite Hibrido (OxG)</v>
      </c>
      <c r="Q729" s="212" t="s">
        <v>108</v>
      </c>
      <c r="R729" s="212">
        <v>7</v>
      </c>
      <c r="S729" s="212" t="str">
        <f t="shared" si="187"/>
        <v/>
      </c>
      <c r="T729" s="212" cm="1">
        <f t="array" ref="T729">_xlfn.IFS($D$5&lt;=7, 1.1, $D$5&lt;=12,1.2, $D$5&lt;=25, 1.3, $D$5&gt;25,1.4)</f>
        <v>1.3</v>
      </c>
      <c r="U729" s="212" t="str">
        <f t="shared" si="188"/>
        <v/>
      </c>
      <c r="V729" s="212">
        <v>9</v>
      </c>
      <c r="W729" s="212"/>
      <c r="X729" s="214">
        <v>4</v>
      </c>
    </row>
    <row r="730" spans="1:24" ht="15">
      <c r="A730" s="211" t="s">
        <v>3774</v>
      </c>
      <c r="B730" s="225" t="s">
        <v>301</v>
      </c>
      <c r="C730" s="220" t="s">
        <v>68</v>
      </c>
      <c r="D730" s="220" t="s">
        <v>99</v>
      </c>
      <c r="E730" s="220" t="s">
        <v>100</v>
      </c>
      <c r="F730" s="220" t="s">
        <v>123</v>
      </c>
      <c r="G730" s="220" t="s">
        <v>124</v>
      </c>
      <c r="H730" s="220" t="s">
        <v>125</v>
      </c>
      <c r="I730" s="220" t="s">
        <v>126</v>
      </c>
      <c r="J730" s="220" t="s">
        <v>105</v>
      </c>
      <c r="K730" s="220" t="s">
        <v>106</v>
      </c>
      <c r="L730" s="220" t="s">
        <v>107</v>
      </c>
      <c r="M730" s="221">
        <f t="shared" si="184"/>
        <v>2</v>
      </c>
      <c r="N730" s="443" cm="1">
        <f t="array" ref="N730">IF(TRIM(K730)="Mano de Obra",IF(Formulario!$L$23&lt;&gt;"",Formulario!$L$23,IFERROR(VLOOKUP(TRIM($M$4),Jornalesdeppto!A:C,3,0),"")),_xlfn.XLOOKUP(1,(Tabla_Costos_Insumos!$A$2:$A$3199=TRIM($M$4))*(Tabla_Costos_Insumos!$C$2:$C$3199=TRIM(K730)),Tabla_Costos_Insumos!$E$2:$E$3199,"",0))</f>
        <v>46666.666666666664</v>
      </c>
      <c r="O730" s="443">
        <f t="shared" si="183"/>
        <v>93333.333333333328</v>
      </c>
      <c r="P730" s="220" t="str">
        <f t="shared" si="179"/>
        <v>Palma_Aceite Hibrido (OxG)</v>
      </c>
      <c r="Q730" s="212" t="s">
        <v>108</v>
      </c>
      <c r="R730" s="212">
        <v>0.09</v>
      </c>
      <c r="S730" s="212" t="str">
        <f t="shared" si="187"/>
        <v/>
      </c>
      <c r="T730" s="212" cm="1">
        <f t="array" ref="T730">_xlfn.IFS($D$5&lt;=7, 1.1, $D$5&lt;=12,1.2, $D$5&lt;=25, 1.3, $D$5&gt;25,1.4)</f>
        <v>1.3</v>
      </c>
      <c r="U730" s="212" t="str">
        <f t="shared" si="188"/>
        <v/>
      </c>
      <c r="V730" s="212">
        <v>2</v>
      </c>
      <c r="W730" s="212" t="str">
        <f t="shared" si="178"/>
        <v/>
      </c>
      <c r="X730" s="214">
        <v>1</v>
      </c>
    </row>
    <row r="731" spans="1:24" ht="15">
      <c r="A731" s="211" t="s">
        <v>3774</v>
      </c>
      <c r="B731" s="225" t="s">
        <v>301</v>
      </c>
      <c r="C731" s="220" t="s">
        <v>68</v>
      </c>
      <c r="D731" s="220" t="s">
        <v>99</v>
      </c>
      <c r="E731" s="220" t="s">
        <v>100</v>
      </c>
      <c r="F731" s="220" t="s">
        <v>123</v>
      </c>
      <c r="G731" s="220" t="s">
        <v>124</v>
      </c>
      <c r="H731" s="220" t="s">
        <v>128</v>
      </c>
      <c r="I731" s="220" t="s">
        <v>129</v>
      </c>
      <c r="J731" s="220" t="s">
        <v>105</v>
      </c>
      <c r="K731" s="220" t="s">
        <v>106</v>
      </c>
      <c r="L731" s="220" t="s">
        <v>107</v>
      </c>
      <c r="M731" s="221">
        <f t="shared" si="184"/>
        <v>6</v>
      </c>
      <c r="N731" s="443" cm="1">
        <f t="array" ref="N731">IF(TRIM(K731)="Mano de Obra",IF(Formulario!$L$23&lt;&gt;"",Formulario!$L$23,IFERROR(VLOOKUP(TRIM($M$4),Jornalesdeppto!A:C,3,0),"")),_xlfn.XLOOKUP(1,(Tabla_Costos_Insumos!$A$2:$A$3199=TRIM($M$4))*(Tabla_Costos_Insumos!$C$2:$C$3199=TRIM(K731)),Tabla_Costos_Insumos!$E$2:$E$3199,"",0))</f>
        <v>46666.666666666664</v>
      </c>
      <c r="O731" s="443">
        <f t="shared" si="183"/>
        <v>280000</v>
      </c>
      <c r="P731" s="220" t="str">
        <f t="shared" si="179"/>
        <v>Palma_Aceite Hibrido (OxG)</v>
      </c>
      <c r="Q731" s="212" t="s">
        <v>127</v>
      </c>
      <c r="R731" s="212">
        <v>0.09</v>
      </c>
      <c r="S731" s="212">
        <f t="shared" ref="S731" si="189">10000*R731/480</f>
        <v>1.875</v>
      </c>
      <c r="T731" s="212" cm="1">
        <f t="array" ref="T731">_xlfn.IFS($D$5&lt;=7, 1.1, $D$5&lt;=12,1.2, $D$5&lt;=25, 1.3, $D$5&gt;25,1.4)</f>
        <v>1.3</v>
      </c>
      <c r="U731" s="212"/>
      <c r="V731" s="212">
        <v>2</v>
      </c>
      <c r="W731" s="212"/>
      <c r="X731" s="214">
        <v>4</v>
      </c>
    </row>
    <row r="732" spans="1:24" ht="15">
      <c r="A732" s="211" t="s">
        <v>3774</v>
      </c>
      <c r="B732" s="225" t="s">
        <v>301</v>
      </c>
      <c r="C732" s="220" t="s">
        <v>68</v>
      </c>
      <c r="D732" s="220" t="s">
        <v>99</v>
      </c>
      <c r="E732" s="220" t="s">
        <v>100</v>
      </c>
      <c r="F732" s="220" t="s">
        <v>130</v>
      </c>
      <c r="G732" s="220" t="s">
        <v>131</v>
      </c>
      <c r="H732" s="220" t="s">
        <v>132</v>
      </c>
      <c r="I732" s="220" t="s">
        <v>133</v>
      </c>
      <c r="J732" s="220" t="s">
        <v>105</v>
      </c>
      <c r="K732" s="220" t="s">
        <v>106</v>
      </c>
      <c r="L732" s="220" t="s">
        <v>107</v>
      </c>
      <c r="M732" s="221">
        <f t="shared" si="184"/>
        <v>6</v>
      </c>
      <c r="N732" s="443" cm="1">
        <f t="array" ref="N732">IF(TRIM(K732)="Mano de Obra",IF(Formulario!$L$23&lt;&gt;"",Formulario!$L$23,IFERROR(VLOOKUP(TRIM($M$4),Jornalesdeppto!A:C,3,0),"")),_xlfn.XLOOKUP(1,(Tabla_Costos_Insumos!$A$2:$A$3199=TRIM($M$4))*(Tabla_Costos_Insumos!$C$2:$C$3199=TRIM(K732)),Tabla_Costos_Insumos!$E$2:$E$3199,"",0))</f>
        <v>46666.666666666664</v>
      </c>
      <c r="O732" s="443">
        <f t="shared" si="183"/>
        <v>280000</v>
      </c>
      <c r="P732" s="220" t="str">
        <f t="shared" si="179"/>
        <v>Palma_Aceite Hibrido (OxG)</v>
      </c>
      <c r="Q732" s="212" t="s">
        <v>108</v>
      </c>
      <c r="R732" s="212">
        <v>1.5</v>
      </c>
      <c r="S732" s="212" t="str">
        <f t="shared" ref="S732:S733" si="190">IF($M$3="Palma_Aceite Hibrido (OxG)",($I$3*R732) / 480,"")</f>
        <v/>
      </c>
      <c r="T732" s="212" cm="1">
        <f t="array" ref="T732">_xlfn.IFS($D$5&lt;=7, 1.1, $D$5&lt;=12,1.2, $D$5&lt;=25, 1.3, $D$5&gt;25,1.4)</f>
        <v>1.3</v>
      </c>
      <c r="U732" s="212" t="str">
        <f t="shared" ref="U732:U733" si="191">IFERROR(S732*T732,"")</f>
        <v/>
      </c>
      <c r="V732" s="212">
        <v>4</v>
      </c>
      <c r="W732" s="212" t="str">
        <f t="shared" si="178"/>
        <v/>
      </c>
      <c r="X732" s="214">
        <v>4</v>
      </c>
    </row>
    <row r="733" spans="1:24" ht="15">
      <c r="A733" s="211" t="s">
        <v>3774</v>
      </c>
      <c r="B733" s="225" t="s">
        <v>301</v>
      </c>
      <c r="C733" s="220" t="s">
        <v>68</v>
      </c>
      <c r="D733" s="220" t="s">
        <v>99</v>
      </c>
      <c r="E733" s="220" t="s">
        <v>100</v>
      </c>
      <c r="F733" s="220" t="s">
        <v>130</v>
      </c>
      <c r="G733" s="220" t="s">
        <v>131</v>
      </c>
      <c r="H733" s="220" t="s">
        <v>134</v>
      </c>
      <c r="I733" s="220" t="s">
        <v>135</v>
      </c>
      <c r="J733" s="220" t="s">
        <v>105</v>
      </c>
      <c r="K733" s="220" t="s">
        <v>106</v>
      </c>
      <c r="L733" s="220" t="s">
        <v>107</v>
      </c>
      <c r="M733" s="221">
        <f t="shared" si="184"/>
        <v>3</v>
      </c>
      <c r="N733" s="443" cm="1">
        <f t="array" ref="N733">IF(TRIM(K733)="Mano de Obra",IF(Formulario!$L$23&lt;&gt;"",Formulario!$L$23,IFERROR(VLOOKUP(TRIM($M$4),Jornalesdeppto!A:C,3,0),"")),_xlfn.XLOOKUP(1,(Tabla_Costos_Insumos!$A$2:$A$3199=TRIM($M$4))*(Tabla_Costos_Insumos!$C$2:$C$3199=TRIM(K733)),Tabla_Costos_Insumos!$E$2:$E$3199,"",0))</f>
        <v>46666.666666666664</v>
      </c>
      <c r="O733" s="443">
        <f t="shared" si="183"/>
        <v>140000</v>
      </c>
      <c r="P733" s="220" t="str">
        <f t="shared" si="179"/>
        <v>Palma_Aceite Hibrido (OxG)</v>
      </c>
      <c r="Q733" s="212" t="s">
        <v>108</v>
      </c>
      <c r="R733" s="212">
        <v>1.5</v>
      </c>
      <c r="S733" s="212" t="str">
        <f t="shared" si="190"/>
        <v/>
      </c>
      <c r="T733" s="212" cm="1">
        <f t="array" ref="T733">_xlfn.IFS($D$5&lt;=7, 1.1, $D$5&lt;=12,1.2, $D$5&lt;=25, 1.3, $D$5&gt;25,1.4)</f>
        <v>1.3</v>
      </c>
      <c r="U733" s="212" t="str">
        <f t="shared" si="191"/>
        <v/>
      </c>
      <c r="V733" s="212">
        <v>4</v>
      </c>
      <c r="W733" s="212" t="str">
        <f t="shared" si="178"/>
        <v/>
      </c>
      <c r="X733" s="214">
        <v>2</v>
      </c>
    </row>
    <row r="734" spans="1:24" ht="15">
      <c r="A734" s="211" t="s">
        <v>3774</v>
      </c>
      <c r="B734" s="225" t="s">
        <v>301</v>
      </c>
      <c r="C734" s="220" t="s">
        <v>68</v>
      </c>
      <c r="D734" s="220" t="s">
        <v>145</v>
      </c>
      <c r="E734" s="220" t="s">
        <v>146</v>
      </c>
      <c r="F734" s="220" t="s">
        <v>147</v>
      </c>
      <c r="G734" s="220" t="s">
        <v>131</v>
      </c>
      <c r="H734" s="220" t="s">
        <v>148</v>
      </c>
      <c r="I734" s="220" t="s">
        <v>299</v>
      </c>
      <c r="J734" s="220" t="s">
        <v>149</v>
      </c>
      <c r="K734" s="220" t="s">
        <v>150</v>
      </c>
      <c r="L734" s="220" t="s">
        <v>151</v>
      </c>
      <c r="M734" s="221">
        <v>2</v>
      </c>
      <c r="N734" s="443" cm="1">
        <f t="array" ref="N734">IF(TRIM(K734)="Mano de Obra",IF(Formulario!$L$23&lt;&gt;"",Formulario!$L$23,IFERROR(VLOOKUP(TRIM($M$4),Jornalesdeppto!A:C,3,0),"")),_xlfn.XLOOKUP(1,(Tabla_Costos_Insumos!$A$2:$A$3199=TRIM($M$4))*(Tabla_Costos_Insumos!$C$2:$C$3199=TRIM(K734)),Tabla_Costos_Insumos!$E$2:$E$3199,"",0))</f>
        <v>198055.68333333</v>
      </c>
      <c r="O734" s="443">
        <f t="shared" si="183"/>
        <v>396111.36666666</v>
      </c>
      <c r="P734" s="220" t="str">
        <f t="shared" si="179"/>
        <v>Palma_Aceite Hibrido (OxG)</v>
      </c>
      <c r="Q734" s="212" t="s">
        <v>142</v>
      </c>
      <c r="R734" s="212" t="s">
        <v>142</v>
      </c>
      <c r="S734" s="212"/>
      <c r="T734" s="212"/>
      <c r="U734" s="212"/>
      <c r="V734" s="212" t="s">
        <v>142</v>
      </c>
      <c r="W734" s="212" t="str">
        <f t="shared" si="178"/>
        <v/>
      </c>
      <c r="X734" s="214"/>
    </row>
    <row r="735" spans="1:24" ht="15">
      <c r="A735" s="211" t="s">
        <v>3774</v>
      </c>
      <c r="B735" s="225" t="s">
        <v>301</v>
      </c>
      <c r="C735" s="220" t="s">
        <v>68</v>
      </c>
      <c r="D735" s="220" t="s">
        <v>145</v>
      </c>
      <c r="E735" s="220" t="s">
        <v>146</v>
      </c>
      <c r="F735" s="220" t="s">
        <v>147</v>
      </c>
      <c r="G735" s="220" t="s">
        <v>131</v>
      </c>
      <c r="H735" s="220" t="s">
        <v>152</v>
      </c>
      <c r="I735" s="220" t="s">
        <v>153</v>
      </c>
      <c r="J735" s="220" t="s">
        <v>149</v>
      </c>
      <c r="K735" s="220" t="s">
        <v>166</v>
      </c>
      <c r="L735" s="220" t="s">
        <v>151</v>
      </c>
      <c r="M735" s="221">
        <v>10</v>
      </c>
      <c r="N735" s="443" cm="1">
        <f t="array" ref="N735">IF(TRIM(K735)="Mano de Obra",IF(Formulario!$L$23&lt;&gt;"",Formulario!$L$23,IFERROR(VLOOKUP(TRIM($M$4),Jornalesdeppto!A:C,3,0),"")),_xlfn.XLOOKUP(1,(Tabla_Costos_Insumos!$A$2:$A$3199=TRIM($M$4))*(Tabla_Costos_Insumos!$C$2:$C$3199=TRIM(K735)),Tabla_Costos_Insumos!$E$2:$E$3199,"",0))</f>
        <v>110000</v>
      </c>
      <c r="O735" s="443">
        <f t="shared" si="183"/>
        <v>1100000</v>
      </c>
      <c r="P735" s="220" t="str">
        <f t="shared" si="179"/>
        <v>Palma_Aceite Hibrido (OxG)</v>
      </c>
      <c r="Q735" s="212" t="s">
        <v>142</v>
      </c>
      <c r="R735" s="212" t="s">
        <v>142</v>
      </c>
      <c r="S735" s="212"/>
      <c r="T735" s="212"/>
      <c r="U735" s="212"/>
      <c r="V735" s="212" t="s">
        <v>142</v>
      </c>
      <c r="W735" s="212" t="str">
        <f t="shared" si="178"/>
        <v/>
      </c>
      <c r="X735" s="214"/>
    </row>
    <row r="736" spans="1:24" ht="15">
      <c r="A736" s="211" t="s">
        <v>3774</v>
      </c>
      <c r="B736" s="225" t="s">
        <v>301</v>
      </c>
      <c r="C736" s="220" t="s">
        <v>68</v>
      </c>
      <c r="D736" s="220" t="s">
        <v>145</v>
      </c>
      <c r="E736" s="220" t="s">
        <v>146</v>
      </c>
      <c r="F736" s="220" t="s">
        <v>147</v>
      </c>
      <c r="G736" s="220" t="s">
        <v>131</v>
      </c>
      <c r="H736" s="220" t="s">
        <v>154</v>
      </c>
      <c r="I736" s="220" t="s">
        <v>155</v>
      </c>
      <c r="J736" s="220" t="s">
        <v>149</v>
      </c>
      <c r="K736" s="220" t="s">
        <v>156</v>
      </c>
      <c r="L736" s="220" t="s">
        <v>151</v>
      </c>
      <c r="M736" s="221">
        <v>5</v>
      </c>
      <c r="N736" s="443" cm="1">
        <f t="array" ref="N736">IF(TRIM(K736)="Mano de Obra",IF(Formulario!$L$23&lt;&gt;"",Formulario!$L$23,IFERROR(VLOOKUP(TRIM($M$4),Jornalesdeppto!A:C,3,0),"")),_xlfn.XLOOKUP(1,(Tabla_Costos_Insumos!$A$2:$A$3199=TRIM($M$4))*(Tabla_Costos_Insumos!$C$2:$C$3199=TRIM(K736)),Tabla_Costos_Insumos!$E$2:$E$3199,"",0))</f>
        <v>17212.5</v>
      </c>
      <c r="O736" s="443">
        <f t="shared" si="183"/>
        <v>86062.5</v>
      </c>
      <c r="P736" s="220" t="str">
        <f t="shared" si="179"/>
        <v>Palma_Aceite Hibrido (OxG)</v>
      </c>
      <c r="Q736" s="212" t="s">
        <v>142</v>
      </c>
      <c r="R736" s="212" t="s">
        <v>142</v>
      </c>
      <c r="S736" s="212"/>
      <c r="T736" s="212"/>
      <c r="U736" s="212"/>
      <c r="V736" s="212" t="s">
        <v>142</v>
      </c>
      <c r="W736" s="212" t="str">
        <f t="shared" si="178"/>
        <v/>
      </c>
      <c r="X736" s="214"/>
    </row>
    <row r="737" spans="1:24" ht="15">
      <c r="A737" s="211" t="s">
        <v>3774</v>
      </c>
      <c r="B737" s="225" t="s">
        <v>301</v>
      </c>
      <c r="C737" s="220" t="s">
        <v>68</v>
      </c>
      <c r="D737" s="220" t="s">
        <v>145</v>
      </c>
      <c r="E737" s="220" t="s">
        <v>146</v>
      </c>
      <c r="F737" s="220" t="s">
        <v>147</v>
      </c>
      <c r="G737" s="220" t="s">
        <v>131</v>
      </c>
      <c r="H737" s="220" t="s">
        <v>157</v>
      </c>
      <c r="I737" s="220" t="s">
        <v>158</v>
      </c>
      <c r="J737" s="220" t="s">
        <v>149</v>
      </c>
      <c r="K737" s="224" t="s">
        <v>291</v>
      </c>
      <c r="L737" s="220" t="s">
        <v>172</v>
      </c>
      <c r="M737" s="221">
        <v>9</v>
      </c>
      <c r="N737" s="443" cm="1">
        <f t="array" ref="N737">IF(TRIM(K737)="Mano de Obra",IF(Formulario!$L$23&lt;&gt;"",Formulario!$L$23,IFERROR(VLOOKUP(TRIM($M$4),Jornalesdeppto!A:C,3,0),"")),_xlfn.XLOOKUP(1,(Tabla_Costos_Insumos!$A$2:$A$3199=TRIM($M$4))*(Tabla_Costos_Insumos!$C$2:$C$3199=TRIM(K737)),Tabla_Costos_Insumos!$E$2:$E$3199,"",0))</f>
        <v>22086.61</v>
      </c>
      <c r="O737" s="443">
        <f t="shared" si="183"/>
        <v>198779.49</v>
      </c>
      <c r="P737" s="220" t="str">
        <f t="shared" si="179"/>
        <v>Palma_Aceite Hibrido (OxG)</v>
      </c>
      <c r="Q737" s="212" t="s">
        <v>142</v>
      </c>
      <c r="R737" s="212" t="s">
        <v>142</v>
      </c>
      <c r="S737" s="212"/>
      <c r="T737" s="212"/>
      <c r="U737" s="212"/>
      <c r="V737" s="212" t="s">
        <v>142</v>
      </c>
      <c r="W737" s="212" t="str">
        <f t="shared" si="178"/>
        <v/>
      </c>
      <c r="X737" s="214"/>
    </row>
    <row r="738" spans="1:24" ht="15">
      <c r="A738" s="211" t="s">
        <v>3774</v>
      </c>
      <c r="B738" s="225" t="s">
        <v>301</v>
      </c>
      <c r="C738" s="220" t="s">
        <v>68</v>
      </c>
      <c r="D738" s="220" t="s">
        <v>145</v>
      </c>
      <c r="E738" s="220" t="s">
        <v>146</v>
      </c>
      <c r="F738" s="220" t="s">
        <v>147</v>
      </c>
      <c r="G738" s="220" t="s">
        <v>131</v>
      </c>
      <c r="H738" s="220" t="s">
        <v>161</v>
      </c>
      <c r="I738" s="220" t="s">
        <v>162</v>
      </c>
      <c r="J738" s="220" t="s">
        <v>149</v>
      </c>
      <c r="K738" s="220" t="s">
        <v>163</v>
      </c>
      <c r="L738" s="220" t="s">
        <v>164</v>
      </c>
      <c r="M738" s="221">
        <v>2</v>
      </c>
      <c r="N738" s="443" cm="1">
        <f t="array" ref="N738">IF(TRIM(K738)="Mano de Obra",IF(Formulario!$L$23&lt;&gt;"",Formulario!$L$23,IFERROR(VLOOKUP(TRIM($M$4),Jornalesdeppto!A:C,3,0),"")),_xlfn.XLOOKUP(1,(Tabla_Costos_Insumos!$A$2:$A$3199=TRIM($M$4))*(Tabla_Costos_Insumos!$C$2:$C$3199=TRIM(K738)),Tabla_Costos_Insumos!$E$2:$E$3199,"",0))</f>
        <v>128084.44444445</v>
      </c>
      <c r="O738" s="443">
        <f t="shared" si="183"/>
        <v>256168.88888889999</v>
      </c>
      <c r="P738" s="220" t="str">
        <f t="shared" si="179"/>
        <v>Palma_Aceite Hibrido (OxG)</v>
      </c>
      <c r="Q738" s="212" t="s">
        <v>142</v>
      </c>
      <c r="R738" s="212" t="s">
        <v>142</v>
      </c>
      <c r="S738" s="212"/>
      <c r="T738" s="212"/>
      <c r="U738" s="212"/>
      <c r="V738" s="212" t="s">
        <v>142</v>
      </c>
      <c r="W738" s="212" t="str">
        <f t="shared" si="178"/>
        <v/>
      </c>
      <c r="X738" s="214"/>
    </row>
    <row r="739" spans="1:24" ht="15">
      <c r="A739" s="211" t="s">
        <v>3774</v>
      </c>
      <c r="B739" s="225" t="s">
        <v>301</v>
      </c>
      <c r="C739" s="220" t="s">
        <v>68</v>
      </c>
      <c r="D739" s="220" t="s">
        <v>145</v>
      </c>
      <c r="E739" s="220" t="s">
        <v>146</v>
      </c>
      <c r="F739" s="220" t="s">
        <v>147</v>
      </c>
      <c r="G739" s="220" t="s">
        <v>131</v>
      </c>
      <c r="H739" s="220" t="s">
        <v>165</v>
      </c>
      <c r="I739" s="220" t="s">
        <v>153</v>
      </c>
      <c r="J739" s="220" t="s">
        <v>149</v>
      </c>
      <c r="K739" s="220" t="s">
        <v>4110</v>
      </c>
      <c r="L739" s="220" t="s">
        <v>151</v>
      </c>
      <c r="M739" s="221">
        <v>7</v>
      </c>
      <c r="N739" s="443" cm="1">
        <f t="array" ref="N739">IF(TRIM(K739)="Mano de Obra",IF(Formulario!$L$23&lt;&gt;"",Formulario!$L$23,IFERROR(VLOOKUP(TRIM($M$4),Jornalesdeppto!A:C,3,0),"")),_xlfn.XLOOKUP(1,(Tabla_Costos_Insumos!$A$2:$A$3199=TRIM($M$4))*(Tabla_Costos_Insumos!$C$2:$C$3199=TRIM(K739)),Tabla_Costos_Insumos!$E$2:$E$3199,"",0))</f>
        <v>125849.2424242409</v>
      </c>
      <c r="O739" s="443">
        <f t="shared" si="183"/>
        <v>880944.69696968631</v>
      </c>
      <c r="P739" s="220" t="str">
        <f t="shared" si="179"/>
        <v>Palma_Aceite Hibrido (OxG)</v>
      </c>
      <c r="Q739" s="212" t="s">
        <v>142</v>
      </c>
      <c r="R739" s="212" t="s">
        <v>142</v>
      </c>
      <c r="S739" s="212"/>
      <c r="T739" s="212"/>
      <c r="U739" s="212"/>
      <c r="V739" s="212" t="s">
        <v>142</v>
      </c>
      <c r="W739" s="212" t="str">
        <f t="shared" si="178"/>
        <v/>
      </c>
      <c r="X739" s="214"/>
    </row>
    <row r="740" spans="1:24" ht="15">
      <c r="A740" s="211" t="s">
        <v>3774</v>
      </c>
      <c r="B740" s="225" t="s">
        <v>301</v>
      </c>
      <c r="C740" s="220" t="s">
        <v>68</v>
      </c>
      <c r="D740" s="220" t="s">
        <v>145</v>
      </c>
      <c r="E740" s="220" t="s">
        <v>146</v>
      </c>
      <c r="F740" s="220" t="s">
        <v>167</v>
      </c>
      <c r="G740" s="220" t="s">
        <v>118</v>
      </c>
      <c r="H740" s="220" t="s">
        <v>292</v>
      </c>
      <c r="I740" s="220" t="s">
        <v>293</v>
      </c>
      <c r="J740" s="220" t="s">
        <v>249</v>
      </c>
      <c r="K740" s="220" t="s">
        <v>4077</v>
      </c>
      <c r="L740" s="220" t="s">
        <v>294</v>
      </c>
      <c r="M740" s="221">
        <v>6</v>
      </c>
      <c r="N740" s="443" cm="1">
        <f t="array" ref="N740">IF(TRIM(K740)="Mano de Obra",IF(Formulario!$L$23&lt;&gt;"",Formulario!$L$23,IFERROR(VLOOKUP(TRIM($M$4),Jornalesdeppto!A:C,3,0),"")),_xlfn.XLOOKUP(1,(Tabla_Costos_Insumos!$A$2:$A$3199=TRIM($M$4))*(Tabla_Costos_Insumos!$C$2:$C$3199=TRIM(K740)),Tabla_Costos_Insumos!$E$2:$E$3199,"",0))</f>
        <v>36066.666666664285</v>
      </c>
      <c r="O740" s="443">
        <f t="shared" si="183"/>
        <v>216399.99999998571</v>
      </c>
      <c r="P740" s="220" t="str">
        <f t="shared" si="179"/>
        <v>Palma_Aceite Hibrido (OxG)</v>
      </c>
      <c r="Q740" s="212" t="s">
        <v>142</v>
      </c>
      <c r="R740" s="212" t="s">
        <v>142</v>
      </c>
      <c r="S740" s="212"/>
      <c r="T740" s="212"/>
      <c r="U740" s="212"/>
      <c r="V740" s="212" t="s">
        <v>142</v>
      </c>
      <c r="W740" s="212" t="str">
        <f t="shared" si="178"/>
        <v/>
      </c>
      <c r="X740" s="214"/>
    </row>
    <row r="741" spans="1:24" ht="15">
      <c r="A741" s="211" t="s">
        <v>3774</v>
      </c>
      <c r="B741" s="225" t="s">
        <v>301</v>
      </c>
      <c r="C741" s="220" t="s">
        <v>68</v>
      </c>
      <c r="D741" s="220" t="s">
        <v>145</v>
      </c>
      <c r="E741" s="220" t="s">
        <v>146</v>
      </c>
      <c r="F741" s="220" t="s">
        <v>167</v>
      </c>
      <c r="G741" s="220" t="s">
        <v>118</v>
      </c>
      <c r="H741" s="220" t="s">
        <v>168</v>
      </c>
      <c r="I741" s="220" t="s">
        <v>169</v>
      </c>
      <c r="J741" s="220" t="s">
        <v>170</v>
      </c>
      <c r="K741" s="220" t="s">
        <v>295</v>
      </c>
      <c r="L741" s="220" t="s">
        <v>172</v>
      </c>
      <c r="M741" s="221">
        <v>23</v>
      </c>
      <c r="N741" s="443" cm="1">
        <f t="array" ref="N741">IF(TRIM(K741)="Mano de Obra",IF(Formulario!$L$23&lt;&gt;"",Formulario!$L$23,IFERROR(VLOOKUP(TRIM($M$4),Jornalesdeppto!A:C,3,0),"")),_xlfn.XLOOKUP(1,(Tabla_Costos_Insumos!$A$2:$A$3199=TRIM($M$4))*(Tabla_Costos_Insumos!$C$2:$C$3199=TRIM(K741)),Tabla_Costos_Insumos!$E$2:$E$3199,"",0))</f>
        <v>29269.489247313439</v>
      </c>
      <c r="O741" s="443">
        <f t="shared" si="183"/>
        <v>673198.25268820906</v>
      </c>
      <c r="P741" s="220" t="str">
        <f t="shared" si="179"/>
        <v>Palma_Aceite Hibrido (OxG)</v>
      </c>
      <c r="Q741" s="212" t="s">
        <v>142</v>
      </c>
      <c r="R741" s="212" t="s">
        <v>142</v>
      </c>
      <c r="S741" s="212"/>
      <c r="T741" s="212"/>
      <c r="U741" s="212"/>
      <c r="V741" s="212" t="s">
        <v>142</v>
      </c>
      <c r="W741" s="212" t="str">
        <f t="shared" si="178"/>
        <v/>
      </c>
      <c r="X741" s="214"/>
    </row>
    <row r="742" spans="1:24" ht="15">
      <c r="A742" s="211" t="s">
        <v>3774</v>
      </c>
      <c r="B742" s="225" t="s">
        <v>301</v>
      </c>
      <c r="C742" s="220" t="s">
        <v>68</v>
      </c>
      <c r="D742" s="220" t="s">
        <v>145</v>
      </c>
      <c r="E742" s="220" t="s">
        <v>146</v>
      </c>
      <c r="F742" s="220" t="s">
        <v>167</v>
      </c>
      <c r="G742" s="220" t="s">
        <v>118</v>
      </c>
      <c r="H742" s="220" t="s">
        <v>168</v>
      </c>
      <c r="I742" s="220" t="s">
        <v>169</v>
      </c>
      <c r="J742" s="220" t="s">
        <v>170</v>
      </c>
      <c r="K742" s="220" t="s">
        <v>296</v>
      </c>
      <c r="L742" s="220" t="s">
        <v>226</v>
      </c>
      <c r="M742" s="221">
        <v>27</v>
      </c>
      <c r="N742" s="443" cm="1">
        <f t="array" ref="N742">IF(TRIM(K742)="Mano de Obra",IF(Formulario!$L$23&lt;&gt;"",Formulario!$L$23,IFERROR(VLOOKUP(TRIM($M$4),Jornalesdeppto!A:C,3,0),"")),_xlfn.XLOOKUP(1,(Tabla_Costos_Insumos!$A$2:$A$3199=TRIM($M$4))*(Tabla_Costos_Insumos!$C$2:$C$3199=TRIM(K742)),Tabla_Costos_Insumos!$E$2:$E$3199,"",0))</f>
        <v>23167.62</v>
      </c>
      <c r="O742" s="443">
        <f t="shared" si="183"/>
        <v>625525.74</v>
      </c>
      <c r="P742" s="220" t="str">
        <f t="shared" si="179"/>
        <v>Palma_Aceite Hibrido (OxG)</v>
      </c>
      <c r="Q742" s="212" t="s">
        <v>142</v>
      </c>
      <c r="R742" s="212" t="s">
        <v>142</v>
      </c>
      <c r="S742" s="212"/>
      <c r="T742" s="212"/>
      <c r="U742" s="212"/>
      <c r="V742" s="212" t="s">
        <v>142</v>
      </c>
      <c r="W742" s="212" t="str">
        <f t="shared" si="178"/>
        <v/>
      </c>
      <c r="X742" s="214"/>
    </row>
    <row r="743" spans="1:24" ht="15">
      <c r="A743" s="211" t="s">
        <v>3774</v>
      </c>
      <c r="B743" s="225" t="s">
        <v>301</v>
      </c>
      <c r="C743" s="220" t="s">
        <v>68</v>
      </c>
      <c r="D743" s="220" t="s">
        <v>145</v>
      </c>
      <c r="E743" s="220" t="s">
        <v>146</v>
      </c>
      <c r="F743" s="220" t="s">
        <v>167</v>
      </c>
      <c r="G743" s="220" t="s">
        <v>118</v>
      </c>
      <c r="H743" s="220" t="s">
        <v>174</v>
      </c>
      <c r="I743" s="220" t="s">
        <v>175</v>
      </c>
      <c r="J743" s="220" t="s">
        <v>176</v>
      </c>
      <c r="K743" s="220" t="s">
        <v>231</v>
      </c>
      <c r="L743" s="220" t="s">
        <v>172</v>
      </c>
      <c r="M743" s="221">
        <v>24</v>
      </c>
      <c r="N743" s="443" cm="1">
        <f t="array" ref="N743">IF(TRIM(K743)="Mano de Obra",IF(Formulario!$L$23&lt;&gt;"",Formulario!$L$23,IFERROR(VLOOKUP(TRIM($M$4),Jornalesdeppto!A:C,3,0),"")),_xlfn.XLOOKUP(1,(Tabla_Costos_Insumos!$A$2:$A$3199=TRIM($M$4))*(Tabla_Costos_Insumos!$C$2:$C$3199=TRIM(K743)),Tabla_Costos_Insumos!$E$2:$E$3199,"",0))</f>
        <v>23177.15</v>
      </c>
      <c r="O743" s="443">
        <f t="shared" si="183"/>
        <v>556251.60000000009</v>
      </c>
      <c r="P743" s="220" t="str">
        <f t="shared" si="179"/>
        <v>Palma_Aceite Hibrido (OxG)</v>
      </c>
      <c r="Q743" s="212" t="s">
        <v>142</v>
      </c>
      <c r="R743" s="212" t="s">
        <v>142</v>
      </c>
      <c r="S743" s="212"/>
      <c r="T743" s="212"/>
      <c r="U743" s="212"/>
      <c r="V743" s="212" t="s">
        <v>142</v>
      </c>
      <c r="W743" s="212" t="str">
        <f t="shared" si="178"/>
        <v/>
      </c>
      <c r="X743" s="214"/>
    </row>
    <row r="744" spans="1:24" ht="15">
      <c r="A744" s="211" t="s">
        <v>3774</v>
      </c>
      <c r="B744" s="225" t="s">
        <v>301</v>
      </c>
      <c r="C744" s="220" t="s">
        <v>68</v>
      </c>
      <c r="D744" s="220" t="s">
        <v>145</v>
      </c>
      <c r="E744" s="220" t="s">
        <v>146</v>
      </c>
      <c r="F744" s="220" t="s">
        <v>167</v>
      </c>
      <c r="G744" s="220" t="s">
        <v>118</v>
      </c>
      <c r="H744" s="220" t="s">
        <v>178</v>
      </c>
      <c r="I744" s="220" t="s">
        <v>179</v>
      </c>
      <c r="J744" s="220" t="s">
        <v>180</v>
      </c>
      <c r="K744" s="220" t="s">
        <v>305</v>
      </c>
      <c r="L744" s="220" t="s">
        <v>172</v>
      </c>
      <c r="M744" s="221">
        <v>5</v>
      </c>
      <c r="N744" s="443" cm="1">
        <f t="array" ref="N744">IF(TRIM(K744)="Mano de Obra",IF(Formulario!$L$23&lt;&gt;"",Formulario!$L$23,IFERROR(VLOOKUP(TRIM($M$4),Jornalesdeppto!A:C,3,0),"")),_xlfn.XLOOKUP(1,(Tabla_Costos_Insumos!$A$2:$A$3199=TRIM($M$4))*(Tabla_Costos_Insumos!$C$2:$C$3199=TRIM(K744)),Tabla_Costos_Insumos!$E$2:$E$3199,"",0))</f>
        <v>72327.89</v>
      </c>
      <c r="O744" s="443">
        <f t="shared" si="183"/>
        <v>361639.45</v>
      </c>
      <c r="P744" s="220" t="str">
        <f t="shared" si="179"/>
        <v>Palma_Aceite Hibrido (OxG)</v>
      </c>
      <c r="Q744" s="212" t="s">
        <v>142</v>
      </c>
      <c r="R744" s="212" t="s">
        <v>142</v>
      </c>
      <c r="S744" s="212"/>
      <c r="T744" s="212"/>
      <c r="U744" s="212"/>
      <c r="V744" s="212" t="s">
        <v>142</v>
      </c>
      <c r="W744" s="212" t="str">
        <f t="shared" si="178"/>
        <v/>
      </c>
      <c r="X744" s="214"/>
    </row>
    <row r="745" spans="1:24" ht="15">
      <c r="A745" s="211" t="s">
        <v>3774</v>
      </c>
      <c r="B745" s="225" t="s">
        <v>301</v>
      </c>
      <c r="C745" s="220" t="s">
        <v>68</v>
      </c>
      <c r="D745" s="220" t="s">
        <v>145</v>
      </c>
      <c r="E745" s="220" t="s">
        <v>146</v>
      </c>
      <c r="F745" s="220" t="s">
        <v>167</v>
      </c>
      <c r="G745" s="220" t="s">
        <v>118</v>
      </c>
      <c r="H745" s="220" t="s">
        <v>178</v>
      </c>
      <c r="I745" s="220" t="s">
        <v>179</v>
      </c>
      <c r="J745" s="220" t="s">
        <v>180</v>
      </c>
      <c r="K745" s="220" t="s">
        <v>263</v>
      </c>
      <c r="L745" s="220" t="s">
        <v>172</v>
      </c>
      <c r="M745" s="221">
        <v>5</v>
      </c>
      <c r="N745" s="443" cm="1">
        <f t="array" ref="N745">IF(TRIM(K745)="Mano de Obra",IF(Formulario!$L$23&lt;&gt;"",Formulario!$L$23,IFERROR(VLOOKUP(TRIM($M$4),Jornalesdeppto!A:C,3,0),"")),_xlfn.XLOOKUP(1,(Tabla_Costos_Insumos!$A$2:$A$3199=TRIM($M$4))*(Tabla_Costos_Insumos!$C$2:$C$3199=TRIM(K745)),Tabla_Costos_Insumos!$E$2:$E$3199,"",0))</f>
        <v>210423.61</v>
      </c>
      <c r="O745" s="443">
        <f t="shared" si="183"/>
        <v>1052118.0499999998</v>
      </c>
      <c r="P745" s="220" t="str">
        <f t="shared" si="179"/>
        <v>Palma_Aceite Hibrido (OxG)</v>
      </c>
      <c r="Q745" s="212" t="s">
        <v>142</v>
      </c>
      <c r="R745" s="212" t="s">
        <v>142</v>
      </c>
      <c r="S745" s="212"/>
      <c r="T745" s="212"/>
      <c r="U745" s="212"/>
      <c r="V745" s="212" t="s">
        <v>142</v>
      </c>
      <c r="W745" s="212" t="str">
        <f t="shared" si="178"/>
        <v/>
      </c>
      <c r="X745" s="214"/>
    </row>
    <row r="746" spans="1:24" ht="15">
      <c r="A746" s="211" t="s">
        <v>3774</v>
      </c>
      <c r="B746" s="225" t="s">
        <v>301</v>
      </c>
      <c r="C746" s="220" t="s">
        <v>68</v>
      </c>
      <c r="D746" s="220" t="s">
        <v>145</v>
      </c>
      <c r="E746" s="220" t="s">
        <v>146</v>
      </c>
      <c r="F746" s="220" t="s">
        <v>183</v>
      </c>
      <c r="G746" s="220" t="s">
        <v>184</v>
      </c>
      <c r="H746" s="220" t="s">
        <v>185</v>
      </c>
      <c r="I746" s="220" t="s">
        <v>186</v>
      </c>
      <c r="J746" s="220" t="s">
        <v>105</v>
      </c>
      <c r="K746" s="220" t="s">
        <v>187</v>
      </c>
      <c r="L746" s="220" t="s">
        <v>188</v>
      </c>
      <c r="M746" s="221">
        <v>0.1</v>
      </c>
      <c r="N746" s="443" cm="1">
        <f t="array" ref="N746">IF(TRIM(K746)="Mano de Obra",IF(Formulario!$L$23&lt;&gt;"",Formulario!$L$23,IFERROR(VLOOKUP(TRIM($M$4),Jornalesdeppto!A:C,3,0),"")),_xlfn.XLOOKUP(1,(Tabla_Costos_Insumos!$A$2:$A$3199=TRIM($M$4))*(Tabla_Costos_Insumos!$C$2:$C$3199=TRIM(K746)),Tabla_Costos_Insumos!$E$2:$E$3199,"",0))</f>
        <v>175000</v>
      </c>
      <c r="O746" s="443">
        <f t="shared" si="183"/>
        <v>17500</v>
      </c>
      <c r="P746" s="220" t="str">
        <f t="shared" si="179"/>
        <v>Palma_Aceite Hibrido (OxG)</v>
      </c>
      <c r="Q746" s="212" t="s">
        <v>142</v>
      </c>
      <c r="R746" s="212" t="s">
        <v>142</v>
      </c>
      <c r="S746" s="212"/>
      <c r="T746" s="212"/>
      <c r="U746" s="212"/>
      <c r="V746" s="212" t="s">
        <v>142</v>
      </c>
      <c r="W746" s="212" t="str">
        <f t="shared" si="178"/>
        <v/>
      </c>
      <c r="X746" s="214"/>
    </row>
    <row r="747" spans="1:24" ht="15">
      <c r="A747" s="211" t="s">
        <v>3774</v>
      </c>
      <c r="B747" s="225" t="s">
        <v>301</v>
      </c>
      <c r="C747" s="220" t="s">
        <v>68</v>
      </c>
      <c r="D747" s="220" t="s">
        <v>189</v>
      </c>
      <c r="E747" s="220" t="s">
        <v>190</v>
      </c>
      <c r="F747" s="220" t="s">
        <v>191</v>
      </c>
      <c r="G747" s="220" t="s">
        <v>192</v>
      </c>
      <c r="H747" s="220" t="s">
        <v>193</v>
      </c>
      <c r="I747" s="220" t="s">
        <v>194</v>
      </c>
      <c r="J747" s="220" t="s">
        <v>195</v>
      </c>
      <c r="K747" s="220" t="s">
        <v>196</v>
      </c>
      <c r="L747" s="220" t="s">
        <v>197</v>
      </c>
      <c r="M747" s="221">
        <v>1</v>
      </c>
      <c r="N747" s="443">
        <f>IFERROR(SUM(O729:$O$746)*0.08,0)</f>
        <v>599522.66948374198</v>
      </c>
      <c r="O747" s="443">
        <f t="shared" si="183"/>
        <v>599522.66948374198</v>
      </c>
      <c r="P747" s="220" t="str">
        <f t="shared" si="179"/>
        <v>Palma_Aceite Hibrido (OxG)</v>
      </c>
      <c r="Q747" s="212" t="s">
        <v>142</v>
      </c>
      <c r="R747" s="212" t="s">
        <v>142</v>
      </c>
      <c r="S747" s="212"/>
      <c r="T747" s="212"/>
      <c r="U747" s="212"/>
      <c r="V747" s="212" t="s">
        <v>142</v>
      </c>
      <c r="W747" s="212" t="str">
        <f t="shared" si="178"/>
        <v/>
      </c>
      <c r="X747" s="214"/>
    </row>
    <row r="748" spans="1:24" ht="15">
      <c r="A748" s="211" t="s">
        <v>3774</v>
      </c>
      <c r="B748" s="225" t="s">
        <v>301</v>
      </c>
      <c r="C748" s="220" t="s">
        <v>68</v>
      </c>
      <c r="D748" s="220" t="s">
        <v>189</v>
      </c>
      <c r="E748" s="220" t="s">
        <v>190</v>
      </c>
      <c r="F748" s="220" t="s">
        <v>198</v>
      </c>
      <c r="G748" s="220" t="s">
        <v>199</v>
      </c>
      <c r="H748" s="220" t="s">
        <v>200</v>
      </c>
      <c r="I748" s="220" t="s">
        <v>201</v>
      </c>
      <c r="J748" s="220" t="s">
        <v>105</v>
      </c>
      <c r="K748" s="220" t="s">
        <v>202</v>
      </c>
      <c r="L748" s="220" t="s">
        <v>203</v>
      </c>
      <c r="M748" s="221">
        <v>1</v>
      </c>
      <c r="N748" s="443" cm="1">
        <f t="array" ref="N748">IF(TRIM(K748)="Mano de Obra",IF(Formulario!$L$23&lt;&gt;"",Formulario!$L$23,IFERROR(VLOOKUP(TRIM($M$4),Jornalesdeppto!A:C,3,0),"")),_xlfn.XLOOKUP(1,(Tabla_Costos_Insumos!$A$2:$A$3199=TRIM($M$4))*(Tabla_Costos_Insumos!$C$2:$C$3199=TRIM(K748)),Tabla_Costos_Insumos!$E$2:$E$3199,"",0))</f>
        <v>120000</v>
      </c>
      <c r="O748" s="443">
        <f t="shared" si="183"/>
        <v>120000</v>
      </c>
      <c r="P748" s="220" t="str">
        <f t="shared" si="179"/>
        <v>Palma_Aceite Hibrido (OxG)</v>
      </c>
      <c r="Q748" s="212" t="s">
        <v>142</v>
      </c>
      <c r="R748" s="212" t="s">
        <v>142</v>
      </c>
      <c r="S748" s="212"/>
      <c r="T748" s="212"/>
      <c r="U748" s="212"/>
      <c r="V748" s="212" t="s">
        <v>142</v>
      </c>
      <c r="W748" s="212" t="str">
        <f t="shared" ref="W748:W811" si="192">IFERROR(ROUNDUP(V748*U748,0),"")</f>
        <v/>
      </c>
      <c r="X748" s="214"/>
    </row>
    <row r="749" spans="1:24" ht="15">
      <c r="A749" s="211" t="s">
        <v>3774</v>
      </c>
      <c r="B749" s="225" t="s">
        <v>301</v>
      </c>
      <c r="C749" s="220" t="s">
        <v>68</v>
      </c>
      <c r="D749" s="220" t="s">
        <v>189</v>
      </c>
      <c r="E749" s="220" t="s">
        <v>190</v>
      </c>
      <c r="F749" s="220" t="s">
        <v>204</v>
      </c>
      <c r="G749" s="220" t="s">
        <v>205</v>
      </c>
      <c r="H749" s="220" t="s">
        <v>206</v>
      </c>
      <c r="I749" s="220" t="s">
        <v>207</v>
      </c>
      <c r="J749" s="220" t="s">
        <v>4127</v>
      </c>
      <c r="K749" s="220" t="s">
        <v>228</v>
      </c>
      <c r="L749" s="220" t="s">
        <v>197</v>
      </c>
      <c r="M749" s="221">
        <v>1</v>
      </c>
      <c r="N749" s="443" t="str">
        <f>IF($M$3="Palma_Aceite Hibrido (OxG)",($J$4),"")</f>
        <v/>
      </c>
      <c r="O749" s="443" t="str">
        <f t="shared" si="183"/>
        <v/>
      </c>
      <c r="P749" s="220" t="str">
        <f t="shared" si="179"/>
        <v>Palma_Aceite Hibrido (OxG)</v>
      </c>
      <c r="Q749" s="212" t="s">
        <v>142</v>
      </c>
      <c r="R749" s="212" t="s">
        <v>142</v>
      </c>
      <c r="S749" s="212"/>
      <c r="T749" s="212"/>
      <c r="U749" s="212"/>
      <c r="V749" s="212" t="s">
        <v>142</v>
      </c>
      <c r="W749" s="212" t="str">
        <f t="shared" si="192"/>
        <v/>
      </c>
      <c r="X749" s="214"/>
    </row>
    <row r="750" spans="1:24" ht="15">
      <c r="A750" s="211" t="s">
        <v>3774</v>
      </c>
      <c r="B750" s="225" t="s">
        <v>301</v>
      </c>
      <c r="C750" s="212" t="s">
        <v>69</v>
      </c>
      <c r="D750" s="212" t="s">
        <v>99</v>
      </c>
      <c r="E750" s="212" t="s">
        <v>100</v>
      </c>
      <c r="F750" s="212" t="s">
        <v>101</v>
      </c>
      <c r="G750" s="212" t="s">
        <v>102</v>
      </c>
      <c r="H750" s="212" t="s">
        <v>209</v>
      </c>
      <c r="I750" s="212" t="s">
        <v>210</v>
      </c>
      <c r="J750" s="212" t="s">
        <v>105</v>
      </c>
      <c r="K750" s="212" t="s">
        <v>106</v>
      </c>
      <c r="L750" s="212" t="s">
        <v>107</v>
      </c>
      <c r="M750" s="213">
        <f>IF(W750&lt;&gt;"", W750, ROUNDUP(X750*T750, 0))</f>
        <v>4</v>
      </c>
      <c r="N750" s="441" cm="1">
        <f t="array" ref="N750">IF(TRIM(K750)="Mano de Obra",IF(Formulario!$L$23&lt;&gt;"",Formulario!$L$23,IFERROR(VLOOKUP(TRIM($M$4),Jornalesdeppto!A:C,3,0),"")),_xlfn.XLOOKUP(1,(Tabla_Costos_Insumos!$A$2:$A$3199=TRIM($M$4))*(Tabla_Costos_Insumos!$C$2:$C$3199=TRIM(K750)),Tabla_Costos_Insumos!$E$2:$E$3199,"",0))</f>
        <v>46666.666666666664</v>
      </c>
      <c r="O750" s="441">
        <f t="shared" si="183"/>
        <v>186666.66666666666</v>
      </c>
      <c r="P750" s="212" t="str">
        <f t="shared" si="179"/>
        <v>Palma_Aceite Hibrido (OxG)</v>
      </c>
      <c r="Q750" s="212" t="s">
        <v>211</v>
      </c>
      <c r="R750" s="212">
        <v>5</v>
      </c>
      <c r="S750" s="212"/>
      <c r="T750" s="212" cm="1">
        <f t="array" ref="T750">_xlfn.IFS($D$5&lt;=7, 1.1, $D$5&lt;=12,1.2, $D$5&lt;=25, 1.3, $D$5&gt;25,1.4)</f>
        <v>1.3</v>
      </c>
      <c r="U750" s="212"/>
      <c r="V750" s="212">
        <v>0</v>
      </c>
      <c r="W750" s="212"/>
      <c r="X750" s="214">
        <v>3</v>
      </c>
    </row>
    <row r="751" spans="1:24" ht="15">
      <c r="A751" s="211" t="s">
        <v>3774</v>
      </c>
      <c r="B751" s="225" t="s">
        <v>301</v>
      </c>
      <c r="C751" s="212" t="s">
        <v>69</v>
      </c>
      <c r="D751" s="212" t="s">
        <v>99</v>
      </c>
      <c r="E751" s="212" t="s">
        <v>100</v>
      </c>
      <c r="F751" s="212" t="s">
        <v>101</v>
      </c>
      <c r="G751" s="212" t="s">
        <v>102</v>
      </c>
      <c r="H751" s="212" t="s">
        <v>103</v>
      </c>
      <c r="I751" s="212" t="s">
        <v>104</v>
      </c>
      <c r="J751" s="212" t="s">
        <v>105</v>
      </c>
      <c r="K751" s="212" t="s">
        <v>106</v>
      </c>
      <c r="L751" s="212" t="s">
        <v>107</v>
      </c>
      <c r="M751" s="213">
        <f>IF(W751&lt;&gt;"", W751, ROUNDUP(X751*T751, 0))</f>
        <v>7</v>
      </c>
      <c r="N751" s="441" cm="1">
        <f t="array" ref="N751">IF(TRIM(K751)="Mano de Obra",IF(Formulario!$L$23&lt;&gt;"",Formulario!$L$23,IFERROR(VLOOKUP(TRIM($M$4),Jornalesdeppto!A:C,3,0),"")),_xlfn.XLOOKUP(1,(Tabla_Costos_Insumos!$A$2:$A$3199=TRIM($M$4))*(Tabla_Costos_Insumos!$C$2:$C$3199=TRIM(K751)),Tabla_Costos_Insumos!$E$2:$E$3199,"",0))</f>
        <v>46666.666666666664</v>
      </c>
      <c r="O751" s="441">
        <f t="shared" si="183"/>
        <v>326666.66666666663</v>
      </c>
      <c r="P751" s="212" t="str">
        <f t="shared" si="179"/>
        <v>Palma_Aceite Hibrido (OxG)</v>
      </c>
      <c r="Q751" s="212" t="s">
        <v>108</v>
      </c>
      <c r="R751" s="212">
        <v>0.69</v>
      </c>
      <c r="S751" s="212" t="str">
        <f>IF($M$3="Palma_Aceite Hibrido (OxG)",($I$3*R751) / 480,"")</f>
        <v/>
      </c>
      <c r="T751" s="212" cm="1">
        <f t="array" ref="T751">_xlfn.IFS($D$5&lt;=7, 1.1, $D$5&lt;=12,1.2, $D$5&lt;=25, 1.3, $D$5&gt;25,1.4)</f>
        <v>1.3</v>
      </c>
      <c r="U751" s="212" t="str">
        <f>IFERROR(S751*T751,"")</f>
        <v/>
      </c>
      <c r="V751" s="212">
        <v>1</v>
      </c>
      <c r="W751" s="212" t="str">
        <f t="shared" si="192"/>
        <v/>
      </c>
      <c r="X751" s="214">
        <v>5</v>
      </c>
    </row>
    <row r="752" spans="1:24" ht="15">
      <c r="A752" s="211" t="s">
        <v>3774</v>
      </c>
      <c r="B752" s="225" t="s">
        <v>301</v>
      </c>
      <c r="C752" s="212" t="s">
        <v>69</v>
      </c>
      <c r="D752" s="212" t="s">
        <v>99</v>
      </c>
      <c r="E752" s="212" t="s">
        <v>100</v>
      </c>
      <c r="F752" s="212" t="s">
        <v>101</v>
      </c>
      <c r="G752" s="212" t="s">
        <v>102</v>
      </c>
      <c r="H752" s="212" t="s">
        <v>214</v>
      </c>
      <c r="I752" s="212" t="s">
        <v>20</v>
      </c>
      <c r="J752" s="212" t="s">
        <v>105</v>
      </c>
      <c r="K752" s="212" t="s">
        <v>106</v>
      </c>
      <c r="L752" s="212" t="s">
        <v>107</v>
      </c>
      <c r="M752" s="213">
        <f>IF(W752&lt;&gt;"", W752, ROUNDUP(X752*T752, 0))</f>
        <v>8</v>
      </c>
      <c r="N752" s="441" cm="1">
        <f t="array" ref="N752">IF(TRIM(K752)="Mano de Obra",IF(Formulario!$L$23&lt;&gt;"",Formulario!$L$23,IFERROR(VLOOKUP(TRIM($M$4),Jornalesdeppto!A:C,3,0),"")),_xlfn.XLOOKUP(1,(Tabla_Costos_Insumos!$A$2:$A$3199=TRIM($M$4))*(Tabla_Costos_Insumos!$C$2:$C$3199=TRIM(K752)),Tabla_Costos_Insumos!$E$2:$E$3199,"",0))</f>
        <v>46666.666666666664</v>
      </c>
      <c r="O752" s="441">
        <f t="shared" si="183"/>
        <v>373333.33333333331</v>
      </c>
      <c r="P752" s="212" t="str">
        <f t="shared" si="179"/>
        <v>Palma_Aceite Hibrido (OxG)</v>
      </c>
      <c r="Q752" s="212" t="s">
        <v>108</v>
      </c>
      <c r="R752" s="212">
        <v>0.5</v>
      </c>
      <c r="S752" s="212"/>
      <c r="T752" s="212" cm="1">
        <f t="array" ref="T752">_xlfn.IFS($D$5&lt;=7, 1.1, $D$5&lt;=12,1.2, $D$5&lt;=25, 1.3, $D$5&gt;25,1.4)</f>
        <v>1.3</v>
      </c>
      <c r="U752" s="212"/>
      <c r="V752" s="212">
        <v>0</v>
      </c>
      <c r="W752" s="212"/>
      <c r="X752" s="214">
        <v>6</v>
      </c>
    </row>
    <row r="753" spans="1:24" ht="15">
      <c r="A753" s="211" t="s">
        <v>3774</v>
      </c>
      <c r="B753" s="225" t="s">
        <v>301</v>
      </c>
      <c r="C753" s="212" t="s">
        <v>69</v>
      </c>
      <c r="D753" s="212" t="s">
        <v>99</v>
      </c>
      <c r="E753" s="212" t="s">
        <v>100</v>
      </c>
      <c r="F753" s="212" t="s">
        <v>109</v>
      </c>
      <c r="G753" s="212" t="s">
        <v>110</v>
      </c>
      <c r="H753" s="212" t="s">
        <v>234</v>
      </c>
      <c r="I753" s="212" t="s">
        <v>235</v>
      </c>
      <c r="J753" s="212" t="s">
        <v>105</v>
      </c>
      <c r="K753" s="212" t="s">
        <v>106</v>
      </c>
      <c r="L753" s="212" t="s">
        <v>107</v>
      </c>
      <c r="M753" s="213">
        <f>IF(W753&lt;&gt;"", W753, ROUNDUP(X753*T753, 0))</f>
        <v>6</v>
      </c>
      <c r="N753" s="441" cm="1">
        <f t="array" ref="N753">IF(TRIM(K753)="Mano de Obra",IF(Formulario!$L$23&lt;&gt;"",Formulario!$L$23,IFERROR(VLOOKUP(TRIM($M$4),Jornalesdeppto!A:C,3,0),"")),_xlfn.XLOOKUP(1,(Tabla_Costos_Insumos!$A$2:$A$3199=TRIM($M$4))*(Tabla_Costos_Insumos!$C$2:$C$3199=TRIM(K753)),Tabla_Costos_Insumos!$E$2:$E$3199,"",0))</f>
        <v>46666.666666666664</v>
      </c>
      <c r="O753" s="441">
        <f t="shared" si="183"/>
        <v>280000</v>
      </c>
      <c r="P753" s="212" t="str">
        <f t="shared" si="179"/>
        <v>Palma_Aceite Hibrido (OxG)</v>
      </c>
      <c r="Q753" s="212" t="s">
        <v>108</v>
      </c>
      <c r="R753" s="212">
        <v>1</v>
      </c>
      <c r="S753" s="212" t="str">
        <f t="shared" ref="S753:S754" si="193">IF($M$3="Palma_Aceite Hibrido (OxG)",($I$3*R753) / 480,"")</f>
        <v/>
      </c>
      <c r="T753" s="212" cm="1">
        <f t="array" ref="T753">_xlfn.IFS($D$5&lt;=7, 1.1, $D$5&lt;=12,1.2, $D$5&lt;=25, 1.3, $D$5&gt;25,1.4)</f>
        <v>1.3</v>
      </c>
      <c r="U753" s="212" t="str">
        <f t="shared" ref="U753:U754" si="194">IFERROR(S753*T753,"")</f>
        <v/>
      </c>
      <c r="V753" s="212">
        <v>4</v>
      </c>
      <c r="W753" s="212" t="str">
        <f t="shared" si="192"/>
        <v/>
      </c>
      <c r="X753" s="214">
        <v>4</v>
      </c>
    </row>
    <row r="754" spans="1:24" ht="15">
      <c r="A754" s="211" t="s">
        <v>3774</v>
      </c>
      <c r="B754" s="225" t="s">
        <v>301</v>
      </c>
      <c r="C754" s="212" t="s">
        <v>69</v>
      </c>
      <c r="D754" s="212" t="s">
        <v>99</v>
      </c>
      <c r="E754" s="212" t="s">
        <v>100</v>
      </c>
      <c r="F754" s="212" t="s">
        <v>113</v>
      </c>
      <c r="G754" s="212" t="s">
        <v>114</v>
      </c>
      <c r="H754" s="212" t="s">
        <v>115</v>
      </c>
      <c r="I754" s="212" t="s">
        <v>116</v>
      </c>
      <c r="J754" s="212" t="s">
        <v>105</v>
      </c>
      <c r="K754" s="212" t="s">
        <v>106</v>
      </c>
      <c r="L754" s="212" t="s">
        <v>107</v>
      </c>
      <c r="M754" s="213">
        <f>IF(W754&lt;&gt;"", W754, ROUNDUP(X754*T754, 0))</f>
        <v>8</v>
      </c>
      <c r="N754" s="441" cm="1">
        <f t="array" ref="N754">IF(TRIM(K754)="Mano de Obra",IF(Formulario!$L$23&lt;&gt;"",Formulario!$L$23,IFERROR(VLOOKUP(TRIM($M$4),Jornalesdeppto!A:C,3,0),"")),_xlfn.XLOOKUP(1,(Tabla_Costos_Insumos!$A$2:$A$3199=TRIM($M$4))*(Tabla_Costos_Insumos!$C$2:$C$3199=TRIM(K754)),Tabla_Costos_Insumos!$E$2:$E$3199,"",0))</f>
        <v>46666.666666666664</v>
      </c>
      <c r="O754" s="441">
        <f t="shared" si="183"/>
        <v>373333.33333333331</v>
      </c>
      <c r="P754" s="212" t="str">
        <f t="shared" si="179"/>
        <v>Palma_Aceite Hibrido (OxG)</v>
      </c>
      <c r="Q754" s="212" t="s">
        <v>108</v>
      </c>
      <c r="R754" s="212">
        <v>3</v>
      </c>
      <c r="S754" s="212" t="str">
        <f t="shared" si="193"/>
        <v/>
      </c>
      <c r="T754" s="212" cm="1">
        <f t="array" ref="T754">_xlfn.IFS($D$5&lt;=7, 1.1, $D$5&lt;=12,1.2, $D$5&lt;=25, 1.3, $D$5&gt;25,1.4)</f>
        <v>1.3</v>
      </c>
      <c r="U754" s="212" t="str">
        <f t="shared" si="194"/>
        <v/>
      </c>
      <c r="V754" s="212">
        <v>2</v>
      </c>
      <c r="W754" s="212" t="str">
        <f t="shared" si="192"/>
        <v/>
      </c>
      <c r="X754" s="214">
        <v>6</v>
      </c>
    </row>
    <row r="755" spans="1:24" ht="15">
      <c r="A755" s="211" t="s">
        <v>3774</v>
      </c>
      <c r="B755" s="225" t="s">
        <v>301</v>
      </c>
      <c r="C755" s="212" t="s">
        <v>69</v>
      </c>
      <c r="D755" s="212" t="s">
        <v>99</v>
      </c>
      <c r="E755" s="212" t="s">
        <v>100</v>
      </c>
      <c r="F755" s="212" t="s">
        <v>113</v>
      </c>
      <c r="G755" s="212" t="s">
        <v>114</v>
      </c>
      <c r="H755" s="212" t="s">
        <v>303</v>
      </c>
      <c r="I755" s="212" t="s">
        <v>20</v>
      </c>
      <c r="J755" s="212" t="s">
        <v>105</v>
      </c>
      <c r="K755" s="212" t="s">
        <v>304</v>
      </c>
      <c r="L755" s="212" t="s">
        <v>188</v>
      </c>
      <c r="M755" s="213">
        <v>1</v>
      </c>
      <c r="N755" s="441">
        <v>12056000</v>
      </c>
      <c r="O755" s="441">
        <f t="shared" si="183"/>
        <v>12056000</v>
      </c>
      <c r="P755" s="212" t="str">
        <f t="shared" si="179"/>
        <v>Palma_Aceite Hibrido (OxG)</v>
      </c>
      <c r="Q755" s="212" t="s">
        <v>108</v>
      </c>
      <c r="R755" s="212">
        <v>0.5</v>
      </c>
      <c r="S755" s="212"/>
      <c r="T755" s="212" cm="1">
        <f t="array" ref="T755">_xlfn.IFS($D$5&lt;=7, 1.1, $D$5&lt;=12,1.2, $D$5&lt;=25, 1.3, $D$5&gt;25,1.4)</f>
        <v>1.3</v>
      </c>
      <c r="U755" s="212"/>
      <c r="V755" s="212">
        <v>0</v>
      </c>
      <c r="W755" s="212"/>
      <c r="X755" s="214"/>
    </row>
    <row r="756" spans="1:24" ht="15">
      <c r="A756" s="211" t="s">
        <v>3774</v>
      </c>
      <c r="B756" s="225" t="s">
        <v>301</v>
      </c>
      <c r="C756" s="212" t="s">
        <v>69</v>
      </c>
      <c r="D756" s="212" t="s">
        <v>99</v>
      </c>
      <c r="E756" s="212" t="s">
        <v>100</v>
      </c>
      <c r="F756" s="212" t="s">
        <v>117</v>
      </c>
      <c r="G756" s="212" t="s">
        <v>118</v>
      </c>
      <c r="H756" s="212" t="s">
        <v>119</v>
      </c>
      <c r="I756" s="212" t="s">
        <v>120</v>
      </c>
      <c r="J756" s="212" t="s">
        <v>105</v>
      </c>
      <c r="K756" s="212" t="s">
        <v>106</v>
      </c>
      <c r="L756" s="212" t="s">
        <v>107</v>
      </c>
      <c r="M756" s="213">
        <f t="shared" ref="M756:M764" si="195">IF(W756&lt;&gt;"", W756, ROUNDUP(X756*T756, 0))</f>
        <v>6</v>
      </c>
      <c r="N756" s="441" cm="1">
        <f t="array" ref="N756">IF(TRIM(K756)="Mano de Obra",IF(Formulario!$L$23&lt;&gt;"",Formulario!$L$23,IFERROR(VLOOKUP(TRIM($M$4),Jornalesdeppto!A:C,3,0),"")),_xlfn.XLOOKUP(1,(Tabla_Costos_Insumos!$A$2:$A$3199=TRIM($M$4))*(Tabla_Costos_Insumos!$C$2:$C$3199=TRIM(K756)),Tabla_Costos_Insumos!$E$2:$E$3199,"",0))</f>
        <v>46666.666666666664</v>
      </c>
      <c r="O756" s="441">
        <f t="shared" si="183"/>
        <v>280000</v>
      </c>
      <c r="P756" s="212" t="str">
        <f t="shared" si="179"/>
        <v>Palma_Aceite Hibrido (OxG)</v>
      </c>
      <c r="Q756" s="212" t="s">
        <v>108</v>
      </c>
      <c r="R756" s="212">
        <v>7</v>
      </c>
      <c r="S756" s="212" t="str">
        <f t="shared" ref="S756:S758" si="196">IF($M$3="Palma_Aceite Hibrido (OxG)",($I$3*R756) / 480,"")</f>
        <v/>
      </c>
      <c r="T756" s="212" cm="1">
        <f t="array" ref="T756">_xlfn.IFS($D$5&lt;=7, 1.1, $D$5&lt;=12,1.2, $D$5&lt;=25, 1.3, $D$5&gt;25,1.4)</f>
        <v>1.3</v>
      </c>
      <c r="U756" s="212" t="str">
        <f t="shared" ref="U756:U758" si="197">IFERROR(S756*T756,"")</f>
        <v/>
      </c>
      <c r="V756" s="212">
        <v>9</v>
      </c>
      <c r="W756" s="212" t="str">
        <f t="shared" si="192"/>
        <v/>
      </c>
      <c r="X756" s="214">
        <v>4</v>
      </c>
    </row>
    <row r="757" spans="1:24" ht="15">
      <c r="A757" s="211" t="s">
        <v>3774</v>
      </c>
      <c r="B757" s="225" t="s">
        <v>301</v>
      </c>
      <c r="C757" s="212" t="s">
        <v>69</v>
      </c>
      <c r="D757" s="212" t="s">
        <v>99</v>
      </c>
      <c r="E757" s="212" t="s">
        <v>100</v>
      </c>
      <c r="F757" s="212" t="s">
        <v>117</v>
      </c>
      <c r="G757" s="212" t="s">
        <v>118</v>
      </c>
      <c r="H757" s="212" t="s">
        <v>121</v>
      </c>
      <c r="I757" s="212" t="s">
        <v>122</v>
      </c>
      <c r="J757" s="212" t="s">
        <v>105</v>
      </c>
      <c r="K757" s="212" t="s">
        <v>106</v>
      </c>
      <c r="L757" s="212" t="s">
        <v>107</v>
      </c>
      <c r="M757" s="213">
        <f t="shared" si="195"/>
        <v>6</v>
      </c>
      <c r="N757" s="441" cm="1">
        <f t="array" ref="N757">IF(TRIM(K757)="Mano de Obra",IF(Formulario!$L$23&lt;&gt;"",Formulario!$L$23,IFERROR(VLOOKUP(TRIM($M$4),Jornalesdeppto!A:C,3,0),"")),_xlfn.XLOOKUP(1,(Tabla_Costos_Insumos!$A$2:$A$3199=TRIM($M$4))*(Tabla_Costos_Insumos!$C$2:$C$3199=TRIM(K757)),Tabla_Costos_Insumos!$E$2:$E$3199,"",0))</f>
        <v>46666.666666666664</v>
      </c>
      <c r="O757" s="441">
        <f t="shared" si="183"/>
        <v>280000</v>
      </c>
      <c r="P757" s="212" t="str">
        <f t="shared" si="179"/>
        <v>Palma_Aceite Hibrido (OxG)</v>
      </c>
      <c r="Q757" s="212" t="s">
        <v>108</v>
      </c>
      <c r="R757" s="212">
        <v>7</v>
      </c>
      <c r="S757" s="212" t="str">
        <f t="shared" si="196"/>
        <v/>
      </c>
      <c r="T757" s="212" cm="1">
        <f t="array" ref="T757">_xlfn.IFS($D$5&lt;=7, 1.1, $D$5&lt;=12,1.2, $D$5&lt;=25, 1.3, $D$5&gt;25,1.4)</f>
        <v>1.3</v>
      </c>
      <c r="U757" s="212" t="str">
        <f t="shared" si="197"/>
        <v/>
      </c>
      <c r="V757" s="212">
        <v>9</v>
      </c>
      <c r="W757" s="212" t="str">
        <f t="shared" si="192"/>
        <v/>
      </c>
      <c r="X757" s="214">
        <v>4</v>
      </c>
    </row>
    <row r="758" spans="1:24" ht="15">
      <c r="A758" s="211" t="s">
        <v>3774</v>
      </c>
      <c r="B758" s="225" t="s">
        <v>301</v>
      </c>
      <c r="C758" s="212" t="s">
        <v>69</v>
      </c>
      <c r="D758" s="212" t="s">
        <v>99</v>
      </c>
      <c r="E758" s="212" t="s">
        <v>100</v>
      </c>
      <c r="F758" s="212" t="s">
        <v>123</v>
      </c>
      <c r="G758" s="212" t="s">
        <v>124</v>
      </c>
      <c r="H758" s="212" t="s">
        <v>125</v>
      </c>
      <c r="I758" s="212" t="s">
        <v>126</v>
      </c>
      <c r="J758" s="212" t="s">
        <v>105</v>
      </c>
      <c r="K758" s="212" t="s">
        <v>106</v>
      </c>
      <c r="L758" s="212" t="s">
        <v>107</v>
      </c>
      <c r="M758" s="213">
        <f t="shared" si="195"/>
        <v>2</v>
      </c>
      <c r="N758" s="441" cm="1">
        <f t="array" ref="N758">IF(TRIM(K758)="Mano de Obra",IF(Formulario!$L$23&lt;&gt;"",Formulario!$L$23,IFERROR(VLOOKUP(TRIM($M$4),Jornalesdeppto!A:C,3,0),"")),_xlfn.XLOOKUP(1,(Tabla_Costos_Insumos!$A$2:$A$3199=TRIM($M$4))*(Tabla_Costos_Insumos!$C$2:$C$3199=TRIM(K758)),Tabla_Costos_Insumos!$E$2:$E$3199,"",0))</f>
        <v>46666.666666666664</v>
      </c>
      <c r="O758" s="441">
        <f t="shared" si="183"/>
        <v>93333.333333333328</v>
      </c>
      <c r="P758" s="212" t="str">
        <f t="shared" si="179"/>
        <v>Palma_Aceite Hibrido (OxG)</v>
      </c>
      <c r="Q758" s="212" t="s">
        <v>108</v>
      </c>
      <c r="R758" s="212">
        <v>0.09</v>
      </c>
      <c r="S758" s="212" t="str">
        <f t="shared" si="196"/>
        <v/>
      </c>
      <c r="T758" s="212" cm="1">
        <f t="array" ref="T758">_xlfn.IFS($D$5&lt;=7, 1.1, $D$5&lt;=12,1.2, $D$5&lt;=25, 1.3, $D$5&gt;25,1.4)</f>
        <v>1.3</v>
      </c>
      <c r="U758" s="212" t="str">
        <f t="shared" si="197"/>
        <v/>
      </c>
      <c r="V758" s="212">
        <v>2</v>
      </c>
      <c r="W758" s="212" t="str">
        <f t="shared" si="192"/>
        <v/>
      </c>
      <c r="X758" s="214">
        <v>1</v>
      </c>
    </row>
    <row r="759" spans="1:24" ht="15">
      <c r="A759" s="211" t="s">
        <v>3774</v>
      </c>
      <c r="B759" s="225" t="s">
        <v>301</v>
      </c>
      <c r="C759" s="212" t="s">
        <v>69</v>
      </c>
      <c r="D759" s="212" t="s">
        <v>99</v>
      </c>
      <c r="E759" s="212" t="s">
        <v>100</v>
      </c>
      <c r="F759" s="212" t="s">
        <v>123</v>
      </c>
      <c r="G759" s="212" t="s">
        <v>124</v>
      </c>
      <c r="H759" s="212" t="s">
        <v>128</v>
      </c>
      <c r="I759" s="212" t="s">
        <v>129</v>
      </c>
      <c r="J759" s="212" t="s">
        <v>105</v>
      </c>
      <c r="K759" s="212" t="s">
        <v>106</v>
      </c>
      <c r="L759" s="212" t="s">
        <v>107</v>
      </c>
      <c r="M759" s="213">
        <f t="shared" si="195"/>
        <v>6</v>
      </c>
      <c r="N759" s="441" cm="1">
        <f t="array" ref="N759">IF(TRIM(K759)="Mano de Obra",IF(Formulario!$L$23&lt;&gt;"",Formulario!$L$23,IFERROR(VLOOKUP(TRIM($M$4),Jornalesdeppto!A:C,3,0),"")),_xlfn.XLOOKUP(1,(Tabla_Costos_Insumos!$A$2:$A$3199=TRIM($M$4))*(Tabla_Costos_Insumos!$C$2:$C$3199=TRIM(K759)),Tabla_Costos_Insumos!$E$2:$E$3199,"",0))</f>
        <v>46666.666666666664</v>
      </c>
      <c r="O759" s="441">
        <f t="shared" si="183"/>
        <v>280000</v>
      </c>
      <c r="P759" s="212" t="str">
        <f t="shared" ref="P759:P822" si="198">CONCATENATE(A759," ",B759)</f>
        <v>Palma_Aceite Hibrido (OxG)</v>
      </c>
      <c r="Q759" s="212" t="s">
        <v>127</v>
      </c>
      <c r="R759" s="212">
        <v>0.09</v>
      </c>
      <c r="S759" s="212">
        <f t="shared" ref="S759" si="199">10000*R759/480</f>
        <v>1.875</v>
      </c>
      <c r="T759" s="212" cm="1">
        <f t="array" ref="T759">_xlfn.IFS($D$5&lt;=7, 1.1, $D$5&lt;=12,1.2, $D$5&lt;=25, 1.3, $D$5&gt;25,1.4)</f>
        <v>1.3</v>
      </c>
      <c r="U759" s="212"/>
      <c r="V759" s="212">
        <v>2</v>
      </c>
      <c r="W759" s="212"/>
      <c r="X759" s="214">
        <v>4</v>
      </c>
    </row>
    <row r="760" spans="1:24" ht="15">
      <c r="A760" s="211" t="s">
        <v>3774</v>
      </c>
      <c r="B760" s="225" t="s">
        <v>301</v>
      </c>
      <c r="C760" s="212" t="s">
        <v>69</v>
      </c>
      <c r="D760" s="212" t="s">
        <v>99</v>
      </c>
      <c r="E760" s="212" t="s">
        <v>100</v>
      </c>
      <c r="F760" s="212" t="s">
        <v>130</v>
      </c>
      <c r="G760" s="212" t="s">
        <v>131</v>
      </c>
      <c r="H760" s="212" t="s">
        <v>132</v>
      </c>
      <c r="I760" s="212" t="s">
        <v>133</v>
      </c>
      <c r="J760" s="212" t="s">
        <v>105</v>
      </c>
      <c r="K760" s="212" t="s">
        <v>106</v>
      </c>
      <c r="L760" s="212" t="s">
        <v>107</v>
      </c>
      <c r="M760" s="213">
        <f t="shared" si="195"/>
        <v>6</v>
      </c>
      <c r="N760" s="441" cm="1">
        <f t="array" ref="N760">IF(TRIM(K760)="Mano de Obra",IF(Formulario!$L$23&lt;&gt;"",Formulario!$L$23,IFERROR(VLOOKUP(TRIM($M$4),Jornalesdeppto!A:C,3,0),"")),_xlfn.XLOOKUP(1,(Tabla_Costos_Insumos!$A$2:$A$3199=TRIM($M$4))*(Tabla_Costos_Insumos!$C$2:$C$3199=TRIM(K760)),Tabla_Costos_Insumos!$E$2:$E$3199,"",0))</f>
        <v>46666.666666666664</v>
      </c>
      <c r="O760" s="441">
        <f t="shared" si="183"/>
        <v>280000</v>
      </c>
      <c r="P760" s="212" t="str">
        <f t="shared" si="198"/>
        <v>Palma_Aceite Hibrido (OxG)</v>
      </c>
      <c r="Q760" s="212" t="s">
        <v>108</v>
      </c>
      <c r="R760" s="212">
        <v>1.5</v>
      </c>
      <c r="S760" s="212" t="str">
        <f t="shared" ref="S760:S761" si="200">IF($M$3="Palma_Aceite Hibrido (OxG)",($I$3*R760) / 480,"")</f>
        <v/>
      </c>
      <c r="T760" s="212" cm="1">
        <f t="array" ref="T760">_xlfn.IFS($D$5&lt;=7, 1.1, $D$5&lt;=12,1.2, $D$5&lt;=25, 1.3, $D$5&gt;25,1.4)</f>
        <v>1.3</v>
      </c>
      <c r="U760" s="212" t="str">
        <f t="shared" ref="U760:U761" si="201">IFERROR(S760*T760,"")</f>
        <v/>
      </c>
      <c r="V760" s="212">
        <v>4</v>
      </c>
      <c r="W760" s="212" t="str">
        <f t="shared" si="192"/>
        <v/>
      </c>
      <c r="X760" s="214">
        <v>4</v>
      </c>
    </row>
    <row r="761" spans="1:24" ht="15">
      <c r="A761" s="211" t="s">
        <v>3774</v>
      </c>
      <c r="B761" s="225" t="s">
        <v>301</v>
      </c>
      <c r="C761" s="212" t="s">
        <v>69</v>
      </c>
      <c r="D761" s="212" t="s">
        <v>99</v>
      </c>
      <c r="E761" s="212" t="s">
        <v>100</v>
      </c>
      <c r="F761" s="212" t="s">
        <v>130</v>
      </c>
      <c r="G761" s="212" t="s">
        <v>131</v>
      </c>
      <c r="H761" s="212" t="s">
        <v>134</v>
      </c>
      <c r="I761" s="212" t="s">
        <v>135</v>
      </c>
      <c r="J761" s="212" t="s">
        <v>105</v>
      </c>
      <c r="K761" s="212" t="s">
        <v>106</v>
      </c>
      <c r="L761" s="212" t="s">
        <v>107</v>
      </c>
      <c r="M761" s="213">
        <f t="shared" si="195"/>
        <v>3</v>
      </c>
      <c r="N761" s="441" cm="1">
        <f t="array" ref="N761">IF(TRIM(K761)="Mano de Obra",IF(Formulario!$L$23&lt;&gt;"",Formulario!$L$23,IFERROR(VLOOKUP(TRIM($M$4),Jornalesdeppto!A:C,3,0),"")),_xlfn.XLOOKUP(1,(Tabla_Costos_Insumos!$A$2:$A$3199=TRIM($M$4))*(Tabla_Costos_Insumos!$C$2:$C$3199=TRIM(K761)),Tabla_Costos_Insumos!$E$2:$E$3199,"",0))</f>
        <v>46666.666666666664</v>
      </c>
      <c r="O761" s="441">
        <f t="shared" si="183"/>
        <v>140000</v>
      </c>
      <c r="P761" s="212" t="str">
        <f t="shared" si="198"/>
        <v>Palma_Aceite Hibrido (OxG)</v>
      </c>
      <c r="Q761" s="212" t="s">
        <v>108</v>
      </c>
      <c r="R761" s="212">
        <v>1.5</v>
      </c>
      <c r="S761" s="212" t="str">
        <f t="shared" si="200"/>
        <v/>
      </c>
      <c r="T761" s="212" cm="1">
        <f t="array" ref="T761">_xlfn.IFS($D$5&lt;=7, 1.1, $D$5&lt;=12,1.2, $D$5&lt;=25, 1.3, $D$5&gt;25,1.4)</f>
        <v>1.3</v>
      </c>
      <c r="U761" s="212" t="str">
        <f t="shared" si="201"/>
        <v/>
      </c>
      <c r="V761" s="212">
        <v>4</v>
      </c>
      <c r="W761" s="212" t="str">
        <f t="shared" si="192"/>
        <v/>
      </c>
      <c r="X761" s="214">
        <v>2</v>
      </c>
    </row>
    <row r="762" spans="1:24" ht="15">
      <c r="A762" s="211" t="s">
        <v>3774</v>
      </c>
      <c r="B762" s="225" t="s">
        <v>301</v>
      </c>
      <c r="C762" s="212" t="s">
        <v>69</v>
      </c>
      <c r="D762" s="212" t="s">
        <v>99</v>
      </c>
      <c r="E762" s="212" t="s">
        <v>100</v>
      </c>
      <c r="F762" s="212" t="s">
        <v>138</v>
      </c>
      <c r="G762" s="212" t="s">
        <v>139</v>
      </c>
      <c r="H762" s="212" t="s">
        <v>143</v>
      </c>
      <c r="I762" s="212" t="s">
        <v>144</v>
      </c>
      <c r="J762" s="212" t="s">
        <v>105</v>
      </c>
      <c r="K762" s="212" t="s">
        <v>106</v>
      </c>
      <c r="L762" s="212" t="s">
        <v>107</v>
      </c>
      <c r="M762" s="213">
        <f t="shared" si="195"/>
        <v>25</v>
      </c>
      <c r="N762" s="441" cm="1">
        <f t="array" ref="N762">IF(TRIM(K762)="Mano de Obra",IF(Formulario!$L$23&lt;&gt;"",Formulario!$L$23,IFERROR(VLOOKUP(TRIM($M$4),Jornalesdeppto!A:C,3,0),"")),_xlfn.XLOOKUP(1,(Tabla_Costos_Insumos!$A$2:$A$3199=TRIM($M$4))*(Tabla_Costos_Insumos!$C$2:$C$3199=TRIM(K762)),Tabla_Costos_Insumos!$E$2:$E$3199,"",0))</f>
        <v>46666.666666666664</v>
      </c>
      <c r="O762" s="441">
        <f t="shared" si="183"/>
        <v>1166666.6666666665</v>
      </c>
      <c r="P762" s="212" t="str">
        <f t="shared" si="198"/>
        <v>Palma_Aceite Hibrido (OxG)</v>
      </c>
      <c r="Q762" s="212" t="s">
        <v>142</v>
      </c>
      <c r="R762" s="212" t="s">
        <v>142</v>
      </c>
      <c r="S762" s="212"/>
      <c r="T762" s="212" cm="1">
        <f t="array" ref="T762">_xlfn.IFS($D$5&lt;=7, 1.1, $D$5&lt;=12,1.2, $D$5&lt;=25, 1.3, $D$5&gt;25,1.4)</f>
        <v>1.3</v>
      </c>
      <c r="U762" s="212"/>
      <c r="V762" s="212" t="s">
        <v>142</v>
      </c>
      <c r="W762" s="212" t="str">
        <f t="shared" si="192"/>
        <v/>
      </c>
      <c r="X762" s="214">
        <v>19</v>
      </c>
    </row>
    <row r="763" spans="1:24" ht="15">
      <c r="A763" s="211" t="s">
        <v>3774</v>
      </c>
      <c r="B763" s="225" t="s">
        <v>301</v>
      </c>
      <c r="C763" s="212" t="s">
        <v>69</v>
      </c>
      <c r="D763" s="212" t="s">
        <v>99</v>
      </c>
      <c r="E763" s="212" t="s">
        <v>100</v>
      </c>
      <c r="F763" s="212" t="s">
        <v>138</v>
      </c>
      <c r="G763" s="212" t="s">
        <v>139</v>
      </c>
      <c r="H763" s="212" t="s">
        <v>288</v>
      </c>
      <c r="I763" s="212" t="s">
        <v>289</v>
      </c>
      <c r="J763" s="212" t="s">
        <v>105</v>
      </c>
      <c r="K763" s="212" t="s">
        <v>106</v>
      </c>
      <c r="L763" s="212" t="s">
        <v>107</v>
      </c>
      <c r="M763" s="213">
        <f t="shared" si="195"/>
        <v>10</v>
      </c>
      <c r="N763" s="441" cm="1">
        <f t="array" ref="N763">IF(TRIM(K763)="Mano de Obra",IF(Formulario!$L$23&lt;&gt;"",Formulario!$L$23,IFERROR(VLOOKUP(TRIM($M$4),Jornalesdeppto!A:C,3,0),"")),_xlfn.XLOOKUP(1,(Tabla_Costos_Insumos!$A$2:$A$3199=TRIM($M$4))*(Tabla_Costos_Insumos!$C$2:$C$3199=TRIM(K763)),Tabla_Costos_Insumos!$E$2:$E$3199,"",0))</f>
        <v>46666.666666666664</v>
      </c>
      <c r="O763" s="441">
        <f t="shared" si="183"/>
        <v>466666.66666666663</v>
      </c>
      <c r="P763" s="212" t="str">
        <f t="shared" si="198"/>
        <v>Palma_Aceite Hibrido (OxG)</v>
      </c>
      <c r="Q763" s="212" t="s">
        <v>142</v>
      </c>
      <c r="R763" s="212" t="s">
        <v>142</v>
      </c>
      <c r="S763" s="212"/>
      <c r="T763" s="212" cm="1">
        <f t="array" ref="T763">_xlfn.IFS($D$5&lt;=7, 1.1, $D$5&lt;=12,1.2, $D$5&lt;=25, 1.3, $D$5&gt;25,1.4)</f>
        <v>1.3</v>
      </c>
      <c r="U763" s="212"/>
      <c r="V763" s="212" t="s">
        <v>142</v>
      </c>
      <c r="W763" s="212" t="str">
        <f t="shared" si="192"/>
        <v/>
      </c>
      <c r="X763" s="214">
        <v>7</v>
      </c>
    </row>
    <row r="764" spans="1:24" ht="15">
      <c r="A764" s="211" t="s">
        <v>3774</v>
      </c>
      <c r="B764" s="225" t="s">
        <v>301</v>
      </c>
      <c r="C764" s="212" t="s">
        <v>69</v>
      </c>
      <c r="D764" s="212" t="s">
        <v>99</v>
      </c>
      <c r="E764" s="212" t="s">
        <v>100</v>
      </c>
      <c r="F764" s="212" t="s">
        <v>138</v>
      </c>
      <c r="G764" s="212" t="s">
        <v>139</v>
      </c>
      <c r="H764" s="212" t="s">
        <v>290</v>
      </c>
      <c r="I764" s="212" t="s">
        <v>20</v>
      </c>
      <c r="J764" s="212" t="s">
        <v>105</v>
      </c>
      <c r="K764" s="212" t="s">
        <v>106</v>
      </c>
      <c r="L764" s="212" t="s">
        <v>107</v>
      </c>
      <c r="M764" s="213">
        <f t="shared" si="195"/>
        <v>4</v>
      </c>
      <c r="N764" s="441" cm="1">
        <f t="array" ref="N764">IF(TRIM(K764)="Mano de Obra",IF(Formulario!$L$23&lt;&gt;"",Formulario!$L$23,IFERROR(VLOOKUP(TRIM($M$4),Jornalesdeppto!A:C,3,0),"")),_xlfn.XLOOKUP(1,(Tabla_Costos_Insumos!$A$2:$A$3199=TRIM($M$4))*(Tabla_Costos_Insumos!$C$2:$C$3199=TRIM(K764)),Tabla_Costos_Insumos!$E$2:$E$3199,"",0))</f>
        <v>46666.666666666664</v>
      </c>
      <c r="O764" s="441">
        <f t="shared" si="183"/>
        <v>186666.66666666666</v>
      </c>
      <c r="P764" s="212" t="str">
        <f t="shared" si="198"/>
        <v>Palma_Aceite Hibrido (OxG)</v>
      </c>
      <c r="Q764" s="212" t="s">
        <v>108</v>
      </c>
      <c r="R764" s="212">
        <v>0.5</v>
      </c>
      <c r="S764" s="212" t="str">
        <f t="shared" ref="S764" si="202">IF($M$3="Palma_Aceite Hibrido (OxG)",($I$3*R764) / 480,"")</f>
        <v/>
      </c>
      <c r="T764" s="212" cm="1">
        <f t="array" ref="T764">_xlfn.IFS($D$5&lt;=7, 1.1, $D$5&lt;=12,1.2, $D$5&lt;=25, 1.3, $D$5&gt;25,1.4)</f>
        <v>1.3</v>
      </c>
      <c r="U764" s="212"/>
      <c r="V764" s="212">
        <v>0</v>
      </c>
      <c r="W764" s="212"/>
      <c r="X764" s="214">
        <v>3</v>
      </c>
    </row>
    <row r="765" spans="1:24" ht="15">
      <c r="A765" s="211" t="s">
        <v>3774</v>
      </c>
      <c r="B765" s="225" t="s">
        <v>301</v>
      </c>
      <c r="C765" s="212" t="s">
        <v>69</v>
      </c>
      <c r="D765" s="212" t="s">
        <v>145</v>
      </c>
      <c r="E765" s="212" t="s">
        <v>146</v>
      </c>
      <c r="F765" s="212" t="s">
        <v>147</v>
      </c>
      <c r="G765" s="212" t="s">
        <v>131</v>
      </c>
      <c r="H765" s="212" t="s">
        <v>148</v>
      </c>
      <c r="I765" s="212" t="s">
        <v>299</v>
      </c>
      <c r="J765" s="212" t="s">
        <v>149</v>
      </c>
      <c r="K765" s="212" t="s">
        <v>150</v>
      </c>
      <c r="L765" s="212" t="s">
        <v>151</v>
      </c>
      <c r="M765" s="213">
        <v>2</v>
      </c>
      <c r="N765" s="441" cm="1">
        <f t="array" ref="N765">IF(TRIM(K765)="Mano de Obra",IF(Formulario!$L$23&lt;&gt;"",Formulario!$L$23,IFERROR(VLOOKUP(TRIM($M$4),Jornalesdeppto!A:C,3,0),"")),_xlfn.XLOOKUP(1,(Tabla_Costos_Insumos!$A$2:$A$3199=TRIM($M$4))*(Tabla_Costos_Insumos!$C$2:$C$3199=TRIM(K765)),Tabla_Costos_Insumos!$E$2:$E$3199,"",0))</f>
        <v>198055.68333333</v>
      </c>
      <c r="O765" s="441">
        <f t="shared" si="183"/>
        <v>396111.36666666</v>
      </c>
      <c r="P765" s="212" t="str">
        <f t="shared" si="198"/>
        <v>Palma_Aceite Hibrido (OxG)</v>
      </c>
      <c r="Q765" s="212" t="s">
        <v>142</v>
      </c>
      <c r="R765" s="212" t="s">
        <v>142</v>
      </c>
      <c r="S765" s="212"/>
      <c r="T765" s="212"/>
      <c r="U765" s="212"/>
      <c r="V765" s="212" t="s">
        <v>142</v>
      </c>
      <c r="W765" s="212" t="str">
        <f t="shared" si="192"/>
        <v/>
      </c>
      <c r="X765" s="214"/>
    </row>
    <row r="766" spans="1:24" ht="15">
      <c r="A766" s="211" t="s">
        <v>3774</v>
      </c>
      <c r="B766" s="225" t="s">
        <v>301</v>
      </c>
      <c r="C766" s="212" t="s">
        <v>69</v>
      </c>
      <c r="D766" s="212" t="s">
        <v>145</v>
      </c>
      <c r="E766" s="212" t="s">
        <v>146</v>
      </c>
      <c r="F766" s="212" t="s">
        <v>147</v>
      </c>
      <c r="G766" s="212" t="s">
        <v>131</v>
      </c>
      <c r="H766" s="212" t="s">
        <v>152</v>
      </c>
      <c r="I766" s="212" t="s">
        <v>153</v>
      </c>
      <c r="J766" s="212" t="s">
        <v>149</v>
      </c>
      <c r="K766" s="212" t="s">
        <v>166</v>
      </c>
      <c r="L766" s="212" t="s">
        <v>151</v>
      </c>
      <c r="M766" s="213">
        <v>5</v>
      </c>
      <c r="N766" s="441" cm="1">
        <f t="array" ref="N766">IF(TRIM(K766)="Mano de Obra",IF(Formulario!$L$23&lt;&gt;"",Formulario!$L$23,IFERROR(VLOOKUP(TRIM($M$4),Jornalesdeppto!A:C,3,0),"")),_xlfn.XLOOKUP(1,(Tabla_Costos_Insumos!$A$2:$A$3199=TRIM($M$4))*(Tabla_Costos_Insumos!$C$2:$C$3199=TRIM(K766)),Tabla_Costos_Insumos!$E$2:$E$3199,"",0))</f>
        <v>110000</v>
      </c>
      <c r="O766" s="441">
        <f t="shared" si="183"/>
        <v>550000</v>
      </c>
      <c r="P766" s="212" t="str">
        <f t="shared" si="198"/>
        <v>Palma_Aceite Hibrido (OxG)</v>
      </c>
      <c r="Q766" s="212" t="s">
        <v>142</v>
      </c>
      <c r="R766" s="212" t="s">
        <v>142</v>
      </c>
      <c r="S766" s="212"/>
      <c r="T766" s="212"/>
      <c r="U766" s="212"/>
      <c r="V766" s="212" t="s">
        <v>142</v>
      </c>
      <c r="W766" s="212" t="str">
        <f t="shared" si="192"/>
        <v/>
      </c>
      <c r="X766" s="214"/>
    </row>
    <row r="767" spans="1:24" ht="15">
      <c r="A767" s="211" t="s">
        <v>3774</v>
      </c>
      <c r="B767" s="225" t="s">
        <v>301</v>
      </c>
      <c r="C767" s="212" t="s">
        <v>69</v>
      </c>
      <c r="D767" s="212" t="s">
        <v>145</v>
      </c>
      <c r="E767" s="212" t="s">
        <v>146</v>
      </c>
      <c r="F767" s="212" t="s">
        <v>147</v>
      </c>
      <c r="G767" s="212" t="s">
        <v>131</v>
      </c>
      <c r="H767" s="212" t="s">
        <v>154</v>
      </c>
      <c r="I767" s="212" t="s">
        <v>155</v>
      </c>
      <c r="J767" s="212" t="s">
        <v>149</v>
      </c>
      <c r="K767" s="212" t="s">
        <v>156</v>
      </c>
      <c r="L767" s="212" t="s">
        <v>151</v>
      </c>
      <c r="M767" s="213">
        <v>5</v>
      </c>
      <c r="N767" s="441" cm="1">
        <f t="array" ref="N767">IF(TRIM(K767)="Mano de Obra",IF(Formulario!$L$23&lt;&gt;"",Formulario!$L$23,IFERROR(VLOOKUP(TRIM($M$4),Jornalesdeppto!A:C,3,0),"")),_xlfn.XLOOKUP(1,(Tabla_Costos_Insumos!$A$2:$A$3199=TRIM($M$4))*(Tabla_Costos_Insumos!$C$2:$C$3199=TRIM(K767)),Tabla_Costos_Insumos!$E$2:$E$3199,"",0))</f>
        <v>17212.5</v>
      </c>
      <c r="O767" s="441">
        <f t="shared" si="183"/>
        <v>86062.5</v>
      </c>
      <c r="P767" s="212" t="str">
        <f t="shared" si="198"/>
        <v>Palma_Aceite Hibrido (OxG)</v>
      </c>
      <c r="Q767" s="212" t="s">
        <v>142</v>
      </c>
      <c r="R767" s="212" t="s">
        <v>142</v>
      </c>
      <c r="S767" s="212"/>
      <c r="T767" s="212"/>
      <c r="U767" s="212"/>
      <c r="V767" s="212" t="s">
        <v>142</v>
      </c>
      <c r="W767" s="212" t="str">
        <f t="shared" si="192"/>
        <v/>
      </c>
      <c r="X767" s="214"/>
    </row>
    <row r="768" spans="1:24" ht="15">
      <c r="A768" s="211" t="s">
        <v>3774</v>
      </c>
      <c r="B768" s="225" t="s">
        <v>301</v>
      </c>
      <c r="C768" s="212" t="s">
        <v>69</v>
      </c>
      <c r="D768" s="212" t="s">
        <v>145</v>
      </c>
      <c r="E768" s="212" t="s">
        <v>146</v>
      </c>
      <c r="F768" s="212" t="s">
        <v>147</v>
      </c>
      <c r="G768" s="212" t="s">
        <v>131</v>
      </c>
      <c r="H768" s="212" t="s">
        <v>157</v>
      </c>
      <c r="I768" s="212" t="s">
        <v>158</v>
      </c>
      <c r="J768" s="212" t="s">
        <v>149</v>
      </c>
      <c r="K768" s="212" t="s">
        <v>291</v>
      </c>
      <c r="L768" s="212" t="s">
        <v>172</v>
      </c>
      <c r="M768" s="213">
        <v>9</v>
      </c>
      <c r="N768" s="441" cm="1">
        <f t="array" ref="N768">IF(TRIM(K768)="Mano de Obra",IF(Formulario!$L$23&lt;&gt;"",Formulario!$L$23,IFERROR(VLOOKUP(TRIM($M$4),Jornalesdeppto!A:C,3,0),"")),_xlfn.XLOOKUP(1,(Tabla_Costos_Insumos!$A$2:$A$3199=TRIM($M$4))*(Tabla_Costos_Insumos!$C$2:$C$3199=TRIM(K768)),Tabla_Costos_Insumos!$E$2:$E$3199,"",0))</f>
        <v>22086.61</v>
      </c>
      <c r="O768" s="441">
        <f t="shared" si="183"/>
        <v>198779.49</v>
      </c>
      <c r="P768" s="212" t="str">
        <f t="shared" si="198"/>
        <v>Palma_Aceite Hibrido (OxG)</v>
      </c>
      <c r="Q768" s="212" t="s">
        <v>142</v>
      </c>
      <c r="R768" s="212" t="s">
        <v>142</v>
      </c>
      <c r="S768" s="212"/>
      <c r="T768" s="212"/>
      <c r="U768" s="212"/>
      <c r="V768" s="212" t="s">
        <v>142</v>
      </c>
      <c r="W768" s="212" t="str">
        <f t="shared" si="192"/>
        <v/>
      </c>
      <c r="X768" s="214"/>
    </row>
    <row r="769" spans="1:24" ht="15">
      <c r="A769" s="211" t="s">
        <v>3774</v>
      </c>
      <c r="B769" s="225" t="s">
        <v>301</v>
      </c>
      <c r="C769" s="212" t="s">
        <v>69</v>
      </c>
      <c r="D769" s="212" t="s">
        <v>145</v>
      </c>
      <c r="E769" s="212" t="s">
        <v>146</v>
      </c>
      <c r="F769" s="212" t="s">
        <v>147</v>
      </c>
      <c r="G769" s="212" t="s">
        <v>131</v>
      </c>
      <c r="H769" s="212" t="s">
        <v>161</v>
      </c>
      <c r="I769" s="212" t="s">
        <v>162</v>
      </c>
      <c r="J769" s="212" t="s">
        <v>149</v>
      </c>
      <c r="K769" s="212" t="s">
        <v>163</v>
      </c>
      <c r="L769" s="212" t="s">
        <v>164</v>
      </c>
      <c r="M769" s="213">
        <v>2</v>
      </c>
      <c r="N769" s="441" cm="1">
        <f t="array" ref="N769">IF(TRIM(K769)="Mano de Obra",IF(Formulario!$L$23&lt;&gt;"",Formulario!$L$23,IFERROR(VLOOKUP(TRIM($M$4),Jornalesdeppto!A:C,3,0),"")),_xlfn.XLOOKUP(1,(Tabla_Costos_Insumos!$A$2:$A$3199=TRIM($M$4))*(Tabla_Costos_Insumos!$C$2:$C$3199=TRIM(K769)),Tabla_Costos_Insumos!$E$2:$E$3199,"",0))</f>
        <v>128084.44444445</v>
      </c>
      <c r="O769" s="441">
        <f t="shared" si="183"/>
        <v>256168.88888889999</v>
      </c>
      <c r="P769" s="212" t="str">
        <f t="shared" si="198"/>
        <v>Palma_Aceite Hibrido (OxG)</v>
      </c>
      <c r="Q769" s="212" t="s">
        <v>142</v>
      </c>
      <c r="R769" s="212" t="s">
        <v>142</v>
      </c>
      <c r="S769" s="212"/>
      <c r="T769" s="212"/>
      <c r="U769" s="212"/>
      <c r="V769" s="212" t="s">
        <v>142</v>
      </c>
      <c r="W769" s="212" t="str">
        <f t="shared" si="192"/>
        <v/>
      </c>
      <c r="X769" s="214"/>
    </row>
    <row r="770" spans="1:24" ht="15">
      <c r="A770" s="211" t="s">
        <v>3774</v>
      </c>
      <c r="B770" s="225" t="s">
        <v>301</v>
      </c>
      <c r="C770" s="212" t="s">
        <v>69</v>
      </c>
      <c r="D770" s="212" t="s">
        <v>145</v>
      </c>
      <c r="E770" s="212" t="s">
        <v>146</v>
      </c>
      <c r="F770" s="212" t="s">
        <v>147</v>
      </c>
      <c r="G770" s="212" t="s">
        <v>131</v>
      </c>
      <c r="H770" s="212" t="s">
        <v>165</v>
      </c>
      <c r="I770" s="212" t="s">
        <v>153</v>
      </c>
      <c r="J770" s="212" t="s">
        <v>149</v>
      </c>
      <c r="K770" s="212" t="s">
        <v>4216</v>
      </c>
      <c r="L770" s="212" t="s">
        <v>151</v>
      </c>
      <c r="M770" s="213">
        <v>10</v>
      </c>
      <c r="N770" s="441" cm="1">
        <f t="array" ref="N770">IF(TRIM(K770)="Mano de Obra",IF(Formulario!$L$23&lt;&gt;"",Formulario!$L$23,IFERROR(VLOOKUP(TRIM($M$4),Jornalesdeppto!A:C,3,0),"")),_xlfn.XLOOKUP(1,(Tabla_Costos_Insumos!$A$2:$A$3199=TRIM($M$4))*(Tabla_Costos_Insumos!$C$2:$C$3199=TRIM(K770)),Tabla_Costos_Insumos!$E$2:$E$3199,"",0))</f>
        <v>125849.2424242409</v>
      </c>
      <c r="O770" s="441">
        <f t="shared" si="183"/>
        <v>1258492.4242424089</v>
      </c>
      <c r="P770" s="212" t="str">
        <f t="shared" si="198"/>
        <v>Palma_Aceite Hibrido (OxG)</v>
      </c>
      <c r="Q770" s="212" t="s">
        <v>142</v>
      </c>
      <c r="R770" s="212" t="s">
        <v>142</v>
      </c>
      <c r="S770" s="212"/>
      <c r="T770" s="212"/>
      <c r="U770" s="212"/>
      <c r="V770" s="212" t="s">
        <v>142</v>
      </c>
      <c r="W770" s="212" t="str">
        <f t="shared" si="192"/>
        <v/>
      </c>
      <c r="X770" s="214"/>
    </row>
    <row r="771" spans="1:24" ht="15">
      <c r="A771" s="211" t="s">
        <v>3774</v>
      </c>
      <c r="B771" s="225" t="s">
        <v>301</v>
      </c>
      <c r="C771" s="212" t="s">
        <v>69</v>
      </c>
      <c r="D771" s="212" t="s">
        <v>145</v>
      </c>
      <c r="E771" s="212" t="s">
        <v>146</v>
      </c>
      <c r="F771" s="212" t="s">
        <v>167</v>
      </c>
      <c r="G771" s="212" t="s">
        <v>118</v>
      </c>
      <c r="H771" s="212" t="s">
        <v>292</v>
      </c>
      <c r="I771" s="212" t="s">
        <v>293</v>
      </c>
      <c r="J771" s="212" t="s">
        <v>249</v>
      </c>
      <c r="K771" s="212" t="s">
        <v>4077</v>
      </c>
      <c r="L771" s="212" t="s">
        <v>294</v>
      </c>
      <c r="M771" s="213">
        <v>6</v>
      </c>
      <c r="N771" s="441" cm="1">
        <f t="array" ref="N771">IF(TRIM(K771)="Mano de Obra",IF(Formulario!$L$23&lt;&gt;"",Formulario!$L$23,IFERROR(VLOOKUP(TRIM($M$4),Jornalesdeppto!A:C,3,0),"")),_xlfn.XLOOKUP(1,(Tabla_Costos_Insumos!$A$2:$A$3199=TRIM($M$4))*(Tabla_Costos_Insumos!$C$2:$C$3199=TRIM(K771)),Tabla_Costos_Insumos!$E$2:$E$3199,"",0))</f>
        <v>36066.666666664285</v>
      </c>
      <c r="O771" s="441">
        <f t="shared" si="183"/>
        <v>216399.99999998571</v>
      </c>
      <c r="P771" s="212" t="str">
        <f t="shared" si="198"/>
        <v>Palma_Aceite Hibrido (OxG)</v>
      </c>
      <c r="Q771" s="212" t="s">
        <v>142</v>
      </c>
      <c r="R771" s="212" t="s">
        <v>142</v>
      </c>
      <c r="S771" s="212"/>
      <c r="T771" s="212"/>
      <c r="U771" s="212"/>
      <c r="V771" s="212" t="s">
        <v>142</v>
      </c>
      <c r="W771" s="212" t="str">
        <f t="shared" si="192"/>
        <v/>
      </c>
      <c r="X771" s="214"/>
    </row>
    <row r="772" spans="1:24" ht="15">
      <c r="A772" s="211" t="s">
        <v>3774</v>
      </c>
      <c r="B772" s="225" t="s">
        <v>301</v>
      </c>
      <c r="C772" s="212" t="s">
        <v>69</v>
      </c>
      <c r="D772" s="212" t="s">
        <v>145</v>
      </c>
      <c r="E772" s="212" t="s">
        <v>146</v>
      </c>
      <c r="F772" s="212" t="s">
        <v>167</v>
      </c>
      <c r="G772" s="212" t="s">
        <v>118</v>
      </c>
      <c r="H772" s="212" t="s">
        <v>168</v>
      </c>
      <c r="I772" s="212" t="s">
        <v>169</v>
      </c>
      <c r="J772" s="212" t="s">
        <v>170</v>
      </c>
      <c r="K772" s="212" t="s">
        <v>295</v>
      </c>
      <c r="L772" s="212" t="s">
        <v>261</v>
      </c>
      <c r="M772" s="213">
        <v>14</v>
      </c>
      <c r="N772" s="441" cm="1">
        <f t="array" ref="N772">IF(TRIM(K772)="Mano de Obra",IF(Formulario!$L$23&lt;&gt;"",Formulario!$L$23,IFERROR(VLOOKUP(TRIM($M$4),Jornalesdeppto!A:C,3,0),"")),_xlfn.XLOOKUP(1,(Tabla_Costos_Insumos!$A$2:$A$3199=TRIM($M$4))*(Tabla_Costos_Insumos!$C$2:$C$3199=TRIM(K772)),Tabla_Costos_Insumos!$E$2:$E$3199,"",0))</f>
        <v>29269.489247313439</v>
      </c>
      <c r="O772" s="441">
        <f t="shared" si="183"/>
        <v>409772.84946238814</v>
      </c>
      <c r="P772" s="212" t="str">
        <f t="shared" si="198"/>
        <v>Palma_Aceite Hibrido (OxG)</v>
      </c>
      <c r="Q772" s="212" t="s">
        <v>142</v>
      </c>
      <c r="R772" s="212" t="s">
        <v>142</v>
      </c>
      <c r="S772" s="212"/>
      <c r="T772" s="212"/>
      <c r="U772" s="212"/>
      <c r="V772" s="212" t="s">
        <v>142</v>
      </c>
      <c r="W772" s="212" t="str">
        <f t="shared" si="192"/>
        <v/>
      </c>
      <c r="X772" s="214"/>
    </row>
    <row r="773" spans="1:24" ht="15">
      <c r="A773" s="211" t="s">
        <v>3774</v>
      </c>
      <c r="B773" s="225" t="s">
        <v>301</v>
      </c>
      <c r="C773" s="212" t="s">
        <v>69</v>
      </c>
      <c r="D773" s="212" t="s">
        <v>145</v>
      </c>
      <c r="E773" s="212" t="s">
        <v>146</v>
      </c>
      <c r="F773" s="212" t="s">
        <v>167</v>
      </c>
      <c r="G773" s="212" t="s">
        <v>118</v>
      </c>
      <c r="H773" s="212" t="s">
        <v>168</v>
      </c>
      <c r="I773" s="212" t="s">
        <v>169</v>
      </c>
      <c r="J773" s="212" t="s">
        <v>170</v>
      </c>
      <c r="K773" s="212" t="s">
        <v>296</v>
      </c>
      <c r="L773" s="212" t="s">
        <v>226</v>
      </c>
      <c r="M773" s="213">
        <v>18</v>
      </c>
      <c r="N773" s="441" cm="1">
        <f t="array" ref="N773">IF(TRIM(K773)="Mano de Obra",IF(Formulario!$L$23&lt;&gt;"",Formulario!$L$23,IFERROR(VLOOKUP(TRIM($M$4),Jornalesdeppto!A:C,3,0),"")),_xlfn.XLOOKUP(1,(Tabla_Costos_Insumos!$A$2:$A$3199=TRIM($M$4))*(Tabla_Costos_Insumos!$C$2:$C$3199=TRIM(K773)),Tabla_Costos_Insumos!$E$2:$E$3199,"",0))</f>
        <v>23167.62</v>
      </c>
      <c r="O773" s="441">
        <f t="shared" si="183"/>
        <v>417017.16</v>
      </c>
      <c r="P773" s="212" t="str">
        <f t="shared" si="198"/>
        <v>Palma_Aceite Hibrido (OxG)</v>
      </c>
      <c r="Q773" s="212" t="s">
        <v>142</v>
      </c>
      <c r="R773" s="212" t="s">
        <v>142</v>
      </c>
      <c r="S773" s="212"/>
      <c r="T773" s="212"/>
      <c r="U773" s="212"/>
      <c r="V773" s="212" t="s">
        <v>142</v>
      </c>
      <c r="W773" s="212" t="str">
        <f t="shared" si="192"/>
        <v/>
      </c>
      <c r="X773" s="214"/>
    </row>
    <row r="774" spans="1:24" ht="15">
      <c r="A774" s="211" t="s">
        <v>3774</v>
      </c>
      <c r="B774" s="225" t="s">
        <v>301</v>
      </c>
      <c r="C774" s="212" t="s">
        <v>69</v>
      </c>
      <c r="D774" s="212" t="s">
        <v>145</v>
      </c>
      <c r="E774" s="212" t="s">
        <v>146</v>
      </c>
      <c r="F774" s="212" t="s">
        <v>167</v>
      </c>
      <c r="G774" s="212" t="s">
        <v>118</v>
      </c>
      <c r="H774" s="212" t="s">
        <v>174</v>
      </c>
      <c r="I774" s="212" t="s">
        <v>175</v>
      </c>
      <c r="J774" s="212" t="s">
        <v>176</v>
      </c>
      <c r="K774" s="212" t="s">
        <v>231</v>
      </c>
      <c r="L774" s="212" t="s">
        <v>172</v>
      </c>
      <c r="M774" s="213">
        <v>4</v>
      </c>
      <c r="N774" s="441" cm="1">
        <f t="array" ref="N774">IF(TRIM(K774)="Mano de Obra",IF(Formulario!$L$23&lt;&gt;"",Formulario!$L$23,IFERROR(VLOOKUP(TRIM($M$4),Jornalesdeppto!A:C,3,0),"")),_xlfn.XLOOKUP(1,(Tabla_Costos_Insumos!$A$2:$A$3199=TRIM($M$4))*(Tabla_Costos_Insumos!$C$2:$C$3199=TRIM(K774)),Tabla_Costos_Insumos!$E$2:$E$3199,"",0))</f>
        <v>23177.15</v>
      </c>
      <c r="O774" s="441">
        <f t="shared" si="183"/>
        <v>92708.6</v>
      </c>
      <c r="P774" s="212" t="str">
        <f t="shared" si="198"/>
        <v>Palma_Aceite Hibrido (OxG)</v>
      </c>
      <c r="Q774" s="212" t="s">
        <v>142</v>
      </c>
      <c r="R774" s="212" t="s">
        <v>142</v>
      </c>
      <c r="S774" s="212"/>
      <c r="T774" s="212"/>
      <c r="U774" s="212"/>
      <c r="V774" s="212" t="s">
        <v>142</v>
      </c>
      <c r="W774" s="212" t="str">
        <f t="shared" si="192"/>
        <v/>
      </c>
      <c r="X774" s="214"/>
    </row>
    <row r="775" spans="1:24" ht="15">
      <c r="A775" s="211" t="s">
        <v>3774</v>
      </c>
      <c r="B775" s="225" t="s">
        <v>301</v>
      </c>
      <c r="C775" s="212" t="s">
        <v>69</v>
      </c>
      <c r="D775" s="212" t="s">
        <v>145</v>
      </c>
      <c r="E775" s="212" t="s">
        <v>146</v>
      </c>
      <c r="F775" s="212" t="s">
        <v>167</v>
      </c>
      <c r="G775" s="212" t="s">
        <v>118</v>
      </c>
      <c r="H775" s="212" t="s">
        <v>178</v>
      </c>
      <c r="I775" s="212" t="s">
        <v>179</v>
      </c>
      <c r="J775" s="212" t="s">
        <v>180</v>
      </c>
      <c r="K775" s="212" t="s">
        <v>305</v>
      </c>
      <c r="L775" s="212" t="s">
        <v>172</v>
      </c>
      <c r="M775" s="213">
        <v>5</v>
      </c>
      <c r="N775" s="441" cm="1">
        <f t="array" ref="N775">IF(TRIM(K775)="Mano de Obra",IF(Formulario!$L$23&lt;&gt;"",Formulario!$L$23,IFERROR(VLOOKUP(TRIM($M$4),Jornalesdeppto!A:C,3,0),"")),_xlfn.XLOOKUP(1,(Tabla_Costos_Insumos!$A$2:$A$3199=TRIM($M$4))*(Tabla_Costos_Insumos!$C$2:$C$3199=TRIM(K775)),Tabla_Costos_Insumos!$E$2:$E$3199,"",0))</f>
        <v>72327.89</v>
      </c>
      <c r="O775" s="441">
        <f t="shared" si="183"/>
        <v>361639.45</v>
      </c>
      <c r="P775" s="212" t="str">
        <f t="shared" si="198"/>
        <v>Palma_Aceite Hibrido (OxG)</v>
      </c>
      <c r="Q775" s="212" t="s">
        <v>142</v>
      </c>
      <c r="R775" s="212" t="s">
        <v>142</v>
      </c>
      <c r="S775" s="212"/>
      <c r="T775" s="212"/>
      <c r="U775" s="212"/>
      <c r="V775" s="212" t="s">
        <v>142</v>
      </c>
      <c r="W775" s="212" t="str">
        <f t="shared" si="192"/>
        <v/>
      </c>
      <c r="X775" s="214"/>
    </row>
    <row r="776" spans="1:24" ht="15">
      <c r="A776" s="211" t="s">
        <v>3774</v>
      </c>
      <c r="B776" s="225" t="s">
        <v>301</v>
      </c>
      <c r="C776" s="212" t="s">
        <v>69</v>
      </c>
      <c r="D776" s="212" t="s">
        <v>145</v>
      </c>
      <c r="E776" s="212" t="s">
        <v>146</v>
      </c>
      <c r="F776" s="212" t="s">
        <v>167</v>
      </c>
      <c r="G776" s="212" t="s">
        <v>118</v>
      </c>
      <c r="H776" s="212" t="s">
        <v>178</v>
      </c>
      <c r="I776" s="212" t="s">
        <v>179</v>
      </c>
      <c r="J776" s="212" t="s">
        <v>180</v>
      </c>
      <c r="K776" s="212" t="s">
        <v>263</v>
      </c>
      <c r="L776" s="212" t="s">
        <v>172</v>
      </c>
      <c r="M776" s="213">
        <v>5</v>
      </c>
      <c r="N776" s="441" cm="1">
        <f t="array" ref="N776">IF(TRIM(K776)="Mano de Obra",IF(Formulario!$L$23&lt;&gt;"",Formulario!$L$23,IFERROR(VLOOKUP(TRIM($M$4),Jornalesdeppto!A:C,3,0),"")),_xlfn.XLOOKUP(1,(Tabla_Costos_Insumos!$A$2:$A$3199=TRIM($M$4))*(Tabla_Costos_Insumos!$C$2:$C$3199=TRIM(K776)),Tabla_Costos_Insumos!$E$2:$E$3199,"",0))</f>
        <v>210423.61</v>
      </c>
      <c r="O776" s="441">
        <f t="shared" si="183"/>
        <v>1052118.0499999998</v>
      </c>
      <c r="P776" s="212" t="str">
        <f t="shared" si="198"/>
        <v>Palma_Aceite Hibrido (OxG)</v>
      </c>
      <c r="Q776" s="212" t="s">
        <v>142</v>
      </c>
      <c r="R776" s="212" t="s">
        <v>142</v>
      </c>
      <c r="S776" s="212"/>
      <c r="T776" s="212"/>
      <c r="U776" s="212"/>
      <c r="V776" s="212" t="s">
        <v>142</v>
      </c>
      <c r="W776" s="212" t="str">
        <f t="shared" si="192"/>
        <v/>
      </c>
      <c r="X776" s="214"/>
    </row>
    <row r="777" spans="1:24" ht="15">
      <c r="A777" s="211" t="s">
        <v>3774</v>
      </c>
      <c r="B777" s="225" t="s">
        <v>301</v>
      </c>
      <c r="C777" s="212" t="s">
        <v>69</v>
      </c>
      <c r="D777" s="212" t="s">
        <v>145</v>
      </c>
      <c r="E777" s="212" t="s">
        <v>146</v>
      </c>
      <c r="F777" s="212" t="s">
        <v>183</v>
      </c>
      <c r="G777" s="212" t="s">
        <v>184</v>
      </c>
      <c r="H777" s="212" t="s">
        <v>185</v>
      </c>
      <c r="I777" s="212" t="s">
        <v>186</v>
      </c>
      <c r="J777" s="212" t="s">
        <v>105</v>
      </c>
      <c r="K777" s="212" t="s">
        <v>187</v>
      </c>
      <c r="L777" s="212" t="s">
        <v>188</v>
      </c>
      <c r="M777" s="213">
        <v>0.1</v>
      </c>
      <c r="N777" s="441" cm="1">
        <f t="array" ref="N777">IF(TRIM(K777)="Mano de Obra",IF(Formulario!$L$23&lt;&gt;"",Formulario!$L$23,IFERROR(VLOOKUP(TRIM($M$4),Jornalesdeppto!A:C,3,0),"")),_xlfn.XLOOKUP(1,(Tabla_Costos_Insumos!$A$2:$A$3199=TRIM($M$4))*(Tabla_Costos_Insumos!$C$2:$C$3199=TRIM(K777)),Tabla_Costos_Insumos!$E$2:$E$3199,"",0))</f>
        <v>175000</v>
      </c>
      <c r="O777" s="441">
        <f t="shared" si="183"/>
        <v>17500</v>
      </c>
      <c r="P777" s="212" t="str">
        <f t="shared" si="198"/>
        <v>Palma_Aceite Hibrido (OxG)</v>
      </c>
      <c r="Q777" s="212" t="s">
        <v>142</v>
      </c>
      <c r="R777" s="212" t="s">
        <v>142</v>
      </c>
      <c r="S777" s="212"/>
      <c r="T777" s="212"/>
      <c r="U777" s="212"/>
      <c r="V777" s="212" t="s">
        <v>142</v>
      </c>
      <c r="W777" s="212" t="str">
        <f t="shared" si="192"/>
        <v/>
      </c>
      <c r="X777" s="214"/>
    </row>
    <row r="778" spans="1:24" ht="15">
      <c r="A778" s="211" t="s">
        <v>3774</v>
      </c>
      <c r="B778" s="225" t="s">
        <v>301</v>
      </c>
      <c r="C778" s="212" t="s">
        <v>69</v>
      </c>
      <c r="D778" s="212" t="s">
        <v>189</v>
      </c>
      <c r="E778" s="212" t="s">
        <v>190</v>
      </c>
      <c r="F778" s="212" t="s">
        <v>191</v>
      </c>
      <c r="G778" s="212" t="s">
        <v>192</v>
      </c>
      <c r="H778" s="212" t="s">
        <v>193</v>
      </c>
      <c r="I778" s="212" t="s">
        <v>194</v>
      </c>
      <c r="J778" s="212" t="s">
        <v>195</v>
      </c>
      <c r="K778" s="212" t="s">
        <v>196</v>
      </c>
      <c r="L778" s="212" t="s">
        <v>197</v>
      </c>
      <c r="M778" s="213">
        <v>1</v>
      </c>
      <c r="N778" s="441">
        <f>IFERROR(SUM(O760:$O$777)*0.08,0)</f>
        <v>604221.6623408274</v>
      </c>
      <c r="O778" s="441">
        <f t="shared" ref="O778:O841" si="203">IF(OR(N778=0,N778=""),"",N778*M778)</f>
        <v>604221.6623408274</v>
      </c>
      <c r="P778" s="212" t="str">
        <f t="shared" si="198"/>
        <v>Palma_Aceite Hibrido (OxG)</v>
      </c>
      <c r="Q778" s="212" t="s">
        <v>142</v>
      </c>
      <c r="R778" s="212" t="s">
        <v>142</v>
      </c>
      <c r="S778" s="212"/>
      <c r="T778" s="212"/>
      <c r="U778" s="212"/>
      <c r="V778" s="212" t="s">
        <v>142</v>
      </c>
      <c r="W778" s="212" t="str">
        <f t="shared" si="192"/>
        <v/>
      </c>
      <c r="X778" s="214"/>
    </row>
    <row r="779" spans="1:24" ht="15">
      <c r="A779" s="211" t="s">
        <v>3774</v>
      </c>
      <c r="B779" s="225" t="s">
        <v>301</v>
      </c>
      <c r="C779" s="212" t="s">
        <v>69</v>
      </c>
      <c r="D779" s="212" t="s">
        <v>189</v>
      </c>
      <c r="E779" s="212" t="s">
        <v>190</v>
      </c>
      <c r="F779" s="212" t="s">
        <v>198</v>
      </c>
      <c r="G779" s="212" t="s">
        <v>199</v>
      </c>
      <c r="H779" s="212" t="s">
        <v>200</v>
      </c>
      <c r="I779" s="212" t="s">
        <v>201</v>
      </c>
      <c r="J779" s="212" t="s">
        <v>105</v>
      </c>
      <c r="K779" s="212" t="s">
        <v>202</v>
      </c>
      <c r="L779" s="212" t="s">
        <v>203</v>
      </c>
      <c r="M779" s="213">
        <v>1</v>
      </c>
      <c r="N779" s="441" cm="1">
        <f t="array" ref="N779">IF(TRIM(K779)="Mano de Obra",IF(Formulario!$L$23&lt;&gt;"",Formulario!$L$23,IFERROR(VLOOKUP(TRIM($M$4),Jornalesdeppto!A:C,3,0),"")),_xlfn.XLOOKUP(1,(Tabla_Costos_Insumos!$A$2:$A$3199=TRIM($M$4))*(Tabla_Costos_Insumos!$C$2:$C$3199=TRIM(K779)),Tabla_Costos_Insumos!$E$2:$E$3199,"",0))</f>
        <v>120000</v>
      </c>
      <c r="O779" s="441">
        <f t="shared" si="203"/>
        <v>120000</v>
      </c>
      <c r="P779" s="212" t="str">
        <f t="shared" si="198"/>
        <v>Palma_Aceite Hibrido (OxG)</v>
      </c>
      <c r="Q779" s="212" t="s">
        <v>142</v>
      </c>
      <c r="R779" s="212" t="s">
        <v>142</v>
      </c>
      <c r="S779" s="212"/>
      <c r="T779" s="212"/>
      <c r="U779" s="212"/>
      <c r="V779" s="212" t="s">
        <v>142</v>
      </c>
      <c r="W779" s="212" t="str">
        <f t="shared" si="192"/>
        <v/>
      </c>
      <c r="X779" s="214"/>
    </row>
    <row r="780" spans="1:24" ht="15">
      <c r="A780" s="211" t="s">
        <v>3774</v>
      </c>
      <c r="B780" s="225" t="s">
        <v>301</v>
      </c>
      <c r="C780" s="212" t="s">
        <v>69</v>
      </c>
      <c r="D780" s="212" t="s">
        <v>189</v>
      </c>
      <c r="E780" s="212" t="s">
        <v>190</v>
      </c>
      <c r="F780" s="212" t="s">
        <v>204</v>
      </c>
      <c r="G780" s="212" t="s">
        <v>205</v>
      </c>
      <c r="H780" s="212" t="s">
        <v>206</v>
      </c>
      <c r="I780" s="212" t="s">
        <v>207</v>
      </c>
      <c r="J780" s="212" t="s">
        <v>4127</v>
      </c>
      <c r="K780" s="212" t="s">
        <v>228</v>
      </c>
      <c r="L780" s="212" t="s">
        <v>197</v>
      </c>
      <c r="M780" s="213">
        <v>1</v>
      </c>
      <c r="N780" s="441" t="str">
        <f>IF($M$3="Palma_Aceite Hibrido (OxG)",($J$4),"")</f>
        <v/>
      </c>
      <c r="O780" s="441" t="str">
        <f t="shared" si="203"/>
        <v/>
      </c>
      <c r="P780" s="212" t="str">
        <f t="shared" si="198"/>
        <v>Palma_Aceite Hibrido (OxG)</v>
      </c>
      <c r="Q780" s="212" t="s">
        <v>142</v>
      </c>
      <c r="R780" s="212" t="s">
        <v>142</v>
      </c>
      <c r="S780" s="212"/>
      <c r="T780" s="212"/>
      <c r="U780" s="212"/>
      <c r="V780" s="212"/>
      <c r="W780" s="212"/>
      <c r="X780" s="214"/>
    </row>
    <row r="781" spans="1:24" ht="15">
      <c r="A781" s="211" t="s">
        <v>306</v>
      </c>
      <c r="B781" s="225" t="s">
        <v>307</v>
      </c>
      <c r="C781" s="216" t="s">
        <v>53</v>
      </c>
      <c r="D781" s="216" t="s">
        <v>99</v>
      </c>
      <c r="E781" s="216" t="s">
        <v>100</v>
      </c>
      <c r="F781" s="216" t="s">
        <v>101</v>
      </c>
      <c r="G781" s="216" t="s">
        <v>102</v>
      </c>
      <c r="H781" s="216" t="s">
        <v>212</v>
      </c>
      <c r="I781" s="216" t="s">
        <v>213</v>
      </c>
      <c r="J781" s="216" t="s">
        <v>105</v>
      </c>
      <c r="K781" s="216" t="s">
        <v>106</v>
      </c>
      <c r="L781" s="216" t="s">
        <v>107</v>
      </c>
      <c r="M781" s="217">
        <f t="shared" ref="M781:M790" si="204">IF(W781&lt;&gt;"", W781, ROUNDUP(X781*T781, 0))</f>
        <v>26</v>
      </c>
      <c r="N781" s="442" cm="1">
        <f t="array" ref="N781">IF(TRIM(K781)="Mano de Obra",IF(Formulario!$L$23&lt;&gt;"",Formulario!$L$23,IFERROR(VLOOKUP(TRIM($M$4),Jornalesdeppto!A:C,3,0),"")),_xlfn.XLOOKUP(1,(Tabla_Costos_Insumos!$A$2:$A$3199=TRIM($M$4))*(Tabla_Costos_Insumos!$C$2:$C$3199=TRIM(K781)),Tabla_Costos_Insumos!$E$2:$E$3199,"",0))</f>
        <v>46666.666666666664</v>
      </c>
      <c r="O781" s="442">
        <f t="shared" si="203"/>
        <v>1213333.3333333333</v>
      </c>
      <c r="P781" s="216" t="str">
        <f t="shared" si="198"/>
        <v>Plátano Domínico hartón</v>
      </c>
      <c r="Q781" s="212" t="s">
        <v>108</v>
      </c>
      <c r="R781" s="212">
        <v>6</v>
      </c>
      <c r="S781" s="212">
        <f>IF($M$3="Plátano Domínico hartón",($I$3*R781) / 480,"")</f>
        <v>19.25</v>
      </c>
      <c r="T781" s="212" cm="1">
        <f t="array" ref="T781">_xlfn.IFS($D$5&lt;=7, 1.1, $D$5&lt;=12,1.2, $D$5&lt;=25, 1.3, $D$5&gt;25,1.4)</f>
        <v>1.3</v>
      </c>
      <c r="U781" s="212">
        <f>IFERROR(S781*T781,"")</f>
        <v>25.025000000000002</v>
      </c>
      <c r="V781" s="212">
        <v>1</v>
      </c>
      <c r="W781" s="212">
        <f t="shared" si="192"/>
        <v>26</v>
      </c>
      <c r="X781" s="214">
        <v>10</v>
      </c>
    </row>
    <row r="782" spans="1:24" ht="15">
      <c r="A782" s="211" t="s">
        <v>306</v>
      </c>
      <c r="B782" s="225" t="s">
        <v>307</v>
      </c>
      <c r="C782" s="216" t="s">
        <v>53</v>
      </c>
      <c r="D782" s="216" t="s">
        <v>99</v>
      </c>
      <c r="E782" s="216" t="s">
        <v>100</v>
      </c>
      <c r="F782" s="216" t="s">
        <v>101</v>
      </c>
      <c r="G782" s="216" t="s">
        <v>102</v>
      </c>
      <c r="H782" s="216" t="s">
        <v>214</v>
      </c>
      <c r="I782" s="216" t="s">
        <v>20</v>
      </c>
      <c r="J782" s="216" t="s">
        <v>105</v>
      </c>
      <c r="K782" s="216" t="s">
        <v>106</v>
      </c>
      <c r="L782" s="216" t="s">
        <v>107</v>
      </c>
      <c r="M782" s="217">
        <f t="shared" si="204"/>
        <v>3</v>
      </c>
      <c r="N782" s="442" cm="1">
        <f t="array" ref="N782">IF(TRIM(K782)="Mano de Obra",IF(Formulario!$L$23&lt;&gt;"",Formulario!$L$23,IFERROR(VLOOKUP(TRIM($M$4),Jornalesdeppto!A:C,3,0),"")),_xlfn.XLOOKUP(1,(Tabla_Costos_Insumos!$A$2:$A$3199=TRIM($M$4))*(Tabla_Costos_Insumos!$C$2:$C$3199=TRIM(K782)),Tabla_Costos_Insumos!$E$2:$E$3199,"",0))</f>
        <v>46666.666666666664</v>
      </c>
      <c r="O782" s="442">
        <f t="shared" si="203"/>
        <v>140000</v>
      </c>
      <c r="P782" s="216" t="str">
        <f t="shared" si="198"/>
        <v>Plátano Domínico hartón</v>
      </c>
      <c r="Q782" s="212" t="s">
        <v>108</v>
      </c>
      <c r="R782" s="212">
        <v>0.5</v>
      </c>
      <c r="S782" s="212">
        <v>1.1000000000000001</v>
      </c>
      <c r="T782" s="212" cm="1">
        <f t="array" ref="T782">_xlfn.IFS($D$5&lt;=7, 1.1, $D$5&lt;=12,1.2, $D$5&lt;=25, 1.3, $D$5&gt;25,1.4)</f>
        <v>1.3</v>
      </c>
      <c r="U782" s="212"/>
      <c r="V782" s="212">
        <v>0</v>
      </c>
      <c r="W782" s="212"/>
      <c r="X782" s="214">
        <v>2</v>
      </c>
    </row>
    <row r="783" spans="1:24" ht="15">
      <c r="A783" s="211" t="s">
        <v>306</v>
      </c>
      <c r="B783" s="225" t="s">
        <v>307</v>
      </c>
      <c r="C783" s="216" t="s">
        <v>53</v>
      </c>
      <c r="D783" s="216" t="s">
        <v>99</v>
      </c>
      <c r="E783" s="216" t="s">
        <v>100</v>
      </c>
      <c r="F783" s="216" t="s">
        <v>109</v>
      </c>
      <c r="G783" s="216" t="s">
        <v>110</v>
      </c>
      <c r="H783" s="216" t="s">
        <v>234</v>
      </c>
      <c r="I783" s="216" t="s">
        <v>235</v>
      </c>
      <c r="J783" s="216" t="s">
        <v>105</v>
      </c>
      <c r="K783" s="216" t="s">
        <v>106</v>
      </c>
      <c r="L783" s="216" t="s">
        <v>107</v>
      </c>
      <c r="M783" s="217">
        <f t="shared" si="204"/>
        <v>17</v>
      </c>
      <c r="N783" s="442" cm="1">
        <f t="array" ref="N783">IF(TRIM(K783)="Mano de Obra",IF(Formulario!$L$23&lt;&gt;"",Formulario!$L$23,IFERROR(VLOOKUP(TRIM($M$4),Jornalesdeppto!A:C,3,0),"")),_xlfn.XLOOKUP(1,(Tabla_Costos_Insumos!$A$2:$A$3199=TRIM($M$4))*(Tabla_Costos_Insumos!$C$2:$C$3199=TRIM(K783)),Tabla_Costos_Insumos!$E$2:$E$3199,"",0))</f>
        <v>46666.666666666664</v>
      </c>
      <c r="O783" s="442">
        <f t="shared" si="203"/>
        <v>793333.33333333326</v>
      </c>
      <c r="P783" s="216" t="str">
        <f t="shared" si="198"/>
        <v>Plátano Domínico hartón</v>
      </c>
      <c r="Q783" s="212" t="s">
        <v>108</v>
      </c>
      <c r="R783" s="212">
        <v>2</v>
      </c>
      <c r="S783" s="212">
        <f t="shared" ref="S783:S788" si="205">IF($M$3="Plátano Domínico hartón",($I$3*R783) / 480,"")</f>
        <v>6.416666666666667</v>
      </c>
      <c r="T783" s="212" cm="1">
        <f t="array" ref="T783">_xlfn.IFS($D$5&lt;=7, 1.1, $D$5&lt;=12,1.2, $D$5&lt;=25, 1.3, $D$5&gt;25,1.4)</f>
        <v>1.3</v>
      </c>
      <c r="U783" s="212">
        <f t="shared" ref="U783:U788" si="206">IFERROR(S783*T783,"")</f>
        <v>8.3416666666666668</v>
      </c>
      <c r="V783" s="212">
        <v>2</v>
      </c>
      <c r="W783" s="212">
        <f t="shared" si="192"/>
        <v>17</v>
      </c>
      <c r="X783" s="214">
        <v>4</v>
      </c>
    </row>
    <row r="784" spans="1:24" ht="15">
      <c r="A784" s="211" t="s">
        <v>306</v>
      </c>
      <c r="B784" s="225" t="s">
        <v>307</v>
      </c>
      <c r="C784" s="216" t="s">
        <v>53</v>
      </c>
      <c r="D784" s="216" t="s">
        <v>99</v>
      </c>
      <c r="E784" s="216" t="s">
        <v>100</v>
      </c>
      <c r="F784" s="216" t="s">
        <v>109</v>
      </c>
      <c r="G784" s="216" t="s">
        <v>110</v>
      </c>
      <c r="H784" s="216" t="s">
        <v>215</v>
      </c>
      <c r="I784" s="216" t="s">
        <v>216</v>
      </c>
      <c r="J784" s="216" t="s">
        <v>105</v>
      </c>
      <c r="K784" s="216" t="s">
        <v>106</v>
      </c>
      <c r="L784" s="216" t="s">
        <v>107</v>
      </c>
      <c r="M784" s="217">
        <f t="shared" si="204"/>
        <v>21</v>
      </c>
      <c r="N784" s="442" cm="1">
        <f t="array" ref="N784">IF(TRIM(K784)="Mano de Obra",IF(Formulario!$L$23&lt;&gt;"",Formulario!$L$23,IFERROR(VLOOKUP(TRIM($M$4),Jornalesdeppto!A:C,3,0),"")),_xlfn.XLOOKUP(1,(Tabla_Costos_Insumos!$A$2:$A$3199=TRIM($M$4))*(Tabla_Costos_Insumos!$C$2:$C$3199=TRIM(K784)),Tabla_Costos_Insumos!$E$2:$E$3199,"",0))</f>
        <v>46666.666666666664</v>
      </c>
      <c r="O784" s="442">
        <f t="shared" si="203"/>
        <v>980000</v>
      </c>
      <c r="P784" s="216" t="str">
        <f t="shared" si="198"/>
        <v>Plátano Domínico hartón</v>
      </c>
      <c r="Q784" s="212" t="s">
        <v>108</v>
      </c>
      <c r="R784" s="212">
        <v>5</v>
      </c>
      <c r="S784" s="212">
        <f t="shared" si="205"/>
        <v>16.041666666666668</v>
      </c>
      <c r="T784" s="212" cm="1">
        <f t="array" ref="T784">_xlfn.IFS($D$5&lt;=7, 1.1, $D$5&lt;=12,1.2, $D$5&lt;=25, 1.3, $D$5&gt;25,1.4)</f>
        <v>1.3</v>
      </c>
      <c r="U784" s="212">
        <f t="shared" si="206"/>
        <v>20.854166666666668</v>
      </c>
      <c r="V784" s="212">
        <v>1</v>
      </c>
      <c r="W784" s="212">
        <f t="shared" si="192"/>
        <v>21</v>
      </c>
      <c r="X784" s="214">
        <v>1</v>
      </c>
    </row>
    <row r="785" spans="1:24" ht="15">
      <c r="A785" s="211" t="s">
        <v>306</v>
      </c>
      <c r="B785" s="225" t="s">
        <v>307</v>
      </c>
      <c r="C785" s="216" t="s">
        <v>53</v>
      </c>
      <c r="D785" s="216" t="s">
        <v>99</v>
      </c>
      <c r="E785" s="216" t="s">
        <v>100</v>
      </c>
      <c r="F785" s="216" t="s">
        <v>109</v>
      </c>
      <c r="G785" s="216" t="s">
        <v>110</v>
      </c>
      <c r="H785" s="216" t="s">
        <v>217</v>
      </c>
      <c r="I785" s="216" t="s">
        <v>218</v>
      </c>
      <c r="J785" s="216" t="s">
        <v>105</v>
      </c>
      <c r="K785" s="216" t="s">
        <v>106</v>
      </c>
      <c r="L785" s="216" t="s">
        <v>107</v>
      </c>
      <c r="M785" s="217">
        <f t="shared" si="204"/>
        <v>21</v>
      </c>
      <c r="N785" s="442" cm="1">
        <f t="array" ref="N785">IF(TRIM(K785)="Mano de Obra",IF(Formulario!$L$23&lt;&gt;"",Formulario!$L$23,IFERROR(VLOOKUP(TRIM($M$4),Jornalesdeppto!A:C,3,0),"")),_xlfn.XLOOKUP(1,(Tabla_Costos_Insumos!$A$2:$A$3199=TRIM($M$4))*(Tabla_Costos_Insumos!$C$2:$C$3199=TRIM(K785)),Tabla_Costos_Insumos!$E$2:$E$3199,"",0))</f>
        <v>46666.666666666664</v>
      </c>
      <c r="O785" s="442">
        <f t="shared" si="203"/>
        <v>980000</v>
      </c>
      <c r="P785" s="216" t="str">
        <f t="shared" si="198"/>
        <v>Plátano Domínico hartón</v>
      </c>
      <c r="Q785" s="212" t="s">
        <v>108</v>
      </c>
      <c r="R785" s="212">
        <v>5</v>
      </c>
      <c r="S785" s="212">
        <f t="shared" si="205"/>
        <v>16.041666666666668</v>
      </c>
      <c r="T785" s="212" cm="1">
        <f t="array" ref="T785">_xlfn.IFS($D$5&lt;=7, 1.1, $D$5&lt;=12,1.2, $D$5&lt;=25, 1.3, $D$5&gt;25,1.4)</f>
        <v>1.3</v>
      </c>
      <c r="U785" s="212">
        <f t="shared" si="206"/>
        <v>20.854166666666668</v>
      </c>
      <c r="V785" s="212">
        <v>1</v>
      </c>
      <c r="W785" s="212">
        <f t="shared" si="192"/>
        <v>21</v>
      </c>
      <c r="X785" s="214">
        <v>9</v>
      </c>
    </row>
    <row r="786" spans="1:24" ht="15">
      <c r="A786" s="211" t="s">
        <v>306</v>
      </c>
      <c r="B786" s="225" t="s">
        <v>307</v>
      </c>
      <c r="C786" s="216" t="s">
        <v>53</v>
      </c>
      <c r="D786" s="216" t="s">
        <v>99</v>
      </c>
      <c r="E786" s="216" t="s">
        <v>100</v>
      </c>
      <c r="F786" s="216" t="s">
        <v>113</v>
      </c>
      <c r="G786" s="216" t="s">
        <v>114</v>
      </c>
      <c r="H786" s="216" t="s">
        <v>272</v>
      </c>
      <c r="I786" s="216" t="s">
        <v>273</v>
      </c>
      <c r="J786" s="216" t="s">
        <v>105</v>
      </c>
      <c r="K786" s="216" t="s">
        <v>106</v>
      </c>
      <c r="L786" s="216" t="s">
        <v>107</v>
      </c>
      <c r="M786" s="217">
        <f t="shared" si="204"/>
        <v>17</v>
      </c>
      <c r="N786" s="442" cm="1">
        <f t="array" ref="N786">IF(TRIM(K786)="Mano de Obra",IF(Formulario!$L$23&lt;&gt;"",Formulario!$L$23,IFERROR(VLOOKUP(TRIM($M$4),Jornalesdeppto!A:C,3,0),"")),_xlfn.XLOOKUP(1,(Tabla_Costos_Insumos!$A$2:$A$3199=TRIM($M$4))*(Tabla_Costos_Insumos!$C$2:$C$3199=TRIM(K786)),Tabla_Costos_Insumos!$E$2:$E$3199,"",0))</f>
        <v>46666.666666666664</v>
      </c>
      <c r="O786" s="442">
        <f t="shared" si="203"/>
        <v>793333.33333333326</v>
      </c>
      <c r="P786" s="216" t="str">
        <f t="shared" si="198"/>
        <v>Plátano Domínico hartón</v>
      </c>
      <c r="Q786" s="212" t="s">
        <v>108</v>
      </c>
      <c r="R786" s="212">
        <v>2</v>
      </c>
      <c r="S786" s="212">
        <f t="shared" si="205"/>
        <v>6.416666666666667</v>
      </c>
      <c r="T786" s="212" cm="1">
        <f t="array" ref="T786">_xlfn.IFS($D$5&lt;=7, 1.1, $D$5&lt;=12,1.2, $D$5&lt;=25, 1.3, $D$5&gt;25,1.4)</f>
        <v>1.3</v>
      </c>
      <c r="U786" s="212">
        <f t="shared" si="206"/>
        <v>8.3416666666666668</v>
      </c>
      <c r="V786" s="212">
        <v>2</v>
      </c>
      <c r="W786" s="212">
        <f t="shared" si="192"/>
        <v>17</v>
      </c>
      <c r="X786" s="214">
        <v>2</v>
      </c>
    </row>
    <row r="787" spans="1:24" ht="15">
      <c r="A787" s="211" t="s">
        <v>306</v>
      </c>
      <c r="B787" s="225" t="s">
        <v>307</v>
      </c>
      <c r="C787" s="216" t="s">
        <v>53</v>
      </c>
      <c r="D787" s="216" t="s">
        <v>99</v>
      </c>
      <c r="E787" s="216" t="s">
        <v>100</v>
      </c>
      <c r="F787" s="216" t="s">
        <v>117</v>
      </c>
      <c r="G787" s="216" t="s">
        <v>118</v>
      </c>
      <c r="H787" s="216" t="s">
        <v>119</v>
      </c>
      <c r="I787" s="216" t="s">
        <v>120</v>
      </c>
      <c r="J787" s="216" t="s">
        <v>105</v>
      </c>
      <c r="K787" s="216" t="s">
        <v>106</v>
      </c>
      <c r="L787" s="216" t="s">
        <v>107</v>
      </c>
      <c r="M787" s="217">
        <f t="shared" si="204"/>
        <v>19</v>
      </c>
      <c r="N787" s="442" cm="1">
        <f t="array" ref="N787">IF(TRIM(K787)="Mano de Obra",IF(Formulario!$L$23&lt;&gt;"",Formulario!$L$23,IFERROR(VLOOKUP(TRIM($M$4),Jornalesdeppto!A:C,3,0),"")),_xlfn.XLOOKUP(1,(Tabla_Costos_Insumos!$A$2:$A$3199=TRIM($M$4))*(Tabla_Costos_Insumos!$C$2:$C$3199=TRIM(K787)),Tabla_Costos_Insumos!$E$2:$E$3199,"",0))</f>
        <v>46666.666666666664</v>
      </c>
      <c r="O787" s="442">
        <f t="shared" si="203"/>
        <v>886666.66666666663</v>
      </c>
      <c r="P787" s="216" t="str">
        <f t="shared" si="198"/>
        <v>Plátano Domínico hartón</v>
      </c>
      <c r="Q787" s="212" t="s">
        <v>108</v>
      </c>
      <c r="R787" s="212">
        <v>0.5</v>
      </c>
      <c r="S787" s="212">
        <f t="shared" si="205"/>
        <v>1.6041666666666667</v>
      </c>
      <c r="T787" s="212" cm="1">
        <f t="array" ref="T787">_xlfn.IFS($D$5&lt;=7, 1.1, $D$5&lt;=12,1.2, $D$5&lt;=25, 1.3, $D$5&gt;25,1.4)</f>
        <v>1.3</v>
      </c>
      <c r="U787" s="212">
        <f t="shared" si="206"/>
        <v>2.0854166666666667</v>
      </c>
      <c r="V787" s="212">
        <v>9</v>
      </c>
      <c r="W787" s="212">
        <f t="shared" si="192"/>
        <v>19</v>
      </c>
      <c r="X787" s="214">
        <v>18</v>
      </c>
    </row>
    <row r="788" spans="1:24" ht="15">
      <c r="A788" s="211" t="s">
        <v>306</v>
      </c>
      <c r="B788" s="225" t="s">
        <v>307</v>
      </c>
      <c r="C788" s="216" t="s">
        <v>53</v>
      </c>
      <c r="D788" s="216" t="s">
        <v>99</v>
      </c>
      <c r="E788" s="216" t="s">
        <v>100</v>
      </c>
      <c r="F788" s="216" t="s">
        <v>117</v>
      </c>
      <c r="G788" s="216" t="s">
        <v>118</v>
      </c>
      <c r="H788" s="216" t="s">
        <v>121</v>
      </c>
      <c r="I788" s="216" t="s">
        <v>122</v>
      </c>
      <c r="J788" s="216" t="s">
        <v>105</v>
      </c>
      <c r="K788" s="216" t="s">
        <v>106</v>
      </c>
      <c r="L788" s="216" t="s">
        <v>107</v>
      </c>
      <c r="M788" s="217">
        <f t="shared" si="204"/>
        <v>19</v>
      </c>
      <c r="N788" s="442" cm="1">
        <f t="array" ref="N788">IF(TRIM(K788)="Mano de Obra",IF(Formulario!$L$23&lt;&gt;"",Formulario!$L$23,IFERROR(VLOOKUP(TRIM($M$4),Jornalesdeppto!A:C,3,0),"")),_xlfn.XLOOKUP(1,(Tabla_Costos_Insumos!$A$2:$A$3199=TRIM($M$4))*(Tabla_Costos_Insumos!$C$2:$C$3199=TRIM(K788)),Tabla_Costos_Insumos!$E$2:$E$3199,"",0))</f>
        <v>46666.666666666664</v>
      </c>
      <c r="O788" s="442">
        <f t="shared" si="203"/>
        <v>886666.66666666663</v>
      </c>
      <c r="P788" s="216" t="str">
        <f t="shared" si="198"/>
        <v>Plátano Domínico hartón</v>
      </c>
      <c r="Q788" s="212" t="s">
        <v>108</v>
      </c>
      <c r="R788" s="212">
        <v>0.5</v>
      </c>
      <c r="S788" s="212">
        <f t="shared" si="205"/>
        <v>1.6041666666666667</v>
      </c>
      <c r="T788" s="212" cm="1">
        <f t="array" ref="T788">_xlfn.IFS($D$5&lt;=7, 1.1, $D$5&lt;=12,1.2, $D$5&lt;=25, 1.3, $D$5&gt;25,1.4)</f>
        <v>1.3</v>
      </c>
      <c r="U788" s="212">
        <f t="shared" si="206"/>
        <v>2.0854166666666667</v>
      </c>
      <c r="V788" s="212">
        <v>9</v>
      </c>
      <c r="W788" s="212">
        <f t="shared" si="192"/>
        <v>19</v>
      </c>
      <c r="X788" s="214">
        <v>18</v>
      </c>
    </row>
    <row r="789" spans="1:24" ht="15">
      <c r="A789" s="211" t="s">
        <v>306</v>
      </c>
      <c r="B789" s="225" t="s">
        <v>307</v>
      </c>
      <c r="C789" s="216" t="s">
        <v>53</v>
      </c>
      <c r="D789" s="216" t="s">
        <v>99</v>
      </c>
      <c r="E789" s="216" t="s">
        <v>100</v>
      </c>
      <c r="F789" s="216" t="s">
        <v>123</v>
      </c>
      <c r="G789" s="216" t="s">
        <v>124</v>
      </c>
      <c r="H789" s="216" t="s">
        <v>125</v>
      </c>
      <c r="I789" s="216" t="s">
        <v>126</v>
      </c>
      <c r="J789" s="216" t="s">
        <v>105</v>
      </c>
      <c r="K789" s="216" t="s">
        <v>106</v>
      </c>
      <c r="L789" s="216" t="s">
        <v>107</v>
      </c>
      <c r="M789" s="217">
        <f t="shared" si="204"/>
        <v>10</v>
      </c>
      <c r="N789" s="442" cm="1">
        <f t="array" ref="N789">IF(TRIM(K789)="Mano de Obra",IF(Formulario!$L$23&lt;&gt;"",Formulario!$L$23,IFERROR(VLOOKUP(TRIM($M$4),Jornalesdeppto!A:C,3,0),"")),_xlfn.XLOOKUP(1,(Tabla_Costos_Insumos!$A$2:$A$3199=TRIM($M$4))*(Tabla_Costos_Insumos!$C$2:$C$3199=TRIM(K789)),Tabla_Costos_Insumos!$E$2:$E$3199,"",0))</f>
        <v>46666.666666666664</v>
      </c>
      <c r="O789" s="442">
        <f t="shared" si="203"/>
        <v>466666.66666666663</v>
      </c>
      <c r="P789" s="216" t="str">
        <f t="shared" si="198"/>
        <v>Plátano Domínico hartón</v>
      </c>
      <c r="Q789" s="212" t="s">
        <v>127</v>
      </c>
      <c r="R789" s="212">
        <v>0.09</v>
      </c>
      <c r="S789" s="212">
        <f t="shared" ref="S789" si="207">10000*R789/480</f>
        <v>1.875</v>
      </c>
      <c r="T789" s="212" cm="1">
        <f t="array" ref="T789">_xlfn.IFS($D$5&lt;=7, 1.1, $D$5&lt;=12,1.2, $D$5&lt;=25, 1.3, $D$5&gt;25,1.4)</f>
        <v>1.3</v>
      </c>
      <c r="U789" s="212"/>
      <c r="V789" s="212">
        <v>4</v>
      </c>
      <c r="W789" s="212"/>
      <c r="X789" s="214">
        <v>7</v>
      </c>
    </row>
    <row r="790" spans="1:24" ht="15">
      <c r="A790" s="211" t="s">
        <v>306</v>
      </c>
      <c r="B790" s="225" t="s">
        <v>307</v>
      </c>
      <c r="C790" s="216" t="s">
        <v>53</v>
      </c>
      <c r="D790" s="216" t="s">
        <v>99</v>
      </c>
      <c r="E790" s="216" t="s">
        <v>100</v>
      </c>
      <c r="F790" s="216" t="s">
        <v>130</v>
      </c>
      <c r="G790" s="216" t="s">
        <v>131</v>
      </c>
      <c r="H790" s="216" t="s">
        <v>134</v>
      </c>
      <c r="I790" s="216" t="s">
        <v>135</v>
      </c>
      <c r="J790" s="216" t="s">
        <v>105</v>
      </c>
      <c r="K790" s="216" t="s">
        <v>106</v>
      </c>
      <c r="L790" s="216" t="s">
        <v>107</v>
      </c>
      <c r="M790" s="217">
        <f t="shared" si="204"/>
        <v>13</v>
      </c>
      <c r="N790" s="442" cm="1">
        <f t="array" ref="N790">IF(TRIM(K790)="Mano de Obra",IF(Formulario!$L$23&lt;&gt;"",Formulario!$L$23,IFERROR(VLOOKUP(TRIM($M$4),Jornalesdeppto!A:C,3,0),"")),_xlfn.XLOOKUP(1,(Tabla_Costos_Insumos!$A$2:$A$3199=TRIM($M$4))*(Tabla_Costos_Insumos!$C$2:$C$3199=TRIM(K790)),Tabla_Costos_Insumos!$E$2:$E$3199,"",0))</f>
        <v>46666.666666666664</v>
      </c>
      <c r="O790" s="442">
        <f t="shared" si="203"/>
        <v>606666.66666666663</v>
      </c>
      <c r="P790" s="216" t="str">
        <f t="shared" si="198"/>
        <v>Plátano Domínico hartón</v>
      </c>
      <c r="Q790" s="212" t="s">
        <v>108</v>
      </c>
      <c r="R790" s="212">
        <v>1.5</v>
      </c>
      <c r="S790" s="212">
        <f>IF($M$3="Plátano Domínico hartón",($I$3*R790) / 480,"")</f>
        <v>4.8125</v>
      </c>
      <c r="T790" s="212" cm="1">
        <f t="array" ref="T790">_xlfn.IFS($D$5&lt;=7, 1.1, $D$5&lt;=12,1.2, $D$5&lt;=25, 1.3, $D$5&gt;25,1.4)</f>
        <v>1.3</v>
      </c>
      <c r="U790" s="212">
        <f>IFERROR(S790*T790,"")</f>
        <v>6.2562500000000005</v>
      </c>
      <c r="V790" s="212">
        <v>2</v>
      </c>
      <c r="W790" s="212">
        <f t="shared" si="192"/>
        <v>13</v>
      </c>
      <c r="X790" s="214">
        <v>2</v>
      </c>
    </row>
    <row r="791" spans="1:24" ht="15">
      <c r="A791" s="211" t="s">
        <v>306</v>
      </c>
      <c r="B791" s="225" t="s">
        <v>307</v>
      </c>
      <c r="C791" s="216" t="s">
        <v>53</v>
      </c>
      <c r="D791" s="216" t="s">
        <v>145</v>
      </c>
      <c r="E791" s="216" t="s">
        <v>146</v>
      </c>
      <c r="F791" s="216" t="s">
        <v>219</v>
      </c>
      <c r="G791" s="216" t="s">
        <v>220</v>
      </c>
      <c r="H791" s="216" t="s">
        <v>221</v>
      </c>
      <c r="I791" s="216" t="s">
        <v>222</v>
      </c>
      <c r="J791" s="216" t="s">
        <v>223</v>
      </c>
      <c r="K791" s="216" t="s">
        <v>308</v>
      </c>
      <c r="L791" s="216" t="s">
        <v>197</v>
      </c>
      <c r="M791" s="217">
        <f>IF($M$3="Plátano Domínico hartón",I3,0)</f>
        <v>1540</v>
      </c>
      <c r="N791" s="442">
        <v>3000</v>
      </c>
      <c r="O791" s="442">
        <f t="shared" si="203"/>
        <v>4620000</v>
      </c>
      <c r="P791" s="216" t="str">
        <f t="shared" si="198"/>
        <v>Plátano Domínico hartón</v>
      </c>
      <c r="Q791" s="212" t="s">
        <v>142</v>
      </c>
      <c r="R791" s="212" t="s">
        <v>142</v>
      </c>
      <c r="S791" s="212" t="s">
        <v>142</v>
      </c>
      <c r="T791" s="212" t="s">
        <v>142</v>
      </c>
      <c r="U791" s="212"/>
      <c r="V791" s="212" t="s">
        <v>142</v>
      </c>
      <c r="W791" s="212" t="str">
        <f t="shared" si="192"/>
        <v/>
      </c>
      <c r="X791" s="214"/>
    </row>
    <row r="792" spans="1:24" ht="15">
      <c r="A792" s="211" t="s">
        <v>306</v>
      </c>
      <c r="B792" s="225" t="s">
        <v>307</v>
      </c>
      <c r="C792" s="216" t="s">
        <v>53</v>
      </c>
      <c r="D792" s="216" t="s">
        <v>145</v>
      </c>
      <c r="E792" s="216" t="s">
        <v>146</v>
      </c>
      <c r="F792" s="216" t="s">
        <v>147</v>
      </c>
      <c r="G792" s="216" t="s">
        <v>131</v>
      </c>
      <c r="H792" s="216" t="s">
        <v>229</v>
      </c>
      <c r="I792" s="216" t="s">
        <v>153</v>
      </c>
      <c r="J792" s="216" t="s">
        <v>149</v>
      </c>
      <c r="K792" s="216" t="s">
        <v>166</v>
      </c>
      <c r="L792" s="216" t="s">
        <v>151</v>
      </c>
      <c r="M792" s="217">
        <v>11</v>
      </c>
      <c r="N792" s="442" cm="1">
        <f t="array" ref="N792">IF(TRIM(K792)="Mano de Obra",IF(Formulario!$L$23&lt;&gt;"",Formulario!$L$23,IFERROR(VLOOKUP(TRIM($M$4),Jornalesdeppto!A:C,3,0),"")),_xlfn.XLOOKUP(1,(Tabla_Costos_Insumos!$A$2:$A$3199=TRIM($M$4))*(Tabla_Costos_Insumos!$C$2:$C$3199=TRIM(K792)),Tabla_Costos_Insumos!$E$2:$E$3199,"",0))</f>
        <v>110000</v>
      </c>
      <c r="O792" s="442">
        <f t="shared" si="203"/>
        <v>1210000</v>
      </c>
      <c r="P792" s="216" t="str">
        <f t="shared" si="198"/>
        <v>Plátano Domínico hartón</v>
      </c>
      <c r="Q792" s="212" t="s">
        <v>142</v>
      </c>
      <c r="R792" s="212" t="s">
        <v>142</v>
      </c>
      <c r="S792" s="212" t="s">
        <v>142</v>
      </c>
      <c r="T792" s="212" t="s">
        <v>142</v>
      </c>
      <c r="U792" s="212"/>
      <c r="V792" s="212" t="s">
        <v>142</v>
      </c>
      <c r="W792" s="212" t="str">
        <f t="shared" si="192"/>
        <v/>
      </c>
      <c r="X792" s="214"/>
    </row>
    <row r="793" spans="1:24" ht="15">
      <c r="A793" s="211" t="s">
        <v>306</v>
      </c>
      <c r="B793" s="225" t="s">
        <v>307</v>
      </c>
      <c r="C793" s="216" t="s">
        <v>53</v>
      </c>
      <c r="D793" s="216" t="s">
        <v>145</v>
      </c>
      <c r="E793" s="216" t="s">
        <v>146</v>
      </c>
      <c r="F793" s="216" t="s">
        <v>147</v>
      </c>
      <c r="G793" s="216" t="s">
        <v>131</v>
      </c>
      <c r="H793" s="216" t="s">
        <v>148</v>
      </c>
      <c r="I793" s="216" t="s">
        <v>299</v>
      </c>
      <c r="J793" s="216" t="s">
        <v>149</v>
      </c>
      <c r="K793" s="216" t="s">
        <v>150</v>
      </c>
      <c r="L793" s="216" t="s">
        <v>151</v>
      </c>
      <c r="M793" s="217">
        <v>2</v>
      </c>
      <c r="N793" s="442" cm="1">
        <f t="array" ref="N793">IF(TRIM(K793)="Mano de Obra",IF(Formulario!$L$23&lt;&gt;"",Formulario!$L$23,IFERROR(VLOOKUP(TRIM($M$4),Jornalesdeppto!A:C,3,0),"")),_xlfn.XLOOKUP(1,(Tabla_Costos_Insumos!$A$2:$A$3199=TRIM($M$4))*(Tabla_Costos_Insumos!$C$2:$C$3199=TRIM(K793)),Tabla_Costos_Insumos!$E$2:$E$3199,"",0))</f>
        <v>198055.68333333</v>
      </c>
      <c r="O793" s="442">
        <f t="shared" si="203"/>
        <v>396111.36666666</v>
      </c>
      <c r="P793" s="216" t="str">
        <f t="shared" si="198"/>
        <v>Plátano Domínico hartón</v>
      </c>
      <c r="Q793" s="212" t="s">
        <v>142</v>
      </c>
      <c r="R793" s="212" t="s">
        <v>142</v>
      </c>
      <c r="S793" s="212" t="s">
        <v>142</v>
      </c>
      <c r="T793" s="212" t="s">
        <v>142</v>
      </c>
      <c r="U793" s="212"/>
      <c r="V793" s="212" t="s">
        <v>142</v>
      </c>
      <c r="W793" s="212" t="str">
        <f t="shared" si="192"/>
        <v/>
      </c>
      <c r="X793" s="214"/>
    </row>
    <row r="794" spans="1:24" ht="15">
      <c r="A794" s="211" t="s">
        <v>306</v>
      </c>
      <c r="B794" s="225" t="s">
        <v>307</v>
      </c>
      <c r="C794" s="216" t="s">
        <v>53</v>
      </c>
      <c r="D794" s="216" t="s">
        <v>145</v>
      </c>
      <c r="E794" s="216" t="s">
        <v>146</v>
      </c>
      <c r="F794" s="216" t="s">
        <v>147</v>
      </c>
      <c r="G794" s="216" t="s">
        <v>131</v>
      </c>
      <c r="H794" s="216" t="s">
        <v>154</v>
      </c>
      <c r="I794" s="216" t="s">
        <v>155</v>
      </c>
      <c r="J794" s="216" t="s">
        <v>149</v>
      </c>
      <c r="K794" s="216" t="s">
        <v>156</v>
      </c>
      <c r="L794" s="216" t="s">
        <v>151</v>
      </c>
      <c r="M794" s="217">
        <v>14</v>
      </c>
      <c r="N794" s="442" cm="1">
        <f t="array" ref="N794">IF(TRIM(K794)="Mano de Obra",IF(Formulario!$L$23&lt;&gt;"",Formulario!$L$23,IFERROR(VLOOKUP(TRIM($M$4),Jornalesdeppto!A:C,3,0),"")),_xlfn.XLOOKUP(1,(Tabla_Costos_Insumos!$A$2:$A$3199=TRIM($M$4))*(Tabla_Costos_Insumos!$C$2:$C$3199=TRIM(K794)),Tabla_Costos_Insumos!$E$2:$E$3199,"",0))</f>
        <v>17212.5</v>
      </c>
      <c r="O794" s="442">
        <f t="shared" si="203"/>
        <v>240975</v>
      </c>
      <c r="P794" s="216" t="str">
        <f t="shared" si="198"/>
        <v>Plátano Domínico hartón</v>
      </c>
      <c r="Q794" s="212" t="s">
        <v>142</v>
      </c>
      <c r="R794" s="212" t="s">
        <v>142</v>
      </c>
      <c r="S794" s="212" t="s">
        <v>142</v>
      </c>
      <c r="T794" s="212" t="s">
        <v>142</v>
      </c>
      <c r="U794" s="212"/>
      <c r="V794" s="212" t="s">
        <v>142</v>
      </c>
      <c r="W794" s="212" t="str">
        <f t="shared" si="192"/>
        <v/>
      </c>
      <c r="X794" s="214"/>
    </row>
    <row r="795" spans="1:24" ht="15">
      <c r="A795" s="211" t="s">
        <v>306</v>
      </c>
      <c r="B795" s="225" t="s">
        <v>307</v>
      </c>
      <c r="C795" s="216" t="s">
        <v>53</v>
      </c>
      <c r="D795" s="216" t="s">
        <v>145</v>
      </c>
      <c r="E795" s="216" t="s">
        <v>146</v>
      </c>
      <c r="F795" s="216" t="s">
        <v>147</v>
      </c>
      <c r="G795" s="216" t="s">
        <v>131</v>
      </c>
      <c r="H795" s="216" t="s">
        <v>157</v>
      </c>
      <c r="I795" s="216" t="s">
        <v>158</v>
      </c>
      <c r="J795" s="216" t="s">
        <v>149</v>
      </c>
      <c r="K795" s="216" t="s">
        <v>237</v>
      </c>
      <c r="L795" s="216" t="s">
        <v>172</v>
      </c>
      <c r="M795" s="217">
        <v>9</v>
      </c>
      <c r="N795" s="442" cm="1">
        <f t="array" ref="N795">IF(TRIM(K795)="Mano de Obra",IF(Formulario!$L$23&lt;&gt;"",Formulario!$L$23,IFERROR(VLOOKUP(TRIM($M$4),Jornalesdeppto!A:C,3,0),"")),_xlfn.XLOOKUP(1,(Tabla_Costos_Insumos!$A$2:$A$3199=TRIM($M$4))*(Tabla_Costos_Insumos!$C$2:$C$3199=TRIM(K795)),Tabla_Costos_Insumos!$E$2:$E$3199,"",0))</f>
        <v>26190.48</v>
      </c>
      <c r="O795" s="442">
        <f t="shared" si="203"/>
        <v>235714.32</v>
      </c>
      <c r="P795" s="216" t="str">
        <f t="shared" si="198"/>
        <v>Plátano Domínico hartón</v>
      </c>
      <c r="Q795" s="212" t="s">
        <v>142</v>
      </c>
      <c r="R795" s="212" t="s">
        <v>142</v>
      </c>
      <c r="S795" s="212" t="s">
        <v>142</v>
      </c>
      <c r="T795" s="212" t="s">
        <v>142</v>
      </c>
      <c r="U795" s="212"/>
      <c r="V795" s="212" t="s">
        <v>142</v>
      </c>
      <c r="W795" s="212" t="str">
        <f t="shared" si="192"/>
        <v/>
      </c>
      <c r="X795" s="214"/>
    </row>
    <row r="796" spans="1:24" ht="15">
      <c r="A796" s="211" t="s">
        <v>306</v>
      </c>
      <c r="B796" s="225" t="s">
        <v>307</v>
      </c>
      <c r="C796" s="216" t="s">
        <v>53</v>
      </c>
      <c r="D796" s="216" t="s">
        <v>145</v>
      </c>
      <c r="E796" s="216" t="s">
        <v>146</v>
      </c>
      <c r="F796" s="216" t="s">
        <v>147</v>
      </c>
      <c r="G796" s="216" t="s">
        <v>131</v>
      </c>
      <c r="H796" s="216" t="s">
        <v>161</v>
      </c>
      <c r="I796" s="216" t="s">
        <v>162</v>
      </c>
      <c r="J796" s="216" t="s">
        <v>149</v>
      </c>
      <c r="K796" s="216" t="s">
        <v>163</v>
      </c>
      <c r="L796" s="216" t="s">
        <v>164</v>
      </c>
      <c r="M796" s="217">
        <v>2</v>
      </c>
      <c r="N796" s="442" cm="1">
        <f t="array" ref="N796">IF(TRIM(K796)="Mano de Obra",IF(Formulario!$L$23&lt;&gt;"",Formulario!$L$23,IFERROR(VLOOKUP(TRIM($M$4),Jornalesdeppto!A:C,3,0),"")),_xlfn.XLOOKUP(1,(Tabla_Costos_Insumos!$A$2:$A$3199=TRIM($M$4))*(Tabla_Costos_Insumos!$C$2:$C$3199=TRIM(K796)),Tabla_Costos_Insumos!$E$2:$E$3199,"",0))</f>
        <v>128084.44444445</v>
      </c>
      <c r="O796" s="442">
        <f t="shared" si="203"/>
        <v>256168.88888889999</v>
      </c>
      <c r="P796" s="216" t="str">
        <f t="shared" si="198"/>
        <v>Plátano Domínico hartón</v>
      </c>
      <c r="Q796" s="212" t="s">
        <v>142</v>
      </c>
      <c r="R796" s="212" t="s">
        <v>142</v>
      </c>
      <c r="S796" s="212" t="s">
        <v>142</v>
      </c>
      <c r="T796" s="212" t="s">
        <v>142</v>
      </c>
      <c r="U796" s="212"/>
      <c r="V796" s="212" t="s">
        <v>142</v>
      </c>
      <c r="W796" s="212" t="str">
        <f t="shared" si="192"/>
        <v/>
      </c>
      <c r="X796" s="214"/>
    </row>
    <row r="797" spans="1:24" ht="15">
      <c r="A797" s="211" t="s">
        <v>306</v>
      </c>
      <c r="B797" s="225" t="s">
        <v>307</v>
      </c>
      <c r="C797" s="216" t="s">
        <v>53</v>
      </c>
      <c r="D797" s="216" t="s">
        <v>145</v>
      </c>
      <c r="E797" s="216" t="s">
        <v>146</v>
      </c>
      <c r="F797" s="216" t="s">
        <v>147</v>
      </c>
      <c r="G797" s="216" t="s">
        <v>131</v>
      </c>
      <c r="H797" s="216" t="s">
        <v>165</v>
      </c>
      <c r="I797" s="216" t="s">
        <v>153</v>
      </c>
      <c r="J797" s="216" t="s">
        <v>149</v>
      </c>
      <c r="K797" s="216" t="s">
        <v>4110</v>
      </c>
      <c r="L797" s="216" t="s">
        <v>151</v>
      </c>
      <c r="M797" s="217">
        <v>12</v>
      </c>
      <c r="N797" s="442" cm="1">
        <f t="array" ref="N797">IF(TRIM(K797)="Mano de Obra",IF(Formulario!$L$23&lt;&gt;"",Formulario!$L$23,IFERROR(VLOOKUP(TRIM($M$4),Jornalesdeppto!A:C,3,0),"")),_xlfn.XLOOKUP(1,(Tabla_Costos_Insumos!$A$2:$A$3199=TRIM($M$4))*(Tabla_Costos_Insumos!$C$2:$C$3199=TRIM(K797)),Tabla_Costos_Insumos!$E$2:$E$3199,"",0))</f>
        <v>125849.2424242409</v>
      </c>
      <c r="O797" s="442">
        <f t="shared" si="203"/>
        <v>1510190.9090908908</v>
      </c>
      <c r="P797" s="216" t="str">
        <f t="shared" si="198"/>
        <v>Plátano Domínico hartón</v>
      </c>
      <c r="Q797" s="212" t="s">
        <v>142</v>
      </c>
      <c r="R797" s="212" t="s">
        <v>142</v>
      </c>
      <c r="S797" s="212" t="s">
        <v>142</v>
      </c>
      <c r="T797" s="212" t="s">
        <v>142</v>
      </c>
      <c r="U797" s="212"/>
      <c r="V797" s="212" t="s">
        <v>142</v>
      </c>
      <c r="W797" s="212" t="str">
        <f t="shared" si="192"/>
        <v/>
      </c>
      <c r="X797" s="214"/>
    </row>
    <row r="798" spans="1:24" ht="15">
      <c r="A798" s="211" t="s">
        <v>306</v>
      </c>
      <c r="B798" s="225" t="s">
        <v>307</v>
      </c>
      <c r="C798" s="216" t="s">
        <v>53</v>
      </c>
      <c r="D798" s="216" t="s">
        <v>145</v>
      </c>
      <c r="E798" s="216" t="s">
        <v>146</v>
      </c>
      <c r="F798" s="216" t="s">
        <v>167</v>
      </c>
      <c r="G798" s="216" t="s">
        <v>118</v>
      </c>
      <c r="H798" s="216" t="s">
        <v>168</v>
      </c>
      <c r="I798" s="216" t="s">
        <v>169</v>
      </c>
      <c r="J798" s="216" t="s">
        <v>170</v>
      </c>
      <c r="K798" s="216" t="s">
        <v>309</v>
      </c>
      <c r="L798" s="216" t="s">
        <v>310</v>
      </c>
      <c r="M798" s="217">
        <v>5</v>
      </c>
      <c r="N798" s="442" cm="1">
        <f t="array" ref="N798">IF(TRIM(K798)="Mano de Obra",IF(Formulario!$L$23&lt;&gt;"",Formulario!$L$23,IFERROR(VLOOKUP(TRIM($M$4),Jornalesdeppto!A:C,3,0),"")),_xlfn.XLOOKUP(1,(Tabla_Costos_Insumos!$A$2:$A$3199=TRIM($M$4))*(Tabla_Costos_Insumos!$C$2:$C$3199=TRIM(K798)),Tabla_Costos_Insumos!$E$2:$E$3199,"",0))</f>
        <v>78080.853020496768</v>
      </c>
      <c r="O798" s="442">
        <f t="shared" si="203"/>
        <v>390404.26510248386</v>
      </c>
      <c r="P798" s="216" t="str">
        <f t="shared" si="198"/>
        <v>Plátano Domínico hartón</v>
      </c>
      <c r="Q798" s="212" t="s">
        <v>142</v>
      </c>
      <c r="R798" s="212" t="s">
        <v>142</v>
      </c>
      <c r="S798" s="212" t="s">
        <v>142</v>
      </c>
      <c r="T798" s="212" t="s">
        <v>142</v>
      </c>
      <c r="U798" s="212"/>
      <c r="V798" s="212" t="s">
        <v>142</v>
      </c>
      <c r="W798" s="212" t="str">
        <f t="shared" si="192"/>
        <v/>
      </c>
      <c r="X798" s="214"/>
    </row>
    <row r="799" spans="1:24" ht="15">
      <c r="A799" s="211" t="s">
        <v>306</v>
      </c>
      <c r="B799" s="225" t="s">
        <v>307</v>
      </c>
      <c r="C799" s="216" t="s">
        <v>53</v>
      </c>
      <c r="D799" s="216" t="s">
        <v>145</v>
      </c>
      <c r="E799" s="216" t="s">
        <v>146</v>
      </c>
      <c r="F799" s="216" t="s">
        <v>167</v>
      </c>
      <c r="G799" s="216" t="s">
        <v>118</v>
      </c>
      <c r="H799" s="216" t="s">
        <v>168</v>
      </c>
      <c r="I799" s="216" t="s">
        <v>169</v>
      </c>
      <c r="J799" s="216" t="s">
        <v>170</v>
      </c>
      <c r="K799" s="216" t="s">
        <v>311</v>
      </c>
      <c r="L799" s="216" t="s">
        <v>172</v>
      </c>
      <c r="M799" s="217">
        <v>9</v>
      </c>
      <c r="N799" s="442" cm="1">
        <f t="array" ref="N799">IF(TRIM(K799)="Mano de Obra",IF(Formulario!$L$23&lt;&gt;"",Formulario!$L$23,IFERROR(VLOOKUP(TRIM($M$4),Jornalesdeppto!A:C,3,0),"")),_xlfn.XLOOKUP(1,(Tabla_Costos_Insumos!$A$2:$A$3199=TRIM($M$4))*(Tabla_Costos_Insumos!$C$2:$C$3199=TRIM(K799)),Tabla_Costos_Insumos!$E$2:$E$3199,"",0))</f>
        <v>45987.3</v>
      </c>
      <c r="O799" s="442">
        <f t="shared" si="203"/>
        <v>413885.7</v>
      </c>
      <c r="P799" s="216" t="str">
        <f t="shared" si="198"/>
        <v>Plátano Domínico hartón</v>
      </c>
      <c r="Q799" s="212" t="s">
        <v>142</v>
      </c>
      <c r="R799" s="212" t="s">
        <v>142</v>
      </c>
      <c r="S799" s="212" t="s">
        <v>142</v>
      </c>
      <c r="T799" s="212" t="s">
        <v>142</v>
      </c>
      <c r="U799" s="212"/>
      <c r="V799" s="212" t="s">
        <v>142</v>
      </c>
      <c r="W799" s="212" t="str">
        <f t="shared" si="192"/>
        <v/>
      </c>
      <c r="X799" s="214"/>
    </row>
    <row r="800" spans="1:24" ht="15">
      <c r="A800" s="211" t="s">
        <v>306</v>
      </c>
      <c r="B800" s="225" t="s">
        <v>307</v>
      </c>
      <c r="C800" s="216" t="s">
        <v>53</v>
      </c>
      <c r="D800" s="216" t="s">
        <v>145</v>
      </c>
      <c r="E800" s="216" t="s">
        <v>146</v>
      </c>
      <c r="F800" s="216" t="s">
        <v>167</v>
      </c>
      <c r="G800" s="216" t="s">
        <v>118</v>
      </c>
      <c r="H800" s="216" t="s">
        <v>174</v>
      </c>
      <c r="I800" s="216" t="s">
        <v>175</v>
      </c>
      <c r="J800" s="216" t="s">
        <v>176</v>
      </c>
      <c r="K800" s="216" t="s">
        <v>231</v>
      </c>
      <c r="L800" s="216" t="s">
        <v>172</v>
      </c>
      <c r="M800" s="217">
        <v>16</v>
      </c>
      <c r="N800" s="442" cm="1">
        <f t="array" ref="N800">IF(TRIM(K800)="Mano de Obra",IF(Formulario!$L$23&lt;&gt;"",Formulario!$L$23,IFERROR(VLOOKUP(TRIM($M$4),Jornalesdeppto!A:C,3,0),"")),_xlfn.XLOOKUP(1,(Tabla_Costos_Insumos!$A$2:$A$3199=TRIM($M$4))*(Tabla_Costos_Insumos!$C$2:$C$3199=TRIM(K800)),Tabla_Costos_Insumos!$E$2:$E$3199,"",0))</f>
        <v>23177.15</v>
      </c>
      <c r="O800" s="442">
        <f t="shared" si="203"/>
        <v>370834.4</v>
      </c>
      <c r="P800" s="216" t="str">
        <f t="shared" si="198"/>
        <v>Plátano Domínico hartón</v>
      </c>
      <c r="Q800" s="212" t="s">
        <v>142</v>
      </c>
      <c r="R800" s="212" t="s">
        <v>142</v>
      </c>
      <c r="S800" s="212" t="s">
        <v>142</v>
      </c>
      <c r="T800" s="212" t="s">
        <v>142</v>
      </c>
      <c r="U800" s="212"/>
      <c r="V800" s="212" t="s">
        <v>142</v>
      </c>
      <c r="W800" s="212" t="str">
        <f t="shared" si="192"/>
        <v/>
      </c>
      <c r="X800" s="214"/>
    </row>
    <row r="801" spans="1:24" ht="15">
      <c r="A801" s="211" t="s">
        <v>306</v>
      </c>
      <c r="B801" s="225" t="s">
        <v>307</v>
      </c>
      <c r="C801" s="216" t="s">
        <v>53</v>
      </c>
      <c r="D801" s="216" t="s">
        <v>145</v>
      </c>
      <c r="E801" s="216" t="s">
        <v>146</v>
      </c>
      <c r="F801" s="216" t="s">
        <v>167</v>
      </c>
      <c r="G801" s="216" t="s">
        <v>118</v>
      </c>
      <c r="H801" s="216" t="s">
        <v>178</v>
      </c>
      <c r="I801" s="216" t="s">
        <v>179</v>
      </c>
      <c r="J801" s="216" t="s">
        <v>180</v>
      </c>
      <c r="K801" s="216" t="s">
        <v>254</v>
      </c>
      <c r="L801" s="216" t="s">
        <v>172</v>
      </c>
      <c r="M801" s="217">
        <v>6</v>
      </c>
      <c r="N801" s="442" cm="1">
        <f t="array" ref="N801">IF(TRIM(K801)="Mano de Obra",IF(Formulario!$L$23&lt;&gt;"",Formulario!$L$23,IFERROR(VLOOKUP(TRIM($M$4),Jornalesdeppto!A:C,3,0),"")),_xlfn.XLOOKUP(1,(Tabla_Costos_Insumos!$A$2:$A$3199=TRIM($M$4))*(Tabla_Costos_Insumos!$C$2:$C$3199=TRIM(K801)),Tabla_Costos_Insumos!$E$2:$E$3199,"",0))</f>
        <v>146171.37</v>
      </c>
      <c r="O801" s="442">
        <f t="shared" si="203"/>
        <v>877028.22</v>
      </c>
      <c r="P801" s="216" t="str">
        <f t="shared" si="198"/>
        <v>Plátano Domínico hartón</v>
      </c>
      <c r="Q801" s="212" t="s">
        <v>142</v>
      </c>
      <c r="R801" s="212" t="s">
        <v>142</v>
      </c>
      <c r="S801" s="212" t="s">
        <v>142</v>
      </c>
      <c r="T801" s="212" t="s">
        <v>142</v>
      </c>
      <c r="U801" s="212"/>
      <c r="V801" s="212" t="s">
        <v>142</v>
      </c>
      <c r="W801" s="212" t="str">
        <f t="shared" si="192"/>
        <v/>
      </c>
      <c r="X801" s="214"/>
    </row>
    <row r="802" spans="1:24" ht="15">
      <c r="A802" s="211" t="s">
        <v>306</v>
      </c>
      <c r="B802" s="225" t="s">
        <v>307</v>
      </c>
      <c r="C802" s="216" t="s">
        <v>53</v>
      </c>
      <c r="D802" s="216" t="s">
        <v>145</v>
      </c>
      <c r="E802" s="216" t="s">
        <v>146</v>
      </c>
      <c r="F802" s="216" t="s">
        <v>167</v>
      </c>
      <c r="G802" s="216" t="s">
        <v>118</v>
      </c>
      <c r="H802" s="216" t="s">
        <v>178</v>
      </c>
      <c r="I802" s="216" t="s">
        <v>179</v>
      </c>
      <c r="J802" s="216" t="s">
        <v>180</v>
      </c>
      <c r="K802" s="216" t="s">
        <v>297</v>
      </c>
      <c r="L802" s="216" t="s">
        <v>172</v>
      </c>
      <c r="M802" s="217">
        <v>6</v>
      </c>
      <c r="N802" s="442" cm="1">
        <f t="array" ref="N802">IF(TRIM(K802)="Mano de Obra",IF(Formulario!$L$23&lt;&gt;"",Formulario!$L$23,IFERROR(VLOOKUP(TRIM($M$4),Jornalesdeppto!A:C,3,0),"")),_xlfn.XLOOKUP(1,(Tabla_Costos_Insumos!$A$2:$A$3199=TRIM($M$4))*(Tabla_Costos_Insumos!$C$2:$C$3199=TRIM(K802)),Tabla_Costos_Insumos!$E$2:$E$3199,"",0))</f>
        <v>149375.29999999999</v>
      </c>
      <c r="O802" s="442">
        <f t="shared" si="203"/>
        <v>896251.79999999993</v>
      </c>
      <c r="P802" s="216" t="str">
        <f t="shared" si="198"/>
        <v>Plátano Domínico hartón</v>
      </c>
      <c r="Q802" s="212" t="s">
        <v>142</v>
      </c>
      <c r="R802" s="212" t="s">
        <v>142</v>
      </c>
      <c r="S802" s="212" t="s">
        <v>142</v>
      </c>
      <c r="T802" s="212" t="s">
        <v>142</v>
      </c>
      <c r="U802" s="212"/>
      <c r="V802" s="212" t="s">
        <v>142</v>
      </c>
      <c r="W802" s="212" t="str">
        <f t="shared" si="192"/>
        <v/>
      </c>
      <c r="X802" s="214"/>
    </row>
    <row r="803" spans="1:24" ht="15">
      <c r="A803" s="211" t="s">
        <v>306</v>
      </c>
      <c r="B803" s="225" t="s">
        <v>307</v>
      </c>
      <c r="C803" s="216" t="s">
        <v>53</v>
      </c>
      <c r="D803" s="216" t="s">
        <v>145</v>
      </c>
      <c r="E803" s="216" t="s">
        <v>146</v>
      </c>
      <c r="F803" s="216" t="s">
        <v>183</v>
      </c>
      <c r="G803" s="216" t="s">
        <v>184</v>
      </c>
      <c r="H803" s="216" t="s">
        <v>185</v>
      </c>
      <c r="I803" s="216" t="s">
        <v>186</v>
      </c>
      <c r="J803" s="216" t="s">
        <v>105</v>
      </c>
      <c r="K803" s="216" t="s">
        <v>187</v>
      </c>
      <c r="L803" s="216" t="s">
        <v>188</v>
      </c>
      <c r="M803" s="217">
        <v>0.1</v>
      </c>
      <c r="N803" s="442" cm="1">
        <f t="array" ref="N803">IF(TRIM(K803)="Mano de Obra",IF(Formulario!$L$23&lt;&gt;"",Formulario!$L$23,IFERROR(VLOOKUP(TRIM($M$4),Jornalesdeppto!A:C,3,0),"")),_xlfn.XLOOKUP(1,(Tabla_Costos_Insumos!$A$2:$A$3199=TRIM($M$4))*(Tabla_Costos_Insumos!$C$2:$C$3199=TRIM(K803)),Tabla_Costos_Insumos!$E$2:$E$3199,"",0))</f>
        <v>175000</v>
      </c>
      <c r="O803" s="442">
        <f t="shared" si="203"/>
        <v>17500</v>
      </c>
      <c r="P803" s="216" t="str">
        <f t="shared" si="198"/>
        <v>Plátano Domínico hartón</v>
      </c>
      <c r="Q803" s="212" t="s">
        <v>142</v>
      </c>
      <c r="R803" s="212" t="s">
        <v>142</v>
      </c>
      <c r="S803" s="212" t="s">
        <v>142</v>
      </c>
      <c r="T803" s="212" t="s">
        <v>142</v>
      </c>
      <c r="U803" s="212"/>
      <c r="V803" s="212" t="s">
        <v>142</v>
      </c>
      <c r="W803" s="212" t="str">
        <f t="shared" si="192"/>
        <v/>
      </c>
      <c r="X803" s="214"/>
    </row>
    <row r="804" spans="1:24" ht="15">
      <c r="A804" s="211" t="s">
        <v>306</v>
      </c>
      <c r="B804" s="225" t="s">
        <v>307</v>
      </c>
      <c r="C804" s="216" t="s">
        <v>53</v>
      </c>
      <c r="D804" s="216" t="s">
        <v>189</v>
      </c>
      <c r="E804" s="216" t="s">
        <v>190</v>
      </c>
      <c r="F804" s="216" t="s">
        <v>191</v>
      </c>
      <c r="G804" s="216" t="s">
        <v>192</v>
      </c>
      <c r="H804" s="216" t="s">
        <v>193</v>
      </c>
      <c r="I804" s="216" t="s">
        <v>194</v>
      </c>
      <c r="J804" s="216" t="s">
        <v>195</v>
      </c>
      <c r="K804" s="216" t="s">
        <v>196</v>
      </c>
      <c r="L804" s="216" t="s">
        <v>197</v>
      </c>
      <c r="M804" s="217">
        <v>1</v>
      </c>
      <c r="N804" s="442">
        <f>IFERROR(SUM(O786:$O$803)*0.08,0)</f>
        <v>1206005.1895799148</v>
      </c>
      <c r="O804" s="442">
        <f t="shared" si="203"/>
        <v>1206005.1895799148</v>
      </c>
      <c r="P804" s="216" t="str">
        <f t="shared" si="198"/>
        <v>Plátano Domínico hartón</v>
      </c>
      <c r="Q804" s="212" t="s">
        <v>142</v>
      </c>
      <c r="R804" s="212" t="s">
        <v>142</v>
      </c>
      <c r="S804" s="212" t="s">
        <v>142</v>
      </c>
      <c r="T804" s="212" t="s">
        <v>142</v>
      </c>
      <c r="U804" s="212"/>
      <c r="V804" s="212" t="s">
        <v>142</v>
      </c>
      <c r="W804" s="212" t="str">
        <f t="shared" si="192"/>
        <v/>
      </c>
      <c r="X804" s="214"/>
    </row>
    <row r="805" spans="1:24" ht="15">
      <c r="A805" s="211" t="s">
        <v>306</v>
      </c>
      <c r="B805" s="225" t="s">
        <v>307</v>
      </c>
      <c r="C805" s="216" t="s">
        <v>53</v>
      </c>
      <c r="D805" s="216" t="s">
        <v>189</v>
      </c>
      <c r="E805" s="216" t="s">
        <v>190</v>
      </c>
      <c r="F805" s="216" t="s">
        <v>198</v>
      </c>
      <c r="G805" s="216" t="s">
        <v>199</v>
      </c>
      <c r="H805" s="216" t="s">
        <v>200</v>
      </c>
      <c r="I805" s="216" t="s">
        <v>201</v>
      </c>
      <c r="J805" s="216" t="s">
        <v>105</v>
      </c>
      <c r="K805" s="216" t="s">
        <v>202</v>
      </c>
      <c r="L805" s="216" t="s">
        <v>203</v>
      </c>
      <c r="M805" s="217">
        <v>1</v>
      </c>
      <c r="N805" s="442" cm="1">
        <f t="array" ref="N805">IF(TRIM(K805)="Mano de Obra",IF(Formulario!$L$23&lt;&gt;"",Formulario!$L$23,IFERROR(VLOOKUP(TRIM($M$4),Jornalesdeppto!A:C,3,0),"")),_xlfn.XLOOKUP(1,(Tabla_Costos_Insumos!$A$2:$A$3199=TRIM($M$4))*(Tabla_Costos_Insumos!$C$2:$C$3199=TRIM(K805)),Tabla_Costos_Insumos!$E$2:$E$3199,"",0))</f>
        <v>120000</v>
      </c>
      <c r="O805" s="442">
        <f t="shared" si="203"/>
        <v>120000</v>
      </c>
      <c r="P805" s="216" t="str">
        <f t="shared" si="198"/>
        <v>Plátano Domínico hartón</v>
      </c>
      <c r="Q805" s="212" t="s">
        <v>142</v>
      </c>
      <c r="R805" s="212" t="s">
        <v>142</v>
      </c>
      <c r="S805" s="212" t="s">
        <v>142</v>
      </c>
      <c r="T805" s="212" t="s">
        <v>142</v>
      </c>
      <c r="U805" s="212"/>
      <c r="V805" s="212" t="s">
        <v>142</v>
      </c>
      <c r="W805" s="212" t="str">
        <f t="shared" si="192"/>
        <v/>
      </c>
      <c r="X805" s="214"/>
    </row>
    <row r="806" spans="1:24" ht="15">
      <c r="A806" s="211" t="s">
        <v>306</v>
      </c>
      <c r="B806" s="225" t="s">
        <v>307</v>
      </c>
      <c r="C806" s="216" t="s">
        <v>53</v>
      </c>
      <c r="D806" s="216" t="s">
        <v>189</v>
      </c>
      <c r="E806" s="216" t="s">
        <v>190</v>
      </c>
      <c r="F806" s="216" t="s">
        <v>204</v>
      </c>
      <c r="G806" s="216" t="s">
        <v>205</v>
      </c>
      <c r="H806" s="216" t="s">
        <v>206</v>
      </c>
      <c r="I806" s="216" t="s">
        <v>207</v>
      </c>
      <c r="J806" s="216" t="s">
        <v>4127</v>
      </c>
      <c r="K806" s="216" t="s">
        <v>228</v>
      </c>
      <c r="L806" s="216" t="s">
        <v>197</v>
      </c>
      <c r="M806" s="217">
        <v>1</v>
      </c>
      <c r="N806" s="442">
        <f>IF($M$3="Plátano Domínico hartón",($J$4),"")</f>
        <v>500000</v>
      </c>
      <c r="O806" s="442">
        <f t="shared" si="203"/>
        <v>500000</v>
      </c>
      <c r="P806" s="216" t="str">
        <f t="shared" si="198"/>
        <v>Plátano Domínico hartón</v>
      </c>
      <c r="Q806" s="212" t="s">
        <v>142</v>
      </c>
      <c r="R806" s="212" t="s">
        <v>142</v>
      </c>
      <c r="S806" s="212" t="s">
        <v>142</v>
      </c>
      <c r="T806" s="212" t="s">
        <v>142</v>
      </c>
      <c r="U806" s="212"/>
      <c r="V806" s="212" t="s">
        <v>142</v>
      </c>
      <c r="W806" s="212" t="str">
        <f t="shared" si="192"/>
        <v/>
      </c>
      <c r="X806" s="214"/>
    </row>
    <row r="807" spans="1:24" ht="15">
      <c r="A807" s="211" t="s">
        <v>306</v>
      </c>
      <c r="B807" s="225" t="s">
        <v>307</v>
      </c>
      <c r="C807" s="212" t="s">
        <v>69</v>
      </c>
      <c r="D807" s="212" t="s">
        <v>99</v>
      </c>
      <c r="E807" s="212" t="s">
        <v>100</v>
      </c>
      <c r="F807" s="212" t="s">
        <v>109</v>
      </c>
      <c r="G807" s="212" t="s">
        <v>110</v>
      </c>
      <c r="H807" s="212" t="s">
        <v>312</v>
      </c>
      <c r="I807" s="212" t="s">
        <v>313</v>
      </c>
      <c r="J807" s="212" t="s">
        <v>105</v>
      </c>
      <c r="K807" s="212" t="s">
        <v>106</v>
      </c>
      <c r="L807" s="212" t="s">
        <v>107</v>
      </c>
      <c r="M807" s="213">
        <f t="shared" ref="M807:M815" si="208">IF(W807&lt;&gt;"", W807, ROUNDUP(X807*T807, 0))</f>
        <v>6</v>
      </c>
      <c r="N807" s="441" cm="1">
        <f t="array" ref="N807">IF(TRIM(K807)="Mano de Obra",IF(Formulario!$L$23&lt;&gt;"",Formulario!$L$23,IFERROR(VLOOKUP(TRIM($M$4),Jornalesdeppto!A:C,3,0),"")),_xlfn.XLOOKUP(1,(Tabla_Costos_Insumos!$A$2:$A$3199=TRIM($M$4))*(Tabla_Costos_Insumos!$C$2:$C$3199=TRIM(K807)),Tabla_Costos_Insumos!$E$2:$E$3199,"",0))</f>
        <v>46666.666666666664</v>
      </c>
      <c r="O807" s="441">
        <f t="shared" si="203"/>
        <v>280000</v>
      </c>
      <c r="P807" s="212" t="str">
        <f t="shared" si="198"/>
        <v>Plátano Domínico hartón</v>
      </c>
      <c r="Q807" s="212" t="s">
        <v>108</v>
      </c>
      <c r="R807" s="212">
        <v>3</v>
      </c>
      <c r="S807" s="212">
        <f t="shared" ref="S807:S811" si="209">IF($M$3="Plátano Domínico hartón",($I$3*R807) / 480,"")</f>
        <v>9.625</v>
      </c>
      <c r="T807" s="212" cm="1">
        <f t="array" ref="T807">_xlfn.IFS($D$5&lt;=7, 1.1, $D$5&lt;=12,1.2, $D$5&lt;=25, 1.3, $D$5&gt;25,1.4)</f>
        <v>1.3</v>
      </c>
      <c r="U807" s="212"/>
      <c r="V807" s="212">
        <v>1</v>
      </c>
      <c r="W807" s="212"/>
      <c r="X807" s="214">
        <v>4</v>
      </c>
    </row>
    <row r="808" spans="1:24" ht="15">
      <c r="A808" s="211" t="s">
        <v>306</v>
      </c>
      <c r="B808" s="225" t="s">
        <v>307</v>
      </c>
      <c r="C808" s="212" t="s">
        <v>69</v>
      </c>
      <c r="D808" s="212" t="s">
        <v>99</v>
      </c>
      <c r="E808" s="212" t="s">
        <v>100</v>
      </c>
      <c r="F808" s="212" t="s">
        <v>109</v>
      </c>
      <c r="G808" s="212" t="s">
        <v>110</v>
      </c>
      <c r="H808" s="212" t="s">
        <v>234</v>
      </c>
      <c r="I808" s="212" t="s">
        <v>235</v>
      </c>
      <c r="J808" s="212" t="s">
        <v>105</v>
      </c>
      <c r="K808" s="212" t="s">
        <v>106</v>
      </c>
      <c r="L808" s="212" t="s">
        <v>107</v>
      </c>
      <c r="M808" s="213">
        <f t="shared" si="208"/>
        <v>17</v>
      </c>
      <c r="N808" s="441" cm="1">
        <f t="array" ref="N808">IF(TRIM(K808)="Mano de Obra",IF(Formulario!$L$23&lt;&gt;"",Formulario!$L$23,IFERROR(VLOOKUP(TRIM($M$4),Jornalesdeppto!A:C,3,0),"")),_xlfn.XLOOKUP(1,(Tabla_Costos_Insumos!$A$2:$A$3199=TRIM($M$4))*(Tabla_Costos_Insumos!$C$2:$C$3199=TRIM(K808)),Tabla_Costos_Insumos!$E$2:$E$3199,"",0))</f>
        <v>46666.666666666664</v>
      </c>
      <c r="O808" s="441">
        <f t="shared" si="203"/>
        <v>793333.33333333326</v>
      </c>
      <c r="P808" s="212" t="str">
        <f t="shared" si="198"/>
        <v>Plátano Domínico hartón</v>
      </c>
      <c r="Q808" s="212" t="s">
        <v>108</v>
      </c>
      <c r="R808" s="212">
        <v>2</v>
      </c>
      <c r="S808" s="212">
        <f t="shared" si="209"/>
        <v>6.416666666666667</v>
      </c>
      <c r="T808" s="212" cm="1">
        <f t="array" ref="T808">_xlfn.IFS($D$5&lt;=7, 1.1, $D$5&lt;=12,1.2, $D$5&lt;=25, 1.3, $D$5&gt;25,1.4)</f>
        <v>1.3</v>
      </c>
      <c r="U808" s="212">
        <f t="shared" ref="U808:U811" si="210">IFERROR(S808*T808,"")</f>
        <v>8.3416666666666668</v>
      </c>
      <c r="V808" s="212">
        <v>2</v>
      </c>
      <c r="W808" s="212">
        <f t="shared" si="192"/>
        <v>17</v>
      </c>
      <c r="X808" s="214">
        <v>6</v>
      </c>
    </row>
    <row r="809" spans="1:24" ht="15">
      <c r="A809" s="211" t="s">
        <v>306</v>
      </c>
      <c r="B809" s="225" t="s">
        <v>307</v>
      </c>
      <c r="C809" s="212" t="s">
        <v>69</v>
      </c>
      <c r="D809" s="212" t="s">
        <v>99</v>
      </c>
      <c r="E809" s="212" t="s">
        <v>100</v>
      </c>
      <c r="F809" s="212" t="s">
        <v>113</v>
      </c>
      <c r="G809" s="212" t="s">
        <v>114</v>
      </c>
      <c r="H809" s="212" t="s">
        <v>272</v>
      </c>
      <c r="I809" s="212" t="s">
        <v>273</v>
      </c>
      <c r="J809" s="212" t="s">
        <v>105</v>
      </c>
      <c r="K809" s="212" t="s">
        <v>106</v>
      </c>
      <c r="L809" s="212" t="s">
        <v>107</v>
      </c>
      <c r="M809" s="213">
        <f t="shared" si="208"/>
        <v>17</v>
      </c>
      <c r="N809" s="441" cm="1">
        <f t="array" ref="N809">IF(TRIM(K809)="Mano de Obra",IF(Formulario!$L$23&lt;&gt;"",Formulario!$L$23,IFERROR(VLOOKUP(TRIM($M$4),Jornalesdeppto!A:C,3,0),"")),_xlfn.XLOOKUP(1,(Tabla_Costos_Insumos!$A$2:$A$3199=TRIM($M$4))*(Tabla_Costos_Insumos!$C$2:$C$3199=TRIM(K809)),Tabla_Costos_Insumos!$E$2:$E$3199,"",0))</f>
        <v>46666.666666666664</v>
      </c>
      <c r="O809" s="441">
        <f t="shared" si="203"/>
        <v>793333.33333333326</v>
      </c>
      <c r="P809" s="212" t="str">
        <f t="shared" si="198"/>
        <v>Plátano Domínico hartón</v>
      </c>
      <c r="Q809" s="212" t="s">
        <v>108</v>
      </c>
      <c r="R809" s="212">
        <v>2</v>
      </c>
      <c r="S809" s="212">
        <f t="shared" si="209"/>
        <v>6.416666666666667</v>
      </c>
      <c r="T809" s="212" cm="1">
        <f t="array" ref="T809">_xlfn.IFS($D$5&lt;=7, 1.1, $D$5&lt;=12,1.2, $D$5&lt;=25, 1.3, $D$5&gt;25,1.4)</f>
        <v>1.3</v>
      </c>
      <c r="U809" s="212">
        <f t="shared" si="210"/>
        <v>8.3416666666666668</v>
      </c>
      <c r="V809" s="212">
        <v>2</v>
      </c>
      <c r="W809" s="212">
        <f t="shared" si="192"/>
        <v>17</v>
      </c>
      <c r="X809" s="214">
        <v>6</v>
      </c>
    </row>
    <row r="810" spans="1:24" ht="15">
      <c r="A810" s="211" t="s">
        <v>306</v>
      </c>
      <c r="B810" s="225" t="s">
        <v>307</v>
      </c>
      <c r="C810" s="212" t="s">
        <v>69</v>
      </c>
      <c r="D810" s="212" t="s">
        <v>99</v>
      </c>
      <c r="E810" s="212" t="s">
        <v>100</v>
      </c>
      <c r="F810" s="212" t="s">
        <v>117</v>
      </c>
      <c r="G810" s="212" t="s">
        <v>118</v>
      </c>
      <c r="H810" s="212" t="s">
        <v>119</v>
      </c>
      <c r="I810" s="212" t="s">
        <v>120</v>
      </c>
      <c r="J810" s="212" t="s">
        <v>105</v>
      </c>
      <c r="K810" s="212" t="s">
        <v>106</v>
      </c>
      <c r="L810" s="212" t="s">
        <v>107</v>
      </c>
      <c r="M810" s="213">
        <f t="shared" si="208"/>
        <v>19</v>
      </c>
      <c r="N810" s="441" cm="1">
        <f t="array" ref="N810">IF(TRIM(K810)="Mano de Obra",IF(Formulario!$L$23&lt;&gt;"",Formulario!$L$23,IFERROR(VLOOKUP(TRIM($M$4),Jornalesdeppto!A:C,3,0),"")),_xlfn.XLOOKUP(1,(Tabla_Costos_Insumos!$A$2:$A$3199=TRIM($M$4))*(Tabla_Costos_Insumos!$C$2:$C$3199=TRIM(K810)),Tabla_Costos_Insumos!$E$2:$E$3199,"",0))</f>
        <v>46666.666666666664</v>
      </c>
      <c r="O810" s="441">
        <f t="shared" si="203"/>
        <v>886666.66666666663</v>
      </c>
      <c r="P810" s="212" t="str">
        <f t="shared" si="198"/>
        <v>Plátano Domínico hartón</v>
      </c>
      <c r="Q810" s="212" t="s">
        <v>108</v>
      </c>
      <c r="R810" s="212">
        <v>0.5</v>
      </c>
      <c r="S810" s="212">
        <f t="shared" si="209"/>
        <v>1.6041666666666667</v>
      </c>
      <c r="T810" s="212" cm="1">
        <f t="array" ref="T810">_xlfn.IFS($D$5&lt;=7, 1.1, $D$5&lt;=12,1.2, $D$5&lt;=25, 1.3, $D$5&gt;25,1.4)</f>
        <v>1.3</v>
      </c>
      <c r="U810" s="212">
        <f t="shared" si="210"/>
        <v>2.0854166666666667</v>
      </c>
      <c r="V810" s="212">
        <v>9</v>
      </c>
      <c r="W810" s="212">
        <f t="shared" si="192"/>
        <v>19</v>
      </c>
      <c r="X810" s="214">
        <v>18</v>
      </c>
    </row>
    <row r="811" spans="1:24" ht="15">
      <c r="A811" s="211" t="s">
        <v>306</v>
      </c>
      <c r="B811" s="225" t="s">
        <v>307</v>
      </c>
      <c r="C811" s="212" t="s">
        <v>69</v>
      </c>
      <c r="D811" s="212" t="s">
        <v>99</v>
      </c>
      <c r="E811" s="212" t="s">
        <v>100</v>
      </c>
      <c r="F811" s="212" t="s">
        <v>117</v>
      </c>
      <c r="G811" s="212" t="s">
        <v>118</v>
      </c>
      <c r="H811" s="212" t="s">
        <v>121</v>
      </c>
      <c r="I811" s="212" t="s">
        <v>122</v>
      </c>
      <c r="J811" s="212" t="s">
        <v>105</v>
      </c>
      <c r="K811" s="212" t="s">
        <v>106</v>
      </c>
      <c r="L811" s="212" t="s">
        <v>107</v>
      </c>
      <c r="M811" s="213">
        <f t="shared" si="208"/>
        <v>19</v>
      </c>
      <c r="N811" s="441" cm="1">
        <f t="array" ref="N811">IF(TRIM(K811)="Mano de Obra",IF(Formulario!$L$23&lt;&gt;"",Formulario!$L$23,IFERROR(VLOOKUP(TRIM($M$4),Jornalesdeppto!A:C,3,0),"")),_xlfn.XLOOKUP(1,(Tabla_Costos_Insumos!$A$2:$A$3199=TRIM($M$4))*(Tabla_Costos_Insumos!$C$2:$C$3199=TRIM(K811)),Tabla_Costos_Insumos!$E$2:$E$3199,"",0))</f>
        <v>46666.666666666664</v>
      </c>
      <c r="O811" s="441">
        <f t="shared" si="203"/>
        <v>886666.66666666663</v>
      </c>
      <c r="P811" s="212" t="str">
        <f t="shared" si="198"/>
        <v>Plátano Domínico hartón</v>
      </c>
      <c r="Q811" s="212" t="s">
        <v>108</v>
      </c>
      <c r="R811" s="212">
        <v>0.5</v>
      </c>
      <c r="S811" s="212">
        <f t="shared" si="209"/>
        <v>1.6041666666666667</v>
      </c>
      <c r="T811" s="212" cm="1">
        <f t="array" ref="T811">_xlfn.IFS($D$5&lt;=7, 1.1, $D$5&lt;=12,1.2, $D$5&lt;=25, 1.3, $D$5&gt;25,1.4)</f>
        <v>1.3</v>
      </c>
      <c r="U811" s="212">
        <f t="shared" si="210"/>
        <v>2.0854166666666667</v>
      </c>
      <c r="V811" s="212">
        <v>9</v>
      </c>
      <c r="W811" s="212">
        <f t="shared" si="192"/>
        <v>19</v>
      </c>
      <c r="X811" s="214">
        <v>18</v>
      </c>
    </row>
    <row r="812" spans="1:24" ht="15">
      <c r="A812" s="211" t="s">
        <v>306</v>
      </c>
      <c r="B812" s="225" t="s">
        <v>307</v>
      </c>
      <c r="C812" s="212" t="s">
        <v>69</v>
      </c>
      <c r="D812" s="212" t="s">
        <v>99</v>
      </c>
      <c r="E812" s="212" t="s">
        <v>100</v>
      </c>
      <c r="F812" s="212" t="s">
        <v>123</v>
      </c>
      <c r="G812" s="212" t="s">
        <v>124</v>
      </c>
      <c r="H812" s="212" t="s">
        <v>128</v>
      </c>
      <c r="I812" s="212" t="s">
        <v>129</v>
      </c>
      <c r="J812" s="212" t="s">
        <v>105</v>
      </c>
      <c r="K812" s="212" t="s">
        <v>106</v>
      </c>
      <c r="L812" s="212" t="s">
        <v>107</v>
      </c>
      <c r="M812" s="213">
        <f t="shared" si="208"/>
        <v>10</v>
      </c>
      <c r="N812" s="441" cm="1">
        <f t="array" ref="N812">IF(TRIM(K812)="Mano de Obra",IF(Formulario!$L$23&lt;&gt;"",Formulario!$L$23,IFERROR(VLOOKUP(TRIM($M$4),Jornalesdeppto!A:C,3,0),"")),_xlfn.XLOOKUP(1,(Tabla_Costos_Insumos!$A$2:$A$3199=TRIM($M$4))*(Tabla_Costos_Insumos!$C$2:$C$3199=TRIM(K812)),Tabla_Costos_Insumos!$E$2:$E$3199,"",0))</f>
        <v>46666.666666666664</v>
      </c>
      <c r="O812" s="441">
        <f t="shared" si="203"/>
        <v>466666.66666666663</v>
      </c>
      <c r="P812" s="212" t="str">
        <f t="shared" si="198"/>
        <v>Plátano Domínico hartón</v>
      </c>
      <c r="Q812" s="212" t="s">
        <v>127</v>
      </c>
      <c r="R812" s="212">
        <v>0.09</v>
      </c>
      <c r="S812" s="212">
        <f t="shared" ref="S812" si="211">10000*R812/480</f>
        <v>1.875</v>
      </c>
      <c r="T812" s="212" cm="1">
        <f t="array" ref="T812">_xlfn.IFS($D$5&lt;=7, 1.1, $D$5&lt;=12,1.2, $D$5&lt;=25, 1.3, $D$5&gt;25,1.4)</f>
        <v>1.3</v>
      </c>
      <c r="U812" s="212"/>
      <c r="V812" s="212">
        <v>4</v>
      </c>
      <c r="W812" s="212"/>
      <c r="X812" s="214">
        <v>7</v>
      </c>
    </row>
    <row r="813" spans="1:24" ht="15">
      <c r="A813" s="211" t="s">
        <v>306</v>
      </c>
      <c r="B813" s="225" t="s">
        <v>307</v>
      </c>
      <c r="C813" s="212" t="s">
        <v>69</v>
      </c>
      <c r="D813" s="212" t="s">
        <v>99</v>
      </c>
      <c r="E813" s="212" t="s">
        <v>100</v>
      </c>
      <c r="F813" s="212" t="s">
        <v>130</v>
      </c>
      <c r="G813" s="212" t="s">
        <v>131</v>
      </c>
      <c r="H813" s="212" t="s">
        <v>134</v>
      </c>
      <c r="I813" s="212" t="s">
        <v>135</v>
      </c>
      <c r="J813" s="212" t="s">
        <v>105</v>
      </c>
      <c r="K813" s="212" t="s">
        <v>106</v>
      </c>
      <c r="L813" s="212" t="s">
        <v>107</v>
      </c>
      <c r="M813" s="213">
        <f t="shared" si="208"/>
        <v>13</v>
      </c>
      <c r="N813" s="441" cm="1">
        <f t="array" ref="N813">IF(TRIM(K813)="Mano de Obra",IF(Formulario!$L$23&lt;&gt;"",Formulario!$L$23,IFERROR(VLOOKUP(TRIM($M$4),Jornalesdeppto!A:C,3,0),"")),_xlfn.XLOOKUP(1,(Tabla_Costos_Insumos!$A$2:$A$3199=TRIM($M$4))*(Tabla_Costos_Insumos!$C$2:$C$3199=TRIM(K813)),Tabla_Costos_Insumos!$E$2:$E$3199,"",0))</f>
        <v>46666.666666666664</v>
      </c>
      <c r="O813" s="441">
        <f t="shared" si="203"/>
        <v>606666.66666666663</v>
      </c>
      <c r="P813" s="212" t="str">
        <f t="shared" si="198"/>
        <v>Plátano Domínico hartón</v>
      </c>
      <c r="Q813" s="212" t="s">
        <v>108</v>
      </c>
      <c r="R813" s="212">
        <v>1.5</v>
      </c>
      <c r="S813" s="212">
        <f>IF($M$3="Plátano Domínico hartón",($I$3*R813) / 480,"")</f>
        <v>4.8125</v>
      </c>
      <c r="T813" s="212" cm="1">
        <f t="array" ref="T813">_xlfn.IFS($D$5&lt;=7, 1.1, $D$5&lt;=12,1.2, $D$5&lt;=25, 1.3, $D$5&gt;25,1.4)</f>
        <v>1.3</v>
      </c>
      <c r="U813" s="212">
        <f>IFERROR(S813*T813,"")</f>
        <v>6.2562500000000005</v>
      </c>
      <c r="V813" s="212">
        <v>2</v>
      </c>
      <c r="W813" s="212">
        <f t="shared" ref="W813:W831" si="212">IFERROR(ROUNDUP(V813*U813,0),"")</f>
        <v>13</v>
      </c>
      <c r="X813" s="214">
        <v>2</v>
      </c>
    </row>
    <row r="814" spans="1:24" ht="15">
      <c r="A814" s="211" t="s">
        <v>306</v>
      </c>
      <c r="B814" s="225" t="s">
        <v>307</v>
      </c>
      <c r="C814" s="212" t="s">
        <v>69</v>
      </c>
      <c r="D814" s="212" t="s">
        <v>99</v>
      </c>
      <c r="E814" s="212" t="s">
        <v>100</v>
      </c>
      <c r="F814" s="212" t="s">
        <v>138</v>
      </c>
      <c r="G814" s="212" t="s">
        <v>139</v>
      </c>
      <c r="H814" s="212" t="s">
        <v>140</v>
      </c>
      <c r="I814" s="212" t="s">
        <v>141</v>
      </c>
      <c r="J814" s="212" t="s">
        <v>105</v>
      </c>
      <c r="K814" s="212" t="s">
        <v>106</v>
      </c>
      <c r="L814" s="212" t="s">
        <v>107</v>
      </c>
      <c r="M814" s="213">
        <f t="shared" si="208"/>
        <v>6</v>
      </c>
      <c r="N814" s="441" cm="1">
        <f t="array" ref="N814">IF(TRIM(K814)="Mano de Obra",IF(Formulario!$L$23&lt;&gt;"",Formulario!$L$23,IFERROR(VLOOKUP(TRIM($M$4),Jornalesdeppto!A:C,3,0),"")),_xlfn.XLOOKUP(1,(Tabla_Costos_Insumos!$A$2:$A$3199=TRIM($M$4))*(Tabla_Costos_Insumos!$C$2:$C$3199=TRIM(K814)),Tabla_Costos_Insumos!$E$2:$E$3199,"",0))</f>
        <v>46666.666666666664</v>
      </c>
      <c r="O814" s="441">
        <f t="shared" si="203"/>
        <v>280000</v>
      </c>
      <c r="P814" s="212" t="str">
        <f t="shared" si="198"/>
        <v>Plátano Domínico hartón</v>
      </c>
      <c r="Q814" s="212" t="s">
        <v>142</v>
      </c>
      <c r="R814" s="212" t="s">
        <v>142</v>
      </c>
      <c r="S814" s="212"/>
      <c r="T814" s="212" cm="1">
        <f t="array" ref="T814">_xlfn.IFS($D$5&lt;=7, 1.1, $D$5&lt;=12,1.2, $D$5&lt;=25, 1.3, $D$5&gt;25,1.4)</f>
        <v>1.3</v>
      </c>
      <c r="U814" s="212"/>
      <c r="V814" s="212" t="s">
        <v>142</v>
      </c>
      <c r="W814" s="212" t="str">
        <f t="shared" si="212"/>
        <v/>
      </c>
      <c r="X814" s="214">
        <v>4</v>
      </c>
    </row>
    <row r="815" spans="1:24" ht="15">
      <c r="A815" s="211" t="s">
        <v>306</v>
      </c>
      <c r="B815" s="225" t="s">
        <v>307</v>
      </c>
      <c r="C815" s="212" t="s">
        <v>69</v>
      </c>
      <c r="D815" s="212" t="s">
        <v>99</v>
      </c>
      <c r="E815" s="212" t="s">
        <v>100</v>
      </c>
      <c r="F815" s="212" t="s">
        <v>138</v>
      </c>
      <c r="G815" s="212" t="s">
        <v>139</v>
      </c>
      <c r="H815" s="212" t="s">
        <v>143</v>
      </c>
      <c r="I815" s="212" t="s">
        <v>144</v>
      </c>
      <c r="J815" s="212" t="s">
        <v>105</v>
      </c>
      <c r="K815" s="212" t="s">
        <v>106</v>
      </c>
      <c r="L815" s="212" t="s">
        <v>107</v>
      </c>
      <c r="M815" s="213">
        <f t="shared" si="208"/>
        <v>19</v>
      </c>
      <c r="N815" s="441" cm="1">
        <f t="array" ref="N815">IF(TRIM(K815)="Mano de Obra",IF(Formulario!$L$23&lt;&gt;"",Formulario!$L$23,IFERROR(VLOOKUP(TRIM($M$4),Jornalesdeppto!A:C,3,0),"")),_xlfn.XLOOKUP(1,(Tabla_Costos_Insumos!$A$2:$A$3199=TRIM($M$4))*(Tabla_Costos_Insumos!$C$2:$C$3199=TRIM(K815)),Tabla_Costos_Insumos!$E$2:$E$3199,"",0))</f>
        <v>46666.666666666664</v>
      </c>
      <c r="O815" s="441">
        <f t="shared" si="203"/>
        <v>886666.66666666663</v>
      </c>
      <c r="P815" s="212" t="str">
        <f t="shared" si="198"/>
        <v>Plátano Domínico hartón</v>
      </c>
      <c r="Q815" s="212" t="s">
        <v>142</v>
      </c>
      <c r="R815" s="212" t="s">
        <v>142</v>
      </c>
      <c r="S815" s="212"/>
      <c r="T815" s="212" cm="1">
        <f t="array" ref="T815">_xlfn.IFS($D$5&lt;=7, 1.1, $D$5&lt;=12,1.2, $D$5&lt;=25, 1.3, $D$5&gt;25,1.4)</f>
        <v>1.3</v>
      </c>
      <c r="U815" s="212"/>
      <c r="V815" s="212"/>
      <c r="W815" s="212"/>
      <c r="X815" s="214">
        <v>14</v>
      </c>
    </row>
    <row r="816" spans="1:24" ht="15">
      <c r="A816" s="211" t="s">
        <v>306</v>
      </c>
      <c r="B816" s="225" t="s">
        <v>307</v>
      </c>
      <c r="C816" s="212" t="s">
        <v>69</v>
      </c>
      <c r="D816" s="212" t="s">
        <v>145</v>
      </c>
      <c r="E816" s="212" t="s">
        <v>146</v>
      </c>
      <c r="F816" s="212" t="s">
        <v>147</v>
      </c>
      <c r="G816" s="212" t="s">
        <v>131</v>
      </c>
      <c r="H816" s="212" t="s">
        <v>229</v>
      </c>
      <c r="I816" s="212" t="s">
        <v>153</v>
      </c>
      <c r="J816" s="212" t="s">
        <v>149</v>
      </c>
      <c r="K816" s="212" t="s">
        <v>4216</v>
      </c>
      <c r="L816" s="212" t="s">
        <v>151</v>
      </c>
      <c r="M816" s="213">
        <v>21</v>
      </c>
      <c r="N816" s="441" cm="1">
        <f t="array" ref="N816">IF(TRIM(K816)="Mano de Obra",IF(Formulario!$L$23&lt;&gt;"",Formulario!$L$23,IFERROR(VLOOKUP(TRIM($M$4),Jornalesdeppto!A:C,3,0),"")),_xlfn.XLOOKUP(1,(Tabla_Costos_Insumos!$A$2:$A$3199=TRIM($M$4))*(Tabla_Costos_Insumos!$C$2:$C$3199=TRIM(K816)),Tabla_Costos_Insumos!$E$2:$E$3199,"",0))</f>
        <v>125849.2424242409</v>
      </c>
      <c r="O816" s="441">
        <f t="shared" si="203"/>
        <v>2642834.0909090592</v>
      </c>
      <c r="P816" s="212" t="str">
        <f t="shared" si="198"/>
        <v>Plátano Domínico hartón</v>
      </c>
      <c r="Q816" s="212" t="s">
        <v>142</v>
      </c>
      <c r="R816" s="212" t="s">
        <v>142</v>
      </c>
      <c r="S816" s="212"/>
      <c r="T816" s="212"/>
      <c r="U816" s="212"/>
      <c r="V816" s="212"/>
      <c r="W816" s="212"/>
      <c r="X816" s="214"/>
    </row>
    <row r="817" spans="1:24" ht="15">
      <c r="A817" s="211" t="s">
        <v>306</v>
      </c>
      <c r="B817" s="225" t="s">
        <v>307</v>
      </c>
      <c r="C817" s="212" t="s">
        <v>69</v>
      </c>
      <c r="D817" s="212" t="s">
        <v>145</v>
      </c>
      <c r="E817" s="212" t="s">
        <v>146</v>
      </c>
      <c r="F817" s="212" t="s">
        <v>147</v>
      </c>
      <c r="G817" s="212" t="s">
        <v>131</v>
      </c>
      <c r="H817" s="212" t="s">
        <v>148</v>
      </c>
      <c r="I817" s="212" t="s">
        <v>299</v>
      </c>
      <c r="J817" s="212" t="s">
        <v>149</v>
      </c>
      <c r="K817" s="212" t="s">
        <v>150</v>
      </c>
      <c r="L817" s="212" t="s">
        <v>151</v>
      </c>
      <c r="M817" s="213">
        <v>4</v>
      </c>
      <c r="N817" s="441" cm="1">
        <f t="array" ref="N817">IF(TRIM(K817)="Mano de Obra",IF(Formulario!$L$23&lt;&gt;"",Formulario!$L$23,IFERROR(VLOOKUP(TRIM($M$4),Jornalesdeppto!A:C,3,0),"")),_xlfn.XLOOKUP(1,(Tabla_Costos_Insumos!$A$2:$A$3199=TRIM($M$4))*(Tabla_Costos_Insumos!$C$2:$C$3199=TRIM(K817)),Tabla_Costos_Insumos!$E$2:$E$3199,"",0))</f>
        <v>198055.68333333</v>
      </c>
      <c r="O817" s="441">
        <f t="shared" si="203"/>
        <v>792222.73333332001</v>
      </c>
      <c r="P817" s="212" t="str">
        <f t="shared" si="198"/>
        <v>Plátano Domínico hartón</v>
      </c>
      <c r="Q817" s="212" t="s">
        <v>142</v>
      </c>
      <c r="R817" s="212" t="s">
        <v>142</v>
      </c>
      <c r="S817" s="212"/>
      <c r="T817" s="212"/>
      <c r="U817" s="212"/>
      <c r="V817" s="212"/>
      <c r="W817" s="212"/>
      <c r="X817" s="214"/>
    </row>
    <row r="818" spans="1:24" ht="15">
      <c r="A818" s="211" t="s">
        <v>306</v>
      </c>
      <c r="B818" s="225" t="s">
        <v>307</v>
      </c>
      <c r="C818" s="212" t="s">
        <v>69</v>
      </c>
      <c r="D818" s="212" t="s">
        <v>145</v>
      </c>
      <c r="E818" s="212" t="s">
        <v>146</v>
      </c>
      <c r="F818" s="212" t="s">
        <v>147</v>
      </c>
      <c r="G818" s="212" t="s">
        <v>131</v>
      </c>
      <c r="H818" s="212" t="s">
        <v>154</v>
      </c>
      <c r="I818" s="212" t="s">
        <v>155</v>
      </c>
      <c r="J818" s="212" t="s">
        <v>149</v>
      </c>
      <c r="K818" s="212" t="s">
        <v>156</v>
      </c>
      <c r="L818" s="212" t="s">
        <v>151</v>
      </c>
      <c r="M818" s="213">
        <v>14</v>
      </c>
      <c r="N818" s="441" cm="1">
        <f t="array" ref="N818">IF(TRIM(K818)="Mano de Obra",IF(Formulario!$L$23&lt;&gt;"",Formulario!$L$23,IFERROR(VLOOKUP(TRIM($M$4),Jornalesdeppto!A:C,3,0),"")),_xlfn.XLOOKUP(1,(Tabla_Costos_Insumos!$A$2:$A$3199=TRIM($M$4))*(Tabla_Costos_Insumos!$C$2:$C$3199=TRIM(K818)),Tabla_Costos_Insumos!$E$2:$E$3199,"",0))</f>
        <v>17212.5</v>
      </c>
      <c r="O818" s="441">
        <f t="shared" si="203"/>
        <v>240975</v>
      </c>
      <c r="P818" s="212" t="str">
        <f t="shared" si="198"/>
        <v>Plátano Domínico hartón</v>
      </c>
      <c r="Q818" s="212" t="s">
        <v>142</v>
      </c>
      <c r="R818" s="212" t="s">
        <v>142</v>
      </c>
      <c r="S818" s="212"/>
      <c r="T818" s="212"/>
      <c r="U818" s="212"/>
      <c r="V818" s="212"/>
      <c r="W818" s="212"/>
      <c r="X818" s="214"/>
    </row>
    <row r="819" spans="1:24" ht="15">
      <c r="A819" s="211" t="s">
        <v>306</v>
      </c>
      <c r="B819" s="225" t="s">
        <v>307</v>
      </c>
      <c r="C819" s="212" t="s">
        <v>69</v>
      </c>
      <c r="D819" s="212" t="s">
        <v>145</v>
      </c>
      <c r="E819" s="212" t="s">
        <v>146</v>
      </c>
      <c r="F819" s="212" t="s">
        <v>147</v>
      </c>
      <c r="G819" s="212" t="s">
        <v>131</v>
      </c>
      <c r="H819" s="212" t="s">
        <v>157</v>
      </c>
      <c r="I819" s="212" t="s">
        <v>158</v>
      </c>
      <c r="J819" s="212" t="s">
        <v>149</v>
      </c>
      <c r="K819" s="212" t="s">
        <v>243</v>
      </c>
      <c r="L819" s="212" t="s">
        <v>172</v>
      </c>
      <c r="M819" s="213">
        <v>18</v>
      </c>
      <c r="N819" s="441" cm="1">
        <f t="array" ref="N819">IF(TRIM(K819)="Mano de Obra",IF(Formulario!$L$23&lt;&gt;"",Formulario!$L$23,IFERROR(VLOOKUP(TRIM($M$4),Jornalesdeppto!A:C,3,0),"")),_xlfn.XLOOKUP(1,(Tabla_Costos_Insumos!$A$2:$A$3199=TRIM($M$4))*(Tabla_Costos_Insumos!$C$2:$C$3199=TRIM(K819)),Tabla_Costos_Insumos!$E$2:$E$3199,"",0))</f>
        <v>26208.33</v>
      </c>
      <c r="O819" s="441">
        <f t="shared" si="203"/>
        <v>471749.94000000006</v>
      </c>
      <c r="P819" s="212" t="str">
        <f t="shared" si="198"/>
        <v>Plátano Domínico hartón</v>
      </c>
      <c r="Q819" s="212" t="s">
        <v>142</v>
      </c>
      <c r="R819" s="212" t="s">
        <v>142</v>
      </c>
      <c r="S819" s="212"/>
      <c r="T819" s="212"/>
      <c r="U819" s="212"/>
      <c r="V819" s="212"/>
      <c r="W819" s="212"/>
      <c r="X819" s="214"/>
    </row>
    <row r="820" spans="1:24" ht="15">
      <c r="A820" s="211" t="s">
        <v>306</v>
      </c>
      <c r="B820" s="225" t="s">
        <v>307</v>
      </c>
      <c r="C820" s="212" t="s">
        <v>69</v>
      </c>
      <c r="D820" s="212" t="s">
        <v>145</v>
      </c>
      <c r="E820" s="212" t="s">
        <v>146</v>
      </c>
      <c r="F820" s="212" t="s">
        <v>147</v>
      </c>
      <c r="G820" s="212" t="s">
        <v>131</v>
      </c>
      <c r="H820" s="212" t="s">
        <v>161</v>
      </c>
      <c r="I820" s="212" t="s">
        <v>162</v>
      </c>
      <c r="J820" s="212" t="s">
        <v>149</v>
      </c>
      <c r="K820" s="212" t="s">
        <v>163</v>
      </c>
      <c r="L820" s="212" t="s">
        <v>164</v>
      </c>
      <c r="M820" s="213">
        <v>2</v>
      </c>
      <c r="N820" s="441" cm="1">
        <f t="array" ref="N820">IF(TRIM(K820)="Mano de Obra",IF(Formulario!$L$23&lt;&gt;"",Formulario!$L$23,IFERROR(VLOOKUP(TRIM($M$4),Jornalesdeppto!A:C,3,0),"")),_xlfn.XLOOKUP(1,(Tabla_Costos_Insumos!$A$2:$A$3199=TRIM($M$4))*(Tabla_Costos_Insumos!$C$2:$C$3199=TRIM(K820)),Tabla_Costos_Insumos!$E$2:$E$3199,"",0))</f>
        <v>128084.44444445</v>
      </c>
      <c r="O820" s="441">
        <f t="shared" si="203"/>
        <v>256168.88888889999</v>
      </c>
      <c r="P820" s="212" t="str">
        <f t="shared" si="198"/>
        <v>Plátano Domínico hartón</v>
      </c>
      <c r="Q820" s="212" t="s">
        <v>142</v>
      </c>
      <c r="R820" s="212" t="s">
        <v>142</v>
      </c>
      <c r="S820" s="212"/>
      <c r="T820" s="212"/>
      <c r="U820" s="212"/>
      <c r="V820" s="212"/>
      <c r="W820" s="212"/>
      <c r="X820" s="214"/>
    </row>
    <row r="821" spans="1:24" ht="15">
      <c r="A821" s="211" t="s">
        <v>306</v>
      </c>
      <c r="B821" s="225" t="s">
        <v>307</v>
      </c>
      <c r="C821" s="212" t="s">
        <v>69</v>
      </c>
      <c r="D821" s="212" t="s">
        <v>145</v>
      </c>
      <c r="E821" s="212" t="s">
        <v>146</v>
      </c>
      <c r="F821" s="212" t="s">
        <v>147</v>
      </c>
      <c r="G821" s="212" t="s">
        <v>131</v>
      </c>
      <c r="H821" s="212" t="s">
        <v>165</v>
      </c>
      <c r="I821" s="212" t="s">
        <v>153</v>
      </c>
      <c r="J821" s="212" t="s">
        <v>149</v>
      </c>
      <c r="K821" s="212" t="s">
        <v>166</v>
      </c>
      <c r="L821" s="212" t="s">
        <v>151</v>
      </c>
      <c r="M821" s="213">
        <v>15</v>
      </c>
      <c r="N821" s="441" cm="1">
        <f t="array" ref="N821">IF(TRIM(K821)="Mano de Obra",IF(Formulario!$L$23&lt;&gt;"",Formulario!$L$23,IFERROR(VLOOKUP(TRIM($M$4),Jornalesdeppto!A:C,3,0),"")),_xlfn.XLOOKUP(1,(Tabla_Costos_Insumos!$A$2:$A$3199=TRIM($M$4))*(Tabla_Costos_Insumos!$C$2:$C$3199=TRIM(K821)),Tabla_Costos_Insumos!$E$2:$E$3199,"",0))</f>
        <v>110000</v>
      </c>
      <c r="O821" s="441">
        <f t="shared" si="203"/>
        <v>1650000</v>
      </c>
      <c r="P821" s="212" t="str">
        <f t="shared" si="198"/>
        <v>Plátano Domínico hartón</v>
      </c>
      <c r="Q821" s="212" t="s">
        <v>142</v>
      </c>
      <c r="R821" s="212" t="s">
        <v>142</v>
      </c>
      <c r="S821" s="212"/>
      <c r="T821" s="212"/>
      <c r="U821" s="212"/>
      <c r="V821" s="212"/>
      <c r="W821" s="212"/>
      <c r="X821" s="214"/>
    </row>
    <row r="822" spans="1:24" ht="15">
      <c r="A822" s="211" t="s">
        <v>306</v>
      </c>
      <c r="B822" s="225" t="s">
        <v>307</v>
      </c>
      <c r="C822" s="212" t="s">
        <v>69</v>
      </c>
      <c r="D822" s="212" t="s">
        <v>145</v>
      </c>
      <c r="E822" s="212" t="s">
        <v>146</v>
      </c>
      <c r="F822" s="212" t="s">
        <v>167</v>
      </c>
      <c r="G822" s="212" t="s">
        <v>118</v>
      </c>
      <c r="H822" s="212" t="s">
        <v>168</v>
      </c>
      <c r="I822" s="212" t="s">
        <v>169</v>
      </c>
      <c r="J822" s="212" t="s">
        <v>170</v>
      </c>
      <c r="K822" s="212" t="s">
        <v>309</v>
      </c>
      <c r="L822" s="212" t="s">
        <v>310</v>
      </c>
      <c r="M822" s="213">
        <v>9</v>
      </c>
      <c r="N822" s="441" cm="1">
        <f t="array" ref="N822">IF(TRIM(K822)="Mano de Obra",IF(Formulario!$L$23&lt;&gt;"",Formulario!$L$23,IFERROR(VLOOKUP(TRIM($M$4),Jornalesdeppto!A:C,3,0),"")),_xlfn.XLOOKUP(1,(Tabla_Costos_Insumos!$A$2:$A$3199=TRIM($M$4))*(Tabla_Costos_Insumos!$C$2:$C$3199=TRIM(K822)),Tabla_Costos_Insumos!$E$2:$E$3199,"",0))</f>
        <v>78080.853020496768</v>
      </c>
      <c r="O822" s="441">
        <f t="shared" si="203"/>
        <v>702727.67718447093</v>
      </c>
      <c r="P822" s="212" t="str">
        <f t="shared" si="198"/>
        <v>Plátano Domínico hartón</v>
      </c>
      <c r="Q822" s="212" t="s">
        <v>142</v>
      </c>
      <c r="R822" s="212" t="s">
        <v>142</v>
      </c>
      <c r="S822" s="212"/>
      <c r="T822" s="212"/>
      <c r="U822" s="212"/>
      <c r="V822" s="212"/>
      <c r="W822" s="212"/>
      <c r="X822" s="214"/>
    </row>
    <row r="823" spans="1:24" ht="15">
      <c r="A823" s="211" t="s">
        <v>306</v>
      </c>
      <c r="B823" s="225" t="s">
        <v>307</v>
      </c>
      <c r="C823" s="212" t="s">
        <v>69</v>
      </c>
      <c r="D823" s="212" t="s">
        <v>145</v>
      </c>
      <c r="E823" s="212" t="s">
        <v>146</v>
      </c>
      <c r="F823" s="212" t="s">
        <v>167</v>
      </c>
      <c r="G823" s="212" t="s">
        <v>118</v>
      </c>
      <c r="H823" s="212" t="s">
        <v>168</v>
      </c>
      <c r="I823" s="212" t="s">
        <v>169</v>
      </c>
      <c r="J823" s="212" t="s">
        <v>170</v>
      </c>
      <c r="K823" s="212" t="s">
        <v>311</v>
      </c>
      <c r="L823" s="212" t="s">
        <v>172</v>
      </c>
      <c r="M823" s="213">
        <v>11</v>
      </c>
      <c r="N823" s="441" cm="1">
        <f t="array" ref="N823">IF(TRIM(K823)="Mano de Obra",IF(Formulario!$L$23&lt;&gt;"",Formulario!$L$23,IFERROR(VLOOKUP(TRIM($M$4),Jornalesdeppto!A:C,3,0),"")),_xlfn.XLOOKUP(1,(Tabla_Costos_Insumos!$A$2:$A$3199=TRIM($M$4))*(Tabla_Costos_Insumos!$C$2:$C$3199=TRIM(K823)),Tabla_Costos_Insumos!$E$2:$E$3199,"",0))</f>
        <v>45987.3</v>
      </c>
      <c r="O823" s="441">
        <f t="shared" si="203"/>
        <v>505860.30000000005</v>
      </c>
      <c r="P823" s="212" t="str">
        <f t="shared" ref="P823:P886" si="213">CONCATENATE(A823," ",B823)</f>
        <v>Plátano Domínico hartón</v>
      </c>
      <c r="Q823" s="212" t="s">
        <v>142</v>
      </c>
      <c r="R823" s="212" t="s">
        <v>142</v>
      </c>
      <c r="S823" s="212"/>
      <c r="T823" s="212"/>
      <c r="U823" s="212"/>
      <c r="V823" s="212"/>
      <c r="W823" s="212"/>
      <c r="X823" s="214"/>
    </row>
    <row r="824" spans="1:24" ht="15">
      <c r="A824" s="211" t="s">
        <v>306</v>
      </c>
      <c r="B824" s="225" t="s">
        <v>307</v>
      </c>
      <c r="C824" s="212" t="s">
        <v>69</v>
      </c>
      <c r="D824" s="212" t="s">
        <v>145</v>
      </c>
      <c r="E824" s="212" t="s">
        <v>146</v>
      </c>
      <c r="F824" s="212" t="s">
        <v>167</v>
      </c>
      <c r="G824" s="212" t="s">
        <v>118</v>
      </c>
      <c r="H824" s="212" t="s">
        <v>174</v>
      </c>
      <c r="I824" s="212" t="s">
        <v>175</v>
      </c>
      <c r="J824" s="212" t="s">
        <v>176</v>
      </c>
      <c r="K824" s="212" t="s">
        <v>231</v>
      </c>
      <c r="L824" s="212" t="s">
        <v>172</v>
      </c>
      <c r="M824" s="213">
        <v>18</v>
      </c>
      <c r="N824" s="441" cm="1">
        <f t="array" ref="N824">IF(TRIM(K824)="Mano de Obra",IF(Formulario!$L$23&lt;&gt;"",Formulario!$L$23,IFERROR(VLOOKUP(TRIM($M$4),Jornalesdeppto!A:C,3,0),"")),_xlfn.XLOOKUP(1,(Tabla_Costos_Insumos!$A$2:$A$3199=TRIM($M$4))*(Tabla_Costos_Insumos!$C$2:$C$3199=TRIM(K824)),Tabla_Costos_Insumos!$E$2:$E$3199,"",0))</f>
        <v>23177.15</v>
      </c>
      <c r="O824" s="441">
        <f t="shared" si="203"/>
        <v>417188.7</v>
      </c>
      <c r="P824" s="212" t="str">
        <f t="shared" si="213"/>
        <v>Plátano Domínico hartón</v>
      </c>
      <c r="Q824" s="212" t="s">
        <v>142</v>
      </c>
      <c r="R824" s="212" t="s">
        <v>142</v>
      </c>
      <c r="S824" s="212"/>
      <c r="T824" s="212"/>
      <c r="U824" s="212"/>
      <c r="V824" s="212"/>
      <c r="W824" s="212"/>
      <c r="X824" s="214"/>
    </row>
    <row r="825" spans="1:24" ht="15">
      <c r="A825" s="211" t="s">
        <v>306</v>
      </c>
      <c r="B825" s="225" t="s">
        <v>307</v>
      </c>
      <c r="C825" s="212" t="s">
        <v>69</v>
      </c>
      <c r="D825" s="212" t="s">
        <v>145</v>
      </c>
      <c r="E825" s="212" t="s">
        <v>146</v>
      </c>
      <c r="F825" s="212" t="s">
        <v>167</v>
      </c>
      <c r="G825" s="212" t="s">
        <v>118</v>
      </c>
      <c r="H825" s="212" t="s">
        <v>178</v>
      </c>
      <c r="I825" s="212" t="s">
        <v>179</v>
      </c>
      <c r="J825" s="212" t="s">
        <v>180</v>
      </c>
      <c r="K825" s="212" t="s">
        <v>254</v>
      </c>
      <c r="L825" s="212" t="s">
        <v>172</v>
      </c>
      <c r="M825" s="213">
        <v>9</v>
      </c>
      <c r="N825" s="441" cm="1">
        <f t="array" ref="N825">IF(TRIM(K825)="Mano de Obra",IF(Formulario!$L$23&lt;&gt;"",Formulario!$L$23,IFERROR(VLOOKUP(TRIM($M$4),Jornalesdeppto!A:C,3,0),"")),_xlfn.XLOOKUP(1,(Tabla_Costos_Insumos!$A$2:$A$3199=TRIM($M$4))*(Tabla_Costos_Insumos!$C$2:$C$3199=TRIM(K825)),Tabla_Costos_Insumos!$E$2:$E$3199,"",0))</f>
        <v>146171.37</v>
      </c>
      <c r="O825" s="441">
        <f t="shared" si="203"/>
        <v>1315542.33</v>
      </c>
      <c r="P825" s="212" t="str">
        <f t="shared" si="213"/>
        <v>Plátano Domínico hartón</v>
      </c>
      <c r="Q825" s="212" t="s">
        <v>142</v>
      </c>
      <c r="R825" s="212" t="s">
        <v>142</v>
      </c>
      <c r="S825" s="212"/>
      <c r="T825" s="212"/>
      <c r="U825" s="212"/>
      <c r="V825" s="212"/>
      <c r="W825" s="212"/>
      <c r="X825" s="214"/>
    </row>
    <row r="826" spans="1:24" ht="15">
      <c r="A826" s="211" t="s">
        <v>306</v>
      </c>
      <c r="B826" s="225" t="s">
        <v>307</v>
      </c>
      <c r="C826" s="212" t="s">
        <v>69</v>
      </c>
      <c r="D826" s="212" t="s">
        <v>145</v>
      </c>
      <c r="E826" s="212" t="s">
        <v>146</v>
      </c>
      <c r="F826" s="212" t="s">
        <v>167</v>
      </c>
      <c r="G826" s="212" t="s">
        <v>118</v>
      </c>
      <c r="H826" s="212" t="s">
        <v>178</v>
      </c>
      <c r="I826" s="212" t="s">
        <v>179</v>
      </c>
      <c r="J826" s="212" t="s">
        <v>180</v>
      </c>
      <c r="K826" s="212" t="s">
        <v>314</v>
      </c>
      <c r="L826" s="212" t="s">
        <v>172</v>
      </c>
      <c r="M826" s="213">
        <v>6</v>
      </c>
      <c r="N826" s="441" cm="1">
        <f t="array" ref="N826">IF(TRIM(K826)="Mano de Obra",IF(Formulario!$L$23&lt;&gt;"",Formulario!$L$23,IFERROR(VLOOKUP(TRIM($M$4),Jornalesdeppto!A:C,3,0),"")),_xlfn.XLOOKUP(1,(Tabla_Costos_Insumos!$A$2:$A$3199=TRIM($M$4))*(Tabla_Costos_Insumos!$C$2:$C$3199=TRIM(K826)),Tabla_Costos_Insumos!$E$2:$E$3199,"",0))</f>
        <v>28111.98</v>
      </c>
      <c r="O826" s="441">
        <f t="shared" si="203"/>
        <v>168671.88</v>
      </c>
      <c r="P826" s="212" t="str">
        <f t="shared" si="213"/>
        <v>Plátano Domínico hartón</v>
      </c>
      <c r="Q826" s="212" t="s">
        <v>142</v>
      </c>
      <c r="R826" s="212" t="s">
        <v>142</v>
      </c>
      <c r="S826" s="212"/>
      <c r="T826" s="212"/>
      <c r="U826" s="212"/>
      <c r="V826" s="212"/>
      <c r="W826" s="212"/>
      <c r="X826" s="214"/>
    </row>
    <row r="827" spans="1:24" ht="15">
      <c r="A827" s="211" t="s">
        <v>306</v>
      </c>
      <c r="B827" s="225" t="s">
        <v>307</v>
      </c>
      <c r="C827" s="212" t="s">
        <v>69</v>
      </c>
      <c r="D827" s="212" t="s">
        <v>145</v>
      </c>
      <c r="E827" s="212" t="s">
        <v>146</v>
      </c>
      <c r="F827" s="212" t="s">
        <v>183</v>
      </c>
      <c r="G827" s="212" t="s">
        <v>184</v>
      </c>
      <c r="H827" s="212" t="s">
        <v>185</v>
      </c>
      <c r="I827" s="212" t="s">
        <v>186</v>
      </c>
      <c r="J827" s="212" t="s">
        <v>105</v>
      </c>
      <c r="K827" s="212" t="s">
        <v>187</v>
      </c>
      <c r="L827" s="212" t="s">
        <v>188</v>
      </c>
      <c r="M827" s="213">
        <v>0.1</v>
      </c>
      <c r="N827" s="441" cm="1">
        <f t="array" ref="N827">IF(TRIM(K827)="Mano de Obra",IF(Formulario!$L$23&lt;&gt;"",Formulario!$L$23,IFERROR(VLOOKUP(TRIM($M$4),Jornalesdeppto!A:C,3,0),"")),_xlfn.XLOOKUP(1,(Tabla_Costos_Insumos!$A$2:$A$3199=TRIM($M$4))*(Tabla_Costos_Insumos!$C$2:$C$3199=TRIM(K827)),Tabla_Costos_Insumos!$E$2:$E$3199,"",0))</f>
        <v>175000</v>
      </c>
      <c r="O827" s="441">
        <f t="shared" si="203"/>
        <v>17500</v>
      </c>
      <c r="P827" s="212" t="str">
        <f t="shared" si="213"/>
        <v>Plátano Domínico hartón</v>
      </c>
      <c r="Q827" s="212" t="s">
        <v>142</v>
      </c>
      <c r="R827" s="212" t="s">
        <v>142</v>
      </c>
      <c r="S827" s="212"/>
      <c r="T827" s="212"/>
      <c r="U827" s="212"/>
      <c r="V827" s="212"/>
      <c r="W827" s="212"/>
      <c r="X827" s="214"/>
    </row>
    <row r="828" spans="1:24" ht="15">
      <c r="A828" s="211" t="s">
        <v>306</v>
      </c>
      <c r="B828" s="225" t="s">
        <v>307</v>
      </c>
      <c r="C828" s="212" t="s">
        <v>69</v>
      </c>
      <c r="D828" s="212" t="s">
        <v>189</v>
      </c>
      <c r="E828" s="212" t="s">
        <v>190</v>
      </c>
      <c r="F828" s="212" t="s">
        <v>191</v>
      </c>
      <c r="G828" s="212" t="s">
        <v>192</v>
      </c>
      <c r="H828" s="212" t="s">
        <v>193</v>
      </c>
      <c r="I828" s="212" t="s">
        <v>194</v>
      </c>
      <c r="J828" s="212" t="s">
        <v>195</v>
      </c>
      <c r="K828" s="212" t="s">
        <v>196</v>
      </c>
      <c r="L828" s="212" t="s">
        <v>197</v>
      </c>
      <c r="M828" s="213">
        <v>1</v>
      </c>
      <c r="N828" s="441">
        <f>IFERROR(SUM(O810:$O$827)*0.08,0)</f>
        <v>1055581.9898919268</v>
      </c>
      <c r="O828" s="441">
        <f t="shared" si="203"/>
        <v>1055581.9898919268</v>
      </c>
      <c r="P828" s="212" t="str">
        <f t="shared" si="213"/>
        <v>Plátano Domínico hartón</v>
      </c>
      <c r="Q828" s="212" t="s">
        <v>142</v>
      </c>
      <c r="R828" s="212" t="s">
        <v>142</v>
      </c>
      <c r="S828" s="212"/>
      <c r="T828" s="212"/>
      <c r="U828" s="212"/>
      <c r="V828" s="212"/>
      <c r="W828" s="212"/>
      <c r="X828" s="214"/>
    </row>
    <row r="829" spans="1:24" ht="15">
      <c r="A829" s="211" t="s">
        <v>306</v>
      </c>
      <c r="B829" s="225" t="s">
        <v>307</v>
      </c>
      <c r="C829" s="212" t="s">
        <v>69</v>
      </c>
      <c r="D829" s="212" t="s">
        <v>189</v>
      </c>
      <c r="E829" s="212" t="s">
        <v>190</v>
      </c>
      <c r="F829" s="212" t="s">
        <v>198</v>
      </c>
      <c r="G829" s="212" t="s">
        <v>199</v>
      </c>
      <c r="H829" s="212" t="s">
        <v>200</v>
      </c>
      <c r="I829" s="212" t="s">
        <v>201</v>
      </c>
      <c r="J829" s="212" t="s">
        <v>105</v>
      </c>
      <c r="K829" s="212" t="s">
        <v>202</v>
      </c>
      <c r="L829" s="212" t="s">
        <v>203</v>
      </c>
      <c r="M829" s="213">
        <v>1</v>
      </c>
      <c r="N829" s="441" cm="1">
        <f t="array" ref="N829">IF(TRIM(K829)="Mano de Obra",IF(Formulario!$L$23&lt;&gt;"",Formulario!$L$23,IFERROR(VLOOKUP(TRIM($M$4),Jornalesdeppto!A:C,3,0),"")),_xlfn.XLOOKUP(1,(Tabla_Costos_Insumos!$A$2:$A$3199=TRIM($M$4))*(Tabla_Costos_Insumos!$C$2:$C$3199=TRIM(K829)),Tabla_Costos_Insumos!$E$2:$E$3199,"",0))</f>
        <v>120000</v>
      </c>
      <c r="O829" s="441">
        <f t="shared" si="203"/>
        <v>120000</v>
      </c>
      <c r="P829" s="212" t="str">
        <f t="shared" si="213"/>
        <v>Plátano Domínico hartón</v>
      </c>
      <c r="Q829" s="212" t="s">
        <v>142</v>
      </c>
      <c r="R829" s="212" t="s">
        <v>142</v>
      </c>
      <c r="S829" s="212"/>
      <c r="T829" s="212"/>
      <c r="U829" s="212"/>
      <c r="V829" s="212"/>
      <c r="W829" s="212"/>
      <c r="X829" s="214"/>
    </row>
    <row r="830" spans="1:24" ht="15">
      <c r="A830" s="211" t="s">
        <v>306</v>
      </c>
      <c r="B830" s="225" t="s">
        <v>307</v>
      </c>
      <c r="C830" s="212" t="s">
        <v>69</v>
      </c>
      <c r="D830" s="212" t="s">
        <v>189</v>
      </c>
      <c r="E830" s="212" t="s">
        <v>190</v>
      </c>
      <c r="F830" s="212" t="s">
        <v>204</v>
      </c>
      <c r="G830" s="212" t="s">
        <v>205</v>
      </c>
      <c r="H830" s="212" t="s">
        <v>206</v>
      </c>
      <c r="I830" s="212" t="s">
        <v>207</v>
      </c>
      <c r="J830" s="212" t="s">
        <v>4127</v>
      </c>
      <c r="K830" s="212" t="s">
        <v>228</v>
      </c>
      <c r="L830" s="212" t="s">
        <v>197</v>
      </c>
      <c r="M830" s="213">
        <v>1</v>
      </c>
      <c r="N830" s="441">
        <f>IF($M$3="Plátano Domínico hartón",($J$4),"")</f>
        <v>500000</v>
      </c>
      <c r="O830" s="441">
        <f t="shared" si="203"/>
        <v>500000</v>
      </c>
      <c r="P830" s="212" t="str">
        <f t="shared" si="213"/>
        <v>Plátano Domínico hartón</v>
      </c>
      <c r="Q830" s="212" t="s">
        <v>142</v>
      </c>
      <c r="R830" s="212" t="s">
        <v>142</v>
      </c>
      <c r="S830" s="212"/>
      <c r="T830" s="212"/>
      <c r="U830" s="212"/>
      <c r="V830" s="212"/>
      <c r="W830" s="212"/>
      <c r="X830" s="214"/>
    </row>
    <row r="831" spans="1:24" s="3" customFormat="1" ht="15">
      <c r="A831" s="211" t="s">
        <v>4604</v>
      </c>
      <c r="B831" s="225" t="s">
        <v>4060</v>
      </c>
      <c r="C831" s="216" t="s">
        <v>53</v>
      </c>
      <c r="D831" s="216" t="s">
        <v>99</v>
      </c>
      <c r="E831" s="216" t="s">
        <v>100</v>
      </c>
      <c r="F831" s="216" t="s">
        <v>101</v>
      </c>
      <c r="G831" s="216" t="s">
        <v>102</v>
      </c>
      <c r="H831" s="216" t="s">
        <v>278</v>
      </c>
      <c r="I831" s="216" t="s">
        <v>279</v>
      </c>
      <c r="J831" s="216" t="s">
        <v>280</v>
      </c>
      <c r="K831" s="216" t="s">
        <v>279</v>
      </c>
      <c r="L831" s="216" t="s">
        <v>281</v>
      </c>
      <c r="M831" s="217">
        <v>4</v>
      </c>
      <c r="N831" s="442">
        <v>72606</v>
      </c>
      <c r="O831" s="442">
        <f t="shared" si="203"/>
        <v>290424</v>
      </c>
      <c r="P831" s="212" t="str">
        <f t="shared" si="213"/>
        <v>Caña_Azucar CC 93-7711 Pierna Bella</v>
      </c>
      <c r="Q831" s="212" t="s">
        <v>142</v>
      </c>
      <c r="R831" s="212"/>
      <c r="S831" s="212"/>
      <c r="T831" s="212"/>
      <c r="U831" s="212"/>
      <c r="V831" s="212" t="s">
        <v>142</v>
      </c>
      <c r="W831" s="212" t="str">
        <f t="shared" si="212"/>
        <v/>
      </c>
      <c r="X831" s="214"/>
    </row>
    <row r="832" spans="1:24" ht="15">
      <c r="A832" s="211" t="s">
        <v>4604</v>
      </c>
      <c r="B832" s="225" t="s">
        <v>4060</v>
      </c>
      <c r="C832" s="216" t="s">
        <v>53</v>
      </c>
      <c r="D832" s="216" t="s">
        <v>99</v>
      </c>
      <c r="E832" s="216" t="s">
        <v>100</v>
      </c>
      <c r="F832" s="216" t="s">
        <v>101</v>
      </c>
      <c r="G832" s="216" t="s">
        <v>102</v>
      </c>
      <c r="H832" s="216" t="s">
        <v>103</v>
      </c>
      <c r="I832" s="216" t="s">
        <v>104</v>
      </c>
      <c r="J832" s="216" t="s">
        <v>105</v>
      </c>
      <c r="K832" s="216" t="s">
        <v>106</v>
      </c>
      <c r="L832" s="216" t="s">
        <v>107</v>
      </c>
      <c r="M832" s="217">
        <f>IF(W832&lt;&gt;"", W832, ROUNDUP(X832*T832, 0))</f>
        <v>4</v>
      </c>
      <c r="N832" s="442" cm="1">
        <f t="array" ref="N832">IF(TRIM(K832)="Mano de Obra",IF(Formulario!$L$23&lt;&gt;"",Formulario!$L$23,IFERROR(VLOOKUP(TRIM($M$4),Jornalesdeppto!A:C,3,0),"")),_xlfn.XLOOKUP(1,(Tabla_Costos_Insumos!$A$2:$A$3199=TRIM($M$4))*(Tabla_Costos_Insumos!$C$2:$C$3199=TRIM(K832)),Tabla_Costos_Insumos!$E$2:$E$3199,"",0))</f>
        <v>46666.666666666664</v>
      </c>
      <c r="O832" s="442">
        <f t="shared" si="203"/>
        <v>186666.66666666666</v>
      </c>
      <c r="P832" s="212" t="str">
        <f t="shared" si="213"/>
        <v>Caña_Azucar CC 93-7711 Pierna Bella</v>
      </c>
      <c r="Q832" s="212"/>
      <c r="R832" s="212"/>
      <c r="S832" s="212"/>
      <c r="T832" s="212" cm="1">
        <f t="array" ref="T832">_xlfn.IFS($D$5&lt;=7, 1.1, $D$5&lt;=12,1.2, $D$5&lt;=25, 1.3, $D$5&gt;25,1.4)</f>
        <v>1.3</v>
      </c>
      <c r="U832" s="212"/>
      <c r="V832" s="212"/>
      <c r="W832" s="212"/>
      <c r="X832" s="214">
        <v>3</v>
      </c>
    </row>
    <row r="833" spans="1:24" ht="15">
      <c r="A833" s="211" t="s">
        <v>4604</v>
      </c>
      <c r="B833" s="225" t="s">
        <v>4060</v>
      </c>
      <c r="C833" s="216" t="s">
        <v>53</v>
      </c>
      <c r="D833" s="216" t="s">
        <v>99</v>
      </c>
      <c r="E833" s="216" t="s">
        <v>100</v>
      </c>
      <c r="F833" s="216" t="s">
        <v>101</v>
      </c>
      <c r="G833" s="216" t="s">
        <v>102</v>
      </c>
      <c r="H833" s="216" t="s">
        <v>3823</v>
      </c>
      <c r="I833" s="216" t="s">
        <v>3824</v>
      </c>
      <c r="J833" s="216" t="s">
        <v>280</v>
      </c>
      <c r="K833" s="216" t="s">
        <v>4118</v>
      </c>
      <c r="L833" s="216" t="s">
        <v>281</v>
      </c>
      <c r="M833" s="217">
        <v>2</v>
      </c>
      <c r="N833" s="442">
        <v>72204</v>
      </c>
      <c r="O833" s="442">
        <f t="shared" si="203"/>
        <v>144408</v>
      </c>
      <c r="P833" s="212" t="str">
        <f t="shared" si="213"/>
        <v>Caña_Azucar CC 93-7711 Pierna Bella</v>
      </c>
      <c r="Q833" s="212"/>
      <c r="R833" s="212"/>
      <c r="S833" s="212"/>
      <c r="T833" s="212"/>
      <c r="U833" s="212"/>
      <c r="V833" s="212"/>
      <c r="W833" s="212"/>
      <c r="X833" s="214"/>
    </row>
    <row r="834" spans="1:24" ht="15">
      <c r="A834" s="211" t="s">
        <v>4604</v>
      </c>
      <c r="B834" s="225" t="s">
        <v>4060</v>
      </c>
      <c r="C834" s="216" t="s">
        <v>53</v>
      </c>
      <c r="D834" s="216" t="s">
        <v>99</v>
      </c>
      <c r="E834" s="216" t="s">
        <v>100</v>
      </c>
      <c r="F834" s="216" t="s">
        <v>101</v>
      </c>
      <c r="G834" s="216" t="s">
        <v>102</v>
      </c>
      <c r="H834" s="216" t="s">
        <v>212</v>
      </c>
      <c r="I834" s="216" t="s">
        <v>213</v>
      </c>
      <c r="J834" s="216" t="s">
        <v>105</v>
      </c>
      <c r="K834" s="216" t="s">
        <v>106</v>
      </c>
      <c r="L834" s="216" t="s">
        <v>107</v>
      </c>
      <c r="M834" s="217">
        <f>IF(W834&lt;&gt;"", W834, ROUNDUP(X834*T834, 0))</f>
        <v>7</v>
      </c>
      <c r="N834" s="442" cm="1">
        <f t="array" ref="N834">IF(TRIM(K834)="Mano de Obra",IF(Formulario!$L$23&lt;&gt;"",Formulario!$L$23,IFERROR(VLOOKUP(TRIM($M$4),Jornalesdeppto!A:C,3,0),"")),_xlfn.XLOOKUP(1,(Tabla_Costos_Insumos!$A$2:$A$3199=TRIM($M$4))*(Tabla_Costos_Insumos!$C$2:$C$3199=TRIM(K834)),Tabla_Costos_Insumos!$E$2:$E$3199,"",0))</f>
        <v>46666.666666666664</v>
      </c>
      <c r="O834" s="442">
        <f t="shared" si="203"/>
        <v>326666.66666666663</v>
      </c>
      <c r="P834" s="212" t="str">
        <f t="shared" si="213"/>
        <v>Caña_Azucar CC 93-7711 Pierna Bella</v>
      </c>
      <c r="Q834" s="212"/>
      <c r="R834" s="212"/>
      <c r="S834" s="212"/>
      <c r="T834" s="212" cm="1">
        <f t="array" ref="T834">_xlfn.IFS($D$5&lt;=7, 1.1, $D$5&lt;=12,1.2, $D$5&lt;=25, 1.3, $D$5&gt;25,1.4)</f>
        <v>1.3</v>
      </c>
      <c r="U834" s="212"/>
      <c r="V834" s="212"/>
      <c r="W834" s="212"/>
      <c r="X834" s="214">
        <v>5</v>
      </c>
    </row>
    <row r="835" spans="1:24" ht="15">
      <c r="A835" s="211" t="s">
        <v>4604</v>
      </c>
      <c r="B835" s="225" t="s">
        <v>4060</v>
      </c>
      <c r="C835" s="216" t="s">
        <v>53</v>
      </c>
      <c r="D835" s="216" t="s">
        <v>99</v>
      </c>
      <c r="E835" s="216" t="s">
        <v>100</v>
      </c>
      <c r="F835" s="216" t="s">
        <v>109</v>
      </c>
      <c r="G835" s="216" t="s">
        <v>110</v>
      </c>
      <c r="H835" s="216" t="s">
        <v>215</v>
      </c>
      <c r="I835" s="216" t="s">
        <v>216</v>
      </c>
      <c r="J835" s="216" t="s">
        <v>105</v>
      </c>
      <c r="K835" s="216" t="s">
        <v>106</v>
      </c>
      <c r="L835" s="216" t="s">
        <v>107</v>
      </c>
      <c r="M835" s="217">
        <f>IF(W835&lt;&gt;"", W835, ROUNDUP(X835*T835, 0))</f>
        <v>6</v>
      </c>
      <c r="N835" s="442" cm="1">
        <f t="array" ref="N835">IF(TRIM(K835)="Mano de Obra",IF(Formulario!$L$23&lt;&gt;"",Formulario!$L$23,IFERROR(VLOOKUP(TRIM($M$4),Jornalesdeppto!A:C,3,0),"")),_xlfn.XLOOKUP(1,(Tabla_Costos_Insumos!$A$2:$A$3199=TRIM($M$4))*(Tabla_Costos_Insumos!$C$2:$C$3199=TRIM(K835)),Tabla_Costos_Insumos!$E$2:$E$3199,"",0))</f>
        <v>46666.666666666664</v>
      </c>
      <c r="O835" s="442">
        <f t="shared" si="203"/>
        <v>280000</v>
      </c>
      <c r="P835" s="212" t="str">
        <f t="shared" si="213"/>
        <v>Caña_Azucar CC 93-7711 Pierna Bella</v>
      </c>
      <c r="Q835" s="212"/>
      <c r="R835" s="212"/>
      <c r="S835" s="212"/>
      <c r="T835" s="212" cm="1">
        <f t="array" ref="T835">_xlfn.IFS($D$5&lt;=7, 1.1, $D$5&lt;=12,1.2, $D$5&lt;=25, 1.3, $D$5&gt;25,1.4)</f>
        <v>1.3</v>
      </c>
      <c r="U835" s="212"/>
      <c r="V835" s="212"/>
      <c r="W835" s="212"/>
      <c r="X835" s="214">
        <v>4</v>
      </c>
    </row>
    <row r="836" spans="1:24" ht="15">
      <c r="A836" s="211" t="s">
        <v>4604</v>
      </c>
      <c r="B836" s="225" t="s">
        <v>4060</v>
      </c>
      <c r="C836" s="216" t="s">
        <v>53</v>
      </c>
      <c r="D836" s="216" t="s">
        <v>99</v>
      </c>
      <c r="E836" s="216" t="s">
        <v>100</v>
      </c>
      <c r="F836" s="216" t="s">
        <v>109</v>
      </c>
      <c r="G836" s="216" t="s">
        <v>110</v>
      </c>
      <c r="H836" s="216" t="s">
        <v>217</v>
      </c>
      <c r="I836" s="216" t="s">
        <v>218</v>
      </c>
      <c r="J836" s="216" t="s">
        <v>105</v>
      </c>
      <c r="K836" s="216" t="s">
        <v>106</v>
      </c>
      <c r="L836" s="216" t="s">
        <v>107</v>
      </c>
      <c r="M836" s="217">
        <f>IF(W836&lt;&gt;"", W836, ROUNDUP(X836*T836, 0))</f>
        <v>13</v>
      </c>
      <c r="N836" s="442" cm="1">
        <f t="array" ref="N836">IF(TRIM(K836)="Mano de Obra",IF(Formulario!$L$23&lt;&gt;"",Formulario!$L$23,IFERROR(VLOOKUP(TRIM($M$4),Jornalesdeppto!A:C,3,0),"")),_xlfn.XLOOKUP(1,(Tabla_Costos_Insumos!$A$2:$A$3199=TRIM($M$4))*(Tabla_Costos_Insumos!$C$2:$C$3199=TRIM(K836)),Tabla_Costos_Insumos!$E$2:$E$3199,"",0))</f>
        <v>46666.666666666664</v>
      </c>
      <c r="O836" s="442">
        <f t="shared" si="203"/>
        <v>606666.66666666663</v>
      </c>
      <c r="P836" s="212" t="str">
        <f t="shared" si="213"/>
        <v>Caña_Azucar CC 93-7711 Pierna Bella</v>
      </c>
      <c r="Q836" s="212"/>
      <c r="R836" s="212"/>
      <c r="S836" s="212"/>
      <c r="T836" s="212" cm="1">
        <f t="array" ref="T836">_xlfn.IFS($D$5&lt;=7, 1.1, $D$5&lt;=12,1.2, $D$5&lt;=25, 1.3, $D$5&gt;25,1.4)</f>
        <v>1.3</v>
      </c>
      <c r="U836" s="212"/>
      <c r="V836" s="212"/>
      <c r="W836" s="212"/>
      <c r="X836" s="214">
        <v>10</v>
      </c>
    </row>
    <row r="837" spans="1:24" ht="15">
      <c r="A837" s="211" t="s">
        <v>4604</v>
      </c>
      <c r="B837" s="225" t="s">
        <v>4060</v>
      </c>
      <c r="C837" s="216" t="s">
        <v>53</v>
      </c>
      <c r="D837" s="216" t="s">
        <v>99</v>
      </c>
      <c r="E837" s="216" t="s">
        <v>100</v>
      </c>
      <c r="F837" s="216" t="s">
        <v>117</v>
      </c>
      <c r="G837" s="216" t="s">
        <v>118</v>
      </c>
      <c r="H837" s="216" t="s">
        <v>119</v>
      </c>
      <c r="I837" s="216" t="s">
        <v>120</v>
      </c>
      <c r="J837" s="216" t="s">
        <v>105</v>
      </c>
      <c r="K837" s="216" t="s">
        <v>106</v>
      </c>
      <c r="L837" s="216" t="s">
        <v>107</v>
      </c>
      <c r="M837" s="217">
        <f>IF(W837&lt;&gt;"", W837, ROUNDUP(X837*T837, 0))</f>
        <v>4</v>
      </c>
      <c r="N837" s="442" cm="1">
        <f t="array" ref="N837">IF(TRIM(K837)="Mano de Obra",IF(Formulario!$L$23&lt;&gt;"",Formulario!$L$23,IFERROR(VLOOKUP(TRIM($M$4),Jornalesdeppto!A:C,3,0),"")),_xlfn.XLOOKUP(1,(Tabla_Costos_Insumos!$A$2:$A$3199=TRIM($M$4))*(Tabla_Costos_Insumos!$C$2:$C$3199=TRIM(K837)),Tabla_Costos_Insumos!$E$2:$E$3199,"",0))</f>
        <v>46666.666666666664</v>
      </c>
      <c r="O837" s="442">
        <f t="shared" si="203"/>
        <v>186666.66666666666</v>
      </c>
      <c r="P837" s="212" t="str">
        <f t="shared" si="213"/>
        <v>Caña_Azucar CC 93-7711 Pierna Bella</v>
      </c>
      <c r="Q837" s="212"/>
      <c r="R837" s="212"/>
      <c r="S837" s="212"/>
      <c r="T837" s="212" cm="1">
        <f t="array" ref="T837">_xlfn.IFS($D$5&lt;=7, 1.1, $D$5&lt;=12,1.2, $D$5&lt;=25, 1.3, $D$5&gt;25,1.4)</f>
        <v>1.3</v>
      </c>
      <c r="U837" s="212"/>
      <c r="V837" s="212"/>
      <c r="W837" s="212"/>
      <c r="X837" s="214">
        <v>3</v>
      </c>
    </row>
    <row r="838" spans="1:24" ht="15">
      <c r="A838" s="211" t="s">
        <v>4604</v>
      </c>
      <c r="B838" s="225" t="s">
        <v>4060</v>
      </c>
      <c r="C838" s="216" t="s">
        <v>53</v>
      </c>
      <c r="D838" s="216" t="s">
        <v>99</v>
      </c>
      <c r="E838" s="216" t="s">
        <v>100</v>
      </c>
      <c r="F838" s="216" t="s">
        <v>117</v>
      </c>
      <c r="G838" s="216" t="s">
        <v>118</v>
      </c>
      <c r="H838" s="216" t="s">
        <v>121</v>
      </c>
      <c r="I838" s="216" t="s">
        <v>122</v>
      </c>
      <c r="J838" s="216" t="s">
        <v>105</v>
      </c>
      <c r="K838" s="216" t="s">
        <v>106</v>
      </c>
      <c r="L838" s="216" t="s">
        <v>107</v>
      </c>
      <c r="M838" s="217">
        <f>IF(W838&lt;&gt;"", W838, ROUNDUP(X838*T838, 0))</f>
        <v>4</v>
      </c>
      <c r="N838" s="442" cm="1">
        <f t="array" ref="N838">IF(TRIM(K838)="Mano de Obra",IF(Formulario!$L$23&lt;&gt;"",Formulario!$L$23,IFERROR(VLOOKUP(TRIM($M$4),Jornalesdeppto!A:C,3,0),"")),_xlfn.XLOOKUP(1,(Tabla_Costos_Insumos!$A$2:$A$3199=TRIM($M$4))*(Tabla_Costos_Insumos!$C$2:$C$3199=TRIM(K838)),Tabla_Costos_Insumos!$E$2:$E$3199,"",0))</f>
        <v>46666.666666666664</v>
      </c>
      <c r="O838" s="442">
        <f t="shared" si="203"/>
        <v>186666.66666666666</v>
      </c>
      <c r="P838" s="212" t="str">
        <f t="shared" si="213"/>
        <v>Caña_Azucar CC 93-7711 Pierna Bella</v>
      </c>
      <c r="Q838" s="212"/>
      <c r="R838" s="212"/>
      <c r="S838" s="212"/>
      <c r="T838" s="212" cm="1">
        <f t="array" ref="T838">_xlfn.IFS($D$5&lt;=7, 1.1, $D$5&lt;=12,1.2, $D$5&lt;=25, 1.3, $D$5&gt;25,1.4)</f>
        <v>1.3</v>
      </c>
      <c r="U838" s="212"/>
      <c r="V838" s="212"/>
      <c r="W838" s="212"/>
      <c r="X838" s="214">
        <v>3</v>
      </c>
    </row>
    <row r="839" spans="1:24" ht="15">
      <c r="A839" s="211" t="s">
        <v>4604</v>
      </c>
      <c r="B839" s="225" t="s">
        <v>4060</v>
      </c>
      <c r="C839" s="216" t="s">
        <v>53</v>
      </c>
      <c r="D839" s="216" t="s">
        <v>99</v>
      </c>
      <c r="E839" s="216" t="s">
        <v>100</v>
      </c>
      <c r="F839" s="216" t="s">
        <v>117</v>
      </c>
      <c r="G839" s="216" t="s">
        <v>118</v>
      </c>
      <c r="H839" s="216" t="s">
        <v>4144</v>
      </c>
      <c r="I839" s="216" t="s">
        <v>248</v>
      </c>
      <c r="J839" s="216" t="s">
        <v>249</v>
      </c>
      <c r="K839" s="216" t="s">
        <v>4123</v>
      </c>
      <c r="L839" s="216" t="s">
        <v>250</v>
      </c>
      <c r="M839" s="217">
        <v>1</v>
      </c>
      <c r="N839" s="442">
        <v>60000</v>
      </c>
      <c r="O839" s="442">
        <f t="shared" si="203"/>
        <v>60000</v>
      </c>
      <c r="P839" s="212" t="str">
        <f t="shared" si="213"/>
        <v>Caña_Azucar CC 93-7711 Pierna Bella</v>
      </c>
      <c r="Q839" s="212"/>
      <c r="R839" s="212"/>
      <c r="S839" s="212"/>
      <c r="T839" s="212"/>
      <c r="U839" s="212"/>
      <c r="V839" s="212"/>
      <c r="W839" s="212"/>
      <c r="X839" s="214"/>
    </row>
    <row r="840" spans="1:24" ht="15">
      <c r="A840" s="211" t="s">
        <v>4604</v>
      </c>
      <c r="B840" s="225" t="s">
        <v>4060</v>
      </c>
      <c r="C840" s="216" t="s">
        <v>53</v>
      </c>
      <c r="D840" s="216" t="s">
        <v>99</v>
      </c>
      <c r="E840" s="216" t="s">
        <v>100</v>
      </c>
      <c r="F840" s="216" t="s">
        <v>123</v>
      </c>
      <c r="G840" s="216" t="s">
        <v>124</v>
      </c>
      <c r="H840" s="216" t="s">
        <v>125</v>
      </c>
      <c r="I840" s="216" t="s">
        <v>126</v>
      </c>
      <c r="J840" s="216" t="s">
        <v>105</v>
      </c>
      <c r="K840" s="216" t="s">
        <v>106</v>
      </c>
      <c r="L840" s="216" t="s">
        <v>107</v>
      </c>
      <c r="M840" s="217">
        <f>IF(W840&lt;&gt;"", W840, ROUNDUP(X840*T840, 0))</f>
        <v>3</v>
      </c>
      <c r="N840" s="442" cm="1">
        <f t="array" ref="N840">IF(TRIM(K840)="Mano de Obra",IF(Formulario!$L$23&lt;&gt;"",Formulario!$L$23,IFERROR(VLOOKUP(TRIM($M$4),Jornalesdeppto!A:C,3,0),"")),_xlfn.XLOOKUP(1,(Tabla_Costos_Insumos!$A$2:$A$3199=TRIM($M$4))*(Tabla_Costos_Insumos!$C$2:$C$3199=TRIM(K840)),Tabla_Costos_Insumos!$E$2:$E$3199,"",0))</f>
        <v>46666.666666666664</v>
      </c>
      <c r="O840" s="442">
        <f t="shared" si="203"/>
        <v>140000</v>
      </c>
      <c r="P840" s="212" t="str">
        <f t="shared" si="213"/>
        <v>Caña_Azucar CC 93-7711 Pierna Bella</v>
      </c>
      <c r="Q840" s="212"/>
      <c r="R840" s="212"/>
      <c r="S840" s="212"/>
      <c r="T840" s="212" cm="1">
        <f t="array" ref="T840">_xlfn.IFS($D$5&lt;=7, 1.1, $D$5&lt;=12,1.2, $D$5&lt;=25, 1.3, $D$5&gt;25,1.4)</f>
        <v>1.3</v>
      </c>
      <c r="U840" s="212"/>
      <c r="V840" s="212"/>
      <c r="W840" s="212"/>
      <c r="X840" s="214">
        <v>2</v>
      </c>
    </row>
    <row r="841" spans="1:24" ht="15">
      <c r="A841" s="211" t="s">
        <v>4604</v>
      </c>
      <c r="B841" s="225" t="s">
        <v>4060</v>
      </c>
      <c r="C841" s="216" t="s">
        <v>53</v>
      </c>
      <c r="D841" s="216" t="s">
        <v>99</v>
      </c>
      <c r="E841" s="216" t="s">
        <v>100</v>
      </c>
      <c r="F841" s="216" t="s">
        <v>123</v>
      </c>
      <c r="G841" s="216" t="s">
        <v>124</v>
      </c>
      <c r="H841" s="216" t="s">
        <v>128</v>
      </c>
      <c r="I841" s="216" t="s">
        <v>129</v>
      </c>
      <c r="J841" s="216" t="s">
        <v>105</v>
      </c>
      <c r="K841" s="216" t="s">
        <v>106</v>
      </c>
      <c r="L841" s="216" t="s">
        <v>107</v>
      </c>
      <c r="M841" s="217">
        <f>IF(W841&lt;&gt;"", W841, ROUNDUP(X841*T841, 0))</f>
        <v>3</v>
      </c>
      <c r="N841" s="442" cm="1">
        <f t="array" ref="N841">IF(TRIM(K841)="Mano de Obra",IF(Formulario!$L$23&lt;&gt;"",Formulario!$L$23,IFERROR(VLOOKUP(TRIM($M$4),Jornalesdeppto!A:C,3,0),"")),_xlfn.XLOOKUP(1,(Tabla_Costos_Insumos!$A$2:$A$3199=TRIM($M$4))*(Tabla_Costos_Insumos!$C$2:$C$3199=TRIM(K841)),Tabla_Costos_Insumos!$E$2:$E$3199,"",0))</f>
        <v>46666.666666666664</v>
      </c>
      <c r="O841" s="442">
        <f t="shared" si="203"/>
        <v>140000</v>
      </c>
      <c r="P841" s="212" t="str">
        <f t="shared" si="213"/>
        <v>Caña_Azucar CC 93-7711 Pierna Bella</v>
      </c>
      <c r="Q841" s="212"/>
      <c r="R841" s="212"/>
      <c r="S841" s="212"/>
      <c r="T841" s="212" cm="1">
        <f t="array" ref="T841">_xlfn.IFS($D$5&lt;=7, 1.1, $D$5&lt;=12,1.2, $D$5&lt;=25, 1.3, $D$5&gt;25,1.4)</f>
        <v>1.3</v>
      </c>
      <c r="U841" s="212"/>
      <c r="V841" s="212"/>
      <c r="W841" s="212"/>
      <c r="X841" s="214">
        <v>2</v>
      </c>
    </row>
    <row r="842" spans="1:24" ht="15">
      <c r="A842" s="211" t="s">
        <v>4604</v>
      </c>
      <c r="B842" s="225" t="s">
        <v>4060</v>
      </c>
      <c r="C842" s="216" t="s">
        <v>53</v>
      </c>
      <c r="D842" s="216" t="s">
        <v>99</v>
      </c>
      <c r="E842" s="216" t="s">
        <v>100</v>
      </c>
      <c r="F842" s="216" t="s">
        <v>130</v>
      </c>
      <c r="G842" s="216" t="s">
        <v>131</v>
      </c>
      <c r="H842" s="216" t="s">
        <v>132</v>
      </c>
      <c r="I842" s="216" t="s">
        <v>133</v>
      </c>
      <c r="J842" s="216" t="s">
        <v>105</v>
      </c>
      <c r="K842" s="216" t="s">
        <v>106</v>
      </c>
      <c r="L842" s="216" t="s">
        <v>107</v>
      </c>
      <c r="M842" s="217">
        <f>IF(W842&lt;&gt;"", W842, ROUNDUP(X842*T842, 0))</f>
        <v>4</v>
      </c>
      <c r="N842" s="442" cm="1">
        <f t="array" ref="N842">IF(TRIM(K842)="Mano de Obra",IF(Formulario!$L$23&lt;&gt;"",Formulario!$L$23,IFERROR(VLOOKUP(TRIM($M$4),Jornalesdeppto!A:C,3,0),"")),_xlfn.XLOOKUP(1,(Tabla_Costos_Insumos!$A$2:$A$3199=TRIM($M$4))*(Tabla_Costos_Insumos!$C$2:$C$3199=TRIM(K842)),Tabla_Costos_Insumos!$E$2:$E$3199,"",0))</f>
        <v>46666.666666666664</v>
      </c>
      <c r="O842" s="442">
        <f t="shared" ref="O842:O905" si="214">IF(OR(N842=0,N842=""),"",N842*M842)</f>
        <v>186666.66666666666</v>
      </c>
      <c r="P842" s="212" t="str">
        <f t="shared" si="213"/>
        <v>Caña_Azucar CC 93-7711 Pierna Bella</v>
      </c>
      <c r="Q842" s="212"/>
      <c r="R842" s="212"/>
      <c r="S842" s="212"/>
      <c r="T842" s="212" cm="1">
        <f t="array" ref="T842">_xlfn.IFS($D$5&lt;=7, 1.1, $D$5&lt;=12,1.2, $D$5&lt;=25, 1.3, $D$5&gt;25,1.4)</f>
        <v>1.3</v>
      </c>
      <c r="U842" s="212"/>
      <c r="V842" s="212"/>
      <c r="W842" s="212"/>
      <c r="X842" s="214">
        <v>3</v>
      </c>
    </row>
    <row r="843" spans="1:24" ht="15">
      <c r="A843" s="211" t="s">
        <v>4604</v>
      </c>
      <c r="B843" s="225" t="s">
        <v>4060</v>
      </c>
      <c r="C843" s="216" t="s">
        <v>53</v>
      </c>
      <c r="D843" s="216" t="s">
        <v>99</v>
      </c>
      <c r="E843" s="216" t="s">
        <v>100</v>
      </c>
      <c r="F843" s="216" t="s">
        <v>130</v>
      </c>
      <c r="G843" s="216" t="s">
        <v>131</v>
      </c>
      <c r="H843" s="216" t="s">
        <v>134</v>
      </c>
      <c r="I843" s="216" t="s">
        <v>135</v>
      </c>
      <c r="J843" s="216" t="s">
        <v>105</v>
      </c>
      <c r="K843" s="216" t="s">
        <v>106</v>
      </c>
      <c r="L843" s="216" t="s">
        <v>107</v>
      </c>
      <c r="M843" s="217">
        <f>IF(W843&lt;&gt;"", W843, ROUNDUP(X843*T843, 0))</f>
        <v>2</v>
      </c>
      <c r="N843" s="442" cm="1">
        <f t="array" ref="N843">IF(TRIM(K843)="Mano de Obra",IF(Formulario!$L$23&lt;&gt;"",Formulario!$L$23,IFERROR(VLOOKUP(TRIM($M$4),Jornalesdeppto!A:C,3,0),"")),_xlfn.XLOOKUP(1,(Tabla_Costos_Insumos!$A$2:$A$3199=TRIM($M$4))*(Tabla_Costos_Insumos!$C$2:$C$3199=TRIM(K843)),Tabla_Costos_Insumos!$E$2:$E$3199,"",0))</f>
        <v>46666.666666666664</v>
      </c>
      <c r="O843" s="442">
        <f t="shared" si="214"/>
        <v>93333.333333333328</v>
      </c>
      <c r="P843" s="212" t="str">
        <f t="shared" si="213"/>
        <v>Caña_Azucar CC 93-7711 Pierna Bella</v>
      </c>
      <c r="Q843" s="212"/>
      <c r="R843" s="212"/>
      <c r="S843" s="212"/>
      <c r="T843" s="212" cm="1">
        <f t="array" ref="T843">_xlfn.IFS($D$5&lt;=7, 1.1, $D$5&lt;=12,1.2, $D$5&lt;=25, 1.3, $D$5&gt;25,1.4)</f>
        <v>1.3</v>
      </c>
      <c r="U843" s="212"/>
      <c r="V843" s="212"/>
      <c r="W843" s="212"/>
      <c r="X843" s="214">
        <v>1</v>
      </c>
    </row>
    <row r="844" spans="1:24" ht="15">
      <c r="A844" s="211" t="s">
        <v>4604</v>
      </c>
      <c r="B844" s="225" t="s">
        <v>4060</v>
      </c>
      <c r="C844" s="216" t="s">
        <v>53</v>
      </c>
      <c r="D844" s="216" t="s">
        <v>99</v>
      </c>
      <c r="E844" s="216" t="s">
        <v>100</v>
      </c>
      <c r="F844" s="216" t="s">
        <v>130</v>
      </c>
      <c r="G844" s="216" t="s">
        <v>131</v>
      </c>
      <c r="H844" s="216" t="s">
        <v>136</v>
      </c>
      <c r="I844" s="216" t="s">
        <v>137</v>
      </c>
      <c r="J844" s="216" t="s">
        <v>105</v>
      </c>
      <c r="K844" s="216" t="s">
        <v>106</v>
      </c>
      <c r="L844" s="216" t="s">
        <v>107</v>
      </c>
      <c r="M844" s="217">
        <f>IF(W844&lt;&gt;"", W844, ROUNDUP(X844*T844, 0))</f>
        <v>2</v>
      </c>
      <c r="N844" s="442" cm="1">
        <f t="array" ref="N844">IF(TRIM(K844)="Mano de Obra",IF(Formulario!$L$23&lt;&gt;"",Formulario!$L$23,IFERROR(VLOOKUP(TRIM($M$4),Jornalesdeppto!A:C,3,0),"")),_xlfn.XLOOKUP(1,(Tabla_Costos_Insumos!$A$2:$A$3199=TRIM($M$4))*(Tabla_Costos_Insumos!$C$2:$C$3199=TRIM(K844)),Tabla_Costos_Insumos!$E$2:$E$3199,"",0))</f>
        <v>46666.666666666664</v>
      </c>
      <c r="O844" s="442">
        <f t="shared" si="214"/>
        <v>93333.333333333328</v>
      </c>
      <c r="P844" s="212" t="str">
        <f t="shared" si="213"/>
        <v>Caña_Azucar CC 93-7711 Pierna Bella</v>
      </c>
      <c r="Q844" s="212"/>
      <c r="R844" s="212"/>
      <c r="S844" s="212"/>
      <c r="T844" s="212" cm="1">
        <f t="array" ref="T844">_xlfn.IFS($D$5&lt;=7, 1.1, $D$5&lt;=12,1.2, $D$5&lt;=25, 1.3, $D$5&gt;25,1.4)</f>
        <v>1.3</v>
      </c>
      <c r="U844" s="212"/>
      <c r="V844" s="212"/>
      <c r="W844" s="212"/>
      <c r="X844" s="214">
        <v>1</v>
      </c>
    </row>
    <row r="845" spans="1:24" ht="15">
      <c r="A845" s="211" t="s">
        <v>4604</v>
      </c>
      <c r="B845" s="225" t="s">
        <v>4060</v>
      </c>
      <c r="C845" s="216" t="s">
        <v>53</v>
      </c>
      <c r="D845" s="216" t="s">
        <v>145</v>
      </c>
      <c r="E845" s="216" t="s">
        <v>146</v>
      </c>
      <c r="F845" s="216" t="s">
        <v>219</v>
      </c>
      <c r="G845" s="216" t="s">
        <v>220</v>
      </c>
      <c r="H845" s="216" t="s">
        <v>221</v>
      </c>
      <c r="I845" s="216" t="s">
        <v>222</v>
      </c>
      <c r="J845" s="216" t="s">
        <v>223</v>
      </c>
      <c r="K845" s="216" t="s">
        <v>4125</v>
      </c>
      <c r="L845" s="216" t="s">
        <v>4122</v>
      </c>
      <c r="M845" s="217">
        <v>600</v>
      </c>
      <c r="N845" s="442">
        <v>1420</v>
      </c>
      <c r="O845" s="442">
        <f t="shared" si="214"/>
        <v>852000</v>
      </c>
      <c r="P845" s="212" t="str">
        <f t="shared" si="213"/>
        <v>Caña_Azucar CC 93-7711 Pierna Bella</v>
      </c>
      <c r="Q845" s="212"/>
      <c r="R845" s="212"/>
      <c r="S845" s="212"/>
      <c r="T845" s="212"/>
      <c r="U845" s="212"/>
      <c r="V845" s="212"/>
      <c r="W845" s="212"/>
      <c r="X845" s="214"/>
    </row>
    <row r="846" spans="1:24" ht="15">
      <c r="A846" s="211" t="s">
        <v>4604</v>
      </c>
      <c r="B846" s="225" t="s">
        <v>4060</v>
      </c>
      <c r="C846" s="216" t="s">
        <v>53</v>
      </c>
      <c r="D846" s="216" t="s">
        <v>145</v>
      </c>
      <c r="E846" s="216" t="s">
        <v>146</v>
      </c>
      <c r="F846" s="216" t="s">
        <v>147</v>
      </c>
      <c r="G846" s="216" t="s">
        <v>131</v>
      </c>
      <c r="H846" s="216" t="s">
        <v>165</v>
      </c>
      <c r="I846" s="216" t="s">
        <v>153</v>
      </c>
      <c r="J846" s="216" t="s">
        <v>149</v>
      </c>
      <c r="K846" s="216" t="s">
        <v>4110</v>
      </c>
      <c r="L846" s="216" t="s">
        <v>151</v>
      </c>
      <c r="M846" s="217">
        <v>2</v>
      </c>
      <c r="N846" s="442" cm="1">
        <f t="array" ref="N846">IF(TRIM(K846)="Mano de Obra",IF(Formulario!$L$23&lt;&gt;"",Formulario!$L$23,IFERROR(VLOOKUP(TRIM($M$4),Jornalesdeppto!A:C,3,0),"")),_xlfn.XLOOKUP(1,(Tabla_Costos_Insumos!$A$2:$A$3199=TRIM($M$4))*(Tabla_Costos_Insumos!$C$2:$C$3199=TRIM(K846)),Tabla_Costos_Insumos!$E$2:$E$3199,"",0))</f>
        <v>125849.2424242409</v>
      </c>
      <c r="O846" s="442">
        <f t="shared" si="214"/>
        <v>251698.48484848181</v>
      </c>
      <c r="P846" s="212" t="str">
        <f t="shared" si="213"/>
        <v>Caña_Azucar CC 93-7711 Pierna Bella</v>
      </c>
      <c r="Q846" s="212"/>
      <c r="R846" s="212"/>
      <c r="S846" s="212"/>
      <c r="T846" s="212"/>
      <c r="U846" s="212"/>
      <c r="V846" s="212"/>
      <c r="W846" s="212"/>
      <c r="X846" s="214"/>
    </row>
    <row r="847" spans="1:24" ht="15">
      <c r="A847" s="211" t="s">
        <v>4604</v>
      </c>
      <c r="B847" s="225" t="s">
        <v>4060</v>
      </c>
      <c r="C847" s="216" t="s">
        <v>53</v>
      </c>
      <c r="D847" s="216" t="s">
        <v>145</v>
      </c>
      <c r="E847" s="216" t="s">
        <v>146</v>
      </c>
      <c r="F847" s="216" t="s">
        <v>147</v>
      </c>
      <c r="G847" s="216" t="s">
        <v>131</v>
      </c>
      <c r="H847" s="216" t="s">
        <v>152</v>
      </c>
      <c r="I847" s="216" t="s">
        <v>4143</v>
      </c>
      <c r="J847" s="216" t="s">
        <v>149</v>
      </c>
      <c r="K847" s="216" t="s">
        <v>150</v>
      </c>
      <c r="L847" s="216" t="s">
        <v>151</v>
      </c>
      <c r="M847" s="217">
        <v>5</v>
      </c>
      <c r="N847" s="442" cm="1">
        <f t="array" ref="N847">IF(TRIM(K847)="Mano de Obra",IF(Formulario!$L$23&lt;&gt;"",Formulario!$L$23,IFERROR(VLOOKUP(TRIM($M$4),Jornalesdeppto!A:C,3,0),"")),_xlfn.XLOOKUP(1,(Tabla_Costos_Insumos!$A$2:$A$3199=TRIM($M$4))*(Tabla_Costos_Insumos!$C$2:$C$3199=TRIM(K847)),Tabla_Costos_Insumos!$E$2:$E$3199,"",0))</f>
        <v>198055.68333333</v>
      </c>
      <c r="O847" s="442">
        <f t="shared" si="214"/>
        <v>990278.41666664998</v>
      </c>
      <c r="P847" s="212" t="str">
        <f t="shared" si="213"/>
        <v>Caña_Azucar CC 93-7711 Pierna Bella</v>
      </c>
      <c r="Q847" s="212"/>
      <c r="R847" s="212"/>
      <c r="S847" s="212"/>
      <c r="T847" s="212"/>
      <c r="U847" s="212"/>
      <c r="V847" s="212"/>
      <c r="W847" s="212"/>
      <c r="X847" s="214"/>
    </row>
    <row r="848" spans="1:24" ht="15">
      <c r="A848" s="211" t="s">
        <v>4604</v>
      </c>
      <c r="B848" s="225" t="s">
        <v>4060</v>
      </c>
      <c r="C848" s="216" t="s">
        <v>53</v>
      </c>
      <c r="D848" s="216" t="s">
        <v>145</v>
      </c>
      <c r="E848" s="216" t="s">
        <v>146</v>
      </c>
      <c r="F848" s="216" t="s">
        <v>147</v>
      </c>
      <c r="G848" s="216" t="s">
        <v>131</v>
      </c>
      <c r="H848" s="216" t="s">
        <v>165</v>
      </c>
      <c r="I848" s="216" t="s">
        <v>153</v>
      </c>
      <c r="J848" s="216" t="s">
        <v>149</v>
      </c>
      <c r="K848" s="216" t="s">
        <v>166</v>
      </c>
      <c r="L848" s="216" t="s">
        <v>151</v>
      </c>
      <c r="M848" s="217">
        <v>4</v>
      </c>
      <c r="N848" s="442" cm="1">
        <f t="array" ref="N848">IF(TRIM(K848)="Mano de Obra",IF(Formulario!$L$23&lt;&gt;"",Formulario!$L$23,IFERROR(VLOOKUP(TRIM($M$4),Jornalesdeppto!A:C,3,0),"")),_xlfn.XLOOKUP(1,(Tabla_Costos_Insumos!$A$2:$A$3199=TRIM($M$4))*(Tabla_Costos_Insumos!$C$2:$C$3199=TRIM(K848)),Tabla_Costos_Insumos!$E$2:$E$3199,"",0))</f>
        <v>110000</v>
      </c>
      <c r="O848" s="442">
        <f t="shared" si="214"/>
        <v>440000</v>
      </c>
      <c r="P848" s="212" t="str">
        <f t="shared" si="213"/>
        <v>Caña_Azucar CC 93-7711 Pierna Bella</v>
      </c>
      <c r="Q848" s="212"/>
      <c r="R848" s="212"/>
      <c r="S848" s="212"/>
      <c r="T848" s="212"/>
      <c r="U848" s="212"/>
      <c r="V848" s="212"/>
      <c r="W848" s="212"/>
      <c r="X848" s="214"/>
    </row>
    <row r="849" spans="1:24" ht="15">
      <c r="A849" s="211" t="s">
        <v>4604</v>
      </c>
      <c r="B849" s="225" t="s">
        <v>4060</v>
      </c>
      <c r="C849" s="216" t="s">
        <v>53</v>
      </c>
      <c r="D849" s="216" t="s">
        <v>145</v>
      </c>
      <c r="E849" s="216" t="s">
        <v>146</v>
      </c>
      <c r="F849" s="216" t="s">
        <v>147</v>
      </c>
      <c r="G849" s="216" t="s">
        <v>131</v>
      </c>
      <c r="H849" s="216" t="s">
        <v>154</v>
      </c>
      <c r="I849" s="216" t="s">
        <v>155</v>
      </c>
      <c r="J849" s="216" t="s">
        <v>149</v>
      </c>
      <c r="K849" s="216" t="s">
        <v>156</v>
      </c>
      <c r="L849" s="216" t="s">
        <v>151</v>
      </c>
      <c r="M849" s="217">
        <v>20</v>
      </c>
      <c r="N849" s="442" cm="1">
        <f t="array" ref="N849">IF(TRIM(K849)="Mano de Obra",IF(Formulario!$L$23&lt;&gt;"",Formulario!$L$23,IFERROR(VLOOKUP(TRIM($M$4),Jornalesdeppto!A:C,3,0),"")),_xlfn.XLOOKUP(1,(Tabla_Costos_Insumos!$A$2:$A$3199=TRIM($M$4))*(Tabla_Costos_Insumos!$C$2:$C$3199=TRIM(K849)),Tabla_Costos_Insumos!$E$2:$E$3199,"",0))</f>
        <v>17212.5</v>
      </c>
      <c r="O849" s="442">
        <f t="shared" si="214"/>
        <v>344250</v>
      </c>
      <c r="P849" s="212" t="str">
        <f t="shared" si="213"/>
        <v>Caña_Azucar CC 93-7711 Pierna Bella</v>
      </c>
      <c r="Q849" s="212"/>
      <c r="R849" s="212"/>
      <c r="S849" s="212"/>
      <c r="T849" s="212"/>
      <c r="U849" s="212"/>
      <c r="V849" s="212"/>
      <c r="W849" s="212"/>
      <c r="X849" s="214"/>
    </row>
    <row r="850" spans="1:24" ht="15">
      <c r="A850" s="211" t="s">
        <v>4604</v>
      </c>
      <c r="B850" s="225" t="s">
        <v>4060</v>
      </c>
      <c r="C850" s="216" t="s">
        <v>53</v>
      </c>
      <c r="D850" s="216" t="s">
        <v>145</v>
      </c>
      <c r="E850" s="216" t="s">
        <v>146</v>
      </c>
      <c r="F850" s="216" t="s">
        <v>147</v>
      </c>
      <c r="G850" s="216" t="s">
        <v>131</v>
      </c>
      <c r="H850" s="216" t="s">
        <v>157</v>
      </c>
      <c r="I850" s="216" t="s">
        <v>158</v>
      </c>
      <c r="J850" s="216" t="s">
        <v>149</v>
      </c>
      <c r="K850" s="216" t="s">
        <v>237</v>
      </c>
      <c r="L850" s="216" t="s">
        <v>172</v>
      </c>
      <c r="M850" s="217">
        <v>1</v>
      </c>
      <c r="N850" s="442" cm="1">
        <f t="array" ref="N850">IF(TRIM(K850)="Mano de Obra",IF(Formulario!$L$23&lt;&gt;"",Formulario!$L$23,IFERROR(VLOOKUP(TRIM($M$4),Jornalesdeppto!A:C,3,0),"")),_xlfn.XLOOKUP(1,(Tabla_Costos_Insumos!$A$2:$A$3199=TRIM($M$4))*(Tabla_Costos_Insumos!$C$2:$C$3199=TRIM(K850)),Tabla_Costos_Insumos!$E$2:$E$3199,"",0))</f>
        <v>26190.48</v>
      </c>
      <c r="O850" s="442">
        <f t="shared" si="214"/>
        <v>26190.48</v>
      </c>
      <c r="P850" s="212" t="str">
        <f t="shared" si="213"/>
        <v>Caña_Azucar CC 93-7711 Pierna Bella</v>
      </c>
      <c r="Q850" s="212"/>
      <c r="R850" s="212"/>
      <c r="S850" s="212"/>
      <c r="T850" s="212"/>
      <c r="U850" s="212"/>
      <c r="V850" s="212"/>
      <c r="W850" s="212"/>
      <c r="X850" s="214"/>
    </row>
    <row r="851" spans="1:24" ht="15">
      <c r="A851" s="211" t="s">
        <v>4604</v>
      </c>
      <c r="B851" s="225" t="s">
        <v>4060</v>
      </c>
      <c r="C851" s="216" t="s">
        <v>53</v>
      </c>
      <c r="D851" s="216" t="s">
        <v>145</v>
      </c>
      <c r="E851" s="216" t="s">
        <v>146</v>
      </c>
      <c r="F851" s="216" t="s">
        <v>147</v>
      </c>
      <c r="G851" s="216" t="s">
        <v>131</v>
      </c>
      <c r="H851" s="216" t="s">
        <v>161</v>
      </c>
      <c r="I851" s="216" t="s">
        <v>162</v>
      </c>
      <c r="J851" s="216" t="s">
        <v>149</v>
      </c>
      <c r="K851" s="216" t="s">
        <v>163</v>
      </c>
      <c r="L851" s="216" t="s">
        <v>164</v>
      </c>
      <c r="M851" s="217">
        <v>2</v>
      </c>
      <c r="N851" s="442" cm="1">
        <f t="array" ref="N851">IF(TRIM(K851)="Mano de Obra",IF(Formulario!$L$23&lt;&gt;"",Formulario!$L$23,IFERROR(VLOOKUP(TRIM($M$4),Jornalesdeppto!A:C,3,0),"")),_xlfn.XLOOKUP(1,(Tabla_Costos_Insumos!$A$2:$A$3199=TRIM($M$4))*(Tabla_Costos_Insumos!$C$2:$C$3199=TRIM(K851)),Tabla_Costos_Insumos!$E$2:$E$3199,"",0))</f>
        <v>128084.44444445</v>
      </c>
      <c r="O851" s="442">
        <f t="shared" si="214"/>
        <v>256168.88888889999</v>
      </c>
      <c r="P851" s="212" t="str">
        <f t="shared" si="213"/>
        <v>Caña_Azucar CC 93-7711 Pierna Bella</v>
      </c>
      <c r="Q851" s="212"/>
      <c r="R851" s="212"/>
      <c r="S851" s="212"/>
      <c r="T851" s="212"/>
      <c r="U851" s="212"/>
      <c r="V851" s="212"/>
      <c r="W851" s="212"/>
      <c r="X851" s="214"/>
    </row>
    <row r="852" spans="1:24" ht="15">
      <c r="A852" s="211" t="s">
        <v>4604</v>
      </c>
      <c r="B852" s="225" t="s">
        <v>4060</v>
      </c>
      <c r="C852" s="216" t="s">
        <v>53</v>
      </c>
      <c r="D852" s="216" t="s">
        <v>145</v>
      </c>
      <c r="E852" s="216" t="s">
        <v>146</v>
      </c>
      <c r="F852" s="216" t="s">
        <v>167</v>
      </c>
      <c r="G852" s="216" t="s">
        <v>118</v>
      </c>
      <c r="H852" s="216" t="s">
        <v>168</v>
      </c>
      <c r="I852" s="216" t="s">
        <v>169</v>
      </c>
      <c r="J852" s="216" t="s">
        <v>170</v>
      </c>
      <c r="K852" s="216" t="s">
        <v>240</v>
      </c>
      <c r="L852" s="216" t="s">
        <v>172</v>
      </c>
      <c r="M852" s="217">
        <v>4</v>
      </c>
      <c r="N852" s="442" cm="1">
        <f t="array" ref="N852">IF(TRIM(K852)="Mano de Obra",IF(Formulario!$L$23&lt;&gt;"",Formulario!$L$23,IFERROR(VLOOKUP(TRIM($M$4),Jornalesdeppto!A:C,3,0),"")),_xlfn.XLOOKUP(1,(Tabla_Costos_Insumos!$A$2:$A$3199=TRIM($M$4))*(Tabla_Costos_Insumos!$C$2:$C$3199=TRIM(K852)),Tabla_Costos_Insumos!$E$2:$E$3199,"",0))</f>
        <v>23574.34</v>
      </c>
      <c r="O852" s="442">
        <f t="shared" si="214"/>
        <v>94297.36</v>
      </c>
      <c r="P852" s="212" t="str">
        <f t="shared" si="213"/>
        <v>Caña_Azucar CC 93-7711 Pierna Bella</v>
      </c>
      <c r="Q852" s="212"/>
      <c r="R852" s="212"/>
      <c r="S852" s="212"/>
      <c r="T852" s="212"/>
      <c r="U852" s="212"/>
      <c r="V852" s="212"/>
      <c r="W852" s="212"/>
      <c r="X852" s="214"/>
    </row>
    <row r="853" spans="1:24" ht="15">
      <c r="A853" s="211" t="s">
        <v>4604</v>
      </c>
      <c r="B853" s="225" t="s">
        <v>4060</v>
      </c>
      <c r="C853" s="216" t="s">
        <v>53</v>
      </c>
      <c r="D853" s="216" t="s">
        <v>145</v>
      </c>
      <c r="E853" s="216" t="s">
        <v>146</v>
      </c>
      <c r="F853" s="216" t="s">
        <v>167</v>
      </c>
      <c r="G853" s="216" t="s">
        <v>118</v>
      </c>
      <c r="H853" s="216" t="s">
        <v>174</v>
      </c>
      <c r="I853" s="216" t="s">
        <v>175</v>
      </c>
      <c r="J853" s="216" t="s">
        <v>176</v>
      </c>
      <c r="K853" s="216" t="s">
        <v>4145</v>
      </c>
      <c r="L853" s="216" t="s">
        <v>172</v>
      </c>
      <c r="M853" s="217">
        <v>2</v>
      </c>
      <c r="N853" s="442" cm="1">
        <f t="array" ref="N853">IF(TRIM(K853)="Mano de Obra",IF(Formulario!$L$23&lt;&gt;"",Formulario!$L$23,IFERROR(VLOOKUP(TRIM($M$4),Jornalesdeppto!A:C,3,0),"")),_xlfn.XLOOKUP(1,(Tabla_Costos_Insumos!$A$2:$A$3199=TRIM($M$4))*(Tabla_Costos_Insumos!$C$2:$C$3199=TRIM(K853)),Tabla_Costos_Insumos!$E$2:$E$3199,"",0))</f>
        <v>19889.1857318574</v>
      </c>
      <c r="O853" s="442">
        <f t="shared" si="214"/>
        <v>39778.3714637148</v>
      </c>
      <c r="P853" s="212" t="str">
        <f t="shared" si="213"/>
        <v>Caña_Azucar CC 93-7711 Pierna Bella</v>
      </c>
      <c r="Q853" s="212"/>
      <c r="R853" s="212"/>
      <c r="S853" s="212"/>
      <c r="T853" s="212"/>
      <c r="U853" s="212"/>
      <c r="V853" s="212"/>
      <c r="W853" s="212"/>
      <c r="X853" s="214"/>
    </row>
    <row r="854" spans="1:24" ht="15">
      <c r="A854" s="211" t="s">
        <v>4604</v>
      </c>
      <c r="B854" s="225" t="s">
        <v>4060</v>
      </c>
      <c r="C854" s="216" t="s">
        <v>53</v>
      </c>
      <c r="D854" s="216" t="s">
        <v>145</v>
      </c>
      <c r="E854" s="216" t="s">
        <v>146</v>
      </c>
      <c r="F854" s="216" t="s">
        <v>167</v>
      </c>
      <c r="G854" s="216" t="s">
        <v>118</v>
      </c>
      <c r="H854" s="216" t="s">
        <v>178</v>
      </c>
      <c r="I854" s="216" t="s">
        <v>179</v>
      </c>
      <c r="J854" s="216" t="s">
        <v>180</v>
      </c>
      <c r="K854" s="216" t="s">
        <v>297</v>
      </c>
      <c r="L854" s="216" t="s">
        <v>172</v>
      </c>
      <c r="M854" s="217">
        <v>5</v>
      </c>
      <c r="N854" s="442" cm="1">
        <f t="array" ref="N854">IF(TRIM(K854)="Mano de Obra",IF(Formulario!$L$23&lt;&gt;"",Formulario!$L$23,IFERROR(VLOOKUP(TRIM($M$4),Jornalesdeppto!A:C,3,0),"")),_xlfn.XLOOKUP(1,(Tabla_Costos_Insumos!$A$2:$A$3199=TRIM($M$4))*(Tabla_Costos_Insumos!$C$2:$C$3199=TRIM(K854)),Tabla_Costos_Insumos!$E$2:$E$3199,"",0))</f>
        <v>149375.29999999999</v>
      </c>
      <c r="O854" s="442">
        <f t="shared" si="214"/>
        <v>746876.5</v>
      </c>
      <c r="P854" s="212" t="str">
        <f t="shared" si="213"/>
        <v>Caña_Azucar CC 93-7711 Pierna Bella</v>
      </c>
      <c r="Q854" s="212"/>
      <c r="R854" s="212"/>
      <c r="S854" s="212"/>
      <c r="T854" s="212"/>
      <c r="U854" s="212"/>
      <c r="V854" s="212"/>
      <c r="W854" s="212"/>
      <c r="X854" s="214"/>
    </row>
    <row r="855" spans="1:24" ht="15">
      <c r="A855" s="211" t="s">
        <v>4604</v>
      </c>
      <c r="B855" s="225" t="s">
        <v>4060</v>
      </c>
      <c r="C855" s="216" t="s">
        <v>53</v>
      </c>
      <c r="D855" s="216" t="s">
        <v>145</v>
      </c>
      <c r="E855" s="216" t="s">
        <v>146</v>
      </c>
      <c r="F855" s="216" t="s">
        <v>167</v>
      </c>
      <c r="G855" s="216" t="s">
        <v>118</v>
      </c>
      <c r="H855" s="216" t="s">
        <v>178</v>
      </c>
      <c r="I855" s="216" t="s">
        <v>179</v>
      </c>
      <c r="J855" s="216" t="s">
        <v>180</v>
      </c>
      <c r="K855" s="216" t="s">
        <v>4217</v>
      </c>
      <c r="L855" s="216" t="s">
        <v>172</v>
      </c>
      <c r="M855" s="217">
        <v>5</v>
      </c>
      <c r="N855" s="442" cm="1">
        <f t="array" ref="N855">IF(TRIM(K855)="Mano de Obra",IF(Formulario!$L$23&lt;&gt;"",Formulario!$L$23,IFERROR(VLOOKUP(TRIM($M$4),Jornalesdeppto!A:C,3,0),"")),_xlfn.XLOOKUP(1,(Tabla_Costos_Insumos!$A$2:$A$3199=TRIM($M$4))*(Tabla_Costos_Insumos!$C$2:$C$3199=TRIM(K855)),Tabla_Costos_Insumos!$E$2:$E$3199,"",0))</f>
        <v>210423.61</v>
      </c>
      <c r="O855" s="442">
        <f t="shared" si="214"/>
        <v>1052118.0499999998</v>
      </c>
      <c r="P855" s="212" t="str">
        <f t="shared" si="213"/>
        <v>Caña_Azucar CC 93-7711 Pierna Bella</v>
      </c>
      <c r="Q855" s="212"/>
      <c r="R855" s="212"/>
      <c r="S855" s="212"/>
      <c r="T855" s="212"/>
      <c r="U855" s="212"/>
      <c r="V855" s="212"/>
      <c r="W855" s="212"/>
      <c r="X855" s="214"/>
    </row>
    <row r="856" spans="1:24" ht="15">
      <c r="A856" s="211" t="s">
        <v>4604</v>
      </c>
      <c r="B856" s="225" t="s">
        <v>4060</v>
      </c>
      <c r="C856" s="216" t="s">
        <v>53</v>
      </c>
      <c r="D856" s="216" t="s">
        <v>145</v>
      </c>
      <c r="E856" s="216" t="s">
        <v>146</v>
      </c>
      <c r="F856" s="216" t="s">
        <v>183</v>
      </c>
      <c r="G856" s="216" t="s">
        <v>184</v>
      </c>
      <c r="H856" s="216" t="s">
        <v>185</v>
      </c>
      <c r="I856" s="216" t="s">
        <v>186</v>
      </c>
      <c r="J856" s="216" t="s">
        <v>105</v>
      </c>
      <c r="K856" s="216" t="s">
        <v>187</v>
      </c>
      <c r="L856" s="216" t="s">
        <v>188</v>
      </c>
      <c r="M856" s="217">
        <v>0.1</v>
      </c>
      <c r="N856" s="442" cm="1">
        <f t="array" ref="N856">IF(TRIM(K856)="Mano de Obra",IF(Formulario!$L$23&lt;&gt;"",Formulario!$L$23,IFERROR(VLOOKUP(TRIM($M$4),Jornalesdeppto!A:C,3,0),"")),_xlfn.XLOOKUP(1,(Tabla_Costos_Insumos!$A$2:$A$3199=TRIM($M$4))*(Tabla_Costos_Insumos!$C$2:$C$3199=TRIM(K856)),Tabla_Costos_Insumos!$E$2:$E$3199,"",0))</f>
        <v>175000</v>
      </c>
      <c r="O856" s="442">
        <f t="shared" si="214"/>
        <v>17500</v>
      </c>
      <c r="P856" s="212" t="str">
        <f t="shared" si="213"/>
        <v>Caña_Azucar CC 93-7711 Pierna Bella</v>
      </c>
      <c r="Q856" s="212"/>
      <c r="R856" s="212"/>
      <c r="S856" s="212"/>
      <c r="T856" s="212"/>
      <c r="U856" s="212"/>
      <c r="V856" s="212"/>
      <c r="W856" s="212"/>
      <c r="X856" s="214"/>
    </row>
    <row r="857" spans="1:24" ht="15">
      <c r="A857" s="211" t="s">
        <v>4604</v>
      </c>
      <c r="B857" s="225" t="s">
        <v>4060</v>
      </c>
      <c r="C857" s="216" t="s">
        <v>53</v>
      </c>
      <c r="D857" s="216" t="s">
        <v>189</v>
      </c>
      <c r="E857" s="216" t="s">
        <v>190</v>
      </c>
      <c r="F857" s="216" t="s">
        <v>191</v>
      </c>
      <c r="G857" s="216" t="s">
        <v>192</v>
      </c>
      <c r="H857" s="216" t="s">
        <v>193</v>
      </c>
      <c r="I857" s="216" t="s">
        <v>194</v>
      </c>
      <c r="J857" s="216" t="s">
        <v>195</v>
      </c>
      <c r="K857" s="216" t="s">
        <v>196</v>
      </c>
      <c r="L857" s="216" t="s">
        <v>197</v>
      </c>
      <c r="M857" s="217">
        <v>1</v>
      </c>
      <c r="N857" s="442">
        <f>IFERROR(SUM(O839:$O$856)*0.08,0)</f>
        <v>465959.19081608637</v>
      </c>
      <c r="O857" s="442">
        <f t="shared" si="214"/>
        <v>465959.19081608637</v>
      </c>
      <c r="P857" s="212" t="str">
        <f t="shared" si="213"/>
        <v>Caña_Azucar CC 93-7711 Pierna Bella</v>
      </c>
      <c r="Q857" s="212"/>
      <c r="R857" s="212"/>
      <c r="S857" s="212"/>
      <c r="T857" s="212"/>
      <c r="U857" s="212"/>
      <c r="V857" s="212"/>
      <c r="W857" s="212"/>
      <c r="X857" s="214"/>
    </row>
    <row r="858" spans="1:24" ht="15">
      <c r="A858" s="211" t="s">
        <v>4604</v>
      </c>
      <c r="B858" s="225" t="s">
        <v>4060</v>
      </c>
      <c r="C858" s="216" t="s">
        <v>53</v>
      </c>
      <c r="D858" s="216" t="s">
        <v>189</v>
      </c>
      <c r="E858" s="216" t="s">
        <v>190</v>
      </c>
      <c r="F858" s="216" t="s">
        <v>198</v>
      </c>
      <c r="G858" s="216" t="s">
        <v>199</v>
      </c>
      <c r="H858" s="216" t="s">
        <v>200</v>
      </c>
      <c r="I858" s="216" t="s">
        <v>201</v>
      </c>
      <c r="J858" s="216" t="s">
        <v>105</v>
      </c>
      <c r="K858" s="216" t="s">
        <v>202</v>
      </c>
      <c r="L858" s="216" t="s">
        <v>203</v>
      </c>
      <c r="M858" s="217">
        <v>1</v>
      </c>
      <c r="N858" s="442" cm="1">
        <f t="array" ref="N858">IF(TRIM(K858)="Mano de Obra",IF(Formulario!$L$23&lt;&gt;"",Formulario!$L$23,IFERROR(VLOOKUP(TRIM($M$4),Jornalesdeppto!A:C,3,0),"")),_xlfn.XLOOKUP(1,(Tabla_Costos_Insumos!$A$2:$A$3199=TRIM($M$4))*(Tabla_Costos_Insumos!$C$2:$C$3199=TRIM(K858)),Tabla_Costos_Insumos!$E$2:$E$3199,"",0))</f>
        <v>120000</v>
      </c>
      <c r="O858" s="442">
        <f t="shared" si="214"/>
        <v>120000</v>
      </c>
      <c r="P858" s="212" t="str">
        <f t="shared" si="213"/>
        <v>Caña_Azucar CC 93-7711 Pierna Bella</v>
      </c>
      <c r="Q858" s="212"/>
      <c r="R858" s="212"/>
      <c r="S858" s="212"/>
      <c r="T858" s="212"/>
      <c r="U858" s="212"/>
      <c r="V858" s="212"/>
      <c r="W858" s="212"/>
      <c r="X858" s="214"/>
    </row>
    <row r="859" spans="1:24" ht="15">
      <c r="A859" s="211" t="s">
        <v>4604</v>
      </c>
      <c r="B859" s="225" t="s">
        <v>4060</v>
      </c>
      <c r="C859" s="216" t="s">
        <v>53</v>
      </c>
      <c r="D859" s="216" t="s">
        <v>189</v>
      </c>
      <c r="E859" s="216" t="s">
        <v>190</v>
      </c>
      <c r="F859" s="216" t="s">
        <v>204</v>
      </c>
      <c r="G859" s="216" t="s">
        <v>205</v>
      </c>
      <c r="H859" s="216" t="s">
        <v>206</v>
      </c>
      <c r="I859" s="216" t="s">
        <v>207</v>
      </c>
      <c r="J859" s="216" t="s">
        <v>208</v>
      </c>
      <c r="K859" s="216" t="s">
        <v>228</v>
      </c>
      <c r="L859" s="216" t="s">
        <v>197</v>
      </c>
      <c r="M859" s="217">
        <v>1</v>
      </c>
      <c r="N859" s="442">
        <f>$J$4</f>
        <v>500000</v>
      </c>
      <c r="O859" s="442">
        <f t="shared" si="214"/>
        <v>500000</v>
      </c>
      <c r="P859" s="212" t="str">
        <f t="shared" si="213"/>
        <v>Caña_Azucar CC 93-7711 Pierna Bella</v>
      </c>
      <c r="Q859" s="212"/>
      <c r="R859" s="212"/>
      <c r="S859" s="212"/>
      <c r="T859" s="212"/>
      <c r="U859" s="212"/>
      <c r="V859" s="212"/>
      <c r="W859" s="212"/>
      <c r="X859" s="214"/>
    </row>
    <row r="860" spans="1:24" ht="15">
      <c r="A860" s="211" t="s">
        <v>4604</v>
      </c>
      <c r="B860" s="225" t="s">
        <v>4056</v>
      </c>
      <c r="C860" s="216" t="s">
        <v>53</v>
      </c>
      <c r="D860" s="216" t="s">
        <v>99</v>
      </c>
      <c r="E860" s="216" t="s">
        <v>100</v>
      </c>
      <c r="F860" s="216" t="s">
        <v>101</v>
      </c>
      <c r="G860" s="216" t="s">
        <v>102</v>
      </c>
      <c r="H860" s="216" t="s">
        <v>278</v>
      </c>
      <c r="I860" s="216" t="s">
        <v>279</v>
      </c>
      <c r="J860" s="216" t="s">
        <v>280</v>
      </c>
      <c r="K860" s="216" t="s">
        <v>279</v>
      </c>
      <c r="L860" s="216" t="s">
        <v>281</v>
      </c>
      <c r="M860" s="217">
        <v>4</v>
      </c>
      <c r="N860" s="442">
        <v>74244</v>
      </c>
      <c r="O860" s="442">
        <f t="shared" si="214"/>
        <v>296976</v>
      </c>
      <c r="P860" s="212" t="str">
        <f t="shared" si="213"/>
        <v>Caña_Azucar Criolla</v>
      </c>
      <c r="Q860" s="212"/>
      <c r="R860" s="212"/>
      <c r="S860" s="212"/>
      <c r="T860" s="212"/>
      <c r="U860" s="212"/>
      <c r="V860" s="212"/>
      <c r="W860" s="212"/>
      <c r="X860" s="214"/>
    </row>
    <row r="861" spans="1:24" ht="15">
      <c r="A861" s="211" t="s">
        <v>4604</v>
      </c>
      <c r="B861" s="225" t="s">
        <v>4056</v>
      </c>
      <c r="C861" s="216" t="s">
        <v>53</v>
      </c>
      <c r="D861" s="216" t="s">
        <v>99</v>
      </c>
      <c r="E861" s="216" t="s">
        <v>100</v>
      </c>
      <c r="F861" s="216" t="s">
        <v>101</v>
      </c>
      <c r="G861" s="216" t="s">
        <v>102</v>
      </c>
      <c r="H861" s="216" t="s">
        <v>3808</v>
      </c>
      <c r="I861" s="216" t="s">
        <v>3809</v>
      </c>
      <c r="J861" s="216" t="s">
        <v>280</v>
      </c>
      <c r="K861" s="216" t="s">
        <v>4119</v>
      </c>
      <c r="L861" s="216" t="s">
        <v>281</v>
      </c>
      <c r="M861" s="217">
        <v>2</v>
      </c>
      <c r="N861" s="442">
        <v>77322</v>
      </c>
      <c r="O861" s="442">
        <f t="shared" si="214"/>
        <v>154644</v>
      </c>
      <c r="P861" s="212" t="str">
        <f t="shared" si="213"/>
        <v>Caña_Azucar Criolla</v>
      </c>
      <c r="Q861" s="212"/>
      <c r="R861" s="212"/>
      <c r="S861" s="212"/>
      <c r="T861" s="212"/>
      <c r="U861" s="212"/>
      <c r="V861" s="212"/>
      <c r="W861" s="212"/>
      <c r="X861" s="214"/>
    </row>
    <row r="862" spans="1:24" ht="15">
      <c r="A862" s="211" t="s">
        <v>4604</v>
      </c>
      <c r="B862" s="225" t="s">
        <v>4056</v>
      </c>
      <c r="C862" s="216" t="s">
        <v>53</v>
      </c>
      <c r="D862" s="216" t="s">
        <v>99</v>
      </c>
      <c r="E862" s="216" t="s">
        <v>100</v>
      </c>
      <c r="F862" s="216" t="s">
        <v>101</v>
      </c>
      <c r="G862" s="216" t="s">
        <v>102</v>
      </c>
      <c r="H862" s="216" t="s">
        <v>103</v>
      </c>
      <c r="I862" s="216" t="s">
        <v>104</v>
      </c>
      <c r="J862" s="216" t="s">
        <v>105</v>
      </c>
      <c r="K862" s="216" t="s">
        <v>106</v>
      </c>
      <c r="L862" s="216" t="s">
        <v>107</v>
      </c>
      <c r="M862" s="217">
        <f>IF(W862&lt;&gt;"", W862, ROUNDUP(X862*T862, 0))</f>
        <v>19</v>
      </c>
      <c r="N862" s="442" cm="1">
        <f t="array" ref="N862">IF(TRIM(K862)="Mano de Obra",IF(Formulario!$L$23&lt;&gt;"",Formulario!$L$23,IFERROR(VLOOKUP(TRIM($M$4),Jornalesdeppto!A:C,3,0),"")),_xlfn.XLOOKUP(1,(Tabla_Costos_Insumos!$A$2:$A$3199=TRIM($M$4))*(Tabla_Costos_Insumos!$C$2:$C$3199=TRIM(K862)),Tabla_Costos_Insumos!$E$2:$E$3199,"",0))</f>
        <v>46666.666666666664</v>
      </c>
      <c r="O862" s="442">
        <f t="shared" si="214"/>
        <v>886666.66666666663</v>
      </c>
      <c r="P862" s="212" t="str">
        <f t="shared" si="213"/>
        <v>Caña_Azucar Criolla</v>
      </c>
      <c r="Q862" s="212"/>
      <c r="R862" s="212"/>
      <c r="S862" s="212"/>
      <c r="T862" s="212" cm="1">
        <f t="array" ref="T862">_xlfn.IFS($D$5&lt;=7, 1.1, $D$5&lt;=12,1.2, $D$5&lt;=25, 1.3, $D$5&gt;25,1.4)</f>
        <v>1.3</v>
      </c>
      <c r="U862" s="212"/>
      <c r="V862" s="212"/>
      <c r="W862" s="212"/>
      <c r="X862" s="214">
        <v>14</v>
      </c>
    </row>
    <row r="863" spans="1:24" ht="15">
      <c r="A863" s="211" t="s">
        <v>4604</v>
      </c>
      <c r="B863" s="225" t="s">
        <v>4056</v>
      </c>
      <c r="C863" s="216" t="s">
        <v>53</v>
      </c>
      <c r="D863" s="216" t="s">
        <v>99</v>
      </c>
      <c r="E863" s="216" t="s">
        <v>100</v>
      </c>
      <c r="F863" s="216" t="s">
        <v>101</v>
      </c>
      <c r="G863" s="216" t="s">
        <v>102</v>
      </c>
      <c r="H863" s="216" t="s">
        <v>282</v>
      </c>
      <c r="I863" s="216" t="s">
        <v>283</v>
      </c>
      <c r="J863" s="216" t="s">
        <v>280</v>
      </c>
      <c r="K863" s="216" t="s">
        <v>284</v>
      </c>
      <c r="L863" s="216" t="s">
        <v>281</v>
      </c>
      <c r="M863" s="217">
        <v>2</v>
      </c>
      <c r="N863" s="442">
        <v>73054</v>
      </c>
      <c r="O863" s="442">
        <f t="shared" si="214"/>
        <v>146108</v>
      </c>
      <c r="P863" s="212" t="str">
        <f t="shared" si="213"/>
        <v>Caña_Azucar Criolla</v>
      </c>
      <c r="Q863" s="212"/>
      <c r="R863" s="212"/>
      <c r="S863" s="212"/>
      <c r="T863" s="212"/>
      <c r="U863" s="212"/>
      <c r="V863" s="212"/>
      <c r="W863" s="212"/>
      <c r="X863" s="214"/>
    </row>
    <row r="864" spans="1:24" ht="15">
      <c r="A864" s="211" t="s">
        <v>4604</v>
      </c>
      <c r="B864" s="225" t="s">
        <v>4056</v>
      </c>
      <c r="C864" s="216" t="s">
        <v>53</v>
      </c>
      <c r="D864" s="216" t="s">
        <v>99</v>
      </c>
      <c r="E864" s="216" t="s">
        <v>100</v>
      </c>
      <c r="F864" s="216" t="s">
        <v>101</v>
      </c>
      <c r="G864" s="216" t="s">
        <v>102</v>
      </c>
      <c r="H864" s="216" t="s">
        <v>214</v>
      </c>
      <c r="I864" s="216" t="s">
        <v>20</v>
      </c>
      <c r="J864" s="216" t="s">
        <v>105</v>
      </c>
      <c r="K864" s="216" t="s">
        <v>106</v>
      </c>
      <c r="L864" s="216" t="s">
        <v>107</v>
      </c>
      <c r="M864" s="217">
        <f t="shared" ref="M864:M870" si="215">IF(W864&lt;&gt;"", W864, ROUNDUP(X864*T864, 0))</f>
        <v>8</v>
      </c>
      <c r="N864" s="442" cm="1">
        <f t="array" ref="N864">IF(TRIM(K864)="Mano de Obra",IF(Formulario!$L$23&lt;&gt;"",Formulario!$L$23,IFERROR(VLOOKUP(TRIM($M$4),Jornalesdeppto!A:C,3,0),"")),_xlfn.XLOOKUP(1,(Tabla_Costos_Insumos!$A$2:$A$3199=TRIM($M$4))*(Tabla_Costos_Insumos!$C$2:$C$3199=TRIM(K864)),Tabla_Costos_Insumos!$E$2:$E$3199,"",0))</f>
        <v>46666.666666666664</v>
      </c>
      <c r="O864" s="442">
        <f t="shared" si="214"/>
        <v>373333.33333333331</v>
      </c>
      <c r="P864" s="212" t="str">
        <f t="shared" si="213"/>
        <v>Caña_Azucar Criolla</v>
      </c>
      <c r="Q864" s="212"/>
      <c r="R864" s="212"/>
      <c r="S864" s="212"/>
      <c r="T864" s="212" cm="1">
        <f t="array" ref="T864">_xlfn.IFS($D$5&lt;=7, 1.1, $D$5&lt;=12,1.2, $D$5&lt;=25, 1.3, $D$5&gt;25,1.4)</f>
        <v>1.3</v>
      </c>
      <c r="U864" s="212"/>
      <c r="V864" s="212"/>
      <c r="W864" s="212"/>
      <c r="X864" s="214">
        <v>6</v>
      </c>
    </row>
    <row r="865" spans="1:24" ht="15">
      <c r="A865" s="211" t="s">
        <v>4604</v>
      </c>
      <c r="B865" s="225" t="s">
        <v>4056</v>
      </c>
      <c r="C865" s="216" t="s">
        <v>53</v>
      </c>
      <c r="D865" s="216" t="s">
        <v>99</v>
      </c>
      <c r="E865" s="216" t="s">
        <v>100</v>
      </c>
      <c r="F865" s="216" t="s">
        <v>109</v>
      </c>
      <c r="G865" s="216" t="s">
        <v>110</v>
      </c>
      <c r="H865" s="216" t="s">
        <v>215</v>
      </c>
      <c r="I865" s="216" t="s">
        <v>216</v>
      </c>
      <c r="J865" s="216" t="s">
        <v>105</v>
      </c>
      <c r="K865" s="216" t="s">
        <v>106</v>
      </c>
      <c r="L865" s="216" t="s">
        <v>107</v>
      </c>
      <c r="M865" s="217">
        <f t="shared" si="215"/>
        <v>3</v>
      </c>
      <c r="N865" s="442" cm="1">
        <f t="array" ref="N865">IF(TRIM(K865)="Mano de Obra",IF(Formulario!$L$23&lt;&gt;"",Formulario!$L$23,IFERROR(VLOOKUP(TRIM($M$4),Jornalesdeppto!A:C,3,0),"")),_xlfn.XLOOKUP(1,(Tabla_Costos_Insumos!$A$2:$A$3199=TRIM($M$4))*(Tabla_Costos_Insumos!$C$2:$C$3199=TRIM(K865)),Tabla_Costos_Insumos!$E$2:$E$3199,"",0))</f>
        <v>46666.666666666664</v>
      </c>
      <c r="O865" s="442">
        <f t="shared" si="214"/>
        <v>140000</v>
      </c>
      <c r="P865" s="212" t="str">
        <f t="shared" si="213"/>
        <v>Caña_Azucar Criolla</v>
      </c>
      <c r="Q865" s="212"/>
      <c r="R865" s="212"/>
      <c r="S865" s="212"/>
      <c r="T865" s="212" cm="1">
        <f t="array" ref="T865">_xlfn.IFS($D$5&lt;=7, 1.1, $D$5&lt;=12,1.2, $D$5&lt;=25, 1.3, $D$5&gt;25,1.4)</f>
        <v>1.3</v>
      </c>
      <c r="U865" s="212"/>
      <c r="V865" s="212"/>
      <c r="W865" s="212"/>
      <c r="X865" s="214">
        <v>2</v>
      </c>
    </row>
    <row r="866" spans="1:24" ht="15">
      <c r="A866" s="211" t="s">
        <v>4604</v>
      </c>
      <c r="B866" s="225" t="s">
        <v>4056</v>
      </c>
      <c r="C866" s="216" t="s">
        <v>53</v>
      </c>
      <c r="D866" s="216" t="s">
        <v>99</v>
      </c>
      <c r="E866" s="216" t="s">
        <v>100</v>
      </c>
      <c r="F866" s="216" t="s">
        <v>109</v>
      </c>
      <c r="G866" s="216" t="s">
        <v>110</v>
      </c>
      <c r="H866" s="216" t="s">
        <v>217</v>
      </c>
      <c r="I866" s="216" t="s">
        <v>218</v>
      </c>
      <c r="J866" s="216" t="s">
        <v>105</v>
      </c>
      <c r="K866" s="216" t="s">
        <v>106</v>
      </c>
      <c r="L866" s="216" t="s">
        <v>107</v>
      </c>
      <c r="M866" s="217">
        <f t="shared" si="215"/>
        <v>8</v>
      </c>
      <c r="N866" s="442" cm="1">
        <f t="array" ref="N866">IF(TRIM(K866)="Mano de Obra",IF(Formulario!$L$23&lt;&gt;"",Formulario!$L$23,IFERROR(VLOOKUP(TRIM($M$4),Jornalesdeppto!A:C,3,0),"")),_xlfn.XLOOKUP(1,(Tabla_Costos_Insumos!$A$2:$A$3199=TRIM($M$4))*(Tabla_Costos_Insumos!$C$2:$C$3199=TRIM(K866)),Tabla_Costos_Insumos!$E$2:$E$3199,"",0))</f>
        <v>46666.666666666664</v>
      </c>
      <c r="O866" s="442">
        <f t="shared" si="214"/>
        <v>373333.33333333331</v>
      </c>
      <c r="P866" s="212" t="str">
        <f t="shared" si="213"/>
        <v>Caña_Azucar Criolla</v>
      </c>
      <c r="Q866" s="212"/>
      <c r="R866" s="212"/>
      <c r="S866" s="212"/>
      <c r="T866" s="212" cm="1">
        <f t="array" ref="T866">_xlfn.IFS($D$5&lt;=7, 1.1, $D$5&lt;=12,1.2, $D$5&lt;=25, 1.3, $D$5&gt;25,1.4)</f>
        <v>1.3</v>
      </c>
      <c r="U866" s="212"/>
      <c r="V866" s="212"/>
      <c r="W866" s="212"/>
      <c r="X866" s="214">
        <v>6</v>
      </c>
    </row>
    <row r="867" spans="1:24" ht="15">
      <c r="A867" s="211" t="s">
        <v>4604</v>
      </c>
      <c r="B867" s="225" t="s">
        <v>4056</v>
      </c>
      <c r="C867" s="216" t="s">
        <v>53</v>
      </c>
      <c r="D867" s="216" t="s">
        <v>99</v>
      </c>
      <c r="E867" s="216" t="s">
        <v>100</v>
      </c>
      <c r="F867" s="216" t="s">
        <v>117</v>
      </c>
      <c r="G867" s="216" t="s">
        <v>118</v>
      </c>
      <c r="H867" s="216" t="s">
        <v>119</v>
      </c>
      <c r="I867" s="216" t="s">
        <v>120</v>
      </c>
      <c r="J867" s="216" t="s">
        <v>105</v>
      </c>
      <c r="K867" s="216" t="s">
        <v>106</v>
      </c>
      <c r="L867" s="216" t="s">
        <v>107</v>
      </c>
      <c r="M867" s="217">
        <f t="shared" si="215"/>
        <v>3</v>
      </c>
      <c r="N867" s="442" cm="1">
        <f t="array" ref="N867">IF(TRIM(K867)="Mano de Obra",IF(Formulario!$L$23&lt;&gt;"",Formulario!$L$23,IFERROR(VLOOKUP(TRIM($M$4),Jornalesdeppto!A:C,3,0),"")),_xlfn.XLOOKUP(1,(Tabla_Costos_Insumos!$A$2:$A$3199=TRIM($M$4))*(Tabla_Costos_Insumos!$C$2:$C$3199=TRIM(K867)),Tabla_Costos_Insumos!$E$2:$E$3199,"",0))</f>
        <v>46666.666666666664</v>
      </c>
      <c r="O867" s="442">
        <f t="shared" si="214"/>
        <v>140000</v>
      </c>
      <c r="P867" s="212" t="str">
        <f t="shared" si="213"/>
        <v>Caña_Azucar Criolla</v>
      </c>
      <c r="Q867" s="212"/>
      <c r="R867" s="212"/>
      <c r="S867" s="212"/>
      <c r="T867" s="212" cm="1">
        <f t="array" ref="T867">_xlfn.IFS($D$5&lt;=7, 1.1, $D$5&lt;=12,1.2, $D$5&lt;=25, 1.3, $D$5&gt;25,1.4)</f>
        <v>1.3</v>
      </c>
      <c r="U867" s="212"/>
      <c r="V867" s="212"/>
      <c r="W867" s="212"/>
      <c r="X867" s="214">
        <v>2</v>
      </c>
    </row>
    <row r="868" spans="1:24" ht="15">
      <c r="A868" s="211" t="s">
        <v>4604</v>
      </c>
      <c r="B868" s="225" t="s">
        <v>4056</v>
      </c>
      <c r="C868" s="216" t="s">
        <v>53</v>
      </c>
      <c r="D868" s="216" t="s">
        <v>99</v>
      </c>
      <c r="E868" s="216" t="s">
        <v>100</v>
      </c>
      <c r="F868" s="216" t="s">
        <v>117</v>
      </c>
      <c r="G868" s="216" t="s">
        <v>118</v>
      </c>
      <c r="H868" s="216" t="s">
        <v>121</v>
      </c>
      <c r="I868" s="216" t="s">
        <v>122</v>
      </c>
      <c r="J868" s="216" t="s">
        <v>105</v>
      </c>
      <c r="K868" s="216" t="s">
        <v>106</v>
      </c>
      <c r="L868" s="216" t="s">
        <v>107</v>
      </c>
      <c r="M868" s="217">
        <f t="shared" si="215"/>
        <v>3</v>
      </c>
      <c r="N868" s="442" cm="1">
        <f t="array" ref="N868">IF(TRIM(K868)="Mano de Obra",IF(Formulario!$L$23&lt;&gt;"",Formulario!$L$23,IFERROR(VLOOKUP(TRIM($M$4),Jornalesdeppto!A:C,3,0),"")),_xlfn.XLOOKUP(1,(Tabla_Costos_Insumos!$A$2:$A$3199=TRIM($M$4))*(Tabla_Costos_Insumos!$C$2:$C$3199=TRIM(K868)),Tabla_Costos_Insumos!$E$2:$E$3199,"",0))</f>
        <v>46666.666666666664</v>
      </c>
      <c r="O868" s="442">
        <f t="shared" si="214"/>
        <v>140000</v>
      </c>
      <c r="P868" s="212" t="str">
        <f t="shared" si="213"/>
        <v>Caña_Azucar Criolla</v>
      </c>
      <c r="Q868" s="212"/>
      <c r="R868" s="212"/>
      <c r="S868" s="212"/>
      <c r="T868" s="212" cm="1">
        <f t="array" ref="T868">_xlfn.IFS($D$5&lt;=7, 1.1, $D$5&lt;=12,1.2, $D$5&lt;=25, 1.3, $D$5&gt;25,1.4)</f>
        <v>1.3</v>
      </c>
      <c r="U868" s="212"/>
      <c r="V868" s="212"/>
      <c r="W868" s="212"/>
      <c r="X868" s="214">
        <v>2</v>
      </c>
    </row>
    <row r="869" spans="1:24" ht="15">
      <c r="A869" s="211" t="s">
        <v>4604</v>
      </c>
      <c r="B869" s="225" t="s">
        <v>4056</v>
      </c>
      <c r="C869" s="216" t="s">
        <v>53</v>
      </c>
      <c r="D869" s="216" t="s">
        <v>99</v>
      </c>
      <c r="E869" s="216" t="s">
        <v>100</v>
      </c>
      <c r="F869" s="216" t="s">
        <v>123</v>
      </c>
      <c r="G869" s="216" t="s">
        <v>124</v>
      </c>
      <c r="H869" s="216" t="s">
        <v>125</v>
      </c>
      <c r="I869" s="216" t="s">
        <v>126</v>
      </c>
      <c r="J869" s="216" t="s">
        <v>105</v>
      </c>
      <c r="K869" s="216" t="s">
        <v>106</v>
      </c>
      <c r="L869" s="216" t="s">
        <v>107</v>
      </c>
      <c r="M869" s="217">
        <f t="shared" si="215"/>
        <v>6</v>
      </c>
      <c r="N869" s="442" cm="1">
        <f t="array" ref="N869">IF(TRIM(K869)="Mano de Obra",IF(Formulario!$L$23&lt;&gt;"",Formulario!$L$23,IFERROR(VLOOKUP(TRIM($M$4),Jornalesdeppto!A:C,3,0),"")),_xlfn.XLOOKUP(1,(Tabla_Costos_Insumos!$A$2:$A$3199=TRIM($M$4))*(Tabla_Costos_Insumos!$C$2:$C$3199=TRIM(K869)),Tabla_Costos_Insumos!$E$2:$E$3199,"",0))</f>
        <v>46666.666666666664</v>
      </c>
      <c r="O869" s="442">
        <f t="shared" si="214"/>
        <v>280000</v>
      </c>
      <c r="P869" s="212" t="str">
        <f t="shared" si="213"/>
        <v>Caña_Azucar Criolla</v>
      </c>
      <c r="Q869" s="212"/>
      <c r="R869" s="212"/>
      <c r="S869" s="212"/>
      <c r="T869" s="212" cm="1">
        <f t="array" ref="T869">_xlfn.IFS($D$5&lt;=7, 1.1, $D$5&lt;=12,1.2, $D$5&lt;=25, 1.3, $D$5&gt;25,1.4)</f>
        <v>1.3</v>
      </c>
      <c r="U869" s="212"/>
      <c r="V869" s="212"/>
      <c r="W869" s="212"/>
      <c r="X869" s="214">
        <v>4</v>
      </c>
    </row>
    <row r="870" spans="1:24" ht="15">
      <c r="A870" s="211" t="s">
        <v>4604</v>
      </c>
      <c r="B870" s="225" t="s">
        <v>4056</v>
      </c>
      <c r="C870" s="216" t="s">
        <v>53</v>
      </c>
      <c r="D870" s="216" t="s">
        <v>99</v>
      </c>
      <c r="E870" s="216" t="s">
        <v>100</v>
      </c>
      <c r="F870" s="216" t="s">
        <v>123</v>
      </c>
      <c r="G870" s="216" t="s">
        <v>124</v>
      </c>
      <c r="H870" s="216" t="s">
        <v>128</v>
      </c>
      <c r="I870" s="216" t="s">
        <v>129</v>
      </c>
      <c r="J870" s="216" t="s">
        <v>105</v>
      </c>
      <c r="K870" s="216" t="s">
        <v>106</v>
      </c>
      <c r="L870" s="216" t="s">
        <v>107</v>
      </c>
      <c r="M870" s="217">
        <f t="shared" si="215"/>
        <v>3</v>
      </c>
      <c r="N870" s="442" cm="1">
        <f t="array" ref="N870">IF(TRIM(K870)="Mano de Obra",IF(Formulario!$L$23&lt;&gt;"",Formulario!$L$23,IFERROR(VLOOKUP(TRIM($M$4),Jornalesdeppto!A:C,3,0),"")),_xlfn.XLOOKUP(1,(Tabla_Costos_Insumos!$A$2:$A$3199=TRIM($M$4))*(Tabla_Costos_Insumos!$C$2:$C$3199=TRIM(K870)),Tabla_Costos_Insumos!$E$2:$E$3199,"",0))</f>
        <v>46666.666666666664</v>
      </c>
      <c r="O870" s="442">
        <f t="shared" si="214"/>
        <v>140000</v>
      </c>
      <c r="P870" s="212" t="str">
        <f t="shared" si="213"/>
        <v>Caña_Azucar Criolla</v>
      </c>
      <c r="Q870" s="212"/>
      <c r="R870" s="212"/>
      <c r="S870" s="212"/>
      <c r="T870" s="212" cm="1">
        <f t="array" ref="T870">_xlfn.IFS($D$5&lt;=7, 1.1, $D$5&lt;=12,1.2, $D$5&lt;=25, 1.3, $D$5&gt;25,1.4)</f>
        <v>1.3</v>
      </c>
      <c r="U870" s="212"/>
      <c r="V870" s="212"/>
      <c r="W870" s="212"/>
      <c r="X870" s="214">
        <v>2</v>
      </c>
    </row>
    <row r="871" spans="1:24" ht="15">
      <c r="A871" s="211" t="s">
        <v>4604</v>
      </c>
      <c r="B871" s="225" t="s">
        <v>4056</v>
      </c>
      <c r="C871" s="216" t="s">
        <v>53</v>
      </c>
      <c r="D871" s="216" t="s">
        <v>145</v>
      </c>
      <c r="E871" s="216" t="s">
        <v>146</v>
      </c>
      <c r="F871" s="216" t="s">
        <v>219</v>
      </c>
      <c r="G871" s="216" t="s">
        <v>220</v>
      </c>
      <c r="H871" s="216" t="s">
        <v>221</v>
      </c>
      <c r="I871" s="216" t="s">
        <v>222</v>
      </c>
      <c r="J871" s="216" t="s">
        <v>223</v>
      </c>
      <c r="K871" s="216" t="s">
        <v>4121</v>
      </c>
      <c r="L871" s="216" t="s">
        <v>4122</v>
      </c>
      <c r="M871" s="217">
        <v>900</v>
      </c>
      <c r="N871" s="442">
        <v>1420</v>
      </c>
      <c r="O871" s="442">
        <f t="shared" si="214"/>
        <v>1278000</v>
      </c>
      <c r="P871" s="212" t="str">
        <f t="shared" si="213"/>
        <v>Caña_Azucar Criolla</v>
      </c>
      <c r="Q871" s="212"/>
      <c r="R871" s="212"/>
      <c r="S871" s="212"/>
      <c r="T871" s="212"/>
      <c r="U871" s="212"/>
      <c r="V871" s="212"/>
      <c r="W871" s="212"/>
      <c r="X871" s="214"/>
    </row>
    <row r="872" spans="1:24" ht="15">
      <c r="A872" s="211" t="s">
        <v>4604</v>
      </c>
      <c r="B872" s="225" t="s">
        <v>4056</v>
      </c>
      <c r="C872" s="216" t="s">
        <v>53</v>
      </c>
      <c r="D872" s="216" t="s">
        <v>145</v>
      </c>
      <c r="E872" s="216" t="s">
        <v>146</v>
      </c>
      <c r="F872" s="216" t="s">
        <v>219</v>
      </c>
      <c r="G872" s="216" t="s">
        <v>131</v>
      </c>
      <c r="H872" s="216" t="s">
        <v>165</v>
      </c>
      <c r="I872" s="216" t="s">
        <v>153</v>
      </c>
      <c r="J872" s="216" t="s">
        <v>149</v>
      </c>
      <c r="K872" s="216" t="s">
        <v>4110</v>
      </c>
      <c r="L872" s="216" t="s">
        <v>151</v>
      </c>
      <c r="M872" s="217">
        <v>2</v>
      </c>
      <c r="N872" s="442" cm="1">
        <f t="array" ref="N872">IF(TRIM(K872)="Mano de Obra",IF(Formulario!$L$23&lt;&gt;"",Formulario!$L$23,IFERROR(VLOOKUP(TRIM($M$4),Jornalesdeppto!A:C,3,0),"")),_xlfn.XLOOKUP(1,(Tabla_Costos_Insumos!$A$2:$A$3199=TRIM($M$4))*(Tabla_Costos_Insumos!$C$2:$C$3199=TRIM(K872)),Tabla_Costos_Insumos!$E$2:$E$3199,"",0))</f>
        <v>125849.2424242409</v>
      </c>
      <c r="O872" s="442">
        <f t="shared" si="214"/>
        <v>251698.48484848181</v>
      </c>
      <c r="P872" s="212" t="str">
        <f t="shared" si="213"/>
        <v>Caña_Azucar Criolla</v>
      </c>
      <c r="Q872" s="212"/>
      <c r="R872" s="212"/>
      <c r="S872" s="212"/>
      <c r="T872" s="212"/>
      <c r="U872" s="212"/>
      <c r="V872" s="212"/>
      <c r="W872" s="212"/>
      <c r="X872" s="214"/>
    </row>
    <row r="873" spans="1:24" ht="15">
      <c r="A873" s="211" t="s">
        <v>4604</v>
      </c>
      <c r="B873" s="225" t="s">
        <v>4056</v>
      </c>
      <c r="C873" s="216" t="s">
        <v>53</v>
      </c>
      <c r="D873" s="216" t="s">
        <v>145</v>
      </c>
      <c r="E873" s="216" t="s">
        <v>146</v>
      </c>
      <c r="F873" s="216" t="s">
        <v>147</v>
      </c>
      <c r="G873" s="216" t="s">
        <v>131</v>
      </c>
      <c r="H873" s="216" t="s">
        <v>165</v>
      </c>
      <c r="I873" s="216" t="s">
        <v>153</v>
      </c>
      <c r="J873" s="216" t="s">
        <v>149</v>
      </c>
      <c r="K873" s="216" t="s">
        <v>166</v>
      </c>
      <c r="L873" s="216" t="s">
        <v>151</v>
      </c>
      <c r="M873" s="217">
        <v>2</v>
      </c>
      <c r="N873" s="442" cm="1">
        <f t="array" ref="N873">IF(TRIM(K873)="Mano de Obra",IF(Formulario!$L$23&lt;&gt;"",Formulario!$L$23,IFERROR(VLOOKUP(TRIM($M$4),Jornalesdeppto!A:C,3,0),"")),_xlfn.XLOOKUP(1,(Tabla_Costos_Insumos!$A$2:$A$3199=TRIM($M$4))*(Tabla_Costos_Insumos!$C$2:$C$3199=TRIM(K873)),Tabla_Costos_Insumos!$E$2:$E$3199,"",0))</f>
        <v>110000</v>
      </c>
      <c r="O873" s="442">
        <f t="shared" si="214"/>
        <v>220000</v>
      </c>
      <c r="P873" s="212" t="str">
        <f t="shared" si="213"/>
        <v>Caña_Azucar Criolla</v>
      </c>
      <c r="Q873" s="212"/>
      <c r="R873" s="212"/>
      <c r="S873" s="212"/>
      <c r="T873" s="212"/>
      <c r="U873" s="212"/>
      <c r="V873" s="212"/>
      <c r="W873" s="212"/>
      <c r="X873" s="214"/>
    </row>
    <row r="874" spans="1:24" ht="15">
      <c r="A874" s="211" t="s">
        <v>4604</v>
      </c>
      <c r="B874" s="225" t="s">
        <v>4056</v>
      </c>
      <c r="C874" s="216" t="s">
        <v>53</v>
      </c>
      <c r="D874" s="216" t="s">
        <v>145</v>
      </c>
      <c r="E874" s="216" t="s">
        <v>146</v>
      </c>
      <c r="F874" s="216" t="s">
        <v>147</v>
      </c>
      <c r="G874" s="216" t="s">
        <v>131</v>
      </c>
      <c r="H874" s="216" t="s">
        <v>152</v>
      </c>
      <c r="I874" s="216" t="s">
        <v>4143</v>
      </c>
      <c r="J874" s="216" t="s">
        <v>149</v>
      </c>
      <c r="K874" s="216" t="s">
        <v>150</v>
      </c>
      <c r="L874" s="216" t="s">
        <v>151</v>
      </c>
      <c r="M874" s="217">
        <v>1</v>
      </c>
      <c r="N874" s="442" cm="1">
        <f t="array" ref="N874">IF(TRIM(K874)="Mano de Obra",IF(Formulario!$L$23&lt;&gt;"",Formulario!$L$23,IFERROR(VLOOKUP(TRIM($M$4),Jornalesdeppto!A:C,3,0),"")),_xlfn.XLOOKUP(1,(Tabla_Costos_Insumos!$A$2:$A$3199=TRIM($M$4))*(Tabla_Costos_Insumos!$C$2:$C$3199=TRIM(K874)),Tabla_Costos_Insumos!$E$2:$E$3199,"",0))</f>
        <v>198055.68333333</v>
      </c>
      <c r="O874" s="442">
        <f t="shared" si="214"/>
        <v>198055.68333333</v>
      </c>
      <c r="P874" s="212" t="str">
        <f t="shared" si="213"/>
        <v>Caña_Azucar Criolla</v>
      </c>
      <c r="Q874" s="212"/>
      <c r="R874" s="212"/>
      <c r="S874" s="212"/>
      <c r="T874" s="212"/>
      <c r="U874" s="212"/>
      <c r="V874" s="212"/>
      <c r="W874" s="212"/>
      <c r="X874" s="214"/>
    </row>
    <row r="875" spans="1:24" ht="15">
      <c r="A875" s="211" t="s">
        <v>4604</v>
      </c>
      <c r="B875" s="225" t="s">
        <v>4056</v>
      </c>
      <c r="C875" s="216" t="s">
        <v>53</v>
      </c>
      <c r="D875" s="216" t="s">
        <v>145</v>
      </c>
      <c r="E875" s="216" t="s">
        <v>146</v>
      </c>
      <c r="F875" s="216" t="s">
        <v>147</v>
      </c>
      <c r="G875" s="216" t="s">
        <v>131</v>
      </c>
      <c r="H875" s="216" t="s">
        <v>154</v>
      </c>
      <c r="I875" s="216" t="s">
        <v>155</v>
      </c>
      <c r="J875" s="216" t="s">
        <v>149</v>
      </c>
      <c r="K875" s="216" t="s">
        <v>156</v>
      </c>
      <c r="L875" s="216" t="s">
        <v>151</v>
      </c>
      <c r="M875" s="217">
        <v>20</v>
      </c>
      <c r="N875" s="442" cm="1">
        <f t="array" ref="N875">IF(TRIM(K875)="Mano de Obra",IF(Formulario!$L$23&lt;&gt;"",Formulario!$L$23,IFERROR(VLOOKUP(TRIM($M$4),Jornalesdeppto!A:C,3,0),"")),_xlfn.XLOOKUP(1,(Tabla_Costos_Insumos!$A$2:$A$3199=TRIM($M$4))*(Tabla_Costos_Insumos!$C$2:$C$3199=TRIM(K875)),Tabla_Costos_Insumos!$E$2:$E$3199,"",0))</f>
        <v>17212.5</v>
      </c>
      <c r="O875" s="442">
        <f t="shared" si="214"/>
        <v>344250</v>
      </c>
      <c r="P875" s="212" t="str">
        <f t="shared" si="213"/>
        <v>Caña_Azucar Criolla</v>
      </c>
      <c r="Q875" s="212"/>
      <c r="R875" s="212"/>
      <c r="S875" s="212"/>
      <c r="T875" s="212"/>
      <c r="U875" s="212"/>
      <c r="V875" s="212"/>
      <c r="W875" s="212"/>
      <c r="X875" s="214"/>
    </row>
    <row r="876" spans="1:24" ht="15">
      <c r="A876" s="211" t="s">
        <v>4604</v>
      </c>
      <c r="B876" s="225" t="s">
        <v>4056</v>
      </c>
      <c r="C876" s="216" t="s">
        <v>53</v>
      </c>
      <c r="D876" s="216" t="s">
        <v>145</v>
      </c>
      <c r="E876" s="216" t="s">
        <v>146</v>
      </c>
      <c r="F876" s="216" t="s">
        <v>147</v>
      </c>
      <c r="G876" s="216" t="s">
        <v>131</v>
      </c>
      <c r="H876" s="216" t="s">
        <v>157</v>
      </c>
      <c r="I876" s="216" t="s">
        <v>158</v>
      </c>
      <c r="J876" s="216" t="s">
        <v>149</v>
      </c>
      <c r="K876" s="216" t="s">
        <v>237</v>
      </c>
      <c r="L876" s="216" t="s">
        <v>172</v>
      </c>
      <c r="M876" s="217">
        <v>4</v>
      </c>
      <c r="N876" s="442" cm="1">
        <f t="array" ref="N876">IF(TRIM(K876)="Mano de Obra",IF(Formulario!$L$23&lt;&gt;"",Formulario!$L$23,IFERROR(VLOOKUP(TRIM($M$4),Jornalesdeppto!A:C,3,0),"")),_xlfn.XLOOKUP(1,(Tabla_Costos_Insumos!$A$2:$A$3199=TRIM($M$4))*(Tabla_Costos_Insumos!$C$2:$C$3199=TRIM(K876)),Tabla_Costos_Insumos!$E$2:$E$3199,"",0))</f>
        <v>26190.48</v>
      </c>
      <c r="O876" s="442">
        <f t="shared" si="214"/>
        <v>104761.92</v>
      </c>
      <c r="P876" s="212" t="str">
        <f t="shared" si="213"/>
        <v>Caña_Azucar Criolla</v>
      </c>
      <c r="Q876" s="212"/>
      <c r="R876" s="212"/>
      <c r="S876" s="212"/>
      <c r="T876" s="212"/>
      <c r="U876" s="212"/>
      <c r="V876" s="212"/>
      <c r="W876" s="212"/>
      <c r="X876" s="214"/>
    </row>
    <row r="877" spans="1:24" ht="15">
      <c r="A877" s="211" t="s">
        <v>4604</v>
      </c>
      <c r="B877" s="225" t="s">
        <v>4056</v>
      </c>
      <c r="C877" s="216" t="s">
        <v>53</v>
      </c>
      <c r="D877" s="216" t="s">
        <v>145</v>
      </c>
      <c r="E877" s="216" t="s">
        <v>146</v>
      </c>
      <c r="F877" s="216" t="s">
        <v>147</v>
      </c>
      <c r="G877" s="216" t="s">
        <v>131</v>
      </c>
      <c r="H877" s="216" t="s">
        <v>161</v>
      </c>
      <c r="I877" s="216" t="s">
        <v>162</v>
      </c>
      <c r="J877" s="216" t="s">
        <v>149</v>
      </c>
      <c r="K877" s="216" t="s">
        <v>163</v>
      </c>
      <c r="L877" s="216" t="s">
        <v>164</v>
      </c>
      <c r="M877" s="217">
        <v>2</v>
      </c>
      <c r="N877" s="442" cm="1">
        <f t="array" ref="N877">IF(TRIM(K877)="Mano de Obra",IF(Formulario!$L$23&lt;&gt;"",Formulario!$L$23,IFERROR(VLOOKUP(TRIM($M$4),Jornalesdeppto!A:C,3,0),"")),_xlfn.XLOOKUP(1,(Tabla_Costos_Insumos!$A$2:$A$3199=TRIM($M$4))*(Tabla_Costos_Insumos!$C$2:$C$3199=TRIM(K877)),Tabla_Costos_Insumos!$E$2:$E$3199,"",0))</f>
        <v>128084.44444445</v>
      </c>
      <c r="O877" s="442">
        <f t="shared" si="214"/>
        <v>256168.88888889999</v>
      </c>
      <c r="P877" s="212" t="str">
        <f t="shared" si="213"/>
        <v>Caña_Azucar Criolla</v>
      </c>
      <c r="Q877" s="212"/>
      <c r="R877" s="212"/>
      <c r="S877" s="212"/>
      <c r="T877" s="212"/>
      <c r="U877" s="212"/>
      <c r="V877" s="212"/>
      <c r="W877" s="212"/>
      <c r="X877" s="214"/>
    </row>
    <row r="878" spans="1:24" ht="15">
      <c r="A878" s="211" t="s">
        <v>4604</v>
      </c>
      <c r="B878" s="225" t="s">
        <v>4056</v>
      </c>
      <c r="C878" s="216" t="s">
        <v>53</v>
      </c>
      <c r="D878" s="216" t="s">
        <v>145</v>
      </c>
      <c r="E878" s="216" t="s">
        <v>146</v>
      </c>
      <c r="F878" s="216" t="s">
        <v>167</v>
      </c>
      <c r="G878" s="216" t="s">
        <v>118</v>
      </c>
      <c r="H878" s="216" t="s">
        <v>247</v>
      </c>
      <c r="I878" s="216" t="s">
        <v>248</v>
      </c>
      <c r="J878" s="216" t="s">
        <v>249</v>
      </c>
      <c r="K878" s="216" t="s">
        <v>4123</v>
      </c>
      <c r="L878" s="216" t="s">
        <v>250</v>
      </c>
      <c r="M878" s="217">
        <v>1</v>
      </c>
      <c r="N878" s="442">
        <v>60000</v>
      </c>
      <c r="O878" s="442">
        <f t="shared" si="214"/>
        <v>60000</v>
      </c>
      <c r="P878" s="212" t="str">
        <f t="shared" si="213"/>
        <v>Caña_Azucar Criolla</v>
      </c>
      <c r="Q878" s="212"/>
      <c r="R878" s="212"/>
      <c r="S878" s="212"/>
      <c r="T878" s="212"/>
      <c r="U878" s="212"/>
      <c r="V878" s="212"/>
      <c r="W878" s="212"/>
      <c r="X878" s="214"/>
    </row>
    <row r="879" spans="1:24" ht="15">
      <c r="A879" s="211" t="s">
        <v>4604</v>
      </c>
      <c r="B879" s="225" t="s">
        <v>4056</v>
      </c>
      <c r="C879" s="216" t="s">
        <v>53</v>
      </c>
      <c r="D879" s="216" t="s">
        <v>145</v>
      </c>
      <c r="E879" s="216" t="s">
        <v>146</v>
      </c>
      <c r="F879" s="216" t="s">
        <v>167</v>
      </c>
      <c r="G879" s="216" t="s">
        <v>118</v>
      </c>
      <c r="H879" s="216" t="s">
        <v>168</v>
      </c>
      <c r="I879" s="216" t="s">
        <v>169</v>
      </c>
      <c r="J879" s="216" t="s">
        <v>170</v>
      </c>
      <c r="K879" s="216" t="s">
        <v>256</v>
      </c>
      <c r="L879" s="216" t="s">
        <v>172</v>
      </c>
      <c r="M879" s="217">
        <v>4</v>
      </c>
      <c r="N879" s="442" cm="1">
        <f t="array" ref="N879">IF(TRIM(K879)="Mano de Obra",IF(Formulario!$L$23&lt;&gt;"",Formulario!$L$23,IFERROR(VLOOKUP(TRIM($M$4),Jornalesdeppto!A:C,3,0),"")),_xlfn.XLOOKUP(1,(Tabla_Costos_Insumos!$A$2:$A$3199=TRIM($M$4))*(Tabla_Costos_Insumos!$C$2:$C$3199=TRIM(K879)),Tabla_Costos_Insumos!$E$2:$E$3199,"",0))</f>
        <v>28842.22</v>
      </c>
      <c r="O879" s="442">
        <f t="shared" si="214"/>
        <v>115368.88</v>
      </c>
      <c r="P879" s="212" t="str">
        <f t="shared" si="213"/>
        <v>Caña_Azucar Criolla</v>
      </c>
      <c r="Q879" s="212"/>
      <c r="R879" s="212"/>
      <c r="S879" s="212"/>
      <c r="T879" s="212"/>
      <c r="U879" s="212"/>
      <c r="V879" s="212"/>
      <c r="W879" s="212"/>
      <c r="X879" s="214"/>
    </row>
    <row r="880" spans="1:24" ht="15">
      <c r="A880" s="211" t="s">
        <v>4604</v>
      </c>
      <c r="B880" s="225" t="s">
        <v>4056</v>
      </c>
      <c r="C880" s="216" t="s">
        <v>53</v>
      </c>
      <c r="D880" s="216" t="s">
        <v>145</v>
      </c>
      <c r="E880" s="216" t="s">
        <v>146</v>
      </c>
      <c r="F880" s="216" t="s">
        <v>167</v>
      </c>
      <c r="G880" s="216" t="s">
        <v>118</v>
      </c>
      <c r="H880" s="216" t="s">
        <v>168</v>
      </c>
      <c r="I880" s="216" t="s">
        <v>169</v>
      </c>
      <c r="J880" s="216" t="s">
        <v>170</v>
      </c>
      <c r="K880" s="216" t="s">
        <v>252</v>
      </c>
      <c r="L880" s="216" t="s">
        <v>226</v>
      </c>
      <c r="M880" s="217">
        <v>6</v>
      </c>
      <c r="N880" s="442" cm="1">
        <f t="array" ref="N880">IF(TRIM(K880)="Mano de Obra",IF(Formulario!$L$23&lt;&gt;"",Formulario!$L$23,IFERROR(VLOOKUP(TRIM($M$4),Jornalesdeppto!A:C,3,0),"")),_xlfn.XLOOKUP(1,(Tabla_Costos_Insumos!$A$2:$A$3199=TRIM($M$4))*(Tabla_Costos_Insumos!$C$2:$C$3199=TRIM(K880)),Tabla_Costos_Insumos!$E$2:$E$3199,"",0))</f>
        <v>24440.35</v>
      </c>
      <c r="O880" s="442">
        <f t="shared" si="214"/>
        <v>146642.09999999998</v>
      </c>
      <c r="P880" s="212" t="str">
        <f t="shared" si="213"/>
        <v>Caña_Azucar Criolla</v>
      </c>
      <c r="Q880" s="212"/>
      <c r="R880" s="212"/>
      <c r="S880" s="212"/>
      <c r="T880" s="212"/>
      <c r="U880" s="212"/>
      <c r="V880" s="212"/>
      <c r="W880" s="212"/>
      <c r="X880" s="214"/>
    </row>
    <row r="881" spans="1:24" ht="15">
      <c r="A881" s="211" t="s">
        <v>4604</v>
      </c>
      <c r="B881" s="225" t="s">
        <v>4056</v>
      </c>
      <c r="C881" s="216" t="s">
        <v>53</v>
      </c>
      <c r="D881" s="216" t="s">
        <v>145</v>
      </c>
      <c r="E881" s="216" t="s">
        <v>146</v>
      </c>
      <c r="F881" s="216" t="s">
        <v>167</v>
      </c>
      <c r="G881" s="216" t="s">
        <v>118</v>
      </c>
      <c r="H881" s="216" t="s">
        <v>174</v>
      </c>
      <c r="I881" s="216" t="s">
        <v>175</v>
      </c>
      <c r="J881" s="216" t="s">
        <v>176</v>
      </c>
      <c r="K881" s="216" t="s">
        <v>4112</v>
      </c>
      <c r="L881" s="216" t="s">
        <v>226</v>
      </c>
      <c r="M881" s="217">
        <v>4</v>
      </c>
      <c r="N881" s="442" cm="1">
        <f t="array" ref="N881">IF(TRIM(K881)="Mano de Obra",IF(Formulario!$L$23&lt;&gt;"",Formulario!$L$23,IFERROR(VLOOKUP(TRIM($M$4),Jornalesdeppto!A:C,3,0),"")),_xlfn.XLOOKUP(1,(Tabla_Costos_Insumos!$A$2:$A$3199=TRIM($M$4))*(Tabla_Costos_Insumos!$C$2:$C$3199=TRIM(K881)),Tabla_Costos_Insumos!$E$2:$E$3199,"",0))</f>
        <v>28373.31649831641</v>
      </c>
      <c r="O881" s="442">
        <f t="shared" si="214"/>
        <v>113493.26599326564</v>
      </c>
      <c r="P881" s="212" t="str">
        <f t="shared" si="213"/>
        <v>Caña_Azucar Criolla</v>
      </c>
      <c r="Q881" s="212"/>
      <c r="R881" s="212"/>
      <c r="S881" s="212"/>
      <c r="T881" s="212"/>
      <c r="U881" s="212"/>
      <c r="V881" s="212"/>
      <c r="W881" s="212"/>
      <c r="X881" s="214"/>
    </row>
    <row r="882" spans="1:24" ht="15">
      <c r="A882" s="211" t="s">
        <v>4604</v>
      </c>
      <c r="B882" s="225" t="s">
        <v>4056</v>
      </c>
      <c r="C882" s="216" t="s">
        <v>53</v>
      </c>
      <c r="D882" s="216" t="s">
        <v>145</v>
      </c>
      <c r="E882" s="216" t="s">
        <v>146</v>
      </c>
      <c r="F882" s="216" t="s">
        <v>167</v>
      </c>
      <c r="G882" s="216" t="s">
        <v>118</v>
      </c>
      <c r="H882" s="216" t="s">
        <v>178</v>
      </c>
      <c r="I882" s="216" t="s">
        <v>179</v>
      </c>
      <c r="J882" s="216" t="s">
        <v>180</v>
      </c>
      <c r="K882" s="216" t="s">
        <v>181</v>
      </c>
      <c r="L882" s="216" t="s">
        <v>172</v>
      </c>
      <c r="M882" s="217">
        <v>2</v>
      </c>
      <c r="N882" s="442" cm="1">
        <f t="array" ref="N882">IF(TRIM(K882)="Mano de Obra",IF(Formulario!$L$23&lt;&gt;"",Formulario!$L$23,IFERROR(VLOOKUP(TRIM($M$4),Jornalesdeppto!A:C,3,0),"")),_xlfn.XLOOKUP(1,(Tabla_Costos_Insumos!$A$2:$A$3199=TRIM($M$4))*(Tabla_Costos_Insumos!$C$2:$C$3199=TRIM(K882)),Tabla_Costos_Insumos!$E$2:$E$3199,"",0))</f>
        <v>34056.25</v>
      </c>
      <c r="O882" s="442">
        <f t="shared" si="214"/>
        <v>68112.5</v>
      </c>
      <c r="P882" s="212" t="str">
        <f t="shared" si="213"/>
        <v>Caña_Azucar Criolla</v>
      </c>
      <c r="Q882" s="212"/>
      <c r="R882" s="212"/>
      <c r="S882" s="212"/>
      <c r="T882" s="212"/>
      <c r="U882" s="212"/>
      <c r="V882" s="212"/>
      <c r="W882" s="212"/>
      <c r="X882" s="214"/>
    </row>
    <row r="883" spans="1:24" ht="15">
      <c r="A883" s="211" t="s">
        <v>4604</v>
      </c>
      <c r="B883" s="225" t="s">
        <v>4056</v>
      </c>
      <c r="C883" s="216" t="s">
        <v>53</v>
      </c>
      <c r="D883" s="216" t="s">
        <v>145</v>
      </c>
      <c r="E883" s="216" t="s">
        <v>146</v>
      </c>
      <c r="F883" s="216" t="s">
        <v>167</v>
      </c>
      <c r="G883" s="216" t="s">
        <v>118</v>
      </c>
      <c r="H883" s="216" t="s">
        <v>178</v>
      </c>
      <c r="I883" s="216" t="s">
        <v>179</v>
      </c>
      <c r="J883" s="216" t="s">
        <v>180</v>
      </c>
      <c r="K883" s="223" t="s">
        <v>4226</v>
      </c>
      <c r="L883" s="216" t="s">
        <v>172</v>
      </c>
      <c r="M883" s="217">
        <v>2</v>
      </c>
      <c r="N883" s="442" cm="1">
        <f t="array" ref="N883">IF(TRIM(K883)="Mano de Obra",IF(Formulario!$L$23&lt;&gt;"",Formulario!$L$23,IFERROR(VLOOKUP(TRIM($M$4),Jornalesdeppto!A:C,3,0),"")),_xlfn.XLOOKUP(1,(Tabla_Costos_Insumos!$A$2:$A$3199=TRIM($M$4))*(Tabla_Costos_Insumos!$C$2:$C$3199=TRIM(K883)),Tabla_Costos_Insumos!$E$2:$E$3199,"",0))</f>
        <v>60000</v>
      </c>
      <c r="O883" s="442">
        <f t="shared" si="214"/>
        <v>120000</v>
      </c>
      <c r="P883" s="212" t="str">
        <f t="shared" si="213"/>
        <v>Caña_Azucar Criolla</v>
      </c>
      <c r="Q883" s="212"/>
      <c r="R883" s="212"/>
      <c r="S883" s="212"/>
      <c r="T883" s="212"/>
      <c r="U883" s="212"/>
      <c r="V883" s="212"/>
      <c r="W883" s="212"/>
      <c r="X883" s="214"/>
    </row>
    <row r="884" spans="1:24" ht="15">
      <c r="A884" s="211" t="s">
        <v>4604</v>
      </c>
      <c r="B884" s="225" t="s">
        <v>4056</v>
      </c>
      <c r="C884" s="216" t="s">
        <v>53</v>
      </c>
      <c r="D884" s="216" t="s">
        <v>145</v>
      </c>
      <c r="E884" s="216" t="s">
        <v>146</v>
      </c>
      <c r="F884" s="216" t="s">
        <v>183</v>
      </c>
      <c r="G884" s="216" t="s">
        <v>184</v>
      </c>
      <c r="H884" s="216" t="s">
        <v>185</v>
      </c>
      <c r="I884" s="216" t="s">
        <v>186</v>
      </c>
      <c r="J884" s="216" t="s">
        <v>105</v>
      </c>
      <c r="K884" s="216" t="s">
        <v>187</v>
      </c>
      <c r="L884" s="216" t="s">
        <v>188</v>
      </c>
      <c r="M884" s="217">
        <v>0.1</v>
      </c>
      <c r="N884" s="442" cm="1">
        <f t="array" ref="N884">IF(TRIM(K884)="Mano de Obra",IF(Formulario!$L$23&lt;&gt;"",Formulario!$L$23,IFERROR(VLOOKUP(TRIM($M$4),Jornalesdeppto!A:C,3,0),"")),_xlfn.XLOOKUP(1,(Tabla_Costos_Insumos!$A$2:$A$3199=TRIM($M$4))*(Tabla_Costos_Insumos!$C$2:$C$3199=TRIM(K884)),Tabla_Costos_Insumos!$E$2:$E$3199,"",0))</f>
        <v>175000</v>
      </c>
      <c r="O884" s="442">
        <f t="shared" si="214"/>
        <v>17500</v>
      </c>
      <c r="P884" s="212" t="str">
        <f t="shared" si="213"/>
        <v>Caña_Azucar Criolla</v>
      </c>
      <c r="Q884" s="212"/>
      <c r="R884" s="212"/>
      <c r="S884" s="212"/>
      <c r="T884" s="212"/>
      <c r="U884" s="212"/>
      <c r="V884" s="212"/>
      <c r="W884" s="212"/>
      <c r="X884" s="214"/>
    </row>
    <row r="885" spans="1:24" ht="15">
      <c r="A885" s="211" t="s">
        <v>4604</v>
      </c>
      <c r="B885" s="225" t="s">
        <v>4056</v>
      </c>
      <c r="C885" s="216" t="s">
        <v>53</v>
      </c>
      <c r="D885" s="216" t="s">
        <v>189</v>
      </c>
      <c r="E885" s="216" t="s">
        <v>190</v>
      </c>
      <c r="F885" s="216" t="s">
        <v>191</v>
      </c>
      <c r="G885" s="216" t="s">
        <v>192</v>
      </c>
      <c r="H885" s="216" t="s">
        <v>193</v>
      </c>
      <c r="I885" s="216" t="s">
        <v>194</v>
      </c>
      <c r="J885" s="216" t="s">
        <v>195</v>
      </c>
      <c r="K885" s="216" t="s">
        <v>196</v>
      </c>
      <c r="L885" s="216" t="s">
        <v>197</v>
      </c>
      <c r="M885" s="217">
        <v>1</v>
      </c>
      <c r="N885" s="442">
        <f>IFERROR(SUM(O867:$O$884)*0.08,0)</f>
        <v>319524.13784511818</v>
      </c>
      <c r="O885" s="442">
        <f t="shared" si="214"/>
        <v>319524.13784511818</v>
      </c>
      <c r="P885" s="212" t="str">
        <f t="shared" si="213"/>
        <v>Caña_Azucar Criolla</v>
      </c>
      <c r="Q885" s="212"/>
      <c r="R885" s="212"/>
      <c r="S885" s="212"/>
      <c r="T885" s="212"/>
      <c r="U885" s="212"/>
      <c r="V885" s="212"/>
      <c r="W885" s="212"/>
      <c r="X885" s="214"/>
    </row>
    <row r="886" spans="1:24" ht="15">
      <c r="A886" s="211" t="s">
        <v>4604</v>
      </c>
      <c r="B886" s="225" t="s">
        <v>4056</v>
      </c>
      <c r="C886" s="216" t="s">
        <v>53</v>
      </c>
      <c r="D886" s="216" t="s">
        <v>189</v>
      </c>
      <c r="E886" s="216" t="s">
        <v>190</v>
      </c>
      <c r="F886" s="216" t="s">
        <v>198</v>
      </c>
      <c r="G886" s="216" t="s">
        <v>199</v>
      </c>
      <c r="H886" s="216" t="s">
        <v>200</v>
      </c>
      <c r="I886" s="216" t="s">
        <v>201</v>
      </c>
      <c r="J886" s="216" t="s">
        <v>105</v>
      </c>
      <c r="K886" s="216" t="s">
        <v>202</v>
      </c>
      <c r="L886" s="216" t="s">
        <v>203</v>
      </c>
      <c r="M886" s="217">
        <v>1</v>
      </c>
      <c r="N886" s="442" cm="1">
        <f t="array" ref="N886">IF(TRIM(K886)="Mano de Obra",IF(Formulario!$L$23&lt;&gt;"",Formulario!$L$23,IFERROR(VLOOKUP(TRIM($M$4),Jornalesdeppto!A:C,3,0),"")),_xlfn.XLOOKUP(1,(Tabla_Costos_Insumos!$A$2:$A$3199=TRIM($M$4))*(Tabla_Costos_Insumos!$C$2:$C$3199=TRIM(K886)),Tabla_Costos_Insumos!$E$2:$E$3199,"",0))</f>
        <v>120000</v>
      </c>
      <c r="O886" s="442">
        <f t="shared" si="214"/>
        <v>120000</v>
      </c>
      <c r="P886" s="212" t="str">
        <f t="shared" si="213"/>
        <v>Caña_Azucar Criolla</v>
      </c>
      <c r="Q886" s="212"/>
      <c r="R886" s="212"/>
      <c r="S886" s="212"/>
      <c r="T886" s="212"/>
      <c r="U886" s="212"/>
      <c r="V886" s="212"/>
      <c r="W886" s="212"/>
      <c r="X886" s="214"/>
    </row>
    <row r="887" spans="1:24" ht="15">
      <c r="A887" s="211" t="s">
        <v>4604</v>
      </c>
      <c r="B887" s="225" t="s">
        <v>4056</v>
      </c>
      <c r="C887" s="216" t="s">
        <v>53</v>
      </c>
      <c r="D887" s="216" t="s">
        <v>189</v>
      </c>
      <c r="E887" s="216" t="s">
        <v>190</v>
      </c>
      <c r="F887" s="216" t="s">
        <v>204</v>
      </c>
      <c r="G887" s="216" t="s">
        <v>205</v>
      </c>
      <c r="H887" s="216" t="s">
        <v>206</v>
      </c>
      <c r="I887" s="216" t="s">
        <v>207</v>
      </c>
      <c r="J887" s="216" t="s">
        <v>208</v>
      </c>
      <c r="K887" s="216" t="s">
        <v>228</v>
      </c>
      <c r="L887" s="216" t="s">
        <v>197</v>
      </c>
      <c r="M887" s="217">
        <v>1</v>
      </c>
      <c r="N887" s="442">
        <f>$J$4</f>
        <v>500000</v>
      </c>
      <c r="O887" s="442">
        <f t="shared" si="214"/>
        <v>500000</v>
      </c>
      <c r="P887" s="212" t="str">
        <f t="shared" ref="P887:P950" si="216">CONCATENATE(A887," ",B887)</f>
        <v>Caña_Azucar Criolla</v>
      </c>
      <c r="Q887" s="212"/>
      <c r="R887" s="212"/>
      <c r="S887" s="212"/>
      <c r="T887" s="212"/>
      <c r="U887" s="212"/>
      <c r="V887" s="212"/>
      <c r="W887" s="212"/>
      <c r="X887" s="214"/>
    </row>
    <row r="888" spans="1:24" ht="15">
      <c r="A888" s="211" t="s">
        <v>4604</v>
      </c>
      <c r="B888" s="225" t="s">
        <v>4058</v>
      </c>
      <c r="C888" s="216" t="s">
        <v>53</v>
      </c>
      <c r="D888" s="216" t="s">
        <v>99</v>
      </c>
      <c r="E888" s="216" t="s">
        <v>100</v>
      </c>
      <c r="F888" s="216" t="s">
        <v>101</v>
      </c>
      <c r="G888" s="216" t="s">
        <v>102</v>
      </c>
      <c r="H888" s="216" t="s">
        <v>278</v>
      </c>
      <c r="I888" s="216" t="s">
        <v>279</v>
      </c>
      <c r="J888" s="216" t="s">
        <v>280</v>
      </c>
      <c r="K888" s="216" t="s">
        <v>279</v>
      </c>
      <c r="L888" s="216" t="s">
        <v>281</v>
      </c>
      <c r="M888" s="217">
        <v>4</v>
      </c>
      <c r="N888" s="442">
        <v>74244</v>
      </c>
      <c r="O888" s="442">
        <f t="shared" si="214"/>
        <v>296976</v>
      </c>
      <c r="P888" s="212" t="str">
        <f t="shared" si="216"/>
        <v>Caña_Azucar POJ 2878</v>
      </c>
      <c r="Q888" s="212"/>
      <c r="R888" s="212"/>
      <c r="S888" s="212"/>
      <c r="T888" s="212"/>
      <c r="U888" s="212"/>
      <c r="V888" s="212"/>
      <c r="W888" s="212"/>
      <c r="X888" s="214"/>
    </row>
    <row r="889" spans="1:24" ht="15">
      <c r="A889" s="211" t="s">
        <v>4604</v>
      </c>
      <c r="B889" s="225" t="s">
        <v>4058</v>
      </c>
      <c r="C889" s="216" t="s">
        <v>53</v>
      </c>
      <c r="D889" s="216" t="s">
        <v>99</v>
      </c>
      <c r="E889" s="216" t="s">
        <v>100</v>
      </c>
      <c r="F889" s="216" t="s">
        <v>101</v>
      </c>
      <c r="G889" s="216" t="s">
        <v>102</v>
      </c>
      <c r="H889" s="216" t="s">
        <v>3808</v>
      </c>
      <c r="I889" s="216" t="s">
        <v>3809</v>
      </c>
      <c r="J889" s="216" t="s">
        <v>280</v>
      </c>
      <c r="K889" s="216" t="s">
        <v>4119</v>
      </c>
      <c r="L889" s="216" t="s">
        <v>281</v>
      </c>
      <c r="M889" s="217">
        <v>2</v>
      </c>
      <c r="N889" s="442">
        <v>74244</v>
      </c>
      <c r="O889" s="442">
        <f t="shared" si="214"/>
        <v>148488</v>
      </c>
      <c r="P889" s="212" t="str">
        <f t="shared" si="216"/>
        <v>Caña_Azucar POJ 2878</v>
      </c>
      <c r="Q889" s="212"/>
      <c r="R889" s="212"/>
      <c r="S889" s="212"/>
      <c r="T889" s="212"/>
      <c r="U889" s="212"/>
      <c r="V889" s="212"/>
      <c r="W889" s="212"/>
      <c r="X889" s="214"/>
    </row>
    <row r="890" spans="1:24" ht="15">
      <c r="A890" s="211" t="s">
        <v>4604</v>
      </c>
      <c r="B890" s="225" t="s">
        <v>4058</v>
      </c>
      <c r="C890" s="216" t="s">
        <v>53</v>
      </c>
      <c r="D890" s="216" t="s">
        <v>99</v>
      </c>
      <c r="E890" s="216" t="s">
        <v>100</v>
      </c>
      <c r="F890" s="216" t="s">
        <v>101</v>
      </c>
      <c r="G890" s="216" t="s">
        <v>102</v>
      </c>
      <c r="H890" s="216" t="s">
        <v>103</v>
      </c>
      <c r="I890" s="216" t="s">
        <v>104</v>
      </c>
      <c r="J890" s="216" t="s">
        <v>105</v>
      </c>
      <c r="K890" s="216" t="s">
        <v>106</v>
      </c>
      <c r="L890" s="216" t="s">
        <v>107</v>
      </c>
      <c r="M890" s="217">
        <f>IF(W890&lt;&gt;"", W890, ROUNDUP(X890*T890, 0))</f>
        <v>21</v>
      </c>
      <c r="N890" s="442" cm="1">
        <f t="array" ref="N890">IF(TRIM(K890)="Mano de Obra",IF(Formulario!$L$23&lt;&gt;"",Formulario!$L$23,IFERROR(VLOOKUP(TRIM($M$4),Jornalesdeppto!A:C,3,0),"")),_xlfn.XLOOKUP(1,(Tabla_Costos_Insumos!$A$2:$A$3199=TRIM($M$4))*(Tabla_Costos_Insumos!$C$2:$C$3199=TRIM(K890)),Tabla_Costos_Insumos!$E$2:$E$3199,"",0))</f>
        <v>46666.666666666664</v>
      </c>
      <c r="O890" s="442">
        <f t="shared" si="214"/>
        <v>980000</v>
      </c>
      <c r="P890" s="212" t="str">
        <f t="shared" si="216"/>
        <v>Caña_Azucar POJ 2878</v>
      </c>
      <c r="Q890" s="212"/>
      <c r="R890" s="212"/>
      <c r="S890" s="212"/>
      <c r="T890" s="212" cm="1">
        <f t="array" ref="T890">_xlfn.IFS($D$5&lt;=7, 1.1, $D$5&lt;=12,1.2, $D$5&lt;=25, 1.3, $D$5&gt;25,1.4)</f>
        <v>1.3</v>
      </c>
      <c r="U890" s="212"/>
      <c r="V890" s="212"/>
      <c r="W890" s="212"/>
      <c r="X890" s="214">
        <v>16</v>
      </c>
    </row>
    <row r="891" spans="1:24" ht="15">
      <c r="A891" s="211" t="s">
        <v>4604</v>
      </c>
      <c r="B891" s="225" t="s">
        <v>4058</v>
      </c>
      <c r="C891" s="216" t="s">
        <v>53</v>
      </c>
      <c r="D891" s="216" t="s">
        <v>99</v>
      </c>
      <c r="E891" s="216" t="s">
        <v>100</v>
      </c>
      <c r="F891" s="216" t="s">
        <v>101</v>
      </c>
      <c r="G891" s="216" t="s">
        <v>102</v>
      </c>
      <c r="H891" s="216" t="s">
        <v>282</v>
      </c>
      <c r="I891" s="216" t="s">
        <v>283</v>
      </c>
      <c r="J891" s="216" t="s">
        <v>280</v>
      </c>
      <c r="K891" s="216" t="s">
        <v>284</v>
      </c>
      <c r="L891" s="216" t="s">
        <v>281</v>
      </c>
      <c r="M891" s="217">
        <v>2</v>
      </c>
      <c r="N891" s="442">
        <v>73054</v>
      </c>
      <c r="O891" s="442">
        <f t="shared" si="214"/>
        <v>146108</v>
      </c>
      <c r="P891" s="212" t="str">
        <f t="shared" si="216"/>
        <v>Caña_Azucar POJ 2878</v>
      </c>
      <c r="Q891" s="212"/>
      <c r="R891" s="212"/>
      <c r="S891" s="212"/>
      <c r="T891" s="212"/>
      <c r="U891" s="212"/>
      <c r="V891" s="212"/>
      <c r="W891" s="212"/>
      <c r="X891" s="214"/>
    </row>
    <row r="892" spans="1:24" ht="15">
      <c r="A892" s="211" t="s">
        <v>4604</v>
      </c>
      <c r="B892" s="225" t="s">
        <v>4058</v>
      </c>
      <c r="C892" s="216" t="s">
        <v>53</v>
      </c>
      <c r="D892" s="216" t="s">
        <v>99</v>
      </c>
      <c r="E892" s="216" t="s">
        <v>100</v>
      </c>
      <c r="F892" s="216" t="s">
        <v>109</v>
      </c>
      <c r="G892" s="216" t="s">
        <v>110</v>
      </c>
      <c r="H892" s="216" t="s">
        <v>215</v>
      </c>
      <c r="I892" s="216" t="s">
        <v>216</v>
      </c>
      <c r="J892" s="216" t="s">
        <v>105</v>
      </c>
      <c r="K892" s="216" t="s">
        <v>106</v>
      </c>
      <c r="L892" s="216" t="s">
        <v>107</v>
      </c>
      <c r="M892" s="217">
        <f t="shared" ref="M892:M897" si="217">IF(W892&lt;&gt;"", W892, ROUNDUP(X892*T892, 0))</f>
        <v>3</v>
      </c>
      <c r="N892" s="442" cm="1">
        <f t="array" ref="N892">IF(TRIM(K892)="Mano de Obra",IF(Formulario!$L$23&lt;&gt;"",Formulario!$L$23,IFERROR(VLOOKUP(TRIM($M$4),Jornalesdeppto!A:C,3,0),"")),_xlfn.XLOOKUP(1,(Tabla_Costos_Insumos!$A$2:$A$3199=TRIM($M$4))*(Tabla_Costos_Insumos!$C$2:$C$3199=TRIM(K892)),Tabla_Costos_Insumos!$E$2:$E$3199,"",0))</f>
        <v>46666.666666666664</v>
      </c>
      <c r="O892" s="442">
        <f t="shared" si="214"/>
        <v>140000</v>
      </c>
      <c r="P892" s="212" t="str">
        <f t="shared" si="216"/>
        <v>Caña_Azucar POJ 2878</v>
      </c>
      <c r="Q892" s="212"/>
      <c r="R892" s="212"/>
      <c r="S892" s="212"/>
      <c r="T892" s="212" cm="1">
        <f t="array" ref="T892">_xlfn.IFS($D$5&lt;=7, 1.1, $D$5&lt;=12,1.2, $D$5&lt;=25, 1.3, $D$5&gt;25,1.4)</f>
        <v>1.3</v>
      </c>
      <c r="U892" s="212"/>
      <c r="V892" s="212"/>
      <c r="W892" s="212"/>
      <c r="X892" s="214">
        <v>2</v>
      </c>
    </row>
    <row r="893" spans="1:24" ht="15">
      <c r="A893" s="211" t="s">
        <v>4604</v>
      </c>
      <c r="B893" s="225" t="s">
        <v>4058</v>
      </c>
      <c r="C893" s="216" t="s">
        <v>53</v>
      </c>
      <c r="D893" s="216" t="s">
        <v>99</v>
      </c>
      <c r="E893" s="216" t="s">
        <v>100</v>
      </c>
      <c r="F893" s="216" t="s">
        <v>109</v>
      </c>
      <c r="G893" s="216" t="s">
        <v>110</v>
      </c>
      <c r="H893" s="216" t="s">
        <v>217</v>
      </c>
      <c r="I893" s="216" t="s">
        <v>218</v>
      </c>
      <c r="J893" s="216" t="s">
        <v>105</v>
      </c>
      <c r="K893" s="216" t="s">
        <v>106</v>
      </c>
      <c r="L893" s="216" t="s">
        <v>107</v>
      </c>
      <c r="M893" s="217">
        <f t="shared" si="217"/>
        <v>10</v>
      </c>
      <c r="N893" s="442" cm="1">
        <f t="array" ref="N893">IF(TRIM(K893)="Mano de Obra",IF(Formulario!$L$23&lt;&gt;"",Formulario!$L$23,IFERROR(VLOOKUP(TRIM($M$4),Jornalesdeppto!A:C,3,0),"")),_xlfn.XLOOKUP(1,(Tabla_Costos_Insumos!$A$2:$A$3199=TRIM($M$4))*(Tabla_Costos_Insumos!$C$2:$C$3199=TRIM(K893)),Tabla_Costos_Insumos!$E$2:$E$3199,"",0))</f>
        <v>46666.666666666664</v>
      </c>
      <c r="O893" s="442">
        <f t="shared" si="214"/>
        <v>466666.66666666663</v>
      </c>
      <c r="P893" s="212" t="str">
        <f t="shared" si="216"/>
        <v>Caña_Azucar POJ 2878</v>
      </c>
      <c r="Q893" s="212"/>
      <c r="R893" s="212"/>
      <c r="S893" s="212"/>
      <c r="T893" s="212" cm="1">
        <f t="array" ref="T893">_xlfn.IFS($D$5&lt;=7, 1.1, $D$5&lt;=12,1.2, $D$5&lt;=25, 1.3, $D$5&gt;25,1.4)</f>
        <v>1.3</v>
      </c>
      <c r="U893" s="212"/>
      <c r="V893" s="212"/>
      <c r="W893" s="212"/>
      <c r="X893" s="214">
        <v>7</v>
      </c>
    </row>
    <row r="894" spans="1:24" ht="15">
      <c r="A894" s="211" t="s">
        <v>4604</v>
      </c>
      <c r="B894" s="225" t="s">
        <v>4058</v>
      </c>
      <c r="C894" s="216" t="s">
        <v>53</v>
      </c>
      <c r="D894" s="216" t="s">
        <v>99</v>
      </c>
      <c r="E894" s="216" t="s">
        <v>100</v>
      </c>
      <c r="F894" s="216" t="s">
        <v>117</v>
      </c>
      <c r="G894" s="216" t="s">
        <v>118</v>
      </c>
      <c r="H894" s="216" t="s">
        <v>119</v>
      </c>
      <c r="I894" s="216" t="s">
        <v>120</v>
      </c>
      <c r="J894" s="216" t="s">
        <v>105</v>
      </c>
      <c r="K894" s="216" t="s">
        <v>106</v>
      </c>
      <c r="L894" s="216" t="s">
        <v>107</v>
      </c>
      <c r="M894" s="217">
        <f t="shared" si="217"/>
        <v>3</v>
      </c>
      <c r="N894" s="442" cm="1">
        <f t="array" ref="N894">IF(TRIM(K894)="Mano de Obra",IF(Formulario!$L$23&lt;&gt;"",Formulario!$L$23,IFERROR(VLOOKUP(TRIM($M$4),Jornalesdeppto!A:C,3,0),"")),_xlfn.XLOOKUP(1,(Tabla_Costos_Insumos!$A$2:$A$3199=TRIM($M$4))*(Tabla_Costos_Insumos!$C$2:$C$3199=TRIM(K894)),Tabla_Costos_Insumos!$E$2:$E$3199,"",0))</f>
        <v>46666.666666666664</v>
      </c>
      <c r="O894" s="442">
        <f t="shared" si="214"/>
        <v>140000</v>
      </c>
      <c r="P894" s="212" t="str">
        <f t="shared" si="216"/>
        <v>Caña_Azucar POJ 2878</v>
      </c>
      <c r="Q894" s="212"/>
      <c r="R894" s="212"/>
      <c r="S894" s="212"/>
      <c r="T894" s="212" cm="1">
        <f t="array" ref="T894">_xlfn.IFS($D$5&lt;=7, 1.1, $D$5&lt;=12,1.2, $D$5&lt;=25, 1.3, $D$5&gt;25,1.4)</f>
        <v>1.3</v>
      </c>
      <c r="U894" s="212"/>
      <c r="V894" s="212"/>
      <c r="W894" s="212"/>
      <c r="X894" s="214">
        <v>2</v>
      </c>
    </row>
    <row r="895" spans="1:24" ht="15">
      <c r="A895" s="211" t="s">
        <v>4604</v>
      </c>
      <c r="B895" s="225" t="s">
        <v>4058</v>
      </c>
      <c r="C895" s="216" t="s">
        <v>53</v>
      </c>
      <c r="D895" s="216" t="s">
        <v>99</v>
      </c>
      <c r="E895" s="216" t="s">
        <v>100</v>
      </c>
      <c r="F895" s="216" t="s">
        <v>117</v>
      </c>
      <c r="G895" s="216" t="s">
        <v>118</v>
      </c>
      <c r="H895" s="216" t="s">
        <v>121</v>
      </c>
      <c r="I895" s="216" t="s">
        <v>122</v>
      </c>
      <c r="J895" s="216" t="s">
        <v>105</v>
      </c>
      <c r="K895" s="216" t="s">
        <v>106</v>
      </c>
      <c r="L895" s="216" t="s">
        <v>107</v>
      </c>
      <c r="M895" s="217">
        <f t="shared" si="217"/>
        <v>3</v>
      </c>
      <c r="N895" s="442" cm="1">
        <f t="array" ref="N895">IF(TRIM(K895)="Mano de Obra",IF(Formulario!$L$23&lt;&gt;"",Formulario!$L$23,IFERROR(VLOOKUP(TRIM($M$4),Jornalesdeppto!A:C,3,0),"")),_xlfn.XLOOKUP(1,(Tabla_Costos_Insumos!$A$2:$A$3199=TRIM($M$4))*(Tabla_Costos_Insumos!$C$2:$C$3199=TRIM(K895)),Tabla_Costos_Insumos!$E$2:$E$3199,"",0))</f>
        <v>46666.666666666664</v>
      </c>
      <c r="O895" s="442">
        <f t="shared" si="214"/>
        <v>140000</v>
      </c>
      <c r="P895" s="212" t="str">
        <f t="shared" si="216"/>
        <v>Caña_Azucar POJ 2878</v>
      </c>
      <c r="Q895" s="212"/>
      <c r="R895" s="212"/>
      <c r="S895" s="212"/>
      <c r="T895" s="212" cm="1">
        <f t="array" ref="T895">_xlfn.IFS($D$5&lt;=7, 1.1, $D$5&lt;=12,1.2, $D$5&lt;=25, 1.3, $D$5&gt;25,1.4)</f>
        <v>1.3</v>
      </c>
      <c r="U895" s="212"/>
      <c r="V895" s="212"/>
      <c r="W895" s="212"/>
      <c r="X895" s="214">
        <v>2</v>
      </c>
    </row>
    <row r="896" spans="1:24" ht="15">
      <c r="A896" s="211" t="s">
        <v>4604</v>
      </c>
      <c r="B896" s="225" t="s">
        <v>4058</v>
      </c>
      <c r="C896" s="216" t="s">
        <v>53</v>
      </c>
      <c r="D896" s="216" t="s">
        <v>99</v>
      </c>
      <c r="E896" s="216" t="s">
        <v>100</v>
      </c>
      <c r="F896" s="216" t="s">
        <v>123</v>
      </c>
      <c r="G896" s="216" t="s">
        <v>124</v>
      </c>
      <c r="H896" s="216" t="s">
        <v>125</v>
      </c>
      <c r="I896" s="216" t="s">
        <v>126</v>
      </c>
      <c r="J896" s="216" t="s">
        <v>105</v>
      </c>
      <c r="K896" s="216" t="s">
        <v>106</v>
      </c>
      <c r="L896" s="216" t="s">
        <v>107</v>
      </c>
      <c r="M896" s="217">
        <f t="shared" si="217"/>
        <v>3</v>
      </c>
      <c r="N896" s="442" cm="1">
        <f t="array" ref="N896">IF(TRIM(K896)="Mano de Obra",IF(Formulario!$L$23&lt;&gt;"",Formulario!$L$23,IFERROR(VLOOKUP(TRIM($M$4),Jornalesdeppto!A:C,3,0),"")),_xlfn.XLOOKUP(1,(Tabla_Costos_Insumos!$A$2:$A$3199=TRIM($M$4))*(Tabla_Costos_Insumos!$C$2:$C$3199=TRIM(K896)),Tabla_Costos_Insumos!$E$2:$E$3199,"",0))</f>
        <v>46666.666666666664</v>
      </c>
      <c r="O896" s="442">
        <f t="shared" si="214"/>
        <v>140000</v>
      </c>
      <c r="P896" s="212" t="str">
        <f t="shared" si="216"/>
        <v>Caña_Azucar POJ 2878</v>
      </c>
      <c r="Q896" s="212"/>
      <c r="R896" s="212"/>
      <c r="S896" s="212"/>
      <c r="T896" s="212" cm="1">
        <f t="array" ref="T896">_xlfn.IFS($D$5&lt;=7, 1.1, $D$5&lt;=12,1.2, $D$5&lt;=25, 1.3, $D$5&gt;25,1.4)</f>
        <v>1.3</v>
      </c>
      <c r="U896" s="212"/>
      <c r="V896" s="212"/>
      <c r="W896" s="212"/>
      <c r="X896" s="214">
        <v>2</v>
      </c>
    </row>
    <row r="897" spans="1:24" ht="15">
      <c r="A897" s="211" t="s">
        <v>4604</v>
      </c>
      <c r="B897" s="225" t="s">
        <v>4058</v>
      </c>
      <c r="C897" s="216" t="s">
        <v>53</v>
      </c>
      <c r="D897" s="216" t="s">
        <v>99</v>
      </c>
      <c r="E897" s="216" t="s">
        <v>100</v>
      </c>
      <c r="F897" s="216" t="s">
        <v>123</v>
      </c>
      <c r="G897" s="216" t="s">
        <v>124</v>
      </c>
      <c r="H897" s="216" t="s">
        <v>128</v>
      </c>
      <c r="I897" s="216" t="s">
        <v>129</v>
      </c>
      <c r="J897" s="216" t="s">
        <v>105</v>
      </c>
      <c r="K897" s="216" t="s">
        <v>106</v>
      </c>
      <c r="L897" s="216" t="s">
        <v>107</v>
      </c>
      <c r="M897" s="217">
        <f t="shared" si="217"/>
        <v>3</v>
      </c>
      <c r="N897" s="442" cm="1">
        <f t="array" ref="N897">IF(TRIM(K897)="Mano de Obra",IF(Formulario!$L$23&lt;&gt;"",Formulario!$L$23,IFERROR(VLOOKUP(TRIM($M$4),Jornalesdeppto!A:C,3,0),"")),_xlfn.XLOOKUP(1,(Tabla_Costos_Insumos!$A$2:$A$3199=TRIM($M$4))*(Tabla_Costos_Insumos!$C$2:$C$3199=TRIM(K897)),Tabla_Costos_Insumos!$E$2:$E$3199,"",0))</f>
        <v>46666.666666666664</v>
      </c>
      <c r="O897" s="442">
        <f t="shared" si="214"/>
        <v>140000</v>
      </c>
      <c r="P897" s="212" t="str">
        <f t="shared" si="216"/>
        <v>Caña_Azucar POJ 2878</v>
      </c>
      <c r="Q897" s="212"/>
      <c r="R897" s="212"/>
      <c r="S897" s="212"/>
      <c r="T897" s="212" cm="1">
        <f t="array" ref="T897">_xlfn.IFS($D$5&lt;=7, 1.1, $D$5&lt;=12,1.2, $D$5&lt;=25, 1.3, $D$5&gt;25,1.4)</f>
        <v>1.3</v>
      </c>
      <c r="U897" s="212"/>
      <c r="V897" s="212"/>
      <c r="W897" s="212"/>
      <c r="X897" s="214">
        <v>2</v>
      </c>
    </row>
    <row r="898" spans="1:24" ht="15">
      <c r="A898" s="211" t="s">
        <v>4604</v>
      </c>
      <c r="B898" s="225" t="s">
        <v>4058</v>
      </c>
      <c r="C898" s="216" t="s">
        <v>53</v>
      </c>
      <c r="D898" s="216" t="s">
        <v>145</v>
      </c>
      <c r="E898" s="216" t="s">
        <v>146</v>
      </c>
      <c r="F898" s="216" t="s">
        <v>219</v>
      </c>
      <c r="G898" s="216" t="s">
        <v>220</v>
      </c>
      <c r="H898" s="216" t="s">
        <v>221</v>
      </c>
      <c r="I898" s="216" t="s">
        <v>222</v>
      </c>
      <c r="J898" s="216" t="s">
        <v>223</v>
      </c>
      <c r="K898" s="216" t="s">
        <v>4124</v>
      </c>
      <c r="L898" s="216" t="s">
        <v>4122</v>
      </c>
      <c r="M898" s="217">
        <v>1038</v>
      </c>
      <c r="N898" s="442">
        <v>1420</v>
      </c>
      <c r="O898" s="442">
        <f t="shared" si="214"/>
        <v>1473960</v>
      </c>
      <c r="P898" s="212" t="str">
        <f t="shared" si="216"/>
        <v>Caña_Azucar POJ 2878</v>
      </c>
      <c r="Q898" s="212"/>
      <c r="R898" s="212"/>
      <c r="S898" s="212"/>
      <c r="T898" s="212"/>
      <c r="U898" s="212"/>
      <c r="V898" s="212"/>
      <c r="W898" s="212"/>
      <c r="X898" s="214"/>
    </row>
    <row r="899" spans="1:24" ht="15">
      <c r="A899" s="211" t="s">
        <v>4604</v>
      </c>
      <c r="B899" s="225" t="s">
        <v>4058</v>
      </c>
      <c r="C899" s="216" t="s">
        <v>53</v>
      </c>
      <c r="D899" s="216" t="s">
        <v>145</v>
      </c>
      <c r="E899" s="216" t="s">
        <v>146</v>
      </c>
      <c r="F899" s="216" t="s">
        <v>147</v>
      </c>
      <c r="G899" s="216" t="s">
        <v>131</v>
      </c>
      <c r="H899" s="216" t="s">
        <v>152</v>
      </c>
      <c r="I899" s="216" t="s">
        <v>4143</v>
      </c>
      <c r="J899" s="216" t="s">
        <v>149</v>
      </c>
      <c r="K899" s="216" t="s">
        <v>150</v>
      </c>
      <c r="L899" s="216" t="s">
        <v>151</v>
      </c>
      <c r="M899" s="217">
        <v>4</v>
      </c>
      <c r="N899" s="442" cm="1">
        <f t="array" ref="N899">IF(TRIM(K899)="Mano de Obra",IF(Formulario!$L$23&lt;&gt;"",Formulario!$L$23,IFERROR(VLOOKUP(TRIM($M$4),Jornalesdeppto!A:C,3,0),"")),_xlfn.XLOOKUP(1,(Tabla_Costos_Insumos!$A$2:$A$3199=TRIM($M$4))*(Tabla_Costos_Insumos!$C$2:$C$3199=TRIM(K899)),Tabla_Costos_Insumos!$E$2:$E$3199,"",0))</f>
        <v>198055.68333333</v>
      </c>
      <c r="O899" s="442">
        <f t="shared" si="214"/>
        <v>792222.73333332001</v>
      </c>
      <c r="P899" s="212" t="str">
        <f t="shared" si="216"/>
        <v>Caña_Azucar POJ 2878</v>
      </c>
      <c r="Q899" s="212"/>
      <c r="R899" s="212"/>
      <c r="S899" s="212"/>
      <c r="T899" s="212"/>
      <c r="U899" s="212"/>
      <c r="V899" s="212"/>
      <c r="W899" s="212"/>
      <c r="X899" s="214"/>
    </row>
    <row r="900" spans="1:24" ht="15">
      <c r="A900" s="211" t="s">
        <v>4604</v>
      </c>
      <c r="B900" s="225" t="s">
        <v>4058</v>
      </c>
      <c r="C900" s="216" t="s">
        <v>53</v>
      </c>
      <c r="D900" s="216" t="s">
        <v>145</v>
      </c>
      <c r="E900" s="216" t="s">
        <v>146</v>
      </c>
      <c r="F900" s="216" t="s">
        <v>147</v>
      </c>
      <c r="G900" s="216" t="s">
        <v>131</v>
      </c>
      <c r="H900" s="216" t="s">
        <v>154</v>
      </c>
      <c r="I900" s="216" t="s">
        <v>155</v>
      </c>
      <c r="J900" s="216" t="s">
        <v>149</v>
      </c>
      <c r="K900" s="216" t="s">
        <v>156</v>
      </c>
      <c r="L900" s="216" t="s">
        <v>151</v>
      </c>
      <c r="M900" s="217">
        <v>4</v>
      </c>
      <c r="N900" s="442" cm="1">
        <f t="array" ref="N900">IF(TRIM(K900)="Mano de Obra",IF(Formulario!$L$23&lt;&gt;"",Formulario!$L$23,IFERROR(VLOOKUP(TRIM($M$4),Jornalesdeppto!A:C,3,0),"")),_xlfn.XLOOKUP(1,(Tabla_Costos_Insumos!$A$2:$A$3199=TRIM($M$4))*(Tabla_Costos_Insumos!$C$2:$C$3199=TRIM(K900)),Tabla_Costos_Insumos!$E$2:$E$3199,"",0))</f>
        <v>17212.5</v>
      </c>
      <c r="O900" s="442">
        <f t="shared" si="214"/>
        <v>68850</v>
      </c>
      <c r="P900" s="212" t="str">
        <f t="shared" si="216"/>
        <v>Caña_Azucar POJ 2878</v>
      </c>
      <c r="Q900" s="212"/>
      <c r="R900" s="212"/>
      <c r="S900" s="212"/>
      <c r="T900" s="212"/>
      <c r="U900" s="212"/>
      <c r="V900" s="212"/>
      <c r="W900" s="212"/>
      <c r="X900" s="214"/>
    </row>
    <row r="901" spans="1:24" ht="15">
      <c r="A901" s="211" t="s">
        <v>4604</v>
      </c>
      <c r="B901" s="225" t="s">
        <v>4058</v>
      </c>
      <c r="C901" s="216" t="s">
        <v>53</v>
      </c>
      <c r="D901" s="216" t="s">
        <v>145</v>
      </c>
      <c r="E901" s="216" t="s">
        <v>146</v>
      </c>
      <c r="F901" s="216" t="s">
        <v>147</v>
      </c>
      <c r="G901" s="216" t="s">
        <v>131</v>
      </c>
      <c r="H901" s="216" t="s">
        <v>161</v>
      </c>
      <c r="I901" s="216" t="s">
        <v>162</v>
      </c>
      <c r="J901" s="216" t="s">
        <v>149</v>
      </c>
      <c r="K901" s="216" t="s">
        <v>163</v>
      </c>
      <c r="L901" s="216" t="s">
        <v>164</v>
      </c>
      <c r="M901" s="217">
        <v>2</v>
      </c>
      <c r="N901" s="442" cm="1">
        <f t="array" ref="N901">IF(TRIM(K901)="Mano de Obra",IF(Formulario!$L$23&lt;&gt;"",Formulario!$L$23,IFERROR(VLOOKUP(TRIM($M$4),Jornalesdeppto!A:C,3,0),"")),_xlfn.XLOOKUP(1,(Tabla_Costos_Insumos!$A$2:$A$3199=TRIM($M$4))*(Tabla_Costos_Insumos!$C$2:$C$3199=TRIM(K901)),Tabla_Costos_Insumos!$E$2:$E$3199,"",0))</f>
        <v>128084.44444445</v>
      </c>
      <c r="O901" s="442">
        <f t="shared" si="214"/>
        <v>256168.88888889999</v>
      </c>
      <c r="P901" s="212" t="str">
        <f t="shared" si="216"/>
        <v>Caña_Azucar POJ 2878</v>
      </c>
      <c r="Q901" s="212"/>
      <c r="R901" s="212"/>
      <c r="S901" s="212"/>
      <c r="T901" s="212"/>
      <c r="U901" s="212"/>
      <c r="V901" s="212"/>
      <c r="W901" s="212"/>
      <c r="X901" s="214"/>
    </row>
    <row r="902" spans="1:24" ht="15">
      <c r="A902" s="211" t="s">
        <v>4604</v>
      </c>
      <c r="B902" s="225" t="s">
        <v>4058</v>
      </c>
      <c r="C902" s="216" t="s">
        <v>53</v>
      </c>
      <c r="D902" s="216" t="s">
        <v>145</v>
      </c>
      <c r="E902" s="216" t="s">
        <v>146</v>
      </c>
      <c r="F902" s="216" t="s">
        <v>147</v>
      </c>
      <c r="G902" s="216" t="s">
        <v>131</v>
      </c>
      <c r="H902" s="216" t="s">
        <v>165</v>
      </c>
      <c r="I902" s="216" t="s">
        <v>153</v>
      </c>
      <c r="J902" s="216" t="s">
        <v>149</v>
      </c>
      <c r="K902" s="216" t="s">
        <v>4110</v>
      </c>
      <c r="L902" s="216" t="s">
        <v>151</v>
      </c>
      <c r="M902" s="217">
        <v>2</v>
      </c>
      <c r="N902" s="442" cm="1">
        <f t="array" ref="N902">IF(TRIM(K902)="Mano de Obra",IF(Formulario!$L$23&lt;&gt;"",Formulario!$L$23,IFERROR(VLOOKUP(TRIM($M$4),Jornalesdeppto!A:C,3,0),"")),_xlfn.XLOOKUP(1,(Tabla_Costos_Insumos!$A$2:$A$3199=TRIM($M$4))*(Tabla_Costos_Insumos!$C$2:$C$3199=TRIM(K902)),Tabla_Costos_Insumos!$E$2:$E$3199,"",0))</f>
        <v>125849.2424242409</v>
      </c>
      <c r="O902" s="442">
        <f t="shared" si="214"/>
        <v>251698.48484848181</v>
      </c>
      <c r="P902" s="212" t="str">
        <f t="shared" si="216"/>
        <v>Caña_Azucar POJ 2878</v>
      </c>
      <c r="Q902" s="212"/>
      <c r="R902" s="212"/>
      <c r="S902" s="212"/>
      <c r="T902" s="212"/>
      <c r="U902" s="212"/>
      <c r="V902" s="212"/>
      <c r="W902" s="212"/>
      <c r="X902" s="214"/>
    </row>
    <row r="903" spans="1:24" ht="15">
      <c r="A903" s="211" t="s">
        <v>4604</v>
      </c>
      <c r="B903" s="225" t="s">
        <v>4058</v>
      </c>
      <c r="C903" s="216" t="s">
        <v>53</v>
      </c>
      <c r="D903" s="216" t="s">
        <v>145</v>
      </c>
      <c r="E903" s="216" t="s">
        <v>146</v>
      </c>
      <c r="F903" s="216" t="s">
        <v>147</v>
      </c>
      <c r="G903" s="216" t="s">
        <v>131</v>
      </c>
      <c r="H903" s="216" t="s">
        <v>165</v>
      </c>
      <c r="I903" s="216" t="s">
        <v>153</v>
      </c>
      <c r="J903" s="216" t="s">
        <v>149</v>
      </c>
      <c r="K903" s="216" t="s">
        <v>166</v>
      </c>
      <c r="L903" s="216" t="s">
        <v>151</v>
      </c>
      <c r="M903" s="217">
        <v>3</v>
      </c>
      <c r="N903" s="442" cm="1">
        <f t="array" ref="N903">IF(TRIM(K903)="Mano de Obra",IF(Formulario!$L$23&lt;&gt;"",Formulario!$L$23,IFERROR(VLOOKUP(TRIM($M$4),Jornalesdeppto!A:C,3,0),"")),_xlfn.XLOOKUP(1,(Tabla_Costos_Insumos!$A$2:$A$3199=TRIM($M$4))*(Tabla_Costos_Insumos!$C$2:$C$3199=TRIM(K903)),Tabla_Costos_Insumos!$E$2:$E$3199,"",0))</f>
        <v>110000</v>
      </c>
      <c r="O903" s="442">
        <f t="shared" si="214"/>
        <v>330000</v>
      </c>
      <c r="P903" s="212" t="str">
        <f t="shared" si="216"/>
        <v>Caña_Azucar POJ 2878</v>
      </c>
      <c r="Q903" s="212"/>
      <c r="R903" s="212"/>
      <c r="S903" s="212"/>
      <c r="T903" s="212"/>
      <c r="U903" s="212"/>
      <c r="V903" s="212"/>
      <c r="W903" s="212"/>
      <c r="X903" s="214"/>
    </row>
    <row r="904" spans="1:24" ht="15">
      <c r="A904" s="211" t="s">
        <v>4604</v>
      </c>
      <c r="B904" s="225" t="s">
        <v>4058</v>
      </c>
      <c r="C904" s="216" t="s">
        <v>53</v>
      </c>
      <c r="D904" s="216" t="s">
        <v>145</v>
      </c>
      <c r="E904" s="216" t="s">
        <v>146</v>
      </c>
      <c r="F904" s="216" t="s">
        <v>167</v>
      </c>
      <c r="G904" s="216" t="s">
        <v>118</v>
      </c>
      <c r="H904" s="216" t="s">
        <v>247</v>
      </c>
      <c r="I904" s="216" t="s">
        <v>248</v>
      </c>
      <c r="J904" s="216" t="s">
        <v>249</v>
      </c>
      <c r="K904" s="223" t="s">
        <v>4226</v>
      </c>
      <c r="L904" s="216" t="s">
        <v>250</v>
      </c>
      <c r="M904" s="217">
        <v>1</v>
      </c>
      <c r="N904" s="442" cm="1">
        <f t="array" ref="N904">IF(TRIM(K904)="Mano de Obra",IF(Formulario!$L$23&lt;&gt;"",Formulario!$L$23,IFERROR(VLOOKUP(TRIM($M$4),Jornalesdeppto!A:C,3,0),"")),_xlfn.XLOOKUP(1,(Tabla_Costos_Insumos!$A$2:$A$3199=TRIM($M$4))*(Tabla_Costos_Insumos!$C$2:$C$3199=TRIM(K904)),Tabla_Costos_Insumos!$E$2:$E$3199,"",0))</f>
        <v>60000</v>
      </c>
      <c r="O904" s="442">
        <f t="shared" si="214"/>
        <v>60000</v>
      </c>
      <c r="P904" s="212" t="str">
        <f t="shared" si="216"/>
        <v>Caña_Azucar POJ 2878</v>
      </c>
      <c r="Q904" s="212"/>
      <c r="R904" s="212"/>
      <c r="S904" s="212"/>
      <c r="T904" s="212"/>
      <c r="U904" s="212"/>
      <c r="V904" s="212"/>
      <c r="W904" s="212"/>
      <c r="X904" s="214"/>
    </row>
    <row r="905" spans="1:24" ht="15">
      <c r="A905" s="211" t="s">
        <v>4604</v>
      </c>
      <c r="B905" s="225" t="s">
        <v>4058</v>
      </c>
      <c r="C905" s="216" t="s">
        <v>53</v>
      </c>
      <c r="D905" s="216" t="s">
        <v>145</v>
      </c>
      <c r="E905" s="216" t="s">
        <v>146</v>
      </c>
      <c r="F905" s="216" t="s">
        <v>167</v>
      </c>
      <c r="G905" s="216" t="s">
        <v>118</v>
      </c>
      <c r="H905" s="216" t="s">
        <v>168</v>
      </c>
      <c r="I905" s="216" t="s">
        <v>169</v>
      </c>
      <c r="J905" s="216" t="s">
        <v>170</v>
      </c>
      <c r="K905" s="216" t="s">
        <v>256</v>
      </c>
      <c r="L905" s="216" t="s">
        <v>172</v>
      </c>
      <c r="M905" s="217">
        <v>4</v>
      </c>
      <c r="N905" s="442" cm="1">
        <f t="array" ref="N905">IF(TRIM(K905)="Mano de Obra",IF(Formulario!$L$23&lt;&gt;"",Formulario!$L$23,IFERROR(VLOOKUP(TRIM($M$4),Jornalesdeppto!A:C,3,0),"")),_xlfn.XLOOKUP(1,(Tabla_Costos_Insumos!$A$2:$A$3199=TRIM($M$4))*(Tabla_Costos_Insumos!$C$2:$C$3199=TRIM(K905)),Tabla_Costos_Insumos!$E$2:$E$3199,"",0))</f>
        <v>28842.22</v>
      </c>
      <c r="O905" s="442">
        <f t="shared" si="214"/>
        <v>115368.88</v>
      </c>
      <c r="P905" s="212" t="str">
        <f t="shared" si="216"/>
        <v>Caña_Azucar POJ 2878</v>
      </c>
      <c r="Q905" s="212"/>
      <c r="R905" s="212"/>
      <c r="S905" s="212"/>
      <c r="T905" s="212"/>
      <c r="U905" s="212"/>
      <c r="V905" s="212"/>
      <c r="W905" s="212"/>
      <c r="X905" s="214"/>
    </row>
    <row r="906" spans="1:24" ht="15">
      <c r="A906" s="211" t="s">
        <v>4604</v>
      </c>
      <c r="B906" s="225" t="s">
        <v>4058</v>
      </c>
      <c r="C906" s="216" t="s">
        <v>53</v>
      </c>
      <c r="D906" s="216" t="s">
        <v>145</v>
      </c>
      <c r="E906" s="216" t="s">
        <v>146</v>
      </c>
      <c r="F906" s="216" t="s">
        <v>167</v>
      </c>
      <c r="G906" s="216" t="s">
        <v>118</v>
      </c>
      <c r="H906" s="216" t="s">
        <v>168</v>
      </c>
      <c r="I906" s="216" t="s">
        <v>169</v>
      </c>
      <c r="J906" s="216" t="s">
        <v>170</v>
      </c>
      <c r="K906" s="216" t="s">
        <v>252</v>
      </c>
      <c r="L906" s="216" t="s">
        <v>226</v>
      </c>
      <c r="M906" s="217">
        <v>6</v>
      </c>
      <c r="N906" s="442" cm="1">
        <f t="array" ref="N906">IF(TRIM(K906)="Mano de Obra",IF(Formulario!$L$23&lt;&gt;"",Formulario!$L$23,IFERROR(VLOOKUP(TRIM($M$4),Jornalesdeppto!A:C,3,0),"")),_xlfn.XLOOKUP(1,(Tabla_Costos_Insumos!$A$2:$A$3199=TRIM($M$4))*(Tabla_Costos_Insumos!$C$2:$C$3199=TRIM(K906)),Tabla_Costos_Insumos!$E$2:$E$3199,"",0))</f>
        <v>24440.35</v>
      </c>
      <c r="O906" s="442">
        <f t="shared" ref="O906:O969" si="218">IF(OR(N906=0,N906=""),"",N906*M906)</f>
        <v>146642.09999999998</v>
      </c>
      <c r="P906" s="212" t="str">
        <f t="shared" si="216"/>
        <v>Caña_Azucar POJ 2878</v>
      </c>
      <c r="Q906" s="212"/>
      <c r="R906" s="212"/>
      <c r="S906" s="212"/>
      <c r="T906" s="212"/>
      <c r="U906" s="212"/>
      <c r="V906" s="212"/>
      <c r="W906" s="212"/>
      <c r="X906" s="214"/>
    </row>
    <row r="907" spans="1:24" ht="15">
      <c r="A907" s="211" t="s">
        <v>4604</v>
      </c>
      <c r="B907" s="225" t="s">
        <v>4058</v>
      </c>
      <c r="C907" s="216" t="s">
        <v>53</v>
      </c>
      <c r="D907" s="216" t="s">
        <v>145</v>
      </c>
      <c r="E907" s="216" t="s">
        <v>146</v>
      </c>
      <c r="F907" s="216" t="s">
        <v>167</v>
      </c>
      <c r="G907" s="216" t="s">
        <v>118</v>
      </c>
      <c r="H907" s="216" t="s">
        <v>174</v>
      </c>
      <c r="I907" s="216" t="s">
        <v>175</v>
      </c>
      <c r="J907" s="216" t="s">
        <v>176</v>
      </c>
      <c r="K907" s="216" t="s">
        <v>4112</v>
      </c>
      <c r="L907" s="216" t="s">
        <v>226</v>
      </c>
      <c r="M907" s="217">
        <v>2</v>
      </c>
      <c r="N907" s="442" cm="1">
        <f t="array" ref="N907">IF(TRIM(K907)="Mano de Obra",IF(Formulario!$L$23&lt;&gt;"",Formulario!$L$23,IFERROR(VLOOKUP(TRIM($M$4),Jornalesdeppto!A:C,3,0),"")),_xlfn.XLOOKUP(1,(Tabla_Costos_Insumos!$A$2:$A$3199=TRIM($M$4))*(Tabla_Costos_Insumos!$C$2:$C$3199=TRIM(K907)),Tabla_Costos_Insumos!$E$2:$E$3199,"",0))</f>
        <v>28373.31649831641</v>
      </c>
      <c r="O907" s="442">
        <f t="shared" si="218"/>
        <v>56746.632996632819</v>
      </c>
      <c r="P907" s="212" t="str">
        <f t="shared" si="216"/>
        <v>Caña_Azucar POJ 2878</v>
      </c>
      <c r="Q907" s="212"/>
      <c r="R907" s="212"/>
      <c r="S907" s="212"/>
      <c r="T907" s="212"/>
      <c r="U907" s="212"/>
      <c r="V907" s="212"/>
      <c r="W907" s="212"/>
      <c r="X907" s="214"/>
    </row>
    <row r="908" spans="1:24" ht="15">
      <c r="A908" s="211" t="s">
        <v>4604</v>
      </c>
      <c r="B908" s="225" t="s">
        <v>4058</v>
      </c>
      <c r="C908" s="216" t="s">
        <v>53</v>
      </c>
      <c r="D908" s="216" t="s">
        <v>145</v>
      </c>
      <c r="E908" s="216" t="s">
        <v>146</v>
      </c>
      <c r="F908" s="216" t="s">
        <v>167</v>
      </c>
      <c r="G908" s="216" t="s">
        <v>118</v>
      </c>
      <c r="H908" s="216" t="s">
        <v>178</v>
      </c>
      <c r="I908" s="216" t="s">
        <v>179</v>
      </c>
      <c r="J908" s="216" t="s">
        <v>180</v>
      </c>
      <c r="K908" s="216" t="s">
        <v>181</v>
      </c>
      <c r="L908" s="216" t="s">
        <v>172</v>
      </c>
      <c r="M908" s="217">
        <v>5</v>
      </c>
      <c r="N908" s="442" cm="1">
        <f t="array" ref="N908">IF(TRIM(K908)="Mano de Obra",IF(Formulario!$L$23&lt;&gt;"",Formulario!$L$23,IFERROR(VLOOKUP(TRIM($M$4),Jornalesdeppto!A:C,3,0),"")),_xlfn.XLOOKUP(1,(Tabla_Costos_Insumos!$A$2:$A$3199=TRIM($M$4))*(Tabla_Costos_Insumos!$C$2:$C$3199=TRIM(K908)),Tabla_Costos_Insumos!$E$2:$E$3199,"",0))</f>
        <v>34056.25</v>
      </c>
      <c r="O908" s="442">
        <f t="shared" si="218"/>
        <v>170281.25</v>
      </c>
      <c r="P908" s="212" t="str">
        <f t="shared" si="216"/>
        <v>Caña_Azucar POJ 2878</v>
      </c>
      <c r="Q908" s="212"/>
      <c r="R908" s="212"/>
      <c r="S908" s="212"/>
      <c r="T908" s="212"/>
      <c r="U908" s="212"/>
      <c r="V908" s="212"/>
      <c r="W908" s="212"/>
      <c r="X908" s="214"/>
    </row>
    <row r="909" spans="1:24" ht="15">
      <c r="A909" s="211" t="s">
        <v>4604</v>
      </c>
      <c r="B909" s="225" t="s">
        <v>4058</v>
      </c>
      <c r="C909" s="216" t="s">
        <v>53</v>
      </c>
      <c r="D909" s="216" t="s">
        <v>145</v>
      </c>
      <c r="E909" s="216" t="s">
        <v>146</v>
      </c>
      <c r="F909" s="216" t="s">
        <v>167</v>
      </c>
      <c r="G909" s="216" t="s">
        <v>118</v>
      </c>
      <c r="H909" s="216" t="s">
        <v>178</v>
      </c>
      <c r="I909" s="216" t="s">
        <v>179</v>
      </c>
      <c r="J909" s="216" t="s">
        <v>180</v>
      </c>
      <c r="K909" s="216" t="s">
        <v>4114</v>
      </c>
      <c r="L909" s="216" t="s">
        <v>172</v>
      </c>
      <c r="M909" s="217">
        <v>7</v>
      </c>
      <c r="N909" s="442" cm="1">
        <f t="array" ref="N909">IF(TRIM(K909)="Mano de Obra",IF(Formulario!$L$23&lt;&gt;"",Formulario!$L$23,IFERROR(VLOOKUP(TRIM($M$4),Jornalesdeppto!A:C,3,0),"")),_xlfn.XLOOKUP(1,(Tabla_Costos_Insumos!$A$2:$A$3199=TRIM($M$4))*(Tabla_Costos_Insumos!$C$2:$C$3199=TRIM(K909)),Tabla_Costos_Insumos!$E$2:$E$3199,"",0))</f>
        <v>26447.361111107497</v>
      </c>
      <c r="O909" s="442">
        <f t="shared" si="218"/>
        <v>185131.52777775249</v>
      </c>
      <c r="P909" s="212" t="str">
        <f t="shared" si="216"/>
        <v>Caña_Azucar POJ 2878</v>
      </c>
      <c r="Q909" s="212"/>
      <c r="R909" s="212"/>
      <c r="S909" s="212"/>
      <c r="T909" s="212"/>
      <c r="U909" s="212"/>
      <c r="V909" s="212"/>
      <c r="W909" s="212"/>
      <c r="X909" s="214"/>
    </row>
    <row r="910" spans="1:24" ht="15">
      <c r="A910" s="211" t="s">
        <v>4604</v>
      </c>
      <c r="B910" s="225" t="s">
        <v>4058</v>
      </c>
      <c r="C910" s="216" t="s">
        <v>53</v>
      </c>
      <c r="D910" s="216" t="s">
        <v>145</v>
      </c>
      <c r="E910" s="216" t="s">
        <v>146</v>
      </c>
      <c r="F910" s="216" t="s">
        <v>183</v>
      </c>
      <c r="G910" s="216" t="s">
        <v>184</v>
      </c>
      <c r="H910" s="216" t="s">
        <v>185</v>
      </c>
      <c r="I910" s="216" t="s">
        <v>186</v>
      </c>
      <c r="J910" s="216" t="s">
        <v>105</v>
      </c>
      <c r="K910" s="216" t="s">
        <v>187</v>
      </c>
      <c r="L910" s="216" t="s">
        <v>188</v>
      </c>
      <c r="M910" s="217">
        <v>0.1</v>
      </c>
      <c r="N910" s="442" cm="1">
        <f t="array" ref="N910">IF(TRIM(K910)="Mano de Obra",IF(Formulario!$L$23&lt;&gt;"",Formulario!$L$23,IFERROR(VLOOKUP(TRIM($M$4),Jornalesdeppto!A:C,3,0),"")),_xlfn.XLOOKUP(1,(Tabla_Costos_Insumos!$A$2:$A$3199=TRIM($M$4))*(Tabla_Costos_Insumos!$C$2:$C$3199=TRIM(K910)),Tabla_Costos_Insumos!$E$2:$E$3199,"",0))</f>
        <v>175000</v>
      </c>
      <c r="O910" s="442">
        <f t="shared" si="218"/>
        <v>17500</v>
      </c>
      <c r="P910" s="212" t="str">
        <f t="shared" si="216"/>
        <v>Caña_Azucar POJ 2878</v>
      </c>
      <c r="Q910" s="212"/>
      <c r="R910" s="212"/>
      <c r="S910" s="212"/>
      <c r="T910" s="212"/>
      <c r="U910" s="212"/>
      <c r="V910" s="212"/>
      <c r="W910" s="212"/>
      <c r="X910" s="214"/>
    </row>
    <row r="911" spans="1:24" ht="15">
      <c r="A911" s="211" t="s">
        <v>4604</v>
      </c>
      <c r="B911" s="225" t="s">
        <v>4058</v>
      </c>
      <c r="C911" s="216" t="s">
        <v>53</v>
      </c>
      <c r="D911" s="216" t="s">
        <v>189</v>
      </c>
      <c r="E911" s="216" t="s">
        <v>190</v>
      </c>
      <c r="F911" s="216" t="s">
        <v>191</v>
      </c>
      <c r="G911" s="216" t="s">
        <v>192</v>
      </c>
      <c r="H911" s="216" t="s">
        <v>193</v>
      </c>
      <c r="I911" s="216" t="s">
        <v>194</v>
      </c>
      <c r="J911" s="216" t="s">
        <v>195</v>
      </c>
      <c r="K911" s="216" t="s">
        <v>196</v>
      </c>
      <c r="L911" s="216" t="s">
        <v>197</v>
      </c>
      <c r="M911" s="217">
        <v>1</v>
      </c>
      <c r="N911" s="442">
        <f>IFERROR(SUM(O893:$O$910)*0.08,0)</f>
        <v>396098.97316094028</v>
      </c>
      <c r="O911" s="442">
        <f t="shared" si="218"/>
        <v>396098.97316094028</v>
      </c>
      <c r="P911" s="212" t="str">
        <f t="shared" si="216"/>
        <v>Caña_Azucar POJ 2878</v>
      </c>
      <c r="Q911" s="212"/>
      <c r="R911" s="212"/>
      <c r="S911" s="212"/>
      <c r="T911" s="212"/>
      <c r="U911" s="212"/>
      <c r="V911" s="212"/>
      <c r="W911" s="212"/>
      <c r="X911" s="214"/>
    </row>
    <row r="912" spans="1:24" ht="15">
      <c r="A912" s="211" t="s">
        <v>4604</v>
      </c>
      <c r="B912" s="225" t="s">
        <v>4058</v>
      </c>
      <c r="C912" s="216" t="s">
        <v>53</v>
      </c>
      <c r="D912" s="216" t="s">
        <v>189</v>
      </c>
      <c r="E912" s="216" t="s">
        <v>190</v>
      </c>
      <c r="F912" s="216" t="s">
        <v>198</v>
      </c>
      <c r="G912" s="216" t="s">
        <v>199</v>
      </c>
      <c r="H912" s="216" t="s">
        <v>200</v>
      </c>
      <c r="I912" s="216" t="s">
        <v>201</v>
      </c>
      <c r="J912" s="216" t="s">
        <v>105</v>
      </c>
      <c r="K912" s="216" t="s">
        <v>202</v>
      </c>
      <c r="L912" s="216" t="s">
        <v>203</v>
      </c>
      <c r="M912" s="217">
        <v>1</v>
      </c>
      <c r="N912" s="442" cm="1">
        <f t="array" ref="N912">IF(TRIM(K912)="Mano de Obra",IF(Formulario!$L$23&lt;&gt;"",Formulario!$L$23,IFERROR(VLOOKUP(TRIM($M$4),Jornalesdeppto!A:C,3,0),"")),_xlfn.XLOOKUP(1,(Tabla_Costos_Insumos!$A$2:$A$3199=TRIM($M$4))*(Tabla_Costos_Insumos!$C$2:$C$3199=TRIM(K912)),Tabla_Costos_Insumos!$E$2:$E$3199,"",0))</f>
        <v>120000</v>
      </c>
      <c r="O912" s="442">
        <f t="shared" si="218"/>
        <v>120000</v>
      </c>
      <c r="P912" s="212" t="str">
        <f t="shared" si="216"/>
        <v>Caña_Azucar POJ 2878</v>
      </c>
      <c r="Q912" s="212"/>
      <c r="R912" s="212"/>
      <c r="S912" s="212"/>
      <c r="T912" s="212"/>
      <c r="U912" s="212"/>
      <c r="V912" s="212"/>
      <c r="W912" s="212"/>
      <c r="X912" s="214"/>
    </row>
    <row r="913" spans="1:24" ht="15">
      <c r="A913" s="211" t="s">
        <v>4604</v>
      </c>
      <c r="B913" s="225" t="s">
        <v>4058</v>
      </c>
      <c r="C913" s="216" t="s">
        <v>53</v>
      </c>
      <c r="D913" s="216" t="s">
        <v>189</v>
      </c>
      <c r="E913" s="216" t="s">
        <v>190</v>
      </c>
      <c r="F913" s="216" t="s">
        <v>204</v>
      </c>
      <c r="G913" s="216" t="s">
        <v>205</v>
      </c>
      <c r="H913" s="216" t="s">
        <v>206</v>
      </c>
      <c r="I913" s="216" t="s">
        <v>207</v>
      </c>
      <c r="J913" s="216" t="s">
        <v>208</v>
      </c>
      <c r="K913" s="216" t="s">
        <v>228</v>
      </c>
      <c r="L913" s="216" t="s">
        <v>197</v>
      </c>
      <c r="M913" s="217">
        <v>1</v>
      </c>
      <c r="N913" s="442">
        <f>$J$4</f>
        <v>500000</v>
      </c>
      <c r="O913" s="442">
        <f t="shared" si="218"/>
        <v>500000</v>
      </c>
      <c r="P913" s="212" t="str">
        <f t="shared" si="216"/>
        <v>Caña_Azucar POJ 2878</v>
      </c>
      <c r="Q913" s="212"/>
      <c r="R913" s="212"/>
      <c r="S913" s="212"/>
      <c r="T913" s="212"/>
      <c r="U913" s="212"/>
      <c r="V913" s="212"/>
      <c r="W913" s="212"/>
      <c r="X913" s="214"/>
    </row>
    <row r="914" spans="1:24" ht="15">
      <c r="A914" s="211" t="s">
        <v>4062</v>
      </c>
      <c r="B914" s="225" t="s">
        <v>4063</v>
      </c>
      <c r="C914" s="216" t="s">
        <v>53</v>
      </c>
      <c r="D914" s="216" t="s">
        <v>99</v>
      </c>
      <c r="E914" s="216" t="s">
        <v>100</v>
      </c>
      <c r="F914" s="216" t="s">
        <v>101</v>
      </c>
      <c r="G914" s="216" t="s">
        <v>102</v>
      </c>
      <c r="H914" s="216" t="s">
        <v>209</v>
      </c>
      <c r="I914" s="216" t="s">
        <v>210</v>
      </c>
      <c r="J914" s="216" t="s">
        <v>105</v>
      </c>
      <c r="K914" s="216" t="s">
        <v>106</v>
      </c>
      <c r="L914" s="216" t="s">
        <v>107</v>
      </c>
      <c r="M914" s="217">
        <f t="shared" ref="M914:M926" si="219">IF(W914&lt;&gt;"", W914, ROUNDUP(X914*T914, 0))</f>
        <v>11</v>
      </c>
      <c r="N914" s="442" cm="1">
        <f t="array" ref="N914">IF(TRIM(K914)="Mano de Obra",IF(Formulario!$L$23&lt;&gt;"",Formulario!$L$23,IFERROR(VLOOKUP(TRIM($M$4),Jornalesdeppto!A:C,3,0),"")),_xlfn.XLOOKUP(1,(Tabla_Costos_Insumos!$A$2:$A$3199=TRIM($M$4))*(Tabla_Costos_Insumos!$C$2:$C$3199=TRIM(K914)),Tabla_Costos_Insumos!$E$2:$E$3199,"",0))</f>
        <v>46666.666666666664</v>
      </c>
      <c r="O914" s="442">
        <f t="shared" si="218"/>
        <v>513333.33333333331</v>
      </c>
      <c r="P914" s="212" t="str">
        <f t="shared" si="216"/>
        <v>Naranja Valencia</v>
      </c>
      <c r="Q914" s="212"/>
      <c r="R914" s="212">
        <v>5</v>
      </c>
      <c r="S914" s="212">
        <f>R914*$I$3/480</f>
        <v>16.041666666666668</v>
      </c>
      <c r="T914" s="212" cm="1">
        <f t="array" ref="T914">_xlfn.IFS($D$5&lt;=7, 1.1, $D$5&lt;=12,1.2, $D$5&lt;=25, 1.3, $D$5&gt;25,1.4)</f>
        <v>1.3</v>
      </c>
      <c r="U914" s="212">
        <f t="shared" ref="U914:U926" si="220">IFERROR(S914*T914,"")</f>
        <v>20.854166666666668</v>
      </c>
      <c r="V914" s="212">
        <v>1</v>
      </c>
      <c r="W914" s="212"/>
      <c r="X914" s="214">
        <v>8</v>
      </c>
    </row>
    <row r="915" spans="1:24" ht="15">
      <c r="A915" s="211" t="s">
        <v>4062</v>
      </c>
      <c r="B915" s="225" t="s">
        <v>4063</v>
      </c>
      <c r="C915" s="216" t="s">
        <v>53</v>
      </c>
      <c r="D915" s="216" t="s">
        <v>99</v>
      </c>
      <c r="E915" s="216" t="s">
        <v>100</v>
      </c>
      <c r="F915" s="216" t="s">
        <v>101</v>
      </c>
      <c r="G915" s="216" t="s">
        <v>102</v>
      </c>
      <c r="H915" s="216" t="s">
        <v>103</v>
      </c>
      <c r="I915" s="216" t="s">
        <v>104</v>
      </c>
      <c r="J915" s="216" t="s">
        <v>105</v>
      </c>
      <c r="K915" s="216" t="s">
        <v>106</v>
      </c>
      <c r="L915" s="216" t="s">
        <v>107</v>
      </c>
      <c r="M915" s="217">
        <f t="shared" si="219"/>
        <v>16</v>
      </c>
      <c r="N915" s="442" cm="1">
        <f t="array" ref="N915">IF(TRIM(K915)="Mano de Obra",IF(Formulario!$L$23&lt;&gt;"",Formulario!$L$23,IFERROR(VLOOKUP(TRIM($M$4),Jornalesdeppto!A:C,3,0),"")),_xlfn.XLOOKUP(1,(Tabla_Costos_Insumos!$A$2:$A$3199=TRIM($M$4))*(Tabla_Costos_Insumos!$C$2:$C$3199=TRIM(K915)),Tabla_Costos_Insumos!$E$2:$E$3199,"",0))</f>
        <v>46666.666666666664</v>
      </c>
      <c r="O915" s="442">
        <f t="shared" si="218"/>
        <v>746666.66666666663</v>
      </c>
      <c r="P915" s="212" t="str">
        <f t="shared" si="216"/>
        <v>Naranja Valencia</v>
      </c>
      <c r="Q915" s="212"/>
      <c r="R915" s="212">
        <v>0.5</v>
      </c>
      <c r="S915" s="212">
        <f>R915*$I$3/480</f>
        <v>1.6041666666666667</v>
      </c>
      <c r="T915" s="212" cm="1">
        <f t="array" ref="T915">_xlfn.IFS($D$5&lt;=7, 1.1, $D$5&lt;=12,1.2, $D$5&lt;=25, 1.3, $D$5&gt;25,1.4)</f>
        <v>1.3</v>
      </c>
      <c r="U915" s="212">
        <f t="shared" si="220"/>
        <v>2.0854166666666667</v>
      </c>
      <c r="V915" s="212">
        <v>1</v>
      </c>
      <c r="W915" s="212"/>
      <c r="X915" s="214">
        <v>12</v>
      </c>
    </row>
    <row r="916" spans="1:24" ht="15">
      <c r="A916" s="211" t="s">
        <v>4062</v>
      </c>
      <c r="B916" s="225" t="s">
        <v>4063</v>
      </c>
      <c r="C916" s="216" t="s">
        <v>53</v>
      </c>
      <c r="D916" s="216" t="s">
        <v>99</v>
      </c>
      <c r="E916" s="216" t="s">
        <v>100</v>
      </c>
      <c r="F916" s="216" t="s">
        <v>101</v>
      </c>
      <c r="G916" s="216" t="s">
        <v>102</v>
      </c>
      <c r="H916" s="216" t="s">
        <v>212</v>
      </c>
      <c r="I916" s="216" t="s">
        <v>213</v>
      </c>
      <c r="J916" s="216" t="s">
        <v>105</v>
      </c>
      <c r="K916" s="216" t="s">
        <v>106</v>
      </c>
      <c r="L916" s="216" t="s">
        <v>107</v>
      </c>
      <c r="M916" s="217">
        <f t="shared" si="219"/>
        <v>13</v>
      </c>
      <c r="N916" s="442" cm="1">
        <f t="array" ref="N916">IF(TRIM(K916)="Mano de Obra",IF(Formulario!$L$23&lt;&gt;"",Formulario!$L$23,IFERROR(VLOOKUP(TRIM($M$4),Jornalesdeppto!A:C,3,0),"")),_xlfn.XLOOKUP(1,(Tabla_Costos_Insumos!$A$2:$A$3199=TRIM($M$4))*(Tabla_Costos_Insumos!$C$2:$C$3199=TRIM(K916)),Tabla_Costos_Insumos!$E$2:$E$3199,"",0))</f>
        <v>46666.666666666664</v>
      </c>
      <c r="O916" s="442">
        <f t="shared" si="218"/>
        <v>606666.66666666663</v>
      </c>
      <c r="P916" s="212" t="str">
        <f t="shared" si="216"/>
        <v>Naranja Valencia</v>
      </c>
      <c r="Q916" s="212"/>
      <c r="R916" s="212">
        <v>14</v>
      </c>
      <c r="S916" s="212">
        <f>R916*$I$3/480</f>
        <v>44.916666666666664</v>
      </c>
      <c r="T916" s="212" cm="1">
        <f t="array" ref="T916">_xlfn.IFS($D$5&lt;=7, 1.1, $D$5&lt;=12,1.2, $D$5&lt;=25, 1.3, $D$5&gt;25,1.4)</f>
        <v>1.3</v>
      </c>
      <c r="U916" s="212">
        <f t="shared" si="220"/>
        <v>58.391666666666666</v>
      </c>
      <c r="V916" s="212">
        <v>1</v>
      </c>
      <c r="W916" s="212"/>
      <c r="X916" s="214">
        <v>10</v>
      </c>
    </row>
    <row r="917" spans="1:24" ht="15">
      <c r="A917" s="211" t="s">
        <v>4062</v>
      </c>
      <c r="B917" s="225" t="s">
        <v>4063</v>
      </c>
      <c r="C917" s="216" t="s">
        <v>53</v>
      </c>
      <c r="D917" s="216" t="s">
        <v>99</v>
      </c>
      <c r="E917" s="216" t="s">
        <v>100</v>
      </c>
      <c r="F917" s="216" t="s">
        <v>109</v>
      </c>
      <c r="G917" s="216" t="s">
        <v>110</v>
      </c>
      <c r="H917" s="216" t="s">
        <v>111</v>
      </c>
      <c r="I917" s="216" t="s">
        <v>112</v>
      </c>
      <c r="J917" s="216" t="s">
        <v>105</v>
      </c>
      <c r="K917" s="216" t="s">
        <v>106</v>
      </c>
      <c r="L917" s="216" t="s">
        <v>107</v>
      </c>
      <c r="M917" s="217">
        <f t="shared" si="219"/>
        <v>4</v>
      </c>
      <c r="N917" s="442" cm="1">
        <f t="array" ref="N917">IF(TRIM(K917)="Mano de Obra",IF(Formulario!$L$23&lt;&gt;"",Formulario!$L$23,IFERROR(VLOOKUP(TRIM($M$4),Jornalesdeppto!A:C,3,0),"")),_xlfn.XLOOKUP(1,(Tabla_Costos_Insumos!$A$2:$A$3199=TRIM($M$4))*(Tabla_Costos_Insumos!$C$2:$C$3199=TRIM(K917)),Tabla_Costos_Insumos!$E$2:$E$3199,"",0))</f>
        <v>46666.666666666664</v>
      </c>
      <c r="O917" s="442">
        <f t="shared" si="218"/>
        <v>186666.66666666666</v>
      </c>
      <c r="P917" s="212" t="str">
        <f t="shared" si="216"/>
        <v>Naranja Valencia</v>
      </c>
      <c r="Q917" s="212"/>
      <c r="R917" s="212">
        <v>0.5</v>
      </c>
      <c r="S917" s="212">
        <f>R917*$I$3/480</f>
        <v>1.6041666666666667</v>
      </c>
      <c r="T917" s="212" cm="1">
        <f t="array" ref="T917">_xlfn.IFS($D$5&lt;=7, 1.1, $D$5&lt;=12,1.2, $D$5&lt;=25, 1.3, $D$5&gt;25,1.4)</f>
        <v>1.3</v>
      </c>
      <c r="U917" s="212">
        <f t="shared" si="220"/>
        <v>2.0854166666666667</v>
      </c>
      <c r="V917" s="212">
        <v>4</v>
      </c>
      <c r="W917" s="212"/>
      <c r="X917" s="214">
        <v>3</v>
      </c>
    </row>
    <row r="918" spans="1:24" ht="15">
      <c r="A918" s="211" t="s">
        <v>4062</v>
      </c>
      <c r="B918" s="225" t="s">
        <v>4063</v>
      </c>
      <c r="C918" s="216" t="s">
        <v>53</v>
      </c>
      <c r="D918" s="216" t="s">
        <v>99</v>
      </c>
      <c r="E918" s="216" t="s">
        <v>100</v>
      </c>
      <c r="F918" s="216" t="s">
        <v>109</v>
      </c>
      <c r="G918" s="216" t="s">
        <v>110</v>
      </c>
      <c r="H918" s="216" t="s">
        <v>234</v>
      </c>
      <c r="I918" s="216" t="s">
        <v>235</v>
      </c>
      <c r="J918" s="216" t="s">
        <v>105</v>
      </c>
      <c r="K918" s="216" t="s">
        <v>106</v>
      </c>
      <c r="L918" s="216" t="s">
        <v>107</v>
      </c>
      <c r="M918" s="217">
        <f t="shared" si="219"/>
        <v>6</v>
      </c>
      <c r="N918" s="442" cm="1">
        <f t="array" ref="N918">IF(TRIM(K918)="Mano de Obra",IF(Formulario!$L$23&lt;&gt;"",Formulario!$L$23,IFERROR(VLOOKUP(TRIM($M$4),Jornalesdeppto!A:C,3,0),"")),_xlfn.XLOOKUP(1,(Tabla_Costos_Insumos!$A$2:$A$3199=TRIM($M$4))*(Tabla_Costos_Insumos!$C$2:$C$3199=TRIM(K918)),Tabla_Costos_Insumos!$E$2:$E$3199,"",0))</f>
        <v>46666.666666666664</v>
      </c>
      <c r="O918" s="442">
        <f t="shared" si="218"/>
        <v>280000</v>
      </c>
      <c r="P918" s="212" t="str">
        <f t="shared" si="216"/>
        <v>Naranja Valencia</v>
      </c>
      <c r="Q918" s="212"/>
      <c r="R918" s="212">
        <v>2</v>
      </c>
      <c r="S918" s="212">
        <f>R918*$I$3/480</f>
        <v>6.416666666666667</v>
      </c>
      <c r="T918" s="212" cm="1">
        <f t="array" ref="T918">_xlfn.IFS($D$5&lt;=7, 1.1, $D$5&lt;=12,1.2, $D$5&lt;=25, 1.3, $D$5&gt;25,1.4)</f>
        <v>1.3</v>
      </c>
      <c r="U918" s="212">
        <f t="shared" si="220"/>
        <v>8.3416666666666668</v>
      </c>
      <c r="V918" s="212">
        <v>4</v>
      </c>
      <c r="W918" s="212"/>
      <c r="X918" s="214">
        <v>4</v>
      </c>
    </row>
    <row r="919" spans="1:24" ht="15">
      <c r="A919" s="211" t="s">
        <v>4062</v>
      </c>
      <c r="B919" s="225" t="s">
        <v>4063</v>
      </c>
      <c r="C919" s="216" t="s">
        <v>53</v>
      </c>
      <c r="D919" s="216" t="s">
        <v>99</v>
      </c>
      <c r="E919" s="216" t="s">
        <v>100</v>
      </c>
      <c r="F919" s="216" t="s">
        <v>109</v>
      </c>
      <c r="G919" s="216" t="s">
        <v>110</v>
      </c>
      <c r="H919" s="216" t="s">
        <v>215</v>
      </c>
      <c r="I919" s="216" t="s">
        <v>216</v>
      </c>
      <c r="J919" s="216" t="s">
        <v>105</v>
      </c>
      <c r="K919" s="216" t="s">
        <v>106</v>
      </c>
      <c r="L919" s="216" t="s">
        <v>107</v>
      </c>
      <c r="M919" s="217">
        <f t="shared" si="219"/>
        <v>2</v>
      </c>
      <c r="N919" s="442" cm="1">
        <f t="array" ref="N919">IF(TRIM(K919)="Mano de Obra",IF(Formulario!$L$23&lt;&gt;"",Formulario!$L$23,IFERROR(VLOOKUP(TRIM($M$4),Jornalesdeppto!A:C,3,0),"")),_xlfn.XLOOKUP(1,(Tabla_Costos_Insumos!$A$2:$A$3199=TRIM($M$4))*(Tabla_Costos_Insumos!$C$2:$C$3199=TRIM(K919)),Tabla_Costos_Insumos!$E$2:$E$3199,"",0))</f>
        <v>46666.666666666664</v>
      </c>
      <c r="O919" s="442">
        <f t="shared" si="218"/>
        <v>93333.333333333328</v>
      </c>
      <c r="P919" s="212" t="str">
        <f t="shared" si="216"/>
        <v>Naranja Valencia</v>
      </c>
      <c r="Q919" s="212"/>
      <c r="R919" s="212">
        <v>15</v>
      </c>
      <c r="S919" s="212">
        <f>(R919*$I$3)*0.1/480</f>
        <v>4.8125</v>
      </c>
      <c r="T919" s="212" cm="1">
        <f t="array" ref="T919">_xlfn.IFS($D$5&lt;=7, 1.1, $D$5&lt;=12,1.2, $D$5&lt;=25, 1.3, $D$5&gt;25,1.4)</f>
        <v>1.3</v>
      </c>
      <c r="U919" s="212">
        <f t="shared" si="220"/>
        <v>6.2562500000000005</v>
      </c>
      <c r="V919" s="212">
        <v>1</v>
      </c>
      <c r="W919" s="212"/>
      <c r="X919" s="214">
        <v>1</v>
      </c>
    </row>
    <row r="920" spans="1:24" ht="15">
      <c r="A920" s="211" t="s">
        <v>4062</v>
      </c>
      <c r="B920" s="225" t="s">
        <v>4063</v>
      </c>
      <c r="C920" s="216" t="s">
        <v>53</v>
      </c>
      <c r="D920" s="216" t="s">
        <v>99</v>
      </c>
      <c r="E920" s="216" t="s">
        <v>100</v>
      </c>
      <c r="F920" s="216" t="s">
        <v>109</v>
      </c>
      <c r="G920" s="216" t="s">
        <v>110</v>
      </c>
      <c r="H920" s="216" t="s">
        <v>217</v>
      </c>
      <c r="I920" s="216" t="s">
        <v>218</v>
      </c>
      <c r="J920" s="216" t="s">
        <v>105</v>
      </c>
      <c r="K920" s="216" t="s">
        <v>106</v>
      </c>
      <c r="L920" s="216" t="s">
        <v>107</v>
      </c>
      <c r="M920" s="217">
        <f t="shared" si="219"/>
        <v>8</v>
      </c>
      <c r="N920" s="442" cm="1">
        <f t="array" ref="N920">IF(TRIM(K920)="Mano de Obra",IF(Formulario!$L$23&lt;&gt;"",Formulario!$L$23,IFERROR(VLOOKUP(TRIM($M$4),Jornalesdeppto!A:C,3,0),"")),_xlfn.XLOOKUP(1,(Tabla_Costos_Insumos!$A$2:$A$3199=TRIM($M$4))*(Tabla_Costos_Insumos!$C$2:$C$3199=TRIM(K920)),Tabla_Costos_Insumos!$E$2:$E$3199,"",0))</f>
        <v>46666.666666666664</v>
      </c>
      <c r="O920" s="442">
        <f t="shared" si="218"/>
        <v>373333.33333333331</v>
      </c>
      <c r="P920" s="212" t="str">
        <f t="shared" si="216"/>
        <v>Naranja Valencia</v>
      </c>
      <c r="Q920" s="212"/>
      <c r="R920" s="212">
        <v>0.09</v>
      </c>
      <c r="S920" s="212">
        <f>R920*$I$3/480</f>
        <v>0.28875000000000001</v>
      </c>
      <c r="T920" s="212" cm="1">
        <f t="array" ref="T920">_xlfn.IFS($D$5&lt;=7, 1.1, $D$5&lt;=12,1.2, $D$5&lt;=25, 1.3, $D$5&gt;25,1.4)</f>
        <v>1.3</v>
      </c>
      <c r="U920" s="212">
        <f t="shared" si="220"/>
        <v>0.37537500000000001</v>
      </c>
      <c r="V920" s="212"/>
      <c r="W920" s="212"/>
      <c r="X920" s="214">
        <v>6</v>
      </c>
    </row>
    <row r="921" spans="1:24" ht="15">
      <c r="A921" s="211" t="s">
        <v>4062</v>
      </c>
      <c r="B921" s="225" t="s">
        <v>4063</v>
      </c>
      <c r="C921" s="216" t="s">
        <v>53</v>
      </c>
      <c r="D921" s="216" t="s">
        <v>99</v>
      </c>
      <c r="E921" s="216" t="s">
        <v>100</v>
      </c>
      <c r="F921" s="216" t="s">
        <v>113</v>
      </c>
      <c r="G921" s="216" t="s">
        <v>114</v>
      </c>
      <c r="H921" s="216" t="s">
        <v>115</v>
      </c>
      <c r="I921" s="216" t="s">
        <v>116</v>
      </c>
      <c r="J921" s="216" t="s">
        <v>105</v>
      </c>
      <c r="K921" s="216" t="s">
        <v>106</v>
      </c>
      <c r="L921" s="216" t="s">
        <v>107</v>
      </c>
      <c r="M921" s="217">
        <f t="shared" si="219"/>
        <v>6</v>
      </c>
      <c r="N921" s="442" cm="1">
        <f t="array" ref="N921">IF(TRIM(K921)="Mano de Obra",IF(Formulario!$L$23&lt;&gt;"",Formulario!$L$23,IFERROR(VLOOKUP(TRIM($M$4),Jornalesdeppto!A:C,3,0),"")),_xlfn.XLOOKUP(1,(Tabla_Costos_Insumos!$A$2:$A$3199=TRIM($M$4))*(Tabla_Costos_Insumos!$C$2:$C$3199=TRIM(K921)),Tabla_Costos_Insumos!$E$2:$E$3199,"",0))</f>
        <v>46666.666666666664</v>
      </c>
      <c r="O921" s="442">
        <f t="shared" si="218"/>
        <v>280000</v>
      </c>
      <c r="P921" s="212" t="str">
        <f t="shared" si="216"/>
        <v>Naranja Valencia</v>
      </c>
      <c r="Q921" s="212"/>
      <c r="R921" s="212">
        <v>0.09</v>
      </c>
      <c r="S921" s="212">
        <f>R921*$I$3/480</f>
        <v>0.28875000000000001</v>
      </c>
      <c r="T921" s="212" cm="1">
        <f t="array" ref="T921">_xlfn.IFS($D$5&lt;=7, 1.1, $D$5&lt;=12,1.2, $D$5&lt;=25, 1.3, $D$5&gt;25,1.4)</f>
        <v>1.3</v>
      </c>
      <c r="U921" s="212">
        <f t="shared" si="220"/>
        <v>0.37537500000000001</v>
      </c>
      <c r="V921" s="212"/>
      <c r="W921" s="212"/>
      <c r="X921" s="214">
        <v>4</v>
      </c>
    </row>
    <row r="922" spans="1:24" ht="15">
      <c r="A922" s="211" t="s">
        <v>4062</v>
      </c>
      <c r="B922" s="225" t="s">
        <v>4063</v>
      </c>
      <c r="C922" s="216" t="s">
        <v>53</v>
      </c>
      <c r="D922" s="216" t="s">
        <v>99</v>
      </c>
      <c r="E922" s="216" t="s">
        <v>100</v>
      </c>
      <c r="F922" s="216" t="s">
        <v>117</v>
      </c>
      <c r="G922" s="216" t="s">
        <v>118</v>
      </c>
      <c r="H922" s="216" t="s">
        <v>119</v>
      </c>
      <c r="I922" s="216" t="s">
        <v>120</v>
      </c>
      <c r="J922" s="216" t="s">
        <v>105</v>
      </c>
      <c r="K922" s="216" t="s">
        <v>106</v>
      </c>
      <c r="L922" s="216" t="s">
        <v>107</v>
      </c>
      <c r="M922" s="217">
        <f t="shared" si="219"/>
        <v>4</v>
      </c>
      <c r="N922" s="442" cm="1">
        <f t="array" ref="N922">IF(TRIM(K922)="Mano de Obra",IF(Formulario!$L$23&lt;&gt;"",Formulario!$L$23,IFERROR(VLOOKUP(TRIM($M$4),Jornalesdeppto!A:C,3,0),"")),_xlfn.XLOOKUP(1,(Tabla_Costos_Insumos!$A$2:$A$3199=TRIM($M$4))*(Tabla_Costos_Insumos!$C$2:$C$3199=TRIM(K922)),Tabla_Costos_Insumos!$E$2:$E$3199,"",0))</f>
        <v>46666.666666666664</v>
      </c>
      <c r="O922" s="442">
        <f t="shared" si="218"/>
        <v>186666.66666666666</v>
      </c>
      <c r="P922" s="212" t="str">
        <f t="shared" si="216"/>
        <v>Naranja Valencia</v>
      </c>
      <c r="Q922" s="212"/>
      <c r="R922" s="212">
        <v>1</v>
      </c>
      <c r="S922" s="212">
        <f>R922*$I$3/480</f>
        <v>3.2083333333333335</v>
      </c>
      <c r="T922" s="212" cm="1">
        <f t="array" ref="T922">_xlfn.IFS($D$5&lt;=7, 1.1, $D$5&lt;=12,1.2, $D$5&lt;=25, 1.3, $D$5&gt;25,1.4)</f>
        <v>1.3</v>
      </c>
      <c r="U922" s="212">
        <f t="shared" si="220"/>
        <v>4.1708333333333334</v>
      </c>
      <c r="V922" s="212"/>
      <c r="W922" s="212"/>
      <c r="X922" s="214">
        <v>3</v>
      </c>
    </row>
    <row r="923" spans="1:24" ht="15">
      <c r="A923" s="211" t="s">
        <v>4062</v>
      </c>
      <c r="B923" s="225" t="s">
        <v>4063</v>
      </c>
      <c r="C923" s="216" t="s">
        <v>53</v>
      </c>
      <c r="D923" s="216" t="s">
        <v>99</v>
      </c>
      <c r="E923" s="216" t="s">
        <v>100</v>
      </c>
      <c r="F923" s="216" t="s">
        <v>117</v>
      </c>
      <c r="G923" s="216" t="s">
        <v>118</v>
      </c>
      <c r="H923" s="216" t="s">
        <v>121</v>
      </c>
      <c r="I923" s="216" t="s">
        <v>122</v>
      </c>
      <c r="J923" s="216" t="s">
        <v>105</v>
      </c>
      <c r="K923" s="216" t="s">
        <v>106</v>
      </c>
      <c r="L923" s="216" t="s">
        <v>107</v>
      </c>
      <c r="M923" s="217">
        <f t="shared" si="219"/>
        <v>4</v>
      </c>
      <c r="N923" s="442" cm="1">
        <f t="array" ref="N923">IF(TRIM(K923)="Mano de Obra",IF(Formulario!$L$23&lt;&gt;"",Formulario!$L$23,IFERROR(VLOOKUP(TRIM($M$4),Jornalesdeppto!A:C,3,0),"")),_xlfn.XLOOKUP(1,(Tabla_Costos_Insumos!$A$2:$A$3199=TRIM($M$4))*(Tabla_Costos_Insumos!$C$2:$C$3199=TRIM(K923)),Tabla_Costos_Insumos!$E$2:$E$3199,"",0))</f>
        <v>46666.666666666664</v>
      </c>
      <c r="O923" s="442">
        <f t="shared" si="218"/>
        <v>186666.66666666666</v>
      </c>
      <c r="P923" s="212" t="str">
        <f t="shared" si="216"/>
        <v>Naranja Valencia</v>
      </c>
      <c r="Q923" s="212"/>
      <c r="R923" s="212">
        <v>1</v>
      </c>
      <c r="S923" s="212">
        <f>R923*$I$3/480</f>
        <v>3.2083333333333335</v>
      </c>
      <c r="T923" s="212" cm="1">
        <f t="array" ref="T923">_xlfn.IFS($D$5&lt;=7, 1.1, $D$5&lt;=12,1.2, $D$5&lt;=25, 1.3, $D$5&gt;25,1.4)</f>
        <v>1.3</v>
      </c>
      <c r="U923" s="212">
        <f t="shared" si="220"/>
        <v>4.1708333333333334</v>
      </c>
      <c r="V923" s="212"/>
      <c r="W923" s="212"/>
      <c r="X923" s="214">
        <v>3</v>
      </c>
    </row>
    <row r="924" spans="1:24" ht="15">
      <c r="A924" s="211" t="s">
        <v>4062</v>
      </c>
      <c r="B924" s="225" t="s">
        <v>4063</v>
      </c>
      <c r="C924" s="216" t="s">
        <v>53</v>
      </c>
      <c r="D924" s="216" t="s">
        <v>99</v>
      </c>
      <c r="E924" s="216" t="s">
        <v>100</v>
      </c>
      <c r="F924" s="216" t="s">
        <v>123</v>
      </c>
      <c r="G924" s="216" t="s">
        <v>124</v>
      </c>
      <c r="H924" s="216" t="s">
        <v>125</v>
      </c>
      <c r="I924" s="216" t="s">
        <v>126</v>
      </c>
      <c r="J924" s="216" t="s">
        <v>105</v>
      </c>
      <c r="K924" s="216" t="s">
        <v>106</v>
      </c>
      <c r="L924" s="216" t="s">
        <v>107</v>
      </c>
      <c r="M924" s="217">
        <f t="shared" si="219"/>
        <v>4</v>
      </c>
      <c r="N924" s="442" cm="1">
        <f t="array" ref="N924">IF(TRIM(K924)="Mano de Obra",IF(Formulario!$L$23&lt;&gt;"",Formulario!$L$23,IFERROR(VLOOKUP(TRIM($M$4),Jornalesdeppto!A:C,3,0),"")),_xlfn.XLOOKUP(1,(Tabla_Costos_Insumos!$A$2:$A$3199=TRIM($M$4))*(Tabla_Costos_Insumos!$C$2:$C$3199=TRIM(K924)),Tabla_Costos_Insumos!$E$2:$E$3199,"",0))</f>
        <v>46666.666666666664</v>
      </c>
      <c r="O924" s="442">
        <f t="shared" si="218"/>
        <v>186666.66666666666</v>
      </c>
      <c r="P924" s="212" t="str">
        <f t="shared" si="216"/>
        <v>Naranja Valencia</v>
      </c>
      <c r="Q924" s="212"/>
      <c r="R924" s="212">
        <v>0.09</v>
      </c>
      <c r="S924" s="212">
        <f>10000*R471/480</f>
        <v>1.875</v>
      </c>
      <c r="T924" s="212" cm="1">
        <f t="array" ref="T924">_xlfn.IFS($D$5&lt;=7, 1.1, $D$5&lt;=12,1.2, $D$5&lt;=25, 1.3, $D$5&gt;25,1.4)</f>
        <v>1.3</v>
      </c>
      <c r="U924" s="212">
        <f t="shared" si="220"/>
        <v>2.4375</v>
      </c>
      <c r="V924" s="212"/>
      <c r="W924" s="212"/>
      <c r="X924" s="214">
        <v>3</v>
      </c>
    </row>
    <row r="925" spans="1:24" ht="15">
      <c r="A925" s="211" t="s">
        <v>4062</v>
      </c>
      <c r="B925" s="225" t="s">
        <v>4063</v>
      </c>
      <c r="C925" s="216" t="s">
        <v>53</v>
      </c>
      <c r="D925" s="216" t="s">
        <v>99</v>
      </c>
      <c r="E925" s="216" t="s">
        <v>100</v>
      </c>
      <c r="F925" s="216" t="s">
        <v>123</v>
      </c>
      <c r="G925" s="216" t="s">
        <v>124</v>
      </c>
      <c r="H925" s="216" t="s">
        <v>128</v>
      </c>
      <c r="I925" s="216" t="s">
        <v>129</v>
      </c>
      <c r="J925" s="216" t="s">
        <v>105</v>
      </c>
      <c r="K925" s="216" t="s">
        <v>106</v>
      </c>
      <c r="L925" s="216" t="s">
        <v>107</v>
      </c>
      <c r="M925" s="217">
        <f t="shared" si="219"/>
        <v>19</v>
      </c>
      <c r="N925" s="442" cm="1">
        <f t="array" ref="N925">IF(TRIM(K925)="Mano de Obra",IF(Formulario!$L$23&lt;&gt;"",Formulario!$L$23,IFERROR(VLOOKUP(TRIM($M$4),Jornalesdeppto!A:C,3,0),"")),_xlfn.XLOOKUP(1,(Tabla_Costos_Insumos!$A$2:$A$3199=TRIM($M$4))*(Tabla_Costos_Insumos!$C$2:$C$3199=TRIM(K925)),Tabla_Costos_Insumos!$E$2:$E$3199,"",0))</f>
        <v>46666.666666666664</v>
      </c>
      <c r="O925" s="442">
        <f t="shared" si="218"/>
        <v>886666.66666666663</v>
      </c>
      <c r="P925" s="212" t="str">
        <f t="shared" si="216"/>
        <v>Naranja Valencia</v>
      </c>
      <c r="Q925" s="212"/>
      <c r="R925" s="212">
        <v>0.09</v>
      </c>
      <c r="S925" s="212">
        <f>10000*R471/480</f>
        <v>1.875</v>
      </c>
      <c r="T925" s="212" cm="1">
        <f t="array" ref="T925">_xlfn.IFS($D$5&lt;=7, 1.1, $D$5&lt;=12,1.2, $D$5&lt;=25, 1.3, $D$5&gt;25,1.4)</f>
        <v>1.3</v>
      </c>
      <c r="U925" s="212">
        <f t="shared" si="220"/>
        <v>2.4375</v>
      </c>
      <c r="V925" s="212"/>
      <c r="W925" s="212"/>
      <c r="X925" s="214">
        <v>14</v>
      </c>
    </row>
    <row r="926" spans="1:24" ht="15">
      <c r="A926" s="211" t="s">
        <v>4062</v>
      </c>
      <c r="B926" s="225" t="s">
        <v>4063</v>
      </c>
      <c r="C926" s="216" t="s">
        <v>53</v>
      </c>
      <c r="D926" s="216" t="s">
        <v>99</v>
      </c>
      <c r="E926" s="216" t="s">
        <v>100</v>
      </c>
      <c r="F926" s="216" t="s">
        <v>130</v>
      </c>
      <c r="G926" s="216" t="s">
        <v>131</v>
      </c>
      <c r="H926" s="216" t="s">
        <v>132</v>
      </c>
      <c r="I926" s="216" t="s">
        <v>133</v>
      </c>
      <c r="J926" s="216" t="s">
        <v>105</v>
      </c>
      <c r="K926" s="216" t="s">
        <v>106</v>
      </c>
      <c r="L926" s="216" t="s">
        <v>107</v>
      </c>
      <c r="M926" s="217">
        <f t="shared" si="219"/>
        <v>4</v>
      </c>
      <c r="N926" s="442" cm="1">
        <f t="array" ref="N926">IF(TRIM(K926)="Mano de Obra",IF(Formulario!$L$23&lt;&gt;"",Formulario!$L$23,IFERROR(VLOOKUP(TRIM($M$4),Jornalesdeppto!A:C,3,0),"")),_xlfn.XLOOKUP(1,(Tabla_Costos_Insumos!$A$2:$A$3199=TRIM($M$4))*(Tabla_Costos_Insumos!$C$2:$C$3199=TRIM(K926)),Tabla_Costos_Insumos!$E$2:$E$3199,"",0))</f>
        <v>46666.666666666664</v>
      </c>
      <c r="O926" s="442">
        <f t="shared" si="218"/>
        <v>186666.66666666666</v>
      </c>
      <c r="P926" s="212" t="str">
        <f t="shared" si="216"/>
        <v>Naranja Valencia</v>
      </c>
      <c r="Q926" s="212"/>
      <c r="R926" s="212"/>
      <c r="S926" s="212">
        <f>R926*$I$3/480</f>
        <v>0</v>
      </c>
      <c r="T926" s="212" cm="1">
        <f t="array" ref="T926">_xlfn.IFS($D$5&lt;=7, 1.1, $D$5&lt;=12,1.2, $D$5&lt;=25, 1.3, $D$5&gt;25,1.4)</f>
        <v>1.3</v>
      </c>
      <c r="U926" s="212">
        <f t="shared" si="220"/>
        <v>0</v>
      </c>
      <c r="V926" s="212"/>
      <c r="W926" s="212"/>
      <c r="X926" s="214">
        <v>3</v>
      </c>
    </row>
    <row r="927" spans="1:24" ht="15">
      <c r="A927" s="211" t="s">
        <v>4062</v>
      </c>
      <c r="B927" s="225" t="s">
        <v>4063</v>
      </c>
      <c r="C927" s="216" t="s">
        <v>53</v>
      </c>
      <c r="D927" s="216" t="s">
        <v>145</v>
      </c>
      <c r="E927" s="216" t="s">
        <v>146</v>
      </c>
      <c r="F927" s="216" t="s">
        <v>219</v>
      </c>
      <c r="G927" s="216" t="s">
        <v>220</v>
      </c>
      <c r="H927" s="216" t="s">
        <v>221</v>
      </c>
      <c r="I927" s="216" t="s">
        <v>222</v>
      </c>
      <c r="J927" s="216" t="s">
        <v>223</v>
      </c>
      <c r="K927" s="216" t="s">
        <v>4117</v>
      </c>
      <c r="L927" s="216" t="s">
        <v>197</v>
      </c>
      <c r="M927" s="217">
        <v>260</v>
      </c>
      <c r="N927" s="442">
        <v>11000</v>
      </c>
      <c r="O927" s="442">
        <f t="shared" si="218"/>
        <v>2860000</v>
      </c>
      <c r="P927" s="212" t="str">
        <f t="shared" si="216"/>
        <v>Naranja Valencia</v>
      </c>
      <c r="Q927" s="212"/>
      <c r="R927" s="212"/>
      <c r="S927" s="212"/>
      <c r="T927" s="212"/>
      <c r="U927" s="212"/>
      <c r="V927" s="212"/>
      <c r="W927" s="212"/>
      <c r="X927" s="214"/>
    </row>
    <row r="928" spans="1:24" ht="15">
      <c r="A928" s="211" t="s">
        <v>4062</v>
      </c>
      <c r="B928" s="225" t="s">
        <v>4063</v>
      </c>
      <c r="C928" s="216" t="s">
        <v>53</v>
      </c>
      <c r="D928" s="216" t="s">
        <v>145</v>
      </c>
      <c r="E928" s="216" t="s">
        <v>146</v>
      </c>
      <c r="F928" s="216" t="s">
        <v>147</v>
      </c>
      <c r="G928" s="216" t="s">
        <v>131</v>
      </c>
      <c r="H928" s="216" t="s">
        <v>165</v>
      </c>
      <c r="I928" s="216" t="s">
        <v>153</v>
      </c>
      <c r="J928" s="216" t="s">
        <v>149</v>
      </c>
      <c r="K928" s="216" t="s">
        <v>4110</v>
      </c>
      <c r="L928" s="216" t="s">
        <v>151</v>
      </c>
      <c r="M928" s="217">
        <v>1</v>
      </c>
      <c r="N928" s="442" cm="1">
        <f t="array" ref="N928">IF(TRIM(K928)="Mano de Obra",IF(Formulario!$L$23&lt;&gt;"",Formulario!$L$23,IFERROR(VLOOKUP(TRIM($M$4),Jornalesdeppto!A:C,3,0),"")),_xlfn.XLOOKUP(1,(Tabla_Costos_Insumos!$A$2:$A$3199=TRIM($M$4))*(Tabla_Costos_Insumos!$C$2:$C$3199=TRIM(K928)),Tabla_Costos_Insumos!$E$2:$E$3199,"",0))</f>
        <v>125849.2424242409</v>
      </c>
      <c r="O928" s="442">
        <f t="shared" si="218"/>
        <v>125849.2424242409</v>
      </c>
      <c r="P928" s="212" t="str">
        <f t="shared" si="216"/>
        <v>Naranja Valencia</v>
      </c>
      <c r="Q928" s="212"/>
      <c r="R928" s="212"/>
      <c r="S928" s="212"/>
      <c r="T928" s="212"/>
      <c r="U928" s="212"/>
      <c r="V928" s="212"/>
      <c r="W928" s="212"/>
      <c r="X928" s="214"/>
    </row>
    <row r="929" spans="1:24" ht="15">
      <c r="A929" s="211" t="s">
        <v>4062</v>
      </c>
      <c r="B929" s="225" t="s">
        <v>4063</v>
      </c>
      <c r="C929" s="216" t="s">
        <v>53</v>
      </c>
      <c r="D929" s="216" t="s">
        <v>145</v>
      </c>
      <c r="E929" s="216" t="s">
        <v>146</v>
      </c>
      <c r="F929" s="216" t="s">
        <v>147</v>
      </c>
      <c r="G929" s="216" t="s">
        <v>131</v>
      </c>
      <c r="H929" s="216" t="s">
        <v>152</v>
      </c>
      <c r="I929" s="216" t="s">
        <v>4143</v>
      </c>
      <c r="J929" s="216" t="s">
        <v>149</v>
      </c>
      <c r="K929" s="216" t="s">
        <v>150</v>
      </c>
      <c r="L929" s="216" t="s">
        <v>151</v>
      </c>
      <c r="M929" s="217">
        <v>3</v>
      </c>
      <c r="N929" s="442" cm="1">
        <f t="array" ref="N929">IF(TRIM(K929)="Mano de Obra",IF(Formulario!$L$23&lt;&gt;"",Formulario!$L$23,IFERROR(VLOOKUP(TRIM($M$4),Jornalesdeppto!A:C,3,0),"")),_xlfn.XLOOKUP(1,(Tabla_Costos_Insumos!$A$2:$A$3199=TRIM($M$4))*(Tabla_Costos_Insumos!$C$2:$C$3199=TRIM(K929)),Tabla_Costos_Insumos!$E$2:$E$3199,"",0))</f>
        <v>198055.68333333</v>
      </c>
      <c r="O929" s="442">
        <f t="shared" si="218"/>
        <v>594167.04999999003</v>
      </c>
      <c r="P929" s="212" t="str">
        <f t="shared" si="216"/>
        <v>Naranja Valencia</v>
      </c>
      <c r="Q929" s="212"/>
      <c r="R929" s="212"/>
      <c r="S929" s="212"/>
      <c r="T929" s="212"/>
      <c r="U929" s="212"/>
      <c r="V929" s="212"/>
      <c r="W929" s="212"/>
      <c r="X929" s="214"/>
    </row>
    <row r="930" spans="1:24" ht="15">
      <c r="A930" s="211" t="s">
        <v>4062</v>
      </c>
      <c r="B930" s="225" t="s">
        <v>4063</v>
      </c>
      <c r="C930" s="216" t="s">
        <v>53</v>
      </c>
      <c r="D930" s="216" t="s">
        <v>145</v>
      </c>
      <c r="E930" s="216" t="s">
        <v>146</v>
      </c>
      <c r="F930" s="216" t="s">
        <v>147</v>
      </c>
      <c r="G930" s="216" t="s">
        <v>131</v>
      </c>
      <c r="H930" s="216"/>
      <c r="I930" s="216" t="s">
        <v>153</v>
      </c>
      <c r="J930" s="216" t="s">
        <v>149</v>
      </c>
      <c r="K930" s="216" t="s">
        <v>166</v>
      </c>
      <c r="L930" s="216" t="s">
        <v>151</v>
      </c>
      <c r="M930" s="217">
        <v>1</v>
      </c>
      <c r="N930" s="442" cm="1">
        <f t="array" ref="N930">IF(TRIM(K930)="Mano de Obra",IF(Formulario!$L$23&lt;&gt;"",Formulario!$L$23,IFERROR(VLOOKUP(TRIM($M$4),Jornalesdeppto!A:C,3,0),"")),_xlfn.XLOOKUP(1,(Tabla_Costos_Insumos!$A$2:$A$3199=TRIM($M$4))*(Tabla_Costos_Insumos!$C$2:$C$3199=TRIM(K930)),Tabla_Costos_Insumos!$E$2:$E$3199,"",0))</f>
        <v>110000</v>
      </c>
      <c r="O930" s="442">
        <f t="shared" si="218"/>
        <v>110000</v>
      </c>
      <c r="P930" s="212" t="str">
        <f t="shared" si="216"/>
        <v>Naranja Valencia</v>
      </c>
      <c r="Q930" s="212"/>
      <c r="R930" s="212"/>
      <c r="S930" s="212"/>
      <c r="T930" s="212"/>
      <c r="U930" s="212"/>
      <c r="V930" s="212"/>
      <c r="W930" s="212"/>
      <c r="X930" s="214"/>
    </row>
    <row r="931" spans="1:24" ht="15">
      <c r="A931" s="211" t="s">
        <v>4062</v>
      </c>
      <c r="B931" s="225" t="s">
        <v>4063</v>
      </c>
      <c r="C931" s="216" t="s">
        <v>53</v>
      </c>
      <c r="D931" s="216" t="s">
        <v>145</v>
      </c>
      <c r="E931" s="216" t="s">
        <v>146</v>
      </c>
      <c r="F931" s="216" t="s">
        <v>147</v>
      </c>
      <c r="G931" s="216" t="s">
        <v>131</v>
      </c>
      <c r="H931" s="216" t="s">
        <v>154</v>
      </c>
      <c r="I931" s="216" t="s">
        <v>155</v>
      </c>
      <c r="J931" s="216" t="s">
        <v>149</v>
      </c>
      <c r="K931" s="216" t="s">
        <v>156</v>
      </c>
      <c r="L931" s="216" t="s">
        <v>151</v>
      </c>
      <c r="M931" s="217">
        <v>5</v>
      </c>
      <c r="N931" s="442" cm="1">
        <f t="array" ref="N931">IF(TRIM(K931)="Mano de Obra",IF(Formulario!$L$23&lt;&gt;"",Formulario!$L$23,IFERROR(VLOOKUP(TRIM($M$4),Jornalesdeppto!A:C,3,0),"")),_xlfn.XLOOKUP(1,(Tabla_Costos_Insumos!$A$2:$A$3199=TRIM($M$4))*(Tabla_Costos_Insumos!$C$2:$C$3199=TRIM(K931)),Tabla_Costos_Insumos!$E$2:$E$3199,"",0))</f>
        <v>17212.5</v>
      </c>
      <c r="O931" s="442">
        <f t="shared" si="218"/>
        <v>86062.5</v>
      </c>
      <c r="P931" s="212" t="str">
        <f t="shared" si="216"/>
        <v>Naranja Valencia</v>
      </c>
      <c r="Q931" s="212"/>
      <c r="R931" s="212"/>
      <c r="S931" s="212"/>
      <c r="T931" s="212"/>
      <c r="U931" s="212"/>
      <c r="V931" s="212"/>
      <c r="W931" s="212"/>
      <c r="X931" s="214"/>
    </row>
    <row r="932" spans="1:24" ht="15">
      <c r="A932" s="211" t="s">
        <v>4062</v>
      </c>
      <c r="B932" s="225" t="s">
        <v>4063</v>
      </c>
      <c r="C932" s="216" t="s">
        <v>53</v>
      </c>
      <c r="D932" s="216" t="s">
        <v>145</v>
      </c>
      <c r="E932" s="216" t="s">
        <v>146</v>
      </c>
      <c r="F932" s="216" t="s">
        <v>147</v>
      </c>
      <c r="G932" s="216" t="s">
        <v>131</v>
      </c>
      <c r="H932" s="216" t="s">
        <v>157</v>
      </c>
      <c r="I932" s="216" t="s">
        <v>158</v>
      </c>
      <c r="J932" s="216" t="s">
        <v>149</v>
      </c>
      <c r="K932" s="216" t="s">
        <v>237</v>
      </c>
      <c r="L932" s="216" t="s">
        <v>172</v>
      </c>
      <c r="M932" s="217">
        <v>2</v>
      </c>
      <c r="N932" s="442" cm="1">
        <f t="array" ref="N932">IF(TRIM(K932)="Mano de Obra",IF(Formulario!$L$23&lt;&gt;"",Formulario!$L$23,IFERROR(VLOOKUP(TRIM($M$4),Jornalesdeppto!A:C,3,0),"")),_xlfn.XLOOKUP(1,(Tabla_Costos_Insumos!$A$2:$A$3199=TRIM($M$4))*(Tabla_Costos_Insumos!$C$2:$C$3199=TRIM(K932)),Tabla_Costos_Insumos!$E$2:$E$3199,"",0))</f>
        <v>26190.48</v>
      </c>
      <c r="O932" s="442">
        <f t="shared" si="218"/>
        <v>52380.959999999999</v>
      </c>
      <c r="P932" s="212" t="str">
        <f t="shared" si="216"/>
        <v>Naranja Valencia</v>
      </c>
      <c r="Q932" s="212"/>
      <c r="R932" s="212"/>
      <c r="S932" s="212"/>
      <c r="T932" s="212"/>
      <c r="U932" s="212"/>
      <c r="V932" s="212"/>
      <c r="W932" s="212"/>
      <c r="X932" s="214"/>
    </row>
    <row r="933" spans="1:24" ht="15">
      <c r="A933" s="211" t="s">
        <v>4062</v>
      </c>
      <c r="B933" s="225" t="s">
        <v>4063</v>
      </c>
      <c r="C933" s="216" t="s">
        <v>53</v>
      </c>
      <c r="D933" s="216" t="s">
        <v>145</v>
      </c>
      <c r="E933" s="216" t="s">
        <v>146</v>
      </c>
      <c r="F933" s="216" t="s">
        <v>147</v>
      </c>
      <c r="G933" s="216" t="s">
        <v>131</v>
      </c>
      <c r="H933" s="216" t="s">
        <v>161</v>
      </c>
      <c r="I933" s="216" t="s">
        <v>162</v>
      </c>
      <c r="J933" s="216" t="s">
        <v>149</v>
      </c>
      <c r="K933" s="216" t="s">
        <v>163</v>
      </c>
      <c r="L933" s="216" t="s">
        <v>164</v>
      </c>
      <c r="M933" s="217">
        <v>2</v>
      </c>
      <c r="N933" s="442" cm="1">
        <f t="array" ref="N933">IF(TRIM(K933)="Mano de Obra",IF(Formulario!$L$23&lt;&gt;"",Formulario!$L$23,IFERROR(VLOOKUP(TRIM($M$4),Jornalesdeppto!A:C,3,0),"")),_xlfn.XLOOKUP(1,(Tabla_Costos_Insumos!$A$2:$A$3199=TRIM($M$4))*(Tabla_Costos_Insumos!$C$2:$C$3199=TRIM(K933)),Tabla_Costos_Insumos!$E$2:$E$3199,"",0))</f>
        <v>128084.44444445</v>
      </c>
      <c r="O933" s="442">
        <f t="shared" si="218"/>
        <v>256168.88888889999</v>
      </c>
      <c r="P933" s="212" t="str">
        <f t="shared" si="216"/>
        <v>Naranja Valencia</v>
      </c>
      <c r="Q933" s="212"/>
      <c r="R933" s="212"/>
      <c r="S933" s="212"/>
      <c r="T933" s="212"/>
      <c r="U933" s="212"/>
      <c r="V933" s="212"/>
      <c r="W933" s="212"/>
      <c r="X933" s="214"/>
    </row>
    <row r="934" spans="1:24" ht="15">
      <c r="A934" s="211" t="s">
        <v>4062</v>
      </c>
      <c r="B934" s="225" t="s">
        <v>4063</v>
      </c>
      <c r="C934" s="216" t="s">
        <v>53</v>
      </c>
      <c r="D934" s="216" t="s">
        <v>145</v>
      </c>
      <c r="E934" s="216" t="s">
        <v>146</v>
      </c>
      <c r="F934" s="216" t="s">
        <v>167</v>
      </c>
      <c r="G934" s="216" t="s">
        <v>118</v>
      </c>
      <c r="H934" s="216" t="s">
        <v>168</v>
      </c>
      <c r="I934" s="216" t="s">
        <v>169</v>
      </c>
      <c r="J934" s="216" t="s">
        <v>170</v>
      </c>
      <c r="K934" s="216" t="s">
        <v>260</v>
      </c>
      <c r="L934" s="216" t="s">
        <v>268</v>
      </c>
      <c r="M934" s="217">
        <v>20</v>
      </c>
      <c r="N934" s="442" cm="1">
        <f t="array" ref="N934">IF(TRIM(K934)="Mano de Obra",IF(Formulario!$L$23&lt;&gt;"",Formulario!$L$23,IFERROR(VLOOKUP(TRIM($M$4),Jornalesdeppto!A:C,3,0),"")),_xlfn.XLOOKUP(1,(Tabla_Costos_Insumos!$A$2:$A$3199=TRIM($M$4))*(Tabla_Costos_Insumos!$C$2:$C$3199=TRIM(K934)),Tabla_Costos_Insumos!$E$2:$E$3199,"",0))</f>
        <v>25534.226046466123</v>
      </c>
      <c r="O934" s="442">
        <f t="shared" si="218"/>
        <v>510684.52092932246</v>
      </c>
      <c r="P934" s="212" t="str">
        <f t="shared" si="216"/>
        <v>Naranja Valencia</v>
      </c>
      <c r="Q934" s="212"/>
      <c r="R934" s="212"/>
      <c r="S934" s="212"/>
      <c r="T934" s="212"/>
      <c r="U934" s="212"/>
      <c r="V934" s="212"/>
      <c r="W934" s="212"/>
      <c r="X934" s="214"/>
    </row>
    <row r="935" spans="1:24" ht="15">
      <c r="A935" s="211" t="s">
        <v>4062</v>
      </c>
      <c r="B935" s="225" t="s">
        <v>4063</v>
      </c>
      <c r="C935" s="216" t="s">
        <v>53</v>
      </c>
      <c r="D935" s="216" t="s">
        <v>145</v>
      </c>
      <c r="E935" s="216" t="s">
        <v>146</v>
      </c>
      <c r="F935" s="216" t="s">
        <v>167</v>
      </c>
      <c r="G935" s="216" t="s">
        <v>118</v>
      </c>
      <c r="H935" s="216" t="s">
        <v>168</v>
      </c>
      <c r="I935" s="216" t="s">
        <v>169</v>
      </c>
      <c r="J935" s="216" t="s">
        <v>170</v>
      </c>
      <c r="K935" s="216" t="s">
        <v>251</v>
      </c>
      <c r="L935" s="216" t="s">
        <v>226</v>
      </c>
      <c r="M935" s="217">
        <v>2</v>
      </c>
      <c r="N935" s="442" cm="1">
        <f t="array" ref="N935">IF(TRIM(K935)="Mano de Obra",IF(Formulario!$L$23&lt;&gt;"",Formulario!$L$23,IFERROR(VLOOKUP(TRIM($M$4),Jornalesdeppto!A:C,3,0),"")),_xlfn.XLOOKUP(1,(Tabla_Costos_Insumos!$A$2:$A$3199=TRIM($M$4))*(Tabla_Costos_Insumos!$C$2:$C$3199=TRIM(K935)),Tabla_Costos_Insumos!$E$2:$E$3199,"",0))</f>
        <v>61445.54</v>
      </c>
      <c r="O935" s="442">
        <f t="shared" si="218"/>
        <v>122891.08</v>
      </c>
      <c r="P935" s="212" t="str">
        <f t="shared" si="216"/>
        <v>Naranja Valencia</v>
      </c>
      <c r="Q935" s="212"/>
      <c r="R935" s="212"/>
      <c r="S935" s="212"/>
      <c r="T935" s="212"/>
      <c r="U935" s="212"/>
      <c r="V935" s="212"/>
      <c r="W935" s="212"/>
      <c r="X935" s="214"/>
    </row>
    <row r="936" spans="1:24" ht="15">
      <c r="A936" s="211" t="s">
        <v>4062</v>
      </c>
      <c r="B936" s="225" t="s">
        <v>4063</v>
      </c>
      <c r="C936" s="216" t="s">
        <v>53</v>
      </c>
      <c r="D936" s="216" t="s">
        <v>145</v>
      </c>
      <c r="E936" s="216" t="s">
        <v>146</v>
      </c>
      <c r="F936" s="216" t="s">
        <v>167</v>
      </c>
      <c r="G936" s="216" t="s">
        <v>118</v>
      </c>
      <c r="H936" s="216" t="s">
        <v>174</v>
      </c>
      <c r="I936" s="216" t="s">
        <v>175</v>
      </c>
      <c r="J936" s="216" t="s">
        <v>176</v>
      </c>
      <c r="K936" s="216" t="s">
        <v>231</v>
      </c>
      <c r="L936" s="216" t="s">
        <v>172</v>
      </c>
      <c r="M936" s="217">
        <v>4</v>
      </c>
      <c r="N936" s="442" cm="1">
        <f t="array" ref="N936">IF(TRIM(K936)="Mano de Obra",IF(Formulario!$L$23&lt;&gt;"",Formulario!$L$23,IFERROR(VLOOKUP(TRIM($M$4),Jornalesdeppto!A:C,3,0),"")),_xlfn.XLOOKUP(1,(Tabla_Costos_Insumos!$A$2:$A$3199=TRIM($M$4))*(Tabla_Costos_Insumos!$C$2:$C$3199=TRIM(K936)),Tabla_Costos_Insumos!$E$2:$E$3199,"",0))</f>
        <v>23177.15</v>
      </c>
      <c r="O936" s="442">
        <f t="shared" si="218"/>
        <v>92708.6</v>
      </c>
      <c r="P936" s="212" t="str">
        <f t="shared" si="216"/>
        <v>Naranja Valencia</v>
      </c>
      <c r="Q936" s="212"/>
      <c r="R936" s="212"/>
      <c r="S936" s="212"/>
      <c r="T936" s="212"/>
      <c r="U936" s="212"/>
      <c r="V936" s="212"/>
      <c r="W936" s="212"/>
      <c r="X936" s="214"/>
    </row>
    <row r="937" spans="1:24" ht="15">
      <c r="A937" s="211" t="s">
        <v>4062</v>
      </c>
      <c r="B937" s="225" t="s">
        <v>4063</v>
      </c>
      <c r="C937" s="216" t="s">
        <v>53</v>
      </c>
      <c r="D937" s="216" t="s">
        <v>145</v>
      </c>
      <c r="E937" s="216" t="s">
        <v>146</v>
      </c>
      <c r="F937" s="216" t="s">
        <v>167</v>
      </c>
      <c r="G937" s="216" t="s">
        <v>118</v>
      </c>
      <c r="H937" s="216" t="s">
        <v>178</v>
      </c>
      <c r="I937" s="216" t="s">
        <v>179</v>
      </c>
      <c r="J937" s="216" t="s">
        <v>180</v>
      </c>
      <c r="K937" s="216" t="s">
        <v>263</v>
      </c>
      <c r="L937" s="216" t="s">
        <v>172</v>
      </c>
      <c r="M937" s="217">
        <v>2</v>
      </c>
      <c r="N937" s="442" cm="1">
        <f t="array" ref="N937">IF(TRIM(K937)="Mano de Obra",IF(Formulario!$L$23&lt;&gt;"",Formulario!$L$23,IFERROR(VLOOKUP(TRIM($M$4),Jornalesdeppto!A:C,3,0),"")),_xlfn.XLOOKUP(1,(Tabla_Costos_Insumos!$A$2:$A$3199=TRIM($M$4))*(Tabla_Costos_Insumos!$C$2:$C$3199=TRIM(K937)),Tabla_Costos_Insumos!$E$2:$E$3199,"",0))</f>
        <v>210423.61</v>
      </c>
      <c r="O937" s="442">
        <f t="shared" si="218"/>
        <v>420847.22</v>
      </c>
      <c r="P937" s="212" t="str">
        <f t="shared" si="216"/>
        <v>Naranja Valencia</v>
      </c>
      <c r="Q937" s="212"/>
      <c r="R937" s="212"/>
      <c r="S937" s="212"/>
      <c r="T937" s="212"/>
      <c r="U937" s="212"/>
      <c r="V937" s="212"/>
      <c r="W937" s="212"/>
      <c r="X937" s="214"/>
    </row>
    <row r="938" spans="1:24" ht="15">
      <c r="A938" s="211" t="s">
        <v>4062</v>
      </c>
      <c r="B938" s="225" t="s">
        <v>4063</v>
      </c>
      <c r="C938" s="216" t="s">
        <v>53</v>
      </c>
      <c r="D938" s="216" t="s">
        <v>145</v>
      </c>
      <c r="E938" s="216" t="s">
        <v>146</v>
      </c>
      <c r="F938" s="216" t="s">
        <v>167</v>
      </c>
      <c r="G938" s="216" t="s">
        <v>118</v>
      </c>
      <c r="H938" s="216" t="s">
        <v>178</v>
      </c>
      <c r="I938" s="216" t="s">
        <v>179</v>
      </c>
      <c r="J938" s="216" t="s">
        <v>180</v>
      </c>
      <c r="K938" s="216" t="s">
        <v>181</v>
      </c>
      <c r="L938" s="216" t="s">
        <v>172</v>
      </c>
      <c r="M938" s="217">
        <v>6</v>
      </c>
      <c r="N938" s="442" cm="1">
        <f t="array" ref="N938">IF(TRIM(K938)="Mano de Obra",IF(Formulario!$L$23&lt;&gt;"",Formulario!$L$23,IFERROR(VLOOKUP(TRIM($M$4),Jornalesdeppto!A:C,3,0),"")),_xlfn.XLOOKUP(1,(Tabla_Costos_Insumos!$A$2:$A$3199=TRIM($M$4))*(Tabla_Costos_Insumos!$C$2:$C$3199=TRIM(K938)),Tabla_Costos_Insumos!$E$2:$E$3199,"",0))</f>
        <v>34056.25</v>
      </c>
      <c r="O938" s="442">
        <f t="shared" si="218"/>
        <v>204337.5</v>
      </c>
      <c r="P938" s="212" t="str">
        <f t="shared" si="216"/>
        <v>Naranja Valencia</v>
      </c>
      <c r="Q938" s="212"/>
      <c r="R938" s="212"/>
      <c r="S938" s="212"/>
      <c r="T938" s="212"/>
      <c r="U938" s="212"/>
      <c r="V938" s="212"/>
      <c r="W938" s="212"/>
      <c r="X938" s="214"/>
    </row>
    <row r="939" spans="1:24" ht="15">
      <c r="A939" s="211" t="s">
        <v>4062</v>
      </c>
      <c r="B939" s="225" t="s">
        <v>4063</v>
      </c>
      <c r="C939" s="216" t="s">
        <v>53</v>
      </c>
      <c r="D939" s="216" t="s">
        <v>145</v>
      </c>
      <c r="E939" s="216" t="s">
        <v>146</v>
      </c>
      <c r="F939" s="216" t="s">
        <v>183</v>
      </c>
      <c r="G939" s="216" t="s">
        <v>184</v>
      </c>
      <c r="H939" s="216" t="s">
        <v>185</v>
      </c>
      <c r="I939" s="216" t="s">
        <v>186</v>
      </c>
      <c r="J939" s="216" t="s">
        <v>105</v>
      </c>
      <c r="K939" s="216" t="s">
        <v>187</v>
      </c>
      <c r="L939" s="216" t="s">
        <v>188</v>
      </c>
      <c r="M939" s="217">
        <v>0.1</v>
      </c>
      <c r="N939" s="442" cm="1">
        <f t="array" ref="N939">IF(TRIM(K939)="Mano de Obra",IF(Formulario!$L$23&lt;&gt;"",Formulario!$L$23,IFERROR(VLOOKUP(TRIM($M$4),Jornalesdeppto!A:C,3,0),"")),_xlfn.XLOOKUP(1,(Tabla_Costos_Insumos!$A$2:$A$3199=TRIM($M$4))*(Tabla_Costos_Insumos!$C$2:$C$3199=TRIM(K939)),Tabla_Costos_Insumos!$E$2:$E$3199,"",0))</f>
        <v>175000</v>
      </c>
      <c r="O939" s="442">
        <f t="shared" si="218"/>
        <v>17500</v>
      </c>
      <c r="P939" s="212" t="str">
        <f t="shared" si="216"/>
        <v>Naranja Valencia</v>
      </c>
      <c r="Q939" s="212"/>
      <c r="R939" s="212"/>
      <c r="S939" s="212"/>
      <c r="T939" s="212"/>
      <c r="U939" s="212"/>
      <c r="V939" s="212"/>
      <c r="W939" s="212"/>
      <c r="X939" s="214"/>
    </row>
    <row r="940" spans="1:24" ht="15">
      <c r="A940" s="211" t="s">
        <v>4062</v>
      </c>
      <c r="B940" s="225" t="s">
        <v>4063</v>
      </c>
      <c r="C940" s="216" t="s">
        <v>53</v>
      </c>
      <c r="D940" s="216" t="s">
        <v>189</v>
      </c>
      <c r="E940" s="216" t="s">
        <v>190</v>
      </c>
      <c r="F940" s="216" t="s">
        <v>191</v>
      </c>
      <c r="G940" s="216" t="s">
        <v>192</v>
      </c>
      <c r="H940" s="216" t="s">
        <v>193</v>
      </c>
      <c r="I940" s="216" t="s">
        <v>194</v>
      </c>
      <c r="J940" s="216" t="s">
        <v>195</v>
      </c>
      <c r="K940" s="216" t="s">
        <v>196</v>
      </c>
      <c r="L940" s="216" t="s">
        <v>197</v>
      </c>
      <c r="M940" s="217">
        <v>1</v>
      </c>
      <c r="N940" s="442">
        <f>IFERROR(SUM(O922:$O$939)*0.08,0)</f>
        <v>566954.47164606291</v>
      </c>
      <c r="O940" s="442">
        <f t="shared" si="218"/>
        <v>566954.47164606291</v>
      </c>
      <c r="P940" s="212" t="str">
        <f t="shared" si="216"/>
        <v>Naranja Valencia</v>
      </c>
      <c r="Q940" s="212"/>
      <c r="R940" s="212"/>
      <c r="S940" s="212"/>
      <c r="T940" s="212"/>
      <c r="U940" s="212"/>
      <c r="V940" s="212"/>
      <c r="W940" s="212"/>
      <c r="X940" s="214"/>
    </row>
    <row r="941" spans="1:24" ht="15.75" customHeight="1">
      <c r="A941" s="211" t="s">
        <v>4062</v>
      </c>
      <c r="B941" s="225" t="s">
        <v>4063</v>
      </c>
      <c r="C941" s="216" t="s">
        <v>53</v>
      </c>
      <c r="D941" s="216" t="s">
        <v>189</v>
      </c>
      <c r="E941" s="216" t="s">
        <v>190</v>
      </c>
      <c r="F941" s="216" t="s">
        <v>198</v>
      </c>
      <c r="G941" s="216" t="s">
        <v>199</v>
      </c>
      <c r="H941" s="216" t="s">
        <v>200</v>
      </c>
      <c r="I941" s="216" t="s">
        <v>201</v>
      </c>
      <c r="J941" s="216" t="s">
        <v>105</v>
      </c>
      <c r="K941" s="216" t="s">
        <v>202</v>
      </c>
      <c r="L941" s="216" t="s">
        <v>203</v>
      </c>
      <c r="M941" s="217">
        <v>1</v>
      </c>
      <c r="N941" s="442" cm="1">
        <f t="array" ref="N941">IF(TRIM(K941)="Mano de Obra",IF(Formulario!$L$23&lt;&gt;"",Formulario!$L$23,IFERROR(VLOOKUP(TRIM($M$4),Jornalesdeppto!A:C,3,0),"")),_xlfn.XLOOKUP(1,(Tabla_Costos_Insumos!$A$2:$A$3199=TRIM($M$4))*(Tabla_Costos_Insumos!$C$2:$C$3199=TRIM(K941)),Tabla_Costos_Insumos!$E$2:$E$3199,"",0))</f>
        <v>120000</v>
      </c>
      <c r="O941" s="442">
        <f t="shared" si="218"/>
        <v>120000</v>
      </c>
      <c r="P941" s="212" t="str">
        <f t="shared" si="216"/>
        <v>Naranja Valencia</v>
      </c>
      <c r="Q941" s="212"/>
      <c r="R941" s="212"/>
      <c r="S941" s="212"/>
      <c r="T941" s="212"/>
      <c r="U941" s="212"/>
      <c r="V941" s="212"/>
      <c r="W941" s="212"/>
      <c r="X941" s="214"/>
    </row>
    <row r="942" spans="1:24" ht="15">
      <c r="A942" s="211" t="s">
        <v>4062</v>
      </c>
      <c r="B942" s="225" t="s">
        <v>4063</v>
      </c>
      <c r="C942" s="216" t="s">
        <v>53</v>
      </c>
      <c r="D942" s="216" t="s">
        <v>189</v>
      </c>
      <c r="E942" s="216" t="s">
        <v>190</v>
      </c>
      <c r="F942" s="216" t="s">
        <v>204</v>
      </c>
      <c r="G942" s="216" t="s">
        <v>205</v>
      </c>
      <c r="H942" s="216" t="s">
        <v>206</v>
      </c>
      <c r="I942" s="216" t="s">
        <v>207</v>
      </c>
      <c r="J942" s="216" t="s">
        <v>208</v>
      </c>
      <c r="K942" s="216" t="s">
        <v>228</v>
      </c>
      <c r="L942" s="216" t="s">
        <v>197</v>
      </c>
      <c r="M942" s="217">
        <v>1</v>
      </c>
      <c r="N942" s="442">
        <f>$J$4</f>
        <v>500000</v>
      </c>
      <c r="O942" s="442">
        <f t="shared" si="218"/>
        <v>500000</v>
      </c>
      <c r="P942" s="212" t="str">
        <f t="shared" si="216"/>
        <v>Naranja Valencia</v>
      </c>
      <c r="Q942" s="212"/>
      <c r="R942" s="212"/>
      <c r="S942" s="212"/>
      <c r="T942" s="212"/>
      <c r="U942" s="212"/>
      <c r="V942" s="212"/>
      <c r="W942" s="212"/>
      <c r="X942" s="214"/>
    </row>
    <row r="943" spans="1:24" ht="15">
      <c r="A943" s="211" t="s">
        <v>4062</v>
      </c>
      <c r="B943" s="225" t="s">
        <v>4063</v>
      </c>
      <c r="C943" s="220" t="s">
        <v>68</v>
      </c>
      <c r="D943" s="220" t="s">
        <v>99</v>
      </c>
      <c r="E943" s="220" t="s">
        <v>100</v>
      </c>
      <c r="F943" s="220" t="s">
        <v>109</v>
      </c>
      <c r="G943" s="220" t="s">
        <v>110</v>
      </c>
      <c r="H943" s="220" t="s">
        <v>111</v>
      </c>
      <c r="I943" s="220" t="s">
        <v>112</v>
      </c>
      <c r="J943" s="220" t="s">
        <v>105</v>
      </c>
      <c r="K943" s="220" t="s">
        <v>106</v>
      </c>
      <c r="L943" s="220" t="s">
        <v>107</v>
      </c>
      <c r="M943" s="221">
        <f t="shared" ref="M943:M949" si="221">IF(W943&lt;&gt;"", W943, ROUNDUP(X943*T943, 0))</f>
        <v>6</v>
      </c>
      <c r="N943" s="443" cm="1">
        <f t="array" ref="N943">IF(TRIM(K943)="Mano de Obra",IF(Formulario!$L$23&lt;&gt;"",Formulario!$L$23,IFERROR(VLOOKUP(TRIM($M$4),Jornalesdeppto!A:C,3,0),"")),_xlfn.XLOOKUP(1,(Tabla_Costos_Insumos!$A$2:$A$3199=TRIM($M$4))*(Tabla_Costos_Insumos!$C$2:$C$3199=TRIM(K943)),Tabla_Costos_Insumos!$E$2:$E$3199,"",0))</f>
        <v>46666.666666666664</v>
      </c>
      <c r="O943" s="443">
        <f t="shared" si="218"/>
        <v>280000</v>
      </c>
      <c r="P943" s="212" t="str">
        <f t="shared" si="216"/>
        <v>Naranja Valencia</v>
      </c>
      <c r="Q943" s="212"/>
      <c r="R943" s="212">
        <v>0.4</v>
      </c>
      <c r="S943" s="212">
        <f>R943*I3/480</f>
        <v>1.2833333333333334</v>
      </c>
      <c r="T943" s="212" cm="1">
        <f t="array" ref="T943">_xlfn.IFS($D$5&lt;=7, 1.1, $D$5&lt;=12,1.2, $D$5&lt;=25, 1.3, $D$5&gt;25,1.4)</f>
        <v>1.3</v>
      </c>
      <c r="U943" s="212">
        <f t="shared" ref="U943:U949" si="222">IFERROR(S943*T943,"")</f>
        <v>1.6683333333333334</v>
      </c>
      <c r="V943" s="212">
        <v>4</v>
      </c>
      <c r="W943" s="212"/>
      <c r="X943" s="214">
        <v>4</v>
      </c>
    </row>
    <row r="944" spans="1:24" ht="15">
      <c r="A944" s="211" t="s">
        <v>4062</v>
      </c>
      <c r="B944" s="225" t="s">
        <v>4063</v>
      </c>
      <c r="C944" s="220" t="s">
        <v>68</v>
      </c>
      <c r="D944" s="220" t="s">
        <v>99</v>
      </c>
      <c r="E944" s="220" t="s">
        <v>100</v>
      </c>
      <c r="F944" s="220" t="s">
        <v>109</v>
      </c>
      <c r="G944" s="220" t="s">
        <v>110</v>
      </c>
      <c r="H944" s="220" t="s">
        <v>234</v>
      </c>
      <c r="I944" s="220" t="s">
        <v>235</v>
      </c>
      <c r="J944" s="220" t="s">
        <v>105</v>
      </c>
      <c r="K944" s="220" t="s">
        <v>106</v>
      </c>
      <c r="L944" s="220" t="s">
        <v>107</v>
      </c>
      <c r="M944" s="221">
        <f t="shared" si="221"/>
        <v>13</v>
      </c>
      <c r="N944" s="443" cm="1">
        <f t="array" ref="N944">IF(TRIM(K944)="Mano de Obra",IF(Formulario!$L$23&lt;&gt;"",Formulario!$L$23,IFERROR(VLOOKUP(TRIM($M$4),Jornalesdeppto!A:C,3,0),"")),_xlfn.XLOOKUP(1,(Tabla_Costos_Insumos!$A$2:$A$3199=TRIM($M$4))*(Tabla_Costos_Insumos!$C$2:$C$3199=TRIM(K944)),Tabla_Costos_Insumos!$E$2:$E$3199,"",0))</f>
        <v>46666.666666666664</v>
      </c>
      <c r="O944" s="443">
        <f t="shared" si="218"/>
        <v>606666.66666666663</v>
      </c>
      <c r="P944" s="212" t="str">
        <f t="shared" si="216"/>
        <v>Naranja Valencia</v>
      </c>
      <c r="Q944" s="212"/>
      <c r="R944" s="212">
        <v>1</v>
      </c>
      <c r="S944" s="212">
        <f>R944*$I$3/480</f>
        <v>3.2083333333333335</v>
      </c>
      <c r="T944" s="212" cm="1">
        <f t="array" ref="T944">_xlfn.IFS($D$5&lt;=7, 1.1, $D$5&lt;=12,1.2, $D$5&lt;=25, 1.3, $D$5&gt;25,1.4)</f>
        <v>1.3</v>
      </c>
      <c r="U944" s="212">
        <f t="shared" si="222"/>
        <v>4.1708333333333334</v>
      </c>
      <c r="V944" s="212">
        <v>4</v>
      </c>
      <c r="W944" s="212"/>
      <c r="X944" s="214">
        <v>10</v>
      </c>
    </row>
    <row r="945" spans="1:24" ht="15">
      <c r="A945" s="211" t="s">
        <v>4062</v>
      </c>
      <c r="B945" s="225" t="s">
        <v>4063</v>
      </c>
      <c r="C945" s="220" t="s">
        <v>68</v>
      </c>
      <c r="D945" s="220" t="s">
        <v>99</v>
      </c>
      <c r="E945" s="220" t="s">
        <v>100</v>
      </c>
      <c r="F945" s="220" t="s">
        <v>113</v>
      </c>
      <c r="G945" s="220" t="s">
        <v>114</v>
      </c>
      <c r="H945" s="220" t="s">
        <v>115</v>
      </c>
      <c r="I945" s="220" t="s">
        <v>116</v>
      </c>
      <c r="J945" s="220" t="s">
        <v>105</v>
      </c>
      <c r="K945" s="220" t="s">
        <v>106</v>
      </c>
      <c r="L945" s="220" t="s">
        <v>107</v>
      </c>
      <c r="M945" s="221">
        <f t="shared" si="221"/>
        <v>6</v>
      </c>
      <c r="N945" s="443" cm="1">
        <f t="array" ref="N945">IF(TRIM(K945)="Mano de Obra",IF(Formulario!$L$23&lt;&gt;"",Formulario!$L$23,IFERROR(VLOOKUP(TRIM($M$4),Jornalesdeppto!A:C,3,0),"")),_xlfn.XLOOKUP(1,(Tabla_Costos_Insumos!$A$2:$A$3199=TRIM($M$4))*(Tabla_Costos_Insumos!$C$2:$C$3199=TRIM(K945)),Tabla_Costos_Insumos!$E$2:$E$3199,"",0))</f>
        <v>46666.666666666664</v>
      </c>
      <c r="O945" s="443">
        <f t="shared" si="218"/>
        <v>280000</v>
      </c>
      <c r="P945" s="212" t="str">
        <f t="shared" si="216"/>
        <v>Naranja Valencia</v>
      </c>
      <c r="Q945" s="212"/>
      <c r="R945" s="212">
        <v>3</v>
      </c>
      <c r="S945" s="212">
        <f>R945*$I$3/480</f>
        <v>9.625</v>
      </c>
      <c r="T945" s="212" cm="1">
        <f t="array" ref="T945">_xlfn.IFS($D$5&lt;=7, 1.1, $D$5&lt;=12,1.2, $D$5&lt;=25, 1.3, $D$5&gt;25,1.4)</f>
        <v>1.3</v>
      </c>
      <c r="U945" s="212">
        <f t="shared" si="222"/>
        <v>12.512500000000001</v>
      </c>
      <c r="V945" s="212">
        <v>4</v>
      </c>
      <c r="W945" s="212"/>
      <c r="X945" s="214">
        <v>4</v>
      </c>
    </row>
    <row r="946" spans="1:24" ht="15">
      <c r="A946" s="211" t="s">
        <v>4062</v>
      </c>
      <c r="B946" s="225" t="s">
        <v>4063</v>
      </c>
      <c r="C946" s="220" t="s">
        <v>68</v>
      </c>
      <c r="D946" s="220" t="s">
        <v>99</v>
      </c>
      <c r="E946" s="220" t="s">
        <v>100</v>
      </c>
      <c r="F946" s="220" t="s">
        <v>117</v>
      </c>
      <c r="G946" s="220" t="s">
        <v>118</v>
      </c>
      <c r="H946" s="220" t="s">
        <v>119</v>
      </c>
      <c r="I946" s="220" t="s">
        <v>120</v>
      </c>
      <c r="J946" s="220" t="s">
        <v>105</v>
      </c>
      <c r="K946" s="220" t="s">
        <v>106</v>
      </c>
      <c r="L946" s="220" t="s">
        <v>107</v>
      </c>
      <c r="M946" s="221">
        <f t="shared" si="221"/>
        <v>12</v>
      </c>
      <c r="N946" s="443" cm="1">
        <f t="array" ref="N946">IF(TRIM(K946)="Mano de Obra",IF(Formulario!$L$23&lt;&gt;"",Formulario!$L$23,IFERROR(VLOOKUP(TRIM($M$4),Jornalesdeppto!A:C,3,0),"")),_xlfn.XLOOKUP(1,(Tabla_Costos_Insumos!$A$2:$A$3199=TRIM($M$4))*(Tabla_Costos_Insumos!$C$2:$C$3199=TRIM(K946)),Tabla_Costos_Insumos!$E$2:$E$3199,"",0))</f>
        <v>46666.666666666664</v>
      </c>
      <c r="O946" s="443">
        <f t="shared" si="218"/>
        <v>560000</v>
      </c>
      <c r="P946" s="212" t="str">
        <f t="shared" si="216"/>
        <v>Naranja Valencia</v>
      </c>
      <c r="Q946" s="212"/>
      <c r="R946" s="212">
        <v>4.7</v>
      </c>
      <c r="S946" s="212">
        <f>R946*$I$3/480</f>
        <v>15.079166666666667</v>
      </c>
      <c r="T946" s="212" cm="1">
        <f t="array" ref="T946">_xlfn.IFS($D$5&lt;=7, 1.1, $D$5&lt;=12,1.2, $D$5&lt;=25, 1.3, $D$5&gt;25,1.4)</f>
        <v>1.3</v>
      </c>
      <c r="U946" s="212">
        <f t="shared" si="222"/>
        <v>19.602916666666669</v>
      </c>
      <c r="V946" s="212">
        <v>9</v>
      </c>
      <c r="W946" s="212"/>
      <c r="X946" s="214">
        <v>9</v>
      </c>
    </row>
    <row r="947" spans="1:24" ht="15">
      <c r="A947" s="211" t="s">
        <v>4062</v>
      </c>
      <c r="B947" s="225" t="s">
        <v>4063</v>
      </c>
      <c r="C947" s="220" t="s">
        <v>68</v>
      </c>
      <c r="D947" s="220" t="s">
        <v>99</v>
      </c>
      <c r="E947" s="220" t="s">
        <v>100</v>
      </c>
      <c r="F947" s="220" t="s">
        <v>117</v>
      </c>
      <c r="G947" s="220" t="s">
        <v>118</v>
      </c>
      <c r="H947" s="220" t="s">
        <v>121</v>
      </c>
      <c r="I947" s="220" t="s">
        <v>122</v>
      </c>
      <c r="J947" s="220" t="s">
        <v>105</v>
      </c>
      <c r="K947" s="220" t="s">
        <v>106</v>
      </c>
      <c r="L947" s="220" t="s">
        <v>107</v>
      </c>
      <c r="M947" s="221">
        <f t="shared" si="221"/>
        <v>12</v>
      </c>
      <c r="N947" s="443" cm="1">
        <f t="array" ref="N947">IF(TRIM(K947)="Mano de Obra",IF(Formulario!$L$23&lt;&gt;"",Formulario!$L$23,IFERROR(VLOOKUP(TRIM($M$4),Jornalesdeppto!A:C,3,0),"")),_xlfn.XLOOKUP(1,(Tabla_Costos_Insumos!$A$2:$A$3199=TRIM($M$4))*(Tabla_Costos_Insumos!$C$2:$C$3199=TRIM(K947)),Tabla_Costos_Insumos!$E$2:$E$3199,"",0))</f>
        <v>46666.666666666664</v>
      </c>
      <c r="O947" s="443">
        <f t="shared" si="218"/>
        <v>560000</v>
      </c>
      <c r="P947" s="212" t="str">
        <f t="shared" si="216"/>
        <v>Naranja Valencia</v>
      </c>
      <c r="Q947" s="212"/>
      <c r="R947" s="212">
        <v>4.7</v>
      </c>
      <c r="S947" s="212">
        <f>R947*$I$3/480</f>
        <v>15.079166666666667</v>
      </c>
      <c r="T947" s="212" cm="1">
        <f t="array" ref="T947">_xlfn.IFS($D$5&lt;=7, 1.1, $D$5&lt;=12,1.2, $D$5&lt;=25, 1.3, $D$5&gt;25,1.4)</f>
        <v>1.3</v>
      </c>
      <c r="U947" s="212">
        <f t="shared" si="222"/>
        <v>19.602916666666669</v>
      </c>
      <c r="V947" s="212">
        <v>9</v>
      </c>
      <c r="W947" s="212"/>
      <c r="X947" s="214">
        <v>9</v>
      </c>
    </row>
    <row r="948" spans="1:24" ht="15">
      <c r="A948" s="211" t="s">
        <v>4062</v>
      </c>
      <c r="B948" s="225" t="s">
        <v>4063</v>
      </c>
      <c r="C948" s="220" t="s">
        <v>68</v>
      </c>
      <c r="D948" s="220" t="s">
        <v>99</v>
      </c>
      <c r="E948" s="220" t="s">
        <v>100</v>
      </c>
      <c r="F948" s="220" t="s">
        <v>130</v>
      </c>
      <c r="G948" s="220" t="s">
        <v>131</v>
      </c>
      <c r="H948" s="220" t="s">
        <v>132</v>
      </c>
      <c r="I948" s="220" t="s">
        <v>133</v>
      </c>
      <c r="J948" s="220" t="s">
        <v>105</v>
      </c>
      <c r="K948" s="220" t="s">
        <v>106</v>
      </c>
      <c r="L948" s="220" t="s">
        <v>107</v>
      </c>
      <c r="M948" s="221">
        <f t="shared" si="221"/>
        <v>12</v>
      </c>
      <c r="N948" s="443" cm="1">
        <f t="array" ref="N948">IF(TRIM(K948)="Mano de Obra",IF(Formulario!$L$23&lt;&gt;"",Formulario!$L$23,IFERROR(VLOOKUP(TRIM($M$4),Jornalesdeppto!A:C,3,0),"")),_xlfn.XLOOKUP(1,(Tabla_Costos_Insumos!$A$2:$A$3199=TRIM($M$4))*(Tabla_Costos_Insumos!$C$2:$C$3199=TRIM(K948)),Tabla_Costos_Insumos!$E$2:$E$3199,"",0))</f>
        <v>46666.666666666664</v>
      </c>
      <c r="O948" s="443">
        <f t="shared" si="218"/>
        <v>560000</v>
      </c>
      <c r="P948" s="212" t="str">
        <f t="shared" si="216"/>
        <v>Naranja Valencia</v>
      </c>
      <c r="Q948" s="212"/>
      <c r="R948" s="212">
        <v>0.09</v>
      </c>
      <c r="S948" s="212">
        <f t="shared" ref="S948:S949" si="223">10000*R948/480</f>
        <v>1.875</v>
      </c>
      <c r="T948" s="212" cm="1">
        <f t="array" ref="T948">_xlfn.IFS($D$5&lt;=7, 1.1, $D$5&lt;=12,1.2, $D$5&lt;=25, 1.3, $D$5&gt;25,1.4)</f>
        <v>1.3</v>
      </c>
      <c r="U948" s="212">
        <f t="shared" si="222"/>
        <v>2.4375</v>
      </c>
      <c r="V948" s="212">
        <v>4</v>
      </c>
      <c r="W948" s="212"/>
      <c r="X948" s="214">
        <v>9</v>
      </c>
    </row>
    <row r="949" spans="1:24" ht="15">
      <c r="A949" s="211" t="s">
        <v>4062</v>
      </c>
      <c r="B949" s="225" t="s">
        <v>4063</v>
      </c>
      <c r="C949" s="220" t="s">
        <v>68</v>
      </c>
      <c r="D949" s="220" t="s">
        <v>99</v>
      </c>
      <c r="E949" s="220" t="s">
        <v>100</v>
      </c>
      <c r="F949" s="220" t="s">
        <v>130</v>
      </c>
      <c r="G949" s="220" t="s">
        <v>131</v>
      </c>
      <c r="H949" s="220" t="s">
        <v>136</v>
      </c>
      <c r="I949" s="220" t="s">
        <v>137</v>
      </c>
      <c r="J949" s="220" t="s">
        <v>105</v>
      </c>
      <c r="K949" s="220" t="s">
        <v>106</v>
      </c>
      <c r="L949" s="220" t="s">
        <v>107</v>
      </c>
      <c r="M949" s="221">
        <f t="shared" si="221"/>
        <v>3</v>
      </c>
      <c r="N949" s="443" cm="1">
        <f t="array" ref="N949">IF(TRIM(K949)="Mano de Obra",IF(Formulario!$L$23&lt;&gt;"",Formulario!$L$23,IFERROR(VLOOKUP(TRIM($M$4),Jornalesdeppto!A:C,3,0),"")),_xlfn.XLOOKUP(1,(Tabla_Costos_Insumos!$A$2:$A$3199=TRIM($M$4))*(Tabla_Costos_Insumos!$C$2:$C$3199=TRIM(K949)),Tabla_Costos_Insumos!$E$2:$E$3199,"",0))</f>
        <v>46666.666666666664</v>
      </c>
      <c r="O949" s="443">
        <f t="shared" si="218"/>
        <v>140000</v>
      </c>
      <c r="P949" s="212" t="str">
        <f t="shared" si="216"/>
        <v>Naranja Valencia</v>
      </c>
      <c r="Q949" s="212"/>
      <c r="R949" s="212">
        <v>0.09</v>
      </c>
      <c r="S949" s="212">
        <f t="shared" si="223"/>
        <v>1.875</v>
      </c>
      <c r="T949" s="212" cm="1">
        <f t="array" ref="T949">_xlfn.IFS($D$5&lt;=7, 1.1, $D$5&lt;=12,1.2, $D$5&lt;=25, 1.3, $D$5&gt;25,1.4)</f>
        <v>1.3</v>
      </c>
      <c r="U949" s="212">
        <f t="shared" si="222"/>
        <v>2.4375</v>
      </c>
      <c r="V949" s="212">
        <v>4</v>
      </c>
      <c r="W949" s="212"/>
      <c r="X949" s="214">
        <v>2</v>
      </c>
    </row>
    <row r="950" spans="1:24" ht="15">
      <c r="A950" s="211" t="s">
        <v>4062</v>
      </c>
      <c r="B950" s="225" t="s">
        <v>4063</v>
      </c>
      <c r="C950" s="220" t="s">
        <v>68</v>
      </c>
      <c r="D950" s="220" t="s">
        <v>145</v>
      </c>
      <c r="E950" s="220" t="s">
        <v>146</v>
      </c>
      <c r="F950" s="220" t="s">
        <v>147</v>
      </c>
      <c r="G950" s="220" t="s">
        <v>131</v>
      </c>
      <c r="H950" s="220" t="s">
        <v>148</v>
      </c>
      <c r="I950" s="220" t="s">
        <v>266</v>
      </c>
      <c r="J950" s="220" t="s">
        <v>149</v>
      </c>
      <c r="K950" s="220" t="s">
        <v>150</v>
      </c>
      <c r="L950" s="220" t="s">
        <v>151</v>
      </c>
      <c r="M950" s="221">
        <v>2</v>
      </c>
      <c r="N950" s="443" cm="1">
        <f t="array" ref="N950">IF(TRIM(K950)="Mano de Obra",IF(Formulario!$L$23&lt;&gt;"",Formulario!$L$23,IFERROR(VLOOKUP(TRIM($M$4),Jornalesdeppto!A:C,3,0),"")),_xlfn.XLOOKUP(1,(Tabla_Costos_Insumos!$A$2:$A$3199=TRIM($M$4))*(Tabla_Costos_Insumos!$C$2:$C$3199=TRIM(K950)),Tabla_Costos_Insumos!$E$2:$E$3199,"",0))</f>
        <v>198055.68333333</v>
      </c>
      <c r="O950" s="443">
        <f t="shared" si="218"/>
        <v>396111.36666666</v>
      </c>
      <c r="P950" s="212" t="str">
        <f t="shared" si="216"/>
        <v>Naranja Valencia</v>
      </c>
      <c r="Q950" s="212"/>
      <c r="R950" s="212"/>
      <c r="S950" s="212"/>
      <c r="T950" s="212"/>
      <c r="U950" s="212"/>
      <c r="V950" s="212"/>
      <c r="W950" s="212"/>
      <c r="X950" s="214"/>
    </row>
    <row r="951" spans="1:24" ht="15">
      <c r="A951" s="211" t="s">
        <v>4062</v>
      </c>
      <c r="B951" s="225" t="s">
        <v>4063</v>
      </c>
      <c r="C951" s="220" t="s">
        <v>68</v>
      </c>
      <c r="D951" s="220" t="s">
        <v>145</v>
      </c>
      <c r="E951" s="220" t="s">
        <v>146</v>
      </c>
      <c r="F951" s="220" t="s">
        <v>147</v>
      </c>
      <c r="G951" s="220" t="s">
        <v>131</v>
      </c>
      <c r="H951" s="220" t="s">
        <v>165</v>
      </c>
      <c r="I951" s="220" t="s">
        <v>153</v>
      </c>
      <c r="J951" s="220" t="s">
        <v>149</v>
      </c>
      <c r="K951" s="220" t="s">
        <v>4110</v>
      </c>
      <c r="L951" s="220" t="s">
        <v>151</v>
      </c>
      <c r="M951" s="221">
        <v>3</v>
      </c>
      <c r="N951" s="443" cm="1">
        <f t="array" ref="N951">IF(TRIM(K951)="Mano de Obra",IF(Formulario!$L$23&lt;&gt;"",Formulario!$L$23,IFERROR(VLOOKUP(TRIM($M$4),Jornalesdeppto!A:C,3,0),"")),_xlfn.XLOOKUP(1,(Tabla_Costos_Insumos!$A$2:$A$3199=TRIM($M$4))*(Tabla_Costos_Insumos!$C$2:$C$3199=TRIM(K951)),Tabla_Costos_Insumos!$E$2:$E$3199,"",0))</f>
        <v>125849.2424242409</v>
      </c>
      <c r="O951" s="443">
        <f t="shared" si="218"/>
        <v>377547.7272727227</v>
      </c>
      <c r="P951" s="212" t="str">
        <f t="shared" ref="P951:P1014" si="224">CONCATENATE(A951," ",B951)</f>
        <v>Naranja Valencia</v>
      </c>
      <c r="Q951" s="212"/>
      <c r="R951" s="212"/>
      <c r="S951" s="212"/>
      <c r="T951" s="212"/>
      <c r="U951" s="212"/>
      <c r="V951" s="212"/>
      <c r="W951" s="212"/>
      <c r="X951" s="214"/>
    </row>
    <row r="952" spans="1:24" ht="15">
      <c r="A952" s="211" t="s">
        <v>4062</v>
      </c>
      <c r="B952" s="225" t="s">
        <v>4063</v>
      </c>
      <c r="C952" s="220" t="s">
        <v>68</v>
      </c>
      <c r="D952" s="220" t="s">
        <v>145</v>
      </c>
      <c r="E952" s="220" t="s">
        <v>146</v>
      </c>
      <c r="F952" s="220" t="s">
        <v>147</v>
      </c>
      <c r="G952" s="220" t="s">
        <v>131</v>
      </c>
      <c r="H952" s="220" t="s">
        <v>154</v>
      </c>
      <c r="I952" s="220" t="s">
        <v>155</v>
      </c>
      <c r="J952" s="220" t="s">
        <v>149</v>
      </c>
      <c r="K952" s="220" t="s">
        <v>156</v>
      </c>
      <c r="L952" s="220" t="s">
        <v>151</v>
      </c>
      <c r="M952" s="221">
        <v>5</v>
      </c>
      <c r="N952" s="443" cm="1">
        <f t="array" ref="N952">IF(TRIM(K952)="Mano de Obra",IF(Formulario!$L$23&lt;&gt;"",Formulario!$L$23,IFERROR(VLOOKUP(TRIM($M$4),Jornalesdeppto!A:C,3,0),"")),_xlfn.XLOOKUP(1,(Tabla_Costos_Insumos!$A$2:$A$3199=TRIM($M$4))*(Tabla_Costos_Insumos!$C$2:$C$3199=TRIM(K952)),Tabla_Costos_Insumos!$E$2:$E$3199,"",0))</f>
        <v>17212.5</v>
      </c>
      <c r="O952" s="443">
        <f t="shared" si="218"/>
        <v>86062.5</v>
      </c>
      <c r="P952" s="212" t="str">
        <f t="shared" si="224"/>
        <v>Naranja Valencia</v>
      </c>
      <c r="Q952" s="212"/>
      <c r="R952" s="212"/>
      <c r="S952" s="212"/>
      <c r="T952" s="212"/>
      <c r="U952" s="212"/>
      <c r="V952" s="212"/>
      <c r="W952" s="212"/>
      <c r="X952" s="214"/>
    </row>
    <row r="953" spans="1:24" ht="15">
      <c r="A953" s="211" t="s">
        <v>4062</v>
      </c>
      <c r="B953" s="225" t="s">
        <v>4063</v>
      </c>
      <c r="C953" s="220" t="s">
        <v>68</v>
      </c>
      <c r="D953" s="220" t="s">
        <v>145</v>
      </c>
      <c r="E953" s="220" t="s">
        <v>146</v>
      </c>
      <c r="F953" s="220" t="s">
        <v>147</v>
      </c>
      <c r="G953" s="220" t="s">
        <v>131</v>
      </c>
      <c r="H953" s="220" t="s">
        <v>157</v>
      </c>
      <c r="I953" s="220" t="s">
        <v>158</v>
      </c>
      <c r="J953" s="220" t="s">
        <v>149</v>
      </c>
      <c r="K953" s="220" t="s">
        <v>237</v>
      </c>
      <c r="L953" s="220" t="s">
        <v>172</v>
      </c>
      <c r="M953" s="221">
        <v>6</v>
      </c>
      <c r="N953" s="443" cm="1">
        <f t="array" ref="N953">IF(TRIM(K953)="Mano de Obra",IF(Formulario!$L$23&lt;&gt;"",Formulario!$L$23,IFERROR(VLOOKUP(TRIM($M$4),Jornalesdeppto!A:C,3,0),"")),_xlfn.XLOOKUP(1,(Tabla_Costos_Insumos!$A$2:$A$3199=TRIM($M$4))*(Tabla_Costos_Insumos!$C$2:$C$3199=TRIM(K953)),Tabla_Costos_Insumos!$E$2:$E$3199,"",0))</f>
        <v>26190.48</v>
      </c>
      <c r="O953" s="443">
        <f t="shared" si="218"/>
        <v>157142.88</v>
      </c>
      <c r="P953" s="212" t="str">
        <f t="shared" si="224"/>
        <v>Naranja Valencia</v>
      </c>
      <c r="Q953" s="212"/>
      <c r="R953" s="212"/>
      <c r="S953" s="212"/>
      <c r="T953" s="212"/>
      <c r="U953" s="212"/>
      <c r="V953" s="212"/>
      <c r="W953" s="212"/>
      <c r="X953" s="214"/>
    </row>
    <row r="954" spans="1:24" ht="15">
      <c r="A954" s="211" t="s">
        <v>4062</v>
      </c>
      <c r="B954" s="225" t="s">
        <v>4063</v>
      </c>
      <c r="C954" s="220" t="s">
        <v>68</v>
      </c>
      <c r="D954" s="220" t="s">
        <v>145</v>
      </c>
      <c r="E954" s="220" t="s">
        <v>146</v>
      </c>
      <c r="F954" s="220" t="s">
        <v>147</v>
      </c>
      <c r="G954" s="220" t="s">
        <v>131</v>
      </c>
      <c r="H954" s="220" t="s">
        <v>161</v>
      </c>
      <c r="I954" s="220" t="s">
        <v>162</v>
      </c>
      <c r="J954" s="220" t="s">
        <v>149</v>
      </c>
      <c r="K954" s="220" t="s">
        <v>163</v>
      </c>
      <c r="L954" s="220" t="s">
        <v>164</v>
      </c>
      <c r="M954" s="221">
        <v>2</v>
      </c>
      <c r="N954" s="443" cm="1">
        <f t="array" ref="N954">IF(TRIM(K954)="Mano de Obra",IF(Formulario!$L$23&lt;&gt;"",Formulario!$L$23,IFERROR(VLOOKUP(TRIM($M$4),Jornalesdeppto!A:C,3,0),"")),_xlfn.XLOOKUP(1,(Tabla_Costos_Insumos!$A$2:$A$3199=TRIM($M$4))*(Tabla_Costos_Insumos!$C$2:$C$3199=TRIM(K954)),Tabla_Costos_Insumos!$E$2:$E$3199,"",0))</f>
        <v>128084.44444445</v>
      </c>
      <c r="O954" s="443">
        <f t="shared" si="218"/>
        <v>256168.88888889999</v>
      </c>
      <c r="P954" s="212" t="str">
        <f t="shared" si="224"/>
        <v>Naranja Valencia</v>
      </c>
      <c r="Q954" s="212"/>
      <c r="R954" s="212"/>
      <c r="S954" s="212"/>
      <c r="T954" s="212"/>
      <c r="U954" s="212"/>
      <c r="V954" s="212"/>
      <c r="W954" s="212"/>
      <c r="X954" s="214"/>
    </row>
    <row r="955" spans="1:24" ht="15">
      <c r="A955" s="211" t="s">
        <v>4062</v>
      </c>
      <c r="B955" s="225" t="s">
        <v>4063</v>
      </c>
      <c r="C955" s="220" t="s">
        <v>68</v>
      </c>
      <c r="D955" s="220" t="s">
        <v>145</v>
      </c>
      <c r="E955" s="220" t="s">
        <v>146</v>
      </c>
      <c r="F955" s="220" t="s">
        <v>147</v>
      </c>
      <c r="G955" s="220" t="s">
        <v>131</v>
      </c>
      <c r="H955" s="220" t="s">
        <v>165</v>
      </c>
      <c r="I955" s="220" t="s">
        <v>153</v>
      </c>
      <c r="J955" s="220" t="s">
        <v>149</v>
      </c>
      <c r="K955" s="220" t="s">
        <v>166</v>
      </c>
      <c r="L955" s="220" t="s">
        <v>151</v>
      </c>
      <c r="M955" s="221">
        <v>3</v>
      </c>
      <c r="N955" s="443" cm="1">
        <f t="array" ref="N955">IF(TRIM(K955)="Mano de Obra",IF(Formulario!$L$23&lt;&gt;"",Formulario!$L$23,IFERROR(VLOOKUP(TRIM($M$4),Jornalesdeppto!A:C,3,0),"")),_xlfn.XLOOKUP(1,(Tabla_Costos_Insumos!$A$2:$A$3199=TRIM($M$4))*(Tabla_Costos_Insumos!$C$2:$C$3199=TRIM(K955)),Tabla_Costos_Insumos!$E$2:$E$3199,"",0))</f>
        <v>110000</v>
      </c>
      <c r="O955" s="443">
        <f t="shared" si="218"/>
        <v>330000</v>
      </c>
      <c r="P955" s="212" t="str">
        <f t="shared" si="224"/>
        <v>Naranja Valencia</v>
      </c>
      <c r="Q955" s="212"/>
      <c r="R955" s="212"/>
      <c r="S955" s="212"/>
      <c r="T955" s="212"/>
      <c r="U955" s="212"/>
      <c r="V955" s="212"/>
      <c r="W955" s="212"/>
      <c r="X955" s="214"/>
    </row>
    <row r="956" spans="1:24" ht="15">
      <c r="A956" s="211" t="s">
        <v>4062</v>
      </c>
      <c r="B956" s="225" t="s">
        <v>4063</v>
      </c>
      <c r="C956" s="220" t="s">
        <v>68</v>
      </c>
      <c r="D956" s="220" t="s">
        <v>145</v>
      </c>
      <c r="E956" s="220" t="s">
        <v>146</v>
      </c>
      <c r="F956" s="220" t="s">
        <v>167</v>
      </c>
      <c r="G956" s="220" t="s">
        <v>118</v>
      </c>
      <c r="H956" s="220" t="s">
        <v>168</v>
      </c>
      <c r="I956" s="220" t="s">
        <v>169</v>
      </c>
      <c r="J956" s="220" t="s">
        <v>170</v>
      </c>
      <c r="K956" s="220" t="s">
        <v>260</v>
      </c>
      <c r="L956" s="220" t="s">
        <v>268</v>
      </c>
      <c r="M956" s="221">
        <v>24</v>
      </c>
      <c r="N956" s="443" cm="1">
        <f t="array" ref="N956">IF(TRIM(K956)="Mano de Obra",IF(Formulario!$L$23&lt;&gt;"",Formulario!$L$23,IFERROR(VLOOKUP(TRIM($M$4),Jornalesdeppto!A:C,3,0),"")),_xlfn.XLOOKUP(1,(Tabla_Costos_Insumos!$A$2:$A$3199=TRIM($M$4))*(Tabla_Costos_Insumos!$C$2:$C$3199=TRIM(K956)),Tabla_Costos_Insumos!$E$2:$E$3199,"",0))</f>
        <v>25534.226046466123</v>
      </c>
      <c r="O956" s="443">
        <f t="shared" si="218"/>
        <v>612821.42511518695</v>
      </c>
      <c r="P956" s="212" t="str">
        <f t="shared" si="224"/>
        <v>Naranja Valencia</v>
      </c>
      <c r="Q956" s="212"/>
      <c r="R956" s="212"/>
      <c r="S956" s="212"/>
      <c r="T956" s="212"/>
      <c r="U956" s="212"/>
      <c r="V956" s="212"/>
      <c r="W956" s="212"/>
      <c r="X956" s="214"/>
    </row>
    <row r="957" spans="1:24" ht="15">
      <c r="A957" s="211" t="s">
        <v>4062</v>
      </c>
      <c r="B957" s="225" t="s">
        <v>4063</v>
      </c>
      <c r="C957" s="220" t="s">
        <v>68</v>
      </c>
      <c r="D957" s="220" t="s">
        <v>145</v>
      </c>
      <c r="E957" s="220" t="s">
        <v>146</v>
      </c>
      <c r="F957" s="220" t="s">
        <v>167</v>
      </c>
      <c r="G957" s="220" t="s">
        <v>118</v>
      </c>
      <c r="H957" s="220" t="s">
        <v>168</v>
      </c>
      <c r="I957" s="220" t="s">
        <v>169</v>
      </c>
      <c r="J957" s="220" t="s">
        <v>170</v>
      </c>
      <c r="K957" s="220" t="s">
        <v>251</v>
      </c>
      <c r="L957" s="220" t="s">
        <v>226</v>
      </c>
      <c r="M957" s="221">
        <v>5</v>
      </c>
      <c r="N957" s="443" cm="1">
        <f t="array" ref="N957">IF(TRIM(K957)="Mano de Obra",IF(Formulario!$L$23&lt;&gt;"",Formulario!$L$23,IFERROR(VLOOKUP(TRIM($M$4),Jornalesdeppto!A:C,3,0),"")),_xlfn.XLOOKUP(1,(Tabla_Costos_Insumos!$A$2:$A$3199=TRIM($M$4))*(Tabla_Costos_Insumos!$C$2:$C$3199=TRIM(K957)),Tabla_Costos_Insumos!$E$2:$E$3199,"",0))</f>
        <v>61445.54</v>
      </c>
      <c r="O957" s="443">
        <f t="shared" si="218"/>
        <v>307227.7</v>
      </c>
      <c r="P957" s="212" t="str">
        <f t="shared" si="224"/>
        <v>Naranja Valencia</v>
      </c>
      <c r="Q957" s="212"/>
      <c r="R957" s="212"/>
      <c r="S957" s="212"/>
      <c r="T957" s="212"/>
      <c r="U957" s="212"/>
      <c r="V957" s="212"/>
      <c r="W957" s="212"/>
      <c r="X957" s="214"/>
    </row>
    <row r="958" spans="1:24" ht="15">
      <c r="A958" s="211" t="s">
        <v>4062</v>
      </c>
      <c r="B958" s="225" t="s">
        <v>4063</v>
      </c>
      <c r="C958" s="220" t="s">
        <v>68</v>
      </c>
      <c r="D958" s="220" t="s">
        <v>145</v>
      </c>
      <c r="E958" s="220" t="s">
        <v>146</v>
      </c>
      <c r="F958" s="220" t="s">
        <v>167</v>
      </c>
      <c r="G958" s="220" t="s">
        <v>118</v>
      </c>
      <c r="H958" s="220" t="s">
        <v>174</v>
      </c>
      <c r="I958" s="220" t="s">
        <v>175</v>
      </c>
      <c r="J958" s="220" t="s">
        <v>176</v>
      </c>
      <c r="K958" s="220" t="s">
        <v>231</v>
      </c>
      <c r="L958" s="220" t="s">
        <v>172</v>
      </c>
      <c r="M958" s="221">
        <v>3</v>
      </c>
      <c r="N958" s="443" cm="1">
        <f t="array" ref="N958">IF(TRIM(K958)="Mano de Obra",IF(Formulario!$L$23&lt;&gt;"",Formulario!$L$23,IFERROR(VLOOKUP(TRIM($M$4),Jornalesdeppto!A:C,3,0),"")),_xlfn.XLOOKUP(1,(Tabla_Costos_Insumos!$A$2:$A$3199=TRIM($M$4))*(Tabla_Costos_Insumos!$C$2:$C$3199=TRIM(K958)),Tabla_Costos_Insumos!$E$2:$E$3199,"",0))</f>
        <v>23177.15</v>
      </c>
      <c r="O958" s="443">
        <f t="shared" si="218"/>
        <v>69531.450000000012</v>
      </c>
      <c r="P958" s="212" t="str">
        <f t="shared" si="224"/>
        <v>Naranja Valencia</v>
      </c>
      <c r="Q958" s="212"/>
      <c r="R958" s="212"/>
      <c r="S958" s="212"/>
      <c r="T958" s="212"/>
      <c r="U958" s="212"/>
      <c r="V958" s="212"/>
      <c r="W958" s="212"/>
      <c r="X958" s="214"/>
    </row>
    <row r="959" spans="1:24" ht="15">
      <c r="A959" s="211" t="s">
        <v>4062</v>
      </c>
      <c r="B959" s="225" t="s">
        <v>4063</v>
      </c>
      <c r="C959" s="220" t="s">
        <v>68</v>
      </c>
      <c r="D959" s="220" t="s">
        <v>145</v>
      </c>
      <c r="E959" s="220" t="s">
        <v>146</v>
      </c>
      <c r="F959" s="220" t="s">
        <v>167</v>
      </c>
      <c r="G959" s="220" t="s">
        <v>118</v>
      </c>
      <c r="H959" s="220" t="s">
        <v>178</v>
      </c>
      <c r="I959" s="220" t="s">
        <v>179</v>
      </c>
      <c r="J959" s="220" t="s">
        <v>180</v>
      </c>
      <c r="K959" s="220" t="s">
        <v>263</v>
      </c>
      <c r="L959" s="220" t="s">
        <v>172</v>
      </c>
      <c r="M959" s="221">
        <v>3</v>
      </c>
      <c r="N959" s="443" cm="1">
        <f t="array" ref="N959">IF(TRIM(K959)="Mano de Obra",IF(Formulario!$L$23&lt;&gt;"",Formulario!$L$23,IFERROR(VLOOKUP(TRIM($M$4),Jornalesdeppto!A:C,3,0),"")),_xlfn.XLOOKUP(1,(Tabla_Costos_Insumos!$A$2:$A$3199=TRIM($M$4))*(Tabla_Costos_Insumos!$C$2:$C$3199=TRIM(K959)),Tabla_Costos_Insumos!$E$2:$E$3199,"",0))</f>
        <v>210423.61</v>
      </c>
      <c r="O959" s="443">
        <f t="shared" si="218"/>
        <v>631270.82999999996</v>
      </c>
      <c r="P959" s="212" t="str">
        <f t="shared" si="224"/>
        <v>Naranja Valencia</v>
      </c>
      <c r="Q959" s="212"/>
      <c r="R959" s="212"/>
      <c r="S959" s="212"/>
      <c r="T959" s="212"/>
      <c r="U959" s="212"/>
      <c r="V959" s="212"/>
      <c r="W959" s="212"/>
      <c r="X959" s="214"/>
    </row>
    <row r="960" spans="1:24" ht="15">
      <c r="A960" s="211" t="s">
        <v>4062</v>
      </c>
      <c r="B960" s="225" t="s">
        <v>4063</v>
      </c>
      <c r="C960" s="220" t="s">
        <v>68</v>
      </c>
      <c r="D960" s="220" t="s">
        <v>145</v>
      </c>
      <c r="E960" s="220" t="s">
        <v>146</v>
      </c>
      <c r="F960" s="220" t="s">
        <v>167</v>
      </c>
      <c r="G960" s="220" t="s">
        <v>118</v>
      </c>
      <c r="H960" s="220" t="s">
        <v>178</v>
      </c>
      <c r="I960" s="220" t="s">
        <v>179</v>
      </c>
      <c r="J960" s="220" t="s">
        <v>180</v>
      </c>
      <c r="K960" s="220" t="s">
        <v>181</v>
      </c>
      <c r="L960" s="220" t="s">
        <v>172</v>
      </c>
      <c r="M960" s="221">
        <v>8</v>
      </c>
      <c r="N960" s="443" cm="1">
        <f t="array" ref="N960">IF(TRIM(K960)="Mano de Obra",IF(Formulario!$L$23&lt;&gt;"",Formulario!$L$23,IFERROR(VLOOKUP(TRIM($M$4),Jornalesdeppto!A:C,3,0),"")),_xlfn.XLOOKUP(1,(Tabla_Costos_Insumos!$A$2:$A$3199=TRIM($M$4))*(Tabla_Costos_Insumos!$C$2:$C$3199=TRIM(K960)),Tabla_Costos_Insumos!$E$2:$E$3199,"",0))</f>
        <v>34056.25</v>
      </c>
      <c r="O960" s="443">
        <f t="shared" si="218"/>
        <v>272450</v>
      </c>
      <c r="P960" s="212" t="str">
        <f t="shared" si="224"/>
        <v>Naranja Valencia</v>
      </c>
      <c r="Q960" s="212"/>
      <c r="R960" s="212"/>
      <c r="S960" s="212"/>
      <c r="T960" s="212"/>
      <c r="U960" s="212"/>
      <c r="V960" s="212"/>
      <c r="W960" s="212"/>
      <c r="X960" s="214"/>
    </row>
    <row r="961" spans="1:24" ht="15">
      <c r="A961" s="211" t="s">
        <v>4062</v>
      </c>
      <c r="B961" s="225" t="s">
        <v>4063</v>
      </c>
      <c r="C961" s="220" t="s">
        <v>68</v>
      </c>
      <c r="D961" s="220" t="s">
        <v>145</v>
      </c>
      <c r="E961" s="220" t="s">
        <v>146</v>
      </c>
      <c r="F961" s="220" t="s">
        <v>183</v>
      </c>
      <c r="G961" s="220" t="s">
        <v>184</v>
      </c>
      <c r="H961" s="220" t="s">
        <v>185</v>
      </c>
      <c r="I961" s="220" t="s">
        <v>186</v>
      </c>
      <c r="J961" s="220" t="s">
        <v>105</v>
      </c>
      <c r="K961" s="220" t="s">
        <v>187</v>
      </c>
      <c r="L961" s="220" t="s">
        <v>188</v>
      </c>
      <c r="M961" s="221">
        <v>0.1</v>
      </c>
      <c r="N961" s="443" cm="1">
        <f t="array" ref="N961">IF(TRIM(K961)="Mano de Obra",IF(Formulario!$L$23&lt;&gt;"",Formulario!$L$23,IFERROR(VLOOKUP(TRIM($M$4),Jornalesdeppto!A:C,3,0),"")),_xlfn.XLOOKUP(1,(Tabla_Costos_Insumos!$A$2:$A$3199=TRIM($M$4))*(Tabla_Costos_Insumos!$C$2:$C$3199=TRIM(K961)),Tabla_Costos_Insumos!$E$2:$E$3199,"",0))</f>
        <v>175000</v>
      </c>
      <c r="O961" s="443">
        <f t="shared" si="218"/>
        <v>17500</v>
      </c>
      <c r="P961" s="212" t="str">
        <f t="shared" si="224"/>
        <v>Naranja Valencia</v>
      </c>
      <c r="Q961" s="212"/>
      <c r="R961" s="212"/>
      <c r="S961" s="212"/>
      <c r="T961" s="212"/>
      <c r="U961" s="212"/>
      <c r="V961" s="212"/>
      <c r="W961" s="212"/>
      <c r="X961" s="214"/>
    </row>
    <row r="962" spans="1:24" ht="15">
      <c r="A962" s="211" t="s">
        <v>4062</v>
      </c>
      <c r="B962" s="225" t="s">
        <v>4063</v>
      </c>
      <c r="C962" s="220" t="s">
        <v>68</v>
      </c>
      <c r="D962" s="220" t="s">
        <v>189</v>
      </c>
      <c r="E962" s="220" t="s">
        <v>190</v>
      </c>
      <c r="F962" s="220" t="s">
        <v>191</v>
      </c>
      <c r="G962" s="220" t="s">
        <v>192</v>
      </c>
      <c r="H962" s="220" t="s">
        <v>193</v>
      </c>
      <c r="I962" s="220" t="s">
        <v>194</v>
      </c>
      <c r="J962" s="220" t="s">
        <v>195</v>
      </c>
      <c r="K962" s="220" t="s">
        <v>196</v>
      </c>
      <c r="L962" s="220" t="s">
        <v>197</v>
      </c>
      <c r="M962" s="221">
        <v>1</v>
      </c>
      <c r="N962" s="443">
        <f>IFERROR(SUM(O944:$O$961)*0.08,0)</f>
        <v>497640.11476881098</v>
      </c>
      <c r="O962" s="443">
        <f t="shared" si="218"/>
        <v>497640.11476881098</v>
      </c>
      <c r="P962" s="212" t="str">
        <f t="shared" si="224"/>
        <v>Naranja Valencia</v>
      </c>
      <c r="Q962" s="212"/>
      <c r="R962" s="212"/>
      <c r="S962" s="212"/>
      <c r="T962" s="212"/>
      <c r="U962" s="212"/>
      <c r="V962" s="212"/>
      <c r="W962" s="212"/>
      <c r="X962" s="214"/>
    </row>
    <row r="963" spans="1:24" ht="15">
      <c r="A963" s="211" t="s">
        <v>4062</v>
      </c>
      <c r="B963" s="225" t="s">
        <v>4063</v>
      </c>
      <c r="C963" s="220" t="s">
        <v>68</v>
      </c>
      <c r="D963" s="220" t="s">
        <v>189</v>
      </c>
      <c r="E963" s="220" t="s">
        <v>190</v>
      </c>
      <c r="F963" s="220" t="s">
        <v>198</v>
      </c>
      <c r="G963" s="220" t="s">
        <v>199</v>
      </c>
      <c r="H963" s="220" t="s">
        <v>200</v>
      </c>
      <c r="I963" s="220" t="s">
        <v>201</v>
      </c>
      <c r="J963" s="220" t="s">
        <v>105</v>
      </c>
      <c r="K963" s="220" t="s">
        <v>202</v>
      </c>
      <c r="L963" s="220" t="s">
        <v>203</v>
      </c>
      <c r="M963" s="221">
        <v>1</v>
      </c>
      <c r="N963" s="443" cm="1">
        <f t="array" ref="N963">IF(TRIM(K963)="Mano de Obra",IF(Formulario!$L$23&lt;&gt;"",Formulario!$L$23,IFERROR(VLOOKUP(TRIM($M$4),Jornalesdeppto!A:C,3,0),"")),_xlfn.XLOOKUP(1,(Tabla_Costos_Insumos!$A$2:$A$3199=TRIM($M$4))*(Tabla_Costos_Insumos!$C$2:$C$3199=TRIM(K963)),Tabla_Costos_Insumos!$E$2:$E$3199,"",0))</f>
        <v>120000</v>
      </c>
      <c r="O963" s="443">
        <f t="shared" si="218"/>
        <v>120000</v>
      </c>
      <c r="P963" s="212" t="str">
        <f t="shared" si="224"/>
        <v>Naranja Valencia</v>
      </c>
      <c r="Q963" s="212"/>
      <c r="R963" s="212"/>
      <c r="S963" s="212"/>
      <c r="T963" s="212"/>
      <c r="U963" s="212"/>
      <c r="V963" s="212"/>
      <c r="W963" s="212"/>
      <c r="X963" s="214"/>
    </row>
    <row r="964" spans="1:24" ht="15">
      <c r="A964" s="211" t="s">
        <v>4062</v>
      </c>
      <c r="B964" s="225" t="s">
        <v>4063</v>
      </c>
      <c r="C964" s="220" t="s">
        <v>68</v>
      </c>
      <c r="D964" s="220" t="s">
        <v>189</v>
      </c>
      <c r="E964" s="220" t="s">
        <v>190</v>
      </c>
      <c r="F964" s="220" t="s">
        <v>204</v>
      </c>
      <c r="G964" s="220" t="s">
        <v>205</v>
      </c>
      <c r="H964" s="220" t="s">
        <v>206</v>
      </c>
      <c r="I964" s="220" t="s">
        <v>207</v>
      </c>
      <c r="J964" s="220" t="s">
        <v>208</v>
      </c>
      <c r="K964" s="220" t="s">
        <v>228</v>
      </c>
      <c r="L964" s="220" t="s">
        <v>197</v>
      </c>
      <c r="M964" s="221">
        <v>1</v>
      </c>
      <c r="N964" s="443">
        <f>$J$4</f>
        <v>500000</v>
      </c>
      <c r="O964" s="443">
        <f t="shared" si="218"/>
        <v>500000</v>
      </c>
      <c r="P964" s="212" t="str">
        <f t="shared" si="224"/>
        <v>Naranja Valencia</v>
      </c>
      <c r="Q964" s="212"/>
      <c r="R964" s="212"/>
      <c r="S964" s="212"/>
      <c r="T964" s="212"/>
      <c r="U964" s="212"/>
      <c r="V964" s="212"/>
      <c r="W964" s="212"/>
      <c r="X964" s="214"/>
    </row>
    <row r="965" spans="1:24" s="3" customFormat="1" ht="15">
      <c r="A965" s="211" t="s">
        <v>4604</v>
      </c>
      <c r="B965" s="225" t="s">
        <v>4060</v>
      </c>
      <c r="C965" s="212" t="s">
        <v>69</v>
      </c>
      <c r="D965" s="212" t="s">
        <v>99</v>
      </c>
      <c r="E965" s="212" t="s">
        <v>100</v>
      </c>
      <c r="F965" s="212" t="s">
        <v>117</v>
      </c>
      <c r="G965" s="212" t="s">
        <v>118</v>
      </c>
      <c r="H965" s="212" t="s">
        <v>119</v>
      </c>
      <c r="I965" s="212" t="s">
        <v>120</v>
      </c>
      <c r="J965" s="212" t="s">
        <v>105</v>
      </c>
      <c r="K965" s="212" t="s">
        <v>106</v>
      </c>
      <c r="L965" s="212" t="s">
        <v>107</v>
      </c>
      <c r="M965" s="213">
        <f t="shared" ref="M965:M973" si="225">IF(W965&lt;&gt;"", W965, ROUNDUP(X965*T965, 0))</f>
        <v>3</v>
      </c>
      <c r="N965" s="441" cm="1">
        <f t="array" ref="N965">IF(TRIM(K965)="Mano de Obra",IF(Formulario!$L$23&lt;&gt;"",Formulario!$L$23,IFERROR(VLOOKUP(TRIM($M$4),Jornalesdeppto!A:C,3,0),"")),_xlfn.XLOOKUP(1,(Tabla_Costos_Insumos!$A$2:$A$3199=TRIM($M$4))*(Tabla_Costos_Insumos!$C$2:$C$3199=TRIM(K965)),Tabla_Costos_Insumos!$E$2:$E$3199,"",0))</f>
        <v>46666.666666666664</v>
      </c>
      <c r="O965" s="441">
        <f t="shared" si="218"/>
        <v>140000</v>
      </c>
      <c r="P965" s="212" t="str">
        <f t="shared" si="224"/>
        <v>Caña_Azucar CC 93-7711 Pierna Bella</v>
      </c>
      <c r="Q965" s="212"/>
      <c r="R965" s="212"/>
      <c r="S965" s="212"/>
      <c r="T965" s="212" cm="1">
        <f t="array" ref="T965">_xlfn.IFS($D$5&lt;=7, 1.1, $D$5&lt;=12,1.2, $D$5&lt;=25, 1.3, $D$5&gt;25,1.4)</f>
        <v>1.3</v>
      </c>
      <c r="U965" s="212"/>
      <c r="V965" s="212"/>
      <c r="W965" s="212"/>
      <c r="X965" s="214">
        <v>2</v>
      </c>
    </row>
    <row r="966" spans="1:24" ht="15">
      <c r="A966" s="211" t="s">
        <v>4604</v>
      </c>
      <c r="B966" s="225" t="s">
        <v>4060</v>
      </c>
      <c r="C966" s="212" t="s">
        <v>69</v>
      </c>
      <c r="D966" s="212" t="s">
        <v>99</v>
      </c>
      <c r="E966" s="212" t="s">
        <v>100</v>
      </c>
      <c r="F966" s="212" t="s">
        <v>117</v>
      </c>
      <c r="G966" s="212" t="s">
        <v>118</v>
      </c>
      <c r="H966" s="212" t="s">
        <v>121</v>
      </c>
      <c r="I966" s="212" t="s">
        <v>122</v>
      </c>
      <c r="J966" s="212" t="s">
        <v>105</v>
      </c>
      <c r="K966" s="212" t="s">
        <v>106</v>
      </c>
      <c r="L966" s="212" t="s">
        <v>107</v>
      </c>
      <c r="M966" s="213">
        <f t="shared" si="225"/>
        <v>3</v>
      </c>
      <c r="N966" s="441" cm="1">
        <f t="array" ref="N966">IF(TRIM(K966)="Mano de Obra",IF(Formulario!$L$23&lt;&gt;"",Formulario!$L$23,IFERROR(VLOOKUP(TRIM($M$4),Jornalesdeppto!A:C,3,0),"")),_xlfn.XLOOKUP(1,(Tabla_Costos_Insumos!$A$2:$A$3199=TRIM($M$4))*(Tabla_Costos_Insumos!$C$2:$C$3199=TRIM(K966)),Tabla_Costos_Insumos!$E$2:$E$3199,"",0))</f>
        <v>46666.666666666664</v>
      </c>
      <c r="O966" s="441">
        <f t="shared" si="218"/>
        <v>140000</v>
      </c>
      <c r="P966" s="212" t="str">
        <f t="shared" si="224"/>
        <v>Caña_Azucar CC 93-7711 Pierna Bella</v>
      </c>
      <c r="Q966" s="212"/>
      <c r="R966" s="212"/>
      <c r="S966" s="212"/>
      <c r="T966" s="212" cm="1">
        <f t="array" ref="T966">_xlfn.IFS($D$5&lt;=7, 1.1, $D$5&lt;=12,1.2, $D$5&lt;=25, 1.3, $D$5&gt;25,1.4)</f>
        <v>1.3</v>
      </c>
      <c r="U966" s="212"/>
      <c r="V966" s="212"/>
      <c r="W966" s="212"/>
      <c r="X966" s="214">
        <v>2</v>
      </c>
    </row>
    <row r="967" spans="1:24" ht="15">
      <c r="A967" s="211" t="s">
        <v>4604</v>
      </c>
      <c r="B967" s="225" t="s">
        <v>4060</v>
      </c>
      <c r="C967" s="212" t="s">
        <v>69</v>
      </c>
      <c r="D967" s="212" t="s">
        <v>99</v>
      </c>
      <c r="E967" s="212" t="s">
        <v>100</v>
      </c>
      <c r="F967" s="212" t="s">
        <v>117</v>
      </c>
      <c r="G967" s="212" t="s">
        <v>118</v>
      </c>
      <c r="H967" s="212" t="s">
        <v>4144</v>
      </c>
      <c r="I967" s="212" t="s">
        <v>248</v>
      </c>
      <c r="J967" s="212" t="s">
        <v>105</v>
      </c>
      <c r="K967" s="212" t="s">
        <v>106</v>
      </c>
      <c r="L967" s="212" t="s">
        <v>107</v>
      </c>
      <c r="M967" s="213">
        <f t="shared" si="225"/>
        <v>2</v>
      </c>
      <c r="N967" s="441" cm="1">
        <f t="array" ref="N967">IF(TRIM(K967)="Mano de Obra",IF(Formulario!$L$23&lt;&gt;"",Formulario!$L$23,IFERROR(VLOOKUP(TRIM($M$4),Jornalesdeppto!A:C,3,0),"")),_xlfn.XLOOKUP(1,(Tabla_Costos_Insumos!$A$2:$A$3199=TRIM($M$4))*(Tabla_Costos_Insumos!$C$2:$C$3199=TRIM(K967)),Tabla_Costos_Insumos!$E$2:$E$3199,"",0))</f>
        <v>46666.666666666664</v>
      </c>
      <c r="O967" s="441">
        <f t="shared" si="218"/>
        <v>93333.333333333328</v>
      </c>
      <c r="P967" s="212" t="str">
        <f t="shared" si="224"/>
        <v>Caña_Azucar CC 93-7711 Pierna Bella</v>
      </c>
      <c r="Q967" s="212"/>
      <c r="R967" s="212"/>
      <c r="S967" s="212"/>
      <c r="T967" s="212" cm="1">
        <f t="array" ref="T967">_xlfn.IFS($D$5&lt;=7, 1.1, $D$5&lt;=12,1.2, $D$5&lt;=25, 1.3, $D$5&gt;25,1.4)</f>
        <v>1.3</v>
      </c>
      <c r="U967" s="212"/>
      <c r="V967" s="212"/>
      <c r="W967" s="212"/>
      <c r="X967" s="214">
        <v>1</v>
      </c>
    </row>
    <row r="968" spans="1:24" ht="15">
      <c r="A968" s="211" t="s">
        <v>4604</v>
      </c>
      <c r="B968" s="225" t="s">
        <v>4060</v>
      </c>
      <c r="C968" s="212" t="s">
        <v>69</v>
      </c>
      <c r="D968" s="212" t="s">
        <v>99</v>
      </c>
      <c r="E968" s="212" t="s">
        <v>100</v>
      </c>
      <c r="F968" s="212" t="s">
        <v>123</v>
      </c>
      <c r="G968" s="212" t="s">
        <v>124</v>
      </c>
      <c r="H968" s="212" t="s">
        <v>125</v>
      </c>
      <c r="I968" s="212" t="s">
        <v>126</v>
      </c>
      <c r="J968" s="212" t="s">
        <v>105</v>
      </c>
      <c r="K968" s="212" t="s">
        <v>106</v>
      </c>
      <c r="L968" s="212" t="s">
        <v>107</v>
      </c>
      <c r="M968" s="213">
        <f t="shared" si="225"/>
        <v>4</v>
      </c>
      <c r="N968" s="441" cm="1">
        <f t="array" ref="N968">IF(TRIM(K968)="Mano de Obra",IF(Formulario!$L$23&lt;&gt;"",Formulario!$L$23,IFERROR(VLOOKUP(TRIM($M$4),Jornalesdeppto!A:C,3,0),"")),_xlfn.XLOOKUP(1,(Tabla_Costos_Insumos!$A$2:$A$3199=TRIM($M$4))*(Tabla_Costos_Insumos!$C$2:$C$3199=TRIM(K968)),Tabla_Costos_Insumos!$E$2:$E$3199,"",0))</f>
        <v>46666.666666666664</v>
      </c>
      <c r="O968" s="441">
        <f t="shared" si="218"/>
        <v>186666.66666666666</v>
      </c>
      <c r="P968" s="212" t="str">
        <f t="shared" si="224"/>
        <v>Caña_Azucar CC 93-7711 Pierna Bella</v>
      </c>
      <c r="Q968" s="212"/>
      <c r="R968" s="212"/>
      <c r="S968" s="212"/>
      <c r="T968" s="212" cm="1">
        <f t="array" ref="T968">_xlfn.IFS($D$5&lt;=7, 1.1, $D$5&lt;=12,1.2, $D$5&lt;=25, 1.3, $D$5&gt;25,1.4)</f>
        <v>1.3</v>
      </c>
      <c r="U968" s="212"/>
      <c r="V968" s="212"/>
      <c r="W968" s="212"/>
      <c r="X968" s="214">
        <v>3</v>
      </c>
    </row>
    <row r="969" spans="1:24" ht="15">
      <c r="A969" s="211" t="s">
        <v>4604</v>
      </c>
      <c r="B969" s="225" t="s">
        <v>4060</v>
      </c>
      <c r="C969" s="212" t="s">
        <v>69</v>
      </c>
      <c r="D969" s="212" t="s">
        <v>99</v>
      </c>
      <c r="E969" s="212" t="s">
        <v>100</v>
      </c>
      <c r="F969" s="212" t="s">
        <v>123</v>
      </c>
      <c r="G969" s="212" t="s">
        <v>124</v>
      </c>
      <c r="H969" s="212" t="s">
        <v>128</v>
      </c>
      <c r="I969" s="212" t="s">
        <v>129</v>
      </c>
      <c r="J969" s="212" t="s">
        <v>105</v>
      </c>
      <c r="K969" s="212" t="s">
        <v>106</v>
      </c>
      <c r="L969" s="212" t="s">
        <v>107</v>
      </c>
      <c r="M969" s="213">
        <f t="shared" si="225"/>
        <v>16</v>
      </c>
      <c r="N969" s="441" cm="1">
        <f t="array" ref="N969">IF(TRIM(K969)="Mano de Obra",IF(Formulario!$L$23&lt;&gt;"",Formulario!$L$23,IFERROR(VLOOKUP(TRIM($M$4),Jornalesdeppto!A:C,3,0),"")),_xlfn.XLOOKUP(1,(Tabla_Costos_Insumos!$A$2:$A$3199=TRIM($M$4))*(Tabla_Costos_Insumos!$C$2:$C$3199=TRIM(K969)),Tabla_Costos_Insumos!$E$2:$E$3199,"",0))</f>
        <v>46666.666666666664</v>
      </c>
      <c r="O969" s="441">
        <f t="shared" si="218"/>
        <v>746666.66666666663</v>
      </c>
      <c r="P969" s="212" t="str">
        <f t="shared" si="224"/>
        <v>Caña_Azucar CC 93-7711 Pierna Bella</v>
      </c>
      <c r="Q969" s="212"/>
      <c r="R969" s="212"/>
      <c r="S969" s="212"/>
      <c r="T969" s="212" cm="1">
        <f t="array" ref="T969">_xlfn.IFS($D$5&lt;=7, 1.1, $D$5&lt;=12,1.2, $D$5&lt;=25, 1.3, $D$5&gt;25,1.4)</f>
        <v>1.3</v>
      </c>
      <c r="U969" s="212"/>
      <c r="V969" s="212"/>
      <c r="W969" s="212"/>
      <c r="X969" s="214">
        <v>12</v>
      </c>
    </row>
    <row r="970" spans="1:24" ht="15">
      <c r="A970" s="211" t="s">
        <v>4604</v>
      </c>
      <c r="B970" s="225" t="s">
        <v>4060</v>
      </c>
      <c r="C970" s="212" t="s">
        <v>69</v>
      </c>
      <c r="D970" s="212" t="s">
        <v>99</v>
      </c>
      <c r="E970" s="212" t="s">
        <v>100</v>
      </c>
      <c r="F970" s="212" t="s">
        <v>130</v>
      </c>
      <c r="G970" s="212" t="s">
        <v>131</v>
      </c>
      <c r="H970" s="212" t="s">
        <v>132</v>
      </c>
      <c r="I970" s="212" t="s">
        <v>133</v>
      </c>
      <c r="J970" s="212" t="s">
        <v>105</v>
      </c>
      <c r="K970" s="212" t="s">
        <v>106</v>
      </c>
      <c r="L970" s="212" t="s">
        <v>107</v>
      </c>
      <c r="M970" s="213">
        <f t="shared" si="225"/>
        <v>6</v>
      </c>
      <c r="N970" s="441" cm="1">
        <f t="array" ref="N970">IF(TRIM(K970)="Mano de Obra",IF(Formulario!$L$23&lt;&gt;"",Formulario!$L$23,IFERROR(VLOOKUP(TRIM($M$4),Jornalesdeppto!A:C,3,0),"")),_xlfn.XLOOKUP(1,(Tabla_Costos_Insumos!$A$2:$A$3199=TRIM($M$4))*(Tabla_Costos_Insumos!$C$2:$C$3199=TRIM(K970)),Tabla_Costos_Insumos!$E$2:$E$3199,"",0))</f>
        <v>46666.666666666664</v>
      </c>
      <c r="O970" s="441">
        <f t="shared" ref="O970:O1033" si="226">IF(OR(N970=0,N970=""),"",N970*M970)</f>
        <v>280000</v>
      </c>
      <c r="P970" s="212" t="str">
        <f t="shared" si="224"/>
        <v>Caña_Azucar CC 93-7711 Pierna Bella</v>
      </c>
      <c r="Q970" s="212"/>
      <c r="R970" s="212"/>
      <c r="S970" s="212"/>
      <c r="T970" s="212" cm="1">
        <f t="array" ref="T970">_xlfn.IFS($D$5&lt;=7, 1.1, $D$5&lt;=12,1.2, $D$5&lt;=25, 1.3, $D$5&gt;25,1.4)</f>
        <v>1.3</v>
      </c>
      <c r="U970" s="212"/>
      <c r="V970" s="212"/>
      <c r="W970" s="212"/>
      <c r="X970" s="214">
        <v>4</v>
      </c>
    </row>
    <row r="971" spans="1:24" ht="15">
      <c r="A971" s="211" t="s">
        <v>4604</v>
      </c>
      <c r="B971" s="225" t="s">
        <v>4060</v>
      </c>
      <c r="C971" s="212" t="s">
        <v>69</v>
      </c>
      <c r="D971" s="212" t="s">
        <v>99</v>
      </c>
      <c r="E971" s="212" t="s">
        <v>100</v>
      </c>
      <c r="F971" s="212" t="s">
        <v>130</v>
      </c>
      <c r="G971" s="212" t="s">
        <v>131</v>
      </c>
      <c r="H971" s="212" t="s">
        <v>134</v>
      </c>
      <c r="I971" s="212" t="s">
        <v>135</v>
      </c>
      <c r="J971" s="212" t="s">
        <v>105</v>
      </c>
      <c r="K971" s="212" t="s">
        <v>106</v>
      </c>
      <c r="L971" s="212" t="s">
        <v>107</v>
      </c>
      <c r="M971" s="213">
        <f t="shared" si="225"/>
        <v>2</v>
      </c>
      <c r="N971" s="441" cm="1">
        <f t="array" ref="N971">IF(TRIM(K971)="Mano de Obra",IF(Formulario!$L$23&lt;&gt;"",Formulario!$L$23,IFERROR(VLOOKUP(TRIM($M$4),Jornalesdeppto!A:C,3,0),"")),_xlfn.XLOOKUP(1,(Tabla_Costos_Insumos!$A$2:$A$3199=TRIM($M$4))*(Tabla_Costos_Insumos!$C$2:$C$3199=TRIM(K971)),Tabla_Costos_Insumos!$E$2:$E$3199,"",0))</f>
        <v>46666.666666666664</v>
      </c>
      <c r="O971" s="441">
        <f t="shared" si="226"/>
        <v>93333.333333333328</v>
      </c>
      <c r="P971" s="212" t="str">
        <f t="shared" si="224"/>
        <v>Caña_Azucar CC 93-7711 Pierna Bella</v>
      </c>
      <c r="Q971" s="212"/>
      <c r="R971" s="212"/>
      <c r="S971" s="212"/>
      <c r="T971" s="212" cm="1">
        <f t="array" ref="T971">_xlfn.IFS($D$5&lt;=7, 1.1, $D$5&lt;=12,1.2, $D$5&lt;=25, 1.3, $D$5&gt;25,1.4)</f>
        <v>1.3</v>
      </c>
      <c r="U971" s="212"/>
      <c r="V971" s="212"/>
      <c r="W971" s="212"/>
      <c r="X971" s="214">
        <v>1</v>
      </c>
    </row>
    <row r="972" spans="1:24" ht="15">
      <c r="A972" s="211" t="s">
        <v>4604</v>
      </c>
      <c r="B972" s="225" t="s">
        <v>4060</v>
      </c>
      <c r="C972" s="212" t="s">
        <v>69</v>
      </c>
      <c r="D972" s="212" t="s">
        <v>99</v>
      </c>
      <c r="E972" s="212" t="s">
        <v>100</v>
      </c>
      <c r="F972" s="212" t="s">
        <v>130</v>
      </c>
      <c r="G972" s="212" t="s">
        <v>131</v>
      </c>
      <c r="H972" s="212" t="s">
        <v>136</v>
      </c>
      <c r="I972" s="212" t="s">
        <v>137</v>
      </c>
      <c r="J972" s="212" t="s">
        <v>105</v>
      </c>
      <c r="K972" s="212" t="s">
        <v>106</v>
      </c>
      <c r="L972" s="212" t="s">
        <v>107</v>
      </c>
      <c r="M972" s="213">
        <f t="shared" si="225"/>
        <v>4</v>
      </c>
      <c r="N972" s="441" cm="1">
        <f t="array" ref="N972">IF(TRIM(K972)="Mano de Obra",IF(Formulario!$L$23&lt;&gt;"",Formulario!$L$23,IFERROR(VLOOKUP(TRIM($M$4),Jornalesdeppto!A:C,3,0),"")),_xlfn.XLOOKUP(1,(Tabla_Costos_Insumos!$A$2:$A$3199=TRIM($M$4))*(Tabla_Costos_Insumos!$C$2:$C$3199=TRIM(K972)),Tabla_Costos_Insumos!$E$2:$E$3199,"",0))</f>
        <v>46666.666666666664</v>
      </c>
      <c r="O972" s="441">
        <f t="shared" si="226"/>
        <v>186666.66666666666</v>
      </c>
      <c r="P972" s="212" t="str">
        <f t="shared" si="224"/>
        <v>Caña_Azucar CC 93-7711 Pierna Bella</v>
      </c>
      <c r="Q972" s="212"/>
      <c r="R972" s="212"/>
      <c r="S972" s="212"/>
      <c r="T972" s="212" cm="1">
        <f t="array" ref="T972">_xlfn.IFS($D$5&lt;=7, 1.1, $D$5&lt;=12,1.2, $D$5&lt;=25, 1.3, $D$5&gt;25,1.4)</f>
        <v>1.3</v>
      </c>
      <c r="U972" s="212"/>
      <c r="V972" s="212"/>
      <c r="W972" s="212"/>
      <c r="X972" s="214">
        <v>3</v>
      </c>
    </row>
    <row r="973" spans="1:24" ht="15">
      <c r="A973" s="211" t="s">
        <v>4604</v>
      </c>
      <c r="B973" s="225" t="s">
        <v>4060</v>
      </c>
      <c r="C973" s="212" t="s">
        <v>69</v>
      </c>
      <c r="D973" s="212" t="s">
        <v>99</v>
      </c>
      <c r="E973" s="212" t="s">
        <v>100</v>
      </c>
      <c r="F973" s="212" t="s">
        <v>138</v>
      </c>
      <c r="G973" s="212" t="s">
        <v>139</v>
      </c>
      <c r="H973" s="212" t="s">
        <v>143</v>
      </c>
      <c r="I973" s="212" t="s">
        <v>144</v>
      </c>
      <c r="J973" s="212" t="s">
        <v>105</v>
      </c>
      <c r="K973" s="212" t="s">
        <v>106</v>
      </c>
      <c r="L973" s="212" t="s">
        <v>107</v>
      </c>
      <c r="M973" s="213">
        <f t="shared" si="225"/>
        <v>33</v>
      </c>
      <c r="N973" s="441" cm="1">
        <f t="array" ref="N973">IF(TRIM(K973)="Mano de Obra",IF(Formulario!$L$23&lt;&gt;"",Formulario!$L$23,IFERROR(VLOOKUP(TRIM($M$4),Jornalesdeppto!A:C,3,0),"")),_xlfn.XLOOKUP(1,(Tabla_Costos_Insumos!$A$2:$A$3199=TRIM($M$4))*(Tabla_Costos_Insumos!$C$2:$C$3199=TRIM(K973)),Tabla_Costos_Insumos!$E$2:$E$3199,"",0))</f>
        <v>46666.666666666664</v>
      </c>
      <c r="O973" s="441">
        <f t="shared" si="226"/>
        <v>1540000</v>
      </c>
      <c r="P973" s="212" t="str">
        <f t="shared" si="224"/>
        <v>Caña_Azucar CC 93-7711 Pierna Bella</v>
      </c>
      <c r="Q973" s="212"/>
      <c r="R973" s="212"/>
      <c r="S973" s="212"/>
      <c r="T973" s="212" cm="1">
        <f t="array" ref="T973">_xlfn.IFS($D$5&lt;=7, 1.1, $D$5&lt;=12,1.2, $D$5&lt;=25, 1.3, $D$5&gt;25,1.4)</f>
        <v>1.3</v>
      </c>
      <c r="U973" s="212"/>
      <c r="V973" s="212"/>
      <c r="W973" s="212"/>
      <c r="X973" s="214">
        <v>25</v>
      </c>
    </row>
    <row r="974" spans="1:24" ht="15">
      <c r="A974" s="211" t="s">
        <v>4604</v>
      </c>
      <c r="B974" s="225" t="s">
        <v>4060</v>
      </c>
      <c r="C974" s="212" t="s">
        <v>69</v>
      </c>
      <c r="D974" s="212" t="s">
        <v>145</v>
      </c>
      <c r="E974" s="212" t="s">
        <v>146</v>
      </c>
      <c r="F974" s="212" t="s">
        <v>147</v>
      </c>
      <c r="G974" s="212" t="s">
        <v>131</v>
      </c>
      <c r="H974" s="212" t="s">
        <v>165</v>
      </c>
      <c r="I974" s="212" t="s">
        <v>153</v>
      </c>
      <c r="J974" s="212" t="s">
        <v>149</v>
      </c>
      <c r="K974" s="212" t="s">
        <v>166</v>
      </c>
      <c r="L974" s="212" t="s">
        <v>151</v>
      </c>
      <c r="M974" s="213">
        <v>6</v>
      </c>
      <c r="N974" s="441" cm="1">
        <f t="array" ref="N974">IF(TRIM(K974)="Mano de Obra",IF(Formulario!$L$23&lt;&gt;"",Formulario!$L$23,IFERROR(VLOOKUP(TRIM($M$4),Jornalesdeppto!A:C,3,0),"")),_xlfn.XLOOKUP(1,(Tabla_Costos_Insumos!$A$2:$A$3199=TRIM($M$4))*(Tabla_Costos_Insumos!$C$2:$C$3199=TRIM(K974)),Tabla_Costos_Insumos!$E$2:$E$3199,"",0))</f>
        <v>110000</v>
      </c>
      <c r="O974" s="441">
        <f t="shared" si="226"/>
        <v>660000</v>
      </c>
      <c r="P974" s="212" t="str">
        <f t="shared" si="224"/>
        <v>Caña_Azucar CC 93-7711 Pierna Bella</v>
      </c>
      <c r="Q974" s="212"/>
      <c r="R974" s="212"/>
      <c r="S974" s="212"/>
      <c r="T974" s="212"/>
      <c r="U974" s="212"/>
      <c r="V974" s="212"/>
      <c r="W974" s="212"/>
      <c r="X974" s="214"/>
    </row>
    <row r="975" spans="1:24" ht="15">
      <c r="A975" s="211" t="s">
        <v>4604</v>
      </c>
      <c r="B975" s="225" t="s">
        <v>4060</v>
      </c>
      <c r="C975" s="212" t="s">
        <v>69</v>
      </c>
      <c r="D975" s="212" t="s">
        <v>145</v>
      </c>
      <c r="E975" s="212" t="s">
        <v>146</v>
      </c>
      <c r="F975" s="212" t="s">
        <v>147</v>
      </c>
      <c r="G975" s="212" t="s">
        <v>131</v>
      </c>
      <c r="H975" s="212" t="s">
        <v>152</v>
      </c>
      <c r="I975" s="212" t="s">
        <v>4143</v>
      </c>
      <c r="J975" s="212" t="s">
        <v>149</v>
      </c>
      <c r="K975" s="212" t="s">
        <v>150</v>
      </c>
      <c r="L975" s="212" t="s">
        <v>151</v>
      </c>
      <c r="M975" s="213">
        <v>2</v>
      </c>
      <c r="N975" s="441" cm="1">
        <f t="array" ref="N975">IF(TRIM(K975)="Mano de Obra",IF(Formulario!$L$23&lt;&gt;"",Formulario!$L$23,IFERROR(VLOOKUP(TRIM($M$4),Jornalesdeppto!A:C,3,0),"")),_xlfn.XLOOKUP(1,(Tabla_Costos_Insumos!$A$2:$A$3199=TRIM($M$4))*(Tabla_Costos_Insumos!$C$2:$C$3199=TRIM(K975)),Tabla_Costos_Insumos!$E$2:$E$3199,"",0))</f>
        <v>198055.68333333</v>
      </c>
      <c r="O975" s="441">
        <f t="shared" si="226"/>
        <v>396111.36666666</v>
      </c>
      <c r="P975" s="212" t="str">
        <f t="shared" si="224"/>
        <v>Caña_Azucar CC 93-7711 Pierna Bella</v>
      </c>
      <c r="Q975" s="212"/>
      <c r="R975" s="212"/>
      <c r="S975" s="212"/>
      <c r="T975" s="212"/>
      <c r="U975" s="212"/>
      <c r="V975" s="212"/>
      <c r="W975" s="212"/>
      <c r="X975" s="214"/>
    </row>
    <row r="976" spans="1:24" ht="15">
      <c r="A976" s="211" t="s">
        <v>4604</v>
      </c>
      <c r="B976" s="225" t="s">
        <v>4060</v>
      </c>
      <c r="C976" s="212" t="s">
        <v>69</v>
      </c>
      <c r="D976" s="212" t="s">
        <v>145</v>
      </c>
      <c r="E976" s="212" t="s">
        <v>146</v>
      </c>
      <c r="F976" s="212" t="s">
        <v>147</v>
      </c>
      <c r="G976" s="212" t="s">
        <v>131</v>
      </c>
      <c r="H976" s="212" t="s">
        <v>154</v>
      </c>
      <c r="I976" s="212" t="s">
        <v>155</v>
      </c>
      <c r="J976" s="212" t="s">
        <v>149</v>
      </c>
      <c r="K976" s="212" t="s">
        <v>156</v>
      </c>
      <c r="L976" s="212" t="s">
        <v>151</v>
      </c>
      <c r="M976" s="213">
        <v>20</v>
      </c>
      <c r="N976" s="441" cm="1">
        <f t="array" ref="N976">IF(TRIM(K976)="Mano de Obra",IF(Formulario!$L$23&lt;&gt;"",Formulario!$L$23,IFERROR(VLOOKUP(TRIM($M$4),Jornalesdeppto!A:C,3,0),"")),_xlfn.XLOOKUP(1,(Tabla_Costos_Insumos!$A$2:$A$3199=TRIM($M$4))*(Tabla_Costos_Insumos!$C$2:$C$3199=TRIM(K976)),Tabla_Costos_Insumos!$E$2:$E$3199,"",0))</f>
        <v>17212.5</v>
      </c>
      <c r="O976" s="441">
        <f t="shared" si="226"/>
        <v>344250</v>
      </c>
      <c r="P976" s="212" t="str">
        <f t="shared" si="224"/>
        <v>Caña_Azucar CC 93-7711 Pierna Bella</v>
      </c>
      <c r="Q976" s="212"/>
      <c r="R976" s="212"/>
      <c r="S976" s="212"/>
      <c r="T976" s="212"/>
      <c r="U976" s="212"/>
      <c r="V976" s="212"/>
      <c r="W976" s="212"/>
      <c r="X976" s="214"/>
    </row>
    <row r="977" spans="1:24" ht="15">
      <c r="A977" s="211" t="s">
        <v>4604</v>
      </c>
      <c r="B977" s="225" t="s">
        <v>4060</v>
      </c>
      <c r="C977" s="212" t="s">
        <v>69</v>
      </c>
      <c r="D977" s="212" t="s">
        <v>145</v>
      </c>
      <c r="E977" s="212" t="s">
        <v>146</v>
      </c>
      <c r="F977" s="212" t="s">
        <v>147</v>
      </c>
      <c r="G977" s="212" t="s">
        <v>131</v>
      </c>
      <c r="H977" s="212" t="s">
        <v>157</v>
      </c>
      <c r="I977" s="212" t="s">
        <v>158</v>
      </c>
      <c r="J977" s="212" t="s">
        <v>149</v>
      </c>
      <c r="K977" s="212" t="s">
        <v>237</v>
      </c>
      <c r="L977" s="212" t="s">
        <v>172</v>
      </c>
      <c r="M977" s="213">
        <v>2</v>
      </c>
      <c r="N977" s="441" cm="1">
        <f t="array" ref="N977">IF(TRIM(K977)="Mano de Obra",IF(Formulario!$L$23&lt;&gt;"",Formulario!$L$23,IFERROR(VLOOKUP(TRIM($M$4),Jornalesdeppto!A:C,3,0),"")),_xlfn.XLOOKUP(1,(Tabla_Costos_Insumos!$A$2:$A$3199=TRIM($M$4))*(Tabla_Costos_Insumos!$C$2:$C$3199=TRIM(K977)),Tabla_Costos_Insumos!$E$2:$E$3199,"",0))</f>
        <v>26190.48</v>
      </c>
      <c r="O977" s="441">
        <f t="shared" si="226"/>
        <v>52380.959999999999</v>
      </c>
      <c r="P977" s="212" t="str">
        <f t="shared" si="224"/>
        <v>Caña_Azucar CC 93-7711 Pierna Bella</v>
      </c>
      <c r="Q977" s="212"/>
      <c r="R977" s="212"/>
      <c r="S977" s="212"/>
      <c r="T977" s="212"/>
      <c r="U977" s="212"/>
      <c r="V977" s="212"/>
      <c r="W977" s="212"/>
      <c r="X977" s="214"/>
    </row>
    <row r="978" spans="1:24" ht="15">
      <c r="A978" s="211" t="s">
        <v>4604</v>
      </c>
      <c r="B978" s="225" t="s">
        <v>4060</v>
      </c>
      <c r="C978" s="212" t="s">
        <v>69</v>
      </c>
      <c r="D978" s="212" t="s">
        <v>145</v>
      </c>
      <c r="E978" s="212" t="s">
        <v>146</v>
      </c>
      <c r="F978" s="212" t="s">
        <v>147</v>
      </c>
      <c r="G978" s="212" t="s">
        <v>131</v>
      </c>
      <c r="H978" s="212" t="s">
        <v>161</v>
      </c>
      <c r="I978" s="212" t="s">
        <v>162</v>
      </c>
      <c r="J978" s="212" t="s">
        <v>149</v>
      </c>
      <c r="K978" s="212" t="s">
        <v>163</v>
      </c>
      <c r="L978" s="212" t="s">
        <v>164</v>
      </c>
      <c r="M978" s="213">
        <v>2</v>
      </c>
      <c r="N978" s="441" cm="1">
        <f t="array" ref="N978">IF(TRIM(K978)="Mano de Obra",IF(Formulario!$L$23&lt;&gt;"",Formulario!$L$23,IFERROR(VLOOKUP(TRIM($M$4),Jornalesdeppto!A:C,3,0),"")),_xlfn.XLOOKUP(1,(Tabla_Costos_Insumos!$A$2:$A$3199=TRIM($M$4))*(Tabla_Costos_Insumos!$C$2:$C$3199=TRIM(K978)),Tabla_Costos_Insumos!$E$2:$E$3199,"",0))</f>
        <v>128084.44444445</v>
      </c>
      <c r="O978" s="441">
        <f t="shared" si="226"/>
        <v>256168.88888889999</v>
      </c>
      <c r="P978" s="212" t="str">
        <f t="shared" si="224"/>
        <v>Caña_Azucar CC 93-7711 Pierna Bella</v>
      </c>
      <c r="Q978" s="212"/>
      <c r="R978" s="212"/>
      <c r="S978" s="212"/>
      <c r="T978" s="212"/>
      <c r="U978" s="212"/>
      <c r="V978" s="212"/>
      <c r="W978" s="212"/>
      <c r="X978" s="214"/>
    </row>
    <row r="979" spans="1:24" ht="15">
      <c r="A979" s="211" t="s">
        <v>4604</v>
      </c>
      <c r="B979" s="225" t="s">
        <v>4060</v>
      </c>
      <c r="C979" s="212" t="s">
        <v>69</v>
      </c>
      <c r="D979" s="212" t="s">
        <v>145</v>
      </c>
      <c r="E979" s="212" t="s">
        <v>146</v>
      </c>
      <c r="F979" s="212" t="s">
        <v>147</v>
      </c>
      <c r="G979" s="212" t="s">
        <v>131</v>
      </c>
      <c r="H979" s="212" t="s">
        <v>165</v>
      </c>
      <c r="I979" s="212" t="s">
        <v>153</v>
      </c>
      <c r="J979" s="212" t="s">
        <v>149</v>
      </c>
      <c r="K979" s="212" t="s">
        <v>4110</v>
      </c>
      <c r="L979" s="212" t="s">
        <v>151</v>
      </c>
      <c r="M979" s="213">
        <v>3</v>
      </c>
      <c r="N979" s="441" cm="1">
        <f t="array" ref="N979">IF(TRIM(K979)="Mano de Obra",IF(Formulario!$L$23&lt;&gt;"",Formulario!$L$23,IFERROR(VLOOKUP(TRIM($M$4),Jornalesdeppto!A:C,3,0),"")),_xlfn.XLOOKUP(1,(Tabla_Costos_Insumos!$A$2:$A$3199=TRIM($M$4))*(Tabla_Costos_Insumos!$C$2:$C$3199=TRIM(K979)),Tabla_Costos_Insumos!$E$2:$E$3199,"",0))</f>
        <v>125849.2424242409</v>
      </c>
      <c r="O979" s="441">
        <f t="shared" si="226"/>
        <v>377547.7272727227</v>
      </c>
      <c r="P979" s="212" t="str">
        <f t="shared" si="224"/>
        <v>Caña_Azucar CC 93-7711 Pierna Bella</v>
      </c>
      <c r="Q979" s="212"/>
      <c r="R979" s="212"/>
      <c r="S979" s="212"/>
      <c r="T979" s="212"/>
      <c r="U979" s="212"/>
      <c r="V979" s="212"/>
      <c r="W979" s="212"/>
      <c r="X979" s="214"/>
    </row>
    <row r="980" spans="1:24" ht="15">
      <c r="A980" s="211" t="s">
        <v>4604</v>
      </c>
      <c r="B980" s="225" t="s">
        <v>4060</v>
      </c>
      <c r="C980" s="212" t="s">
        <v>69</v>
      </c>
      <c r="D980" s="212" t="s">
        <v>145</v>
      </c>
      <c r="E980" s="212" t="s">
        <v>146</v>
      </c>
      <c r="F980" s="212" t="s">
        <v>167</v>
      </c>
      <c r="G980" s="212" t="s">
        <v>118</v>
      </c>
      <c r="H980" s="212" t="s">
        <v>247</v>
      </c>
      <c r="I980" s="212" t="s">
        <v>248</v>
      </c>
      <c r="J980" s="212" t="s">
        <v>249</v>
      </c>
      <c r="K980" s="226" t="s">
        <v>4226</v>
      </c>
      <c r="L980" s="212" t="s">
        <v>250</v>
      </c>
      <c r="M980" s="213">
        <v>1</v>
      </c>
      <c r="N980" s="441" cm="1">
        <f t="array" ref="N980">IF(TRIM(K980)="Mano de Obra",IF(Formulario!$L$23&lt;&gt;"",Formulario!$L$23,IFERROR(VLOOKUP(TRIM($M$4),Jornalesdeppto!A:C,3,0),"")),_xlfn.XLOOKUP(1,(Tabla_Costos_Insumos!$A$2:$A$3199=TRIM($M$4))*(Tabla_Costos_Insumos!$C$2:$C$3199=TRIM(K980)),Tabla_Costos_Insumos!$E$2:$E$3199,"",0))</f>
        <v>60000</v>
      </c>
      <c r="O980" s="441">
        <f t="shared" si="226"/>
        <v>60000</v>
      </c>
      <c r="P980" s="212" t="str">
        <f t="shared" si="224"/>
        <v>Caña_Azucar CC 93-7711 Pierna Bella</v>
      </c>
      <c r="Q980" s="212"/>
      <c r="R980" s="212"/>
      <c r="S980" s="212"/>
      <c r="T980" s="212"/>
      <c r="U980" s="212"/>
      <c r="V980" s="212"/>
      <c r="W980" s="212"/>
      <c r="X980" s="214"/>
    </row>
    <row r="981" spans="1:24" ht="15">
      <c r="A981" s="211" t="s">
        <v>4604</v>
      </c>
      <c r="B981" s="225" t="s">
        <v>4060</v>
      </c>
      <c r="C981" s="212" t="s">
        <v>69</v>
      </c>
      <c r="D981" s="212" t="s">
        <v>145</v>
      </c>
      <c r="E981" s="212" t="s">
        <v>146</v>
      </c>
      <c r="F981" s="212" t="s">
        <v>167</v>
      </c>
      <c r="G981" s="212" t="s">
        <v>118</v>
      </c>
      <c r="H981" s="212" t="s">
        <v>168</v>
      </c>
      <c r="I981" s="212" t="s">
        <v>169</v>
      </c>
      <c r="J981" s="212" t="s">
        <v>170</v>
      </c>
      <c r="K981" s="212" t="s">
        <v>240</v>
      </c>
      <c r="L981" s="212" t="s">
        <v>172</v>
      </c>
      <c r="M981" s="213">
        <v>4</v>
      </c>
      <c r="N981" s="441" cm="1">
        <f t="array" ref="N981">IF(TRIM(K981)="Mano de Obra",IF(Formulario!$L$23&lt;&gt;"",Formulario!$L$23,IFERROR(VLOOKUP(TRIM($M$4),Jornalesdeppto!A:C,3,0),"")),_xlfn.XLOOKUP(1,(Tabla_Costos_Insumos!$A$2:$A$3199=TRIM($M$4))*(Tabla_Costos_Insumos!$C$2:$C$3199=TRIM(K981)),Tabla_Costos_Insumos!$E$2:$E$3199,"",0))</f>
        <v>23574.34</v>
      </c>
      <c r="O981" s="441">
        <f t="shared" si="226"/>
        <v>94297.36</v>
      </c>
      <c r="P981" s="212" t="str">
        <f t="shared" si="224"/>
        <v>Caña_Azucar CC 93-7711 Pierna Bella</v>
      </c>
      <c r="Q981" s="212"/>
      <c r="R981" s="212"/>
      <c r="S981" s="212"/>
      <c r="T981" s="212"/>
      <c r="U981" s="212"/>
      <c r="V981" s="212"/>
      <c r="W981" s="212"/>
      <c r="X981" s="214"/>
    </row>
    <row r="982" spans="1:24" ht="15">
      <c r="A982" s="211" t="s">
        <v>4604</v>
      </c>
      <c r="B982" s="225" t="s">
        <v>4060</v>
      </c>
      <c r="C982" s="212" t="s">
        <v>69</v>
      </c>
      <c r="D982" s="212" t="s">
        <v>145</v>
      </c>
      <c r="E982" s="212" t="s">
        <v>146</v>
      </c>
      <c r="F982" s="212" t="s">
        <v>167</v>
      </c>
      <c r="G982" s="212" t="s">
        <v>118</v>
      </c>
      <c r="H982" s="212" t="s">
        <v>168</v>
      </c>
      <c r="I982" s="212" t="s">
        <v>169</v>
      </c>
      <c r="J982" s="212" t="s">
        <v>170</v>
      </c>
      <c r="K982" s="212" t="s">
        <v>238</v>
      </c>
      <c r="L982" s="212" t="s">
        <v>4111</v>
      </c>
      <c r="M982" s="213">
        <v>3</v>
      </c>
      <c r="N982" s="441" cm="1">
        <f t="array" ref="N982">IF(TRIM(K982)="Mano de Obra",IF(Formulario!$L$23&lt;&gt;"",Formulario!$L$23,IFERROR(VLOOKUP(TRIM($M$4),Jornalesdeppto!A:C,3,0),"")),_xlfn.XLOOKUP(1,(Tabla_Costos_Insumos!$A$2:$A$3199=TRIM($M$4))*(Tabla_Costos_Insumos!$C$2:$C$3199=TRIM(K982)),Tabla_Costos_Insumos!$E$2:$E$3199,"",0))</f>
        <v>29539.195833332098</v>
      </c>
      <c r="O982" s="441">
        <f t="shared" si="226"/>
        <v>88617.587499996298</v>
      </c>
      <c r="P982" s="212" t="str">
        <f t="shared" si="224"/>
        <v>Caña_Azucar CC 93-7711 Pierna Bella</v>
      </c>
      <c r="Q982" s="212"/>
      <c r="R982" s="212"/>
      <c r="S982" s="212"/>
      <c r="T982" s="212"/>
      <c r="U982" s="212"/>
      <c r="V982" s="212"/>
      <c r="W982" s="212"/>
      <c r="X982" s="214"/>
    </row>
    <row r="983" spans="1:24" ht="15">
      <c r="A983" s="211" t="s">
        <v>4604</v>
      </c>
      <c r="B983" s="225" t="s">
        <v>4060</v>
      </c>
      <c r="C983" s="212" t="s">
        <v>69</v>
      </c>
      <c r="D983" s="212" t="s">
        <v>145</v>
      </c>
      <c r="E983" s="212" t="s">
        <v>146</v>
      </c>
      <c r="F983" s="212" t="s">
        <v>167</v>
      </c>
      <c r="G983" s="212" t="s">
        <v>118</v>
      </c>
      <c r="H983" s="212" t="s">
        <v>174</v>
      </c>
      <c r="I983" s="212" t="s">
        <v>175</v>
      </c>
      <c r="J983" s="212" t="s">
        <v>176</v>
      </c>
      <c r="K983" s="212" t="s">
        <v>4227</v>
      </c>
      <c r="L983" s="212" t="s">
        <v>172</v>
      </c>
      <c r="M983" s="213">
        <v>4</v>
      </c>
      <c r="N983" s="441" cm="1">
        <f t="array" ref="N983">IF(TRIM(K983)="Mano de Obra",IF(Formulario!$L$23&lt;&gt;"",Formulario!$L$23,IFERROR(VLOOKUP(TRIM($M$4),Jornalesdeppto!A:C,3,0),"")),_xlfn.XLOOKUP(1,(Tabla_Costos_Insumos!$A$2:$A$3199=TRIM($M$4))*(Tabla_Costos_Insumos!$C$2:$C$3199=TRIM(K983)),Tabla_Costos_Insumos!$E$2:$E$3199,"",0))</f>
        <v>24023.33</v>
      </c>
      <c r="O983" s="441">
        <f t="shared" si="226"/>
        <v>96093.32</v>
      </c>
      <c r="P983" s="212" t="str">
        <f t="shared" si="224"/>
        <v>Caña_Azucar CC 93-7711 Pierna Bella</v>
      </c>
      <c r="Q983" s="212"/>
      <c r="R983" s="212"/>
      <c r="S983" s="212"/>
      <c r="T983" s="212"/>
      <c r="U983" s="212"/>
      <c r="V983" s="212"/>
      <c r="W983" s="212"/>
      <c r="X983" s="214"/>
    </row>
    <row r="984" spans="1:24" ht="15">
      <c r="A984" s="211" t="s">
        <v>4604</v>
      </c>
      <c r="B984" s="225" t="s">
        <v>4060</v>
      </c>
      <c r="C984" s="212" t="s">
        <v>69</v>
      </c>
      <c r="D984" s="212" t="s">
        <v>145</v>
      </c>
      <c r="E984" s="212" t="s">
        <v>146</v>
      </c>
      <c r="F984" s="212" t="s">
        <v>167</v>
      </c>
      <c r="G984" s="212" t="s">
        <v>118</v>
      </c>
      <c r="H984" s="212" t="s">
        <v>178</v>
      </c>
      <c r="I984" s="212" t="s">
        <v>179</v>
      </c>
      <c r="J984" s="212" t="s">
        <v>180</v>
      </c>
      <c r="K984" s="212" t="s">
        <v>181</v>
      </c>
      <c r="L984" s="212" t="s">
        <v>172</v>
      </c>
      <c r="M984" s="213">
        <v>5</v>
      </c>
      <c r="N984" s="441" cm="1">
        <f t="array" ref="N984">IF(TRIM(K984)="Mano de Obra",IF(Formulario!$L$23&lt;&gt;"",Formulario!$L$23,IFERROR(VLOOKUP(TRIM($M$4),Jornalesdeppto!A:C,3,0),"")),_xlfn.XLOOKUP(1,(Tabla_Costos_Insumos!$A$2:$A$3199=TRIM($M$4))*(Tabla_Costos_Insumos!$C$2:$C$3199=TRIM(K984)),Tabla_Costos_Insumos!$E$2:$E$3199,"",0))</f>
        <v>34056.25</v>
      </c>
      <c r="O984" s="441">
        <f t="shared" si="226"/>
        <v>170281.25</v>
      </c>
      <c r="P984" s="212" t="str">
        <f t="shared" si="224"/>
        <v>Caña_Azucar CC 93-7711 Pierna Bella</v>
      </c>
      <c r="Q984" s="212"/>
      <c r="R984" s="212"/>
      <c r="S984" s="212"/>
      <c r="T984" s="212"/>
      <c r="U984" s="212"/>
      <c r="V984" s="212"/>
      <c r="W984" s="212"/>
      <c r="X984" s="214"/>
    </row>
    <row r="985" spans="1:24" ht="15">
      <c r="A985" s="211" t="s">
        <v>4604</v>
      </c>
      <c r="B985" s="225" t="s">
        <v>4060</v>
      </c>
      <c r="C985" s="212" t="s">
        <v>69</v>
      </c>
      <c r="D985" s="212" t="s">
        <v>145</v>
      </c>
      <c r="E985" s="212" t="s">
        <v>146</v>
      </c>
      <c r="F985" s="212" t="s">
        <v>167</v>
      </c>
      <c r="G985" s="212" t="s">
        <v>118</v>
      </c>
      <c r="H985" s="212" t="s">
        <v>178</v>
      </c>
      <c r="I985" s="212" t="s">
        <v>179</v>
      </c>
      <c r="J985" s="212" t="s">
        <v>180</v>
      </c>
      <c r="K985" s="212" t="s">
        <v>182</v>
      </c>
      <c r="L985" s="212" t="s">
        <v>172</v>
      </c>
      <c r="M985" s="213">
        <v>5</v>
      </c>
      <c r="N985" s="441" cm="1">
        <f t="array" ref="N985">IF(TRIM(K985)="Mano de Obra",IF(Formulario!$L$23&lt;&gt;"",Formulario!$L$23,IFERROR(VLOOKUP(TRIM($M$4),Jornalesdeppto!A:C,3,0),"")),_xlfn.XLOOKUP(1,(Tabla_Costos_Insumos!$A$2:$A$3199=TRIM($M$4))*(Tabla_Costos_Insumos!$C$2:$C$3199=TRIM(K985)),Tabla_Costos_Insumos!$E$2:$E$3199,"",0))</f>
        <v>151029.59</v>
      </c>
      <c r="O985" s="441">
        <f t="shared" si="226"/>
        <v>755147.95</v>
      </c>
      <c r="P985" s="212" t="str">
        <f t="shared" si="224"/>
        <v>Caña_Azucar CC 93-7711 Pierna Bella</v>
      </c>
      <c r="Q985" s="212"/>
      <c r="R985" s="212"/>
      <c r="S985" s="212"/>
      <c r="T985" s="212"/>
      <c r="U985" s="212"/>
      <c r="V985" s="212"/>
      <c r="W985" s="212"/>
      <c r="X985" s="214"/>
    </row>
    <row r="986" spans="1:24" ht="15">
      <c r="A986" s="211" t="s">
        <v>4604</v>
      </c>
      <c r="B986" s="225" t="s">
        <v>4060</v>
      </c>
      <c r="C986" s="212" t="s">
        <v>69</v>
      </c>
      <c r="D986" s="212" t="s">
        <v>145</v>
      </c>
      <c r="E986" s="212" t="s">
        <v>146</v>
      </c>
      <c r="F986" s="212" t="s">
        <v>183</v>
      </c>
      <c r="G986" s="212" t="s">
        <v>184</v>
      </c>
      <c r="H986" s="212" t="s">
        <v>185</v>
      </c>
      <c r="I986" s="212" t="s">
        <v>186</v>
      </c>
      <c r="J986" s="212" t="s">
        <v>105</v>
      </c>
      <c r="K986" s="212" t="s">
        <v>187</v>
      </c>
      <c r="L986" s="212" t="s">
        <v>188</v>
      </c>
      <c r="M986" s="213">
        <v>0.1</v>
      </c>
      <c r="N986" s="441" cm="1">
        <f t="array" ref="N986">IF(TRIM(K986)="Mano de Obra",IF(Formulario!$L$23&lt;&gt;"",Formulario!$L$23,IFERROR(VLOOKUP(TRIM($M$4),Jornalesdeppto!A:C,3,0),"")),_xlfn.XLOOKUP(1,(Tabla_Costos_Insumos!$A$2:$A$3199=TRIM($M$4))*(Tabla_Costos_Insumos!$C$2:$C$3199=TRIM(K986)),Tabla_Costos_Insumos!$E$2:$E$3199,"",0))</f>
        <v>175000</v>
      </c>
      <c r="O986" s="441">
        <f t="shared" si="226"/>
        <v>17500</v>
      </c>
      <c r="P986" s="212" t="str">
        <f t="shared" si="224"/>
        <v>Caña_Azucar CC 93-7711 Pierna Bella</v>
      </c>
      <c r="Q986" s="212"/>
      <c r="R986" s="212"/>
      <c r="S986" s="212"/>
      <c r="T986" s="212"/>
      <c r="U986" s="212"/>
      <c r="V986" s="212"/>
      <c r="W986" s="212"/>
      <c r="X986" s="214"/>
    </row>
    <row r="987" spans="1:24" ht="15">
      <c r="A987" s="211" t="s">
        <v>4604</v>
      </c>
      <c r="B987" s="225" t="s">
        <v>4060</v>
      </c>
      <c r="C987" s="212" t="s">
        <v>69</v>
      </c>
      <c r="D987" s="212" t="s">
        <v>189</v>
      </c>
      <c r="E987" s="212" t="s">
        <v>190</v>
      </c>
      <c r="F987" s="212" t="s">
        <v>191</v>
      </c>
      <c r="G987" s="212" t="s">
        <v>192</v>
      </c>
      <c r="H987" s="212" t="s">
        <v>193</v>
      </c>
      <c r="I987" s="212" t="s">
        <v>194</v>
      </c>
      <c r="J987" s="212" t="s">
        <v>195</v>
      </c>
      <c r="K987" s="212" t="s">
        <v>196</v>
      </c>
      <c r="L987" s="212" t="s">
        <v>197</v>
      </c>
      <c r="M987" s="213">
        <v>1</v>
      </c>
      <c r="N987" s="441">
        <f>IFERROR(SUM(O969:$O$986)*0.08,0)</f>
        <v>497205.04615959583</v>
      </c>
      <c r="O987" s="441">
        <f t="shared" si="226"/>
        <v>497205.04615959583</v>
      </c>
      <c r="P987" s="212" t="str">
        <f t="shared" si="224"/>
        <v>Caña_Azucar CC 93-7711 Pierna Bella</v>
      </c>
      <c r="Q987" s="212"/>
      <c r="R987" s="212"/>
      <c r="S987" s="212"/>
      <c r="T987" s="212"/>
      <c r="U987" s="212"/>
      <c r="V987" s="212"/>
      <c r="W987" s="212"/>
      <c r="X987" s="214"/>
    </row>
    <row r="988" spans="1:24" ht="15">
      <c r="A988" s="211" t="s">
        <v>4604</v>
      </c>
      <c r="B988" s="225" t="s">
        <v>4060</v>
      </c>
      <c r="C988" s="212" t="s">
        <v>69</v>
      </c>
      <c r="D988" s="212" t="s">
        <v>189</v>
      </c>
      <c r="E988" s="212" t="s">
        <v>190</v>
      </c>
      <c r="F988" s="212" t="s">
        <v>198</v>
      </c>
      <c r="G988" s="212" t="s">
        <v>199</v>
      </c>
      <c r="H988" s="212" t="s">
        <v>200</v>
      </c>
      <c r="I988" s="212" t="s">
        <v>201</v>
      </c>
      <c r="J988" s="212" t="s">
        <v>105</v>
      </c>
      <c r="K988" s="212" t="s">
        <v>202</v>
      </c>
      <c r="L988" s="212" t="s">
        <v>203</v>
      </c>
      <c r="M988" s="213">
        <v>1</v>
      </c>
      <c r="N988" s="441" cm="1">
        <f t="array" ref="N988">IF(TRIM(K988)="Mano de Obra",IF(Formulario!$L$23&lt;&gt;"",Formulario!$L$23,IFERROR(VLOOKUP(TRIM($M$4),Jornalesdeppto!A:C,3,0),"")),_xlfn.XLOOKUP(1,(Tabla_Costos_Insumos!$A$2:$A$3199=TRIM($M$4))*(Tabla_Costos_Insumos!$C$2:$C$3199=TRIM(K988)),Tabla_Costos_Insumos!$E$2:$E$3199,"",0))</f>
        <v>120000</v>
      </c>
      <c r="O988" s="441">
        <f t="shared" si="226"/>
        <v>120000</v>
      </c>
      <c r="P988" s="212" t="str">
        <f t="shared" si="224"/>
        <v>Caña_Azucar CC 93-7711 Pierna Bella</v>
      </c>
      <c r="Q988" s="212"/>
      <c r="R988" s="212"/>
      <c r="S988" s="212"/>
      <c r="T988" s="212"/>
      <c r="U988" s="212"/>
      <c r="V988" s="212"/>
      <c r="W988" s="212"/>
      <c r="X988" s="214"/>
    </row>
    <row r="989" spans="1:24" ht="15">
      <c r="A989" s="211" t="s">
        <v>4604</v>
      </c>
      <c r="B989" s="225" t="s">
        <v>4060</v>
      </c>
      <c r="C989" s="212" t="s">
        <v>69</v>
      </c>
      <c r="D989" s="212" t="s">
        <v>189</v>
      </c>
      <c r="E989" s="212" t="s">
        <v>190</v>
      </c>
      <c r="F989" s="212" t="s">
        <v>204</v>
      </c>
      <c r="G989" s="212" t="s">
        <v>205</v>
      </c>
      <c r="H989" s="212" t="s">
        <v>206</v>
      </c>
      <c r="I989" s="212" t="s">
        <v>207</v>
      </c>
      <c r="J989" s="212" t="s">
        <v>208</v>
      </c>
      <c r="K989" s="212" t="s">
        <v>228</v>
      </c>
      <c r="L989" s="212" t="s">
        <v>197</v>
      </c>
      <c r="M989" s="213">
        <v>1</v>
      </c>
      <c r="N989" s="441">
        <f>$J$4</f>
        <v>500000</v>
      </c>
      <c r="O989" s="441">
        <f t="shared" si="226"/>
        <v>500000</v>
      </c>
      <c r="P989" s="212" t="str">
        <f t="shared" si="224"/>
        <v>Caña_Azucar CC 93-7711 Pierna Bella</v>
      </c>
      <c r="Q989" s="212"/>
      <c r="R989" s="212"/>
      <c r="S989" s="212"/>
      <c r="T989" s="212"/>
      <c r="U989" s="212"/>
      <c r="V989" s="212"/>
      <c r="W989" s="212"/>
      <c r="X989" s="214"/>
    </row>
    <row r="990" spans="1:24" ht="15">
      <c r="A990" s="211" t="s">
        <v>4604</v>
      </c>
      <c r="B990" s="225" t="s">
        <v>4056</v>
      </c>
      <c r="C990" s="212" t="s">
        <v>69</v>
      </c>
      <c r="D990" s="212" t="s">
        <v>99</v>
      </c>
      <c r="E990" s="212" t="s">
        <v>100</v>
      </c>
      <c r="F990" s="212" t="s">
        <v>101</v>
      </c>
      <c r="G990" s="212" t="s">
        <v>102</v>
      </c>
      <c r="H990" s="212" t="s">
        <v>103</v>
      </c>
      <c r="I990" s="212" t="s">
        <v>104</v>
      </c>
      <c r="J990" s="212" t="s">
        <v>105</v>
      </c>
      <c r="K990" s="212" t="s">
        <v>106</v>
      </c>
      <c r="L990" s="212" t="s">
        <v>107</v>
      </c>
      <c r="M990" s="213">
        <f t="shared" ref="M990:M1000" si="227">IF(W990&lt;&gt;"", W990, ROUNDUP(X990*T990, 0))</f>
        <v>6</v>
      </c>
      <c r="N990" s="441" cm="1">
        <f t="array" ref="N990">IF(TRIM(K990)="Mano de Obra",IF(Formulario!$L$23&lt;&gt;"",Formulario!$L$23,IFERROR(VLOOKUP(TRIM($M$4),Jornalesdeppto!A:C,3,0),"")),_xlfn.XLOOKUP(1,(Tabla_Costos_Insumos!$A$2:$A$3199=TRIM($M$4))*(Tabla_Costos_Insumos!$C$2:$C$3199=TRIM(K990)),Tabla_Costos_Insumos!$E$2:$E$3199,"",0))</f>
        <v>46666.666666666664</v>
      </c>
      <c r="O990" s="441">
        <f t="shared" si="226"/>
        <v>280000</v>
      </c>
      <c r="P990" s="212" t="str">
        <f t="shared" si="224"/>
        <v>Caña_Azucar Criolla</v>
      </c>
      <c r="Q990" s="212"/>
      <c r="R990" s="212"/>
      <c r="S990" s="212"/>
      <c r="T990" s="212" cm="1">
        <f t="array" ref="T990">_xlfn.IFS($D$5&lt;=7, 1.1, $D$5&lt;=12,1.2, $D$5&lt;=25, 1.3, $D$5&gt;25,1.4)</f>
        <v>1.3</v>
      </c>
      <c r="U990" s="212"/>
      <c r="V990" s="212"/>
      <c r="W990" s="212"/>
      <c r="X990" s="214">
        <v>4</v>
      </c>
    </row>
    <row r="991" spans="1:24" ht="15">
      <c r="A991" s="211" t="s">
        <v>4604</v>
      </c>
      <c r="B991" s="225" t="s">
        <v>4056</v>
      </c>
      <c r="C991" s="212" t="s">
        <v>69</v>
      </c>
      <c r="D991" s="212" t="s">
        <v>99</v>
      </c>
      <c r="E991" s="212" t="s">
        <v>100</v>
      </c>
      <c r="F991" s="212" t="s">
        <v>101</v>
      </c>
      <c r="G991" s="212" t="s">
        <v>102</v>
      </c>
      <c r="H991" s="212" t="s">
        <v>214</v>
      </c>
      <c r="I991" s="212" t="s">
        <v>20</v>
      </c>
      <c r="J991" s="212" t="s">
        <v>105</v>
      </c>
      <c r="K991" s="212" t="s">
        <v>106</v>
      </c>
      <c r="L991" s="212" t="s">
        <v>107</v>
      </c>
      <c r="M991" s="213">
        <f t="shared" si="227"/>
        <v>6</v>
      </c>
      <c r="N991" s="441" cm="1">
        <f t="array" ref="N991">IF(TRIM(K991)="Mano de Obra",IF(Formulario!$L$23&lt;&gt;"",Formulario!$L$23,IFERROR(VLOOKUP(TRIM($M$4),Jornalesdeppto!A:C,3,0),"")),_xlfn.XLOOKUP(1,(Tabla_Costos_Insumos!$A$2:$A$3199=TRIM($M$4))*(Tabla_Costos_Insumos!$C$2:$C$3199=TRIM(K991)),Tabla_Costos_Insumos!$E$2:$E$3199,"",0))</f>
        <v>46666.666666666664</v>
      </c>
      <c r="O991" s="441">
        <f t="shared" si="226"/>
        <v>280000</v>
      </c>
      <c r="P991" s="212" t="str">
        <f t="shared" si="224"/>
        <v>Caña_Azucar Criolla</v>
      </c>
      <c r="Q991" s="212"/>
      <c r="R991" s="212"/>
      <c r="S991" s="212"/>
      <c r="T991" s="212" cm="1">
        <f t="array" ref="T991">_xlfn.IFS($D$5&lt;=7, 1.1, $D$5&lt;=12,1.2, $D$5&lt;=25, 1.3, $D$5&gt;25,1.4)</f>
        <v>1.3</v>
      </c>
      <c r="U991" s="212"/>
      <c r="V991" s="212"/>
      <c r="W991" s="212"/>
      <c r="X991" s="214">
        <v>4</v>
      </c>
    </row>
    <row r="992" spans="1:24" ht="15">
      <c r="A992" s="211" t="s">
        <v>4604</v>
      </c>
      <c r="B992" s="225" t="s">
        <v>4056</v>
      </c>
      <c r="C992" s="212" t="s">
        <v>69</v>
      </c>
      <c r="D992" s="212" t="s">
        <v>99</v>
      </c>
      <c r="E992" s="212" t="s">
        <v>100</v>
      </c>
      <c r="F992" s="212" t="s">
        <v>109</v>
      </c>
      <c r="G992" s="212" t="s">
        <v>110</v>
      </c>
      <c r="H992" s="212" t="s">
        <v>215</v>
      </c>
      <c r="I992" s="212" t="s">
        <v>216</v>
      </c>
      <c r="J992" s="212" t="s">
        <v>105</v>
      </c>
      <c r="K992" s="212" t="s">
        <v>106</v>
      </c>
      <c r="L992" s="212" t="s">
        <v>107</v>
      </c>
      <c r="M992" s="213">
        <f t="shared" si="227"/>
        <v>2</v>
      </c>
      <c r="N992" s="441" cm="1">
        <f t="array" ref="N992">IF(TRIM(K992)="Mano de Obra",IF(Formulario!$L$23&lt;&gt;"",Formulario!$L$23,IFERROR(VLOOKUP(TRIM($M$4),Jornalesdeppto!A:C,3,0),"")),_xlfn.XLOOKUP(1,(Tabla_Costos_Insumos!$A$2:$A$3199=TRIM($M$4))*(Tabla_Costos_Insumos!$C$2:$C$3199=TRIM(K992)),Tabla_Costos_Insumos!$E$2:$E$3199,"",0))</f>
        <v>46666.666666666664</v>
      </c>
      <c r="O992" s="441">
        <f t="shared" si="226"/>
        <v>93333.333333333328</v>
      </c>
      <c r="P992" s="212" t="str">
        <f t="shared" si="224"/>
        <v>Caña_Azucar Criolla</v>
      </c>
      <c r="Q992" s="212"/>
      <c r="R992" s="212"/>
      <c r="S992" s="212"/>
      <c r="T992" s="212" cm="1">
        <f t="array" ref="T992">_xlfn.IFS($D$5&lt;=7, 1.1, $D$5&lt;=12,1.2, $D$5&lt;=25, 1.3, $D$5&gt;25,1.4)</f>
        <v>1.3</v>
      </c>
      <c r="U992" s="212"/>
      <c r="V992" s="212"/>
      <c r="W992" s="212"/>
      <c r="X992" s="214">
        <v>1</v>
      </c>
    </row>
    <row r="993" spans="1:24" ht="15">
      <c r="A993" s="211" t="s">
        <v>4604</v>
      </c>
      <c r="B993" s="225" t="s">
        <v>4056</v>
      </c>
      <c r="C993" s="212" t="s">
        <v>69</v>
      </c>
      <c r="D993" s="212" t="s">
        <v>99</v>
      </c>
      <c r="E993" s="212" t="s">
        <v>100</v>
      </c>
      <c r="F993" s="212" t="s">
        <v>109</v>
      </c>
      <c r="G993" s="212" t="s">
        <v>110</v>
      </c>
      <c r="H993" s="212" t="s">
        <v>217</v>
      </c>
      <c r="I993" s="212" t="s">
        <v>218</v>
      </c>
      <c r="J993" s="212" t="s">
        <v>105</v>
      </c>
      <c r="K993" s="212" t="s">
        <v>106</v>
      </c>
      <c r="L993" s="212" t="s">
        <v>107</v>
      </c>
      <c r="M993" s="213">
        <f t="shared" si="227"/>
        <v>4</v>
      </c>
      <c r="N993" s="441" cm="1">
        <f t="array" ref="N993">IF(TRIM(K993)="Mano de Obra",IF(Formulario!$L$23&lt;&gt;"",Formulario!$L$23,IFERROR(VLOOKUP(TRIM($M$4),Jornalesdeppto!A:C,3,0),"")),_xlfn.XLOOKUP(1,(Tabla_Costos_Insumos!$A$2:$A$3199=TRIM($M$4))*(Tabla_Costos_Insumos!$C$2:$C$3199=TRIM(K993)),Tabla_Costos_Insumos!$E$2:$E$3199,"",0))</f>
        <v>46666.666666666664</v>
      </c>
      <c r="O993" s="441">
        <f t="shared" si="226"/>
        <v>186666.66666666666</v>
      </c>
      <c r="P993" s="212" t="str">
        <f t="shared" si="224"/>
        <v>Caña_Azucar Criolla</v>
      </c>
      <c r="Q993" s="212"/>
      <c r="R993" s="212"/>
      <c r="S993" s="212"/>
      <c r="T993" s="212" cm="1">
        <f t="array" ref="T993">_xlfn.IFS($D$5&lt;=7, 1.1, $D$5&lt;=12,1.2, $D$5&lt;=25, 1.3, $D$5&gt;25,1.4)</f>
        <v>1.3</v>
      </c>
      <c r="U993" s="212"/>
      <c r="V993" s="212"/>
      <c r="W993" s="212"/>
      <c r="X993" s="214">
        <v>3</v>
      </c>
    </row>
    <row r="994" spans="1:24" ht="15">
      <c r="A994" s="211" t="s">
        <v>4604</v>
      </c>
      <c r="B994" s="225" t="s">
        <v>4056</v>
      </c>
      <c r="C994" s="212" t="s">
        <v>69</v>
      </c>
      <c r="D994" s="212" t="s">
        <v>99</v>
      </c>
      <c r="E994" s="212" t="s">
        <v>100</v>
      </c>
      <c r="F994" s="212" t="s">
        <v>117</v>
      </c>
      <c r="G994" s="212" t="s">
        <v>118</v>
      </c>
      <c r="H994" s="212" t="s">
        <v>119</v>
      </c>
      <c r="I994" s="212" t="s">
        <v>120</v>
      </c>
      <c r="J994" s="212" t="s">
        <v>105</v>
      </c>
      <c r="K994" s="212" t="s">
        <v>106</v>
      </c>
      <c r="L994" s="212" t="s">
        <v>107</v>
      </c>
      <c r="M994" s="213">
        <f t="shared" si="227"/>
        <v>4</v>
      </c>
      <c r="N994" s="441" cm="1">
        <f t="array" ref="N994">IF(TRIM(K994)="Mano de Obra",IF(Formulario!$L$23&lt;&gt;"",Formulario!$L$23,IFERROR(VLOOKUP(TRIM($M$4),Jornalesdeppto!A:C,3,0),"")),_xlfn.XLOOKUP(1,(Tabla_Costos_Insumos!$A$2:$A$3199=TRIM($M$4))*(Tabla_Costos_Insumos!$C$2:$C$3199=TRIM(K994)),Tabla_Costos_Insumos!$E$2:$E$3199,"",0))</f>
        <v>46666.666666666664</v>
      </c>
      <c r="O994" s="441">
        <f t="shared" si="226"/>
        <v>186666.66666666666</v>
      </c>
      <c r="P994" s="212" t="str">
        <f t="shared" si="224"/>
        <v>Caña_Azucar Criolla</v>
      </c>
      <c r="Q994" s="212"/>
      <c r="R994" s="212"/>
      <c r="S994" s="212"/>
      <c r="T994" s="212" cm="1">
        <f t="array" ref="T994">_xlfn.IFS($D$5&lt;=7, 1.1, $D$5&lt;=12,1.2, $D$5&lt;=25, 1.3, $D$5&gt;25,1.4)</f>
        <v>1.3</v>
      </c>
      <c r="U994" s="212"/>
      <c r="V994" s="212"/>
      <c r="W994" s="212"/>
      <c r="X994" s="214">
        <v>3</v>
      </c>
    </row>
    <row r="995" spans="1:24" ht="15">
      <c r="A995" s="211" t="s">
        <v>4604</v>
      </c>
      <c r="B995" s="225" t="s">
        <v>4056</v>
      </c>
      <c r="C995" s="212" t="s">
        <v>69</v>
      </c>
      <c r="D995" s="212" t="s">
        <v>99</v>
      </c>
      <c r="E995" s="212" t="s">
        <v>100</v>
      </c>
      <c r="F995" s="212" t="s">
        <v>117</v>
      </c>
      <c r="G995" s="212" t="s">
        <v>118</v>
      </c>
      <c r="H995" s="212" t="s">
        <v>121</v>
      </c>
      <c r="I995" s="212" t="s">
        <v>122</v>
      </c>
      <c r="J995" s="212" t="s">
        <v>105</v>
      </c>
      <c r="K995" s="212" t="s">
        <v>106</v>
      </c>
      <c r="L995" s="212" t="s">
        <v>107</v>
      </c>
      <c r="M995" s="213">
        <f t="shared" si="227"/>
        <v>4</v>
      </c>
      <c r="N995" s="441" cm="1">
        <f t="array" ref="N995">IF(TRIM(K995)="Mano de Obra",IF(Formulario!$L$23&lt;&gt;"",Formulario!$L$23,IFERROR(VLOOKUP(TRIM($M$4),Jornalesdeppto!A:C,3,0),"")),_xlfn.XLOOKUP(1,(Tabla_Costos_Insumos!$A$2:$A$3199=TRIM($M$4))*(Tabla_Costos_Insumos!$C$2:$C$3199=TRIM(K995)),Tabla_Costos_Insumos!$E$2:$E$3199,"",0))</f>
        <v>46666.666666666664</v>
      </c>
      <c r="O995" s="441">
        <f t="shared" si="226"/>
        <v>186666.66666666666</v>
      </c>
      <c r="P995" s="212" t="str">
        <f t="shared" si="224"/>
        <v>Caña_Azucar Criolla</v>
      </c>
      <c r="Q995" s="212"/>
      <c r="R995" s="212"/>
      <c r="S995" s="212"/>
      <c r="T995" s="212" cm="1">
        <f t="array" ref="T995">_xlfn.IFS($D$5&lt;=7, 1.1, $D$5&lt;=12,1.2, $D$5&lt;=25, 1.3, $D$5&gt;25,1.4)</f>
        <v>1.3</v>
      </c>
      <c r="U995" s="212"/>
      <c r="V995" s="212"/>
      <c r="W995" s="212"/>
      <c r="X995" s="214">
        <v>3</v>
      </c>
    </row>
    <row r="996" spans="1:24" ht="15">
      <c r="A996" s="211" t="s">
        <v>4604</v>
      </c>
      <c r="B996" s="225" t="s">
        <v>4056</v>
      </c>
      <c r="C996" s="212" t="s">
        <v>69</v>
      </c>
      <c r="D996" s="212" t="s">
        <v>99</v>
      </c>
      <c r="E996" s="212" t="s">
        <v>100</v>
      </c>
      <c r="F996" s="212" t="s">
        <v>123</v>
      </c>
      <c r="G996" s="212" t="s">
        <v>124</v>
      </c>
      <c r="H996" s="212" t="s">
        <v>128</v>
      </c>
      <c r="I996" s="212" t="s">
        <v>129</v>
      </c>
      <c r="J996" s="212" t="s">
        <v>105</v>
      </c>
      <c r="K996" s="212" t="s">
        <v>106</v>
      </c>
      <c r="L996" s="212" t="s">
        <v>107</v>
      </c>
      <c r="M996" s="213">
        <f t="shared" si="227"/>
        <v>7</v>
      </c>
      <c r="N996" s="441" cm="1">
        <f t="array" ref="N996">IF(TRIM(K996)="Mano de Obra",IF(Formulario!$L$23&lt;&gt;"",Formulario!$L$23,IFERROR(VLOOKUP(TRIM($M$4),Jornalesdeppto!A:C,3,0),"")),_xlfn.XLOOKUP(1,(Tabla_Costos_Insumos!$A$2:$A$3199=TRIM($M$4))*(Tabla_Costos_Insumos!$C$2:$C$3199=TRIM(K996)),Tabla_Costos_Insumos!$E$2:$E$3199,"",0))</f>
        <v>46666.666666666664</v>
      </c>
      <c r="O996" s="441">
        <f t="shared" si="226"/>
        <v>326666.66666666663</v>
      </c>
      <c r="P996" s="212" t="str">
        <f t="shared" si="224"/>
        <v>Caña_Azucar Criolla</v>
      </c>
      <c r="Q996" s="212"/>
      <c r="R996" s="212"/>
      <c r="S996" s="212"/>
      <c r="T996" s="212" cm="1">
        <f t="array" ref="T996">_xlfn.IFS($D$5&lt;=7, 1.1, $D$5&lt;=12,1.2, $D$5&lt;=25, 1.3, $D$5&gt;25,1.4)</f>
        <v>1.3</v>
      </c>
      <c r="U996" s="212"/>
      <c r="V996" s="212"/>
      <c r="W996" s="212"/>
      <c r="X996" s="214">
        <v>5</v>
      </c>
    </row>
    <row r="997" spans="1:24" ht="15">
      <c r="A997" s="211" t="s">
        <v>4604</v>
      </c>
      <c r="B997" s="225" t="s">
        <v>4056</v>
      </c>
      <c r="C997" s="212" t="s">
        <v>69</v>
      </c>
      <c r="D997" s="212" t="s">
        <v>99</v>
      </c>
      <c r="E997" s="212" t="s">
        <v>100</v>
      </c>
      <c r="F997" s="212" t="s">
        <v>130</v>
      </c>
      <c r="G997" s="212" t="s">
        <v>131</v>
      </c>
      <c r="H997" s="212" t="s">
        <v>132</v>
      </c>
      <c r="I997" s="212" t="s">
        <v>133</v>
      </c>
      <c r="J997" s="212" t="s">
        <v>105</v>
      </c>
      <c r="K997" s="212" t="s">
        <v>106</v>
      </c>
      <c r="L997" s="212" t="s">
        <v>107</v>
      </c>
      <c r="M997" s="213">
        <f t="shared" si="227"/>
        <v>3</v>
      </c>
      <c r="N997" s="441" cm="1">
        <f t="array" ref="N997">IF(TRIM(K997)="Mano de Obra",IF(Formulario!$L$23&lt;&gt;"",Formulario!$L$23,IFERROR(VLOOKUP(TRIM($M$4),Jornalesdeppto!A:C,3,0),"")),_xlfn.XLOOKUP(1,(Tabla_Costos_Insumos!$A$2:$A$3199=TRIM($M$4))*(Tabla_Costos_Insumos!$C$2:$C$3199=TRIM(K997)),Tabla_Costos_Insumos!$E$2:$E$3199,"",0))</f>
        <v>46666.666666666664</v>
      </c>
      <c r="O997" s="441">
        <f t="shared" si="226"/>
        <v>140000</v>
      </c>
      <c r="P997" s="212" t="str">
        <f t="shared" si="224"/>
        <v>Caña_Azucar Criolla</v>
      </c>
      <c r="Q997" s="212"/>
      <c r="R997" s="212"/>
      <c r="S997" s="212"/>
      <c r="T997" s="212" cm="1">
        <f t="array" ref="T997">_xlfn.IFS($D$5&lt;=7, 1.1, $D$5&lt;=12,1.2, $D$5&lt;=25, 1.3, $D$5&gt;25,1.4)</f>
        <v>1.3</v>
      </c>
      <c r="U997" s="212"/>
      <c r="V997" s="212"/>
      <c r="W997" s="212"/>
      <c r="X997" s="214">
        <v>2</v>
      </c>
    </row>
    <row r="998" spans="1:24" ht="15">
      <c r="A998" s="211" t="s">
        <v>4604</v>
      </c>
      <c r="B998" s="225" t="s">
        <v>4056</v>
      </c>
      <c r="C998" s="212" t="s">
        <v>69</v>
      </c>
      <c r="D998" s="212" t="s">
        <v>99</v>
      </c>
      <c r="E998" s="212" t="s">
        <v>100</v>
      </c>
      <c r="F998" s="212" t="s">
        <v>130</v>
      </c>
      <c r="G998" s="212" t="s">
        <v>131</v>
      </c>
      <c r="H998" s="212" t="s">
        <v>134</v>
      </c>
      <c r="I998" s="212" t="s">
        <v>135</v>
      </c>
      <c r="J998" s="212" t="s">
        <v>105</v>
      </c>
      <c r="K998" s="212" t="s">
        <v>106</v>
      </c>
      <c r="L998" s="212" t="s">
        <v>107</v>
      </c>
      <c r="M998" s="213">
        <f t="shared" si="227"/>
        <v>2</v>
      </c>
      <c r="N998" s="441" cm="1">
        <f t="array" ref="N998">IF(TRIM(K998)="Mano de Obra",IF(Formulario!$L$23&lt;&gt;"",Formulario!$L$23,IFERROR(VLOOKUP(TRIM($M$4),Jornalesdeppto!A:C,3,0),"")),_xlfn.XLOOKUP(1,(Tabla_Costos_Insumos!$A$2:$A$3199=TRIM($M$4))*(Tabla_Costos_Insumos!$C$2:$C$3199=TRIM(K998)),Tabla_Costos_Insumos!$E$2:$E$3199,"",0))</f>
        <v>46666.666666666664</v>
      </c>
      <c r="O998" s="441">
        <f t="shared" si="226"/>
        <v>93333.333333333328</v>
      </c>
      <c r="P998" s="212" t="str">
        <f t="shared" si="224"/>
        <v>Caña_Azucar Criolla</v>
      </c>
      <c r="Q998" s="212"/>
      <c r="R998" s="212"/>
      <c r="S998" s="212"/>
      <c r="T998" s="212" cm="1">
        <f t="array" ref="T998">_xlfn.IFS($D$5&lt;=7, 1.1, $D$5&lt;=12,1.2, $D$5&lt;=25, 1.3, $D$5&gt;25,1.4)</f>
        <v>1.3</v>
      </c>
      <c r="U998" s="212"/>
      <c r="V998" s="212"/>
      <c r="W998" s="212"/>
      <c r="X998" s="214">
        <v>1</v>
      </c>
    </row>
    <row r="999" spans="1:24" ht="15">
      <c r="A999" s="211" t="s">
        <v>4604</v>
      </c>
      <c r="B999" s="225" t="s">
        <v>4056</v>
      </c>
      <c r="C999" s="212" t="s">
        <v>69</v>
      </c>
      <c r="D999" s="212" t="s">
        <v>99</v>
      </c>
      <c r="E999" s="212" t="s">
        <v>100</v>
      </c>
      <c r="F999" s="212" t="s">
        <v>130</v>
      </c>
      <c r="G999" s="212" t="s">
        <v>131</v>
      </c>
      <c r="H999" s="212" t="s">
        <v>136</v>
      </c>
      <c r="I999" s="212" t="s">
        <v>137</v>
      </c>
      <c r="J999" s="212" t="s">
        <v>105</v>
      </c>
      <c r="K999" s="212" t="s">
        <v>106</v>
      </c>
      <c r="L999" s="212" t="s">
        <v>107</v>
      </c>
      <c r="M999" s="213">
        <f t="shared" si="227"/>
        <v>2</v>
      </c>
      <c r="N999" s="441" cm="1">
        <f t="array" ref="N999">IF(TRIM(K999)="Mano de Obra",IF(Formulario!$L$23&lt;&gt;"",Formulario!$L$23,IFERROR(VLOOKUP(TRIM($M$4),Jornalesdeppto!A:C,3,0),"")),_xlfn.XLOOKUP(1,(Tabla_Costos_Insumos!$A$2:$A$3199=TRIM($M$4))*(Tabla_Costos_Insumos!$C$2:$C$3199=TRIM(K999)),Tabla_Costos_Insumos!$E$2:$E$3199,"",0))</f>
        <v>46666.666666666664</v>
      </c>
      <c r="O999" s="441">
        <f t="shared" si="226"/>
        <v>93333.333333333328</v>
      </c>
      <c r="P999" s="212" t="str">
        <f t="shared" si="224"/>
        <v>Caña_Azucar Criolla</v>
      </c>
      <c r="Q999" s="212"/>
      <c r="R999" s="212"/>
      <c r="S999" s="212"/>
      <c r="T999" s="212" cm="1">
        <f t="array" ref="T999">_xlfn.IFS($D$5&lt;=7, 1.1, $D$5&lt;=12,1.2, $D$5&lt;=25, 1.3, $D$5&gt;25,1.4)</f>
        <v>1.3</v>
      </c>
      <c r="U999" s="212"/>
      <c r="V999" s="212"/>
      <c r="W999" s="212"/>
      <c r="X999" s="214">
        <v>1</v>
      </c>
    </row>
    <row r="1000" spans="1:24" ht="15">
      <c r="A1000" s="211" t="s">
        <v>4604</v>
      </c>
      <c r="B1000" s="225" t="s">
        <v>4056</v>
      </c>
      <c r="C1000" s="212" t="s">
        <v>69</v>
      </c>
      <c r="D1000" s="212" t="s">
        <v>99</v>
      </c>
      <c r="E1000" s="212" t="s">
        <v>100</v>
      </c>
      <c r="F1000" s="212" t="s">
        <v>138</v>
      </c>
      <c r="G1000" s="212" t="s">
        <v>139</v>
      </c>
      <c r="H1000" s="212" t="s">
        <v>143</v>
      </c>
      <c r="I1000" s="212" t="s">
        <v>144</v>
      </c>
      <c r="J1000" s="212" t="s">
        <v>105</v>
      </c>
      <c r="K1000" s="212" t="s">
        <v>106</v>
      </c>
      <c r="L1000" s="212" t="s">
        <v>107</v>
      </c>
      <c r="M1000" s="213">
        <f t="shared" si="227"/>
        <v>98</v>
      </c>
      <c r="N1000" s="441" cm="1">
        <f t="array" ref="N1000">IF(TRIM(K1000)="Mano de Obra",IF(Formulario!$L$23&lt;&gt;"",Formulario!$L$23,IFERROR(VLOOKUP(TRIM($M$4),Jornalesdeppto!A:C,3,0),"")),_xlfn.XLOOKUP(1,(Tabla_Costos_Insumos!$A$2:$A$3199=TRIM($M$4))*(Tabla_Costos_Insumos!$C$2:$C$3199=TRIM(K1000)),Tabla_Costos_Insumos!$E$2:$E$3199,"",0))</f>
        <v>46666.666666666664</v>
      </c>
      <c r="O1000" s="441">
        <f t="shared" si="226"/>
        <v>4573333.333333333</v>
      </c>
      <c r="P1000" s="212" t="str">
        <f t="shared" si="224"/>
        <v>Caña_Azucar Criolla</v>
      </c>
      <c r="Q1000" s="212"/>
      <c r="R1000" s="212"/>
      <c r="S1000" s="212"/>
      <c r="T1000" s="212" cm="1">
        <f t="array" ref="T1000">_xlfn.IFS($D$5&lt;=7, 1.1, $D$5&lt;=12,1.2, $D$5&lt;=25, 1.3, $D$5&gt;25,1.4)</f>
        <v>1.3</v>
      </c>
      <c r="U1000" s="212"/>
      <c r="V1000" s="212"/>
      <c r="W1000" s="212"/>
      <c r="X1000" s="214">
        <v>75</v>
      </c>
    </row>
    <row r="1001" spans="1:24" ht="15">
      <c r="A1001" s="211" t="s">
        <v>4604</v>
      </c>
      <c r="B1001" s="225" t="s">
        <v>4056</v>
      </c>
      <c r="C1001" s="212" t="s">
        <v>69</v>
      </c>
      <c r="D1001" s="212" t="s">
        <v>145</v>
      </c>
      <c r="E1001" s="212" t="s">
        <v>146</v>
      </c>
      <c r="F1001" s="212" t="s">
        <v>219</v>
      </c>
      <c r="G1001" s="212" t="s">
        <v>220</v>
      </c>
      <c r="H1001" s="212" t="s">
        <v>221</v>
      </c>
      <c r="I1001" s="212" t="s">
        <v>222</v>
      </c>
      <c r="J1001" s="212" t="s">
        <v>223</v>
      </c>
      <c r="K1001" s="212" t="s">
        <v>4121</v>
      </c>
      <c r="L1001" s="212" t="s">
        <v>4122</v>
      </c>
      <c r="M1001" s="213">
        <v>100</v>
      </c>
      <c r="N1001" s="441">
        <v>1420</v>
      </c>
      <c r="O1001" s="441">
        <f t="shared" si="226"/>
        <v>142000</v>
      </c>
      <c r="P1001" s="212" t="str">
        <f t="shared" si="224"/>
        <v>Caña_Azucar Criolla</v>
      </c>
      <c r="Q1001" s="212"/>
      <c r="R1001" s="212"/>
      <c r="S1001" s="212"/>
      <c r="T1001" s="212"/>
      <c r="U1001" s="212"/>
      <c r="V1001" s="212"/>
      <c r="W1001" s="212"/>
      <c r="X1001" s="214"/>
    </row>
    <row r="1002" spans="1:24" ht="15">
      <c r="A1002" s="211" t="s">
        <v>4604</v>
      </c>
      <c r="B1002" s="225" t="s">
        <v>4056</v>
      </c>
      <c r="C1002" s="212" t="s">
        <v>69</v>
      </c>
      <c r="D1002" s="212" t="s">
        <v>145</v>
      </c>
      <c r="E1002" s="212" t="s">
        <v>146</v>
      </c>
      <c r="F1002" s="212" t="s">
        <v>147</v>
      </c>
      <c r="G1002" s="212" t="s">
        <v>131</v>
      </c>
      <c r="H1002" s="212" t="s">
        <v>148</v>
      </c>
      <c r="I1002" s="212" t="s">
        <v>266</v>
      </c>
      <c r="J1002" s="212" t="s">
        <v>149</v>
      </c>
      <c r="K1002" s="212" t="s">
        <v>166</v>
      </c>
      <c r="L1002" s="212" t="s">
        <v>151</v>
      </c>
      <c r="M1002" s="213">
        <v>5</v>
      </c>
      <c r="N1002" s="441" cm="1">
        <f t="array" ref="N1002">IF(TRIM(K1002)="Mano de Obra",IF(Formulario!$L$23&lt;&gt;"",Formulario!$L$23,IFERROR(VLOOKUP(TRIM($M$4),Jornalesdeppto!A:C,3,0),"")),_xlfn.XLOOKUP(1,(Tabla_Costos_Insumos!$A$2:$A$3199=TRIM($M$4))*(Tabla_Costos_Insumos!$C$2:$C$3199=TRIM(K1002)),Tabla_Costos_Insumos!$E$2:$E$3199,"",0))</f>
        <v>110000</v>
      </c>
      <c r="O1002" s="441">
        <f t="shared" si="226"/>
        <v>550000</v>
      </c>
      <c r="P1002" s="212" t="str">
        <f t="shared" si="224"/>
        <v>Caña_Azucar Criolla</v>
      </c>
      <c r="Q1002" s="212"/>
      <c r="R1002" s="212"/>
      <c r="S1002" s="212"/>
      <c r="T1002" s="212"/>
      <c r="U1002" s="212"/>
      <c r="V1002" s="212"/>
      <c r="W1002" s="212"/>
      <c r="X1002" s="214"/>
    </row>
    <row r="1003" spans="1:24" ht="15">
      <c r="A1003" s="211" t="s">
        <v>4604</v>
      </c>
      <c r="B1003" s="225" t="s">
        <v>4056</v>
      </c>
      <c r="C1003" s="212" t="s">
        <v>69</v>
      </c>
      <c r="D1003" s="212" t="s">
        <v>145</v>
      </c>
      <c r="E1003" s="212" t="s">
        <v>146</v>
      </c>
      <c r="F1003" s="212" t="s">
        <v>147</v>
      </c>
      <c r="G1003" s="212" t="s">
        <v>131</v>
      </c>
      <c r="H1003" s="212" t="s">
        <v>152</v>
      </c>
      <c r="I1003" s="212" t="s">
        <v>4143</v>
      </c>
      <c r="J1003" s="212" t="s">
        <v>149</v>
      </c>
      <c r="K1003" s="212" t="s">
        <v>150</v>
      </c>
      <c r="L1003" s="212" t="s">
        <v>151</v>
      </c>
      <c r="M1003" s="213">
        <v>7</v>
      </c>
      <c r="N1003" s="441" cm="1">
        <f t="array" ref="N1003">IF(TRIM(K1003)="Mano de Obra",IF(Formulario!$L$23&lt;&gt;"",Formulario!$L$23,IFERROR(VLOOKUP(TRIM($M$4),Jornalesdeppto!A:C,3,0),"")),_xlfn.XLOOKUP(1,(Tabla_Costos_Insumos!$A$2:$A$3199=TRIM($M$4))*(Tabla_Costos_Insumos!$C$2:$C$3199=TRIM(K1003)),Tabla_Costos_Insumos!$E$2:$E$3199,"",0))</f>
        <v>198055.68333333</v>
      </c>
      <c r="O1003" s="441">
        <f t="shared" si="226"/>
        <v>1386389.7833333099</v>
      </c>
      <c r="P1003" s="212" t="str">
        <f t="shared" si="224"/>
        <v>Caña_Azucar Criolla</v>
      </c>
      <c r="Q1003" s="212"/>
      <c r="R1003" s="212"/>
      <c r="S1003" s="212"/>
      <c r="T1003" s="212"/>
      <c r="U1003" s="212"/>
      <c r="V1003" s="212"/>
      <c r="W1003" s="212"/>
      <c r="X1003" s="214"/>
    </row>
    <row r="1004" spans="1:24" ht="15">
      <c r="A1004" s="211" t="s">
        <v>4604</v>
      </c>
      <c r="B1004" s="225" t="s">
        <v>4056</v>
      </c>
      <c r="C1004" s="212" t="s">
        <v>69</v>
      </c>
      <c r="D1004" s="212" t="s">
        <v>145</v>
      </c>
      <c r="E1004" s="212" t="s">
        <v>146</v>
      </c>
      <c r="F1004" s="212" t="s">
        <v>147</v>
      </c>
      <c r="G1004" s="212" t="s">
        <v>131</v>
      </c>
      <c r="H1004" s="212" t="s">
        <v>154</v>
      </c>
      <c r="I1004" s="212" t="s">
        <v>155</v>
      </c>
      <c r="J1004" s="212" t="s">
        <v>149</v>
      </c>
      <c r="K1004" s="212" t="s">
        <v>156</v>
      </c>
      <c r="L1004" s="212" t="s">
        <v>151</v>
      </c>
      <c r="M1004" s="213">
        <v>10</v>
      </c>
      <c r="N1004" s="441" cm="1">
        <f t="array" ref="N1004">IF(TRIM(K1004)="Mano de Obra",IF(Formulario!$L$23&lt;&gt;"",Formulario!$L$23,IFERROR(VLOOKUP(TRIM($M$4),Jornalesdeppto!A:C,3,0),"")),_xlfn.XLOOKUP(1,(Tabla_Costos_Insumos!$A$2:$A$3199=TRIM($M$4))*(Tabla_Costos_Insumos!$C$2:$C$3199=TRIM(K1004)),Tabla_Costos_Insumos!$E$2:$E$3199,"",0))</f>
        <v>17212.5</v>
      </c>
      <c r="O1004" s="441">
        <f t="shared" si="226"/>
        <v>172125</v>
      </c>
      <c r="P1004" s="212" t="str">
        <f t="shared" si="224"/>
        <v>Caña_Azucar Criolla</v>
      </c>
      <c r="Q1004" s="212"/>
      <c r="R1004" s="212"/>
      <c r="S1004" s="212"/>
      <c r="T1004" s="212"/>
      <c r="U1004" s="212"/>
      <c r="V1004" s="212"/>
      <c r="W1004" s="212"/>
      <c r="X1004" s="214"/>
    </row>
    <row r="1005" spans="1:24" ht="15">
      <c r="A1005" s="211" t="s">
        <v>4604</v>
      </c>
      <c r="B1005" s="225" t="s">
        <v>4056</v>
      </c>
      <c r="C1005" s="212" t="s">
        <v>69</v>
      </c>
      <c r="D1005" s="212" t="s">
        <v>145</v>
      </c>
      <c r="E1005" s="212" t="s">
        <v>146</v>
      </c>
      <c r="F1005" s="212" t="s">
        <v>147</v>
      </c>
      <c r="G1005" s="212" t="s">
        <v>131</v>
      </c>
      <c r="H1005" s="212" t="s">
        <v>157</v>
      </c>
      <c r="I1005" s="212" t="s">
        <v>158</v>
      </c>
      <c r="J1005" s="212" t="s">
        <v>149</v>
      </c>
      <c r="K1005" s="212" t="s">
        <v>246</v>
      </c>
      <c r="L1005" s="212" t="s">
        <v>172</v>
      </c>
      <c r="M1005" s="213">
        <v>4</v>
      </c>
      <c r="N1005" s="441" cm="1">
        <f t="array" ref="N1005">IF(TRIM(K1005)="Mano de Obra",IF(Formulario!$L$23&lt;&gt;"",Formulario!$L$23,IFERROR(VLOOKUP(TRIM($M$4),Jornalesdeppto!A:C,3,0),"")),_xlfn.XLOOKUP(1,(Tabla_Costos_Insumos!$A$2:$A$3199=TRIM($M$4))*(Tabla_Costos_Insumos!$C$2:$C$3199=TRIM(K1005)),Tabla_Costos_Insumos!$E$2:$E$3199,"",0))</f>
        <v>65250.53</v>
      </c>
      <c r="O1005" s="441">
        <f t="shared" si="226"/>
        <v>261002.12</v>
      </c>
      <c r="P1005" s="212" t="str">
        <f t="shared" si="224"/>
        <v>Caña_Azucar Criolla</v>
      </c>
      <c r="Q1005" s="212"/>
      <c r="R1005" s="212"/>
      <c r="S1005" s="212"/>
      <c r="T1005" s="212"/>
      <c r="U1005" s="212"/>
      <c r="V1005" s="212"/>
      <c r="W1005" s="212"/>
      <c r="X1005" s="214"/>
    </row>
    <row r="1006" spans="1:24" ht="15">
      <c r="A1006" s="211" t="s">
        <v>4604</v>
      </c>
      <c r="B1006" s="225" t="s">
        <v>4056</v>
      </c>
      <c r="C1006" s="212" t="s">
        <v>69</v>
      </c>
      <c r="D1006" s="212" t="s">
        <v>145</v>
      </c>
      <c r="E1006" s="212" t="s">
        <v>146</v>
      </c>
      <c r="F1006" s="212" t="s">
        <v>147</v>
      </c>
      <c r="G1006" s="212" t="s">
        <v>131</v>
      </c>
      <c r="H1006" s="212" t="s">
        <v>161</v>
      </c>
      <c r="I1006" s="212" t="s">
        <v>162</v>
      </c>
      <c r="J1006" s="212" t="s">
        <v>149</v>
      </c>
      <c r="K1006" s="212" t="s">
        <v>163</v>
      </c>
      <c r="L1006" s="212" t="s">
        <v>164</v>
      </c>
      <c r="M1006" s="213">
        <v>3</v>
      </c>
      <c r="N1006" s="441" cm="1">
        <f t="array" ref="N1006">IF(TRIM(K1006)="Mano de Obra",IF(Formulario!$L$23&lt;&gt;"",Formulario!$L$23,IFERROR(VLOOKUP(TRIM($M$4),Jornalesdeppto!A:C,3,0),"")),_xlfn.XLOOKUP(1,(Tabla_Costos_Insumos!$A$2:$A$3199=TRIM($M$4))*(Tabla_Costos_Insumos!$C$2:$C$3199=TRIM(K1006)),Tabla_Costos_Insumos!$E$2:$E$3199,"",0))</f>
        <v>128084.44444445</v>
      </c>
      <c r="O1006" s="441">
        <f t="shared" si="226"/>
        <v>384253.33333335002</v>
      </c>
      <c r="P1006" s="212" t="str">
        <f t="shared" si="224"/>
        <v>Caña_Azucar Criolla</v>
      </c>
      <c r="Q1006" s="212"/>
      <c r="R1006" s="212"/>
      <c r="S1006" s="212"/>
      <c r="T1006" s="212"/>
      <c r="U1006" s="212"/>
      <c r="V1006" s="212"/>
      <c r="W1006" s="212"/>
      <c r="X1006" s="214"/>
    </row>
    <row r="1007" spans="1:24" ht="15">
      <c r="A1007" s="211" t="s">
        <v>4604</v>
      </c>
      <c r="B1007" s="225" t="s">
        <v>4056</v>
      </c>
      <c r="C1007" s="212" t="s">
        <v>69</v>
      </c>
      <c r="D1007" s="212" t="s">
        <v>145</v>
      </c>
      <c r="E1007" s="212" t="s">
        <v>146</v>
      </c>
      <c r="F1007" s="212" t="s">
        <v>147</v>
      </c>
      <c r="G1007" s="212" t="s">
        <v>131</v>
      </c>
      <c r="H1007" s="212" t="s">
        <v>165</v>
      </c>
      <c r="I1007" s="212" t="s">
        <v>153</v>
      </c>
      <c r="J1007" s="212" t="s">
        <v>149</v>
      </c>
      <c r="K1007" s="212" t="s">
        <v>4110</v>
      </c>
      <c r="L1007" s="212" t="s">
        <v>151</v>
      </c>
      <c r="M1007" s="213">
        <v>10</v>
      </c>
      <c r="N1007" s="441" cm="1">
        <f t="array" ref="N1007">IF(TRIM(K1007)="Mano de Obra",IF(Formulario!$L$23&lt;&gt;"",Formulario!$L$23,IFERROR(VLOOKUP(TRIM($M$4),Jornalesdeppto!A:C,3,0),"")),_xlfn.XLOOKUP(1,(Tabla_Costos_Insumos!$A$2:$A$3199=TRIM($M$4))*(Tabla_Costos_Insumos!$C$2:$C$3199=TRIM(K1007)),Tabla_Costos_Insumos!$E$2:$E$3199,"",0))</f>
        <v>125849.2424242409</v>
      </c>
      <c r="O1007" s="441">
        <f t="shared" si="226"/>
        <v>1258492.4242424089</v>
      </c>
      <c r="P1007" s="212" t="str">
        <f t="shared" si="224"/>
        <v>Caña_Azucar Criolla</v>
      </c>
      <c r="Q1007" s="212"/>
      <c r="R1007" s="212"/>
      <c r="S1007" s="212"/>
      <c r="T1007" s="212"/>
      <c r="U1007" s="212"/>
      <c r="V1007" s="212"/>
      <c r="W1007" s="212"/>
      <c r="X1007" s="214"/>
    </row>
    <row r="1008" spans="1:24" ht="15">
      <c r="A1008" s="211" t="s">
        <v>4604</v>
      </c>
      <c r="B1008" s="225" t="s">
        <v>4056</v>
      </c>
      <c r="C1008" s="212" t="s">
        <v>69</v>
      </c>
      <c r="D1008" s="212" t="s">
        <v>145</v>
      </c>
      <c r="E1008" s="212" t="s">
        <v>146</v>
      </c>
      <c r="F1008" s="212" t="s">
        <v>167</v>
      </c>
      <c r="G1008" s="212" t="s">
        <v>118</v>
      </c>
      <c r="H1008" s="212" t="s">
        <v>247</v>
      </c>
      <c r="I1008" s="212" t="s">
        <v>248</v>
      </c>
      <c r="J1008" s="212" t="s">
        <v>249</v>
      </c>
      <c r="K1008" s="226" t="s">
        <v>4226</v>
      </c>
      <c r="L1008" s="212" t="s">
        <v>250</v>
      </c>
      <c r="M1008" s="213">
        <v>1</v>
      </c>
      <c r="N1008" s="441" cm="1">
        <f t="array" ref="N1008">IF(TRIM(K1008)="Mano de Obra",IF(Formulario!$L$23&lt;&gt;"",Formulario!$L$23,IFERROR(VLOOKUP(TRIM($M$4),Jornalesdeppto!A:C,3,0),"")),_xlfn.XLOOKUP(1,(Tabla_Costos_Insumos!$A$2:$A$3199=TRIM($M$4))*(Tabla_Costos_Insumos!$C$2:$C$3199=TRIM(K1008)),Tabla_Costos_Insumos!$E$2:$E$3199,"",0))</f>
        <v>60000</v>
      </c>
      <c r="O1008" s="441">
        <f t="shared" si="226"/>
        <v>60000</v>
      </c>
      <c r="P1008" s="212" t="str">
        <f t="shared" si="224"/>
        <v>Caña_Azucar Criolla</v>
      </c>
      <c r="Q1008" s="212"/>
      <c r="R1008" s="212"/>
      <c r="S1008" s="212"/>
      <c r="T1008" s="212"/>
      <c r="U1008" s="212"/>
      <c r="V1008" s="212"/>
      <c r="W1008" s="212"/>
      <c r="X1008" s="214"/>
    </row>
    <row r="1009" spans="1:24" ht="15">
      <c r="A1009" s="211" t="s">
        <v>4604</v>
      </c>
      <c r="B1009" s="225" t="s">
        <v>4056</v>
      </c>
      <c r="C1009" s="212" t="s">
        <v>69</v>
      </c>
      <c r="D1009" s="212" t="s">
        <v>145</v>
      </c>
      <c r="E1009" s="212" t="s">
        <v>146</v>
      </c>
      <c r="F1009" s="212" t="s">
        <v>167</v>
      </c>
      <c r="G1009" s="212" t="s">
        <v>118</v>
      </c>
      <c r="H1009" s="212" t="s">
        <v>168</v>
      </c>
      <c r="I1009" s="212" t="s">
        <v>169</v>
      </c>
      <c r="J1009" s="212" t="s">
        <v>170</v>
      </c>
      <c r="K1009" s="212" t="s">
        <v>256</v>
      </c>
      <c r="L1009" s="212" t="s">
        <v>172</v>
      </c>
      <c r="M1009" s="213">
        <v>2</v>
      </c>
      <c r="N1009" s="441" cm="1">
        <f t="array" ref="N1009">IF(TRIM(K1009)="Mano de Obra",IF(Formulario!$L$23&lt;&gt;"",Formulario!$L$23,IFERROR(VLOOKUP(TRIM($M$4),Jornalesdeppto!A:C,3,0),"")),_xlfn.XLOOKUP(1,(Tabla_Costos_Insumos!$A$2:$A$3199=TRIM($M$4))*(Tabla_Costos_Insumos!$C$2:$C$3199=TRIM(K1009)),Tabla_Costos_Insumos!$E$2:$E$3199,"",0))</f>
        <v>28842.22</v>
      </c>
      <c r="O1009" s="441">
        <f t="shared" si="226"/>
        <v>57684.44</v>
      </c>
      <c r="P1009" s="212" t="str">
        <f t="shared" si="224"/>
        <v>Caña_Azucar Criolla</v>
      </c>
      <c r="Q1009" s="212"/>
      <c r="R1009" s="212"/>
      <c r="S1009" s="212"/>
      <c r="T1009" s="212"/>
      <c r="U1009" s="212"/>
      <c r="V1009" s="212"/>
      <c r="W1009" s="212"/>
      <c r="X1009" s="214"/>
    </row>
    <row r="1010" spans="1:24" ht="15">
      <c r="A1010" s="211" t="s">
        <v>4604</v>
      </c>
      <c r="B1010" s="225" t="s">
        <v>4056</v>
      </c>
      <c r="C1010" s="212" t="s">
        <v>69</v>
      </c>
      <c r="D1010" s="212" t="s">
        <v>145</v>
      </c>
      <c r="E1010" s="212" t="s">
        <v>146</v>
      </c>
      <c r="F1010" s="212" t="s">
        <v>167</v>
      </c>
      <c r="G1010" s="212" t="s">
        <v>118</v>
      </c>
      <c r="H1010" s="212" t="s">
        <v>168</v>
      </c>
      <c r="I1010" s="212" t="s">
        <v>169</v>
      </c>
      <c r="J1010" s="212" t="s">
        <v>170</v>
      </c>
      <c r="K1010" s="212" t="s">
        <v>252</v>
      </c>
      <c r="L1010" s="212" t="s">
        <v>226</v>
      </c>
      <c r="M1010" s="213">
        <v>4</v>
      </c>
      <c r="N1010" s="441" cm="1">
        <f t="array" ref="N1010">IF(TRIM(K1010)="Mano de Obra",IF(Formulario!$L$23&lt;&gt;"",Formulario!$L$23,IFERROR(VLOOKUP(TRIM($M$4),Jornalesdeppto!A:C,3,0),"")),_xlfn.XLOOKUP(1,(Tabla_Costos_Insumos!$A$2:$A$3199=TRIM($M$4))*(Tabla_Costos_Insumos!$C$2:$C$3199=TRIM(K1010)),Tabla_Costos_Insumos!$E$2:$E$3199,"",0))</f>
        <v>24440.35</v>
      </c>
      <c r="O1010" s="441">
        <f t="shared" si="226"/>
        <v>97761.4</v>
      </c>
      <c r="P1010" s="212" t="str">
        <f t="shared" si="224"/>
        <v>Caña_Azucar Criolla</v>
      </c>
      <c r="Q1010" s="212"/>
      <c r="R1010" s="212"/>
      <c r="S1010" s="212"/>
      <c r="T1010" s="212"/>
      <c r="U1010" s="212"/>
      <c r="V1010" s="212"/>
      <c r="W1010" s="212"/>
      <c r="X1010" s="214"/>
    </row>
    <row r="1011" spans="1:24" ht="15">
      <c r="A1011" s="211" t="s">
        <v>4604</v>
      </c>
      <c r="B1011" s="225" t="s">
        <v>4056</v>
      </c>
      <c r="C1011" s="212" t="s">
        <v>69</v>
      </c>
      <c r="D1011" s="212" t="s">
        <v>145</v>
      </c>
      <c r="E1011" s="212" t="s">
        <v>146</v>
      </c>
      <c r="F1011" s="212" t="s">
        <v>167</v>
      </c>
      <c r="G1011" s="212" t="s">
        <v>118</v>
      </c>
      <c r="H1011" s="212" t="s">
        <v>174</v>
      </c>
      <c r="I1011" s="212" t="s">
        <v>175</v>
      </c>
      <c r="J1011" s="212" t="s">
        <v>176</v>
      </c>
      <c r="K1011" s="212" t="s">
        <v>4112</v>
      </c>
      <c r="L1011" s="212" t="s">
        <v>226</v>
      </c>
      <c r="M1011" s="213">
        <v>3</v>
      </c>
      <c r="N1011" s="441" cm="1">
        <f t="array" ref="N1011">IF(TRIM(K1011)="Mano de Obra",IF(Formulario!$L$23&lt;&gt;"",Formulario!$L$23,IFERROR(VLOOKUP(TRIM($M$4),Jornalesdeppto!A:C,3,0),"")),_xlfn.XLOOKUP(1,(Tabla_Costos_Insumos!$A$2:$A$3199=TRIM($M$4))*(Tabla_Costos_Insumos!$C$2:$C$3199=TRIM(K1011)),Tabla_Costos_Insumos!$E$2:$E$3199,"",0))</f>
        <v>28373.31649831641</v>
      </c>
      <c r="O1011" s="441">
        <f t="shared" si="226"/>
        <v>85119.949494949222</v>
      </c>
      <c r="P1011" s="212" t="str">
        <f t="shared" si="224"/>
        <v>Caña_Azucar Criolla</v>
      </c>
      <c r="Q1011" s="212"/>
      <c r="R1011" s="212"/>
      <c r="S1011" s="212"/>
      <c r="T1011" s="212"/>
      <c r="U1011" s="212"/>
      <c r="V1011" s="212"/>
      <c r="W1011" s="212"/>
      <c r="X1011" s="214"/>
    </row>
    <row r="1012" spans="1:24" ht="15">
      <c r="A1012" s="211" t="s">
        <v>4604</v>
      </c>
      <c r="B1012" s="225" t="s">
        <v>4056</v>
      </c>
      <c r="C1012" s="212" t="s">
        <v>69</v>
      </c>
      <c r="D1012" s="212" t="s">
        <v>145</v>
      </c>
      <c r="E1012" s="212" t="s">
        <v>146</v>
      </c>
      <c r="F1012" s="212" t="s">
        <v>167</v>
      </c>
      <c r="G1012" s="212" t="s">
        <v>118</v>
      </c>
      <c r="H1012" s="212" t="s">
        <v>178</v>
      </c>
      <c r="I1012" s="212" t="s">
        <v>179</v>
      </c>
      <c r="J1012" s="212" t="s">
        <v>180</v>
      </c>
      <c r="K1012" s="212" t="s">
        <v>181</v>
      </c>
      <c r="L1012" s="212" t="s">
        <v>172</v>
      </c>
      <c r="M1012" s="213">
        <v>3</v>
      </c>
      <c r="N1012" s="441" cm="1">
        <f t="array" ref="N1012">IF(TRIM(K1012)="Mano de Obra",IF(Formulario!$L$23&lt;&gt;"",Formulario!$L$23,IFERROR(VLOOKUP(TRIM($M$4),Jornalesdeppto!A:C,3,0),"")),_xlfn.XLOOKUP(1,(Tabla_Costos_Insumos!$A$2:$A$3199=TRIM($M$4))*(Tabla_Costos_Insumos!$C$2:$C$3199=TRIM(K1012)),Tabla_Costos_Insumos!$E$2:$E$3199,"",0))</f>
        <v>34056.25</v>
      </c>
      <c r="O1012" s="441">
        <f t="shared" si="226"/>
        <v>102168.75</v>
      </c>
      <c r="P1012" s="212" t="str">
        <f t="shared" si="224"/>
        <v>Caña_Azucar Criolla</v>
      </c>
      <c r="Q1012" s="212"/>
      <c r="R1012" s="212"/>
      <c r="S1012" s="212"/>
      <c r="T1012" s="212"/>
      <c r="U1012" s="212"/>
      <c r="V1012" s="212"/>
      <c r="W1012" s="212"/>
      <c r="X1012" s="214"/>
    </row>
    <row r="1013" spans="1:24" ht="15">
      <c r="A1013" s="211" t="s">
        <v>4604</v>
      </c>
      <c r="B1013" s="225" t="s">
        <v>4056</v>
      </c>
      <c r="C1013" s="212" t="s">
        <v>69</v>
      </c>
      <c r="D1013" s="212" t="s">
        <v>145</v>
      </c>
      <c r="E1013" s="212" t="s">
        <v>146</v>
      </c>
      <c r="F1013" s="212" t="s">
        <v>167</v>
      </c>
      <c r="G1013" s="212" t="s">
        <v>118</v>
      </c>
      <c r="H1013" s="212" t="s">
        <v>178</v>
      </c>
      <c r="I1013" s="212" t="s">
        <v>179</v>
      </c>
      <c r="J1013" s="212" t="s">
        <v>180</v>
      </c>
      <c r="K1013" s="212" t="s">
        <v>4114</v>
      </c>
      <c r="L1013" s="212" t="s">
        <v>172</v>
      </c>
      <c r="M1013" s="213">
        <v>4</v>
      </c>
      <c r="N1013" s="441" cm="1">
        <f t="array" ref="N1013">IF(TRIM(K1013)="Mano de Obra",IF(Formulario!$L$23&lt;&gt;"",Formulario!$L$23,IFERROR(VLOOKUP(TRIM($M$4),Jornalesdeppto!A:C,3,0),"")),_xlfn.XLOOKUP(1,(Tabla_Costos_Insumos!$A$2:$A$3199=TRIM($M$4))*(Tabla_Costos_Insumos!$C$2:$C$3199=TRIM(K1013)),Tabla_Costos_Insumos!$E$2:$E$3199,"",0))</f>
        <v>26447.361111107497</v>
      </c>
      <c r="O1013" s="441">
        <f t="shared" si="226"/>
        <v>105789.44444442999</v>
      </c>
      <c r="P1013" s="212" t="str">
        <f t="shared" si="224"/>
        <v>Caña_Azucar Criolla</v>
      </c>
      <c r="Q1013" s="212"/>
      <c r="R1013" s="212"/>
      <c r="S1013" s="212"/>
      <c r="T1013" s="212"/>
      <c r="U1013" s="212"/>
      <c r="V1013" s="212"/>
      <c r="W1013" s="212"/>
      <c r="X1013" s="214"/>
    </row>
    <row r="1014" spans="1:24" ht="15">
      <c r="A1014" s="211" t="s">
        <v>4604</v>
      </c>
      <c r="B1014" s="225" t="s">
        <v>4056</v>
      </c>
      <c r="C1014" s="212" t="s">
        <v>69</v>
      </c>
      <c r="D1014" s="212" t="s">
        <v>145</v>
      </c>
      <c r="E1014" s="212" t="s">
        <v>146</v>
      </c>
      <c r="F1014" s="212" t="s">
        <v>183</v>
      </c>
      <c r="G1014" s="212" t="s">
        <v>184</v>
      </c>
      <c r="H1014" s="212" t="s">
        <v>185</v>
      </c>
      <c r="I1014" s="212" t="s">
        <v>186</v>
      </c>
      <c r="J1014" s="212" t="s">
        <v>105</v>
      </c>
      <c r="K1014" s="212" t="s">
        <v>187</v>
      </c>
      <c r="L1014" s="212" t="s">
        <v>188</v>
      </c>
      <c r="M1014" s="213">
        <v>0.1</v>
      </c>
      <c r="N1014" s="441" cm="1">
        <f t="array" ref="N1014">IF(TRIM(K1014)="Mano de Obra",IF(Formulario!$L$23&lt;&gt;"",Formulario!$L$23,IFERROR(VLOOKUP(TRIM($M$4),Jornalesdeppto!A:C,3,0),"")),_xlfn.XLOOKUP(1,(Tabla_Costos_Insumos!$A$2:$A$3199=TRIM($M$4))*(Tabla_Costos_Insumos!$C$2:$C$3199=TRIM(K1014)),Tabla_Costos_Insumos!$E$2:$E$3199,"",0))</f>
        <v>175000</v>
      </c>
      <c r="O1014" s="441">
        <f t="shared" si="226"/>
        <v>17500</v>
      </c>
      <c r="P1014" s="212" t="str">
        <f t="shared" si="224"/>
        <v>Caña_Azucar Criolla</v>
      </c>
      <c r="Q1014" s="212"/>
      <c r="R1014" s="212"/>
      <c r="S1014" s="212"/>
      <c r="T1014" s="212"/>
      <c r="U1014" s="212"/>
      <c r="V1014" s="212"/>
      <c r="W1014" s="212"/>
      <c r="X1014" s="214"/>
    </row>
    <row r="1015" spans="1:24" ht="15">
      <c r="A1015" s="211" t="s">
        <v>4604</v>
      </c>
      <c r="B1015" s="225" t="s">
        <v>4056</v>
      </c>
      <c r="C1015" s="212" t="s">
        <v>69</v>
      </c>
      <c r="D1015" s="212" t="s">
        <v>189</v>
      </c>
      <c r="E1015" s="212" t="s">
        <v>190</v>
      </c>
      <c r="F1015" s="212" t="s">
        <v>191</v>
      </c>
      <c r="G1015" s="212" t="s">
        <v>192</v>
      </c>
      <c r="H1015" s="212" t="s">
        <v>193</v>
      </c>
      <c r="I1015" s="212" t="s">
        <v>194</v>
      </c>
      <c r="J1015" s="212" t="s">
        <v>195</v>
      </c>
      <c r="K1015" s="212" t="s">
        <v>196</v>
      </c>
      <c r="L1015" s="212" t="s">
        <v>197</v>
      </c>
      <c r="M1015" s="213">
        <v>1</v>
      </c>
      <c r="N1015" s="441">
        <f>IFERROR(SUM(O997:$O$1014)*0.08,0)</f>
        <v>766422.9315878757</v>
      </c>
      <c r="O1015" s="441">
        <f t="shared" si="226"/>
        <v>766422.9315878757</v>
      </c>
      <c r="P1015" s="212" t="str">
        <f t="shared" ref="P1015:P1078" si="228">CONCATENATE(A1015," ",B1015)</f>
        <v>Caña_Azucar Criolla</v>
      </c>
      <c r="Q1015" s="212"/>
      <c r="R1015" s="212"/>
      <c r="S1015" s="212"/>
      <c r="T1015" s="212"/>
      <c r="U1015" s="212"/>
      <c r="V1015" s="212"/>
      <c r="W1015" s="212"/>
      <c r="X1015" s="214"/>
    </row>
    <row r="1016" spans="1:24" ht="15">
      <c r="A1016" s="211" t="s">
        <v>4604</v>
      </c>
      <c r="B1016" s="225" t="s">
        <v>4056</v>
      </c>
      <c r="C1016" s="212" t="s">
        <v>69</v>
      </c>
      <c r="D1016" s="212" t="s">
        <v>189</v>
      </c>
      <c r="E1016" s="212" t="s">
        <v>190</v>
      </c>
      <c r="F1016" s="212" t="s">
        <v>198</v>
      </c>
      <c r="G1016" s="212" t="s">
        <v>199</v>
      </c>
      <c r="H1016" s="212" t="s">
        <v>200</v>
      </c>
      <c r="I1016" s="212" t="s">
        <v>201</v>
      </c>
      <c r="J1016" s="212" t="s">
        <v>105</v>
      </c>
      <c r="K1016" s="212" t="s">
        <v>202</v>
      </c>
      <c r="L1016" s="212" t="s">
        <v>203</v>
      </c>
      <c r="M1016" s="213">
        <v>1</v>
      </c>
      <c r="N1016" s="441" cm="1">
        <f t="array" ref="N1016">IF(TRIM(K1016)="Mano de Obra",IF(Formulario!$L$23&lt;&gt;"",Formulario!$L$23,IFERROR(VLOOKUP(TRIM($M$4),Jornalesdeppto!A:C,3,0),"")),_xlfn.XLOOKUP(1,(Tabla_Costos_Insumos!$A$2:$A$3199=TRIM($M$4))*(Tabla_Costos_Insumos!$C$2:$C$3199=TRIM(K1016)),Tabla_Costos_Insumos!$E$2:$E$3199,"",0))</f>
        <v>120000</v>
      </c>
      <c r="O1016" s="441">
        <f t="shared" si="226"/>
        <v>120000</v>
      </c>
      <c r="P1016" s="212" t="str">
        <f t="shared" si="228"/>
        <v>Caña_Azucar Criolla</v>
      </c>
      <c r="Q1016" s="212"/>
      <c r="R1016" s="212"/>
      <c r="S1016" s="212"/>
      <c r="T1016" s="212"/>
      <c r="U1016" s="212"/>
      <c r="V1016" s="212"/>
      <c r="W1016" s="212"/>
      <c r="X1016" s="214"/>
    </row>
    <row r="1017" spans="1:24" ht="15">
      <c r="A1017" s="211" t="s">
        <v>4604</v>
      </c>
      <c r="B1017" s="225" t="s">
        <v>4056</v>
      </c>
      <c r="C1017" s="212" t="s">
        <v>69</v>
      </c>
      <c r="D1017" s="212" t="s">
        <v>189</v>
      </c>
      <c r="E1017" s="212" t="s">
        <v>190</v>
      </c>
      <c r="F1017" s="212" t="s">
        <v>204</v>
      </c>
      <c r="G1017" s="212" t="s">
        <v>205</v>
      </c>
      <c r="H1017" s="212" t="s">
        <v>206</v>
      </c>
      <c r="I1017" s="212" t="s">
        <v>207</v>
      </c>
      <c r="J1017" s="212" t="s">
        <v>208</v>
      </c>
      <c r="K1017" s="212" t="s">
        <v>228</v>
      </c>
      <c r="L1017" s="212" t="s">
        <v>197</v>
      </c>
      <c r="M1017" s="213">
        <v>1</v>
      </c>
      <c r="N1017" s="441">
        <f>$J$4</f>
        <v>500000</v>
      </c>
      <c r="O1017" s="441">
        <f t="shared" si="226"/>
        <v>500000</v>
      </c>
      <c r="P1017" s="212" t="str">
        <f t="shared" si="228"/>
        <v>Caña_Azucar Criolla</v>
      </c>
      <c r="Q1017" s="212"/>
      <c r="R1017" s="212"/>
      <c r="S1017" s="212"/>
      <c r="T1017" s="212"/>
      <c r="U1017" s="212"/>
      <c r="V1017" s="212"/>
      <c r="W1017" s="212"/>
      <c r="X1017" s="214"/>
    </row>
    <row r="1018" spans="1:24" ht="15">
      <c r="A1018" s="211" t="s">
        <v>4604</v>
      </c>
      <c r="B1018" s="225" t="s">
        <v>4058</v>
      </c>
      <c r="C1018" s="212" t="s">
        <v>69</v>
      </c>
      <c r="D1018" s="212" t="s">
        <v>99</v>
      </c>
      <c r="E1018" s="212" t="s">
        <v>100</v>
      </c>
      <c r="F1018" s="212" t="s">
        <v>101</v>
      </c>
      <c r="G1018" s="212" t="s">
        <v>102</v>
      </c>
      <c r="H1018" s="212" t="s">
        <v>103</v>
      </c>
      <c r="I1018" s="212" t="s">
        <v>104</v>
      </c>
      <c r="J1018" s="212" t="s">
        <v>105</v>
      </c>
      <c r="K1018" s="212" t="s">
        <v>106</v>
      </c>
      <c r="L1018" s="212" t="s">
        <v>107</v>
      </c>
      <c r="M1018" s="213">
        <f t="shared" ref="M1018:M1028" si="229">IF(W1018&lt;&gt;"", W1018, ROUNDUP(X1018*T1018, 0))</f>
        <v>7</v>
      </c>
      <c r="N1018" s="441" cm="1">
        <f t="array" ref="N1018">IF(TRIM(K1018)="Mano de Obra",IF(Formulario!$L$23&lt;&gt;"",Formulario!$L$23,IFERROR(VLOOKUP(TRIM($M$4),Jornalesdeppto!A:C,3,0),"")),_xlfn.XLOOKUP(1,(Tabla_Costos_Insumos!$A$2:$A$3199=TRIM($M$4))*(Tabla_Costos_Insumos!$C$2:$C$3199=TRIM(K1018)),Tabla_Costos_Insumos!$E$2:$E$3199,"",0))</f>
        <v>46666.666666666664</v>
      </c>
      <c r="O1018" s="441">
        <f t="shared" si="226"/>
        <v>326666.66666666663</v>
      </c>
      <c r="P1018" s="212" t="str">
        <f t="shared" si="228"/>
        <v>Caña_Azucar POJ 2878</v>
      </c>
      <c r="Q1018" s="212"/>
      <c r="R1018" s="212"/>
      <c r="S1018" s="212"/>
      <c r="T1018" s="212" cm="1">
        <f t="array" ref="T1018">_xlfn.IFS($D$5&lt;=7, 1.1, $D$5&lt;=12,1.2, $D$5&lt;=25, 1.3, $D$5&gt;25,1.4)</f>
        <v>1.3</v>
      </c>
      <c r="U1018" s="212"/>
      <c r="V1018" s="212"/>
      <c r="W1018" s="212"/>
      <c r="X1018" s="214">
        <v>5</v>
      </c>
    </row>
    <row r="1019" spans="1:24" ht="15">
      <c r="A1019" s="211" t="s">
        <v>4604</v>
      </c>
      <c r="B1019" s="225" t="s">
        <v>4058</v>
      </c>
      <c r="C1019" s="212" t="s">
        <v>69</v>
      </c>
      <c r="D1019" s="212" t="s">
        <v>99</v>
      </c>
      <c r="E1019" s="212" t="s">
        <v>100</v>
      </c>
      <c r="F1019" s="212" t="s">
        <v>101</v>
      </c>
      <c r="G1019" s="212" t="s">
        <v>102</v>
      </c>
      <c r="H1019" s="212" t="s">
        <v>214</v>
      </c>
      <c r="I1019" s="212" t="s">
        <v>20</v>
      </c>
      <c r="J1019" s="212" t="s">
        <v>105</v>
      </c>
      <c r="K1019" s="212" t="s">
        <v>106</v>
      </c>
      <c r="L1019" s="212" t="s">
        <v>107</v>
      </c>
      <c r="M1019" s="213">
        <f t="shared" si="229"/>
        <v>7</v>
      </c>
      <c r="N1019" s="441" cm="1">
        <f t="array" ref="N1019">IF(TRIM(K1019)="Mano de Obra",IF(Formulario!$L$23&lt;&gt;"",Formulario!$L$23,IFERROR(VLOOKUP(TRIM($M$4),Jornalesdeppto!A:C,3,0),"")),_xlfn.XLOOKUP(1,(Tabla_Costos_Insumos!$A$2:$A$3199=TRIM($M$4))*(Tabla_Costos_Insumos!$C$2:$C$3199=TRIM(K1019)),Tabla_Costos_Insumos!$E$2:$E$3199,"",0))</f>
        <v>46666.666666666664</v>
      </c>
      <c r="O1019" s="441">
        <f t="shared" si="226"/>
        <v>326666.66666666663</v>
      </c>
      <c r="P1019" s="212" t="str">
        <f t="shared" si="228"/>
        <v>Caña_Azucar POJ 2878</v>
      </c>
      <c r="Q1019" s="212"/>
      <c r="R1019" s="212"/>
      <c r="S1019" s="212"/>
      <c r="T1019" s="212" cm="1">
        <f t="array" ref="T1019">_xlfn.IFS($D$5&lt;=7, 1.1, $D$5&lt;=12,1.2, $D$5&lt;=25, 1.3, $D$5&gt;25,1.4)</f>
        <v>1.3</v>
      </c>
      <c r="U1019" s="212"/>
      <c r="V1019" s="212"/>
      <c r="W1019" s="212"/>
      <c r="X1019" s="214">
        <v>5</v>
      </c>
    </row>
    <row r="1020" spans="1:24" ht="15">
      <c r="A1020" s="211" t="s">
        <v>4604</v>
      </c>
      <c r="B1020" s="225" t="s">
        <v>4058</v>
      </c>
      <c r="C1020" s="212" t="s">
        <v>69</v>
      </c>
      <c r="D1020" s="212" t="s">
        <v>99</v>
      </c>
      <c r="E1020" s="212" t="s">
        <v>100</v>
      </c>
      <c r="F1020" s="212" t="s">
        <v>109</v>
      </c>
      <c r="G1020" s="212" t="s">
        <v>110</v>
      </c>
      <c r="H1020" s="212" t="s">
        <v>215</v>
      </c>
      <c r="I1020" s="212" t="s">
        <v>216</v>
      </c>
      <c r="J1020" s="212" t="s">
        <v>105</v>
      </c>
      <c r="K1020" s="212" t="s">
        <v>106</v>
      </c>
      <c r="L1020" s="212" t="s">
        <v>107</v>
      </c>
      <c r="M1020" s="213">
        <f t="shared" si="229"/>
        <v>3</v>
      </c>
      <c r="N1020" s="441" cm="1">
        <f t="array" ref="N1020">IF(TRIM(K1020)="Mano de Obra",IF(Formulario!$L$23&lt;&gt;"",Formulario!$L$23,IFERROR(VLOOKUP(TRIM($M$4),Jornalesdeppto!A:C,3,0),"")),_xlfn.XLOOKUP(1,(Tabla_Costos_Insumos!$A$2:$A$3199=TRIM($M$4))*(Tabla_Costos_Insumos!$C$2:$C$3199=TRIM(K1020)),Tabla_Costos_Insumos!$E$2:$E$3199,"",0))</f>
        <v>46666.666666666664</v>
      </c>
      <c r="O1020" s="441">
        <f t="shared" si="226"/>
        <v>140000</v>
      </c>
      <c r="P1020" s="212" t="str">
        <f t="shared" si="228"/>
        <v>Caña_Azucar POJ 2878</v>
      </c>
      <c r="Q1020" s="212"/>
      <c r="R1020" s="212"/>
      <c r="S1020" s="212"/>
      <c r="T1020" s="212" cm="1">
        <f t="array" ref="T1020">_xlfn.IFS($D$5&lt;=7, 1.1, $D$5&lt;=12,1.2, $D$5&lt;=25, 1.3, $D$5&gt;25,1.4)</f>
        <v>1.3</v>
      </c>
      <c r="U1020" s="212"/>
      <c r="V1020" s="212"/>
      <c r="W1020" s="212"/>
      <c r="X1020" s="214">
        <v>2</v>
      </c>
    </row>
    <row r="1021" spans="1:24" ht="15">
      <c r="A1021" s="211" t="s">
        <v>4604</v>
      </c>
      <c r="B1021" s="225" t="s">
        <v>4058</v>
      </c>
      <c r="C1021" s="212" t="s">
        <v>69</v>
      </c>
      <c r="D1021" s="212" t="s">
        <v>99</v>
      </c>
      <c r="E1021" s="212" t="s">
        <v>100</v>
      </c>
      <c r="F1021" s="212" t="s">
        <v>109</v>
      </c>
      <c r="G1021" s="212" t="s">
        <v>110</v>
      </c>
      <c r="H1021" s="212" t="s">
        <v>217</v>
      </c>
      <c r="I1021" s="212" t="s">
        <v>218</v>
      </c>
      <c r="J1021" s="212" t="s">
        <v>105</v>
      </c>
      <c r="K1021" s="212" t="s">
        <v>106</v>
      </c>
      <c r="L1021" s="212" t="s">
        <v>107</v>
      </c>
      <c r="M1021" s="213">
        <f t="shared" si="229"/>
        <v>6</v>
      </c>
      <c r="N1021" s="441" cm="1">
        <f t="array" ref="N1021">IF(TRIM(K1021)="Mano de Obra",IF(Formulario!$L$23&lt;&gt;"",Formulario!$L$23,IFERROR(VLOOKUP(TRIM($M$4),Jornalesdeppto!A:C,3,0),"")),_xlfn.XLOOKUP(1,(Tabla_Costos_Insumos!$A$2:$A$3199=TRIM($M$4))*(Tabla_Costos_Insumos!$C$2:$C$3199=TRIM(K1021)),Tabla_Costos_Insumos!$E$2:$E$3199,"",0))</f>
        <v>46666.666666666664</v>
      </c>
      <c r="O1021" s="441">
        <f t="shared" si="226"/>
        <v>280000</v>
      </c>
      <c r="P1021" s="212" t="str">
        <f t="shared" si="228"/>
        <v>Caña_Azucar POJ 2878</v>
      </c>
      <c r="Q1021" s="212"/>
      <c r="R1021" s="212"/>
      <c r="S1021" s="212"/>
      <c r="T1021" s="212" cm="1">
        <f t="array" ref="T1021">_xlfn.IFS($D$5&lt;=7, 1.1, $D$5&lt;=12,1.2, $D$5&lt;=25, 1.3, $D$5&gt;25,1.4)</f>
        <v>1.3</v>
      </c>
      <c r="U1021" s="212"/>
      <c r="V1021" s="212"/>
      <c r="W1021" s="212"/>
      <c r="X1021" s="214">
        <v>4</v>
      </c>
    </row>
    <row r="1022" spans="1:24" ht="15">
      <c r="A1022" s="211" t="s">
        <v>4604</v>
      </c>
      <c r="B1022" s="225" t="s">
        <v>4058</v>
      </c>
      <c r="C1022" s="212" t="s">
        <v>69</v>
      </c>
      <c r="D1022" s="212" t="s">
        <v>99</v>
      </c>
      <c r="E1022" s="212" t="s">
        <v>100</v>
      </c>
      <c r="F1022" s="212" t="s">
        <v>117</v>
      </c>
      <c r="G1022" s="212" t="s">
        <v>118</v>
      </c>
      <c r="H1022" s="212" t="s">
        <v>119</v>
      </c>
      <c r="I1022" s="212" t="s">
        <v>120</v>
      </c>
      <c r="J1022" s="212" t="s">
        <v>105</v>
      </c>
      <c r="K1022" s="212" t="s">
        <v>106</v>
      </c>
      <c r="L1022" s="212" t="s">
        <v>107</v>
      </c>
      <c r="M1022" s="213">
        <f t="shared" si="229"/>
        <v>6</v>
      </c>
      <c r="N1022" s="441" cm="1">
        <f t="array" ref="N1022">IF(TRIM(K1022)="Mano de Obra",IF(Formulario!$L$23&lt;&gt;"",Formulario!$L$23,IFERROR(VLOOKUP(TRIM($M$4),Jornalesdeppto!A:C,3,0),"")),_xlfn.XLOOKUP(1,(Tabla_Costos_Insumos!$A$2:$A$3199=TRIM($M$4))*(Tabla_Costos_Insumos!$C$2:$C$3199=TRIM(K1022)),Tabla_Costos_Insumos!$E$2:$E$3199,"",0))</f>
        <v>46666.666666666664</v>
      </c>
      <c r="O1022" s="441">
        <f t="shared" si="226"/>
        <v>280000</v>
      </c>
      <c r="P1022" s="212" t="str">
        <f t="shared" si="228"/>
        <v>Caña_Azucar POJ 2878</v>
      </c>
      <c r="Q1022" s="212"/>
      <c r="R1022" s="212"/>
      <c r="S1022" s="212"/>
      <c r="T1022" s="212" cm="1">
        <f t="array" ref="T1022">_xlfn.IFS($D$5&lt;=7, 1.1, $D$5&lt;=12,1.2, $D$5&lt;=25, 1.3, $D$5&gt;25,1.4)</f>
        <v>1.3</v>
      </c>
      <c r="U1022" s="212"/>
      <c r="V1022" s="212"/>
      <c r="W1022" s="212"/>
      <c r="X1022" s="214">
        <v>4</v>
      </c>
    </row>
    <row r="1023" spans="1:24" ht="15">
      <c r="A1023" s="211" t="s">
        <v>4604</v>
      </c>
      <c r="B1023" s="225" t="s">
        <v>4058</v>
      </c>
      <c r="C1023" s="212" t="s">
        <v>69</v>
      </c>
      <c r="D1023" s="212" t="s">
        <v>99</v>
      </c>
      <c r="E1023" s="212" t="s">
        <v>100</v>
      </c>
      <c r="F1023" s="212" t="s">
        <v>117</v>
      </c>
      <c r="G1023" s="212" t="s">
        <v>118</v>
      </c>
      <c r="H1023" s="212" t="s">
        <v>121</v>
      </c>
      <c r="I1023" s="212" t="s">
        <v>122</v>
      </c>
      <c r="J1023" s="212" t="s">
        <v>105</v>
      </c>
      <c r="K1023" s="212" t="s">
        <v>106</v>
      </c>
      <c r="L1023" s="212" t="s">
        <v>107</v>
      </c>
      <c r="M1023" s="213">
        <f t="shared" si="229"/>
        <v>6</v>
      </c>
      <c r="N1023" s="441" cm="1">
        <f t="array" ref="N1023">IF(TRIM(K1023)="Mano de Obra",IF(Formulario!$L$23&lt;&gt;"",Formulario!$L$23,IFERROR(VLOOKUP(TRIM($M$4),Jornalesdeppto!A:C,3,0),"")),_xlfn.XLOOKUP(1,(Tabla_Costos_Insumos!$A$2:$A$3199=TRIM($M$4))*(Tabla_Costos_Insumos!$C$2:$C$3199=TRIM(K1023)),Tabla_Costos_Insumos!$E$2:$E$3199,"",0))</f>
        <v>46666.666666666664</v>
      </c>
      <c r="O1023" s="441">
        <f t="shared" si="226"/>
        <v>280000</v>
      </c>
      <c r="P1023" s="212" t="str">
        <f t="shared" si="228"/>
        <v>Caña_Azucar POJ 2878</v>
      </c>
      <c r="Q1023" s="212"/>
      <c r="R1023" s="212"/>
      <c r="S1023" s="212"/>
      <c r="T1023" s="212" cm="1">
        <f t="array" ref="T1023">_xlfn.IFS($D$5&lt;=7, 1.1, $D$5&lt;=12,1.2, $D$5&lt;=25, 1.3, $D$5&gt;25,1.4)</f>
        <v>1.3</v>
      </c>
      <c r="U1023" s="212"/>
      <c r="V1023" s="212"/>
      <c r="W1023" s="212"/>
      <c r="X1023" s="214">
        <v>4</v>
      </c>
    </row>
    <row r="1024" spans="1:24" ht="15">
      <c r="A1024" s="211" t="s">
        <v>4604</v>
      </c>
      <c r="B1024" s="225" t="s">
        <v>4058</v>
      </c>
      <c r="C1024" s="212" t="s">
        <v>69</v>
      </c>
      <c r="D1024" s="212" t="s">
        <v>99</v>
      </c>
      <c r="E1024" s="212" t="s">
        <v>100</v>
      </c>
      <c r="F1024" s="212" t="s">
        <v>123</v>
      </c>
      <c r="G1024" s="212" t="s">
        <v>124</v>
      </c>
      <c r="H1024" s="212" t="s">
        <v>128</v>
      </c>
      <c r="I1024" s="212" t="s">
        <v>129</v>
      </c>
      <c r="J1024" s="212" t="s">
        <v>105</v>
      </c>
      <c r="K1024" s="212" t="s">
        <v>106</v>
      </c>
      <c r="L1024" s="212" t="s">
        <v>107</v>
      </c>
      <c r="M1024" s="213">
        <f t="shared" si="229"/>
        <v>8</v>
      </c>
      <c r="N1024" s="441" cm="1">
        <f t="array" ref="N1024">IF(TRIM(K1024)="Mano de Obra",IF(Formulario!$L$23&lt;&gt;"",Formulario!$L$23,IFERROR(VLOOKUP(TRIM($M$4),Jornalesdeppto!A:C,3,0),"")),_xlfn.XLOOKUP(1,(Tabla_Costos_Insumos!$A$2:$A$3199=TRIM($M$4))*(Tabla_Costos_Insumos!$C$2:$C$3199=TRIM(K1024)),Tabla_Costos_Insumos!$E$2:$E$3199,"",0))</f>
        <v>46666.666666666664</v>
      </c>
      <c r="O1024" s="441">
        <f t="shared" si="226"/>
        <v>373333.33333333331</v>
      </c>
      <c r="P1024" s="212" t="str">
        <f t="shared" si="228"/>
        <v>Caña_Azucar POJ 2878</v>
      </c>
      <c r="Q1024" s="212"/>
      <c r="R1024" s="212"/>
      <c r="S1024" s="212"/>
      <c r="T1024" s="212" cm="1">
        <f t="array" ref="T1024">_xlfn.IFS($D$5&lt;=7, 1.1, $D$5&lt;=12,1.2, $D$5&lt;=25, 1.3, $D$5&gt;25,1.4)</f>
        <v>1.3</v>
      </c>
      <c r="U1024" s="212"/>
      <c r="V1024" s="212"/>
      <c r="W1024" s="212"/>
      <c r="X1024" s="214">
        <v>6</v>
      </c>
    </row>
    <row r="1025" spans="1:24" ht="15">
      <c r="A1025" s="211" t="s">
        <v>4604</v>
      </c>
      <c r="B1025" s="225" t="s">
        <v>4058</v>
      </c>
      <c r="C1025" s="212" t="s">
        <v>69</v>
      </c>
      <c r="D1025" s="212" t="s">
        <v>99</v>
      </c>
      <c r="E1025" s="212" t="s">
        <v>100</v>
      </c>
      <c r="F1025" s="212" t="s">
        <v>130</v>
      </c>
      <c r="G1025" s="212" t="s">
        <v>131</v>
      </c>
      <c r="H1025" s="212" t="s">
        <v>132</v>
      </c>
      <c r="I1025" s="212" t="s">
        <v>133</v>
      </c>
      <c r="J1025" s="212" t="s">
        <v>105</v>
      </c>
      <c r="K1025" s="212" t="s">
        <v>106</v>
      </c>
      <c r="L1025" s="212" t="s">
        <v>107</v>
      </c>
      <c r="M1025" s="213">
        <f t="shared" si="229"/>
        <v>3</v>
      </c>
      <c r="N1025" s="441" cm="1">
        <f t="array" ref="N1025">IF(TRIM(K1025)="Mano de Obra",IF(Formulario!$L$23&lt;&gt;"",Formulario!$L$23,IFERROR(VLOOKUP(TRIM($M$4),Jornalesdeppto!A:C,3,0),"")),_xlfn.XLOOKUP(1,(Tabla_Costos_Insumos!$A$2:$A$3199=TRIM($M$4))*(Tabla_Costos_Insumos!$C$2:$C$3199=TRIM(K1025)),Tabla_Costos_Insumos!$E$2:$E$3199,"",0))</f>
        <v>46666.666666666664</v>
      </c>
      <c r="O1025" s="441">
        <f t="shared" si="226"/>
        <v>140000</v>
      </c>
      <c r="P1025" s="212" t="str">
        <f t="shared" si="228"/>
        <v>Caña_Azucar POJ 2878</v>
      </c>
      <c r="Q1025" s="212"/>
      <c r="R1025" s="212"/>
      <c r="S1025" s="212"/>
      <c r="T1025" s="212" cm="1">
        <f t="array" ref="T1025">_xlfn.IFS($D$5&lt;=7, 1.1, $D$5&lt;=12,1.2, $D$5&lt;=25, 1.3, $D$5&gt;25,1.4)</f>
        <v>1.3</v>
      </c>
      <c r="U1025" s="212"/>
      <c r="V1025" s="212"/>
      <c r="W1025" s="212"/>
      <c r="X1025" s="214">
        <v>2</v>
      </c>
    </row>
    <row r="1026" spans="1:24" ht="15">
      <c r="A1026" s="211" t="s">
        <v>4604</v>
      </c>
      <c r="B1026" s="225" t="s">
        <v>4058</v>
      </c>
      <c r="C1026" s="212" t="s">
        <v>69</v>
      </c>
      <c r="D1026" s="212" t="s">
        <v>99</v>
      </c>
      <c r="E1026" s="212" t="s">
        <v>100</v>
      </c>
      <c r="F1026" s="212" t="s">
        <v>130</v>
      </c>
      <c r="G1026" s="212" t="s">
        <v>131</v>
      </c>
      <c r="H1026" s="212" t="s">
        <v>134</v>
      </c>
      <c r="I1026" s="212" t="s">
        <v>135</v>
      </c>
      <c r="J1026" s="212" t="s">
        <v>105</v>
      </c>
      <c r="K1026" s="212" t="s">
        <v>106</v>
      </c>
      <c r="L1026" s="212" t="s">
        <v>107</v>
      </c>
      <c r="M1026" s="213">
        <f t="shared" si="229"/>
        <v>3</v>
      </c>
      <c r="N1026" s="441" cm="1">
        <f t="array" ref="N1026">IF(TRIM(K1026)="Mano de Obra",IF(Formulario!$L$23&lt;&gt;"",Formulario!$L$23,IFERROR(VLOOKUP(TRIM($M$4),Jornalesdeppto!A:C,3,0),"")),_xlfn.XLOOKUP(1,(Tabla_Costos_Insumos!$A$2:$A$3199=TRIM($M$4))*(Tabla_Costos_Insumos!$C$2:$C$3199=TRIM(K1026)),Tabla_Costos_Insumos!$E$2:$E$3199,"",0))</f>
        <v>46666.666666666664</v>
      </c>
      <c r="O1026" s="441">
        <f t="shared" si="226"/>
        <v>140000</v>
      </c>
      <c r="P1026" s="212" t="str">
        <f t="shared" si="228"/>
        <v>Caña_Azucar POJ 2878</v>
      </c>
      <c r="Q1026" s="212"/>
      <c r="R1026" s="212"/>
      <c r="S1026" s="212"/>
      <c r="T1026" s="212" cm="1">
        <f t="array" ref="T1026">_xlfn.IFS($D$5&lt;=7, 1.1, $D$5&lt;=12,1.2, $D$5&lt;=25, 1.3, $D$5&gt;25,1.4)</f>
        <v>1.3</v>
      </c>
      <c r="U1026" s="212"/>
      <c r="V1026" s="212"/>
      <c r="W1026" s="212"/>
      <c r="X1026" s="214">
        <v>2</v>
      </c>
    </row>
    <row r="1027" spans="1:24" ht="15">
      <c r="A1027" s="211" t="s">
        <v>4604</v>
      </c>
      <c r="B1027" s="225" t="s">
        <v>4058</v>
      </c>
      <c r="C1027" s="212" t="s">
        <v>69</v>
      </c>
      <c r="D1027" s="212" t="s">
        <v>99</v>
      </c>
      <c r="E1027" s="212" t="s">
        <v>100</v>
      </c>
      <c r="F1027" s="212" t="s">
        <v>130</v>
      </c>
      <c r="G1027" s="212" t="s">
        <v>131</v>
      </c>
      <c r="H1027" s="212" t="s">
        <v>136</v>
      </c>
      <c r="I1027" s="212" t="s">
        <v>137</v>
      </c>
      <c r="J1027" s="212" t="s">
        <v>105</v>
      </c>
      <c r="K1027" s="212" t="s">
        <v>106</v>
      </c>
      <c r="L1027" s="212" t="s">
        <v>107</v>
      </c>
      <c r="M1027" s="213">
        <f t="shared" si="229"/>
        <v>3</v>
      </c>
      <c r="N1027" s="441" cm="1">
        <f t="array" ref="N1027">IF(TRIM(K1027)="Mano de Obra",IF(Formulario!$L$23&lt;&gt;"",Formulario!$L$23,IFERROR(VLOOKUP(TRIM($M$4),Jornalesdeppto!A:C,3,0),"")),_xlfn.XLOOKUP(1,(Tabla_Costos_Insumos!$A$2:$A$3199=TRIM($M$4))*(Tabla_Costos_Insumos!$C$2:$C$3199=TRIM(K1027)),Tabla_Costos_Insumos!$E$2:$E$3199,"",0))</f>
        <v>46666.666666666664</v>
      </c>
      <c r="O1027" s="441">
        <f t="shared" si="226"/>
        <v>140000</v>
      </c>
      <c r="P1027" s="212" t="str">
        <f t="shared" si="228"/>
        <v>Caña_Azucar POJ 2878</v>
      </c>
      <c r="Q1027" s="212"/>
      <c r="R1027" s="212"/>
      <c r="S1027" s="212"/>
      <c r="T1027" s="212" cm="1">
        <f t="array" ref="T1027">_xlfn.IFS($D$5&lt;=7, 1.1, $D$5&lt;=12,1.2, $D$5&lt;=25, 1.3, $D$5&gt;25,1.4)</f>
        <v>1.3</v>
      </c>
      <c r="U1027" s="212"/>
      <c r="V1027" s="212"/>
      <c r="W1027" s="212"/>
      <c r="X1027" s="214">
        <v>2</v>
      </c>
    </row>
    <row r="1028" spans="1:24" ht="15">
      <c r="A1028" s="211" t="s">
        <v>4604</v>
      </c>
      <c r="B1028" s="225" t="s">
        <v>4058</v>
      </c>
      <c r="C1028" s="212" t="s">
        <v>69</v>
      </c>
      <c r="D1028" s="212" t="s">
        <v>99</v>
      </c>
      <c r="E1028" s="212" t="s">
        <v>100</v>
      </c>
      <c r="F1028" s="212" t="s">
        <v>138</v>
      </c>
      <c r="G1028" s="212" t="s">
        <v>139</v>
      </c>
      <c r="H1028" s="212" t="s">
        <v>143</v>
      </c>
      <c r="I1028" s="212" t="s">
        <v>144</v>
      </c>
      <c r="J1028" s="212" t="s">
        <v>105</v>
      </c>
      <c r="K1028" s="212" t="s">
        <v>106</v>
      </c>
      <c r="L1028" s="212" t="s">
        <v>107</v>
      </c>
      <c r="M1028" s="213">
        <f t="shared" si="229"/>
        <v>103</v>
      </c>
      <c r="N1028" s="441" cm="1">
        <f t="array" ref="N1028">IF(TRIM(K1028)="Mano de Obra",IF(Formulario!$L$23&lt;&gt;"",Formulario!$L$23,IFERROR(VLOOKUP(TRIM($M$4),Jornalesdeppto!A:C,3,0),"")),_xlfn.XLOOKUP(1,(Tabla_Costos_Insumos!$A$2:$A$3199=TRIM($M$4))*(Tabla_Costos_Insumos!$C$2:$C$3199=TRIM(K1028)),Tabla_Costos_Insumos!$E$2:$E$3199,"",0))</f>
        <v>46666.666666666664</v>
      </c>
      <c r="O1028" s="441">
        <f t="shared" si="226"/>
        <v>4806666.666666666</v>
      </c>
      <c r="P1028" s="212" t="str">
        <f t="shared" si="228"/>
        <v>Caña_Azucar POJ 2878</v>
      </c>
      <c r="Q1028" s="212"/>
      <c r="R1028" s="212"/>
      <c r="S1028" s="212"/>
      <c r="T1028" s="212" cm="1">
        <f t="array" ref="T1028">_xlfn.IFS($D$5&lt;=7, 1.1, $D$5&lt;=12,1.2, $D$5&lt;=25, 1.3, $D$5&gt;25,1.4)</f>
        <v>1.3</v>
      </c>
      <c r="U1028" s="212"/>
      <c r="V1028" s="212"/>
      <c r="W1028" s="212"/>
      <c r="X1028" s="214">
        <v>79</v>
      </c>
    </row>
    <row r="1029" spans="1:24" ht="15">
      <c r="A1029" s="211" t="s">
        <v>4604</v>
      </c>
      <c r="B1029" s="225" t="s">
        <v>4058</v>
      </c>
      <c r="C1029" s="212" t="s">
        <v>69</v>
      </c>
      <c r="D1029" s="212" t="s">
        <v>145</v>
      </c>
      <c r="E1029" s="212" t="s">
        <v>146</v>
      </c>
      <c r="F1029" s="212" t="s">
        <v>219</v>
      </c>
      <c r="G1029" s="212" t="s">
        <v>220</v>
      </c>
      <c r="H1029" s="212" t="s">
        <v>221</v>
      </c>
      <c r="I1029" s="212" t="s">
        <v>222</v>
      </c>
      <c r="J1029" s="212" t="s">
        <v>223</v>
      </c>
      <c r="K1029" s="212" t="s">
        <v>4121</v>
      </c>
      <c r="L1029" s="212" t="s">
        <v>4122</v>
      </c>
      <c r="M1029" s="213">
        <v>115</v>
      </c>
      <c r="N1029" s="441">
        <v>1420</v>
      </c>
      <c r="O1029" s="441">
        <f t="shared" si="226"/>
        <v>163300</v>
      </c>
      <c r="P1029" s="212" t="str">
        <f t="shared" si="228"/>
        <v>Caña_Azucar POJ 2878</v>
      </c>
      <c r="Q1029" s="212"/>
      <c r="R1029" s="212"/>
      <c r="S1029" s="212"/>
      <c r="T1029" s="212"/>
      <c r="U1029" s="212"/>
      <c r="V1029" s="212"/>
      <c r="W1029" s="212"/>
      <c r="X1029" s="214"/>
    </row>
    <row r="1030" spans="1:24" ht="15">
      <c r="A1030" s="211" t="s">
        <v>4604</v>
      </c>
      <c r="B1030" s="225" t="s">
        <v>4058</v>
      </c>
      <c r="C1030" s="212" t="s">
        <v>69</v>
      </c>
      <c r="D1030" s="212" t="s">
        <v>145</v>
      </c>
      <c r="E1030" s="212" t="s">
        <v>146</v>
      </c>
      <c r="F1030" s="212" t="s">
        <v>147</v>
      </c>
      <c r="G1030" s="212" t="s">
        <v>131</v>
      </c>
      <c r="H1030" s="212" t="s">
        <v>148</v>
      </c>
      <c r="I1030" s="212" t="s">
        <v>266</v>
      </c>
      <c r="J1030" s="212" t="s">
        <v>149</v>
      </c>
      <c r="K1030" s="212" t="s">
        <v>166</v>
      </c>
      <c r="L1030" s="212" t="s">
        <v>151</v>
      </c>
      <c r="M1030" s="213">
        <v>6</v>
      </c>
      <c r="N1030" s="441" cm="1">
        <f t="array" ref="N1030">IF(TRIM(K1030)="Mano de Obra",IF(Formulario!$L$23&lt;&gt;"",Formulario!$L$23,IFERROR(VLOOKUP(TRIM($M$4),Jornalesdeppto!A:C,3,0),"")),_xlfn.XLOOKUP(1,(Tabla_Costos_Insumos!$A$2:$A$3199=TRIM($M$4))*(Tabla_Costos_Insumos!$C$2:$C$3199=TRIM(K1030)),Tabla_Costos_Insumos!$E$2:$E$3199,"",0))</f>
        <v>110000</v>
      </c>
      <c r="O1030" s="441">
        <f t="shared" si="226"/>
        <v>660000</v>
      </c>
      <c r="P1030" s="212" t="str">
        <f t="shared" si="228"/>
        <v>Caña_Azucar POJ 2878</v>
      </c>
      <c r="Q1030" s="212"/>
      <c r="R1030" s="212"/>
      <c r="S1030" s="212"/>
      <c r="T1030" s="212"/>
      <c r="U1030" s="212"/>
      <c r="V1030" s="212"/>
      <c r="W1030" s="212"/>
      <c r="X1030" s="214"/>
    </row>
    <row r="1031" spans="1:24" ht="15">
      <c r="A1031" s="211" t="s">
        <v>4604</v>
      </c>
      <c r="B1031" s="225" t="s">
        <v>4058</v>
      </c>
      <c r="C1031" s="212" t="s">
        <v>69</v>
      </c>
      <c r="D1031" s="212" t="s">
        <v>145</v>
      </c>
      <c r="E1031" s="212" t="s">
        <v>146</v>
      </c>
      <c r="F1031" s="212" t="s">
        <v>147</v>
      </c>
      <c r="G1031" s="212" t="s">
        <v>131</v>
      </c>
      <c r="H1031" s="212" t="s">
        <v>152</v>
      </c>
      <c r="I1031" s="212" t="s">
        <v>4143</v>
      </c>
      <c r="J1031" s="212" t="s">
        <v>149</v>
      </c>
      <c r="K1031" s="212" t="s">
        <v>150</v>
      </c>
      <c r="L1031" s="212" t="s">
        <v>151</v>
      </c>
      <c r="M1031" s="213">
        <v>8</v>
      </c>
      <c r="N1031" s="441" cm="1">
        <f t="array" ref="N1031">IF(TRIM(K1031)="Mano de Obra",IF(Formulario!$L$23&lt;&gt;"",Formulario!$L$23,IFERROR(VLOOKUP(TRIM($M$4),Jornalesdeppto!A:C,3,0),"")),_xlfn.XLOOKUP(1,(Tabla_Costos_Insumos!$A$2:$A$3199=TRIM($M$4))*(Tabla_Costos_Insumos!$C$2:$C$3199=TRIM(K1031)),Tabla_Costos_Insumos!$E$2:$E$3199,"",0))</f>
        <v>198055.68333333</v>
      </c>
      <c r="O1031" s="441">
        <f t="shared" si="226"/>
        <v>1584445.46666664</v>
      </c>
      <c r="P1031" s="212" t="str">
        <f t="shared" si="228"/>
        <v>Caña_Azucar POJ 2878</v>
      </c>
      <c r="Q1031" s="212"/>
      <c r="R1031" s="212"/>
      <c r="S1031" s="212"/>
      <c r="T1031" s="212"/>
      <c r="U1031" s="212"/>
      <c r="V1031" s="212"/>
      <c r="W1031" s="212"/>
      <c r="X1031" s="214"/>
    </row>
    <row r="1032" spans="1:24" ht="15">
      <c r="A1032" s="211" t="s">
        <v>4604</v>
      </c>
      <c r="B1032" s="225" t="s">
        <v>4058</v>
      </c>
      <c r="C1032" s="212" t="s">
        <v>69</v>
      </c>
      <c r="D1032" s="212" t="s">
        <v>145</v>
      </c>
      <c r="E1032" s="212" t="s">
        <v>146</v>
      </c>
      <c r="F1032" s="212" t="s">
        <v>147</v>
      </c>
      <c r="G1032" s="212" t="s">
        <v>131</v>
      </c>
      <c r="H1032" s="212" t="s">
        <v>154</v>
      </c>
      <c r="I1032" s="212" t="s">
        <v>155</v>
      </c>
      <c r="J1032" s="212" t="s">
        <v>149</v>
      </c>
      <c r="K1032" s="212" t="s">
        <v>156</v>
      </c>
      <c r="L1032" s="212" t="s">
        <v>151</v>
      </c>
      <c r="M1032" s="213">
        <v>11</v>
      </c>
      <c r="N1032" s="441" cm="1">
        <f t="array" ref="N1032">IF(TRIM(K1032)="Mano de Obra",IF(Formulario!$L$23&lt;&gt;"",Formulario!$L$23,IFERROR(VLOOKUP(TRIM($M$4),Jornalesdeppto!A:C,3,0),"")),_xlfn.XLOOKUP(1,(Tabla_Costos_Insumos!$A$2:$A$3199=TRIM($M$4))*(Tabla_Costos_Insumos!$C$2:$C$3199=TRIM(K1032)),Tabla_Costos_Insumos!$E$2:$E$3199,"",0))</f>
        <v>17212.5</v>
      </c>
      <c r="O1032" s="441">
        <f t="shared" si="226"/>
        <v>189337.5</v>
      </c>
      <c r="P1032" s="212" t="str">
        <f t="shared" si="228"/>
        <v>Caña_Azucar POJ 2878</v>
      </c>
      <c r="Q1032" s="212"/>
      <c r="R1032" s="212"/>
      <c r="S1032" s="212"/>
      <c r="T1032" s="212"/>
      <c r="U1032" s="212"/>
      <c r="V1032" s="212"/>
      <c r="W1032" s="212"/>
      <c r="X1032" s="214"/>
    </row>
    <row r="1033" spans="1:24" ht="15">
      <c r="A1033" s="211" t="s">
        <v>4604</v>
      </c>
      <c r="B1033" s="225" t="s">
        <v>4058</v>
      </c>
      <c r="C1033" s="212" t="s">
        <v>69</v>
      </c>
      <c r="D1033" s="212" t="s">
        <v>145</v>
      </c>
      <c r="E1033" s="212" t="s">
        <v>146</v>
      </c>
      <c r="F1033" s="212" t="s">
        <v>147</v>
      </c>
      <c r="G1033" s="212" t="s">
        <v>131</v>
      </c>
      <c r="H1033" s="212" t="s">
        <v>157</v>
      </c>
      <c r="I1033" s="212" t="s">
        <v>158</v>
      </c>
      <c r="J1033" s="212" t="s">
        <v>149</v>
      </c>
      <c r="K1033" s="212" t="s">
        <v>246</v>
      </c>
      <c r="L1033" s="212" t="s">
        <v>172</v>
      </c>
      <c r="M1033" s="213">
        <v>5</v>
      </c>
      <c r="N1033" s="441" cm="1">
        <f t="array" ref="N1033">IF(TRIM(K1033)="Mano de Obra",IF(Formulario!$L$23&lt;&gt;"",Formulario!$L$23,IFERROR(VLOOKUP(TRIM($M$4),Jornalesdeppto!A:C,3,0),"")),_xlfn.XLOOKUP(1,(Tabla_Costos_Insumos!$A$2:$A$3199=TRIM($M$4))*(Tabla_Costos_Insumos!$C$2:$C$3199=TRIM(K1033)),Tabla_Costos_Insumos!$E$2:$E$3199,"",0))</f>
        <v>65250.53</v>
      </c>
      <c r="O1033" s="441">
        <f t="shared" si="226"/>
        <v>326252.65000000002</v>
      </c>
      <c r="P1033" s="212" t="str">
        <f t="shared" si="228"/>
        <v>Caña_Azucar POJ 2878</v>
      </c>
      <c r="Q1033" s="212"/>
      <c r="R1033" s="212"/>
      <c r="S1033" s="212"/>
      <c r="T1033" s="212"/>
      <c r="U1033" s="212"/>
      <c r="V1033" s="212"/>
      <c r="W1033" s="212"/>
      <c r="X1033" s="214"/>
    </row>
    <row r="1034" spans="1:24" ht="15">
      <c r="A1034" s="211" t="s">
        <v>4604</v>
      </c>
      <c r="B1034" s="225" t="s">
        <v>4058</v>
      </c>
      <c r="C1034" s="212" t="s">
        <v>69</v>
      </c>
      <c r="D1034" s="212" t="s">
        <v>145</v>
      </c>
      <c r="E1034" s="212" t="s">
        <v>146</v>
      </c>
      <c r="F1034" s="212" t="s">
        <v>147</v>
      </c>
      <c r="G1034" s="212" t="s">
        <v>131</v>
      </c>
      <c r="H1034" s="212" t="s">
        <v>161</v>
      </c>
      <c r="I1034" s="212" t="s">
        <v>162</v>
      </c>
      <c r="J1034" s="212" t="s">
        <v>149</v>
      </c>
      <c r="K1034" s="212" t="s">
        <v>163</v>
      </c>
      <c r="L1034" s="212" t="s">
        <v>164</v>
      </c>
      <c r="M1034" s="213">
        <v>4</v>
      </c>
      <c r="N1034" s="441" cm="1">
        <f t="array" ref="N1034">IF(TRIM(K1034)="Mano de Obra",IF(Formulario!$L$23&lt;&gt;"",Formulario!$L$23,IFERROR(VLOOKUP(TRIM($M$4),Jornalesdeppto!A:C,3,0),"")),_xlfn.XLOOKUP(1,(Tabla_Costos_Insumos!$A$2:$A$3199=TRIM($M$4))*(Tabla_Costos_Insumos!$C$2:$C$3199=TRIM(K1034)),Tabla_Costos_Insumos!$E$2:$E$3199,"",0))</f>
        <v>128084.44444445</v>
      </c>
      <c r="O1034" s="441">
        <f t="shared" ref="O1034:O1097" si="230">IF(OR(N1034=0,N1034=""),"",N1034*M1034)</f>
        <v>512337.77777779999</v>
      </c>
      <c r="P1034" s="212" t="str">
        <f t="shared" si="228"/>
        <v>Caña_Azucar POJ 2878</v>
      </c>
      <c r="Q1034" s="212"/>
      <c r="R1034" s="212"/>
      <c r="S1034" s="212"/>
      <c r="T1034" s="212"/>
      <c r="U1034" s="212"/>
      <c r="V1034" s="212"/>
      <c r="W1034" s="212"/>
      <c r="X1034" s="214"/>
    </row>
    <row r="1035" spans="1:24" ht="15">
      <c r="A1035" s="211" t="s">
        <v>4604</v>
      </c>
      <c r="B1035" s="225" t="s">
        <v>4058</v>
      </c>
      <c r="C1035" s="212" t="s">
        <v>69</v>
      </c>
      <c r="D1035" s="212" t="s">
        <v>145</v>
      </c>
      <c r="E1035" s="212" t="s">
        <v>146</v>
      </c>
      <c r="F1035" s="212" t="s">
        <v>147</v>
      </c>
      <c r="G1035" s="212" t="s">
        <v>131</v>
      </c>
      <c r="H1035" s="212" t="s">
        <v>165</v>
      </c>
      <c r="I1035" s="212" t="s">
        <v>153</v>
      </c>
      <c r="J1035" s="212" t="s">
        <v>149</v>
      </c>
      <c r="K1035" s="212" t="s">
        <v>4110</v>
      </c>
      <c r="L1035" s="212" t="s">
        <v>151</v>
      </c>
      <c r="M1035" s="213">
        <v>11</v>
      </c>
      <c r="N1035" s="441" cm="1">
        <f t="array" ref="N1035">IF(TRIM(K1035)="Mano de Obra",IF(Formulario!$L$23&lt;&gt;"",Formulario!$L$23,IFERROR(VLOOKUP(TRIM($M$4),Jornalesdeppto!A:C,3,0),"")),_xlfn.XLOOKUP(1,(Tabla_Costos_Insumos!$A$2:$A$3199=TRIM($M$4))*(Tabla_Costos_Insumos!$C$2:$C$3199=TRIM(K1035)),Tabla_Costos_Insumos!$E$2:$E$3199,"",0))</f>
        <v>125849.2424242409</v>
      </c>
      <c r="O1035" s="441">
        <f t="shared" si="230"/>
        <v>1384341.66666665</v>
      </c>
      <c r="P1035" s="212" t="str">
        <f t="shared" si="228"/>
        <v>Caña_Azucar POJ 2878</v>
      </c>
      <c r="Q1035" s="212"/>
      <c r="R1035" s="212"/>
      <c r="S1035" s="212"/>
      <c r="T1035" s="212"/>
      <c r="U1035" s="212"/>
      <c r="V1035" s="212"/>
      <c r="W1035" s="212"/>
      <c r="X1035" s="214"/>
    </row>
    <row r="1036" spans="1:24" ht="15">
      <c r="A1036" s="211" t="s">
        <v>4604</v>
      </c>
      <c r="B1036" s="225" t="s">
        <v>4058</v>
      </c>
      <c r="C1036" s="212" t="s">
        <v>69</v>
      </c>
      <c r="D1036" s="212" t="s">
        <v>145</v>
      </c>
      <c r="E1036" s="212" t="s">
        <v>146</v>
      </c>
      <c r="F1036" s="212" t="s">
        <v>167</v>
      </c>
      <c r="G1036" s="212" t="s">
        <v>118</v>
      </c>
      <c r="H1036" s="212" t="s">
        <v>247</v>
      </c>
      <c r="I1036" s="212" t="s">
        <v>248</v>
      </c>
      <c r="J1036" s="212" t="s">
        <v>249</v>
      </c>
      <c r="K1036" s="226" t="s">
        <v>4226</v>
      </c>
      <c r="L1036" s="212" t="s">
        <v>250</v>
      </c>
      <c r="M1036" s="213">
        <v>1</v>
      </c>
      <c r="N1036" s="441" cm="1">
        <f t="array" ref="N1036">IF(TRIM(K1036)="Mano de Obra",IF(Formulario!$L$23&lt;&gt;"",Formulario!$L$23,IFERROR(VLOOKUP(TRIM($M$4),Jornalesdeppto!A:C,3,0),"")),_xlfn.XLOOKUP(1,(Tabla_Costos_Insumos!$A$2:$A$3199=TRIM($M$4))*(Tabla_Costos_Insumos!$C$2:$C$3199=TRIM(K1036)),Tabla_Costos_Insumos!$E$2:$E$3199,"",0))</f>
        <v>60000</v>
      </c>
      <c r="O1036" s="441">
        <f t="shared" si="230"/>
        <v>60000</v>
      </c>
      <c r="P1036" s="212" t="str">
        <f t="shared" si="228"/>
        <v>Caña_Azucar POJ 2878</v>
      </c>
      <c r="Q1036" s="212"/>
      <c r="R1036" s="212"/>
      <c r="S1036" s="212"/>
      <c r="T1036" s="212"/>
      <c r="U1036" s="212"/>
      <c r="V1036" s="212"/>
      <c r="W1036" s="212"/>
      <c r="X1036" s="214"/>
    </row>
    <row r="1037" spans="1:24" ht="15">
      <c r="A1037" s="211" t="s">
        <v>4604</v>
      </c>
      <c r="B1037" s="225" t="s">
        <v>4058</v>
      </c>
      <c r="C1037" s="212" t="s">
        <v>69</v>
      </c>
      <c r="D1037" s="212" t="s">
        <v>145</v>
      </c>
      <c r="E1037" s="212" t="s">
        <v>146</v>
      </c>
      <c r="F1037" s="212" t="s">
        <v>167</v>
      </c>
      <c r="G1037" s="212" t="s">
        <v>118</v>
      </c>
      <c r="H1037" s="212" t="s">
        <v>168</v>
      </c>
      <c r="I1037" s="212" t="s">
        <v>169</v>
      </c>
      <c r="J1037" s="212" t="s">
        <v>170</v>
      </c>
      <c r="K1037" s="212" t="s">
        <v>256</v>
      </c>
      <c r="L1037" s="212" t="s">
        <v>172</v>
      </c>
      <c r="M1037" s="213">
        <v>2</v>
      </c>
      <c r="N1037" s="441" cm="1">
        <f t="array" ref="N1037">IF(TRIM(K1037)="Mano de Obra",IF(Formulario!$L$23&lt;&gt;"",Formulario!$L$23,IFERROR(VLOOKUP(TRIM($M$4),Jornalesdeppto!A:C,3,0),"")),_xlfn.XLOOKUP(1,(Tabla_Costos_Insumos!$A$2:$A$3199=TRIM($M$4))*(Tabla_Costos_Insumos!$C$2:$C$3199=TRIM(K1037)),Tabla_Costos_Insumos!$E$2:$E$3199,"",0))</f>
        <v>28842.22</v>
      </c>
      <c r="O1037" s="441">
        <f t="shared" si="230"/>
        <v>57684.44</v>
      </c>
      <c r="P1037" s="212" t="str">
        <f t="shared" si="228"/>
        <v>Caña_Azucar POJ 2878</v>
      </c>
      <c r="Q1037" s="212"/>
      <c r="R1037" s="212"/>
      <c r="S1037" s="212"/>
      <c r="T1037" s="212"/>
      <c r="U1037" s="212"/>
      <c r="V1037" s="212"/>
      <c r="W1037" s="212"/>
      <c r="X1037" s="214"/>
    </row>
    <row r="1038" spans="1:24" ht="15">
      <c r="A1038" s="211" t="s">
        <v>4604</v>
      </c>
      <c r="B1038" s="225" t="s">
        <v>4058</v>
      </c>
      <c r="C1038" s="212" t="s">
        <v>69</v>
      </c>
      <c r="D1038" s="212" t="s">
        <v>145</v>
      </c>
      <c r="E1038" s="212" t="s">
        <v>146</v>
      </c>
      <c r="F1038" s="212" t="s">
        <v>167</v>
      </c>
      <c r="G1038" s="212" t="s">
        <v>118</v>
      </c>
      <c r="H1038" s="212" t="s">
        <v>168</v>
      </c>
      <c r="I1038" s="212" t="s">
        <v>169</v>
      </c>
      <c r="J1038" s="212" t="s">
        <v>170</v>
      </c>
      <c r="K1038" s="212" t="s">
        <v>252</v>
      </c>
      <c r="L1038" s="212" t="s">
        <v>226</v>
      </c>
      <c r="M1038" s="213">
        <v>4</v>
      </c>
      <c r="N1038" s="441" cm="1">
        <f t="array" ref="N1038">IF(TRIM(K1038)="Mano de Obra",IF(Formulario!$L$23&lt;&gt;"",Formulario!$L$23,IFERROR(VLOOKUP(TRIM($M$4),Jornalesdeppto!A:C,3,0),"")),_xlfn.XLOOKUP(1,(Tabla_Costos_Insumos!$A$2:$A$3199=TRIM($M$4))*(Tabla_Costos_Insumos!$C$2:$C$3199=TRIM(K1038)),Tabla_Costos_Insumos!$E$2:$E$3199,"",0))</f>
        <v>24440.35</v>
      </c>
      <c r="O1038" s="441">
        <f t="shared" si="230"/>
        <v>97761.4</v>
      </c>
      <c r="P1038" s="212" t="str">
        <f t="shared" si="228"/>
        <v>Caña_Azucar POJ 2878</v>
      </c>
      <c r="Q1038" s="212"/>
      <c r="R1038" s="212"/>
      <c r="S1038" s="212"/>
      <c r="T1038" s="212"/>
      <c r="U1038" s="212"/>
      <c r="V1038" s="212"/>
      <c r="W1038" s="212"/>
      <c r="X1038" s="214"/>
    </row>
    <row r="1039" spans="1:24" ht="15">
      <c r="A1039" s="211" t="s">
        <v>4604</v>
      </c>
      <c r="B1039" s="225" t="s">
        <v>4058</v>
      </c>
      <c r="C1039" s="212" t="s">
        <v>69</v>
      </c>
      <c r="D1039" s="212" t="s">
        <v>145</v>
      </c>
      <c r="E1039" s="212" t="s">
        <v>146</v>
      </c>
      <c r="F1039" s="212" t="s">
        <v>167</v>
      </c>
      <c r="G1039" s="212" t="s">
        <v>118</v>
      </c>
      <c r="H1039" s="212" t="s">
        <v>174</v>
      </c>
      <c r="I1039" s="212" t="s">
        <v>175</v>
      </c>
      <c r="J1039" s="212" t="s">
        <v>176</v>
      </c>
      <c r="K1039" s="212" t="s">
        <v>4112</v>
      </c>
      <c r="L1039" s="212" t="s">
        <v>226</v>
      </c>
      <c r="M1039" s="213">
        <v>3</v>
      </c>
      <c r="N1039" s="441" cm="1">
        <f t="array" ref="N1039">IF(TRIM(K1039)="Mano de Obra",IF(Formulario!$L$23&lt;&gt;"",Formulario!$L$23,IFERROR(VLOOKUP(TRIM($M$4),Jornalesdeppto!A:C,3,0),"")),_xlfn.XLOOKUP(1,(Tabla_Costos_Insumos!$A$2:$A$3199=TRIM($M$4))*(Tabla_Costos_Insumos!$C$2:$C$3199=TRIM(K1039)),Tabla_Costos_Insumos!$E$2:$E$3199,"",0))</f>
        <v>28373.31649831641</v>
      </c>
      <c r="O1039" s="441">
        <f t="shared" si="230"/>
        <v>85119.949494949222</v>
      </c>
      <c r="P1039" s="212" t="str">
        <f t="shared" si="228"/>
        <v>Caña_Azucar POJ 2878</v>
      </c>
      <c r="Q1039" s="212"/>
      <c r="R1039" s="212"/>
      <c r="S1039" s="212"/>
      <c r="T1039" s="212"/>
      <c r="U1039" s="212"/>
      <c r="V1039" s="212"/>
      <c r="W1039" s="212"/>
      <c r="X1039" s="214"/>
    </row>
    <row r="1040" spans="1:24" ht="15">
      <c r="A1040" s="211" t="s">
        <v>4604</v>
      </c>
      <c r="B1040" s="225" t="s">
        <v>4058</v>
      </c>
      <c r="C1040" s="212" t="s">
        <v>69</v>
      </c>
      <c r="D1040" s="212" t="s">
        <v>145</v>
      </c>
      <c r="E1040" s="212" t="s">
        <v>146</v>
      </c>
      <c r="F1040" s="212" t="s">
        <v>167</v>
      </c>
      <c r="G1040" s="212" t="s">
        <v>118</v>
      </c>
      <c r="H1040" s="212" t="s">
        <v>178</v>
      </c>
      <c r="I1040" s="212" t="s">
        <v>179</v>
      </c>
      <c r="J1040" s="212" t="s">
        <v>180</v>
      </c>
      <c r="K1040" s="212" t="s">
        <v>181</v>
      </c>
      <c r="L1040" s="212" t="s">
        <v>172</v>
      </c>
      <c r="M1040" s="213">
        <v>3</v>
      </c>
      <c r="N1040" s="441" cm="1">
        <f t="array" ref="N1040">IF(TRIM(K1040)="Mano de Obra",IF(Formulario!$L$23&lt;&gt;"",Formulario!$L$23,IFERROR(VLOOKUP(TRIM($M$4),Jornalesdeppto!A:C,3,0),"")),_xlfn.XLOOKUP(1,(Tabla_Costos_Insumos!$A$2:$A$3199=TRIM($M$4))*(Tabla_Costos_Insumos!$C$2:$C$3199=TRIM(K1040)),Tabla_Costos_Insumos!$E$2:$E$3199,"",0))</f>
        <v>34056.25</v>
      </c>
      <c r="O1040" s="441">
        <f t="shared" si="230"/>
        <v>102168.75</v>
      </c>
      <c r="P1040" s="212" t="str">
        <f t="shared" si="228"/>
        <v>Caña_Azucar POJ 2878</v>
      </c>
      <c r="Q1040" s="212"/>
      <c r="R1040" s="212"/>
      <c r="S1040" s="212"/>
      <c r="T1040" s="212"/>
      <c r="U1040" s="212"/>
      <c r="V1040" s="212"/>
      <c r="W1040" s="212"/>
      <c r="X1040" s="214"/>
    </row>
    <row r="1041" spans="1:24" ht="15">
      <c r="A1041" s="211" t="s">
        <v>4604</v>
      </c>
      <c r="B1041" s="225" t="s">
        <v>4058</v>
      </c>
      <c r="C1041" s="212" t="s">
        <v>69</v>
      </c>
      <c r="D1041" s="212" t="s">
        <v>145</v>
      </c>
      <c r="E1041" s="212" t="s">
        <v>146</v>
      </c>
      <c r="F1041" s="212" t="s">
        <v>167</v>
      </c>
      <c r="G1041" s="212" t="s">
        <v>118</v>
      </c>
      <c r="H1041" s="212" t="s">
        <v>178</v>
      </c>
      <c r="I1041" s="212" t="s">
        <v>179</v>
      </c>
      <c r="J1041" s="212" t="s">
        <v>180</v>
      </c>
      <c r="K1041" s="212" t="s">
        <v>4114</v>
      </c>
      <c r="L1041" s="212" t="s">
        <v>172</v>
      </c>
      <c r="M1041" s="213">
        <v>5</v>
      </c>
      <c r="N1041" s="441" cm="1">
        <f t="array" ref="N1041">IF(TRIM(K1041)="Mano de Obra",IF(Formulario!$L$23&lt;&gt;"",Formulario!$L$23,IFERROR(VLOOKUP(TRIM($M$4),Jornalesdeppto!A:C,3,0),"")),_xlfn.XLOOKUP(1,(Tabla_Costos_Insumos!$A$2:$A$3199=TRIM($M$4))*(Tabla_Costos_Insumos!$C$2:$C$3199=TRIM(K1041)),Tabla_Costos_Insumos!$E$2:$E$3199,"",0))</f>
        <v>26447.361111107497</v>
      </c>
      <c r="O1041" s="441">
        <f t="shared" si="230"/>
        <v>132236.80555553749</v>
      </c>
      <c r="P1041" s="212" t="str">
        <f t="shared" si="228"/>
        <v>Caña_Azucar POJ 2878</v>
      </c>
      <c r="Q1041" s="212"/>
      <c r="R1041" s="212"/>
      <c r="S1041" s="212"/>
      <c r="T1041" s="212"/>
      <c r="U1041" s="212"/>
      <c r="V1041" s="212"/>
      <c r="W1041" s="212"/>
      <c r="X1041" s="214"/>
    </row>
    <row r="1042" spans="1:24" ht="15">
      <c r="A1042" s="211" t="s">
        <v>4604</v>
      </c>
      <c r="B1042" s="225" t="s">
        <v>4058</v>
      </c>
      <c r="C1042" s="212" t="s">
        <v>69</v>
      </c>
      <c r="D1042" s="212" t="s">
        <v>145</v>
      </c>
      <c r="E1042" s="212" t="s">
        <v>146</v>
      </c>
      <c r="F1042" s="212" t="s">
        <v>183</v>
      </c>
      <c r="G1042" s="212" t="s">
        <v>184</v>
      </c>
      <c r="H1042" s="212" t="s">
        <v>185</v>
      </c>
      <c r="I1042" s="212" t="s">
        <v>186</v>
      </c>
      <c r="J1042" s="212" t="s">
        <v>105</v>
      </c>
      <c r="K1042" s="212" t="s">
        <v>187</v>
      </c>
      <c r="L1042" s="212" t="s">
        <v>188</v>
      </c>
      <c r="M1042" s="213">
        <v>0.1</v>
      </c>
      <c r="N1042" s="441" cm="1">
        <f t="array" ref="N1042">IF(TRIM(K1042)="Mano de Obra",IF(Formulario!$L$23&lt;&gt;"",Formulario!$L$23,IFERROR(VLOOKUP(TRIM($M$4),Jornalesdeppto!A:C,3,0),"")),_xlfn.XLOOKUP(1,(Tabla_Costos_Insumos!$A$2:$A$3199=TRIM($M$4))*(Tabla_Costos_Insumos!$C$2:$C$3199=TRIM(K1042)),Tabla_Costos_Insumos!$E$2:$E$3199,"",0))</f>
        <v>175000</v>
      </c>
      <c r="O1042" s="441">
        <f t="shared" si="230"/>
        <v>17500</v>
      </c>
      <c r="P1042" s="212" t="str">
        <f t="shared" si="228"/>
        <v>Caña_Azucar POJ 2878</v>
      </c>
      <c r="Q1042" s="212"/>
      <c r="R1042" s="212"/>
      <c r="S1042" s="212"/>
      <c r="T1042" s="212"/>
      <c r="U1042" s="212"/>
      <c r="V1042" s="212"/>
      <c r="W1042" s="212"/>
      <c r="X1042" s="214"/>
    </row>
    <row r="1043" spans="1:24" ht="15">
      <c r="A1043" s="211" t="s">
        <v>4604</v>
      </c>
      <c r="B1043" s="225" t="s">
        <v>4058</v>
      </c>
      <c r="C1043" s="212" t="s">
        <v>69</v>
      </c>
      <c r="D1043" s="212" t="s">
        <v>189</v>
      </c>
      <c r="E1043" s="212" t="s">
        <v>190</v>
      </c>
      <c r="F1043" s="212" t="s">
        <v>191</v>
      </c>
      <c r="G1043" s="212" t="s">
        <v>192</v>
      </c>
      <c r="H1043" s="212" t="s">
        <v>193</v>
      </c>
      <c r="I1043" s="212" t="s">
        <v>194</v>
      </c>
      <c r="J1043" s="212" t="s">
        <v>195</v>
      </c>
      <c r="K1043" s="212" t="s">
        <v>196</v>
      </c>
      <c r="L1043" s="212" t="s">
        <v>197</v>
      </c>
      <c r="M1043" s="213">
        <v>1</v>
      </c>
      <c r="N1043" s="441">
        <f>IFERROR(SUM(O1025:$O$1042)*0.08,0)</f>
        <v>847932.24582625926</v>
      </c>
      <c r="O1043" s="441">
        <f t="shared" si="230"/>
        <v>847932.24582625926</v>
      </c>
      <c r="P1043" s="212" t="str">
        <f t="shared" si="228"/>
        <v>Caña_Azucar POJ 2878</v>
      </c>
      <c r="Q1043" s="212"/>
      <c r="R1043" s="212"/>
      <c r="S1043" s="212"/>
      <c r="T1043" s="212"/>
      <c r="U1043" s="212"/>
      <c r="V1043" s="212"/>
      <c r="W1043" s="212"/>
      <c r="X1043" s="214"/>
    </row>
    <row r="1044" spans="1:24" ht="15">
      <c r="A1044" s="211" t="s">
        <v>4604</v>
      </c>
      <c r="B1044" s="225" t="s">
        <v>4058</v>
      </c>
      <c r="C1044" s="212" t="s">
        <v>69</v>
      </c>
      <c r="D1044" s="212" t="s">
        <v>189</v>
      </c>
      <c r="E1044" s="212" t="s">
        <v>190</v>
      </c>
      <c r="F1044" s="212" t="s">
        <v>198</v>
      </c>
      <c r="G1044" s="212" t="s">
        <v>199</v>
      </c>
      <c r="H1044" s="212" t="s">
        <v>200</v>
      </c>
      <c r="I1044" s="212" t="s">
        <v>201</v>
      </c>
      <c r="J1044" s="212" t="s">
        <v>105</v>
      </c>
      <c r="K1044" s="212" t="s">
        <v>202</v>
      </c>
      <c r="L1044" s="212" t="s">
        <v>203</v>
      </c>
      <c r="M1044" s="213">
        <v>1</v>
      </c>
      <c r="N1044" s="441" cm="1">
        <f t="array" ref="N1044">IF(TRIM(K1044)="Mano de Obra",IF(Formulario!$L$23&lt;&gt;"",Formulario!$L$23,IFERROR(VLOOKUP(TRIM($M$4),Jornalesdeppto!A:C,3,0),"")),_xlfn.XLOOKUP(1,(Tabla_Costos_Insumos!$A$2:$A$3199=TRIM($M$4))*(Tabla_Costos_Insumos!$C$2:$C$3199=TRIM(K1044)),Tabla_Costos_Insumos!$E$2:$E$3199,"",0))</f>
        <v>120000</v>
      </c>
      <c r="O1044" s="441">
        <f t="shared" si="230"/>
        <v>120000</v>
      </c>
      <c r="P1044" s="212" t="str">
        <f t="shared" si="228"/>
        <v>Caña_Azucar POJ 2878</v>
      </c>
      <c r="Q1044" s="212"/>
      <c r="R1044" s="212"/>
      <c r="S1044" s="212"/>
      <c r="T1044" s="212"/>
      <c r="U1044" s="212"/>
      <c r="V1044" s="212"/>
      <c r="W1044" s="212"/>
      <c r="X1044" s="214"/>
    </row>
    <row r="1045" spans="1:24" ht="15">
      <c r="A1045" s="211" t="s">
        <v>4604</v>
      </c>
      <c r="B1045" s="225" t="s">
        <v>4058</v>
      </c>
      <c r="C1045" s="212" t="s">
        <v>69</v>
      </c>
      <c r="D1045" s="212" t="s">
        <v>189</v>
      </c>
      <c r="E1045" s="212" t="s">
        <v>190</v>
      </c>
      <c r="F1045" s="212" t="s">
        <v>204</v>
      </c>
      <c r="G1045" s="212" t="s">
        <v>205</v>
      </c>
      <c r="H1045" s="212" t="s">
        <v>206</v>
      </c>
      <c r="I1045" s="212" t="s">
        <v>207</v>
      </c>
      <c r="J1045" s="212" t="s">
        <v>208</v>
      </c>
      <c r="K1045" s="212" t="s">
        <v>228</v>
      </c>
      <c r="L1045" s="212" t="s">
        <v>197</v>
      </c>
      <c r="M1045" s="213">
        <v>1</v>
      </c>
      <c r="N1045" s="441">
        <f>$J$4</f>
        <v>500000</v>
      </c>
      <c r="O1045" s="441">
        <f t="shared" si="230"/>
        <v>500000</v>
      </c>
      <c r="P1045" s="212" t="str">
        <f t="shared" si="228"/>
        <v>Caña_Azucar POJ 2878</v>
      </c>
      <c r="Q1045" s="212"/>
      <c r="R1045" s="212"/>
      <c r="S1045" s="212"/>
      <c r="T1045" s="212"/>
      <c r="U1045" s="212"/>
      <c r="V1045" s="212"/>
      <c r="W1045" s="212"/>
      <c r="X1045" s="214"/>
    </row>
    <row r="1046" spans="1:24" ht="15">
      <c r="A1046" s="211" t="s">
        <v>4062</v>
      </c>
      <c r="B1046" s="225" t="s">
        <v>258</v>
      </c>
      <c r="C1046" s="212" t="s">
        <v>69</v>
      </c>
      <c r="D1046" s="212" t="s">
        <v>99</v>
      </c>
      <c r="E1046" s="212" t="s">
        <v>100</v>
      </c>
      <c r="F1046" s="212" t="s">
        <v>109</v>
      </c>
      <c r="G1046" s="212" t="s">
        <v>110</v>
      </c>
      <c r="H1046" s="212" t="s">
        <v>111</v>
      </c>
      <c r="I1046" s="212" t="s">
        <v>112</v>
      </c>
      <c r="J1046" s="212" t="s">
        <v>105</v>
      </c>
      <c r="K1046" s="212" t="s">
        <v>106</v>
      </c>
      <c r="L1046" s="212" t="s">
        <v>107</v>
      </c>
      <c r="M1046" s="213">
        <f>IF(W1046&lt;&gt;"", W1046, ROUNDUP(X1046*T1046, 0))</f>
        <v>4</v>
      </c>
      <c r="N1046" s="441" cm="1">
        <f t="array" ref="N1046">IF(TRIM(K1046)="Mano de Obra",IF(Formulario!$L$23&lt;&gt;"",Formulario!$L$23,IFERROR(VLOOKUP(TRIM($M$4),Jornalesdeppto!A:C,3,0),"")),_xlfn.XLOOKUP(1,(Tabla_Costos_Insumos!$A$2:$A$3199=TRIM($M$4))*(Tabla_Costos_Insumos!$C$2:$C$3199=TRIM(K1046)),Tabla_Costos_Insumos!$E$2:$E$3199,"",0))</f>
        <v>46666.666666666664</v>
      </c>
      <c r="O1046" s="441">
        <f t="shared" si="230"/>
        <v>186666.66666666666</v>
      </c>
      <c r="P1046" s="212" t="str">
        <f t="shared" si="228"/>
        <v>Naranja Común</v>
      </c>
      <c r="Q1046" s="212"/>
      <c r="R1046" s="212">
        <v>0.4</v>
      </c>
      <c r="S1046" s="212">
        <f>R1046*$I$3/480</f>
        <v>1.2833333333333334</v>
      </c>
      <c r="T1046" s="212" cm="1">
        <f t="array" ref="T1046">_xlfn.IFS($D$5&lt;=7, 1.1, $D$5&lt;=12,1.2, $D$5&lt;=25, 1.3, $D$5&gt;25,1.4)</f>
        <v>1.3</v>
      </c>
      <c r="U1046" s="212"/>
      <c r="V1046" s="212">
        <v>4</v>
      </c>
      <c r="W1046" s="212"/>
      <c r="X1046" s="214">
        <v>3</v>
      </c>
    </row>
    <row r="1047" spans="1:24" ht="15">
      <c r="A1047" s="211" t="s">
        <v>4062</v>
      </c>
      <c r="B1047" s="225" t="s">
        <v>258</v>
      </c>
      <c r="C1047" s="212" t="s">
        <v>69</v>
      </c>
      <c r="D1047" s="212" t="s">
        <v>99</v>
      </c>
      <c r="E1047" s="212" t="s">
        <v>100</v>
      </c>
      <c r="F1047" s="212" t="s">
        <v>109</v>
      </c>
      <c r="G1047" s="212" t="s">
        <v>110</v>
      </c>
      <c r="H1047" s="212" t="s">
        <v>234</v>
      </c>
      <c r="I1047" s="212" t="s">
        <v>235</v>
      </c>
      <c r="J1047" s="212" t="s">
        <v>105</v>
      </c>
      <c r="K1047" s="212" t="s">
        <v>106</v>
      </c>
      <c r="L1047" s="212" t="s">
        <v>107</v>
      </c>
      <c r="M1047" s="213">
        <f t="shared" ref="M1047:M1054" si="231">IF(W1047&lt;&gt;"", W1047, ROUNDUP(X1047*T1047, 0))</f>
        <v>6</v>
      </c>
      <c r="N1047" s="441" cm="1">
        <f t="array" ref="N1047">IF(TRIM(K1047)="Mano de Obra",IF(Formulario!$L$23&lt;&gt;"",Formulario!$L$23,IFERROR(VLOOKUP(TRIM($M$4),Jornalesdeppto!A:C,3,0),"")),_xlfn.XLOOKUP(1,(Tabla_Costos_Insumos!$A$2:$A$3199=TRIM($M$4))*(Tabla_Costos_Insumos!$C$2:$C$3199=TRIM(K1047)),Tabla_Costos_Insumos!$E$2:$E$3199,"",0))</f>
        <v>46666.666666666664</v>
      </c>
      <c r="O1047" s="441">
        <f t="shared" si="230"/>
        <v>280000</v>
      </c>
      <c r="P1047" s="212" t="str">
        <f t="shared" si="228"/>
        <v>Naranja Común</v>
      </c>
      <c r="Q1047" s="212"/>
      <c r="R1047" s="212">
        <v>1</v>
      </c>
      <c r="S1047" s="212">
        <f t="shared" ref="S1047:S1055" si="232">R1047*$I$3/480</f>
        <v>3.2083333333333335</v>
      </c>
      <c r="T1047" s="212" cm="1">
        <f t="array" ref="T1047">_xlfn.IFS($D$5&lt;=7, 1.1, $D$5&lt;=12,1.2, $D$5&lt;=25, 1.3, $D$5&gt;25,1.4)</f>
        <v>1.3</v>
      </c>
      <c r="U1047" s="212"/>
      <c r="V1047" s="212">
        <v>4</v>
      </c>
      <c r="W1047" s="212"/>
      <c r="X1047" s="214">
        <v>4</v>
      </c>
    </row>
    <row r="1048" spans="1:24" ht="15">
      <c r="A1048" s="211" t="s">
        <v>4062</v>
      </c>
      <c r="B1048" s="225" t="s">
        <v>258</v>
      </c>
      <c r="C1048" s="212" t="s">
        <v>69</v>
      </c>
      <c r="D1048" s="212" t="s">
        <v>99</v>
      </c>
      <c r="E1048" s="212" t="s">
        <v>100</v>
      </c>
      <c r="F1048" s="212" t="s">
        <v>113</v>
      </c>
      <c r="G1048" s="212" t="s">
        <v>114</v>
      </c>
      <c r="H1048" s="212" t="s">
        <v>115</v>
      </c>
      <c r="I1048" s="212" t="s">
        <v>116</v>
      </c>
      <c r="J1048" s="212" t="s">
        <v>105</v>
      </c>
      <c r="K1048" s="212" t="s">
        <v>106</v>
      </c>
      <c r="L1048" s="212" t="s">
        <v>107</v>
      </c>
      <c r="M1048" s="213">
        <f t="shared" si="231"/>
        <v>8</v>
      </c>
      <c r="N1048" s="441" cm="1">
        <f t="array" ref="N1048">IF(TRIM(K1048)="Mano de Obra",IF(Formulario!$L$23&lt;&gt;"",Formulario!$L$23,IFERROR(VLOOKUP(TRIM($M$4),Jornalesdeppto!A:C,3,0),"")),_xlfn.XLOOKUP(1,(Tabla_Costos_Insumos!$A$2:$A$3199=TRIM($M$4))*(Tabla_Costos_Insumos!$C$2:$C$3199=TRIM(K1048)),Tabla_Costos_Insumos!$E$2:$E$3199,"",0))</f>
        <v>46666.666666666664</v>
      </c>
      <c r="O1048" s="441">
        <f t="shared" si="230"/>
        <v>373333.33333333331</v>
      </c>
      <c r="P1048" s="212" t="str">
        <f t="shared" si="228"/>
        <v>Naranja Común</v>
      </c>
      <c r="Q1048" s="212"/>
      <c r="R1048" s="212">
        <v>3</v>
      </c>
      <c r="S1048" s="212">
        <f t="shared" si="232"/>
        <v>9.625</v>
      </c>
      <c r="T1048" s="212" cm="1">
        <f t="array" ref="T1048">_xlfn.IFS($D$5&lt;=7, 1.1, $D$5&lt;=12,1.2, $D$5&lt;=25, 1.3, $D$5&gt;25,1.4)</f>
        <v>1.3</v>
      </c>
      <c r="U1048" s="212"/>
      <c r="V1048" s="212">
        <v>2</v>
      </c>
      <c r="W1048" s="212"/>
      <c r="X1048" s="214">
        <v>6</v>
      </c>
    </row>
    <row r="1049" spans="1:24" ht="15">
      <c r="A1049" s="211" t="s">
        <v>4062</v>
      </c>
      <c r="B1049" s="225" t="s">
        <v>258</v>
      </c>
      <c r="C1049" s="212" t="s">
        <v>69</v>
      </c>
      <c r="D1049" s="212" t="s">
        <v>99</v>
      </c>
      <c r="E1049" s="212" t="s">
        <v>100</v>
      </c>
      <c r="F1049" s="212" t="s">
        <v>117</v>
      </c>
      <c r="G1049" s="212" t="s">
        <v>118</v>
      </c>
      <c r="H1049" s="212" t="s">
        <v>119</v>
      </c>
      <c r="I1049" s="212" t="s">
        <v>120</v>
      </c>
      <c r="J1049" s="212" t="s">
        <v>105</v>
      </c>
      <c r="K1049" s="212" t="s">
        <v>106</v>
      </c>
      <c r="L1049" s="212" t="s">
        <v>107</v>
      </c>
      <c r="M1049" s="213">
        <f t="shared" si="231"/>
        <v>11</v>
      </c>
      <c r="N1049" s="441" cm="1">
        <f t="array" ref="N1049">IF(TRIM(K1049)="Mano de Obra",IF(Formulario!$L$23&lt;&gt;"",Formulario!$L$23,IFERROR(VLOOKUP(TRIM($M$4),Jornalesdeppto!A:C,3,0),"")),_xlfn.XLOOKUP(1,(Tabla_Costos_Insumos!$A$2:$A$3199=TRIM($M$4))*(Tabla_Costos_Insumos!$C$2:$C$3199=TRIM(K1049)),Tabla_Costos_Insumos!$E$2:$E$3199,"",0))</f>
        <v>46666.666666666664</v>
      </c>
      <c r="O1049" s="441">
        <f t="shared" si="230"/>
        <v>513333.33333333331</v>
      </c>
      <c r="P1049" s="212" t="str">
        <f t="shared" si="228"/>
        <v>Naranja Común</v>
      </c>
      <c r="Q1049" s="212"/>
      <c r="R1049" s="212">
        <v>4.7</v>
      </c>
      <c r="S1049" s="212">
        <f t="shared" si="232"/>
        <v>15.079166666666667</v>
      </c>
      <c r="T1049" s="212" cm="1">
        <f t="array" ref="T1049">_xlfn.IFS($D$5&lt;=7, 1.1, $D$5&lt;=12,1.2, $D$5&lt;=25, 1.3, $D$5&gt;25,1.4)</f>
        <v>1.3</v>
      </c>
      <c r="U1049" s="212"/>
      <c r="V1049" s="212">
        <v>9</v>
      </c>
      <c r="W1049" s="212"/>
      <c r="X1049" s="214">
        <v>8</v>
      </c>
    </row>
    <row r="1050" spans="1:24" ht="15">
      <c r="A1050" s="211" t="s">
        <v>4062</v>
      </c>
      <c r="B1050" s="225" t="s">
        <v>258</v>
      </c>
      <c r="C1050" s="212" t="s">
        <v>69</v>
      </c>
      <c r="D1050" s="212" t="s">
        <v>99</v>
      </c>
      <c r="E1050" s="212" t="s">
        <v>100</v>
      </c>
      <c r="F1050" s="212" t="s">
        <v>117</v>
      </c>
      <c r="G1050" s="212" t="s">
        <v>118</v>
      </c>
      <c r="H1050" s="212" t="s">
        <v>121</v>
      </c>
      <c r="I1050" s="212" t="s">
        <v>122</v>
      </c>
      <c r="J1050" s="212" t="s">
        <v>105</v>
      </c>
      <c r="K1050" s="212" t="s">
        <v>106</v>
      </c>
      <c r="L1050" s="212" t="s">
        <v>107</v>
      </c>
      <c r="M1050" s="213">
        <f t="shared" si="231"/>
        <v>11</v>
      </c>
      <c r="N1050" s="441" cm="1">
        <f t="array" ref="N1050">IF(TRIM(K1050)="Mano de Obra",IF(Formulario!$L$23&lt;&gt;"",Formulario!$L$23,IFERROR(VLOOKUP(TRIM($M$4),Jornalesdeppto!A:C,3,0),"")),_xlfn.XLOOKUP(1,(Tabla_Costos_Insumos!$A$2:$A$3199=TRIM($M$4))*(Tabla_Costos_Insumos!$C$2:$C$3199=TRIM(K1050)),Tabla_Costos_Insumos!$E$2:$E$3199,"",0))</f>
        <v>46666.666666666664</v>
      </c>
      <c r="O1050" s="441">
        <f t="shared" si="230"/>
        <v>513333.33333333331</v>
      </c>
      <c r="P1050" s="212" t="str">
        <f t="shared" si="228"/>
        <v>Naranja Común</v>
      </c>
      <c r="Q1050" s="212"/>
      <c r="R1050" s="212">
        <v>4.7</v>
      </c>
      <c r="S1050" s="212">
        <f t="shared" si="232"/>
        <v>15.079166666666667</v>
      </c>
      <c r="T1050" s="212" cm="1">
        <f t="array" ref="T1050">_xlfn.IFS($D$5&lt;=7, 1.1, $D$5&lt;=12,1.2, $D$5&lt;=25, 1.3, $D$5&gt;25,1.4)</f>
        <v>1.3</v>
      </c>
      <c r="U1050" s="212"/>
      <c r="V1050" s="212">
        <v>9</v>
      </c>
      <c r="W1050" s="212"/>
      <c r="X1050" s="214">
        <v>8</v>
      </c>
    </row>
    <row r="1051" spans="1:24" ht="15">
      <c r="A1051" s="211" t="s">
        <v>4062</v>
      </c>
      <c r="B1051" s="225" t="s">
        <v>258</v>
      </c>
      <c r="C1051" s="212" t="s">
        <v>69</v>
      </c>
      <c r="D1051" s="212" t="s">
        <v>99</v>
      </c>
      <c r="E1051" s="212" t="s">
        <v>100</v>
      </c>
      <c r="F1051" s="212" t="s">
        <v>123</v>
      </c>
      <c r="G1051" s="212" t="s">
        <v>124</v>
      </c>
      <c r="H1051" s="212" t="s">
        <v>125</v>
      </c>
      <c r="I1051" s="212" t="s">
        <v>126</v>
      </c>
      <c r="J1051" s="212" t="s">
        <v>105</v>
      </c>
      <c r="K1051" s="212" t="s">
        <v>106</v>
      </c>
      <c r="L1051" s="212" t="s">
        <v>107</v>
      </c>
      <c r="M1051" s="213">
        <f t="shared" si="231"/>
        <v>4</v>
      </c>
      <c r="N1051" s="441" cm="1">
        <f t="array" ref="N1051">IF(TRIM(K1051)="Mano de Obra",IF(Formulario!$L$23&lt;&gt;"",Formulario!$L$23,IFERROR(VLOOKUP(TRIM($M$4),Jornalesdeppto!A:C,3,0),"")),_xlfn.XLOOKUP(1,(Tabla_Costos_Insumos!$A$2:$A$3199=TRIM($M$4))*(Tabla_Costos_Insumos!$C$2:$C$3199=TRIM(K1051)),Tabla_Costos_Insumos!$E$2:$E$3199,"",0))</f>
        <v>46666.666666666664</v>
      </c>
      <c r="O1051" s="441">
        <f t="shared" si="230"/>
        <v>186666.66666666666</v>
      </c>
      <c r="P1051" s="212" t="str">
        <f t="shared" si="228"/>
        <v>Naranja Común</v>
      </c>
      <c r="Q1051" s="212"/>
      <c r="R1051" s="212">
        <v>0.09</v>
      </c>
      <c r="S1051" s="212">
        <f t="shared" si="232"/>
        <v>0.28875000000000001</v>
      </c>
      <c r="T1051" s="212" cm="1">
        <f t="array" ref="T1051">_xlfn.IFS($D$5&lt;=7, 1.1, $D$5&lt;=12,1.2, $D$5&lt;=25, 1.3, $D$5&gt;25,1.4)</f>
        <v>1.3</v>
      </c>
      <c r="U1051" s="212">
        <f>10000*R1051/480</f>
        <v>1.875</v>
      </c>
      <c r="V1051" s="212">
        <v>4</v>
      </c>
      <c r="W1051" s="212"/>
      <c r="X1051" s="214">
        <v>3</v>
      </c>
    </row>
    <row r="1052" spans="1:24" ht="15">
      <c r="A1052" s="211" t="s">
        <v>4062</v>
      </c>
      <c r="B1052" s="225" t="s">
        <v>258</v>
      </c>
      <c r="C1052" s="212" t="s">
        <v>69</v>
      </c>
      <c r="D1052" s="212" t="s">
        <v>99</v>
      </c>
      <c r="E1052" s="212" t="s">
        <v>100</v>
      </c>
      <c r="F1052" s="212" t="s">
        <v>123</v>
      </c>
      <c r="G1052" s="212" t="s">
        <v>124</v>
      </c>
      <c r="H1052" s="212" t="s">
        <v>128</v>
      </c>
      <c r="I1052" s="212" t="s">
        <v>129</v>
      </c>
      <c r="J1052" s="212" t="s">
        <v>105</v>
      </c>
      <c r="K1052" s="212" t="s">
        <v>106</v>
      </c>
      <c r="L1052" s="212" t="s">
        <v>107</v>
      </c>
      <c r="M1052" s="213">
        <f t="shared" si="231"/>
        <v>10</v>
      </c>
      <c r="N1052" s="441" cm="1">
        <f t="array" ref="N1052">IF(TRIM(K1052)="Mano de Obra",IF(Formulario!$L$23&lt;&gt;"",Formulario!$L$23,IFERROR(VLOOKUP(TRIM($M$4),Jornalesdeppto!A:C,3,0),"")),_xlfn.XLOOKUP(1,(Tabla_Costos_Insumos!$A$2:$A$3199=TRIM($M$4))*(Tabla_Costos_Insumos!$C$2:$C$3199=TRIM(K1052)),Tabla_Costos_Insumos!$E$2:$E$3199,"",0))</f>
        <v>46666.666666666664</v>
      </c>
      <c r="O1052" s="441">
        <f t="shared" si="230"/>
        <v>466666.66666666663</v>
      </c>
      <c r="P1052" s="212" t="str">
        <f t="shared" si="228"/>
        <v>Naranja Común</v>
      </c>
      <c r="Q1052" s="212"/>
      <c r="R1052" s="212">
        <v>0.09</v>
      </c>
      <c r="S1052" s="212">
        <f t="shared" si="232"/>
        <v>0.28875000000000001</v>
      </c>
      <c r="T1052" s="212" cm="1">
        <f t="array" ref="T1052">_xlfn.IFS($D$5&lt;=7, 1.1, $D$5&lt;=12,1.2, $D$5&lt;=25, 1.3, $D$5&gt;25,1.4)</f>
        <v>1.3</v>
      </c>
      <c r="U1052" s="212">
        <f>10000*R1052/480</f>
        <v>1.875</v>
      </c>
      <c r="V1052" s="212">
        <v>4</v>
      </c>
      <c r="W1052" s="212"/>
      <c r="X1052" s="214">
        <v>7</v>
      </c>
    </row>
    <row r="1053" spans="1:24" ht="15">
      <c r="A1053" s="211" t="s">
        <v>4062</v>
      </c>
      <c r="B1053" s="225" t="s">
        <v>258</v>
      </c>
      <c r="C1053" s="212" t="s">
        <v>69</v>
      </c>
      <c r="D1053" s="212" t="s">
        <v>99</v>
      </c>
      <c r="E1053" s="212" t="s">
        <v>100</v>
      </c>
      <c r="F1053" s="212" t="s">
        <v>130</v>
      </c>
      <c r="G1053" s="212" t="s">
        <v>131</v>
      </c>
      <c r="H1053" s="212" t="s">
        <v>132</v>
      </c>
      <c r="I1053" s="212" t="s">
        <v>133</v>
      </c>
      <c r="J1053" s="212" t="s">
        <v>105</v>
      </c>
      <c r="K1053" s="212" t="s">
        <v>106</v>
      </c>
      <c r="L1053" s="212" t="s">
        <v>107</v>
      </c>
      <c r="M1053" s="213">
        <f t="shared" si="231"/>
        <v>4</v>
      </c>
      <c r="N1053" s="441" cm="1">
        <f t="array" ref="N1053">IF(TRIM(K1053)="Mano de Obra",IF(Formulario!$L$23&lt;&gt;"",Formulario!$L$23,IFERROR(VLOOKUP(TRIM($M$4),Jornalesdeppto!A:C,3,0),"")),_xlfn.XLOOKUP(1,(Tabla_Costos_Insumos!$A$2:$A$3199=TRIM($M$4))*(Tabla_Costos_Insumos!$C$2:$C$3199=TRIM(K1053)),Tabla_Costos_Insumos!$E$2:$E$3199,"",0))</f>
        <v>46666.666666666664</v>
      </c>
      <c r="O1053" s="441">
        <f t="shared" si="230"/>
        <v>186666.66666666666</v>
      </c>
      <c r="P1053" s="212" t="str">
        <f t="shared" si="228"/>
        <v>Naranja Común</v>
      </c>
      <c r="Q1053" s="212"/>
      <c r="R1053" s="212">
        <v>1</v>
      </c>
      <c r="S1053" s="212">
        <f t="shared" si="232"/>
        <v>3.2083333333333335</v>
      </c>
      <c r="T1053" s="212" cm="1">
        <f t="array" ref="T1053">_xlfn.IFS($D$5&lt;=7, 1.1, $D$5&lt;=12,1.2, $D$5&lt;=25, 1.3, $D$5&gt;25,1.4)</f>
        <v>1.3</v>
      </c>
      <c r="U1053" s="212"/>
      <c r="V1053" s="212">
        <v>4</v>
      </c>
      <c r="W1053" s="212"/>
      <c r="X1053" s="214">
        <v>3</v>
      </c>
    </row>
    <row r="1054" spans="1:24" ht="15">
      <c r="A1054" s="211" t="s">
        <v>4062</v>
      </c>
      <c r="B1054" s="225" t="s">
        <v>258</v>
      </c>
      <c r="C1054" s="212" t="s">
        <v>69</v>
      </c>
      <c r="D1054" s="212" t="s">
        <v>99</v>
      </c>
      <c r="E1054" s="212" t="s">
        <v>100</v>
      </c>
      <c r="F1054" s="212" t="s">
        <v>138</v>
      </c>
      <c r="G1054" s="212" t="s">
        <v>139</v>
      </c>
      <c r="H1054" s="212" t="s">
        <v>140</v>
      </c>
      <c r="I1054" s="212" t="s">
        <v>141</v>
      </c>
      <c r="J1054" s="212" t="s">
        <v>105</v>
      </c>
      <c r="K1054" s="212" t="s">
        <v>106</v>
      </c>
      <c r="L1054" s="212" t="s">
        <v>107</v>
      </c>
      <c r="M1054" s="213">
        <f t="shared" si="231"/>
        <v>11</v>
      </c>
      <c r="N1054" s="441" cm="1">
        <f t="array" ref="N1054">IF(TRIM(K1054)="Mano de Obra",IF(Formulario!$L$23&lt;&gt;"",Formulario!$L$23,IFERROR(VLOOKUP(TRIM($M$4),Jornalesdeppto!A:C,3,0),"")),_xlfn.XLOOKUP(1,(Tabla_Costos_Insumos!$A$2:$A$3199=TRIM($M$4))*(Tabla_Costos_Insumos!$C$2:$C$3199=TRIM(K1054)),Tabla_Costos_Insumos!$E$2:$E$3199,"",0))</f>
        <v>46666.666666666664</v>
      </c>
      <c r="O1054" s="441">
        <f t="shared" si="230"/>
        <v>513333.33333333331</v>
      </c>
      <c r="P1054" s="212" t="str">
        <f t="shared" si="228"/>
        <v>Naranja Común</v>
      </c>
      <c r="Q1054" s="212"/>
      <c r="R1054" s="212"/>
      <c r="S1054" s="212">
        <f t="shared" si="232"/>
        <v>0</v>
      </c>
      <c r="T1054" s="212" cm="1">
        <f t="array" ref="T1054">_xlfn.IFS($D$5&lt;=7, 1.1, $D$5&lt;=12,1.2, $D$5&lt;=25, 1.3, $D$5&gt;25,1.4)</f>
        <v>1.3</v>
      </c>
      <c r="U1054" s="212"/>
      <c r="V1054" s="212"/>
      <c r="W1054" s="212"/>
      <c r="X1054" s="214">
        <v>8</v>
      </c>
    </row>
    <row r="1055" spans="1:24" ht="15">
      <c r="A1055" s="211" t="s">
        <v>4062</v>
      </c>
      <c r="B1055" s="225" t="s">
        <v>258</v>
      </c>
      <c r="C1055" s="212" t="s">
        <v>69</v>
      </c>
      <c r="D1055" s="212" t="s">
        <v>99</v>
      </c>
      <c r="E1055" s="212" t="s">
        <v>100</v>
      </c>
      <c r="F1055" s="212" t="s">
        <v>138</v>
      </c>
      <c r="G1055" s="212" t="s">
        <v>139</v>
      </c>
      <c r="H1055" s="212" t="s">
        <v>143</v>
      </c>
      <c r="I1055" s="212" t="s">
        <v>144</v>
      </c>
      <c r="J1055" s="212" t="s">
        <v>105</v>
      </c>
      <c r="K1055" s="212" t="s">
        <v>106</v>
      </c>
      <c r="L1055" s="212" t="s">
        <v>107</v>
      </c>
      <c r="M1055" s="213">
        <f>IF(W1055&lt;&gt;"", W1055, ROUNDUP(X1055*T1055, 0))</f>
        <v>65</v>
      </c>
      <c r="N1055" s="441" cm="1">
        <f t="array" ref="N1055">IF(TRIM(K1055)="Mano de Obra",IF(Formulario!$L$23&lt;&gt;"",Formulario!$L$23,IFERROR(VLOOKUP(TRIM($M$4),Jornalesdeppto!A:C,3,0),"")),_xlfn.XLOOKUP(1,(Tabla_Costos_Insumos!$A$2:$A$3199=TRIM($M$4))*(Tabla_Costos_Insumos!$C$2:$C$3199=TRIM(K1055)),Tabla_Costos_Insumos!$E$2:$E$3199,"",0))</f>
        <v>46666.666666666664</v>
      </c>
      <c r="O1055" s="441">
        <f t="shared" si="230"/>
        <v>3033333.333333333</v>
      </c>
      <c r="P1055" s="212" t="str">
        <f t="shared" si="228"/>
        <v>Naranja Común</v>
      </c>
      <c r="Q1055" s="212"/>
      <c r="R1055" s="212"/>
      <c r="S1055" s="212">
        <f t="shared" si="232"/>
        <v>0</v>
      </c>
      <c r="T1055" s="212" cm="1">
        <f t="array" ref="T1055">_xlfn.IFS($D$5&lt;=7, 1.1, $D$5&lt;=12,1.2, $D$5&lt;=25, 1.3, $D$5&gt;25,1.4)</f>
        <v>1.3</v>
      </c>
      <c r="U1055" s="212"/>
      <c r="V1055" s="212"/>
      <c r="W1055" s="212"/>
      <c r="X1055" s="214">
        <v>50</v>
      </c>
    </row>
    <row r="1056" spans="1:24" ht="15">
      <c r="A1056" s="211" t="s">
        <v>4062</v>
      </c>
      <c r="B1056" s="225" t="s">
        <v>258</v>
      </c>
      <c r="C1056" s="212" t="s">
        <v>69</v>
      </c>
      <c r="D1056" s="212" t="s">
        <v>145</v>
      </c>
      <c r="E1056" s="212" t="s">
        <v>146</v>
      </c>
      <c r="F1056" s="212" t="s">
        <v>147</v>
      </c>
      <c r="G1056" s="212" t="s">
        <v>131</v>
      </c>
      <c r="H1056" s="212" t="s">
        <v>148</v>
      </c>
      <c r="I1056" s="212" t="s">
        <v>266</v>
      </c>
      <c r="J1056" s="212" t="s">
        <v>149</v>
      </c>
      <c r="K1056" s="212" t="s">
        <v>166</v>
      </c>
      <c r="L1056" s="212" t="s">
        <v>151</v>
      </c>
      <c r="M1056" s="213">
        <v>3</v>
      </c>
      <c r="N1056" s="441" cm="1">
        <f t="array" ref="N1056">IF(TRIM(K1056)="Mano de Obra",IF(Formulario!$L$23&lt;&gt;"",Formulario!$L$23,IFERROR(VLOOKUP(TRIM($M$4),Jornalesdeppto!A:C,3,0),"")),_xlfn.XLOOKUP(1,(Tabla_Costos_Insumos!$A$2:$A$3199=TRIM($M$4))*(Tabla_Costos_Insumos!$C$2:$C$3199=TRIM(K1056)),Tabla_Costos_Insumos!$E$2:$E$3199,"",0))</f>
        <v>110000</v>
      </c>
      <c r="O1056" s="441">
        <f t="shared" si="230"/>
        <v>330000</v>
      </c>
      <c r="P1056" s="212" t="str">
        <f t="shared" si="228"/>
        <v>Naranja Común</v>
      </c>
      <c r="Q1056" s="212"/>
      <c r="R1056" s="212"/>
      <c r="S1056" s="212"/>
      <c r="T1056" s="212"/>
      <c r="U1056" s="212"/>
      <c r="V1056" s="212"/>
      <c r="W1056" s="212"/>
      <c r="X1056" s="214"/>
    </row>
    <row r="1057" spans="1:24" ht="15">
      <c r="A1057" s="211" t="s">
        <v>4062</v>
      </c>
      <c r="B1057" s="225" t="s">
        <v>258</v>
      </c>
      <c r="C1057" s="212" t="s">
        <v>69</v>
      </c>
      <c r="D1057" s="212" t="s">
        <v>145</v>
      </c>
      <c r="E1057" s="212" t="s">
        <v>146</v>
      </c>
      <c r="F1057" s="212" t="s">
        <v>147</v>
      </c>
      <c r="G1057" s="212" t="s">
        <v>131</v>
      </c>
      <c r="H1057" s="212" t="s">
        <v>152</v>
      </c>
      <c r="I1057" s="212" t="s">
        <v>4143</v>
      </c>
      <c r="J1057" s="212" t="s">
        <v>149</v>
      </c>
      <c r="K1057" s="212" t="s">
        <v>150</v>
      </c>
      <c r="L1057" s="212" t="s">
        <v>151</v>
      </c>
      <c r="M1057" s="213">
        <v>1</v>
      </c>
      <c r="N1057" s="441" cm="1">
        <f t="array" ref="N1057">IF(TRIM(K1057)="Mano de Obra",IF(Formulario!$L$23&lt;&gt;"",Formulario!$L$23,IFERROR(VLOOKUP(TRIM($M$4),Jornalesdeppto!A:C,3,0),"")),_xlfn.XLOOKUP(1,(Tabla_Costos_Insumos!$A$2:$A$3199=TRIM($M$4))*(Tabla_Costos_Insumos!$C$2:$C$3199=TRIM(K1057)),Tabla_Costos_Insumos!$E$2:$E$3199,"",0))</f>
        <v>198055.68333333</v>
      </c>
      <c r="O1057" s="441">
        <f t="shared" si="230"/>
        <v>198055.68333333</v>
      </c>
      <c r="P1057" s="212" t="str">
        <f t="shared" si="228"/>
        <v>Naranja Común</v>
      </c>
      <c r="Q1057" s="212"/>
      <c r="R1057" s="212"/>
      <c r="S1057" s="212"/>
      <c r="T1057" s="212"/>
      <c r="U1057" s="212"/>
      <c r="V1057" s="212"/>
      <c r="W1057" s="212"/>
      <c r="X1057" s="214"/>
    </row>
    <row r="1058" spans="1:24" ht="15">
      <c r="A1058" s="211" t="s">
        <v>4062</v>
      </c>
      <c r="B1058" s="225" t="s">
        <v>258</v>
      </c>
      <c r="C1058" s="212" t="s">
        <v>69</v>
      </c>
      <c r="D1058" s="212" t="s">
        <v>145</v>
      </c>
      <c r="E1058" s="212" t="s">
        <v>146</v>
      </c>
      <c r="F1058" s="212" t="s">
        <v>147</v>
      </c>
      <c r="G1058" s="212" t="s">
        <v>131</v>
      </c>
      <c r="H1058" s="212" t="s">
        <v>154</v>
      </c>
      <c r="I1058" s="212" t="s">
        <v>155</v>
      </c>
      <c r="J1058" s="212" t="s">
        <v>149</v>
      </c>
      <c r="K1058" s="212" t="s">
        <v>156</v>
      </c>
      <c r="L1058" s="212" t="s">
        <v>151</v>
      </c>
      <c r="M1058" s="213">
        <v>2</v>
      </c>
      <c r="N1058" s="441" cm="1">
        <f t="array" ref="N1058">IF(TRIM(K1058)="Mano de Obra",IF(Formulario!$L$23&lt;&gt;"",Formulario!$L$23,IFERROR(VLOOKUP(TRIM($M$4),Jornalesdeppto!A:C,3,0),"")),_xlfn.XLOOKUP(1,(Tabla_Costos_Insumos!$A$2:$A$3199=TRIM($M$4))*(Tabla_Costos_Insumos!$C$2:$C$3199=TRIM(K1058)),Tabla_Costos_Insumos!$E$2:$E$3199,"",0))</f>
        <v>17212.5</v>
      </c>
      <c r="O1058" s="441">
        <f t="shared" si="230"/>
        <v>34425</v>
      </c>
      <c r="P1058" s="212" t="str">
        <f t="shared" si="228"/>
        <v>Naranja Común</v>
      </c>
      <c r="Q1058" s="212"/>
      <c r="R1058" s="212"/>
      <c r="S1058" s="212"/>
      <c r="T1058" s="212"/>
      <c r="U1058" s="212"/>
      <c r="V1058" s="212"/>
      <c r="W1058" s="212"/>
      <c r="X1058" s="214"/>
    </row>
    <row r="1059" spans="1:24" ht="15">
      <c r="A1059" s="211" t="s">
        <v>4062</v>
      </c>
      <c r="B1059" s="225" t="s">
        <v>258</v>
      </c>
      <c r="C1059" s="212" t="s">
        <v>69</v>
      </c>
      <c r="D1059" s="212" t="s">
        <v>145</v>
      </c>
      <c r="E1059" s="212" t="s">
        <v>146</v>
      </c>
      <c r="F1059" s="212" t="s">
        <v>147</v>
      </c>
      <c r="G1059" s="212" t="s">
        <v>131</v>
      </c>
      <c r="H1059" s="212" t="s">
        <v>157</v>
      </c>
      <c r="I1059" s="212" t="s">
        <v>158</v>
      </c>
      <c r="J1059" s="212" t="s">
        <v>149</v>
      </c>
      <c r="K1059" s="212" t="s">
        <v>237</v>
      </c>
      <c r="L1059" s="212" t="s">
        <v>172</v>
      </c>
      <c r="M1059" s="213">
        <v>3</v>
      </c>
      <c r="N1059" s="441" cm="1">
        <f t="array" ref="N1059">IF(TRIM(K1059)="Mano de Obra",IF(Formulario!$L$23&lt;&gt;"",Formulario!$L$23,IFERROR(VLOOKUP(TRIM($M$4),Jornalesdeppto!A:C,3,0),"")),_xlfn.XLOOKUP(1,(Tabla_Costos_Insumos!$A$2:$A$3199=TRIM($M$4))*(Tabla_Costos_Insumos!$C$2:$C$3199=TRIM(K1059)),Tabla_Costos_Insumos!$E$2:$E$3199,"",0))</f>
        <v>26190.48</v>
      </c>
      <c r="O1059" s="441">
        <f t="shared" si="230"/>
        <v>78571.44</v>
      </c>
      <c r="P1059" s="212" t="str">
        <f t="shared" si="228"/>
        <v>Naranja Común</v>
      </c>
      <c r="Q1059" s="212"/>
      <c r="R1059" s="212"/>
      <c r="S1059" s="212"/>
      <c r="T1059" s="212"/>
      <c r="U1059" s="212"/>
      <c r="V1059" s="212"/>
      <c r="W1059" s="212"/>
      <c r="X1059" s="214"/>
    </row>
    <row r="1060" spans="1:24" ht="15">
      <c r="A1060" s="211" t="s">
        <v>4062</v>
      </c>
      <c r="B1060" s="225" t="s">
        <v>258</v>
      </c>
      <c r="C1060" s="212" t="s">
        <v>69</v>
      </c>
      <c r="D1060" s="212" t="s">
        <v>145</v>
      </c>
      <c r="E1060" s="212" t="s">
        <v>146</v>
      </c>
      <c r="F1060" s="212" t="s">
        <v>147</v>
      </c>
      <c r="G1060" s="212" t="s">
        <v>131</v>
      </c>
      <c r="H1060" s="212" t="s">
        <v>161</v>
      </c>
      <c r="I1060" s="212" t="s">
        <v>162</v>
      </c>
      <c r="J1060" s="212" t="s">
        <v>149</v>
      </c>
      <c r="K1060" s="212" t="s">
        <v>163</v>
      </c>
      <c r="L1060" s="212" t="s">
        <v>164</v>
      </c>
      <c r="M1060" s="213">
        <v>1</v>
      </c>
      <c r="N1060" s="441" cm="1">
        <f t="array" ref="N1060">IF(TRIM(K1060)="Mano de Obra",IF(Formulario!$L$23&lt;&gt;"",Formulario!$L$23,IFERROR(VLOOKUP(TRIM($M$4),Jornalesdeppto!A:C,3,0),"")),_xlfn.XLOOKUP(1,(Tabla_Costos_Insumos!$A$2:$A$3199=TRIM($M$4))*(Tabla_Costos_Insumos!$C$2:$C$3199=TRIM(K1060)),Tabla_Costos_Insumos!$E$2:$E$3199,"",0))</f>
        <v>128084.44444445</v>
      </c>
      <c r="O1060" s="441">
        <f t="shared" si="230"/>
        <v>128084.44444445</v>
      </c>
      <c r="P1060" s="212" t="str">
        <f t="shared" si="228"/>
        <v>Naranja Común</v>
      </c>
      <c r="Q1060" s="212"/>
      <c r="R1060" s="212"/>
      <c r="S1060" s="212"/>
      <c r="T1060" s="212"/>
      <c r="U1060" s="212"/>
      <c r="V1060" s="212"/>
      <c r="W1060" s="212"/>
      <c r="X1060" s="214"/>
    </row>
    <row r="1061" spans="1:24" ht="15">
      <c r="A1061" s="211" t="s">
        <v>4062</v>
      </c>
      <c r="B1061" s="225" t="s">
        <v>258</v>
      </c>
      <c r="C1061" s="212" t="s">
        <v>69</v>
      </c>
      <c r="D1061" s="212" t="s">
        <v>145</v>
      </c>
      <c r="E1061" s="212" t="s">
        <v>146</v>
      </c>
      <c r="F1061" s="212" t="s">
        <v>147</v>
      </c>
      <c r="G1061" s="212" t="s">
        <v>131</v>
      </c>
      <c r="H1061" s="212" t="s">
        <v>165</v>
      </c>
      <c r="I1061" s="212" t="s">
        <v>153</v>
      </c>
      <c r="J1061" s="212" t="s">
        <v>149</v>
      </c>
      <c r="K1061" s="212" t="s">
        <v>4110</v>
      </c>
      <c r="L1061" s="212" t="s">
        <v>151</v>
      </c>
      <c r="M1061" s="213">
        <v>2</v>
      </c>
      <c r="N1061" s="441" cm="1">
        <f t="array" ref="N1061">IF(TRIM(K1061)="Mano de Obra",IF(Formulario!$L$23&lt;&gt;"",Formulario!$L$23,IFERROR(VLOOKUP(TRIM($M$4),Jornalesdeppto!A:C,3,0),"")),_xlfn.XLOOKUP(1,(Tabla_Costos_Insumos!$A$2:$A$3199=TRIM($M$4))*(Tabla_Costos_Insumos!$C$2:$C$3199=TRIM(K1061)),Tabla_Costos_Insumos!$E$2:$E$3199,"",0))</f>
        <v>125849.2424242409</v>
      </c>
      <c r="O1061" s="441">
        <f t="shared" si="230"/>
        <v>251698.48484848181</v>
      </c>
      <c r="P1061" s="212" t="str">
        <f t="shared" si="228"/>
        <v>Naranja Común</v>
      </c>
      <c r="Q1061" s="212"/>
      <c r="R1061" s="212"/>
      <c r="S1061" s="212"/>
      <c r="T1061" s="212"/>
      <c r="U1061" s="212"/>
      <c r="V1061" s="212"/>
      <c r="W1061" s="212"/>
      <c r="X1061" s="214"/>
    </row>
    <row r="1062" spans="1:24" ht="15">
      <c r="A1062" s="211" t="s">
        <v>4062</v>
      </c>
      <c r="B1062" s="225" t="s">
        <v>258</v>
      </c>
      <c r="C1062" s="212" t="s">
        <v>69</v>
      </c>
      <c r="D1062" s="212" t="s">
        <v>145</v>
      </c>
      <c r="E1062" s="212" t="s">
        <v>146</v>
      </c>
      <c r="F1062" s="212" t="s">
        <v>167</v>
      </c>
      <c r="G1062" s="212" t="s">
        <v>118</v>
      </c>
      <c r="H1062" s="212" t="s">
        <v>168</v>
      </c>
      <c r="I1062" s="212" t="s">
        <v>169</v>
      </c>
      <c r="J1062" s="212" t="s">
        <v>170</v>
      </c>
      <c r="K1062" s="212" t="s">
        <v>173</v>
      </c>
      <c r="L1062" s="212" t="s">
        <v>172</v>
      </c>
      <c r="M1062" s="213">
        <v>5</v>
      </c>
      <c r="N1062" s="441" cm="1">
        <f t="array" ref="N1062">IF(TRIM(K1062)="Mano de Obra",IF(Formulario!$L$23&lt;&gt;"",Formulario!$L$23,IFERROR(VLOOKUP(TRIM($M$4),Jornalesdeppto!A:C,3,0),"")),_xlfn.XLOOKUP(1,(Tabla_Costos_Insumos!$A$2:$A$3199=TRIM($M$4))*(Tabla_Costos_Insumos!$C$2:$C$3199=TRIM(K1062)),Tabla_Costos_Insumos!$E$2:$E$3199,"",0))</f>
        <v>153430.65</v>
      </c>
      <c r="O1062" s="441">
        <f t="shared" si="230"/>
        <v>767153.25</v>
      </c>
      <c r="P1062" s="212" t="str">
        <f t="shared" si="228"/>
        <v>Naranja Común</v>
      </c>
      <c r="Q1062" s="212"/>
      <c r="R1062" s="212"/>
      <c r="S1062" s="212"/>
      <c r="T1062" s="212"/>
      <c r="U1062" s="212"/>
      <c r="V1062" s="212"/>
      <c r="W1062" s="212"/>
      <c r="X1062" s="214"/>
    </row>
    <row r="1063" spans="1:24" ht="15">
      <c r="A1063" s="211" t="s">
        <v>4062</v>
      </c>
      <c r="B1063" s="225" t="s">
        <v>258</v>
      </c>
      <c r="C1063" s="212" t="s">
        <v>69</v>
      </c>
      <c r="D1063" s="212" t="s">
        <v>145</v>
      </c>
      <c r="E1063" s="212" t="s">
        <v>146</v>
      </c>
      <c r="F1063" s="212" t="s">
        <v>167</v>
      </c>
      <c r="G1063" s="212" t="s">
        <v>118</v>
      </c>
      <c r="H1063" s="212" t="s">
        <v>168</v>
      </c>
      <c r="I1063" s="212" t="s">
        <v>169</v>
      </c>
      <c r="J1063" s="212" t="s">
        <v>170</v>
      </c>
      <c r="K1063" s="212" t="s">
        <v>251</v>
      </c>
      <c r="L1063" s="212" t="s">
        <v>226</v>
      </c>
      <c r="M1063" s="213">
        <v>4</v>
      </c>
      <c r="N1063" s="441" cm="1">
        <f t="array" ref="N1063">IF(TRIM(K1063)="Mano de Obra",IF(Formulario!$L$23&lt;&gt;"",Formulario!$L$23,IFERROR(VLOOKUP(TRIM($M$4),Jornalesdeppto!A:C,3,0),"")),_xlfn.XLOOKUP(1,(Tabla_Costos_Insumos!$A$2:$A$3199=TRIM($M$4))*(Tabla_Costos_Insumos!$C$2:$C$3199=TRIM(K1063)),Tabla_Costos_Insumos!$E$2:$E$3199,"",0))</f>
        <v>61445.54</v>
      </c>
      <c r="O1063" s="441">
        <f t="shared" si="230"/>
        <v>245782.16</v>
      </c>
      <c r="P1063" s="212" t="str">
        <f t="shared" si="228"/>
        <v>Naranja Común</v>
      </c>
      <c r="Q1063" s="212"/>
      <c r="R1063" s="212"/>
      <c r="S1063" s="212"/>
      <c r="T1063" s="212"/>
      <c r="U1063" s="212"/>
      <c r="V1063" s="212"/>
      <c r="W1063" s="212"/>
      <c r="X1063" s="214"/>
    </row>
    <row r="1064" spans="1:24" ht="15">
      <c r="A1064" s="211" t="s">
        <v>4062</v>
      </c>
      <c r="B1064" s="225" t="s">
        <v>258</v>
      </c>
      <c r="C1064" s="212" t="s">
        <v>69</v>
      </c>
      <c r="D1064" s="212" t="s">
        <v>145</v>
      </c>
      <c r="E1064" s="212" t="s">
        <v>146</v>
      </c>
      <c r="F1064" s="212" t="s">
        <v>167</v>
      </c>
      <c r="G1064" s="212" t="s">
        <v>118</v>
      </c>
      <c r="H1064" s="212" t="s">
        <v>174</v>
      </c>
      <c r="I1064" s="212" t="s">
        <v>175</v>
      </c>
      <c r="J1064" s="212" t="s">
        <v>176</v>
      </c>
      <c r="K1064" s="212" t="s">
        <v>231</v>
      </c>
      <c r="L1064" s="212" t="s">
        <v>172</v>
      </c>
      <c r="M1064" s="213">
        <v>2</v>
      </c>
      <c r="N1064" s="441" cm="1">
        <f t="array" ref="N1064">IF(TRIM(K1064)="Mano de Obra",IF(Formulario!$L$23&lt;&gt;"",Formulario!$L$23,IFERROR(VLOOKUP(TRIM($M$4),Jornalesdeppto!A:C,3,0),"")),_xlfn.XLOOKUP(1,(Tabla_Costos_Insumos!$A$2:$A$3199=TRIM($M$4))*(Tabla_Costos_Insumos!$C$2:$C$3199=TRIM(K1064)),Tabla_Costos_Insumos!$E$2:$E$3199,"",0))</f>
        <v>23177.15</v>
      </c>
      <c r="O1064" s="441">
        <f t="shared" si="230"/>
        <v>46354.3</v>
      </c>
      <c r="P1064" s="212" t="str">
        <f t="shared" si="228"/>
        <v>Naranja Común</v>
      </c>
      <c r="Q1064" s="212"/>
      <c r="R1064" s="212"/>
      <c r="S1064" s="212"/>
      <c r="T1064" s="212"/>
      <c r="U1064" s="212"/>
      <c r="V1064" s="212"/>
      <c r="W1064" s="212"/>
      <c r="X1064" s="214"/>
    </row>
    <row r="1065" spans="1:24" ht="15">
      <c r="A1065" s="211" t="s">
        <v>4062</v>
      </c>
      <c r="B1065" s="225" t="s">
        <v>258</v>
      </c>
      <c r="C1065" s="212" t="s">
        <v>69</v>
      </c>
      <c r="D1065" s="212" t="s">
        <v>145</v>
      </c>
      <c r="E1065" s="212" t="s">
        <v>146</v>
      </c>
      <c r="F1065" s="212" t="s">
        <v>167</v>
      </c>
      <c r="G1065" s="212" t="s">
        <v>118</v>
      </c>
      <c r="H1065" s="212" t="s">
        <v>178</v>
      </c>
      <c r="I1065" s="212" t="s">
        <v>179</v>
      </c>
      <c r="J1065" s="212" t="s">
        <v>180</v>
      </c>
      <c r="K1065" s="212" t="s">
        <v>4115</v>
      </c>
      <c r="L1065" s="212" t="s">
        <v>172</v>
      </c>
      <c r="M1065" s="213">
        <v>4</v>
      </c>
      <c r="N1065" s="441" cm="1">
        <f t="array" ref="N1065">IF(TRIM(K1065)="Mano de Obra",IF(Formulario!$L$23&lt;&gt;"",Formulario!$L$23,IFERROR(VLOOKUP(TRIM($M$4),Jornalesdeppto!A:C,3,0),"")),_xlfn.XLOOKUP(1,(Tabla_Costos_Insumos!$A$2:$A$3199=TRIM($M$4))*(Tabla_Costos_Insumos!$C$2:$C$3199=TRIM(K1065)),Tabla_Costos_Insumos!$E$2:$E$3199,"",0))</f>
        <v>66141.87</v>
      </c>
      <c r="O1065" s="441">
        <f t="shared" si="230"/>
        <v>264567.48</v>
      </c>
      <c r="P1065" s="212" t="str">
        <f t="shared" si="228"/>
        <v>Naranja Común</v>
      </c>
      <c r="Q1065" s="212"/>
      <c r="R1065" s="212"/>
      <c r="S1065" s="212"/>
      <c r="T1065" s="212"/>
      <c r="U1065" s="212"/>
      <c r="V1065" s="212"/>
      <c r="W1065" s="212"/>
      <c r="X1065" s="214"/>
    </row>
    <row r="1066" spans="1:24" ht="15">
      <c r="A1066" s="211" t="s">
        <v>4062</v>
      </c>
      <c r="B1066" s="225" t="s">
        <v>258</v>
      </c>
      <c r="C1066" s="212" t="s">
        <v>69</v>
      </c>
      <c r="D1066" s="212" t="s">
        <v>145</v>
      </c>
      <c r="E1066" s="212" t="s">
        <v>146</v>
      </c>
      <c r="F1066" s="212" t="s">
        <v>167</v>
      </c>
      <c r="G1066" s="212" t="s">
        <v>118</v>
      </c>
      <c r="H1066" s="212" t="s">
        <v>178</v>
      </c>
      <c r="I1066" s="212" t="s">
        <v>179</v>
      </c>
      <c r="J1066" s="212" t="s">
        <v>180</v>
      </c>
      <c r="K1066" s="212" t="s">
        <v>181</v>
      </c>
      <c r="L1066" s="212" t="s">
        <v>172</v>
      </c>
      <c r="M1066" s="213">
        <v>4</v>
      </c>
      <c r="N1066" s="441" cm="1">
        <f t="array" ref="N1066">IF(TRIM(K1066)="Mano de Obra",IF(Formulario!$L$23&lt;&gt;"",Formulario!$L$23,IFERROR(VLOOKUP(TRIM($M$4),Jornalesdeppto!A:C,3,0),"")),_xlfn.XLOOKUP(1,(Tabla_Costos_Insumos!$A$2:$A$3199=TRIM($M$4))*(Tabla_Costos_Insumos!$C$2:$C$3199=TRIM(K1066)),Tabla_Costos_Insumos!$E$2:$E$3199,"",0))</f>
        <v>34056.25</v>
      </c>
      <c r="O1066" s="441">
        <f t="shared" si="230"/>
        <v>136225</v>
      </c>
      <c r="P1066" s="212" t="str">
        <f t="shared" si="228"/>
        <v>Naranja Común</v>
      </c>
      <c r="Q1066" s="212"/>
      <c r="R1066" s="212"/>
      <c r="S1066" s="212"/>
      <c r="T1066" s="212"/>
      <c r="U1066" s="212"/>
      <c r="V1066" s="212"/>
      <c r="W1066" s="212"/>
      <c r="X1066" s="214"/>
    </row>
    <row r="1067" spans="1:24" ht="15">
      <c r="A1067" s="211" t="s">
        <v>4062</v>
      </c>
      <c r="B1067" s="225" t="s">
        <v>258</v>
      </c>
      <c r="C1067" s="212" t="s">
        <v>69</v>
      </c>
      <c r="D1067" s="212" t="s">
        <v>145</v>
      </c>
      <c r="E1067" s="212" t="s">
        <v>146</v>
      </c>
      <c r="F1067" s="212" t="s">
        <v>183</v>
      </c>
      <c r="G1067" s="212" t="s">
        <v>184</v>
      </c>
      <c r="H1067" s="212" t="s">
        <v>185</v>
      </c>
      <c r="I1067" s="212" t="s">
        <v>186</v>
      </c>
      <c r="J1067" s="212" t="s">
        <v>105</v>
      </c>
      <c r="K1067" s="212" t="s">
        <v>187</v>
      </c>
      <c r="L1067" s="212" t="s">
        <v>188</v>
      </c>
      <c r="M1067" s="213">
        <v>0.1</v>
      </c>
      <c r="N1067" s="441" cm="1">
        <f t="array" ref="N1067">IF(TRIM(K1067)="Mano de Obra",IF(Formulario!$L$23&lt;&gt;"",Formulario!$L$23,IFERROR(VLOOKUP(TRIM($M$4),Jornalesdeppto!A:C,3,0),"")),_xlfn.XLOOKUP(1,(Tabla_Costos_Insumos!$A$2:$A$3199=TRIM($M$4))*(Tabla_Costos_Insumos!$C$2:$C$3199=TRIM(K1067)),Tabla_Costos_Insumos!$E$2:$E$3199,"",0))</f>
        <v>175000</v>
      </c>
      <c r="O1067" s="441">
        <f t="shared" si="230"/>
        <v>17500</v>
      </c>
      <c r="P1067" s="212" t="str">
        <f t="shared" si="228"/>
        <v>Naranja Común</v>
      </c>
      <c r="Q1067" s="212"/>
      <c r="R1067" s="212"/>
      <c r="S1067" s="212"/>
      <c r="T1067" s="212"/>
      <c r="U1067" s="212"/>
      <c r="V1067" s="212"/>
      <c r="W1067" s="212"/>
      <c r="X1067" s="214"/>
    </row>
    <row r="1068" spans="1:24" ht="15">
      <c r="A1068" s="211" t="s">
        <v>4062</v>
      </c>
      <c r="B1068" s="225" t="s">
        <v>258</v>
      </c>
      <c r="C1068" s="212" t="s">
        <v>69</v>
      </c>
      <c r="D1068" s="212" t="s">
        <v>189</v>
      </c>
      <c r="E1068" s="212" t="s">
        <v>190</v>
      </c>
      <c r="F1068" s="212" t="s">
        <v>191</v>
      </c>
      <c r="G1068" s="212" t="s">
        <v>192</v>
      </c>
      <c r="H1068" s="212" t="s">
        <v>193</v>
      </c>
      <c r="I1068" s="212" t="s">
        <v>194</v>
      </c>
      <c r="J1068" s="212" t="s">
        <v>195</v>
      </c>
      <c r="K1068" s="212" t="s">
        <v>196</v>
      </c>
      <c r="L1068" s="212" t="s">
        <v>197</v>
      </c>
      <c r="M1068" s="213">
        <v>1</v>
      </c>
      <c r="N1068" s="441">
        <f>IFERROR(SUM(O1050:$O$1067)*0.08,0)</f>
        <v>591873.37941010087</v>
      </c>
      <c r="O1068" s="441">
        <f t="shared" si="230"/>
        <v>591873.37941010087</v>
      </c>
      <c r="P1068" s="212" t="str">
        <f t="shared" si="228"/>
        <v>Naranja Común</v>
      </c>
      <c r="Q1068" s="212"/>
      <c r="R1068" s="212"/>
      <c r="S1068" s="212"/>
      <c r="T1068" s="212"/>
      <c r="U1068" s="212"/>
      <c r="V1068" s="212"/>
      <c r="W1068" s="212"/>
      <c r="X1068" s="214"/>
    </row>
    <row r="1069" spans="1:24" ht="15">
      <c r="A1069" s="211" t="s">
        <v>4062</v>
      </c>
      <c r="B1069" s="225" t="s">
        <v>258</v>
      </c>
      <c r="C1069" s="212" t="s">
        <v>69</v>
      </c>
      <c r="D1069" s="212" t="s">
        <v>189</v>
      </c>
      <c r="E1069" s="212" t="s">
        <v>190</v>
      </c>
      <c r="F1069" s="212" t="s">
        <v>198</v>
      </c>
      <c r="G1069" s="212" t="s">
        <v>199</v>
      </c>
      <c r="H1069" s="212" t="s">
        <v>200</v>
      </c>
      <c r="I1069" s="212" t="s">
        <v>201</v>
      </c>
      <c r="J1069" s="212" t="s">
        <v>105</v>
      </c>
      <c r="K1069" s="212" t="s">
        <v>202</v>
      </c>
      <c r="L1069" s="212" t="s">
        <v>203</v>
      </c>
      <c r="M1069" s="213">
        <v>1</v>
      </c>
      <c r="N1069" s="441" cm="1">
        <f t="array" ref="N1069">IF(TRIM(K1069)="Mano de Obra",IF(Formulario!$L$23&lt;&gt;"",Formulario!$L$23,IFERROR(VLOOKUP(TRIM($M$4),Jornalesdeppto!A:C,3,0),"")),_xlfn.XLOOKUP(1,(Tabla_Costos_Insumos!$A$2:$A$3199=TRIM($M$4))*(Tabla_Costos_Insumos!$C$2:$C$3199=TRIM(K1069)),Tabla_Costos_Insumos!$E$2:$E$3199,"",0))</f>
        <v>120000</v>
      </c>
      <c r="O1069" s="441">
        <f t="shared" si="230"/>
        <v>120000</v>
      </c>
      <c r="P1069" s="212" t="str">
        <f t="shared" si="228"/>
        <v>Naranja Común</v>
      </c>
      <c r="Q1069" s="212"/>
      <c r="R1069" s="212"/>
      <c r="S1069" s="212"/>
      <c r="T1069" s="212"/>
      <c r="U1069" s="212"/>
      <c r="V1069" s="212"/>
      <c r="W1069" s="212"/>
      <c r="X1069" s="214"/>
    </row>
    <row r="1070" spans="1:24" ht="15">
      <c r="A1070" s="211" t="s">
        <v>4062</v>
      </c>
      <c r="B1070" s="225" t="s">
        <v>258</v>
      </c>
      <c r="C1070" s="212" t="s">
        <v>69</v>
      </c>
      <c r="D1070" s="212" t="s">
        <v>189</v>
      </c>
      <c r="E1070" s="212" t="s">
        <v>190</v>
      </c>
      <c r="F1070" s="212" t="s">
        <v>204</v>
      </c>
      <c r="G1070" s="212" t="s">
        <v>205</v>
      </c>
      <c r="H1070" s="212" t="s">
        <v>206</v>
      </c>
      <c r="I1070" s="212" t="s">
        <v>207</v>
      </c>
      <c r="J1070" s="212" t="s">
        <v>208</v>
      </c>
      <c r="K1070" s="212" t="s">
        <v>228</v>
      </c>
      <c r="L1070" s="212" t="s">
        <v>197</v>
      </c>
      <c r="M1070" s="213">
        <v>1</v>
      </c>
      <c r="N1070" s="441">
        <f>$J$4</f>
        <v>500000</v>
      </c>
      <c r="O1070" s="441">
        <f t="shared" si="230"/>
        <v>500000</v>
      </c>
      <c r="P1070" s="212" t="str">
        <f t="shared" si="228"/>
        <v>Naranja Común</v>
      </c>
      <c r="Q1070" s="212"/>
      <c r="R1070" s="212"/>
      <c r="S1070" s="212"/>
      <c r="T1070" s="212"/>
      <c r="U1070" s="212"/>
      <c r="V1070" s="212"/>
      <c r="W1070" s="212"/>
      <c r="X1070" s="214"/>
    </row>
    <row r="1071" spans="1:24" ht="15">
      <c r="A1071" s="211" t="s">
        <v>4062</v>
      </c>
      <c r="B1071" s="225" t="s">
        <v>258</v>
      </c>
      <c r="C1071" s="216" t="s">
        <v>53</v>
      </c>
      <c r="D1071" s="216" t="s">
        <v>99</v>
      </c>
      <c r="E1071" s="216" t="s">
        <v>100</v>
      </c>
      <c r="F1071" s="216" t="s">
        <v>101</v>
      </c>
      <c r="G1071" s="216" t="s">
        <v>102</v>
      </c>
      <c r="H1071" s="216" t="s">
        <v>103</v>
      </c>
      <c r="I1071" s="216" t="s">
        <v>104</v>
      </c>
      <c r="J1071" s="216" t="s">
        <v>105</v>
      </c>
      <c r="K1071" s="216" t="s">
        <v>106</v>
      </c>
      <c r="L1071" s="216" t="s">
        <v>107</v>
      </c>
      <c r="M1071" s="217">
        <f t="shared" ref="M1071:M1082" si="233">IF(W1071&lt;&gt;"", W1071, ROUNDUP(X1071*T1071, 0))</f>
        <v>6</v>
      </c>
      <c r="N1071" s="442" cm="1">
        <f t="array" ref="N1071">IF(TRIM(K1071)="Mano de Obra",IF(Formulario!$L$23&lt;&gt;"",Formulario!$L$23,IFERROR(VLOOKUP(TRIM($M$4),Jornalesdeppto!A:C,3,0),"")),_xlfn.XLOOKUP(1,(Tabla_Costos_Insumos!$A$2:$A$3199=TRIM($M$4))*(Tabla_Costos_Insumos!$C$2:$C$3199=TRIM(K1071)),Tabla_Costos_Insumos!$E$2:$E$3199,"",0))</f>
        <v>46666.666666666664</v>
      </c>
      <c r="O1071" s="442">
        <f t="shared" si="230"/>
        <v>280000</v>
      </c>
      <c r="P1071" s="212" t="str">
        <f t="shared" si="228"/>
        <v>Naranja Común</v>
      </c>
      <c r="Q1071" s="212"/>
      <c r="R1071" s="212">
        <v>1</v>
      </c>
      <c r="S1071" s="212">
        <f>R1071*$I$3/480</f>
        <v>3.2083333333333335</v>
      </c>
      <c r="T1071" s="212" cm="1">
        <f t="array" ref="T1071">_xlfn.IFS($D$5&lt;=7, 1.1, $D$5&lt;=12,1.2, $D$5&lt;=25, 1.3, $D$5&gt;25,1.4)</f>
        <v>1.3</v>
      </c>
      <c r="U1071" s="212">
        <f t="shared" ref="U1071:U1082" si="234">IFERROR(S1071*T1071,"")</f>
        <v>4.1708333333333334</v>
      </c>
      <c r="V1071" s="212"/>
      <c r="W1071" s="212"/>
      <c r="X1071" s="214">
        <v>4</v>
      </c>
    </row>
    <row r="1072" spans="1:24" ht="15">
      <c r="A1072" s="211" t="s">
        <v>4062</v>
      </c>
      <c r="B1072" s="225" t="s">
        <v>258</v>
      </c>
      <c r="C1072" s="216" t="s">
        <v>53</v>
      </c>
      <c r="D1072" s="216" t="s">
        <v>99</v>
      </c>
      <c r="E1072" s="216" t="s">
        <v>100</v>
      </c>
      <c r="F1072" s="216" t="s">
        <v>101</v>
      </c>
      <c r="G1072" s="216" t="s">
        <v>102</v>
      </c>
      <c r="H1072" s="216" t="s">
        <v>212</v>
      </c>
      <c r="I1072" s="216" t="s">
        <v>213</v>
      </c>
      <c r="J1072" s="216" t="s">
        <v>105</v>
      </c>
      <c r="K1072" s="216" t="s">
        <v>106</v>
      </c>
      <c r="L1072" s="216" t="s">
        <v>107</v>
      </c>
      <c r="M1072" s="217">
        <f t="shared" si="233"/>
        <v>4</v>
      </c>
      <c r="N1072" s="442" cm="1">
        <f t="array" ref="N1072">IF(TRIM(K1072)="Mano de Obra",IF(Formulario!$L$23&lt;&gt;"",Formulario!$L$23,IFERROR(VLOOKUP(TRIM($M$4),Jornalesdeppto!A:C,3,0),"")),_xlfn.XLOOKUP(1,(Tabla_Costos_Insumos!$A$2:$A$3199=TRIM($M$4))*(Tabla_Costos_Insumos!$C$2:$C$3199=TRIM(K1072)),Tabla_Costos_Insumos!$E$2:$E$3199,"",0))</f>
        <v>46666.666666666664</v>
      </c>
      <c r="O1072" s="442">
        <f t="shared" si="230"/>
        <v>186666.66666666666</v>
      </c>
      <c r="P1072" s="212" t="str">
        <f t="shared" si="228"/>
        <v>Naranja Común</v>
      </c>
      <c r="Q1072" s="212"/>
      <c r="R1072" s="212">
        <v>0.4</v>
      </c>
      <c r="S1072" s="212">
        <f>R1072*$I$3/480</f>
        <v>1.2833333333333334</v>
      </c>
      <c r="T1072" s="212" cm="1">
        <f t="array" ref="T1072">_xlfn.IFS($D$5&lt;=7, 1.1, $D$5&lt;=12,1.2, $D$5&lt;=25, 1.3, $D$5&gt;25,1.4)</f>
        <v>1.3</v>
      </c>
      <c r="U1072" s="212">
        <f t="shared" si="234"/>
        <v>1.6683333333333334</v>
      </c>
      <c r="V1072" s="212"/>
      <c r="W1072" s="212"/>
      <c r="X1072" s="214">
        <v>3</v>
      </c>
    </row>
    <row r="1073" spans="1:24" ht="15">
      <c r="A1073" s="211" t="s">
        <v>4062</v>
      </c>
      <c r="B1073" s="225" t="s">
        <v>258</v>
      </c>
      <c r="C1073" s="216" t="s">
        <v>53</v>
      </c>
      <c r="D1073" s="216" t="s">
        <v>99</v>
      </c>
      <c r="E1073" s="216" t="s">
        <v>100</v>
      </c>
      <c r="F1073" s="216" t="s">
        <v>101</v>
      </c>
      <c r="G1073" s="216" t="s">
        <v>102</v>
      </c>
      <c r="H1073" s="216" t="s">
        <v>214</v>
      </c>
      <c r="I1073" s="216" t="s">
        <v>20</v>
      </c>
      <c r="J1073" s="216" t="s">
        <v>105</v>
      </c>
      <c r="K1073" s="216" t="s">
        <v>106</v>
      </c>
      <c r="L1073" s="216" t="s">
        <v>107</v>
      </c>
      <c r="M1073" s="217">
        <f t="shared" si="233"/>
        <v>3</v>
      </c>
      <c r="N1073" s="442" cm="1">
        <f t="array" ref="N1073">IF(TRIM(K1073)="Mano de Obra",IF(Formulario!$L$23&lt;&gt;"",Formulario!$L$23,IFERROR(VLOOKUP(TRIM($M$4),Jornalesdeppto!A:C,3,0),"")),_xlfn.XLOOKUP(1,(Tabla_Costos_Insumos!$A$2:$A$3199=TRIM($M$4))*(Tabla_Costos_Insumos!$C$2:$C$3199=TRIM(K1073)),Tabla_Costos_Insumos!$E$2:$E$3199,"",0))</f>
        <v>46666.666666666664</v>
      </c>
      <c r="O1073" s="442">
        <f t="shared" si="230"/>
        <v>140000</v>
      </c>
      <c r="P1073" s="212" t="str">
        <f t="shared" si="228"/>
        <v>Naranja Común</v>
      </c>
      <c r="Q1073" s="212"/>
      <c r="R1073" s="212">
        <v>1</v>
      </c>
      <c r="S1073" s="212">
        <f>R1073*$I$3/480</f>
        <v>3.2083333333333335</v>
      </c>
      <c r="T1073" s="212" cm="1">
        <f t="array" ref="T1073">_xlfn.IFS($D$5&lt;=7, 1.1, $D$5&lt;=12,1.2, $D$5&lt;=25, 1.3, $D$5&gt;25,1.4)</f>
        <v>1.3</v>
      </c>
      <c r="U1073" s="212">
        <f t="shared" si="234"/>
        <v>4.1708333333333334</v>
      </c>
      <c r="V1073" s="212"/>
      <c r="W1073" s="212"/>
      <c r="X1073" s="214">
        <v>2</v>
      </c>
    </row>
    <row r="1074" spans="1:24" ht="15">
      <c r="A1074" s="211" t="s">
        <v>4062</v>
      </c>
      <c r="B1074" s="225" t="s">
        <v>258</v>
      </c>
      <c r="C1074" s="216" t="s">
        <v>53</v>
      </c>
      <c r="D1074" s="216" t="s">
        <v>99</v>
      </c>
      <c r="E1074" s="216" t="s">
        <v>100</v>
      </c>
      <c r="F1074" s="216" t="s">
        <v>109</v>
      </c>
      <c r="G1074" s="216" t="s">
        <v>110</v>
      </c>
      <c r="H1074" s="216" t="s">
        <v>111</v>
      </c>
      <c r="I1074" s="216" t="s">
        <v>112</v>
      </c>
      <c r="J1074" s="216" t="s">
        <v>105</v>
      </c>
      <c r="K1074" s="216" t="s">
        <v>106</v>
      </c>
      <c r="L1074" s="216" t="s">
        <v>107</v>
      </c>
      <c r="M1074" s="217">
        <f t="shared" si="233"/>
        <v>4</v>
      </c>
      <c r="N1074" s="442" cm="1">
        <f t="array" ref="N1074">IF(TRIM(K1074)="Mano de Obra",IF(Formulario!$L$23&lt;&gt;"",Formulario!$L$23,IFERROR(VLOOKUP(TRIM($M$4),Jornalesdeppto!A:C,3,0),"")),_xlfn.XLOOKUP(1,(Tabla_Costos_Insumos!$A$2:$A$3199=TRIM($M$4))*(Tabla_Costos_Insumos!$C$2:$C$3199=TRIM(K1074)),Tabla_Costos_Insumos!$E$2:$E$3199,"",0))</f>
        <v>46666.666666666664</v>
      </c>
      <c r="O1074" s="442">
        <f t="shared" si="230"/>
        <v>186666.66666666666</v>
      </c>
      <c r="P1074" s="212" t="str">
        <f t="shared" si="228"/>
        <v>Naranja Común</v>
      </c>
      <c r="Q1074" s="212"/>
      <c r="R1074" s="212">
        <v>3</v>
      </c>
      <c r="S1074" s="212">
        <f>R1074*$I$3/480</f>
        <v>9.625</v>
      </c>
      <c r="T1074" s="212" cm="1">
        <f t="array" ref="T1074">_xlfn.IFS($D$5&lt;=7, 1.1, $D$5&lt;=12,1.2, $D$5&lt;=25, 1.3, $D$5&gt;25,1.4)</f>
        <v>1.3</v>
      </c>
      <c r="U1074" s="212">
        <f t="shared" si="234"/>
        <v>12.512500000000001</v>
      </c>
      <c r="V1074" s="212"/>
      <c r="W1074" s="212"/>
      <c r="X1074" s="214">
        <v>3</v>
      </c>
    </row>
    <row r="1075" spans="1:24" ht="15">
      <c r="A1075" s="211" t="s">
        <v>4062</v>
      </c>
      <c r="B1075" s="225" t="s">
        <v>258</v>
      </c>
      <c r="C1075" s="216" t="s">
        <v>53</v>
      </c>
      <c r="D1075" s="216" t="s">
        <v>99</v>
      </c>
      <c r="E1075" s="216" t="s">
        <v>100</v>
      </c>
      <c r="F1075" s="216" t="s">
        <v>109</v>
      </c>
      <c r="G1075" s="216" t="s">
        <v>110</v>
      </c>
      <c r="H1075" s="216" t="s">
        <v>234</v>
      </c>
      <c r="I1075" s="216" t="s">
        <v>235</v>
      </c>
      <c r="J1075" s="216" t="s">
        <v>105</v>
      </c>
      <c r="K1075" s="216" t="s">
        <v>106</v>
      </c>
      <c r="L1075" s="216" t="s">
        <v>107</v>
      </c>
      <c r="M1075" s="217">
        <f t="shared" si="233"/>
        <v>6</v>
      </c>
      <c r="N1075" s="442" cm="1">
        <f t="array" ref="N1075">IF(TRIM(K1075)="Mano de Obra",IF(Formulario!$L$23&lt;&gt;"",Formulario!$L$23,IFERROR(VLOOKUP(TRIM($M$4),Jornalesdeppto!A:C,3,0),"")),_xlfn.XLOOKUP(1,(Tabla_Costos_Insumos!$A$2:$A$3199=TRIM($M$4))*(Tabla_Costos_Insumos!$C$2:$C$3199=TRIM(K1075)),Tabla_Costos_Insumos!$E$2:$E$3199,"",0))</f>
        <v>46666.666666666664</v>
      </c>
      <c r="O1075" s="442">
        <f t="shared" si="230"/>
        <v>280000</v>
      </c>
      <c r="P1075" s="212" t="str">
        <f t="shared" si="228"/>
        <v>Naranja Común</v>
      </c>
      <c r="Q1075" s="212"/>
      <c r="R1075" s="212">
        <v>4.7</v>
      </c>
      <c r="S1075" s="212">
        <f>R1075*$I$3/480</f>
        <v>15.079166666666667</v>
      </c>
      <c r="T1075" s="212" cm="1">
        <f t="array" ref="T1075">_xlfn.IFS($D$5&lt;=7, 1.1, $D$5&lt;=12,1.2, $D$5&lt;=25, 1.3, $D$5&gt;25,1.4)</f>
        <v>1.3</v>
      </c>
      <c r="U1075" s="212">
        <f t="shared" si="234"/>
        <v>19.602916666666669</v>
      </c>
      <c r="V1075" s="212"/>
      <c r="W1075" s="212"/>
      <c r="X1075" s="214">
        <v>4</v>
      </c>
    </row>
    <row r="1076" spans="1:24" ht="15">
      <c r="A1076" s="211" t="s">
        <v>4062</v>
      </c>
      <c r="B1076" s="225" t="s">
        <v>258</v>
      </c>
      <c r="C1076" s="216" t="s">
        <v>53</v>
      </c>
      <c r="D1076" s="216" t="s">
        <v>99</v>
      </c>
      <c r="E1076" s="216" t="s">
        <v>100</v>
      </c>
      <c r="F1076" s="216" t="s">
        <v>109</v>
      </c>
      <c r="G1076" s="216" t="s">
        <v>110</v>
      </c>
      <c r="H1076" s="216" t="s">
        <v>215</v>
      </c>
      <c r="I1076" s="216" t="s">
        <v>216</v>
      </c>
      <c r="J1076" s="216" t="s">
        <v>105</v>
      </c>
      <c r="K1076" s="216" t="s">
        <v>106</v>
      </c>
      <c r="L1076" s="216" t="s">
        <v>107</v>
      </c>
      <c r="M1076" s="217">
        <f t="shared" si="233"/>
        <v>2</v>
      </c>
      <c r="N1076" s="442" cm="1">
        <f t="array" ref="N1076">IF(TRIM(K1076)="Mano de Obra",IF(Formulario!$L$23&lt;&gt;"",Formulario!$L$23,IFERROR(VLOOKUP(TRIM($M$4),Jornalesdeppto!A:C,3,0),"")),_xlfn.XLOOKUP(1,(Tabla_Costos_Insumos!$A$2:$A$3199=TRIM($M$4))*(Tabla_Costos_Insumos!$C$2:$C$3199=TRIM(K1076)),Tabla_Costos_Insumos!$E$2:$E$3199,"",0))</f>
        <v>46666.666666666664</v>
      </c>
      <c r="O1076" s="442">
        <f t="shared" si="230"/>
        <v>93333.333333333328</v>
      </c>
      <c r="P1076" s="212" t="str">
        <f t="shared" si="228"/>
        <v>Naranja Común</v>
      </c>
      <c r="Q1076" s="212"/>
      <c r="R1076" s="212">
        <v>15</v>
      </c>
      <c r="S1076" s="212">
        <f>(R1076*$I$3)*0.1/480</f>
        <v>4.8125</v>
      </c>
      <c r="T1076" s="212" cm="1">
        <f t="array" ref="T1076">_xlfn.IFS($D$5&lt;=7, 1.1, $D$5&lt;=12,1.2, $D$5&lt;=25, 1.3, $D$5&gt;25,1.4)</f>
        <v>1.3</v>
      </c>
      <c r="U1076" s="212">
        <f t="shared" si="234"/>
        <v>6.2562500000000005</v>
      </c>
      <c r="V1076" s="212">
        <v>1</v>
      </c>
      <c r="W1076" s="212"/>
      <c r="X1076" s="214">
        <v>1</v>
      </c>
    </row>
    <row r="1077" spans="1:24" ht="15">
      <c r="A1077" s="211" t="s">
        <v>4062</v>
      </c>
      <c r="B1077" s="225" t="s">
        <v>258</v>
      </c>
      <c r="C1077" s="216" t="s">
        <v>53</v>
      </c>
      <c r="D1077" s="216" t="s">
        <v>99</v>
      </c>
      <c r="E1077" s="216" t="s">
        <v>100</v>
      </c>
      <c r="F1077" s="216" t="s">
        <v>109</v>
      </c>
      <c r="G1077" s="216" t="s">
        <v>110</v>
      </c>
      <c r="H1077" s="216" t="s">
        <v>217</v>
      </c>
      <c r="I1077" s="216" t="s">
        <v>218</v>
      </c>
      <c r="J1077" s="216" t="s">
        <v>105</v>
      </c>
      <c r="K1077" s="216" t="s">
        <v>106</v>
      </c>
      <c r="L1077" s="216" t="s">
        <v>107</v>
      </c>
      <c r="M1077" s="217">
        <f t="shared" si="233"/>
        <v>3</v>
      </c>
      <c r="N1077" s="442" cm="1">
        <f t="array" ref="N1077">IF(TRIM(K1077)="Mano de Obra",IF(Formulario!$L$23&lt;&gt;"",Formulario!$L$23,IFERROR(VLOOKUP(TRIM($M$4),Jornalesdeppto!A:C,3,0),"")),_xlfn.XLOOKUP(1,(Tabla_Costos_Insumos!$A$2:$A$3199=TRIM($M$4))*(Tabla_Costos_Insumos!$C$2:$C$3199=TRIM(K1077)),Tabla_Costos_Insumos!$E$2:$E$3199,"",0))</f>
        <v>46666.666666666664</v>
      </c>
      <c r="O1077" s="442">
        <f t="shared" si="230"/>
        <v>140000</v>
      </c>
      <c r="P1077" s="212" t="str">
        <f t="shared" si="228"/>
        <v>Naranja Común</v>
      </c>
      <c r="Q1077" s="212"/>
      <c r="R1077" s="212">
        <v>0.09</v>
      </c>
      <c r="S1077" s="212">
        <f>10000*R471/480</f>
        <v>1.875</v>
      </c>
      <c r="T1077" s="212" cm="1">
        <f t="array" ref="T1077">_xlfn.IFS($D$5&lt;=7, 1.1, $D$5&lt;=12,1.2, $D$5&lt;=25, 1.3, $D$5&gt;25,1.4)</f>
        <v>1.3</v>
      </c>
      <c r="U1077" s="212">
        <f t="shared" si="234"/>
        <v>2.4375</v>
      </c>
      <c r="V1077" s="212"/>
      <c r="W1077" s="212"/>
      <c r="X1077" s="214">
        <v>2</v>
      </c>
    </row>
    <row r="1078" spans="1:24" ht="15">
      <c r="A1078" s="211" t="s">
        <v>4062</v>
      </c>
      <c r="B1078" s="225" t="s">
        <v>258</v>
      </c>
      <c r="C1078" s="216" t="s">
        <v>53</v>
      </c>
      <c r="D1078" s="216" t="s">
        <v>99</v>
      </c>
      <c r="E1078" s="216" t="s">
        <v>100</v>
      </c>
      <c r="F1078" s="216" t="s">
        <v>113</v>
      </c>
      <c r="G1078" s="216" t="s">
        <v>114</v>
      </c>
      <c r="H1078" s="216" t="s">
        <v>115</v>
      </c>
      <c r="I1078" s="216" t="s">
        <v>116</v>
      </c>
      <c r="J1078" s="216" t="s">
        <v>105</v>
      </c>
      <c r="K1078" s="216" t="s">
        <v>106</v>
      </c>
      <c r="L1078" s="216" t="s">
        <v>107</v>
      </c>
      <c r="M1078" s="217">
        <f t="shared" si="233"/>
        <v>6</v>
      </c>
      <c r="N1078" s="442" cm="1">
        <f t="array" ref="N1078">IF(TRIM(K1078)="Mano de Obra",IF(Formulario!$L$23&lt;&gt;"",Formulario!$L$23,IFERROR(VLOOKUP(TRIM($M$4),Jornalesdeppto!A:C,3,0),"")),_xlfn.XLOOKUP(1,(Tabla_Costos_Insumos!$A$2:$A$3199=TRIM($M$4))*(Tabla_Costos_Insumos!$C$2:$C$3199=TRIM(K1078)),Tabla_Costos_Insumos!$E$2:$E$3199,"",0))</f>
        <v>46666.666666666664</v>
      </c>
      <c r="O1078" s="442">
        <f t="shared" si="230"/>
        <v>280000</v>
      </c>
      <c r="P1078" s="212" t="str">
        <f t="shared" si="228"/>
        <v>Naranja Común</v>
      </c>
      <c r="Q1078" s="212"/>
      <c r="R1078" s="212">
        <v>0.09</v>
      </c>
      <c r="S1078" s="212">
        <f>10000*R471/480</f>
        <v>1.875</v>
      </c>
      <c r="T1078" s="212" cm="1">
        <f t="array" ref="T1078">_xlfn.IFS($D$5&lt;=7, 1.1, $D$5&lt;=12,1.2, $D$5&lt;=25, 1.3, $D$5&gt;25,1.4)</f>
        <v>1.3</v>
      </c>
      <c r="U1078" s="212">
        <f t="shared" si="234"/>
        <v>2.4375</v>
      </c>
      <c r="V1078" s="212"/>
      <c r="W1078" s="212"/>
      <c r="X1078" s="214">
        <v>4</v>
      </c>
    </row>
    <row r="1079" spans="1:24" ht="15">
      <c r="A1079" s="211" t="s">
        <v>4062</v>
      </c>
      <c r="B1079" s="225" t="s">
        <v>258</v>
      </c>
      <c r="C1079" s="216" t="s">
        <v>53</v>
      </c>
      <c r="D1079" s="216" t="s">
        <v>99</v>
      </c>
      <c r="E1079" s="216" t="s">
        <v>100</v>
      </c>
      <c r="F1079" s="216" t="s">
        <v>117</v>
      </c>
      <c r="G1079" s="216" t="s">
        <v>118</v>
      </c>
      <c r="H1079" s="216" t="s">
        <v>119</v>
      </c>
      <c r="I1079" s="216" t="s">
        <v>120</v>
      </c>
      <c r="J1079" s="216" t="s">
        <v>105</v>
      </c>
      <c r="K1079" s="216" t="s">
        <v>106</v>
      </c>
      <c r="L1079" s="216" t="s">
        <v>107</v>
      </c>
      <c r="M1079" s="217">
        <f t="shared" si="233"/>
        <v>8</v>
      </c>
      <c r="N1079" s="442" cm="1">
        <f t="array" ref="N1079">IF(TRIM(K1079)="Mano de Obra",IF(Formulario!$L$23&lt;&gt;"",Formulario!$L$23,IFERROR(VLOOKUP(TRIM($M$4),Jornalesdeppto!A:C,3,0),"")),_xlfn.XLOOKUP(1,(Tabla_Costos_Insumos!$A$2:$A$3199=TRIM($M$4))*(Tabla_Costos_Insumos!$C$2:$C$3199=TRIM(K1079)),Tabla_Costos_Insumos!$E$2:$E$3199,"",0))</f>
        <v>46666.666666666664</v>
      </c>
      <c r="O1079" s="442">
        <f t="shared" si="230"/>
        <v>373333.33333333331</v>
      </c>
      <c r="P1079" s="212" t="str">
        <f t="shared" ref="P1079:P1142" si="235">CONCATENATE(A1079," ",B1079)</f>
        <v>Naranja Común</v>
      </c>
      <c r="Q1079" s="212"/>
      <c r="R1079" s="212">
        <v>1</v>
      </c>
      <c r="S1079" s="212">
        <f>R1079*$I$3/480</f>
        <v>3.2083333333333335</v>
      </c>
      <c r="T1079" s="212" cm="1">
        <f t="array" ref="T1079">_xlfn.IFS($D$5&lt;=7, 1.1, $D$5&lt;=12,1.2, $D$5&lt;=25, 1.3, $D$5&gt;25,1.4)</f>
        <v>1.3</v>
      </c>
      <c r="U1079" s="212">
        <f t="shared" si="234"/>
        <v>4.1708333333333334</v>
      </c>
      <c r="V1079" s="212"/>
      <c r="W1079" s="212"/>
      <c r="X1079" s="214">
        <v>6</v>
      </c>
    </row>
    <row r="1080" spans="1:24" ht="15">
      <c r="A1080" s="211" t="s">
        <v>4062</v>
      </c>
      <c r="B1080" s="225" t="s">
        <v>258</v>
      </c>
      <c r="C1080" s="216" t="s">
        <v>53</v>
      </c>
      <c r="D1080" s="216" t="s">
        <v>99</v>
      </c>
      <c r="E1080" s="216" t="s">
        <v>100</v>
      </c>
      <c r="F1080" s="216" t="s">
        <v>117</v>
      </c>
      <c r="G1080" s="216" t="s">
        <v>118</v>
      </c>
      <c r="H1080" s="216" t="s">
        <v>121</v>
      </c>
      <c r="I1080" s="216" t="s">
        <v>122</v>
      </c>
      <c r="J1080" s="216" t="s">
        <v>105</v>
      </c>
      <c r="K1080" s="216" t="s">
        <v>106</v>
      </c>
      <c r="L1080" s="216" t="s">
        <v>107</v>
      </c>
      <c r="M1080" s="217">
        <f t="shared" si="233"/>
        <v>8</v>
      </c>
      <c r="N1080" s="442" cm="1">
        <f t="array" ref="N1080">IF(TRIM(K1080)="Mano de Obra",IF(Formulario!$L$23&lt;&gt;"",Formulario!$L$23,IFERROR(VLOOKUP(TRIM($M$4),Jornalesdeppto!A:C,3,0),"")),_xlfn.XLOOKUP(1,(Tabla_Costos_Insumos!$A$2:$A$3199=TRIM($M$4))*(Tabla_Costos_Insumos!$C$2:$C$3199=TRIM(K1080)),Tabla_Costos_Insumos!$E$2:$E$3199,"",0))</f>
        <v>46666.666666666664</v>
      </c>
      <c r="O1080" s="442">
        <f t="shared" si="230"/>
        <v>373333.33333333331</v>
      </c>
      <c r="P1080" s="212" t="str">
        <f t="shared" si="235"/>
        <v>Naranja Común</v>
      </c>
      <c r="Q1080" s="212"/>
      <c r="R1080" s="212">
        <v>1</v>
      </c>
      <c r="S1080" s="212">
        <f>R1080*$I$3/480</f>
        <v>3.2083333333333335</v>
      </c>
      <c r="T1080" s="212" cm="1">
        <f t="array" ref="T1080">_xlfn.IFS($D$5&lt;=7, 1.1, $D$5&lt;=12,1.2, $D$5&lt;=25, 1.3, $D$5&gt;25,1.4)</f>
        <v>1.3</v>
      </c>
      <c r="U1080" s="212">
        <f t="shared" si="234"/>
        <v>4.1708333333333334</v>
      </c>
      <c r="V1080" s="212"/>
      <c r="W1080" s="212"/>
      <c r="X1080" s="214">
        <v>6</v>
      </c>
    </row>
    <row r="1081" spans="1:24" ht="15">
      <c r="A1081" s="211" t="s">
        <v>4062</v>
      </c>
      <c r="B1081" s="225" t="s">
        <v>258</v>
      </c>
      <c r="C1081" s="216" t="s">
        <v>53</v>
      </c>
      <c r="D1081" s="216" t="s">
        <v>99</v>
      </c>
      <c r="E1081" s="216" t="s">
        <v>100</v>
      </c>
      <c r="F1081" s="216" t="s">
        <v>123</v>
      </c>
      <c r="G1081" s="216" t="s">
        <v>124</v>
      </c>
      <c r="H1081" s="216" t="s">
        <v>125</v>
      </c>
      <c r="I1081" s="216" t="s">
        <v>126</v>
      </c>
      <c r="J1081" s="216" t="s">
        <v>105</v>
      </c>
      <c r="K1081" s="216" t="s">
        <v>106</v>
      </c>
      <c r="L1081" s="216" t="s">
        <v>107</v>
      </c>
      <c r="M1081" s="217">
        <f t="shared" si="233"/>
        <v>3</v>
      </c>
      <c r="N1081" s="442" cm="1">
        <f t="array" ref="N1081">IF(TRIM(K1081)="Mano de Obra",IF(Formulario!$L$23&lt;&gt;"",Formulario!$L$23,IFERROR(VLOOKUP(TRIM($M$4),Jornalesdeppto!A:C,3,0),"")),_xlfn.XLOOKUP(1,(Tabla_Costos_Insumos!$A$2:$A$3199=TRIM($M$4))*(Tabla_Costos_Insumos!$C$2:$C$3199=TRIM(K1081)),Tabla_Costos_Insumos!$E$2:$E$3199,"",0))</f>
        <v>46666.666666666664</v>
      </c>
      <c r="O1081" s="442">
        <f t="shared" si="230"/>
        <v>140000</v>
      </c>
      <c r="P1081" s="212" t="str">
        <f t="shared" si="235"/>
        <v>Naranja Común</v>
      </c>
      <c r="Q1081" s="212"/>
      <c r="R1081" s="212">
        <v>0.09</v>
      </c>
      <c r="S1081" s="212">
        <f>10000*R471/480</f>
        <v>1.875</v>
      </c>
      <c r="T1081" s="212" cm="1">
        <f t="array" ref="T1081">_xlfn.IFS($D$5&lt;=7, 1.1, $D$5&lt;=12,1.2, $D$5&lt;=25, 1.3, $D$5&gt;25,1.4)</f>
        <v>1.3</v>
      </c>
      <c r="U1081" s="212">
        <f t="shared" si="234"/>
        <v>2.4375</v>
      </c>
      <c r="V1081" s="212"/>
      <c r="W1081" s="212"/>
      <c r="X1081" s="214">
        <v>2</v>
      </c>
    </row>
    <row r="1082" spans="1:24" ht="15">
      <c r="A1082" s="211" t="s">
        <v>4062</v>
      </c>
      <c r="B1082" s="225" t="s">
        <v>258</v>
      </c>
      <c r="C1082" s="216" t="s">
        <v>53</v>
      </c>
      <c r="D1082" s="216" t="s">
        <v>99</v>
      </c>
      <c r="E1082" s="216" t="s">
        <v>100</v>
      </c>
      <c r="F1082" s="216" t="s">
        <v>123</v>
      </c>
      <c r="G1082" s="216" t="s">
        <v>124</v>
      </c>
      <c r="H1082" s="216" t="s">
        <v>128</v>
      </c>
      <c r="I1082" s="216" t="s">
        <v>129</v>
      </c>
      <c r="J1082" s="216" t="s">
        <v>105</v>
      </c>
      <c r="K1082" s="216" t="s">
        <v>106</v>
      </c>
      <c r="L1082" s="216" t="s">
        <v>107</v>
      </c>
      <c r="M1082" s="217">
        <f t="shared" si="233"/>
        <v>6</v>
      </c>
      <c r="N1082" s="442" cm="1">
        <f t="array" ref="N1082">IF(TRIM(K1082)="Mano de Obra",IF(Formulario!$L$23&lt;&gt;"",Formulario!$L$23,IFERROR(VLOOKUP(TRIM($M$4),Jornalesdeppto!A:C,3,0),"")),_xlfn.XLOOKUP(1,(Tabla_Costos_Insumos!$A$2:$A$3199=TRIM($M$4))*(Tabla_Costos_Insumos!$C$2:$C$3199=TRIM(K1082)),Tabla_Costos_Insumos!$E$2:$E$3199,"",0))</f>
        <v>46666.666666666664</v>
      </c>
      <c r="O1082" s="442">
        <f t="shared" si="230"/>
        <v>280000</v>
      </c>
      <c r="P1082" s="212" t="str">
        <f t="shared" si="235"/>
        <v>Naranja Común</v>
      </c>
      <c r="Q1082" s="212"/>
      <c r="R1082" s="212">
        <v>0.09</v>
      </c>
      <c r="S1082" s="212">
        <f>10000*R471/480</f>
        <v>1.875</v>
      </c>
      <c r="T1082" s="212" cm="1">
        <f t="array" ref="T1082">_xlfn.IFS($D$5&lt;=7, 1.1, $D$5&lt;=12,1.2, $D$5&lt;=25, 1.3, $D$5&gt;25,1.4)</f>
        <v>1.3</v>
      </c>
      <c r="U1082" s="212">
        <f t="shared" si="234"/>
        <v>2.4375</v>
      </c>
      <c r="V1082" s="212"/>
      <c r="W1082" s="212"/>
      <c r="X1082" s="214">
        <v>4</v>
      </c>
    </row>
    <row r="1083" spans="1:24" ht="15">
      <c r="A1083" s="211" t="s">
        <v>4062</v>
      </c>
      <c r="B1083" s="225" t="s">
        <v>258</v>
      </c>
      <c r="C1083" s="216" t="s">
        <v>53</v>
      </c>
      <c r="D1083" s="216" t="s">
        <v>145</v>
      </c>
      <c r="E1083" s="216" t="s">
        <v>146</v>
      </c>
      <c r="F1083" s="216" t="s">
        <v>219</v>
      </c>
      <c r="G1083" s="216" t="s">
        <v>220</v>
      </c>
      <c r="H1083" s="216" t="s">
        <v>221</v>
      </c>
      <c r="I1083" s="216" t="s">
        <v>222</v>
      </c>
      <c r="J1083" s="216" t="s">
        <v>223</v>
      </c>
      <c r="K1083" s="216" t="s">
        <v>4120</v>
      </c>
      <c r="L1083" s="216" t="s">
        <v>197</v>
      </c>
      <c r="M1083" s="217">
        <v>225</v>
      </c>
      <c r="N1083" s="442">
        <v>13500</v>
      </c>
      <c r="O1083" s="442">
        <f t="shared" si="230"/>
        <v>3037500</v>
      </c>
      <c r="P1083" s="212" t="str">
        <f t="shared" si="235"/>
        <v>Naranja Común</v>
      </c>
      <c r="Q1083" s="212"/>
      <c r="R1083" s="212"/>
      <c r="S1083" s="212"/>
      <c r="T1083" s="212"/>
      <c r="U1083" s="212"/>
      <c r="V1083" s="212"/>
      <c r="W1083" s="212"/>
      <c r="X1083" s="214"/>
    </row>
    <row r="1084" spans="1:24" ht="15">
      <c r="A1084" s="211" t="s">
        <v>4062</v>
      </c>
      <c r="B1084" s="225" t="s">
        <v>258</v>
      </c>
      <c r="C1084" s="216" t="s">
        <v>53</v>
      </c>
      <c r="D1084" s="216" t="s">
        <v>145</v>
      </c>
      <c r="E1084" s="216" t="s">
        <v>146</v>
      </c>
      <c r="F1084" s="216" t="s">
        <v>147</v>
      </c>
      <c r="G1084" s="216" t="s">
        <v>131</v>
      </c>
      <c r="H1084" s="216" t="s">
        <v>152</v>
      </c>
      <c r="I1084" s="216" t="s">
        <v>4143</v>
      </c>
      <c r="J1084" s="216" t="s">
        <v>149</v>
      </c>
      <c r="K1084" s="216" t="s">
        <v>150</v>
      </c>
      <c r="L1084" s="216" t="s">
        <v>151</v>
      </c>
      <c r="M1084" s="217">
        <v>1</v>
      </c>
      <c r="N1084" s="442" cm="1">
        <f t="array" ref="N1084">IF(TRIM(K1084)="Mano de Obra",IF(Formulario!$L$23&lt;&gt;"",Formulario!$L$23,IFERROR(VLOOKUP(TRIM($M$4),Jornalesdeppto!A:C,3,0),"")),_xlfn.XLOOKUP(1,(Tabla_Costos_Insumos!$A$2:$A$3199=TRIM($M$4))*(Tabla_Costos_Insumos!$C$2:$C$3199=TRIM(K1084)),Tabla_Costos_Insumos!$E$2:$E$3199,"",0))</f>
        <v>198055.68333333</v>
      </c>
      <c r="O1084" s="442">
        <f t="shared" si="230"/>
        <v>198055.68333333</v>
      </c>
      <c r="P1084" s="212" t="str">
        <f t="shared" si="235"/>
        <v>Naranja Común</v>
      </c>
      <c r="Q1084" s="212"/>
      <c r="R1084" s="212"/>
      <c r="S1084" s="212"/>
      <c r="T1084" s="212"/>
      <c r="U1084" s="212"/>
      <c r="V1084" s="212"/>
      <c r="W1084" s="212"/>
      <c r="X1084" s="214"/>
    </row>
    <row r="1085" spans="1:24" ht="15">
      <c r="A1085" s="211" t="s">
        <v>4062</v>
      </c>
      <c r="B1085" s="225" t="s">
        <v>258</v>
      </c>
      <c r="C1085" s="216" t="s">
        <v>53</v>
      </c>
      <c r="D1085" s="216" t="s">
        <v>145</v>
      </c>
      <c r="E1085" s="216" t="s">
        <v>146</v>
      </c>
      <c r="F1085" s="216" t="s">
        <v>147</v>
      </c>
      <c r="G1085" s="216" t="s">
        <v>131</v>
      </c>
      <c r="H1085" s="216" t="s">
        <v>154</v>
      </c>
      <c r="I1085" s="216" t="s">
        <v>155</v>
      </c>
      <c r="J1085" s="216" t="s">
        <v>149</v>
      </c>
      <c r="K1085" s="216" t="s">
        <v>156</v>
      </c>
      <c r="L1085" s="216" t="s">
        <v>151</v>
      </c>
      <c r="M1085" s="217">
        <v>2</v>
      </c>
      <c r="N1085" s="442" cm="1">
        <f t="array" ref="N1085">IF(TRIM(K1085)="Mano de Obra",IF(Formulario!$L$23&lt;&gt;"",Formulario!$L$23,IFERROR(VLOOKUP(TRIM($M$4),Jornalesdeppto!A:C,3,0),"")),_xlfn.XLOOKUP(1,(Tabla_Costos_Insumos!$A$2:$A$3199=TRIM($M$4))*(Tabla_Costos_Insumos!$C$2:$C$3199=TRIM(K1085)),Tabla_Costos_Insumos!$E$2:$E$3199,"",0))</f>
        <v>17212.5</v>
      </c>
      <c r="O1085" s="442">
        <f t="shared" si="230"/>
        <v>34425</v>
      </c>
      <c r="P1085" s="212" t="str">
        <f t="shared" si="235"/>
        <v>Naranja Común</v>
      </c>
      <c r="Q1085" s="212"/>
      <c r="R1085" s="212"/>
      <c r="S1085" s="212"/>
      <c r="T1085" s="212"/>
      <c r="U1085" s="212"/>
      <c r="V1085" s="212"/>
      <c r="W1085" s="212"/>
      <c r="X1085" s="214"/>
    </row>
    <row r="1086" spans="1:24" ht="15">
      <c r="A1086" s="211" t="s">
        <v>4062</v>
      </c>
      <c r="B1086" s="225" t="s">
        <v>258</v>
      </c>
      <c r="C1086" s="216" t="s">
        <v>53</v>
      </c>
      <c r="D1086" s="216" t="s">
        <v>145</v>
      </c>
      <c r="E1086" s="216" t="s">
        <v>146</v>
      </c>
      <c r="F1086" s="216" t="s">
        <v>147</v>
      </c>
      <c r="G1086" s="216" t="s">
        <v>131</v>
      </c>
      <c r="H1086" s="216" t="s">
        <v>157</v>
      </c>
      <c r="I1086" s="216" t="s">
        <v>158</v>
      </c>
      <c r="J1086" s="216" t="s">
        <v>149</v>
      </c>
      <c r="K1086" s="216" t="s">
        <v>237</v>
      </c>
      <c r="L1086" s="216" t="s">
        <v>172</v>
      </c>
      <c r="M1086" s="217">
        <v>2</v>
      </c>
      <c r="N1086" s="442" cm="1">
        <f t="array" ref="N1086">IF(TRIM(K1086)="Mano de Obra",IF(Formulario!$L$23&lt;&gt;"",Formulario!$L$23,IFERROR(VLOOKUP(TRIM($M$4),Jornalesdeppto!A:C,3,0),"")),_xlfn.XLOOKUP(1,(Tabla_Costos_Insumos!$A$2:$A$3199=TRIM($M$4))*(Tabla_Costos_Insumos!$C$2:$C$3199=TRIM(K1086)),Tabla_Costos_Insumos!$E$2:$E$3199,"",0))</f>
        <v>26190.48</v>
      </c>
      <c r="O1086" s="442">
        <f t="shared" si="230"/>
        <v>52380.959999999999</v>
      </c>
      <c r="P1086" s="212" t="str">
        <f t="shared" si="235"/>
        <v>Naranja Común</v>
      </c>
      <c r="Q1086" s="212"/>
      <c r="R1086" s="212"/>
      <c r="S1086" s="212"/>
      <c r="T1086" s="212"/>
      <c r="U1086" s="212"/>
      <c r="V1086" s="212"/>
      <c r="W1086" s="212"/>
      <c r="X1086" s="214"/>
    </row>
    <row r="1087" spans="1:24" ht="15">
      <c r="A1087" s="211" t="s">
        <v>4062</v>
      </c>
      <c r="B1087" s="225" t="s">
        <v>258</v>
      </c>
      <c r="C1087" s="216" t="s">
        <v>53</v>
      </c>
      <c r="D1087" s="216" t="s">
        <v>145</v>
      </c>
      <c r="E1087" s="216" t="s">
        <v>146</v>
      </c>
      <c r="F1087" s="216" t="s">
        <v>147</v>
      </c>
      <c r="G1087" s="216" t="s">
        <v>131</v>
      </c>
      <c r="H1087" s="216" t="s">
        <v>165</v>
      </c>
      <c r="I1087" s="216" t="s">
        <v>153</v>
      </c>
      <c r="J1087" s="216" t="s">
        <v>149</v>
      </c>
      <c r="K1087" s="216" t="s">
        <v>166</v>
      </c>
      <c r="L1087" s="216" t="s">
        <v>151</v>
      </c>
      <c r="M1087" s="217">
        <v>2</v>
      </c>
      <c r="N1087" s="442" cm="1">
        <f t="array" ref="N1087">IF(TRIM(K1087)="Mano de Obra",IF(Formulario!$L$23&lt;&gt;"",Formulario!$L$23,IFERROR(VLOOKUP(TRIM($M$4),Jornalesdeppto!A:C,3,0),"")),_xlfn.XLOOKUP(1,(Tabla_Costos_Insumos!$A$2:$A$3199=TRIM($M$4))*(Tabla_Costos_Insumos!$C$2:$C$3199=TRIM(K1087)),Tabla_Costos_Insumos!$E$2:$E$3199,"",0))</f>
        <v>110000</v>
      </c>
      <c r="O1087" s="442">
        <f t="shared" si="230"/>
        <v>220000</v>
      </c>
      <c r="P1087" s="212" t="str">
        <f t="shared" si="235"/>
        <v>Naranja Común</v>
      </c>
      <c r="Q1087" s="212"/>
      <c r="R1087" s="212"/>
      <c r="S1087" s="212"/>
      <c r="T1087" s="212"/>
      <c r="U1087" s="212"/>
      <c r="V1087" s="212"/>
      <c r="W1087" s="212"/>
      <c r="X1087" s="214"/>
    </row>
    <row r="1088" spans="1:24" ht="15">
      <c r="A1088" s="211" t="s">
        <v>4062</v>
      </c>
      <c r="B1088" s="225" t="s">
        <v>258</v>
      </c>
      <c r="C1088" s="216" t="s">
        <v>53</v>
      </c>
      <c r="D1088" s="216" t="s">
        <v>145</v>
      </c>
      <c r="E1088" s="216" t="s">
        <v>146</v>
      </c>
      <c r="F1088" s="216" t="s">
        <v>147</v>
      </c>
      <c r="G1088" s="216" t="s">
        <v>131</v>
      </c>
      <c r="H1088" s="216" t="s">
        <v>165</v>
      </c>
      <c r="I1088" s="216" t="s">
        <v>153</v>
      </c>
      <c r="J1088" s="216" t="s">
        <v>149</v>
      </c>
      <c r="K1088" s="216" t="s">
        <v>4110</v>
      </c>
      <c r="L1088" s="216" t="s">
        <v>151</v>
      </c>
      <c r="M1088" s="217">
        <v>2</v>
      </c>
      <c r="N1088" s="442" cm="1">
        <f t="array" ref="N1088">IF(TRIM(K1088)="Mano de Obra",IF(Formulario!$L$23&lt;&gt;"",Formulario!$L$23,IFERROR(VLOOKUP(TRIM($M$4),Jornalesdeppto!A:C,3,0),"")),_xlfn.XLOOKUP(1,(Tabla_Costos_Insumos!$A$2:$A$3199=TRIM($M$4))*(Tabla_Costos_Insumos!$C$2:$C$3199=TRIM(K1088)),Tabla_Costos_Insumos!$E$2:$E$3199,"",0))</f>
        <v>125849.2424242409</v>
      </c>
      <c r="O1088" s="442">
        <f t="shared" si="230"/>
        <v>251698.48484848181</v>
      </c>
      <c r="P1088" s="212" t="str">
        <f t="shared" si="235"/>
        <v>Naranja Común</v>
      </c>
      <c r="Q1088" s="212"/>
      <c r="R1088" s="212"/>
      <c r="S1088" s="212"/>
      <c r="T1088" s="212"/>
      <c r="U1088" s="212"/>
      <c r="V1088" s="212"/>
      <c r="W1088" s="212"/>
      <c r="X1088" s="214"/>
    </row>
    <row r="1089" spans="1:24" ht="15">
      <c r="A1089" s="211" t="s">
        <v>4062</v>
      </c>
      <c r="B1089" s="225" t="s">
        <v>258</v>
      </c>
      <c r="C1089" s="216" t="s">
        <v>53</v>
      </c>
      <c r="D1089" s="216" t="s">
        <v>145</v>
      </c>
      <c r="E1089" s="216" t="s">
        <v>146</v>
      </c>
      <c r="F1089" s="216" t="s">
        <v>147</v>
      </c>
      <c r="G1089" s="216" t="s">
        <v>131</v>
      </c>
      <c r="H1089" s="216" t="s">
        <v>161</v>
      </c>
      <c r="I1089" s="216" t="s">
        <v>162</v>
      </c>
      <c r="J1089" s="216" t="s">
        <v>149</v>
      </c>
      <c r="K1089" s="216" t="s">
        <v>163</v>
      </c>
      <c r="L1089" s="216" t="s">
        <v>164</v>
      </c>
      <c r="M1089" s="217">
        <v>2</v>
      </c>
      <c r="N1089" s="442" cm="1">
        <f t="array" ref="N1089">IF(TRIM(K1089)="Mano de Obra",IF(Formulario!$L$23&lt;&gt;"",Formulario!$L$23,IFERROR(VLOOKUP(TRIM($M$4),Jornalesdeppto!A:C,3,0),"")),_xlfn.XLOOKUP(1,(Tabla_Costos_Insumos!$A$2:$A$3199=TRIM($M$4))*(Tabla_Costos_Insumos!$C$2:$C$3199=TRIM(K1089)),Tabla_Costos_Insumos!$E$2:$E$3199,"",0))</f>
        <v>128084.44444445</v>
      </c>
      <c r="O1089" s="442">
        <f t="shared" si="230"/>
        <v>256168.88888889999</v>
      </c>
      <c r="P1089" s="212" t="str">
        <f t="shared" si="235"/>
        <v>Naranja Común</v>
      </c>
      <c r="Q1089" s="212"/>
      <c r="R1089" s="212"/>
      <c r="S1089" s="212"/>
      <c r="T1089" s="212"/>
      <c r="U1089" s="212"/>
      <c r="V1089" s="212"/>
      <c r="W1089" s="212"/>
      <c r="X1089" s="214"/>
    </row>
    <row r="1090" spans="1:24" ht="15">
      <c r="A1090" s="211" t="s">
        <v>4062</v>
      </c>
      <c r="B1090" s="225" t="s">
        <v>258</v>
      </c>
      <c r="C1090" s="216" t="s">
        <v>53</v>
      </c>
      <c r="D1090" s="216" t="s">
        <v>145</v>
      </c>
      <c r="E1090" s="216" t="s">
        <v>146</v>
      </c>
      <c r="F1090" s="216" t="s">
        <v>167</v>
      </c>
      <c r="G1090" s="216" t="s">
        <v>118</v>
      </c>
      <c r="H1090" s="216" t="s">
        <v>168</v>
      </c>
      <c r="I1090" s="216" t="s">
        <v>169</v>
      </c>
      <c r="J1090" s="216" t="s">
        <v>170</v>
      </c>
      <c r="K1090" s="216" t="s">
        <v>251</v>
      </c>
      <c r="L1090" s="216" t="s">
        <v>226</v>
      </c>
      <c r="M1090" s="217">
        <v>4</v>
      </c>
      <c r="N1090" s="442" cm="1">
        <f t="array" ref="N1090">IF(TRIM(K1090)="Mano de Obra",IF(Formulario!$L$23&lt;&gt;"",Formulario!$L$23,IFERROR(VLOOKUP(TRIM($M$4),Jornalesdeppto!A:C,3,0),"")),_xlfn.XLOOKUP(1,(Tabla_Costos_Insumos!$A$2:$A$3199=TRIM($M$4))*(Tabla_Costos_Insumos!$C$2:$C$3199=TRIM(K1090)),Tabla_Costos_Insumos!$E$2:$E$3199,"",0))</f>
        <v>61445.54</v>
      </c>
      <c r="O1090" s="442">
        <f t="shared" si="230"/>
        <v>245782.16</v>
      </c>
      <c r="P1090" s="212" t="str">
        <f t="shared" si="235"/>
        <v>Naranja Común</v>
      </c>
      <c r="Q1090" s="212"/>
      <c r="R1090" s="212"/>
      <c r="S1090" s="212"/>
      <c r="T1090" s="212"/>
      <c r="U1090" s="212"/>
      <c r="V1090" s="212"/>
      <c r="W1090" s="212"/>
      <c r="X1090" s="214"/>
    </row>
    <row r="1091" spans="1:24" ht="15">
      <c r="A1091" s="211" t="s">
        <v>4062</v>
      </c>
      <c r="B1091" s="225" t="s">
        <v>258</v>
      </c>
      <c r="C1091" s="216" t="s">
        <v>53</v>
      </c>
      <c r="D1091" s="216" t="s">
        <v>145</v>
      </c>
      <c r="E1091" s="216" t="s">
        <v>146</v>
      </c>
      <c r="F1091" s="216" t="s">
        <v>167</v>
      </c>
      <c r="G1091" s="216" t="s">
        <v>118</v>
      </c>
      <c r="H1091" s="216" t="s">
        <v>168</v>
      </c>
      <c r="I1091" s="216" t="s">
        <v>169</v>
      </c>
      <c r="J1091" s="216" t="s">
        <v>170</v>
      </c>
      <c r="K1091" s="216" t="s">
        <v>240</v>
      </c>
      <c r="L1091" s="216" t="s">
        <v>172</v>
      </c>
      <c r="M1091" s="217">
        <v>4</v>
      </c>
      <c r="N1091" s="442" cm="1">
        <f t="array" ref="N1091">IF(TRIM(K1091)="Mano de Obra",IF(Formulario!$L$23&lt;&gt;"",Formulario!$L$23,IFERROR(VLOOKUP(TRIM($M$4),Jornalesdeppto!A:C,3,0),"")),_xlfn.XLOOKUP(1,(Tabla_Costos_Insumos!$A$2:$A$3199=TRIM($M$4))*(Tabla_Costos_Insumos!$C$2:$C$3199=TRIM(K1091)),Tabla_Costos_Insumos!$E$2:$E$3199,"",0))</f>
        <v>23574.34</v>
      </c>
      <c r="O1091" s="442">
        <f t="shared" si="230"/>
        <v>94297.36</v>
      </c>
      <c r="P1091" s="212" t="str">
        <f t="shared" si="235"/>
        <v>Naranja Común</v>
      </c>
      <c r="Q1091" s="212"/>
      <c r="R1091" s="212"/>
      <c r="S1091" s="212"/>
      <c r="T1091" s="212"/>
      <c r="U1091" s="212"/>
      <c r="V1091" s="212"/>
      <c r="W1091" s="212"/>
      <c r="X1091" s="214"/>
    </row>
    <row r="1092" spans="1:24" ht="15">
      <c r="A1092" s="211" t="s">
        <v>4062</v>
      </c>
      <c r="B1092" s="225" t="s">
        <v>258</v>
      </c>
      <c r="C1092" s="216" t="s">
        <v>53</v>
      </c>
      <c r="D1092" s="216" t="s">
        <v>145</v>
      </c>
      <c r="E1092" s="216" t="s">
        <v>146</v>
      </c>
      <c r="F1092" s="216" t="s">
        <v>167</v>
      </c>
      <c r="G1092" s="216" t="s">
        <v>118</v>
      </c>
      <c r="H1092" s="216" t="s">
        <v>174</v>
      </c>
      <c r="I1092" s="216" t="s">
        <v>175</v>
      </c>
      <c r="J1092" s="216" t="s">
        <v>176</v>
      </c>
      <c r="K1092" s="216" t="s">
        <v>231</v>
      </c>
      <c r="L1092" s="216" t="s">
        <v>172</v>
      </c>
      <c r="M1092" s="217">
        <v>2</v>
      </c>
      <c r="N1092" s="442" cm="1">
        <f t="array" ref="N1092">IF(TRIM(K1092)="Mano de Obra",IF(Formulario!$L$23&lt;&gt;"",Formulario!$L$23,IFERROR(VLOOKUP(TRIM($M$4),Jornalesdeppto!A:C,3,0),"")),_xlfn.XLOOKUP(1,(Tabla_Costos_Insumos!$A$2:$A$3199=TRIM($M$4))*(Tabla_Costos_Insumos!$C$2:$C$3199=TRIM(K1092)),Tabla_Costos_Insumos!$E$2:$E$3199,"",0))</f>
        <v>23177.15</v>
      </c>
      <c r="O1092" s="442">
        <f t="shared" si="230"/>
        <v>46354.3</v>
      </c>
      <c r="P1092" s="212" t="str">
        <f t="shared" si="235"/>
        <v>Naranja Común</v>
      </c>
      <c r="Q1092" s="212"/>
      <c r="R1092" s="212"/>
      <c r="S1092" s="212"/>
      <c r="T1092" s="212"/>
      <c r="U1092" s="212"/>
      <c r="V1092" s="212"/>
      <c r="W1092" s="212"/>
      <c r="X1092" s="214"/>
    </row>
    <row r="1093" spans="1:24" ht="15">
      <c r="A1093" s="211" t="s">
        <v>4062</v>
      </c>
      <c r="B1093" s="225" t="s">
        <v>258</v>
      </c>
      <c r="C1093" s="216" t="s">
        <v>53</v>
      </c>
      <c r="D1093" s="216" t="s">
        <v>145</v>
      </c>
      <c r="E1093" s="216" t="s">
        <v>146</v>
      </c>
      <c r="F1093" s="216" t="s">
        <v>167</v>
      </c>
      <c r="G1093" s="216" t="s">
        <v>118</v>
      </c>
      <c r="H1093" s="216" t="s">
        <v>178</v>
      </c>
      <c r="I1093" s="216" t="s">
        <v>179</v>
      </c>
      <c r="J1093" s="216" t="s">
        <v>180</v>
      </c>
      <c r="K1093" s="216" t="s">
        <v>4115</v>
      </c>
      <c r="L1093" s="216" t="s">
        <v>172</v>
      </c>
      <c r="M1093" s="217">
        <v>4</v>
      </c>
      <c r="N1093" s="442" cm="1">
        <f t="array" ref="N1093">IF(TRIM(K1093)="Mano de Obra",IF(Formulario!$L$23&lt;&gt;"",Formulario!$L$23,IFERROR(VLOOKUP(TRIM($M$4),Jornalesdeppto!A:C,3,0),"")),_xlfn.XLOOKUP(1,(Tabla_Costos_Insumos!$A$2:$A$3199=TRIM($M$4))*(Tabla_Costos_Insumos!$C$2:$C$3199=TRIM(K1093)),Tabla_Costos_Insumos!$E$2:$E$3199,"",0))</f>
        <v>66141.87</v>
      </c>
      <c r="O1093" s="442">
        <f t="shared" si="230"/>
        <v>264567.48</v>
      </c>
      <c r="P1093" s="212" t="str">
        <f t="shared" si="235"/>
        <v>Naranja Común</v>
      </c>
      <c r="Q1093" s="212"/>
      <c r="R1093" s="212"/>
      <c r="S1093" s="212"/>
      <c r="T1093" s="212"/>
      <c r="U1093" s="212"/>
      <c r="V1093" s="212"/>
      <c r="W1093" s="212"/>
      <c r="X1093" s="214"/>
    </row>
    <row r="1094" spans="1:24" ht="15">
      <c r="A1094" s="211" t="s">
        <v>4062</v>
      </c>
      <c r="B1094" s="225" t="s">
        <v>258</v>
      </c>
      <c r="C1094" s="216" t="s">
        <v>53</v>
      </c>
      <c r="D1094" s="216" t="s">
        <v>145</v>
      </c>
      <c r="E1094" s="216" t="s">
        <v>146</v>
      </c>
      <c r="F1094" s="216" t="s">
        <v>167</v>
      </c>
      <c r="G1094" s="216" t="s">
        <v>118</v>
      </c>
      <c r="H1094" s="216" t="s">
        <v>178</v>
      </c>
      <c r="I1094" s="216" t="s">
        <v>179</v>
      </c>
      <c r="J1094" s="216" t="s">
        <v>180</v>
      </c>
      <c r="K1094" s="216" t="s">
        <v>181</v>
      </c>
      <c r="L1094" s="216" t="s">
        <v>172</v>
      </c>
      <c r="M1094" s="217">
        <v>4</v>
      </c>
      <c r="N1094" s="442" cm="1">
        <f t="array" ref="N1094">IF(TRIM(K1094)="Mano de Obra",IF(Formulario!$L$23&lt;&gt;"",Formulario!$L$23,IFERROR(VLOOKUP(TRIM($M$4),Jornalesdeppto!A:C,3,0),"")),_xlfn.XLOOKUP(1,(Tabla_Costos_Insumos!$A$2:$A$3199=TRIM($M$4))*(Tabla_Costos_Insumos!$C$2:$C$3199=TRIM(K1094)),Tabla_Costos_Insumos!$E$2:$E$3199,"",0))</f>
        <v>34056.25</v>
      </c>
      <c r="O1094" s="442">
        <f t="shared" si="230"/>
        <v>136225</v>
      </c>
      <c r="P1094" s="212" t="str">
        <f t="shared" si="235"/>
        <v>Naranja Común</v>
      </c>
      <c r="Q1094" s="212"/>
      <c r="R1094" s="212"/>
      <c r="S1094" s="212"/>
      <c r="T1094" s="212"/>
      <c r="U1094" s="212"/>
      <c r="V1094" s="212"/>
      <c r="W1094" s="212"/>
      <c r="X1094" s="214"/>
    </row>
    <row r="1095" spans="1:24" ht="15">
      <c r="A1095" s="211" t="s">
        <v>4062</v>
      </c>
      <c r="B1095" s="225" t="s">
        <v>258</v>
      </c>
      <c r="C1095" s="216" t="s">
        <v>53</v>
      </c>
      <c r="D1095" s="216" t="s">
        <v>145</v>
      </c>
      <c r="E1095" s="216" t="s">
        <v>146</v>
      </c>
      <c r="F1095" s="216" t="s">
        <v>183</v>
      </c>
      <c r="G1095" s="216" t="s">
        <v>184</v>
      </c>
      <c r="H1095" s="216" t="s">
        <v>185</v>
      </c>
      <c r="I1095" s="216" t="s">
        <v>186</v>
      </c>
      <c r="J1095" s="216" t="s">
        <v>105</v>
      </c>
      <c r="K1095" s="216" t="s">
        <v>187</v>
      </c>
      <c r="L1095" s="216" t="s">
        <v>188</v>
      </c>
      <c r="M1095" s="217">
        <v>0.1</v>
      </c>
      <c r="N1095" s="442" cm="1">
        <f t="array" ref="N1095">IF(TRIM(K1095)="Mano de Obra",IF(Formulario!$L$23&lt;&gt;"",Formulario!$L$23,IFERROR(VLOOKUP(TRIM($M$4),Jornalesdeppto!A:C,3,0),"")),_xlfn.XLOOKUP(1,(Tabla_Costos_Insumos!$A$2:$A$3199=TRIM($M$4))*(Tabla_Costos_Insumos!$C$2:$C$3199=TRIM(K1095)),Tabla_Costos_Insumos!$E$2:$E$3199,"",0))</f>
        <v>175000</v>
      </c>
      <c r="O1095" s="442">
        <f t="shared" si="230"/>
        <v>17500</v>
      </c>
      <c r="P1095" s="212" t="str">
        <f t="shared" si="235"/>
        <v>Naranja Común</v>
      </c>
      <c r="Q1095" s="212"/>
      <c r="R1095" s="212"/>
      <c r="S1095" s="212"/>
      <c r="T1095" s="212"/>
      <c r="U1095" s="212"/>
      <c r="V1095" s="212"/>
      <c r="W1095" s="212"/>
      <c r="X1095" s="214"/>
    </row>
    <row r="1096" spans="1:24" ht="15">
      <c r="A1096" s="211" t="s">
        <v>4062</v>
      </c>
      <c r="B1096" s="225" t="s">
        <v>258</v>
      </c>
      <c r="C1096" s="216" t="s">
        <v>53</v>
      </c>
      <c r="D1096" s="216" t="s">
        <v>189</v>
      </c>
      <c r="E1096" s="216" t="s">
        <v>190</v>
      </c>
      <c r="F1096" s="216" t="s">
        <v>191</v>
      </c>
      <c r="G1096" s="216" t="s">
        <v>192</v>
      </c>
      <c r="H1096" s="216" t="s">
        <v>193</v>
      </c>
      <c r="I1096" s="216" t="s">
        <v>194</v>
      </c>
      <c r="J1096" s="216" t="s">
        <v>195</v>
      </c>
      <c r="K1096" s="216" t="s">
        <v>196</v>
      </c>
      <c r="L1096" s="216" t="s">
        <v>197</v>
      </c>
      <c r="M1096" s="217">
        <v>1</v>
      </c>
      <c r="N1096" s="442">
        <f>IFERROR(SUM(O1078:$O$1095)*0.08,0)</f>
        <v>504129.75869899022</v>
      </c>
      <c r="O1096" s="442">
        <f t="shared" si="230"/>
        <v>504129.75869899022</v>
      </c>
      <c r="P1096" s="212" t="str">
        <f t="shared" si="235"/>
        <v>Naranja Común</v>
      </c>
      <c r="Q1096" s="212"/>
      <c r="R1096" s="212"/>
      <c r="S1096" s="212"/>
      <c r="T1096" s="212"/>
      <c r="U1096" s="212"/>
      <c r="V1096" s="212"/>
      <c r="W1096" s="212"/>
      <c r="X1096" s="214"/>
    </row>
    <row r="1097" spans="1:24" ht="15">
      <c r="A1097" s="211" t="s">
        <v>4062</v>
      </c>
      <c r="B1097" s="225" t="s">
        <v>258</v>
      </c>
      <c r="C1097" s="216" t="s">
        <v>53</v>
      </c>
      <c r="D1097" s="216" t="s">
        <v>189</v>
      </c>
      <c r="E1097" s="216" t="s">
        <v>190</v>
      </c>
      <c r="F1097" s="216" t="s">
        <v>198</v>
      </c>
      <c r="G1097" s="216" t="s">
        <v>199</v>
      </c>
      <c r="H1097" s="216" t="s">
        <v>200</v>
      </c>
      <c r="I1097" s="216" t="s">
        <v>201</v>
      </c>
      <c r="J1097" s="216" t="s">
        <v>105</v>
      </c>
      <c r="K1097" s="216" t="s">
        <v>202</v>
      </c>
      <c r="L1097" s="216" t="s">
        <v>203</v>
      </c>
      <c r="M1097" s="217">
        <v>1</v>
      </c>
      <c r="N1097" s="442" cm="1">
        <f t="array" ref="N1097">IF(TRIM(K1097)="Mano de Obra",IF(Formulario!$L$23&lt;&gt;"",Formulario!$L$23,IFERROR(VLOOKUP(TRIM($M$4),Jornalesdeppto!A:C,3,0),"")),_xlfn.XLOOKUP(1,(Tabla_Costos_Insumos!$A$2:$A$3199=TRIM($M$4))*(Tabla_Costos_Insumos!$C$2:$C$3199=TRIM(K1097)),Tabla_Costos_Insumos!$E$2:$E$3199,"",0))</f>
        <v>120000</v>
      </c>
      <c r="O1097" s="442">
        <f t="shared" si="230"/>
        <v>120000</v>
      </c>
      <c r="P1097" s="212" t="str">
        <f t="shared" si="235"/>
        <v>Naranja Común</v>
      </c>
      <c r="Q1097" s="212"/>
      <c r="R1097" s="212"/>
      <c r="S1097" s="212"/>
      <c r="T1097" s="212"/>
      <c r="U1097" s="212"/>
      <c r="V1097" s="212"/>
      <c r="W1097" s="212"/>
      <c r="X1097" s="214"/>
    </row>
    <row r="1098" spans="1:24" ht="15">
      <c r="A1098" s="211" t="s">
        <v>4062</v>
      </c>
      <c r="B1098" s="225" t="s">
        <v>258</v>
      </c>
      <c r="C1098" s="216" t="s">
        <v>53</v>
      </c>
      <c r="D1098" s="216" t="s">
        <v>189</v>
      </c>
      <c r="E1098" s="216" t="s">
        <v>190</v>
      </c>
      <c r="F1098" s="216" t="s">
        <v>204</v>
      </c>
      <c r="G1098" s="216" t="s">
        <v>205</v>
      </c>
      <c r="H1098" s="216" t="s">
        <v>206</v>
      </c>
      <c r="I1098" s="216" t="s">
        <v>207</v>
      </c>
      <c r="J1098" s="216" t="s">
        <v>208</v>
      </c>
      <c r="K1098" s="216" t="s">
        <v>228</v>
      </c>
      <c r="L1098" s="216" t="s">
        <v>197</v>
      </c>
      <c r="M1098" s="217">
        <v>1</v>
      </c>
      <c r="N1098" s="442">
        <f>$J$4</f>
        <v>500000</v>
      </c>
      <c r="O1098" s="442">
        <f t="shared" ref="O1098:O1145" si="236">IF(OR(N1098=0,N1098=""),"",N1098*M1098)</f>
        <v>500000</v>
      </c>
      <c r="P1098" s="212" t="str">
        <f t="shared" si="235"/>
        <v>Naranja Común</v>
      </c>
      <c r="Q1098" s="212"/>
      <c r="R1098" s="212"/>
      <c r="S1098" s="212"/>
      <c r="T1098" s="212"/>
      <c r="U1098" s="212"/>
      <c r="V1098" s="212"/>
      <c r="W1098" s="212"/>
      <c r="X1098" s="214"/>
    </row>
    <row r="1099" spans="1:24" ht="15">
      <c r="A1099" s="211" t="s">
        <v>4062</v>
      </c>
      <c r="B1099" s="225" t="s">
        <v>4063</v>
      </c>
      <c r="C1099" s="212" t="s">
        <v>69</v>
      </c>
      <c r="D1099" s="212" t="s">
        <v>99</v>
      </c>
      <c r="E1099" s="212" t="s">
        <v>100</v>
      </c>
      <c r="F1099" s="212" t="s">
        <v>109</v>
      </c>
      <c r="G1099" s="212" t="s">
        <v>110</v>
      </c>
      <c r="H1099" s="212" t="s">
        <v>234</v>
      </c>
      <c r="I1099" s="212" t="s">
        <v>235</v>
      </c>
      <c r="J1099" s="212" t="s">
        <v>105</v>
      </c>
      <c r="K1099" s="212" t="s">
        <v>106</v>
      </c>
      <c r="L1099" s="212" t="s">
        <v>107</v>
      </c>
      <c r="M1099" s="213">
        <f t="shared" ref="M1099:M1108" si="237">IF(W1099&lt;&gt;"", W1099, ROUNDUP(X1099*T1099, 0))</f>
        <v>13</v>
      </c>
      <c r="N1099" s="441" cm="1">
        <f t="array" ref="N1099">IF(TRIM(K1099)="Mano de Obra",IF(Formulario!$L$23&lt;&gt;"",Formulario!$L$23,IFERROR(VLOOKUP(TRIM($M$4),Jornalesdeppto!A:C,3,0),"")),_xlfn.XLOOKUP(1,(Tabla_Costos_Insumos!$A$2:$A$3199=TRIM($M$4))*(Tabla_Costos_Insumos!$C$2:$C$3199=TRIM(K1099)),Tabla_Costos_Insumos!$E$2:$E$3199,"",0))</f>
        <v>46666.666666666664</v>
      </c>
      <c r="O1099" s="441">
        <f t="shared" si="236"/>
        <v>606666.66666666663</v>
      </c>
      <c r="P1099" s="212" t="str">
        <f t="shared" si="235"/>
        <v>Naranja Valencia</v>
      </c>
      <c r="Q1099" s="212"/>
      <c r="R1099" s="212">
        <v>0</v>
      </c>
      <c r="S1099" s="212">
        <f t="shared" ref="S1099:S1108" si="238">R1099*$I$3/480</f>
        <v>0</v>
      </c>
      <c r="T1099" s="212" cm="1">
        <f t="array" ref="T1099">_xlfn.IFS($D$5&lt;=7, 1.1, $D$5&lt;=12,1.2, $D$5&lt;=25, 1.3, $D$5&gt;25,1.4)</f>
        <v>1.3</v>
      </c>
      <c r="U1099" s="212"/>
      <c r="V1099" s="212">
        <v>4</v>
      </c>
      <c r="W1099" s="212"/>
      <c r="X1099" s="214">
        <v>10</v>
      </c>
    </row>
    <row r="1100" spans="1:24" ht="15">
      <c r="A1100" s="211" t="s">
        <v>4062</v>
      </c>
      <c r="B1100" s="225" t="s">
        <v>4063</v>
      </c>
      <c r="C1100" s="212" t="s">
        <v>69</v>
      </c>
      <c r="D1100" s="212" t="s">
        <v>99</v>
      </c>
      <c r="E1100" s="212" t="s">
        <v>100</v>
      </c>
      <c r="F1100" s="212" t="s">
        <v>109</v>
      </c>
      <c r="G1100" s="212" t="s">
        <v>110</v>
      </c>
      <c r="H1100" s="212" t="s">
        <v>111</v>
      </c>
      <c r="I1100" s="212" t="s">
        <v>112</v>
      </c>
      <c r="J1100" s="212" t="s">
        <v>105</v>
      </c>
      <c r="K1100" s="212" t="s">
        <v>106</v>
      </c>
      <c r="L1100" s="212" t="s">
        <v>107</v>
      </c>
      <c r="M1100" s="213">
        <f t="shared" si="237"/>
        <v>4</v>
      </c>
      <c r="N1100" s="441" cm="1">
        <f t="array" ref="N1100">IF(TRIM(K1100)="Mano de Obra",IF(Formulario!$L$23&lt;&gt;"",Formulario!$L$23,IFERROR(VLOOKUP(TRIM($M$4),Jornalesdeppto!A:C,3,0),"")),_xlfn.XLOOKUP(1,(Tabla_Costos_Insumos!$A$2:$A$3199=TRIM($M$4))*(Tabla_Costos_Insumos!$C$2:$C$3199=TRIM(K1100)),Tabla_Costos_Insumos!$E$2:$E$3199,"",0))</f>
        <v>46666.666666666664</v>
      </c>
      <c r="O1100" s="441">
        <f t="shared" si="236"/>
        <v>186666.66666666666</v>
      </c>
      <c r="P1100" s="212" t="str">
        <f t="shared" si="235"/>
        <v>Naranja Valencia</v>
      </c>
      <c r="Q1100" s="212"/>
      <c r="R1100" s="212">
        <v>0.4</v>
      </c>
      <c r="S1100" s="212">
        <f t="shared" si="238"/>
        <v>1.2833333333333334</v>
      </c>
      <c r="T1100" s="212" cm="1">
        <f t="array" ref="T1100">_xlfn.IFS($D$5&lt;=7, 1.1, $D$5&lt;=12,1.2, $D$5&lt;=25, 1.3, $D$5&gt;25,1.4)</f>
        <v>1.3</v>
      </c>
      <c r="U1100" s="212"/>
      <c r="V1100" s="212">
        <v>4</v>
      </c>
      <c r="W1100" s="212"/>
      <c r="X1100" s="214">
        <v>3</v>
      </c>
    </row>
    <row r="1101" spans="1:24" ht="15">
      <c r="A1101" s="211" t="s">
        <v>4062</v>
      </c>
      <c r="B1101" s="225" t="s">
        <v>4063</v>
      </c>
      <c r="C1101" s="212" t="s">
        <v>69</v>
      </c>
      <c r="D1101" s="212" t="s">
        <v>99</v>
      </c>
      <c r="E1101" s="212" t="s">
        <v>100</v>
      </c>
      <c r="F1101" s="212" t="s">
        <v>113</v>
      </c>
      <c r="G1101" s="212" t="s">
        <v>114</v>
      </c>
      <c r="H1101" s="212" t="s">
        <v>115</v>
      </c>
      <c r="I1101" s="212" t="s">
        <v>116</v>
      </c>
      <c r="J1101" s="212" t="s">
        <v>105</v>
      </c>
      <c r="K1101" s="212" t="s">
        <v>106</v>
      </c>
      <c r="L1101" s="212" t="s">
        <v>107</v>
      </c>
      <c r="M1101" s="213">
        <f t="shared" si="237"/>
        <v>13</v>
      </c>
      <c r="N1101" s="441" cm="1">
        <f t="array" ref="N1101">IF(TRIM(K1101)="Mano de Obra",IF(Formulario!$L$23&lt;&gt;"",Formulario!$L$23,IFERROR(VLOOKUP(TRIM($M$4),Jornalesdeppto!A:C,3,0),"")),_xlfn.XLOOKUP(1,(Tabla_Costos_Insumos!$A$2:$A$3199=TRIM($M$4))*(Tabla_Costos_Insumos!$C$2:$C$3199=TRIM(K1101)),Tabla_Costos_Insumos!$E$2:$E$3199,"",0))</f>
        <v>46666.666666666664</v>
      </c>
      <c r="O1101" s="441">
        <f t="shared" si="236"/>
        <v>606666.66666666663</v>
      </c>
      <c r="P1101" s="212" t="str">
        <f t="shared" si="235"/>
        <v>Naranja Valencia</v>
      </c>
      <c r="Q1101" s="212"/>
      <c r="R1101" s="212">
        <v>1</v>
      </c>
      <c r="S1101" s="212">
        <f t="shared" si="238"/>
        <v>3.2083333333333335</v>
      </c>
      <c r="T1101" s="212" cm="1">
        <f t="array" ref="T1101">_xlfn.IFS($D$5&lt;=7, 1.1, $D$5&lt;=12,1.2, $D$5&lt;=25, 1.3, $D$5&gt;25,1.4)</f>
        <v>1.3</v>
      </c>
      <c r="U1101" s="212"/>
      <c r="V1101" s="212">
        <v>2</v>
      </c>
      <c r="W1101" s="212"/>
      <c r="X1101" s="214">
        <v>10</v>
      </c>
    </row>
    <row r="1102" spans="1:24" ht="15">
      <c r="A1102" s="211" t="s">
        <v>4062</v>
      </c>
      <c r="B1102" s="225" t="s">
        <v>4063</v>
      </c>
      <c r="C1102" s="212" t="s">
        <v>69</v>
      </c>
      <c r="D1102" s="212" t="s">
        <v>99</v>
      </c>
      <c r="E1102" s="212" t="s">
        <v>100</v>
      </c>
      <c r="F1102" s="212" t="s">
        <v>117</v>
      </c>
      <c r="G1102" s="212" t="s">
        <v>118</v>
      </c>
      <c r="H1102" s="212" t="s">
        <v>119</v>
      </c>
      <c r="I1102" s="212" t="s">
        <v>120</v>
      </c>
      <c r="J1102" s="212" t="s">
        <v>105</v>
      </c>
      <c r="K1102" s="212" t="s">
        <v>106</v>
      </c>
      <c r="L1102" s="212" t="s">
        <v>107</v>
      </c>
      <c r="M1102" s="213">
        <f t="shared" si="237"/>
        <v>12</v>
      </c>
      <c r="N1102" s="441" cm="1">
        <f t="array" ref="N1102">IF(TRIM(K1102)="Mano de Obra",IF(Formulario!$L$23&lt;&gt;"",Formulario!$L$23,IFERROR(VLOOKUP(TRIM($M$4),Jornalesdeppto!A:C,3,0),"")),_xlfn.XLOOKUP(1,(Tabla_Costos_Insumos!$A$2:$A$3199=TRIM($M$4))*(Tabla_Costos_Insumos!$C$2:$C$3199=TRIM(K1102)),Tabla_Costos_Insumos!$E$2:$E$3199,"",0))</f>
        <v>46666.666666666664</v>
      </c>
      <c r="O1102" s="441">
        <f t="shared" si="236"/>
        <v>560000</v>
      </c>
      <c r="P1102" s="212" t="str">
        <f t="shared" si="235"/>
        <v>Naranja Valencia</v>
      </c>
      <c r="Q1102" s="212"/>
      <c r="R1102" s="212">
        <v>3</v>
      </c>
      <c r="S1102" s="212">
        <f t="shared" si="238"/>
        <v>9.625</v>
      </c>
      <c r="T1102" s="212" cm="1">
        <f t="array" ref="T1102">_xlfn.IFS($D$5&lt;=7, 1.1, $D$5&lt;=12,1.2, $D$5&lt;=25, 1.3, $D$5&gt;25,1.4)</f>
        <v>1.3</v>
      </c>
      <c r="U1102" s="212"/>
      <c r="V1102" s="212">
        <v>9</v>
      </c>
      <c r="W1102" s="212"/>
      <c r="X1102" s="214">
        <v>9</v>
      </c>
    </row>
    <row r="1103" spans="1:24" ht="15">
      <c r="A1103" s="211" t="s">
        <v>4062</v>
      </c>
      <c r="B1103" s="225" t="s">
        <v>4063</v>
      </c>
      <c r="C1103" s="212" t="s">
        <v>69</v>
      </c>
      <c r="D1103" s="212" t="s">
        <v>99</v>
      </c>
      <c r="E1103" s="212" t="s">
        <v>100</v>
      </c>
      <c r="F1103" s="212" t="s">
        <v>117</v>
      </c>
      <c r="G1103" s="212" t="s">
        <v>118</v>
      </c>
      <c r="H1103" s="212" t="s">
        <v>121</v>
      </c>
      <c r="I1103" s="212" t="s">
        <v>122</v>
      </c>
      <c r="J1103" s="212" t="s">
        <v>105</v>
      </c>
      <c r="K1103" s="212" t="s">
        <v>106</v>
      </c>
      <c r="L1103" s="212" t="s">
        <v>107</v>
      </c>
      <c r="M1103" s="213">
        <f t="shared" si="237"/>
        <v>12</v>
      </c>
      <c r="N1103" s="441" cm="1">
        <f t="array" ref="N1103">IF(TRIM(K1103)="Mano de Obra",IF(Formulario!$L$23&lt;&gt;"",Formulario!$L$23,IFERROR(VLOOKUP(TRIM($M$4),Jornalesdeppto!A:C,3,0),"")),_xlfn.XLOOKUP(1,(Tabla_Costos_Insumos!$A$2:$A$3199=TRIM($M$4))*(Tabla_Costos_Insumos!$C$2:$C$3199=TRIM(K1103)),Tabla_Costos_Insumos!$E$2:$E$3199,"",0))</f>
        <v>46666.666666666664</v>
      </c>
      <c r="O1103" s="441">
        <f t="shared" si="236"/>
        <v>560000</v>
      </c>
      <c r="P1103" s="212" t="str">
        <f t="shared" si="235"/>
        <v>Naranja Valencia</v>
      </c>
      <c r="Q1103" s="212"/>
      <c r="R1103" s="212">
        <v>4.7</v>
      </c>
      <c r="S1103" s="212">
        <f t="shared" si="238"/>
        <v>15.079166666666667</v>
      </c>
      <c r="T1103" s="212" cm="1">
        <f t="array" ref="T1103">_xlfn.IFS($D$5&lt;=7, 1.1, $D$5&lt;=12,1.2, $D$5&lt;=25, 1.3, $D$5&gt;25,1.4)</f>
        <v>1.3</v>
      </c>
      <c r="U1103" s="212"/>
      <c r="V1103" s="212">
        <v>9</v>
      </c>
      <c r="W1103" s="212"/>
      <c r="X1103" s="214">
        <v>9</v>
      </c>
    </row>
    <row r="1104" spans="1:24" ht="15">
      <c r="A1104" s="211" t="s">
        <v>4062</v>
      </c>
      <c r="B1104" s="225" t="s">
        <v>4063</v>
      </c>
      <c r="C1104" s="212" t="s">
        <v>69</v>
      </c>
      <c r="D1104" s="212" t="s">
        <v>99</v>
      </c>
      <c r="E1104" s="212" t="s">
        <v>100</v>
      </c>
      <c r="F1104" s="212" t="s">
        <v>123</v>
      </c>
      <c r="G1104" s="212" t="s">
        <v>124</v>
      </c>
      <c r="H1104" s="212" t="s">
        <v>128</v>
      </c>
      <c r="I1104" s="212" t="s">
        <v>129</v>
      </c>
      <c r="J1104" s="212" t="s">
        <v>105</v>
      </c>
      <c r="K1104" s="212" t="s">
        <v>106</v>
      </c>
      <c r="L1104" s="212" t="s">
        <v>107</v>
      </c>
      <c r="M1104" s="213">
        <f t="shared" si="237"/>
        <v>19</v>
      </c>
      <c r="N1104" s="441" cm="1">
        <f t="array" ref="N1104">IF(TRIM(K1104)="Mano de Obra",IF(Formulario!$L$23&lt;&gt;"",Formulario!$L$23,IFERROR(VLOOKUP(TRIM($M$4),Jornalesdeppto!A:C,3,0),"")),_xlfn.XLOOKUP(1,(Tabla_Costos_Insumos!$A$2:$A$3199=TRIM($M$4))*(Tabla_Costos_Insumos!$C$2:$C$3199=TRIM(K1104)),Tabla_Costos_Insumos!$E$2:$E$3199,"",0))</f>
        <v>46666.666666666664</v>
      </c>
      <c r="O1104" s="441">
        <f t="shared" si="236"/>
        <v>886666.66666666663</v>
      </c>
      <c r="P1104" s="212" t="str">
        <f t="shared" si="235"/>
        <v>Naranja Valencia</v>
      </c>
      <c r="Q1104" s="212"/>
      <c r="R1104" s="212">
        <v>4.7</v>
      </c>
      <c r="S1104" s="212">
        <f t="shared" si="238"/>
        <v>15.079166666666667</v>
      </c>
      <c r="T1104" s="212" cm="1">
        <f t="array" ref="T1104">_xlfn.IFS($D$5&lt;=7, 1.1, $D$5&lt;=12,1.2, $D$5&lt;=25, 1.3, $D$5&gt;25,1.4)</f>
        <v>1.3</v>
      </c>
      <c r="U1104" s="212"/>
      <c r="V1104" s="212">
        <v>4</v>
      </c>
      <c r="W1104" s="212"/>
      <c r="X1104" s="214">
        <v>14</v>
      </c>
    </row>
    <row r="1105" spans="1:24" ht="15">
      <c r="A1105" s="211" t="s">
        <v>4062</v>
      </c>
      <c r="B1105" s="225" t="s">
        <v>4063</v>
      </c>
      <c r="C1105" s="212" t="s">
        <v>69</v>
      </c>
      <c r="D1105" s="212" t="s">
        <v>99</v>
      </c>
      <c r="E1105" s="212" t="s">
        <v>100</v>
      </c>
      <c r="F1105" s="212" t="s">
        <v>130</v>
      </c>
      <c r="G1105" s="212" t="s">
        <v>131</v>
      </c>
      <c r="H1105" s="212" t="s">
        <v>132</v>
      </c>
      <c r="I1105" s="212" t="s">
        <v>133</v>
      </c>
      <c r="J1105" s="212" t="s">
        <v>105</v>
      </c>
      <c r="K1105" s="212" t="s">
        <v>106</v>
      </c>
      <c r="L1105" s="212" t="s">
        <v>107</v>
      </c>
      <c r="M1105" s="213">
        <f t="shared" si="237"/>
        <v>12</v>
      </c>
      <c r="N1105" s="441" cm="1">
        <f t="array" ref="N1105">IF(TRIM(K1105)="Mano de Obra",IF(Formulario!$L$23&lt;&gt;"",Formulario!$L$23,IFERROR(VLOOKUP(TRIM($M$4),Jornalesdeppto!A:C,3,0),"")),_xlfn.XLOOKUP(1,(Tabla_Costos_Insumos!$A$2:$A$3199=TRIM($M$4))*(Tabla_Costos_Insumos!$C$2:$C$3199=TRIM(K1105)),Tabla_Costos_Insumos!$E$2:$E$3199,"",0))</f>
        <v>46666.666666666664</v>
      </c>
      <c r="O1105" s="441">
        <f t="shared" si="236"/>
        <v>560000</v>
      </c>
      <c r="P1105" s="212" t="str">
        <f t="shared" si="235"/>
        <v>Naranja Valencia</v>
      </c>
      <c r="Q1105" s="212"/>
      <c r="R1105" s="212">
        <v>0.09</v>
      </c>
      <c r="S1105" s="212">
        <f t="shared" si="238"/>
        <v>0.28875000000000001</v>
      </c>
      <c r="T1105" s="212" cm="1">
        <f t="array" ref="T1105">_xlfn.IFS($D$5&lt;=7, 1.1, $D$5&lt;=12,1.2, $D$5&lt;=25, 1.3, $D$5&gt;25,1.4)</f>
        <v>1.3</v>
      </c>
      <c r="U1105" s="212">
        <f>10000*R1105/480</f>
        <v>1.875</v>
      </c>
      <c r="V1105" s="212">
        <v>4</v>
      </c>
      <c r="W1105" s="212"/>
      <c r="X1105" s="214">
        <v>9</v>
      </c>
    </row>
    <row r="1106" spans="1:24" ht="15">
      <c r="A1106" s="211" t="s">
        <v>4062</v>
      </c>
      <c r="B1106" s="225" t="s">
        <v>4063</v>
      </c>
      <c r="C1106" s="212" t="s">
        <v>69</v>
      </c>
      <c r="D1106" s="212" t="s">
        <v>99</v>
      </c>
      <c r="E1106" s="212" t="s">
        <v>100</v>
      </c>
      <c r="F1106" s="212" t="s">
        <v>130</v>
      </c>
      <c r="G1106" s="212" t="s">
        <v>131</v>
      </c>
      <c r="H1106" s="212" t="s">
        <v>134</v>
      </c>
      <c r="I1106" s="212" t="s">
        <v>135</v>
      </c>
      <c r="J1106" s="212" t="s">
        <v>105</v>
      </c>
      <c r="K1106" s="212" t="s">
        <v>106</v>
      </c>
      <c r="L1106" s="212" t="s">
        <v>107</v>
      </c>
      <c r="M1106" s="213">
        <f t="shared" si="237"/>
        <v>6</v>
      </c>
      <c r="N1106" s="441" cm="1">
        <f t="array" ref="N1106">IF(TRIM(K1106)="Mano de Obra",IF(Formulario!$L$23&lt;&gt;"",Formulario!$L$23,IFERROR(VLOOKUP(TRIM($M$4),Jornalesdeppto!A:C,3,0),"")),_xlfn.XLOOKUP(1,(Tabla_Costos_Insumos!$A$2:$A$3199=TRIM($M$4))*(Tabla_Costos_Insumos!$C$2:$C$3199=TRIM(K1106)),Tabla_Costos_Insumos!$E$2:$E$3199,"",0))</f>
        <v>46666.666666666664</v>
      </c>
      <c r="O1106" s="441">
        <f t="shared" si="236"/>
        <v>280000</v>
      </c>
      <c r="P1106" s="212" t="str">
        <f t="shared" si="235"/>
        <v>Naranja Valencia</v>
      </c>
      <c r="Q1106" s="212"/>
      <c r="R1106" s="212">
        <v>0.09</v>
      </c>
      <c r="S1106" s="212">
        <f t="shared" si="238"/>
        <v>0.28875000000000001</v>
      </c>
      <c r="T1106" s="212" cm="1">
        <f t="array" ref="T1106">_xlfn.IFS($D$5&lt;=7, 1.1, $D$5&lt;=12,1.2, $D$5&lt;=25, 1.3, $D$5&gt;25,1.4)</f>
        <v>1.3</v>
      </c>
      <c r="U1106" s="212">
        <f>10000*R1106/480</f>
        <v>1.875</v>
      </c>
      <c r="V1106" s="212">
        <v>4</v>
      </c>
      <c r="W1106" s="212"/>
      <c r="X1106" s="214">
        <v>4</v>
      </c>
    </row>
    <row r="1107" spans="1:24" ht="15">
      <c r="A1107" s="211" t="s">
        <v>4062</v>
      </c>
      <c r="B1107" s="225" t="s">
        <v>4063</v>
      </c>
      <c r="C1107" s="212" t="s">
        <v>69</v>
      </c>
      <c r="D1107" s="212" t="s">
        <v>99</v>
      </c>
      <c r="E1107" s="212" t="s">
        <v>100</v>
      </c>
      <c r="F1107" s="212" t="s">
        <v>138</v>
      </c>
      <c r="G1107" s="212" t="s">
        <v>139</v>
      </c>
      <c r="H1107" s="212" t="s">
        <v>140</v>
      </c>
      <c r="I1107" s="212" t="s">
        <v>141</v>
      </c>
      <c r="J1107" s="212" t="s">
        <v>105</v>
      </c>
      <c r="K1107" s="212" t="s">
        <v>106</v>
      </c>
      <c r="L1107" s="212" t="s">
        <v>107</v>
      </c>
      <c r="M1107" s="213">
        <f t="shared" si="237"/>
        <v>16</v>
      </c>
      <c r="N1107" s="441" cm="1">
        <f t="array" ref="N1107">IF(TRIM(K1107)="Mano de Obra",IF(Formulario!$L$23&lt;&gt;"",Formulario!$L$23,IFERROR(VLOOKUP(TRIM($M$4),Jornalesdeppto!A:C,3,0),"")),_xlfn.XLOOKUP(1,(Tabla_Costos_Insumos!$A$2:$A$3199=TRIM($M$4))*(Tabla_Costos_Insumos!$C$2:$C$3199=TRIM(K1107)),Tabla_Costos_Insumos!$E$2:$E$3199,"",0))</f>
        <v>46666.666666666664</v>
      </c>
      <c r="O1107" s="441">
        <f t="shared" si="236"/>
        <v>746666.66666666663</v>
      </c>
      <c r="P1107" s="212" t="str">
        <f t="shared" si="235"/>
        <v>Naranja Valencia</v>
      </c>
      <c r="Q1107" s="212"/>
      <c r="R1107" s="212">
        <v>1</v>
      </c>
      <c r="S1107" s="212">
        <f t="shared" si="238"/>
        <v>3.2083333333333335</v>
      </c>
      <c r="T1107" s="212" cm="1">
        <f t="array" ref="T1107">_xlfn.IFS($D$5&lt;=7, 1.1, $D$5&lt;=12,1.2, $D$5&lt;=25, 1.3, $D$5&gt;25,1.4)</f>
        <v>1.3</v>
      </c>
      <c r="U1107" s="212"/>
      <c r="V1107" s="212"/>
      <c r="W1107" s="212"/>
      <c r="X1107" s="214">
        <v>12</v>
      </c>
    </row>
    <row r="1108" spans="1:24" ht="15">
      <c r="A1108" s="211" t="s">
        <v>4062</v>
      </c>
      <c r="B1108" s="225" t="s">
        <v>4063</v>
      </c>
      <c r="C1108" s="212" t="s">
        <v>69</v>
      </c>
      <c r="D1108" s="212" t="s">
        <v>99</v>
      </c>
      <c r="E1108" s="212" t="s">
        <v>100</v>
      </c>
      <c r="F1108" s="212" t="s">
        <v>138</v>
      </c>
      <c r="G1108" s="212" t="s">
        <v>139</v>
      </c>
      <c r="H1108" s="212" t="s">
        <v>143</v>
      </c>
      <c r="I1108" s="212" t="s">
        <v>144</v>
      </c>
      <c r="J1108" s="212" t="s">
        <v>105</v>
      </c>
      <c r="K1108" s="212" t="s">
        <v>106</v>
      </c>
      <c r="L1108" s="212" t="s">
        <v>107</v>
      </c>
      <c r="M1108" s="213">
        <f t="shared" si="237"/>
        <v>65</v>
      </c>
      <c r="N1108" s="441" cm="1">
        <f t="array" ref="N1108">IF(TRIM(K1108)="Mano de Obra",IF(Formulario!$L$23&lt;&gt;"",Formulario!$L$23,IFERROR(VLOOKUP(TRIM($M$4),Jornalesdeppto!A:C,3,0),"")),_xlfn.XLOOKUP(1,(Tabla_Costos_Insumos!$A$2:$A$3199=TRIM($M$4))*(Tabla_Costos_Insumos!$C$2:$C$3199=TRIM(K1108)),Tabla_Costos_Insumos!$E$2:$E$3199,"",0))</f>
        <v>46666.666666666664</v>
      </c>
      <c r="O1108" s="441">
        <f t="shared" si="236"/>
        <v>3033333.333333333</v>
      </c>
      <c r="P1108" s="212" t="str">
        <f t="shared" si="235"/>
        <v>Naranja Valencia</v>
      </c>
      <c r="Q1108" s="212"/>
      <c r="R1108" s="212">
        <v>4.0999999999999996</v>
      </c>
      <c r="S1108" s="212">
        <f t="shared" si="238"/>
        <v>13.154166666666665</v>
      </c>
      <c r="T1108" s="212" cm="1">
        <f t="array" ref="T1108">_xlfn.IFS($D$5&lt;=7, 1.1, $D$5&lt;=12,1.2, $D$5&lt;=25, 1.3, $D$5&gt;25,1.4)</f>
        <v>1.3</v>
      </c>
      <c r="U1108" s="212"/>
      <c r="V1108" s="212"/>
      <c r="W1108" s="212"/>
      <c r="X1108" s="214">
        <v>50</v>
      </c>
    </row>
    <row r="1109" spans="1:24" ht="15">
      <c r="A1109" s="211" t="s">
        <v>4062</v>
      </c>
      <c r="B1109" s="225" t="s">
        <v>4063</v>
      </c>
      <c r="C1109" s="212" t="s">
        <v>69</v>
      </c>
      <c r="D1109" s="212" t="s">
        <v>99</v>
      </c>
      <c r="E1109" s="212" t="s">
        <v>100</v>
      </c>
      <c r="F1109" s="212" t="s">
        <v>138</v>
      </c>
      <c r="G1109" s="212" t="s">
        <v>131</v>
      </c>
      <c r="H1109" s="212" t="s">
        <v>165</v>
      </c>
      <c r="I1109" s="212" t="s">
        <v>153</v>
      </c>
      <c r="J1109" s="212" t="s">
        <v>149</v>
      </c>
      <c r="K1109" s="212" t="s">
        <v>4110</v>
      </c>
      <c r="L1109" s="212" t="s">
        <v>151</v>
      </c>
      <c r="M1109" s="213">
        <v>4</v>
      </c>
      <c r="N1109" s="441" cm="1">
        <f t="array" ref="N1109">IF(TRIM(K1109)="Mano de Obra",IF(Formulario!$L$23&lt;&gt;"",Formulario!$L$23,IFERROR(VLOOKUP(TRIM($M$4),Jornalesdeppto!A:C,3,0),"")),_xlfn.XLOOKUP(1,(Tabla_Costos_Insumos!$A$2:$A$3199=TRIM($M$4))*(Tabla_Costos_Insumos!$C$2:$C$3199=TRIM(K1109)),Tabla_Costos_Insumos!$E$2:$E$3199,"",0))</f>
        <v>125849.2424242409</v>
      </c>
      <c r="O1109" s="441">
        <f t="shared" si="236"/>
        <v>503396.96969696361</v>
      </c>
      <c r="P1109" s="212" t="str">
        <f t="shared" si="235"/>
        <v>Naranja Valencia</v>
      </c>
      <c r="Q1109" s="212"/>
      <c r="R1109" s="212"/>
      <c r="S1109" s="212"/>
      <c r="T1109" s="212"/>
      <c r="U1109" s="212"/>
      <c r="V1109" s="212"/>
      <c r="W1109" s="212"/>
      <c r="X1109" s="214"/>
    </row>
    <row r="1110" spans="1:24" ht="15">
      <c r="A1110" s="211" t="s">
        <v>4062</v>
      </c>
      <c r="B1110" s="225" t="s">
        <v>4063</v>
      </c>
      <c r="C1110" s="212" t="s">
        <v>69</v>
      </c>
      <c r="D1110" s="212" t="s">
        <v>145</v>
      </c>
      <c r="E1110" s="212" t="s">
        <v>146</v>
      </c>
      <c r="F1110" s="212" t="s">
        <v>147</v>
      </c>
      <c r="G1110" s="212" t="s">
        <v>131</v>
      </c>
      <c r="H1110" s="212" t="s">
        <v>152</v>
      </c>
      <c r="I1110" s="212" t="s">
        <v>4143</v>
      </c>
      <c r="J1110" s="212" t="s">
        <v>149</v>
      </c>
      <c r="K1110" s="212" t="s">
        <v>150</v>
      </c>
      <c r="L1110" s="212" t="s">
        <v>151</v>
      </c>
      <c r="M1110" s="213">
        <v>3</v>
      </c>
      <c r="N1110" s="441" cm="1">
        <f t="array" ref="N1110">IF(TRIM(K1110)="Mano de Obra",IF(Formulario!$L$23&lt;&gt;"",Formulario!$L$23,IFERROR(VLOOKUP(TRIM($M$4),Jornalesdeppto!A:C,3,0),"")),_xlfn.XLOOKUP(1,(Tabla_Costos_Insumos!$A$2:$A$3199=TRIM($M$4))*(Tabla_Costos_Insumos!$C$2:$C$3199=TRIM(K1110)),Tabla_Costos_Insumos!$E$2:$E$3199,"",0))</f>
        <v>198055.68333333</v>
      </c>
      <c r="O1110" s="441">
        <f t="shared" si="236"/>
        <v>594167.04999999003</v>
      </c>
      <c r="P1110" s="212" t="str">
        <f t="shared" si="235"/>
        <v>Naranja Valencia</v>
      </c>
      <c r="Q1110" s="212"/>
      <c r="R1110" s="212"/>
      <c r="S1110" s="212"/>
      <c r="T1110" s="212"/>
      <c r="U1110" s="212"/>
      <c r="V1110" s="212"/>
      <c r="W1110" s="212"/>
      <c r="X1110" s="214"/>
    </row>
    <row r="1111" spans="1:24" ht="15">
      <c r="A1111" s="211" t="s">
        <v>4062</v>
      </c>
      <c r="B1111" s="225" t="s">
        <v>4063</v>
      </c>
      <c r="C1111" s="212" t="s">
        <v>69</v>
      </c>
      <c r="D1111" s="212" t="s">
        <v>145</v>
      </c>
      <c r="E1111" s="212" t="s">
        <v>146</v>
      </c>
      <c r="F1111" s="212" t="s">
        <v>147</v>
      </c>
      <c r="G1111" s="212" t="s">
        <v>131</v>
      </c>
      <c r="H1111" s="212" t="s">
        <v>154</v>
      </c>
      <c r="I1111" s="212" t="s">
        <v>155</v>
      </c>
      <c r="J1111" s="212" t="s">
        <v>149</v>
      </c>
      <c r="K1111" s="212" t="s">
        <v>156</v>
      </c>
      <c r="L1111" s="212" t="s">
        <v>151</v>
      </c>
      <c r="M1111" s="213">
        <v>5</v>
      </c>
      <c r="N1111" s="441" cm="1">
        <f t="array" ref="N1111">IF(TRIM(K1111)="Mano de Obra",IF(Formulario!$L$23&lt;&gt;"",Formulario!$L$23,IFERROR(VLOOKUP(TRIM($M$4),Jornalesdeppto!A:C,3,0),"")),_xlfn.XLOOKUP(1,(Tabla_Costos_Insumos!$A$2:$A$3199=TRIM($M$4))*(Tabla_Costos_Insumos!$C$2:$C$3199=TRIM(K1111)),Tabla_Costos_Insumos!$E$2:$E$3199,"",0))</f>
        <v>17212.5</v>
      </c>
      <c r="O1111" s="441">
        <f t="shared" si="236"/>
        <v>86062.5</v>
      </c>
      <c r="P1111" s="212" t="str">
        <f t="shared" si="235"/>
        <v>Naranja Valencia</v>
      </c>
      <c r="Q1111" s="212"/>
      <c r="R1111" s="212"/>
      <c r="S1111" s="212"/>
      <c r="T1111" s="212"/>
      <c r="U1111" s="212"/>
      <c r="V1111" s="212"/>
      <c r="W1111" s="212"/>
      <c r="X1111" s="214"/>
    </row>
    <row r="1112" spans="1:24" ht="15">
      <c r="A1112" s="211" t="s">
        <v>4062</v>
      </c>
      <c r="B1112" s="225" t="s">
        <v>4063</v>
      </c>
      <c r="C1112" s="212" t="s">
        <v>69</v>
      </c>
      <c r="D1112" s="212" t="s">
        <v>145</v>
      </c>
      <c r="E1112" s="212" t="s">
        <v>146</v>
      </c>
      <c r="F1112" s="212" t="s">
        <v>147</v>
      </c>
      <c r="G1112" s="212" t="s">
        <v>131</v>
      </c>
      <c r="H1112" s="212" t="s">
        <v>157</v>
      </c>
      <c r="I1112" s="212" t="s">
        <v>158</v>
      </c>
      <c r="J1112" s="212" t="s">
        <v>149</v>
      </c>
      <c r="K1112" s="212" t="s">
        <v>237</v>
      </c>
      <c r="L1112" s="212" t="s">
        <v>172</v>
      </c>
      <c r="M1112" s="213">
        <v>3</v>
      </c>
      <c r="N1112" s="441" cm="1">
        <f t="array" ref="N1112">IF(TRIM(K1112)="Mano de Obra",IF(Formulario!$L$23&lt;&gt;"",Formulario!$L$23,IFERROR(VLOOKUP(TRIM($M$4),Jornalesdeppto!A:C,3,0),"")),_xlfn.XLOOKUP(1,(Tabla_Costos_Insumos!$A$2:$A$3199=TRIM($M$4))*(Tabla_Costos_Insumos!$C$2:$C$3199=TRIM(K1112)),Tabla_Costos_Insumos!$E$2:$E$3199,"",0))</f>
        <v>26190.48</v>
      </c>
      <c r="O1112" s="441">
        <f t="shared" si="236"/>
        <v>78571.44</v>
      </c>
      <c r="P1112" s="212" t="str">
        <f t="shared" si="235"/>
        <v>Naranja Valencia</v>
      </c>
      <c r="Q1112" s="212"/>
      <c r="R1112" s="212"/>
      <c r="S1112" s="212"/>
      <c r="T1112" s="212"/>
      <c r="U1112" s="212"/>
      <c r="V1112" s="212"/>
      <c r="W1112" s="212"/>
      <c r="X1112" s="214"/>
    </row>
    <row r="1113" spans="1:24" ht="15">
      <c r="A1113" s="211" t="s">
        <v>4062</v>
      </c>
      <c r="B1113" s="225" t="s">
        <v>4063</v>
      </c>
      <c r="C1113" s="212" t="s">
        <v>69</v>
      </c>
      <c r="D1113" s="212" t="s">
        <v>145</v>
      </c>
      <c r="E1113" s="212" t="s">
        <v>146</v>
      </c>
      <c r="F1113" s="212" t="s">
        <v>147</v>
      </c>
      <c r="G1113" s="212" t="s">
        <v>131</v>
      </c>
      <c r="H1113" s="212" t="s">
        <v>161</v>
      </c>
      <c r="I1113" s="212" t="s">
        <v>162</v>
      </c>
      <c r="J1113" s="212" t="s">
        <v>149</v>
      </c>
      <c r="K1113" s="212" t="s">
        <v>163</v>
      </c>
      <c r="L1113" s="212" t="s">
        <v>164</v>
      </c>
      <c r="M1113" s="213">
        <v>2</v>
      </c>
      <c r="N1113" s="441" cm="1">
        <f t="array" ref="N1113">IF(TRIM(K1113)="Mano de Obra",IF(Formulario!$L$23&lt;&gt;"",Formulario!$L$23,IFERROR(VLOOKUP(TRIM($M$4),Jornalesdeppto!A:C,3,0),"")),_xlfn.XLOOKUP(1,(Tabla_Costos_Insumos!$A$2:$A$3199=TRIM($M$4))*(Tabla_Costos_Insumos!$C$2:$C$3199=TRIM(K1113)),Tabla_Costos_Insumos!$E$2:$E$3199,"",0))</f>
        <v>128084.44444445</v>
      </c>
      <c r="O1113" s="441">
        <f t="shared" si="236"/>
        <v>256168.88888889999</v>
      </c>
      <c r="P1113" s="212" t="str">
        <f t="shared" si="235"/>
        <v>Naranja Valencia</v>
      </c>
      <c r="Q1113" s="212"/>
      <c r="R1113" s="212"/>
      <c r="S1113" s="212"/>
      <c r="T1113" s="212"/>
      <c r="U1113" s="212"/>
      <c r="V1113" s="212"/>
      <c r="W1113" s="212"/>
      <c r="X1113" s="214"/>
    </row>
    <row r="1114" spans="1:24" ht="15">
      <c r="A1114" s="211" t="s">
        <v>4062</v>
      </c>
      <c r="B1114" s="225" t="s">
        <v>4063</v>
      </c>
      <c r="C1114" s="212" t="s">
        <v>69</v>
      </c>
      <c r="D1114" s="212" t="s">
        <v>145</v>
      </c>
      <c r="E1114" s="212" t="s">
        <v>146</v>
      </c>
      <c r="F1114" s="212" t="s">
        <v>147</v>
      </c>
      <c r="G1114" s="212" t="s">
        <v>131</v>
      </c>
      <c r="H1114" s="212" t="s">
        <v>165</v>
      </c>
      <c r="I1114" s="212" t="s">
        <v>153</v>
      </c>
      <c r="J1114" s="212" t="s">
        <v>149</v>
      </c>
      <c r="K1114" s="212" t="s">
        <v>166</v>
      </c>
      <c r="L1114" s="212" t="s">
        <v>151</v>
      </c>
      <c r="M1114" s="213">
        <v>7</v>
      </c>
      <c r="N1114" s="441" cm="1">
        <f t="array" ref="N1114">IF(TRIM(K1114)="Mano de Obra",IF(Formulario!$L$23&lt;&gt;"",Formulario!$L$23,IFERROR(VLOOKUP(TRIM($M$4),Jornalesdeppto!A:C,3,0),"")),_xlfn.XLOOKUP(1,(Tabla_Costos_Insumos!$A$2:$A$3199=TRIM($M$4))*(Tabla_Costos_Insumos!$C$2:$C$3199=TRIM(K1114)),Tabla_Costos_Insumos!$E$2:$E$3199,"",0))</f>
        <v>110000</v>
      </c>
      <c r="O1114" s="441">
        <f t="shared" si="236"/>
        <v>770000</v>
      </c>
      <c r="P1114" s="212" t="str">
        <f t="shared" si="235"/>
        <v>Naranja Valencia</v>
      </c>
      <c r="Q1114" s="212"/>
      <c r="R1114" s="212"/>
      <c r="S1114" s="212"/>
      <c r="T1114" s="212"/>
      <c r="U1114" s="212"/>
      <c r="V1114" s="212"/>
      <c r="W1114" s="212"/>
      <c r="X1114" s="214"/>
    </row>
    <row r="1115" spans="1:24" ht="15">
      <c r="A1115" s="211" t="s">
        <v>4062</v>
      </c>
      <c r="B1115" s="225" t="s">
        <v>4063</v>
      </c>
      <c r="C1115" s="212" t="s">
        <v>69</v>
      </c>
      <c r="D1115" s="212" t="s">
        <v>145</v>
      </c>
      <c r="E1115" s="212" t="s">
        <v>146</v>
      </c>
      <c r="F1115" s="212" t="s">
        <v>167</v>
      </c>
      <c r="G1115" s="212" t="s">
        <v>118</v>
      </c>
      <c r="H1115" s="212" t="s">
        <v>168</v>
      </c>
      <c r="I1115" s="212" t="s">
        <v>169</v>
      </c>
      <c r="J1115" s="212" t="s">
        <v>170</v>
      </c>
      <c r="K1115" s="212" t="s">
        <v>260</v>
      </c>
      <c r="L1115" s="212" t="s">
        <v>268</v>
      </c>
      <c r="M1115" s="213">
        <v>24</v>
      </c>
      <c r="N1115" s="441" cm="1">
        <f t="array" ref="N1115">IF(TRIM(K1115)="Mano de Obra",IF(Formulario!$L$23&lt;&gt;"",Formulario!$L$23,IFERROR(VLOOKUP(TRIM($M$4),Jornalesdeppto!A:C,3,0),"")),_xlfn.XLOOKUP(1,(Tabla_Costos_Insumos!$A$2:$A$3199=TRIM($M$4))*(Tabla_Costos_Insumos!$C$2:$C$3199=TRIM(K1115)),Tabla_Costos_Insumos!$E$2:$E$3199,"",0))</f>
        <v>25534.226046466123</v>
      </c>
      <c r="O1115" s="441">
        <f t="shared" si="236"/>
        <v>612821.42511518695</v>
      </c>
      <c r="P1115" s="212" t="str">
        <f t="shared" si="235"/>
        <v>Naranja Valencia</v>
      </c>
      <c r="Q1115" s="212"/>
      <c r="R1115" s="212"/>
      <c r="S1115" s="212"/>
      <c r="T1115" s="212"/>
      <c r="U1115" s="212"/>
      <c r="V1115" s="212"/>
      <c r="W1115" s="212"/>
      <c r="X1115" s="214"/>
    </row>
    <row r="1116" spans="1:24" ht="15">
      <c r="A1116" s="211" t="s">
        <v>4062</v>
      </c>
      <c r="B1116" s="225" t="s">
        <v>4063</v>
      </c>
      <c r="C1116" s="212" t="s">
        <v>69</v>
      </c>
      <c r="D1116" s="212" t="s">
        <v>145</v>
      </c>
      <c r="E1116" s="212" t="s">
        <v>146</v>
      </c>
      <c r="F1116" s="212" t="s">
        <v>167</v>
      </c>
      <c r="G1116" s="212" t="s">
        <v>118</v>
      </c>
      <c r="H1116" s="212" t="s">
        <v>168</v>
      </c>
      <c r="I1116" s="212" t="s">
        <v>169</v>
      </c>
      <c r="J1116" s="212" t="s">
        <v>170</v>
      </c>
      <c r="K1116" s="212" t="s">
        <v>251</v>
      </c>
      <c r="L1116" s="212" t="s">
        <v>226</v>
      </c>
      <c r="M1116" s="213">
        <v>5</v>
      </c>
      <c r="N1116" s="441" cm="1">
        <f t="array" ref="N1116">IF(TRIM(K1116)="Mano de Obra",IF(Formulario!$L$23&lt;&gt;"",Formulario!$L$23,IFERROR(VLOOKUP(TRIM($M$4),Jornalesdeppto!A:C,3,0),"")),_xlfn.XLOOKUP(1,(Tabla_Costos_Insumos!$A$2:$A$3199=TRIM($M$4))*(Tabla_Costos_Insumos!$C$2:$C$3199=TRIM(K1116)),Tabla_Costos_Insumos!$E$2:$E$3199,"",0))</f>
        <v>61445.54</v>
      </c>
      <c r="O1116" s="441">
        <f t="shared" si="236"/>
        <v>307227.7</v>
      </c>
      <c r="P1116" s="212" t="str">
        <f t="shared" si="235"/>
        <v>Naranja Valencia</v>
      </c>
      <c r="Q1116" s="212"/>
      <c r="R1116" s="212"/>
      <c r="S1116" s="212"/>
      <c r="T1116" s="212"/>
      <c r="U1116" s="212"/>
      <c r="V1116" s="212"/>
      <c r="W1116" s="212"/>
      <c r="X1116" s="214"/>
    </row>
    <row r="1117" spans="1:24" ht="15">
      <c r="A1117" s="211" t="s">
        <v>4062</v>
      </c>
      <c r="B1117" s="225" t="s">
        <v>4063</v>
      </c>
      <c r="C1117" s="212" t="s">
        <v>69</v>
      </c>
      <c r="D1117" s="212" t="s">
        <v>145</v>
      </c>
      <c r="E1117" s="212" t="s">
        <v>146</v>
      </c>
      <c r="F1117" s="212" t="s">
        <v>167</v>
      </c>
      <c r="G1117" s="212" t="s">
        <v>118</v>
      </c>
      <c r="H1117" s="212" t="s">
        <v>174</v>
      </c>
      <c r="I1117" s="212" t="s">
        <v>175</v>
      </c>
      <c r="J1117" s="212" t="s">
        <v>176</v>
      </c>
      <c r="K1117" s="212" t="s">
        <v>231</v>
      </c>
      <c r="L1117" s="212" t="s">
        <v>172</v>
      </c>
      <c r="M1117" s="213">
        <v>4</v>
      </c>
      <c r="N1117" s="441" cm="1">
        <f t="array" ref="N1117">IF(TRIM(K1117)="Mano de Obra",IF(Formulario!$L$23&lt;&gt;"",Formulario!$L$23,IFERROR(VLOOKUP(TRIM($M$4),Jornalesdeppto!A:C,3,0),"")),_xlfn.XLOOKUP(1,(Tabla_Costos_Insumos!$A$2:$A$3199=TRIM($M$4))*(Tabla_Costos_Insumos!$C$2:$C$3199=TRIM(K1117)),Tabla_Costos_Insumos!$E$2:$E$3199,"",0))</f>
        <v>23177.15</v>
      </c>
      <c r="O1117" s="441">
        <f t="shared" si="236"/>
        <v>92708.6</v>
      </c>
      <c r="P1117" s="212" t="str">
        <f t="shared" si="235"/>
        <v>Naranja Valencia</v>
      </c>
      <c r="Q1117" s="212"/>
      <c r="R1117" s="212"/>
      <c r="S1117" s="212"/>
      <c r="T1117" s="212"/>
      <c r="U1117" s="212"/>
      <c r="V1117" s="212"/>
      <c r="W1117" s="212"/>
      <c r="X1117" s="214"/>
    </row>
    <row r="1118" spans="1:24" ht="15">
      <c r="A1118" s="211" t="s">
        <v>4062</v>
      </c>
      <c r="B1118" s="225" t="s">
        <v>4063</v>
      </c>
      <c r="C1118" s="212" t="s">
        <v>69</v>
      </c>
      <c r="D1118" s="212" t="s">
        <v>145</v>
      </c>
      <c r="E1118" s="212" t="s">
        <v>146</v>
      </c>
      <c r="F1118" s="212" t="s">
        <v>167</v>
      </c>
      <c r="G1118" s="212" t="s">
        <v>118</v>
      </c>
      <c r="H1118" s="212" t="s">
        <v>178</v>
      </c>
      <c r="I1118" s="212" t="s">
        <v>179</v>
      </c>
      <c r="J1118" s="212" t="s">
        <v>180</v>
      </c>
      <c r="K1118" s="212" t="s">
        <v>263</v>
      </c>
      <c r="L1118" s="212" t="s">
        <v>172</v>
      </c>
      <c r="M1118" s="213">
        <v>3</v>
      </c>
      <c r="N1118" s="441" cm="1">
        <f t="array" ref="N1118">IF(TRIM(K1118)="Mano de Obra",IF(Formulario!$L$23&lt;&gt;"",Formulario!$L$23,IFERROR(VLOOKUP(TRIM($M$4),Jornalesdeppto!A:C,3,0),"")),_xlfn.XLOOKUP(1,(Tabla_Costos_Insumos!$A$2:$A$3199=TRIM($M$4))*(Tabla_Costos_Insumos!$C$2:$C$3199=TRIM(K1118)),Tabla_Costos_Insumos!$E$2:$E$3199,"",0))</f>
        <v>210423.61</v>
      </c>
      <c r="O1118" s="441">
        <f t="shared" si="236"/>
        <v>631270.82999999996</v>
      </c>
      <c r="P1118" s="212" t="str">
        <f t="shared" si="235"/>
        <v>Naranja Valencia</v>
      </c>
      <c r="Q1118" s="212"/>
      <c r="R1118" s="212"/>
      <c r="S1118" s="212"/>
      <c r="T1118" s="212"/>
      <c r="U1118" s="212"/>
      <c r="V1118" s="212"/>
      <c r="W1118" s="212"/>
      <c r="X1118" s="214"/>
    </row>
    <row r="1119" spans="1:24" ht="15">
      <c r="A1119" s="211" t="s">
        <v>4062</v>
      </c>
      <c r="B1119" s="225" t="s">
        <v>4063</v>
      </c>
      <c r="C1119" s="212" t="s">
        <v>69</v>
      </c>
      <c r="D1119" s="212" t="s">
        <v>145</v>
      </c>
      <c r="E1119" s="212" t="s">
        <v>146</v>
      </c>
      <c r="F1119" s="212" t="s">
        <v>167</v>
      </c>
      <c r="G1119" s="212" t="s">
        <v>118</v>
      </c>
      <c r="H1119" s="212" t="s">
        <v>178</v>
      </c>
      <c r="I1119" s="212" t="s">
        <v>179</v>
      </c>
      <c r="J1119" s="212" t="s">
        <v>180</v>
      </c>
      <c r="K1119" s="212" t="s">
        <v>181</v>
      </c>
      <c r="L1119" s="212" t="s">
        <v>172</v>
      </c>
      <c r="M1119" s="213">
        <v>9</v>
      </c>
      <c r="N1119" s="441" cm="1">
        <f t="array" ref="N1119">IF(TRIM(K1119)="Mano de Obra",IF(Formulario!$L$23&lt;&gt;"",Formulario!$L$23,IFERROR(VLOOKUP(TRIM($M$4),Jornalesdeppto!A:C,3,0),"")),_xlfn.XLOOKUP(1,(Tabla_Costos_Insumos!$A$2:$A$3199=TRIM($M$4))*(Tabla_Costos_Insumos!$C$2:$C$3199=TRIM(K1119)),Tabla_Costos_Insumos!$E$2:$E$3199,"",0))</f>
        <v>34056.25</v>
      </c>
      <c r="O1119" s="441">
        <f t="shared" si="236"/>
        <v>306506.25</v>
      </c>
      <c r="P1119" s="212" t="str">
        <f t="shared" si="235"/>
        <v>Naranja Valencia</v>
      </c>
      <c r="Q1119" s="212"/>
      <c r="R1119" s="212"/>
      <c r="S1119" s="212"/>
      <c r="T1119" s="212"/>
      <c r="U1119" s="212"/>
      <c r="V1119" s="212"/>
      <c r="W1119" s="212"/>
      <c r="X1119" s="214"/>
    </row>
    <row r="1120" spans="1:24" ht="15">
      <c r="A1120" s="211" t="s">
        <v>4062</v>
      </c>
      <c r="B1120" s="225" t="s">
        <v>4063</v>
      </c>
      <c r="C1120" s="212" t="s">
        <v>69</v>
      </c>
      <c r="D1120" s="212" t="s">
        <v>145</v>
      </c>
      <c r="E1120" s="212" t="s">
        <v>146</v>
      </c>
      <c r="F1120" s="212" t="s">
        <v>183</v>
      </c>
      <c r="G1120" s="212" t="s">
        <v>184</v>
      </c>
      <c r="H1120" s="212" t="s">
        <v>185</v>
      </c>
      <c r="I1120" s="212" t="s">
        <v>186</v>
      </c>
      <c r="J1120" s="212" t="s">
        <v>105</v>
      </c>
      <c r="K1120" s="212" t="s">
        <v>187</v>
      </c>
      <c r="L1120" s="212" t="s">
        <v>188</v>
      </c>
      <c r="M1120" s="213">
        <v>0.1</v>
      </c>
      <c r="N1120" s="441" cm="1">
        <f t="array" ref="N1120">IF(TRIM(K1120)="Mano de Obra",IF(Formulario!$L$23&lt;&gt;"",Formulario!$L$23,IFERROR(VLOOKUP(TRIM($M$4),Jornalesdeppto!A:C,3,0),"")),_xlfn.XLOOKUP(1,(Tabla_Costos_Insumos!$A$2:$A$3199=TRIM($M$4))*(Tabla_Costos_Insumos!$C$2:$C$3199=TRIM(K1120)),Tabla_Costos_Insumos!$E$2:$E$3199,"",0))</f>
        <v>175000</v>
      </c>
      <c r="O1120" s="441">
        <f t="shared" si="236"/>
        <v>17500</v>
      </c>
      <c r="P1120" s="212" t="str">
        <f t="shared" si="235"/>
        <v>Naranja Valencia</v>
      </c>
      <c r="Q1120" s="212"/>
      <c r="R1120" s="212"/>
      <c r="S1120" s="212"/>
      <c r="T1120" s="212"/>
      <c r="U1120" s="212"/>
      <c r="V1120" s="212"/>
      <c r="W1120" s="212"/>
      <c r="X1120" s="214"/>
    </row>
    <row r="1121" spans="1:24" ht="15">
      <c r="A1121" s="211" t="s">
        <v>4062</v>
      </c>
      <c r="B1121" s="225" t="s">
        <v>4063</v>
      </c>
      <c r="C1121" s="212" t="s">
        <v>69</v>
      </c>
      <c r="D1121" s="212" t="s">
        <v>189</v>
      </c>
      <c r="E1121" s="212" t="s">
        <v>190</v>
      </c>
      <c r="F1121" s="212" t="s">
        <v>191</v>
      </c>
      <c r="G1121" s="212" t="s">
        <v>192</v>
      </c>
      <c r="H1121" s="212" t="s">
        <v>193</v>
      </c>
      <c r="I1121" s="212" t="s">
        <v>194</v>
      </c>
      <c r="J1121" s="212" t="s">
        <v>195</v>
      </c>
      <c r="K1121" s="212" t="s">
        <v>196</v>
      </c>
      <c r="L1121" s="212" t="s">
        <v>197</v>
      </c>
      <c r="M1121" s="213">
        <v>1</v>
      </c>
      <c r="N1121" s="441">
        <f>IFERROR(SUM(O1103:$O$1120)*0.08,0)</f>
        <v>825845.4656294164</v>
      </c>
      <c r="O1121" s="441">
        <f t="shared" si="236"/>
        <v>825845.4656294164</v>
      </c>
      <c r="P1121" s="212" t="str">
        <f t="shared" si="235"/>
        <v>Naranja Valencia</v>
      </c>
      <c r="Q1121" s="212"/>
      <c r="R1121" s="212"/>
      <c r="S1121" s="212"/>
      <c r="T1121" s="212"/>
      <c r="U1121" s="212"/>
      <c r="V1121" s="212"/>
      <c r="W1121" s="212"/>
      <c r="X1121" s="214"/>
    </row>
    <row r="1122" spans="1:24" ht="15">
      <c r="A1122" s="211" t="s">
        <v>4062</v>
      </c>
      <c r="B1122" s="225" t="s">
        <v>4063</v>
      </c>
      <c r="C1122" s="212" t="s">
        <v>69</v>
      </c>
      <c r="D1122" s="212" t="s">
        <v>189</v>
      </c>
      <c r="E1122" s="212" t="s">
        <v>190</v>
      </c>
      <c r="F1122" s="212" t="s">
        <v>198</v>
      </c>
      <c r="G1122" s="212" t="s">
        <v>199</v>
      </c>
      <c r="H1122" s="212" t="s">
        <v>200</v>
      </c>
      <c r="I1122" s="212" t="s">
        <v>201</v>
      </c>
      <c r="J1122" s="212" t="s">
        <v>105</v>
      </c>
      <c r="K1122" s="212" t="s">
        <v>202</v>
      </c>
      <c r="L1122" s="212" t="s">
        <v>203</v>
      </c>
      <c r="M1122" s="213">
        <v>1</v>
      </c>
      <c r="N1122" s="441" cm="1">
        <f t="array" ref="N1122">IF(TRIM(K1122)="Mano de Obra",IF(Formulario!$L$23&lt;&gt;"",Formulario!$L$23,IFERROR(VLOOKUP(TRIM($M$4),Jornalesdeppto!A:C,3,0),"")),_xlfn.XLOOKUP(1,(Tabla_Costos_Insumos!$A$2:$A$3199=TRIM($M$4))*(Tabla_Costos_Insumos!$C$2:$C$3199=TRIM(K1122)),Tabla_Costos_Insumos!$E$2:$E$3199,"",0))</f>
        <v>120000</v>
      </c>
      <c r="O1122" s="441">
        <f t="shared" si="236"/>
        <v>120000</v>
      </c>
      <c r="P1122" s="212" t="str">
        <f t="shared" si="235"/>
        <v>Naranja Valencia</v>
      </c>
      <c r="Q1122" s="212"/>
      <c r="R1122" s="212"/>
      <c r="S1122" s="212"/>
      <c r="T1122" s="212"/>
      <c r="U1122" s="212"/>
      <c r="V1122" s="212"/>
      <c r="W1122" s="212"/>
      <c r="X1122" s="214"/>
    </row>
    <row r="1123" spans="1:24" s="3" customFormat="1" ht="15">
      <c r="A1123" s="211" t="s">
        <v>4062</v>
      </c>
      <c r="B1123" s="225" t="s">
        <v>4063</v>
      </c>
      <c r="C1123" s="212" t="s">
        <v>69</v>
      </c>
      <c r="D1123" s="212" t="s">
        <v>189</v>
      </c>
      <c r="E1123" s="212" t="s">
        <v>190</v>
      </c>
      <c r="F1123" s="212" t="s">
        <v>204</v>
      </c>
      <c r="G1123" s="212" t="s">
        <v>205</v>
      </c>
      <c r="H1123" s="212" t="s">
        <v>206</v>
      </c>
      <c r="I1123" s="212" t="s">
        <v>207</v>
      </c>
      <c r="J1123" s="212" t="s">
        <v>208</v>
      </c>
      <c r="K1123" s="212" t="s">
        <v>228</v>
      </c>
      <c r="L1123" s="212" t="s">
        <v>197</v>
      </c>
      <c r="M1123" s="213">
        <v>1</v>
      </c>
      <c r="N1123" s="441">
        <f>$J$4</f>
        <v>500000</v>
      </c>
      <c r="O1123" s="441">
        <f t="shared" si="236"/>
        <v>500000</v>
      </c>
      <c r="P1123" s="212" t="str">
        <f t="shared" si="235"/>
        <v>Naranja Valencia</v>
      </c>
      <c r="Q1123" s="212"/>
      <c r="R1123" s="212"/>
      <c r="S1123" s="212"/>
      <c r="T1123" s="212"/>
      <c r="U1123" s="212"/>
      <c r="V1123" s="212"/>
      <c r="W1123" s="212"/>
      <c r="X1123" s="214"/>
    </row>
    <row r="1124" spans="1:24" ht="15">
      <c r="A1124" s="211" t="s">
        <v>4062</v>
      </c>
      <c r="B1124" s="225" t="s">
        <v>258</v>
      </c>
      <c r="C1124" s="220" t="s">
        <v>68</v>
      </c>
      <c r="D1124" s="220" t="s">
        <v>99</v>
      </c>
      <c r="E1124" s="220" t="s">
        <v>100</v>
      </c>
      <c r="F1124" s="220" t="s">
        <v>109</v>
      </c>
      <c r="G1124" s="220" t="s">
        <v>110</v>
      </c>
      <c r="H1124" s="220" t="s">
        <v>111</v>
      </c>
      <c r="I1124" s="220" t="s">
        <v>112</v>
      </c>
      <c r="J1124" s="220" t="s">
        <v>105</v>
      </c>
      <c r="K1124" s="220" t="s">
        <v>106</v>
      </c>
      <c r="L1124" s="220" t="s">
        <v>107</v>
      </c>
      <c r="M1124" s="221">
        <f t="shared" ref="M1124:M1129" si="239">IF(W1124&lt;&gt;"", W1124, ROUNDUP(X1124*T1124, 0))</f>
        <v>6</v>
      </c>
      <c r="N1124" s="443" cm="1">
        <f t="array" ref="N1124">IF(TRIM(K1124)="Mano de Obra",IF(Formulario!$L$23&lt;&gt;"",Formulario!$L$23,IFERROR(VLOOKUP(TRIM($M$4),Jornalesdeppto!A:C,3,0),"")),_xlfn.XLOOKUP(1,(Tabla_Costos_Insumos!$A$2:$A$3199=TRIM($M$4))*(Tabla_Costos_Insumos!$C$2:$C$3199=TRIM(K1124)),Tabla_Costos_Insumos!$E$2:$E$3199,"",0))</f>
        <v>46666.666666666664</v>
      </c>
      <c r="O1124" s="443">
        <f t="shared" si="236"/>
        <v>280000</v>
      </c>
      <c r="P1124" s="212" t="str">
        <f t="shared" si="235"/>
        <v>Naranja Común</v>
      </c>
      <c r="Q1124" s="212"/>
      <c r="R1124" s="212"/>
      <c r="S1124" s="212">
        <f t="shared" ref="S1124:S1130" si="240">R1124*$I$3/480</f>
        <v>0</v>
      </c>
      <c r="T1124" s="212" cm="1">
        <f t="array" ref="T1124">_xlfn.IFS($D$5&lt;=7, 1.1, $D$5&lt;=12,1.2, $D$5&lt;=25, 1.3, $D$5&gt;25,1.4)</f>
        <v>1.3</v>
      </c>
      <c r="U1124" s="212">
        <f t="shared" ref="U1124:U1130" si="241">IFERROR(S1124*T1124,"")</f>
        <v>0</v>
      </c>
      <c r="V1124" s="212">
        <v>4</v>
      </c>
      <c r="W1124" s="212"/>
      <c r="X1124" s="214">
        <v>4</v>
      </c>
    </row>
    <row r="1125" spans="1:24" ht="15">
      <c r="A1125" s="211" t="s">
        <v>4062</v>
      </c>
      <c r="B1125" s="225" t="s">
        <v>258</v>
      </c>
      <c r="C1125" s="220" t="s">
        <v>68</v>
      </c>
      <c r="D1125" s="220" t="s">
        <v>99</v>
      </c>
      <c r="E1125" s="220" t="s">
        <v>100</v>
      </c>
      <c r="F1125" s="220" t="s">
        <v>109</v>
      </c>
      <c r="G1125" s="220" t="s">
        <v>110</v>
      </c>
      <c r="H1125" s="220" t="s">
        <v>234</v>
      </c>
      <c r="I1125" s="220" t="s">
        <v>235</v>
      </c>
      <c r="J1125" s="220" t="s">
        <v>105</v>
      </c>
      <c r="K1125" s="220" t="s">
        <v>106</v>
      </c>
      <c r="L1125" s="220" t="s">
        <v>107</v>
      </c>
      <c r="M1125" s="221">
        <f t="shared" si="239"/>
        <v>8</v>
      </c>
      <c r="N1125" s="443" cm="1">
        <f t="array" ref="N1125">IF(TRIM(K1125)="Mano de Obra",IF(Formulario!$L$23&lt;&gt;"",Formulario!$L$23,IFERROR(VLOOKUP(TRIM($M$4),Jornalesdeppto!A:C,3,0),"")),_xlfn.XLOOKUP(1,(Tabla_Costos_Insumos!$A$2:$A$3199=TRIM($M$4))*(Tabla_Costos_Insumos!$C$2:$C$3199=TRIM(K1125)),Tabla_Costos_Insumos!$E$2:$E$3199,"",0))</f>
        <v>46666.666666666664</v>
      </c>
      <c r="O1125" s="443">
        <f t="shared" si="236"/>
        <v>373333.33333333331</v>
      </c>
      <c r="P1125" s="212" t="str">
        <f t="shared" si="235"/>
        <v>Naranja Común</v>
      </c>
      <c r="Q1125" s="212"/>
      <c r="R1125" s="212">
        <v>0</v>
      </c>
      <c r="S1125" s="212">
        <f t="shared" si="240"/>
        <v>0</v>
      </c>
      <c r="T1125" s="212" cm="1">
        <f t="array" ref="T1125">_xlfn.IFS($D$5&lt;=7, 1.1, $D$5&lt;=12,1.2, $D$5&lt;=25, 1.3, $D$5&gt;25,1.4)</f>
        <v>1.3</v>
      </c>
      <c r="U1125" s="212">
        <f t="shared" si="241"/>
        <v>0</v>
      </c>
      <c r="V1125" s="212">
        <v>4</v>
      </c>
      <c r="W1125" s="212"/>
      <c r="X1125" s="214">
        <v>6</v>
      </c>
    </row>
    <row r="1126" spans="1:24" ht="15">
      <c r="A1126" s="211" t="s">
        <v>4062</v>
      </c>
      <c r="B1126" s="225" t="s">
        <v>258</v>
      </c>
      <c r="C1126" s="220" t="s">
        <v>68</v>
      </c>
      <c r="D1126" s="220" t="s">
        <v>99</v>
      </c>
      <c r="E1126" s="220" t="s">
        <v>100</v>
      </c>
      <c r="F1126" s="220" t="s">
        <v>113</v>
      </c>
      <c r="G1126" s="220" t="s">
        <v>114</v>
      </c>
      <c r="H1126" s="220" t="s">
        <v>115</v>
      </c>
      <c r="I1126" s="220" t="s">
        <v>116</v>
      </c>
      <c r="J1126" s="220" t="s">
        <v>105</v>
      </c>
      <c r="K1126" s="220" t="s">
        <v>106</v>
      </c>
      <c r="L1126" s="220" t="s">
        <v>107</v>
      </c>
      <c r="M1126" s="221">
        <f t="shared" si="239"/>
        <v>13</v>
      </c>
      <c r="N1126" s="443" cm="1">
        <f t="array" ref="N1126">IF(TRIM(K1126)="Mano de Obra",IF(Formulario!$L$23&lt;&gt;"",Formulario!$L$23,IFERROR(VLOOKUP(TRIM($M$4),Jornalesdeppto!A:C,3,0),"")),_xlfn.XLOOKUP(1,(Tabla_Costos_Insumos!$A$2:$A$3199=TRIM($M$4))*(Tabla_Costos_Insumos!$C$2:$C$3199=TRIM(K1126)),Tabla_Costos_Insumos!$E$2:$E$3199,"",0))</f>
        <v>46666.666666666664</v>
      </c>
      <c r="O1126" s="443">
        <f t="shared" si="236"/>
        <v>606666.66666666663</v>
      </c>
      <c r="P1126" s="212" t="str">
        <f t="shared" si="235"/>
        <v>Naranja Común</v>
      </c>
      <c r="Q1126" s="212"/>
      <c r="R1126" s="212">
        <v>0.4</v>
      </c>
      <c r="S1126" s="212">
        <f t="shared" si="240"/>
        <v>1.2833333333333334</v>
      </c>
      <c r="T1126" s="212" cm="1">
        <f t="array" ref="T1126">_xlfn.IFS($D$5&lt;=7, 1.1, $D$5&lt;=12,1.2, $D$5&lt;=25, 1.3, $D$5&gt;25,1.4)</f>
        <v>1.3</v>
      </c>
      <c r="U1126" s="212">
        <f t="shared" si="241"/>
        <v>1.6683333333333334</v>
      </c>
      <c r="V1126" s="212">
        <v>4</v>
      </c>
      <c r="W1126" s="212"/>
      <c r="X1126" s="214">
        <v>10</v>
      </c>
    </row>
    <row r="1127" spans="1:24" ht="15">
      <c r="A1127" s="211" t="s">
        <v>4062</v>
      </c>
      <c r="B1127" s="225" t="s">
        <v>258</v>
      </c>
      <c r="C1127" s="220" t="s">
        <v>68</v>
      </c>
      <c r="D1127" s="220" t="s">
        <v>99</v>
      </c>
      <c r="E1127" s="220" t="s">
        <v>100</v>
      </c>
      <c r="F1127" s="220" t="s">
        <v>117</v>
      </c>
      <c r="G1127" s="220" t="s">
        <v>118</v>
      </c>
      <c r="H1127" s="220" t="s">
        <v>119</v>
      </c>
      <c r="I1127" s="220" t="s">
        <v>120</v>
      </c>
      <c r="J1127" s="220" t="s">
        <v>105</v>
      </c>
      <c r="K1127" s="220" t="s">
        <v>106</v>
      </c>
      <c r="L1127" s="220" t="s">
        <v>107</v>
      </c>
      <c r="M1127" s="221">
        <f t="shared" si="239"/>
        <v>11</v>
      </c>
      <c r="N1127" s="443" cm="1">
        <f t="array" ref="N1127">IF(TRIM(K1127)="Mano de Obra",IF(Formulario!$L$23&lt;&gt;"",Formulario!$L$23,IFERROR(VLOOKUP(TRIM($M$4),Jornalesdeppto!A:C,3,0),"")),_xlfn.XLOOKUP(1,(Tabla_Costos_Insumos!$A$2:$A$3199=TRIM($M$4))*(Tabla_Costos_Insumos!$C$2:$C$3199=TRIM(K1127)),Tabla_Costos_Insumos!$E$2:$E$3199,"",0))</f>
        <v>46666.666666666664</v>
      </c>
      <c r="O1127" s="443">
        <f t="shared" si="236"/>
        <v>513333.33333333331</v>
      </c>
      <c r="P1127" s="212" t="str">
        <f t="shared" si="235"/>
        <v>Naranja Común</v>
      </c>
      <c r="Q1127" s="212"/>
      <c r="R1127" s="212">
        <v>1</v>
      </c>
      <c r="S1127" s="212">
        <f t="shared" si="240"/>
        <v>3.2083333333333335</v>
      </c>
      <c r="T1127" s="212" cm="1">
        <f t="array" ref="T1127">_xlfn.IFS($D$5&lt;=7, 1.1, $D$5&lt;=12,1.2, $D$5&lt;=25, 1.3, $D$5&gt;25,1.4)</f>
        <v>1.3</v>
      </c>
      <c r="U1127" s="212">
        <f t="shared" si="241"/>
        <v>4.1708333333333334</v>
      </c>
      <c r="V1127" s="212">
        <v>9</v>
      </c>
      <c r="W1127" s="212"/>
      <c r="X1127" s="214">
        <v>8</v>
      </c>
    </row>
    <row r="1128" spans="1:24" ht="15">
      <c r="A1128" s="211" t="s">
        <v>4062</v>
      </c>
      <c r="B1128" s="225" t="s">
        <v>258</v>
      </c>
      <c r="C1128" s="220" t="s">
        <v>68</v>
      </c>
      <c r="D1128" s="220" t="s">
        <v>99</v>
      </c>
      <c r="E1128" s="220" t="s">
        <v>100</v>
      </c>
      <c r="F1128" s="220" t="s">
        <v>117</v>
      </c>
      <c r="G1128" s="220" t="s">
        <v>118</v>
      </c>
      <c r="H1128" s="220" t="s">
        <v>121</v>
      </c>
      <c r="I1128" s="220" t="s">
        <v>122</v>
      </c>
      <c r="J1128" s="220" t="s">
        <v>105</v>
      </c>
      <c r="K1128" s="220" t="s">
        <v>106</v>
      </c>
      <c r="L1128" s="220" t="s">
        <v>107</v>
      </c>
      <c r="M1128" s="221">
        <f>IF(W1128&lt;&gt;"", W1128, ROUNDUP(X1128*T1128, 0))</f>
        <v>11</v>
      </c>
      <c r="N1128" s="443" cm="1">
        <f t="array" ref="N1128">IF(TRIM(K1128)="Mano de Obra",IF(Formulario!$L$23&lt;&gt;"",Formulario!$L$23,IFERROR(VLOOKUP(TRIM($M$4),Jornalesdeppto!A:C,3,0),"")),_xlfn.XLOOKUP(1,(Tabla_Costos_Insumos!$A$2:$A$3199=TRIM($M$4))*(Tabla_Costos_Insumos!$C$2:$C$3199=TRIM(K1128)),Tabla_Costos_Insumos!$E$2:$E$3199,"",0))</f>
        <v>46666.666666666664</v>
      </c>
      <c r="O1128" s="443">
        <f t="shared" si="236"/>
        <v>513333.33333333331</v>
      </c>
      <c r="P1128" s="212" t="str">
        <f t="shared" si="235"/>
        <v>Naranja Común</v>
      </c>
      <c r="Q1128" s="212"/>
      <c r="R1128" s="212">
        <v>3</v>
      </c>
      <c r="S1128" s="212">
        <f t="shared" si="240"/>
        <v>9.625</v>
      </c>
      <c r="T1128" s="212" cm="1">
        <f t="array" ref="T1128">_xlfn.IFS($D$5&lt;=7, 1.1, $D$5&lt;=12,1.2, $D$5&lt;=25, 1.3, $D$5&gt;25,1.4)</f>
        <v>1.3</v>
      </c>
      <c r="U1128" s="212">
        <f t="shared" si="241"/>
        <v>12.512500000000001</v>
      </c>
      <c r="V1128" s="212">
        <v>9</v>
      </c>
      <c r="W1128" s="212"/>
      <c r="X1128" s="214">
        <v>8</v>
      </c>
    </row>
    <row r="1129" spans="1:24" ht="15">
      <c r="A1129" s="211" t="s">
        <v>4062</v>
      </c>
      <c r="B1129" s="225" t="s">
        <v>258</v>
      </c>
      <c r="C1129" s="220" t="s">
        <v>68</v>
      </c>
      <c r="D1129" s="220" t="s">
        <v>99</v>
      </c>
      <c r="E1129" s="220" t="s">
        <v>100</v>
      </c>
      <c r="F1129" s="220" t="s">
        <v>123</v>
      </c>
      <c r="G1129" s="220" t="s">
        <v>124</v>
      </c>
      <c r="H1129" s="220" t="s">
        <v>125</v>
      </c>
      <c r="I1129" s="220" t="s">
        <v>126</v>
      </c>
      <c r="J1129" s="220" t="s">
        <v>105</v>
      </c>
      <c r="K1129" s="220" t="s">
        <v>106</v>
      </c>
      <c r="L1129" s="220" t="s">
        <v>107</v>
      </c>
      <c r="M1129" s="221">
        <f t="shared" si="239"/>
        <v>4</v>
      </c>
      <c r="N1129" s="443" cm="1">
        <f t="array" ref="N1129">IF(TRIM(K1129)="Mano de Obra",IF(Formulario!$L$23&lt;&gt;"",Formulario!$L$23,IFERROR(VLOOKUP(TRIM($M$4),Jornalesdeppto!A:C,3,0),"")),_xlfn.XLOOKUP(1,(Tabla_Costos_Insumos!$A$2:$A$3199=TRIM($M$4))*(Tabla_Costos_Insumos!$C$2:$C$3199=TRIM(K1129)),Tabla_Costos_Insumos!$E$2:$E$3199,"",0))</f>
        <v>46666.666666666664</v>
      </c>
      <c r="O1129" s="443">
        <f t="shared" si="236"/>
        <v>186666.66666666666</v>
      </c>
      <c r="P1129" s="212" t="str">
        <f t="shared" si="235"/>
        <v>Naranja Común</v>
      </c>
      <c r="Q1129" s="212"/>
      <c r="R1129" s="212">
        <v>4.7</v>
      </c>
      <c r="S1129" s="212">
        <f t="shared" si="240"/>
        <v>15.079166666666667</v>
      </c>
      <c r="T1129" s="212" cm="1">
        <f t="array" ref="T1129">_xlfn.IFS($D$5&lt;=7, 1.1, $D$5&lt;=12,1.2, $D$5&lt;=25, 1.3, $D$5&gt;25,1.4)</f>
        <v>1.3</v>
      </c>
      <c r="U1129" s="212">
        <f t="shared" si="241"/>
        <v>19.602916666666669</v>
      </c>
      <c r="V1129" s="212">
        <v>4</v>
      </c>
      <c r="W1129" s="212"/>
      <c r="X1129" s="214">
        <v>3</v>
      </c>
    </row>
    <row r="1130" spans="1:24" ht="15">
      <c r="A1130" s="211" t="s">
        <v>4062</v>
      </c>
      <c r="B1130" s="225" t="s">
        <v>258</v>
      </c>
      <c r="C1130" s="220" t="s">
        <v>68</v>
      </c>
      <c r="D1130" s="220" t="s">
        <v>99</v>
      </c>
      <c r="E1130" s="220" t="s">
        <v>100</v>
      </c>
      <c r="F1130" s="220" t="s">
        <v>130</v>
      </c>
      <c r="G1130" s="220" t="s">
        <v>131</v>
      </c>
      <c r="H1130" s="220" t="s">
        <v>132</v>
      </c>
      <c r="I1130" s="220" t="s">
        <v>133</v>
      </c>
      <c r="J1130" s="220" t="s">
        <v>105</v>
      </c>
      <c r="K1130" s="220" t="s">
        <v>106</v>
      </c>
      <c r="L1130" s="220" t="s">
        <v>107</v>
      </c>
      <c r="M1130" s="221">
        <f>IF(W1130&lt;&gt;"", W1130, ROUNDUP(X1130*T1130, 0))</f>
        <v>6</v>
      </c>
      <c r="N1130" s="443" cm="1">
        <f t="array" ref="N1130">IF(TRIM(K1130)="Mano de Obra",IF(Formulario!$L$23&lt;&gt;"",Formulario!$L$23,IFERROR(VLOOKUP(TRIM($M$4),Jornalesdeppto!A:C,3,0),"")),_xlfn.XLOOKUP(1,(Tabla_Costos_Insumos!$A$2:$A$3199=TRIM($M$4))*(Tabla_Costos_Insumos!$C$2:$C$3199=TRIM(K1130)),Tabla_Costos_Insumos!$E$2:$E$3199,"",0))</f>
        <v>46666.666666666664</v>
      </c>
      <c r="O1130" s="443">
        <f t="shared" si="236"/>
        <v>280000</v>
      </c>
      <c r="P1130" s="212" t="str">
        <f t="shared" si="235"/>
        <v>Naranja Común</v>
      </c>
      <c r="Q1130" s="212"/>
      <c r="R1130" s="212">
        <v>4.7</v>
      </c>
      <c r="S1130" s="212">
        <f t="shared" si="240"/>
        <v>15.079166666666667</v>
      </c>
      <c r="T1130" s="212" cm="1">
        <f t="array" ref="T1130">_xlfn.IFS($D$5&lt;=7, 1.1, $D$5&lt;=12,1.2, $D$5&lt;=25, 1.3, $D$5&gt;25,1.4)</f>
        <v>1.3</v>
      </c>
      <c r="U1130" s="212">
        <f t="shared" si="241"/>
        <v>19.602916666666669</v>
      </c>
      <c r="V1130" s="212">
        <v>4</v>
      </c>
      <c r="W1130" s="212"/>
      <c r="X1130" s="214">
        <v>4</v>
      </c>
    </row>
    <row r="1131" spans="1:24" ht="15">
      <c r="A1131" s="211" t="s">
        <v>4062</v>
      </c>
      <c r="B1131" s="225" t="s">
        <v>258</v>
      </c>
      <c r="C1131" s="220" t="s">
        <v>68</v>
      </c>
      <c r="D1131" s="220" t="s">
        <v>145</v>
      </c>
      <c r="E1131" s="220" t="s">
        <v>146</v>
      </c>
      <c r="F1131" s="220" t="s">
        <v>147</v>
      </c>
      <c r="G1131" s="220" t="s">
        <v>131</v>
      </c>
      <c r="H1131" s="220" t="s">
        <v>148</v>
      </c>
      <c r="I1131" s="220" t="s">
        <v>266</v>
      </c>
      <c r="J1131" s="220" t="s">
        <v>149</v>
      </c>
      <c r="K1131" s="220" t="s">
        <v>166</v>
      </c>
      <c r="L1131" s="220" t="s">
        <v>151</v>
      </c>
      <c r="M1131" s="221">
        <v>3</v>
      </c>
      <c r="N1131" s="443" cm="1">
        <f t="array" ref="N1131">IF(TRIM(K1131)="Mano de Obra",IF(Formulario!$L$23&lt;&gt;"",Formulario!$L$23,IFERROR(VLOOKUP(TRIM($M$4),Jornalesdeppto!A:C,3,0),"")),_xlfn.XLOOKUP(1,(Tabla_Costos_Insumos!$A$2:$A$3199=TRIM($M$4))*(Tabla_Costos_Insumos!$C$2:$C$3199=TRIM(K1131)),Tabla_Costos_Insumos!$E$2:$E$3199,"",0))</f>
        <v>110000</v>
      </c>
      <c r="O1131" s="443">
        <f t="shared" si="236"/>
        <v>330000</v>
      </c>
      <c r="P1131" s="212" t="str">
        <f t="shared" si="235"/>
        <v>Naranja Común</v>
      </c>
      <c r="Q1131" s="212"/>
      <c r="R1131" s="212"/>
      <c r="S1131" s="212"/>
      <c r="T1131" s="212"/>
      <c r="U1131" s="212"/>
      <c r="V1131" s="212"/>
      <c r="W1131" s="212"/>
      <c r="X1131" s="214"/>
    </row>
    <row r="1132" spans="1:24" ht="15">
      <c r="A1132" s="211" t="s">
        <v>4062</v>
      </c>
      <c r="B1132" s="225" t="s">
        <v>258</v>
      </c>
      <c r="C1132" s="220" t="s">
        <v>68</v>
      </c>
      <c r="D1132" s="220" t="s">
        <v>145</v>
      </c>
      <c r="E1132" s="220" t="s">
        <v>146</v>
      </c>
      <c r="F1132" s="220" t="s">
        <v>147</v>
      </c>
      <c r="G1132" s="220" t="s">
        <v>131</v>
      </c>
      <c r="H1132" s="220" t="s">
        <v>152</v>
      </c>
      <c r="I1132" s="220" t="s">
        <v>4143</v>
      </c>
      <c r="J1132" s="220" t="s">
        <v>149</v>
      </c>
      <c r="K1132" s="220" t="s">
        <v>150</v>
      </c>
      <c r="L1132" s="220" t="s">
        <v>151</v>
      </c>
      <c r="M1132" s="221">
        <v>1</v>
      </c>
      <c r="N1132" s="443" cm="1">
        <f t="array" ref="N1132">IF(TRIM(K1132)="Mano de Obra",IF(Formulario!$L$23&lt;&gt;"",Formulario!$L$23,IFERROR(VLOOKUP(TRIM($M$4),Jornalesdeppto!A:C,3,0),"")),_xlfn.XLOOKUP(1,(Tabla_Costos_Insumos!$A$2:$A$3199=TRIM($M$4))*(Tabla_Costos_Insumos!$C$2:$C$3199=TRIM(K1132)),Tabla_Costos_Insumos!$E$2:$E$3199,"",0))</f>
        <v>198055.68333333</v>
      </c>
      <c r="O1132" s="443">
        <f t="shared" si="236"/>
        <v>198055.68333333</v>
      </c>
      <c r="P1132" s="212" t="str">
        <f t="shared" si="235"/>
        <v>Naranja Común</v>
      </c>
      <c r="Q1132" s="212"/>
      <c r="R1132" s="212"/>
      <c r="S1132" s="212"/>
      <c r="T1132" s="212"/>
      <c r="U1132" s="212"/>
      <c r="V1132" s="212"/>
      <c r="W1132" s="212"/>
      <c r="X1132" s="214"/>
    </row>
    <row r="1133" spans="1:24" ht="15">
      <c r="A1133" s="211" t="s">
        <v>4062</v>
      </c>
      <c r="B1133" s="225" t="s">
        <v>258</v>
      </c>
      <c r="C1133" s="220" t="s">
        <v>68</v>
      </c>
      <c r="D1133" s="220" t="s">
        <v>145</v>
      </c>
      <c r="E1133" s="220" t="s">
        <v>146</v>
      </c>
      <c r="F1133" s="220" t="s">
        <v>147</v>
      </c>
      <c r="G1133" s="220" t="s">
        <v>131</v>
      </c>
      <c r="H1133" s="220" t="s">
        <v>154</v>
      </c>
      <c r="I1133" s="220" t="s">
        <v>155</v>
      </c>
      <c r="J1133" s="220" t="s">
        <v>149</v>
      </c>
      <c r="K1133" s="220" t="s">
        <v>156</v>
      </c>
      <c r="L1133" s="220" t="s">
        <v>151</v>
      </c>
      <c r="M1133" s="221">
        <v>5</v>
      </c>
      <c r="N1133" s="443" cm="1">
        <f t="array" ref="N1133">IF(TRIM(K1133)="Mano de Obra",IF(Formulario!$L$23&lt;&gt;"",Formulario!$L$23,IFERROR(VLOOKUP(TRIM($M$4),Jornalesdeppto!A:C,3,0),"")),_xlfn.XLOOKUP(1,(Tabla_Costos_Insumos!$A$2:$A$3199=TRIM($M$4))*(Tabla_Costos_Insumos!$C$2:$C$3199=TRIM(K1133)),Tabla_Costos_Insumos!$E$2:$E$3199,"",0))</f>
        <v>17212.5</v>
      </c>
      <c r="O1133" s="443">
        <f t="shared" si="236"/>
        <v>86062.5</v>
      </c>
      <c r="P1133" s="212" t="str">
        <f t="shared" si="235"/>
        <v>Naranja Común</v>
      </c>
      <c r="Q1133" s="212"/>
      <c r="R1133" s="212"/>
      <c r="S1133" s="212"/>
      <c r="T1133" s="212"/>
      <c r="U1133" s="212"/>
      <c r="V1133" s="212"/>
      <c r="W1133" s="212"/>
      <c r="X1133" s="214"/>
    </row>
    <row r="1134" spans="1:24" ht="15">
      <c r="A1134" s="211" t="s">
        <v>4062</v>
      </c>
      <c r="B1134" s="225" t="s">
        <v>258</v>
      </c>
      <c r="C1134" s="220" t="s">
        <v>68</v>
      </c>
      <c r="D1134" s="220" t="s">
        <v>145</v>
      </c>
      <c r="E1134" s="220" t="s">
        <v>146</v>
      </c>
      <c r="F1134" s="220" t="s">
        <v>147</v>
      </c>
      <c r="G1134" s="220" t="s">
        <v>131</v>
      </c>
      <c r="H1134" s="220" t="s">
        <v>157</v>
      </c>
      <c r="I1134" s="220" t="s">
        <v>158</v>
      </c>
      <c r="J1134" s="220" t="s">
        <v>149</v>
      </c>
      <c r="K1134" s="220" t="s">
        <v>237</v>
      </c>
      <c r="L1134" s="220" t="s">
        <v>172</v>
      </c>
      <c r="M1134" s="221">
        <v>3</v>
      </c>
      <c r="N1134" s="443" cm="1">
        <f t="array" ref="N1134">IF(TRIM(K1134)="Mano de Obra",IF(Formulario!$L$23&lt;&gt;"",Formulario!$L$23,IFERROR(VLOOKUP(TRIM($M$4),Jornalesdeppto!A:C,3,0),"")),_xlfn.XLOOKUP(1,(Tabla_Costos_Insumos!$A$2:$A$3199=TRIM($M$4))*(Tabla_Costos_Insumos!$C$2:$C$3199=TRIM(K1134)),Tabla_Costos_Insumos!$E$2:$E$3199,"",0))</f>
        <v>26190.48</v>
      </c>
      <c r="O1134" s="443">
        <f t="shared" si="236"/>
        <v>78571.44</v>
      </c>
      <c r="P1134" s="212" t="str">
        <f t="shared" si="235"/>
        <v>Naranja Común</v>
      </c>
      <c r="Q1134" s="212"/>
      <c r="R1134" s="212"/>
      <c r="S1134" s="212"/>
      <c r="T1134" s="212"/>
      <c r="U1134" s="212"/>
      <c r="V1134" s="212"/>
      <c r="W1134" s="212"/>
      <c r="X1134" s="214"/>
    </row>
    <row r="1135" spans="1:24" ht="15">
      <c r="A1135" s="211" t="s">
        <v>4062</v>
      </c>
      <c r="B1135" s="225" t="s">
        <v>258</v>
      </c>
      <c r="C1135" s="220" t="s">
        <v>68</v>
      </c>
      <c r="D1135" s="220" t="s">
        <v>145</v>
      </c>
      <c r="E1135" s="220" t="s">
        <v>146</v>
      </c>
      <c r="F1135" s="220" t="s">
        <v>147</v>
      </c>
      <c r="G1135" s="220" t="s">
        <v>131</v>
      </c>
      <c r="H1135" s="220" t="s">
        <v>161</v>
      </c>
      <c r="I1135" s="220" t="s">
        <v>162</v>
      </c>
      <c r="J1135" s="220" t="s">
        <v>149</v>
      </c>
      <c r="K1135" s="220" t="s">
        <v>163</v>
      </c>
      <c r="L1135" s="220" t="s">
        <v>164</v>
      </c>
      <c r="M1135" s="221">
        <v>2</v>
      </c>
      <c r="N1135" s="443" cm="1">
        <f t="array" ref="N1135">IF(TRIM(K1135)="Mano de Obra",IF(Formulario!$L$23&lt;&gt;"",Formulario!$L$23,IFERROR(VLOOKUP(TRIM($M$4),Jornalesdeppto!A:C,3,0),"")),_xlfn.XLOOKUP(1,(Tabla_Costos_Insumos!$A$2:$A$3199=TRIM($M$4))*(Tabla_Costos_Insumos!$C$2:$C$3199=TRIM(K1135)),Tabla_Costos_Insumos!$E$2:$E$3199,"",0))</f>
        <v>128084.44444445</v>
      </c>
      <c r="O1135" s="443">
        <f t="shared" si="236"/>
        <v>256168.88888889999</v>
      </c>
      <c r="P1135" s="212" t="str">
        <f t="shared" si="235"/>
        <v>Naranja Común</v>
      </c>
      <c r="Q1135" s="212"/>
      <c r="R1135" s="212"/>
      <c r="S1135" s="212"/>
      <c r="T1135" s="212"/>
      <c r="U1135" s="212"/>
      <c r="V1135" s="212"/>
      <c r="W1135" s="212"/>
      <c r="X1135" s="214"/>
    </row>
    <row r="1136" spans="1:24" ht="15">
      <c r="A1136" s="211" t="s">
        <v>4062</v>
      </c>
      <c r="B1136" s="225" t="s">
        <v>258</v>
      </c>
      <c r="C1136" s="220" t="s">
        <v>68</v>
      </c>
      <c r="D1136" s="220" t="s">
        <v>145</v>
      </c>
      <c r="E1136" s="220" t="s">
        <v>146</v>
      </c>
      <c r="F1136" s="220" t="s">
        <v>147</v>
      </c>
      <c r="G1136" s="220" t="s">
        <v>131</v>
      </c>
      <c r="H1136" s="220" t="s">
        <v>165</v>
      </c>
      <c r="I1136" s="220" t="s">
        <v>153</v>
      </c>
      <c r="J1136" s="220" t="s">
        <v>149</v>
      </c>
      <c r="K1136" s="220" t="s">
        <v>4110</v>
      </c>
      <c r="L1136" s="220" t="s">
        <v>151</v>
      </c>
      <c r="M1136" s="221">
        <v>3</v>
      </c>
      <c r="N1136" s="443" cm="1">
        <f t="array" ref="N1136">IF(TRIM(K1136)="Mano de Obra",IF(Formulario!$L$23&lt;&gt;"",Formulario!$L$23,IFERROR(VLOOKUP(TRIM($M$4),Jornalesdeppto!A:C,3,0),"")),_xlfn.XLOOKUP(1,(Tabla_Costos_Insumos!$A$2:$A$3199=TRIM($M$4))*(Tabla_Costos_Insumos!$C$2:$C$3199=TRIM(K1136)),Tabla_Costos_Insumos!$E$2:$E$3199,"",0))</f>
        <v>125849.2424242409</v>
      </c>
      <c r="O1136" s="443">
        <f t="shared" si="236"/>
        <v>377547.7272727227</v>
      </c>
      <c r="P1136" s="212" t="str">
        <f t="shared" si="235"/>
        <v>Naranja Común</v>
      </c>
      <c r="Q1136" s="212"/>
      <c r="R1136" s="212"/>
      <c r="S1136" s="212"/>
      <c r="T1136" s="212"/>
      <c r="U1136" s="212"/>
      <c r="V1136" s="212"/>
      <c r="W1136" s="212"/>
      <c r="X1136" s="214"/>
    </row>
    <row r="1137" spans="1:24" ht="15">
      <c r="A1137" s="211" t="s">
        <v>4062</v>
      </c>
      <c r="B1137" s="225" t="s">
        <v>258</v>
      </c>
      <c r="C1137" s="220" t="s">
        <v>68</v>
      </c>
      <c r="D1137" s="220" t="s">
        <v>145</v>
      </c>
      <c r="E1137" s="220" t="s">
        <v>146</v>
      </c>
      <c r="F1137" s="220" t="s">
        <v>167</v>
      </c>
      <c r="G1137" s="220" t="s">
        <v>118</v>
      </c>
      <c r="H1137" s="220" t="s">
        <v>168</v>
      </c>
      <c r="I1137" s="220" t="s">
        <v>169</v>
      </c>
      <c r="J1137" s="220" t="s">
        <v>170</v>
      </c>
      <c r="K1137" s="220" t="s">
        <v>173</v>
      </c>
      <c r="L1137" s="220" t="s">
        <v>172</v>
      </c>
      <c r="M1137" s="221">
        <v>5</v>
      </c>
      <c r="N1137" s="443" cm="1">
        <f t="array" ref="N1137">IF(TRIM(K1137)="Mano de Obra",IF(Formulario!$L$23&lt;&gt;"",Formulario!$L$23,IFERROR(VLOOKUP(TRIM($M$4),Jornalesdeppto!A:C,3,0),"")),_xlfn.XLOOKUP(1,(Tabla_Costos_Insumos!$A$2:$A$3199=TRIM($M$4))*(Tabla_Costos_Insumos!$C$2:$C$3199=TRIM(K1137)),Tabla_Costos_Insumos!$E$2:$E$3199,"",0))</f>
        <v>153430.65</v>
      </c>
      <c r="O1137" s="443">
        <f t="shared" si="236"/>
        <v>767153.25</v>
      </c>
      <c r="P1137" s="212" t="str">
        <f t="shared" si="235"/>
        <v>Naranja Común</v>
      </c>
      <c r="Q1137" s="212"/>
      <c r="R1137" s="212"/>
      <c r="S1137" s="212"/>
      <c r="T1137" s="212"/>
      <c r="U1137" s="212"/>
      <c r="V1137" s="212"/>
      <c r="W1137" s="212"/>
      <c r="X1137" s="214"/>
    </row>
    <row r="1138" spans="1:24" ht="15">
      <c r="A1138" s="211" t="s">
        <v>4062</v>
      </c>
      <c r="B1138" s="225" t="s">
        <v>258</v>
      </c>
      <c r="C1138" s="220" t="s">
        <v>68</v>
      </c>
      <c r="D1138" s="220" t="s">
        <v>145</v>
      </c>
      <c r="E1138" s="220" t="s">
        <v>146</v>
      </c>
      <c r="F1138" s="220" t="s">
        <v>167</v>
      </c>
      <c r="G1138" s="220" t="s">
        <v>118</v>
      </c>
      <c r="H1138" s="220" t="s">
        <v>168</v>
      </c>
      <c r="I1138" s="220" t="s">
        <v>169</v>
      </c>
      <c r="J1138" s="220" t="s">
        <v>170</v>
      </c>
      <c r="K1138" s="220" t="s">
        <v>251</v>
      </c>
      <c r="L1138" s="220" t="s">
        <v>226</v>
      </c>
      <c r="M1138" s="221">
        <v>4</v>
      </c>
      <c r="N1138" s="443" cm="1">
        <f t="array" ref="N1138">IF(TRIM(K1138)="Mano de Obra",IF(Formulario!$L$23&lt;&gt;"",Formulario!$L$23,IFERROR(VLOOKUP(TRIM($M$4),Jornalesdeppto!A:C,3,0),"")),_xlfn.XLOOKUP(1,(Tabla_Costos_Insumos!$A$2:$A$3199=TRIM($M$4))*(Tabla_Costos_Insumos!$C$2:$C$3199=TRIM(K1138)),Tabla_Costos_Insumos!$E$2:$E$3199,"",0))</f>
        <v>61445.54</v>
      </c>
      <c r="O1138" s="443">
        <f t="shared" si="236"/>
        <v>245782.16</v>
      </c>
      <c r="P1138" s="212" t="str">
        <f t="shared" si="235"/>
        <v>Naranja Común</v>
      </c>
      <c r="Q1138" s="212"/>
      <c r="R1138" s="212"/>
      <c r="S1138" s="212"/>
      <c r="T1138" s="212"/>
      <c r="U1138" s="212"/>
      <c r="V1138" s="212"/>
      <c r="W1138" s="212"/>
      <c r="X1138" s="214"/>
    </row>
    <row r="1139" spans="1:24" ht="15">
      <c r="A1139" s="211" t="s">
        <v>4062</v>
      </c>
      <c r="B1139" s="225" t="s">
        <v>258</v>
      </c>
      <c r="C1139" s="220" t="s">
        <v>68</v>
      </c>
      <c r="D1139" s="220" t="s">
        <v>145</v>
      </c>
      <c r="E1139" s="220" t="s">
        <v>146</v>
      </c>
      <c r="F1139" s="220" t="s">
        <v>167</v>
      </c>
      <c r="G1139" s="220" t="s">
        <v>118</v>
      </c>
      <c r="H1139" s="220" t="s">
        <v>174</v>
      </c>
      <c r="I1139" s="220" t="s">
        <v>175</v>
      </c>
      <c r="J1139" s="220" t="s">
        <v>176</v>
      </c>
      <c r="K1139" s="220" t="s">
        <v>231</v>
      </c>
      <c r="L1139" s="220" t="s">
        <v>172</v>
      </c>
      <c r="M1139" s="221">
        <v>2</v>
      </c>
      <c r="N1139" s="443" cm="1">
        <f t="array" ref="N1139">IF(TRIM(K1139)="Mano de Obra",IF(Formulario!$L$23&lt;&gt;"",Formulario!$L$23,IFERROR(VLOOKUP(TRIM($M$4),Jornalesdeppto!A:C,3,0),"")),_xlfn.XLOOKUP(1,(Tabla_Costos_Insumos!$A$2:$A$3199=TRIM($M$4))*(Tabla_Costos_Insumos!$C$2:$C$3199=TRIM(K1139)),Tabla_Costos_Insumos!$E$2:$E$3199,"",0))</f>
        <v>23177.15</v>
      </c>
      <c r="O1139" s="443">
        <f t="shared" si="236"/>
        <v>46354.3</v>
      </c>
      <c r="P1139" s="212" t="str">
        <f t="shared" si="235"/>
        <v>Naranja Común</v>
      </c>
      <c r="Q1139" s="212"/>
      <c r="R1139" s="212"/>
      <c r="S1139" s="212"/>
      <c r="T1139" s="212"/>
      <c r="U1139" s="212"/>
      <c r="V1139" s="212"/>
      <c r="W1139" s="212"/>
      <c r="X1139" s="214"/>
    </row>
    <row r="1140" spans="1:24" ht="15">
      <c r="A1140" s="211" t="s">
        <v>4062</v>
      </c>
      <c r="B1140" s="225" t="s">
        <v>258</v>
      </c>
      <c r="C1140" s="220" t="s">
        <v>68</v>
      </c>
      <c r="D1140" s="220" t="s">
        <v>145</v>
      </c>
      <c r="E1140" s="220" t="s">
        <v>146</v>
      </c>
      <c r="F1140" s="220" t="s">
        <v>167</v>
      </c>
      <c r="G1140" s="220" t="s">
        <v>118</v>
      </c>
      <c r="H1140" s="220" t="s">
        <v>178</v>
      </c>
      <c r="I1140" s="220" t="s">
        <v>179</v>
      </c>
      <c r="J1140" s="220" t="s">
        <v>180</v>
      </c>
      <c r="K1140" s="220" t="s">
        <v>4115</v>
      </c>
      <c r="L1140" s="220" t="s">
        <v>172</v>
      </c>
      <c r="M1140" s="221">
        <v>4</v>
      </c>
      <c r="N1140" s="443" cm="1">
        <f t="array" ref="N1140">IF(TRIM(K1140)="Mano de Obra",IF(Formulario!$L$23&lt;&gt;"",Formulario!$L$23,IFERROR(VLOOKUP(TRIM($M$4),Jornalesdeppto!A:C,3,0),"")),_xlfn.XLOOKUP(1,(Tabla_Costos_Insumos!$A$2:$A$3199=TRIM($M$4))*(Tabla_Costos_Insumos!$C$2:$C$3199=TRIM(K1140)),Tabla_Costos_Insumos!$E$2:$E$3199,"",0))</f>
        <v>66141.87</v>
      </c>
      <c r="O1140" s="443">
        <f t="shared" si="236"/>
        <v>264567.48</v>
      </c>
      <c r="P1140" s="212" t="str">
        <f t="shared" si="235"/>
        <v>Naranja Común</v>
      </c>
      <c r="Q1140" s="212"/>
      <c r="R1140" s="212"/>
      <c r="S1140" s="212"/>
      <c r="T1140" s="212"/>
      <c r="U1140" s="212"/>
      <c r="V1140" s="212"/>
      <c r="W1140" s="212"/>
      <c r="X1140" s="214"/>
    </row>
    <row r="1141" spans="1:24" ht="15">
      <c r="A1141" s="211" t="s">
        <v>4062</v>
      </c>
      <c r="B1141" s="225" t="s">
        <v>258</v>
      </c>
      <c r="C1141" s="220" t="s">
        <v>68</v>
      </c>
      <c r="D1141" s="220" t="s">
        <v>145</v>
      </c>
      <c r="E1141" s="220" t="s">
        <v>146</v>
      </c>
      <c r="F1141" s="220" t="s">
        <v>167</v>
      </c>
      <c r="G1141" s="220" t="s">
        <v>118</v>
      </c>
      <c r="H1141" s="220" t="s">
        <v>178</v>
      </c>
      <c r="I1141" s="220" t="s">
        <v>179</v>
      </c>
      <c r="J1141" s="220" t="s">
        <v>180</v>
      </c>
      <c r="K1141" s="220" t="s">
        <v>181</v>
      </c>
      <c r="L1141" s="220" t="s">
        <v>172</v>
      </c>
      <c r="M1141" s="221">
        <v>4</v>
      </c>
      <c r="N1141" s="443" cm="1">
        <f t="array" ref="N1141">IF(TRIM(K1141)="Mano de Obra",IF(Formulario!$L$23&lt;&gt;"",Formulario!$L$23,IFERROR(VLOOKUP(TRIM($M$4),Jornalesdeppto!A:C,3,0),"")),_xlfn.XLOOKUP(1,(Tabla_Costos_Insumos!$A$2:$A$3199=TRIM($M$4))*(Tabla_Costos_Insumos!$C$2:$C$3199=TRIM(K1141)),Tabla_Costos_Insumos!$E$2:$E$3199,"",0))</f>
        <v>34056.25</v>
      </c>
      <c r="O1141" s="443">
        <f t="shared" si="236"/>
        <v>136225</v>
      </c>
      <c r="P1141" s="212" t="str">
        <f t="shared" si="235"/>
        <v>Naranja Común</v>
      </c>
      <c r="Q1141" s="212"/>
      <c r="R1141" s="212"/>
      <c r="S1141" s="212"/>
      <c r="T1141" s="212"/>
      <c r="U1141" s="212"/>
      <c r="V1141" s="212"/>
      <c r="W1141" s="212"/>
      <c r="X1141" s="214"/>
    </row>
    <row r="1142" spans="1:24" ht="15">
      <c r="A1142" s="211" t="s">
        <v>4062</v>
      </c>
      <c r="B1142" s="225" t="s">
        <v>258</v>
      </c>
      <c r="C1142" s="220" t="s">
        <v>68</v>
      </c>
      <c r="D1142" s="220" t="s">
        <v>145</v>
      </c>
      <c r="E1142" s="220" t="s">
        <v>146</v>
      </c>
      <c r="F1142" s="220" t="s">
        <v>183</v>
      </c>
      <c r="G1142" s="220" t="s">
        <v>184</v>
      </c>
      <c r="H1142" s="220" t="s">
        <v>185</v>
      </c>
      <c r="I1142" s="220" t="s">
        <v>186</v>
      </c>
      <c r="J1142" s="220" t="s">
        <v>105</v>
      </c>
      <c r="K1142" s="220" t="s">
        <v>187</v>
      </c>
      <c r="L1142" s="220" t="s">
        <v>188</v>
      </c>
      <c r="M1142" s="221">
        <v>0.1</v>
      </c>
      <c r="N1142" s="443" cm="1">
        <f t="array" ref="N1142">IF(TRIM(K1142)="Mano de Obra",IF(Formulario!$L$23&lt;&gt;"",Formulario!$L$23,IFERROR(VLOOKUP(TRIM($M$4),Jornalesdeppto!A:C,3,0),"")),_xlfn.XLOOKUP(1,(Tabla_Costos_Insumos!$A$2:$A$3199=TRIM($M$4))*(Tabla_Costos_Insumos!$C$2:$C$3199=TRIM(K1142)),Tabla_Costos_Insumos!$E$2:$E$3199,"",0))</f>
        <v>175000</v>
      </c>
      <c r="O1142" s="443">
        <f t="shared" si="236"/>
        <v>17500</v>
      </c>
      <c r="P1142" s="212" t="str">
        <f t="shared" si="235"/>
        <v>Naranja Común</v>
      </c>
      <c r="Q1142" s="212"/>
      <c r="R1142" s="212"/>
      <c r="S1142" s="212"/>
      <c r="T1142" s="212"/>
      <c r="U1142" s="212"/>
      <c r="V1142" s="212"/>
      <c r="W1142" s="212"/>
      <c r="X1142" s="214"/>
    </row>
    <row r="1143" spans="1:24" ht="15">
      <c r="A1143" s="211" t="s">
        <v>4062</v>
      </c>
      <c r="B1143" s="225" t="s">
        <v>258</v>
      </c>
      <c r="C1143" s="220" t="s">
        <v>68</v>
      </c>
      <c r="D1143" s="220" t="s">
        <v>189</v>
      </c>
      <c r="E1143" s="220" t="s">
        <v>190</v>
      </c>
      <c r="F1143" s="220" t="s">
        <v>191</v>
      </c>
      <c r="G1143" s="220" t="s">
        <v>192</v>
      </c>
      <c r="H1143" s="220" t="s">
        <v>193</v>
      </c>
      <c r="I1143" s="220" t="s">
        <v>194</v>
      </c>
      <c r="J1143" s="220" t="s">
        <v>195</v>
      </c>
      <c r="K1143" s="220" t="s">
        <v>196</v>
      </c>
      <c r="L1143" s="220" t="s">
        <v>197</v>
      </c>
      <c r="M1143" s="221">
        <v>1</v>
      </c>
      <c r="N1143" s="443">
        <f>IFERROR(SUM(O1125:$O$1142)*0.08,0)</f>
        <v>422185.74102626281</v>
      </c>
      <c r="O1143" s="443">
        <f t="shared" si="236"/>
        <v>422185.74102626281</v>
      </c>
      <c r="P1143" s="212" t="str">
        <f t="shared" ref="P1143:P1206" si="242">CONCATENATE(A1143," ",B1143)</f>
        <v>Naranja Común</v>
      </c>
      <c r="Q1143" s="212"/>
      <c r="R1143" s="212"/>
      <c r="S1143" s="212"/>
      <c r="T1143" s="212"/>
      <c r="U1143" s="212"/>
      <c r="V1143" s="212"/>
      <c r="W1143" s="212"/>
      <c r="X1143" s="214"/>
    </row>
    <row r="1144" spans="1:24" ht="15">
      <c r="A1144" s="211" t="s">
        <v>4062</v>
      </c>
      <c r="B1144" s="225" t="s">
        <v>258</v>
      </c>
      <c r="C1144" s="220" t="s">
        <v>68</v>
      </c>
      <c r="D1144" s="220" t="s">
        <v>189</v>
      </c>
      <c r="E1144" s="220" t="s">
        <v>190</v>
      </c>
      <c r="F1144" s="220" t="s">
        <v>198</v>
      </c>
      <c r="G1144" s="220" t="s">
        <v>199</v>
      </c>
      <c r="H1144" s="220" t="s">
        <v>200</v>
      </c>
      <c r="I1144" s="220" t="s">
        <v>201</v>
      </c>
      <c r="J1144" s="220" t="s">
        <v>105</v>
      </c>
      <c r="K1144" s="220" t="s">
        <v>202</v>
      </c>
      <c r="L1144" s="220" t="s">
        <v>203</v>
      </c>
      <c r="M1144" s="221">
        <v>1</v>
      </c>
      <c r="N1144" s="443" cm="1">
        <f t="array" ref="N1144">IF(TRIM(K1144)="Mano de Obra",IF(Formulario!$L$23&lt;&gt;"",Formulario!$L$23,IFERROR(VLOOKUP(TRIM($M$4),Jornalesdeppto!A:C,3,0),"")),_xlfn.XLOOKUP(1,(Tabla_Costos_Insumos!$A$2:$A$3199=TRIM($M$4))*(Tabla_Costos_Insumos!$C$2:$C$3199=TRIM(K1144)),Tabla_Costos_Insumos!$E$2:$E$3199,"",0))</f>
        <v>120000</v>
      </c>
      <c r="O1144" s="443">
        <f t="shared" si="236"/>
        <v>120000</v>
      </c>
      <c r="P1144" s="212" t="str">
        <f t="shared" si="242"/>
        <v>Naranja Común</v>
      </c>
      <c r="Q1144" s="212"/>
      <c r="R1144" s="212"/>
      <c r="S1144" s="212"/>
      <c r="T1144" s="212"/>
      <c r="U1144" s="212"/>
      <c r="V1144" s="212"/>
      <c r="W1144" s="212"/>
      <c r="X1144" s="214"/>
    </row>
    <row r="1145" spans="1:24" ht="15">
      <c r="A1145" s="227" t="s">
        <v>4062</v>
      </c>
      <c r="B1145" s="228" t="s">
        <v>258</v>
      </c>
      <c r="C1145" s="229" t="s">
        <v>68</v>
      </c>
      <c r="D1145" s="229" t="s">
        <v>189</v>
      </c>
      <c r="E1145" s="229" t="s">
        <v>190</v>
      </c>
      <c r="F1145" s="229" t="s">
        <v>204</v>
      </c>
      <c r="G1145" s="229" t="s">
        <v>205</v>
      </c>
      <c r="H1145" s="229" t="s">
        <v>206</v>
      </c>
      <c r="I1145" s="229" t="s">
        <v>207</v>
      </c>
      <c r="J1145" s="229" t="s">
        <v>208</v>
      </c>
      <c r="K1145" s="229" t="s">
        <v>228</v>
      </c>
      <c r="L1145" s="229" t="s">
        <v>197</v>
      </c>
      <c r="M1145" s="230">
        <v>1</v>
      </c>
      <c r="N1145" s="444">
        <f>$J$4</f>
        <v>500000</v>
      </c>
      <c r="O1145" s="444">
        <f t="shared" si="236"/>
        <v>500000</v>
      </c>
      <c r="P1145" s="212" t="str">
        <f t="shared" si="242"/>
        <v>Naranja Común</v>
      </c>
      <c r="Q1145" s="231"/>
      <c r="R1145" s="231"/>
      <c r="S1145" s="231"/>
      <c r="T1145" s="231"/>
      <c r="U1145" s="231"/>
      <c r="V1145" s="231"/>
      <c r="W1145" s="231"/>
      <c r="X1145" s="232"/>
    </row>
    <row r="1146" spans="1:24" ht="15">
      <c r="A1146" s="379" t="s">
        <v>3766</v>
      </c>
      <c r="B1146" s="429" t="s">
        <v>98</v>
      </c>
      <c r="C1146" s="379" t="s">
        <v>4573</v>
      </c>
      <c r="D1146" s="380" t="s">
        <v>99</v>
      </c>
      <c r="E1146" s="379" t="s">
        <v>100</v>
      </c>
      <c r="F1146" s="379" t="s">
        <v>101</v>
      </c>
      <c r="G1146" s="379" t="s">
        <v>102</v>
      </c>
      <c r="H1146" s="379" t="s">
        <v>4574</v>
      </c>
      <c r="I1146" s="379" t="s">
        <v>4575</v>
      </c>
      <c r="J1146" s="379" t="s">
        <v>105</v>
      </c>
      <c r="K1146" s="379" t="s">
        <v>106</v>
      </c>
      <c r="L1146" s="379" t="s">
        <v>107</v>
      </c>
      <c r="M1146" s="216">
        <f>IF(W1146&lt;&gt;"", W1146, ROUNDUP(X1146*T1146, 0))</f>
        <v>11</v>
      </c>
      <c r="N1146" s="442" cm="1">
        <f t="array" ref="N1146">IF(TRIM(K1146)="Mano de Obra",IF(Formulario!$L$23&lt;&gt;"",Formulario!$L$23,IFERROR(VLOOKUP(TRIM($M$4),Jornalesdeppto!A:C,3,0),"")),_xlfn.XLOOKUP(1,(Tabla_Costos_Insumos!$A$2:$A$2928=TRIM($M$4))*(Tabla_Costos_Insumos!$C$2:$C$2928=TRIM(K1146)),Tabla_Costos_Insumos!$E$2:$E$2928,"",0))</f>
        <v>46666.666666666664</v>
      </c>
      <c r="O1146" s="442">
        <f>IF(OR(N1146=0,N1146=""),"",N1146*M1146)</f>
        <v>513333.33333333331</v>
      </c>
      <c r="P1146" s="212" t="str">
        <f t="shared" si="242"/>
        <v>Aguacate Hass</v>
      </c>
      <c r="Q1146" s="216"/>
      <c r="R1146" s="216"/>
      <c r="S1146" s="216"/>
      <c r="T1146" s="216" cm="1">
        <f t="array" ref="T1146">_xlfn.IFS($D$5&lt;=7, 1.1, $D$5&lt;=12,1.2, $D$5&lt;=25, 1.3, $D$5&gt;25,1.4)</f>
        <v>1.3</v>
      </c>
      <c r="U1146" s="216"/>
      <c r="V1146" s="216"/>
      <c r="W1146" s="216"/>
      <c r="X1146" s="216">
        <v>8</v>
      </c>
    </row>
    <row r="1147" spans="1:24" ht="15">
      <c r="A1147" s="379" t="s">
        <v>3766</v>
      </c>
      <c r="B1147" s="429" t="s">
        <v>98</v>
      </c>
      <c r="C1147" s="379" t="s">
        <v>4573</v>
      </c>
      <c r="D1147" s="380" t="s">
        <v>99</v>
      </c>
      <c r="E1147" s="379" t="s">
        <v>100</v>
      </c>
      <c r="F1147" s="379" t="s">
        <v>101</v>
      </c>
      <c r="G1147" s="379" t="s">
        <v>102</v>
      </c>
      <c r="H1147" s="379" t="s">
        <v>4576</v>
      </c>
      <c r="I1147" s="379" t="s">
        <v>4577</v>
      </c>
      <c r="J1147" s="379" t="s">
        <v>105</v>
      </c>
      <c r="K1147" s="379" t="s">
        <v>106</v>
      </c>
      <c r="L1147" s="379" t="s">
        <v>107</v>
      </c>
      <c r="M1147" s="216">
        <f>IF(W1147&lt;&gt;"", W1147, ROUNDUP(X1147*T1147, 0))</f>
        <v>20</v>
      </c>
      <c r="N1147" s="442" cm="1">
        <f t="array" ref="N1147">IF(TRIM(K1147)="Mano de Obra",IF(Formulario!$L$23&lt;&gt;"",Formulario!$L$23,IFERROR(VLOOKUP(TRIM($M$4),Jornalesdeppto!A:C,3,0),"")),_xlfn.XLOOKUP(1,(Tabla_Costos_Insumos!$A$2:$A$2928=TRIM($M$4))*(Tabla_Costos_Insumos!$C$2:$C$2928=TRIM(K1147)),Tabla_Costos_Insumos!$E$2:$E$2928,"",0))</f>
        <v>46666.666666666664</v>
      </c>
      <c r="O1147" s="442">
        <f>IF(OR(N1147=0,N1147=""),"",N1147*M1147)</f>
        <v>933333.33333333326</v>
      </c>
      <c r="P1147" s="212" t="str">
        <f t="shared" si="242"/>
        <v>Aguacate Hass</v>
      </c>
      <c r="Q1147" s="216"/>
      <c r="R1147" s="216"/>
      <c r="S1147" s="216"/>
      <c r="T1147" s="216" cm="1">
        <f t="array" ref="T1147">_xlfn.IFS($D$5&lt;=7, 1.1, $D$5&lt;=12,1.2, $D$5&lt;=25, 1.3, $D$5&gt;25,1.4)</f>
        <v>1.3</v>
      </c>
      <c r="U1147" s="216"/>
      <c r="V1147" s="216"/>
      <c r="W1147" s="216"/>
      <c r="X1147" s="216">
        <v>15</v>
      </c>
    </row>
    <row r="1148" spans="1:24" ht="15">
      <c r="A1148" s="381" t="s">
        <v>3766</v>
      </c>
      <c r="B1148" s="430" t="s">
        <v>98</v>
      </c>
      <c r="C1148" s="379" t="s">
        <v>4573</v>
      </c>
      <c r="D1148" s="380" t="s">
        <v>99</v>
      </c>
      <c r="E1148" s="379" t="s">
        <v>100</v>
      </c>
      <c r="F1148" s="379" t="s">
        <v>101</v>
      </c>
      <c r="G1148" s="379" t="s">
        <v>102</v>
      </c>
      <c r="H1148" s="379" t="s">
        <v>214</v>
      </c>
      <c r="I1148" s="379" t="s">
        <v>20</v>
      </c>
      <c r="J1148" s="379" t="s">
        <v>105</v>
      </c>
      <c r="K1148" s="379" t="s">
        <v>106</v>
      </c>
      <c r="L1148" s="379" t="s">
        <v>107</v>
      </c>
      <c r="M1148" s="217">
        <f>IF(W1148&lt;&gt;"", W1148, ROUNDUP(X1148*T1148, 0))</f>
        <v>7</v>
      </c>
      <c r="N1148" s="442" cm="1">
        <f t="array" ref="N1148">IF(TRIM(K1148)="Mano de Obra",IF(Formulario!$L$23&lt;&gt;"",Formulario!$L$23,IFERROR(VLOOKUP(TRIM($M$4),Jornalesdeppto!A:C,3,0),"")),_xlfn.XLOOKUP(1,(Tabla_Costos_Insumos!$A$2:$A$2928=TRIM($M$4))*(Tabla_Costos_Insumos!$C$2:$C$2928=TRIM(K1148)),Tabla_Costos_Insumos!$E$2:$E$2928,"",0))</f>
        <v>46666.666666666664</v>
      </c>
      <c r="O1148" s="442">
        <f t="shared" ref="O1148:O1149" si="243">IF(OR(N1148=0,N1148=""),"",N1148*M1148)</f>
        <v>326666.66666666663</v>
      </c>
      <c r="P1148" s="212" t="str">
        <f t="shared" si="242"/>
        <v>Aguacate Hass</v>
      </c>
      <c r="Q1148" s="212" t="s">
        <v>108</v>
      </c>
      <c r="R1148" s="212"/>
      <c r="S1148" s="212" t="str">
        <f t="shared" ref="S1148" si="244">IF($M$3="Aguacate Hass",($I$3*R1148) / 480,"")</f>
        <v/>
      </c>
      <c r="T1148" s="212" cm="1">
        <f t="array" ref="T1148">_xlfn.IFS($D$5&lt;=7, 1.1, $D$5&lt;=12,1.2, $D$5&lt;=25, 1.3, $D$5&gt;25,1.4)</f>
        <v>1.3</v>
      </c>
      <c r="U1148" s="212" t="str">
        <f t="shared" ref="U1148" si="245">IFERROR(S1148*T1148,"")</f>
        <v/>
      </c>
      <c r="V1148" s="212"/>
      <c r="W1148" s="212"/>
      <c r="X1148" s="214">
        <v>5</v>
      </c>
    </row>
    <row r="1149" spans="1:24" ht="15">
      <c r="A1149" s="381" t="s">
        <v>3766</v>
      </c>
      <c r="B1149" s="430" t="s">
        <v>98</v>
      </c>
      <c r="C1149" s="379" t="s">
        <v>4573</v>
      </c>
      <c r="D1149" s="380" t="s">
        <v>189</v>
      </c>
      <c r="E1149" s="379" t="s">
        <v>190</v>
      </c>
      <c r="F1149" s="379" t="s">
        <v>191</v>
      </c>
      <c r="G1149" s="379" t="s">
        <v>192</v>
      </c>
      <c r="H1149" s="379" t="s">
        <v>193</v>
      </c>
      <c r="I1149" s="379" t="s">
        <v>194</v>
      </c>
      <c r="J1149" s="379" t="s">
        <v>195</v>
      </c>
      <c r="K1149" s="379" t="s">
        <v>196</v>
      </c>
      <c r="L1149" s="379" t="s">
        <v>197</v>
      </c>
      <c r="M1149" s="217">
        <v>1</v>
      </c>
      <c r="N1149" s="442">
        <f>IFERROR(SUM(O1146:O1148)*0.08,0)</f>
        <v>141866.66666666666</v>
      </c>
      <c r="O1149" s="442">
        <f t="shared" si="243"/>
        <v>141866.66666666666</v>
      </c>
      <c r="P1149" s="212" t="str">
        <f t="shared" si="242"/>
        <v>Aguacate Hass</v>
      </c>
      <c r="Q1149" s="212" t="s">
        <v>142</v>
      </c>
      <c r="R1149" s="212"/>
      <c r="S1149" s="212"/>
      <c r="T1149" s="212" cm="1">
        <f t="array" ref="T1149">_xlfn.IFS($D$5&lt;=7, 1.1, $D$5&lt;=12,1.2, $D$5&lt;=25, 1.3, $D$5&gt;25,1.4)</f>
        <v>1.3</v>
      </c>
      <c r="U1149" s="212"/>
      <c r="V1149" s="212" t="s">
        <v>142</v>
      </c>
      <c r="W1149" s="212"/>
      <c r="X1149" s="213">
        <v>1</v>
      </c>
    </row>
    <row r="1150" spans="1:24" ht="15">
      <c r="A1150" s="382" t="s">
        <v>232</v>
      </c>
      <c r="B1150" s="431" t="s">
        <v>233</v>
      </c>
      <c r="C1150" s="383" t="s">
        <v>4573</v>
      </c>
      <c r="D1150" s="384" t="s">
        <v>99</v>
      </c>
      <c r="E1150" s="383" t="s">
        <v>100</v>
      </c>
      <c r="F1150" s="383" t="s">
        <v>101</v>
      </c>
      <c r="G1150" s="383" t="s">
        <v>102</v>
      </c>
      <c r="H1150" s="383" t="s">
        <v>4574</v>
      </c>
      <c r="I1150" s="383" t="s">
        <v>4575</v>
      </c>
      <c r="J1150" s="383" t="s">
        <v>105</v>
      </c>
      <c r="K1150" s="383" t="s">
        <v>106</v>
      </c>
      <c r="L1150" s="383" t="s">
        <v>107</v>
      </c>
      <c r="M1150" s="217">
        <f>IF(W1150&lt;&gt;"", W1150, ROUNDUP(X1150*T1150, 0))</f>
        <v>11</v>
      </c>
      <c r="N1150" s="442" cm="1">
        <f t="array" ref="N1150">IF(TRIM(K1150)="Mano de Obra",IF(Formulario!$L$23&lt;&gt;"",Formulario!$L$23,IFERROR(VLOOKUP(TRIM($M$4),Jornalesdeppto!A:C,3,0),"")),_xlfn.XLOOKUP(1,(Tabla_Costos_Insumos!$A$2:$A$2928=TRIM($M$4))*(Tabla_Costos_Insumos!$C$2:$C$2928=TRIM(K1150)),Tabla_Costos_Insumos!$E$2:$E$2928,"",0))</f>
        <v>46666.666666666664</v>
      </c>
      <c r="O1150" s="442">
        <f>IF(OR(N1150=0,N1150=""),"",N1150*M1150)</f>
        <v>513333.33333333331</v>
      </c>
      <c r="P1150" s="212" t="str">
        <f t="shared" si="242"/>
        <v>Cacao Criollo</v>
      </c>
      <c r="Q1150" s="212"/>
      <c r="R1150" s="212"/>
      <c r="S1150" s="212"/>
      <c r="T1150" s="212" cm="1">
        <f t="array" ref="T1150">_xlfn.IFS($D$5&lt;=7, 1.1, $D$5&lt;=12,1.2, $D$5&lt;=25, 1.3, $D$5&gt;25,1.4)</f>
        <v>1.3</v>
      </c>
      <c r="U1150" s="212"/>
      <c r="V1150" s="212"/>
      <c r="W1150" s="212"/>
      <c r="X1150" s="213">
        <v>8</v>
      </c>
    </row>
    <row r="1151" spans="1:24" ht="15">
      <c r="A1151" s="382" t="s">
        <v>232</v>
      </c>
      <c r="B1151" s="431" t="s">
        <v>233</v>
      </c>
      <c r="C1151" s="383" t="s">
        <v>4573</v>
      </c>
      <c r="D1151" s="384" t="s">
        <v>99</v>
      </c>
      <c r="E1151" s="383" t="s">
        <v>100</v>
      </c>
      <c r="F1151" s="383" t="s">
        <v>101</v>
      </c>
      <c r="G1151" s="383" t="s">
        <v>102</v>
      </c>
      <c r="H1151" s="383" t="s">
        <v>4576</v>
      </c>
      <c r="I1151" s="383" t="s">
        <v>4577</v>
      </c>
      <c r="J1151" s="383" t="s">
        <v>105</v>
      </c>
      <c r="K1151" s="383" t="s">
        <v>106</v>
      </c>
      <c r="L1151" s="383" t="s">
        <v>107</v>
      </c>
      <c r="M1151" s="217">
        <f>IF(W1151&lt;&gt;"", W1151, ROUNDUP(X1151*T1151, 0))</f>
        <v>20</v>
      </c>
      <c r="N1151" s="442" cm="1">
        <f t="array" ref="N1151">IF(TRIM(K1151)="Mano de Obra",IF(Formulario!$L$23&lt;&gt;"",Formulario!$L$23,IFERROR(VLOOKUP(TRIM($M$4),Jornalesdeppto!A:C,3,0),"")),_xlfn.XLOOKUP(1,(Tabla_Costos_Insumos!$A$2:$A$2928=TRIM($M$4))*(Tabla_Costos_Insumos!$C$2:$C$2928=TRIM(K1151)),Tabla_Costos_Insumos!$E$2:$E$2928,"",0))</f>
        <v>46666.666666666664</v>
      </c>
      <c r="O1151" s="442">
        <f>IF(OR(N1151=0,N1151=""),"",N1151*M1151)</f>
        <v>933333.33333333326</v>
      </c>
      <c r="P1151" s="212" t="str">
        <f t="shared" si="242"/>
        <v>Cacao Criollo</v>
      </c>
      <c r="Q1151" s="212"/>
      <c r="R1151" s="212"/>
      <c r="S1151" s="212"/>
      <c r="T1151" s="212" cm="1">
        <f t="array" ref="T1151">_xlfn.IFS($D$5&lt;=7, 1.1, $D$5&lt;=12,1.2, $D$5&lt;=25, 1.3, $D$5&gt;25,1.4)</f>
        <v>1.3</v>
      </c>
      <c r="U1151" s="212"/>
      <c r="V1151" s="212"/>
      <c r="W1151" s="212"/>
      <c r="X1151" s="213">
        <v>15</v>
      </c>
    </row>
    <row r="1152" spans="1:24" ht="15">
      <c r="A1152" s="382" t="s">
        <v>232</v>
      </c>
      <c r="B1152" s="431" t="s">
        <v>233</v>
      </c>
      <c r="C1152" s="383" t="s">
        <v>4573</v>
      </c>
      <c r="D1152" s="384" t="s">
        <v>99</v>
      </c>
      <c r="E1152" s="383" t="s">
        <v>100</v>
      </c>
      <c r="F1152" s="383" t="s">
        <v>101</v>
      </c>
      <c r="G1152" s="383" t="s">
        <v>102</v>
      </c>
      <c r="H1152" s="383" t="s">
        <v>214</v>
      </c>
      <c r="I1152" s="383" t="s">
        <v>20</v>
      </c>
      <c r="J1152" s="383" t="s">
        <v>105</v>
      </c>
      <c r="K1152" s="383" t="s">
        <v>106</v>
      </c>
      <c r="L1152" s="383" t="s">
        <v>107</v>
      </c>
      <c r="M1152" s="217">
        <f>IF(W1152&lt;&gt;"", W1152, ROUNDUP(X1152*T1152, 0))</f>
        <v>7</v>
      </c>
      <c r="N1152" s="442" cm="1">
        <f t="array" ref="N1152">IF(TRIM(K1152)="Mano de Obra",IF(Formulario!$L$23&lt;&gt;"",Formulario!$L$23,IFERROR(VLOOKUP(TRIM($M$4),Jornalesdeppto!A:C,3,0),"")),_xlfn.XLOOKUP(1,(Tabla_Costos_Insumos!$A$2:$A$2928=TRIM($M$4))*(Tabla_Costos_Insumos!$C$2:$C$2928=TRIM(K1152)),Tabla_Costos_Insumos!$E$2:$E$2928,"",0))</f>
        <v>46666.666666666664</v>
      </c>
      <c r="O1152" s="442">
        <f>IF(OR(N1152=0,N1152=""),"",N1152*M1152)</f>
        <v>326666.66666666663</v>
      </c>
      <c r="P1152" s="212" t="str">
        <f t="shared" si="242"/>
        <v>Cacao Criollo</v>
      </c>
      <c r="Q1152" s="212"/>
      <c r="R1152" s="212"/>
      <c r="S1152" s="212"/>
      <c r="T1152" s="212" cm="1">
        <f t="array" ref="T1152">_xlfn.IFS($D$5&lt;=7, 1.1, $D$5&lt;=12,1.2, $D$5&lt;=25, 1.3, $D$5&gt;25,1.4)</f>
        <v>1.3</v>
      </c>
      <c r="U1152" s="212"/>
      <c r="V1152" s="212"/>
      <c r="W1152" s="212"/>
      <c r="X1152" s="213">
        <v>5</v>
      </c>
    </row>
    <row r="1153" spans="1:24" ht="15">
      <c r="A1153" s="382" t="s">
        <v>232</v>
      </c>
      <c r="B1153" s="431" t="s">
        <v>233</v>
      </c>
      <c r="C1153" s="383" t="s">
        <v>4573</v>
      </c>
      <c r="D1153" s="384" t="s">
        <v>189</v>
      </c>
      <c r="E1153" s="383" t="s">
        <v>190</v>
      </c>
      <c r="F1153" s="383" t="s">
        <v>191</v>
      </c>
      <c r="G1153" s="383" t="s">
        <v>192</v>
      </c>
      <c r="H1153" s="383" t="s">
        <v>193</v>
      </c>
      <c r="I1153" s="383" t="s">
        <v>194</v>
      </c>
      <c r="J1153" s="383" t="s">
        <v>195</v>
      </c>
      <c r="K1153" s="383" t="s">
        <v>196</v>
      </c>
      <c r="L1153" s="383" t="s">
        <v>197</v>
      </c>
      <c r="M1153" s="217">
        <v>1</v>
      </c>
      <c r="N1153" s="442">
        <f>IFERROR(SUM(O1150:O1152)*0.08,0)</f>
        <v>141866.66666666666</v>
      </c>
      <c r="O1153" s="442">
        <f t="shared" ref="O1153" si="246">IF(OR(N1153=0,N1153=""),"",N1153*M1153)</f>
        <v>141866.66666666666</v>
      </c>
      <c r="P1153" s="212" t="str">
        <f t="shared" si="242"/>
        <v>Cacao Criollo</v>
      </c>
      <c r="Q1153" s="212" t="s">
        <v>142</v>
      </c>
      <c r="R1153" s="212"/>
      <c r="S1153" s="212"/>
      <c r="T1153" s="212" cm="1">
        <f t="array" ref="T1153">_xlfn.IFS($D$5&lt;=7, 1.1, $D$5&lt;=12,1.2, $D$5&lt;=25, 1.3, $D$5&gt;25,1.4)</f>
        <v>1.3</v>
      </c>
      <c r="U1153" s="212"/>
      <c r="V1153" s="212" t="s">
        <v>142</v>
      </c>
      <c r="W1153" s="212"/>
      <c r="X1153" s="214">
        <v>1</v>
      </c>
    </row>
    <row r="1154" spans="1:24" ht="15">
      <c r="A1154" s="385" t="s">
        <v>244</v>
      </c>
      <c r="B1154" s="432" t="s">
        <v>245</v>
      </c>
      <c r="C1154" s="386" t="s">
        <v>4573</v>
      </c>
      <c r="D1154" s="387" t="s">
        <v>99</v>
      </c>
      <c r="E1154" s="386" t="s">
        <v>100</v>
      </c>
      <c r="F1154" s="386" t="s">
        <v>101</v>
      </c>
      <c r="G1154" s="386" t="s">
        <v>102</v>
      </c>
      <c r="H1154" s="386" t="s">
        <v>4574</v>
      </c>
      <c r="I1154" s="386" t="s">
        <v>4575</v>
      </c>
      <c r="J1154" s="386" t="s">
        <v>105</v>
      </c>
      <c r="K1154" s="386" t="s">
        <v>106</v>
      </c>
      <c r="L1154" s="386" t="s">
        <v>107</v>
      </c>
      <c r="M1154" s="217">
        <f>IF(W1154&lt;&gt;"", W1154, ROUNDUP(X1154*T1154, 0))</f>
        <v>11</v>
      </c>
      <c r="N1154" s="442" cm="1">
        <f t="array" ref="N1154">IF(TRIM(K1154)="Mano de Obra",IF(Formulario!$L$23&lt;&gt;"",Formulario!$L$23,IFERROR(VLOOKUP(TRIM($M$4),Jornalesdeppto!A:C,3,0),"")),_xlfn.XLOOKUP(1,(Tabla_Costos_Insumos!$A$2:$A$2928=TRIM($M$4))*(Tabla_Costos_Insumos!$C$2:$C$2928=TRIM(K1154)),Tabla_Costos_Insumos!$E$2:$E$2928,"",0))</f>
        <v>46666.666666666664</v>
      </c>
      <c r="O1154" s="442">
        <f>IF(OR(N1154=0,N1154=""),"",N1154*M1154)</f>
        <v>513333.33333333331</v>
      </c>
      <c r="P1154" s="212" t="str">
        <f t="shared" si="242"/>
        <v>Café Castillo</v>
      </c>
      <c r="Q1154" s="212"/>
      <c r="R1154" s="212"/>
      <c r="S1154" s="212"/>
      <c r="T1154" s="212" cm="1">
        <f t="array" ref="T1154">_xlfn.IFS($D$5&lt;=7, 1.1, $D$5&lt;=12,1.2, $D$5&lt;=25, 1.3, $D$5&gt;25,1.4)</f>
        <v>1.3</v>
      </c>
      <c r="U1154" s="212"/>
      <c r="V1154" s="212"/>
      <c r="W1154" s="212"/>
      <c r="X1154" s="214">
        <v>8</v>
      </c>
    </row>
    <row r="1155" spans="1:24" ht="15">
      <c r="A1155" s="385" t="s">
        <v>244</v>
      </c>
      <c r="B1155" s="432" t="s">
        <v>245</v>
      </c>
      <c r="C1155" s="386" t="s">
        <v>4573</v>
      </c>
      <c r="D1155" s="387" t="s">
        <v>99</v>
      </c>
      <c r="E1155" s="386" t="s">
        <v>100</v>
      </c>
      <c r="F1155" s="386" t="s">
        <v>101</v>
      </c>
      <c r="G1155" s="386" t="s">
        <v>102</v>
      </c>
      <c r="H1155" s="386" t="s">
        <v>4576</v>
      </c>
      <c r="I1155" s="386" t="s">
        <v>4577</v>
      </c>
      <c r="J1155" s="386" t="s">
        <v>105</v>
      </c>
      <c r="K1155" s="386" t="s">
        <v>106</v>
      </c>
      <c r="L1155" s="386" t="s">
        <v>107</v>
      </c>
      <c r="M1155" s="217">
        <f>IF(W1155&lt;&gt;"", W1155, ROUNDUP(X1155*T1155, 0))</f>
        <v>13</v>
      </c>
      <c r="N1155" s="442" cm="1">
        <f t="array" ref="N1155">IF(TRIM(K1155)="Mano de Obra",IF(Formulario!$L$23&lt;&gt;"",Formulario!$L$23,IFERROR(VLOOKUP(TRIM($M$4),Jornalesdeppto!A:C,3,0),"")),_xlfn.XLOOKUP(1,(Tabla_Costos_Insumos!$A$2:$A$2928=TRIM($M$4))*(Tabla_Costos_Insumos!$C$2:$C$2928=TRIM(K1155)),Tabla_Costos_Insumos!$E$2:$E$2928,"",0))</f>
        <v>46666.666666666664</v>
      </c>
      <c r="O1155" s="442">
        <f>IF(OR(N1155=0,N1155=""),"",N1155*M1155)</f>
        <v>606666.66666666663</v>
      </c>
      <c r="P1155" s="212" t="str">
        <f t="shared" si="242"/>
        <v>Café Castillo</v>
      </c>
      <c r="Q1155" s="212"/>
      <c r="R1155" s="212"/>
      <c r="S1155" s="212"/>
      <c r="T1155" s="212" cm="1">
        <f t="array" ref="T1155">_xlfn.IFS($D$5&lt;=7, 1.1, $D$5&lt;=12,1.2, $D$5&lt;=25, 1.3, $D$5&gt;25,1.4)</f>
        <v>1.3</v>
      </c>
      <c r="U1155" s="212"/>
      <c r="V1155" s="212"/>
      <c r="W1155" s="212"/>
      <c r="X1155" s="214">
        <v>10</v>
      </c>
    </row>
    <row r="1156" spans="1:24" ht="15">
      <c r="A1156" s="385" t="s">
        <v>244</v>
      </c>
      <c r="B1156" s="432" t="s">
        <v>245</v>
      </c>
      <c r="C1156" s="386" t="s">
        <v>4573</v>
      </c>
      <c r="D1156" s="387" t="s">
        <v>99</v>
      </c>
      <c r="E1156" s="386" t="s">
        <v>100</v>
      </c>
      <c r="F1156" s="386" t="s">
        <v>101</v>
      </c>
      <c r="G1156" s="386" t="s">
        <v>102</v>
      </c>
      <c r="H1156" s="386" t="s">
        <v>214</v>
      </c>
      <c r="I1156" s="386" t="s">
        <v>20</v>
      </c>
      <c r="J1156" s="386" t="s">
        <v>105</v>
      </c>
      <c r="K1156" s="386" t="s">
        <v>106</v>
      </c>
      <c r="L1156" s="386" t="s">
        <v>107</v>
      </c>
      <c r="M1156" s="217">
        <f>IF(W1156&lt;&gt;"", W1156, ROUNDUP(X1156*T1156, 0))</f>
        <v>7</v>
      </c>
      <c r="N1156" s="442" cm="1">
        <f t="array" ref="N1156">IF(TRIM(K1156)="Mano de Obra",IF(Formulario!$L$23&lt;&gt;"",Formulario!$L$23,IFERROR(VLOOKUP(TRIM($M$4),Jornalesdeppto!A:C,3,0),"")),_xlfn.XLOOKUP(1,(Tabla_Costos_Insumos!$A$2:$A$2928=TRIM($M$4))*(Tabla_Costos_Insumos!$C$2:$C$2928=TRIM(K1156)),Tabla_Costos_Insumos!$E$2:$E$2928,"",0))</f>
        <v>46666.666666666664</v>
      </c>
      <c r="O1156" s="442">
        <f>IF(OR(N1156=0,N1156=""),"",N1156*M1156)</f>
        <v>326666.66666666663</v>
      </c>
      <c r="P1156" s="212" t="str">
        <f t="shared" si="242"/>
        <v>Café Castillo</v>
      </c>
      <c r="Q1156" s="212"/>
      <c r="R1156" s="212"/>
      <c r="S1156" s="212"/>
      <c r="T1156" s="212" cm="1">
        <f t="array" ref="T1156">_xlfn.IFS($D$5&lt;=7, 1.1, $D$5&lt;=12,1.2, $D$5&lt;=25, 1.3, $D$5&gt;25,1.4)</f>
        <v>1.3</v>
      </c>
      <c r="U1156" s="212"/>
      <c r="V1156" s="212"/>
      <c r="W1156" s="212"/>
      <c r="X1156" s="214">
        <v>5</v>
      </c>
    </row>
    <row r="1157" spans="1:24" ht="15">
      <c r="A1157" s="385" t="s">
        <v>244</v>
      </c>
      <c r="B1157" s="432" t="s">
        <v>245</v>
      </c>
      <c r="C1157" s="386" t="s">
        <v>4573</v>
      </c>
      <c r="D1157" s="387" t="s">
        <v>189</v>
      </c>
      <c r="E1157" s="386" t="s">
        <v>190</v>
      </c>
      <c r="F1157" s="386" t="s">
        <v>191</v>
      </c>
      <c r="G1157" s="386" t="s">
        <v>192</v>
      </c>
      <c r="H1157" s="386" t="s">
        <v>193</v>
      </c>
      <c r="I1157" s="386" t="s">
        <v>194</v>
      </c>
      <c r="J1157" s="386" t="s">
        <v>195</v>
      </c>
      <c r="K1157" s="386" t="s">
        <v>196</v>
      </c>
      <c r="L1157" s="386" t="s">
        <v>197</v>
      </c>
      <c r="M1157" s="217">
        <v>1</v>
      </c>
      <c r="N1157" s="442">
        <f>IFERROR(SUM(O1154:O1156)*0.08,0)</f>
        <v>115733.33333333333</v>
      </c>
      <c r="O1157" s="442">
        <f t="shared" ref="O1157" si="247">IF(OR(N1157=0,N1157=""),"",N1157*M1157)</f>
        <v>115733.33333333333</v>
      </c>
      <c r="P1157" s="212" t="str">
        <f t="shared" si="242"/>
        <v>Café Castillo</v>
      </c>
      <c r="Q1157" s="212" t="s">
        <v>142</v>
      </c>
      <c r="R1157" s="212"/>
      <c r="S1157" s="212"/>
      <c r="T1157" s="212" cm="1">
        <f t="array" ref="T1157">_xlfn.IFS($D$5&lt;=7, 1.1, $D$5&lt;=12,1.2, $D$5&lt;=25, 1.3, $D$5&gt;25,1.4)</f>
        <v>1.3</v>
      </c>
      <c r="U1157" s="212"/>
      <c r="V1157" s="212" t="s">
        <v>142</v>
      </c>
      <c r="W1157" s="212" t="str">
        <f t="shared" ref="W1157" si="248">IFERROR(ROUNDUP(V1157*U1157,0),"")</f>
        <v/>
      </c>
      <c r="X1157" s="214">
        <v>1</v>
      </c>
    </row>
    <row r="1158" spans="1:24" ht="15">
      <c r="A1158" s="388" t="s">
        <v>37</v>
      </c>
      <c r="B1158" s="433" t="s">
        <v>38</v>
      </c>
      <c r="C1158" s="389" t="s">
        <v>4573</v>
      </c>
      <c r="D1158" s="390" t="s">
        <v>99</v>
      </c>
      <c r="E1158" s="389" t="s">
        <v>100</v>
      </c>
      <c r="F1158" s="389" t="s">
        <v>101</v>
      </c>
      <c r="G1158" s="389" t="s">
        <v>102</v>
      </c>
      <c r="H1158" s="389" t="s">
        <v>4574</v>
      </c>
      <c r="I1158" s="389" t="s">
        <v>4575</v>
      </c>
      <c r="J1158" s="389" t="s">
        <v>105</v>
      </c>
      <c r="K1158" s="389" t="s">
        <v>106</v>
      </c>
      <c r="L1158" s="389" t="s">
        <v>107</v>
      </c>
      <c r="M1158" s="217">
        <f>IF(W1158&lt;&gt;"", W1158, ROUNDUP(X1158*T1158, 0))</f>
        <v>11</v>
      </c>
      <c r="N1158" s="442" cm="1">
        <f t="array" ref="N1158">IF(TRIM(K1158)="Mano de Obra",IF(Formulario!$L$23&lt;&gt;"",Formulario!$L$23,IFERROR(VLOOKUP(TRIM($M$4),Jornalesdeppto!A:C,3,0),"")),_xlfn.XLOOKUP(1,(Tabla_Costos_Insumos!$A$2:$A$2928=TRIM($M$4))*(Tabla_Costos_Insumos!$C$2:$C$2928=TRIM(K1158)),Tabla_Costos_Insumos!$E$2:$E$2928,"",0))</f>
        <v>46666.666666666664</v>
      </c>
      <c r="O1158" s="442">
        <f>IF(OR(N1158=0,N1158=""),"",N1158*M1158)</f>
        <v>513333.33333333331</v>
      </c>
      <c r="P1158" s="212" t="str">
        <f t="shared" si="242"/>
        <v>Limón Mandarino</v>
      </c>
      <c r="Q1158" s="212"/>
      <c r="R1158" s="212"/>
      <c r="S1158" s="212"/>
      <c r="T1158" s="212" cm="1">
        <f t="array" ref="T1158">_xlfn.IFS($D$5&lt;=7, 1.1, $D$5&lt;=12,1.2, $D$5&lt;=25, 1.3, $D$5&gt;25,1.4)</f>
        <v>1.3</v>
      </c>
      <c r="U1158" s="212"/>
      <c r="V1158" s="212"/>
      <c r="W1158" s="212"/>
      <c r="X1158" s="214">
        <v>8</v>
      </c>
    </row>
    <row r="1159" spans="1:24" ht="15">
      <c r="A1159" s="388" t="s">
        <v>37</v>
      </c>
      <c r="B1159" s="433" t="s">
        <v>38</v>
      </c>
      <c r="C1159" s="389" t="s">
        <v>4573</v>
      </c>
      <c r="D1159" s="390" t="s">
        <v>99</v>
      </c>
      <c r="E1159" s="389" t="s">
        <v>100</v>
      </c>
      <c r="F1159" s="389" t="s">
        <v>101</v>
      </c>
      <c r="G1159" s="389" t="s">
        <v>102</v>
      </c>
      <c r="H1159" s="389" t="s">
        <v>4576</v>
      </c>
      <c r="I1159" s="389" t="s">
        <v>4577</v>
      </c>
      <c r="J1159" s="389" t="s">
        <v>105</v>
      </c>
      <c r="K1159" s="389" t="s">
        <v>106</v>
      </c>
      <c r="L1159" s="389" t="s">
        <v>107</v>
      </c>
      <c r="M1159" s="217">
        <f>IF(W1159&lt;&gt;"", W1159, ROUNDUP(X1159*T1159, 0))</f>
        <v>16</v>
      </c>
      <c r="N1159" s="442" cm="1">
        <f t="array" ref="N1159">IF(TRIM(K1159)="Mano de Obra",IF(Formulario!$L$23&lt;&gt;"",Formulario!$L$23,IFERROR(VLOOKUP(TRIM($M$4),Jornalesdeppto!A:C,3,0),"")),_xlfn.XLOOKUP(1,(Tabla_Costos_Insumos!$A$2:$A$2928=TRIM($M$4))*(Tabla_Costos_Insumos!$C$2:$C$2928=TRIM(K1159)),Tabla_Costos_Insumos!$E$2:$E$2928,"",0))</f>
        <v>46666.666666666664</v>
      </c>
      <c r="O1159" s="442">
        <f>IF(OR(N1159=0,N1159=""),"",N1159*M1159)</f>
        <v>746666.66666666663</v>
      </c>
      <c r="P1159" s="212" t="str">
        <f t="shared" si="242"/>
        <v>Limón Mandarino</v>
      </c>
      <c r="Q1159" s="212"/>
      <c r="R1159" s="212"/>
      <c r="S1159" s="212"/>
      <c r="T1159" s="212" cm="1">
        <f t="array" ref="T1159">_xlfn.IFS($D$5&lt;=7, 1.1, $D$5&lt;=12,1.2, $D$5&lt;=25, 1.3, $D$5&gt;25,1.4)</f>
        <v>1.3</v>
      </c>
      <c r="U1159" s="212"/>
      <c r="V1159" s="212"/>
      <c r="W1159" s="212"/>
      <c r="X1159" s="214">
        <v>12</v>
      </c>
    </row>
    <row r="1160" spans="1:24" ht="15">
      <c r="A1160" s="388" t="s">
        <v>37</v>
      </c>
      <c r="B1160" s="433" t="s">
        <v>38</v>
      </c>
      <c r="C1160" s="389" t="s">
        <v>4573</v>
      </c>
      <c r="D1160" s="390" t="s">
        <v>99</v>
      </c>
      <c r="E1160" s="389" t="s">
        <v>100</v>
      </c>
      <c r="F1160" s="389" t="s">
        <v>101</v>
      </c>
      <c r="G1160" s="389" t="s">
        <v>102</v>
      </c>
      <c r="H1160" s="389" t="s">
        <v>214</v>
      </c>
      <c r="I1160" s="389" t="s">
        <v>20</v>
      </c>
      <c r="J1160" s="389" t="s">
        <v>105</v>
      </c>
      <c r="K1160" s="389" t="s">
        <v>106</v>
      </c>
      <c r="L1160" s="389" t="s">
        <v>107</v>
      </c>
      <c r="M1160" s="217">
        <f>IF(W1160&lt;&gt;"", W1160, ROUNDUP(X1160*T1160, 0))</f>
        <v>7</v>
      </c>
      <c r="N1160" s="442" cm="1">
        <f t="array" ref="N1160">IF(TRIM(K1160)="Mano de Obra",IF(Formulario!$L$23&lt;&gt;"",Formulario!$L$23,IFERROR(VLOOKUP(TRIM($M$4),Jornalesdeppto!A:C,3,0),"")),_xlfn.XLOOKUP(1,(Tabla_Costos_Insumos!$A$2:$A$2928=TRIM($M$4))*(Tabla_Costos_Insumos!$C$2:$C$2928=TRIM(K1160)),Tabla_Costos_Insumos!$E$2:$E$2928,"",0))</f>
        <v>46666.666666666664</v>
      </c>
      <c r="O1160" s="442">
        <f>IF(OR(N1160=0,N1160=""),"",N1160*M1160)</f>
        <v>326666.66666666663</v>
      </c>
      <c r="P1160" s="212" t="str">
        <f t="shared" si="242"/>
        <v>Limón Mandarino</v>
      </c>
      <c r="Q1160" s="212"/>
      <c r="R1160" s="212"/>
      <c r="S1160" s="212"/>
      <c r="T1160" s="212" cm="1">
        <f t="array" ref="T1160">_xlfn.IFS($D$5&lt;=7, 1.1, $D$5&lt;=12,1.2, $D$5&lt;=25, 1.3, $D$5&gt;25,1.4)</f>
        <v>1.3</v>
      </c>
      <c r="U1160" s="212"/>
      <c r="V1160" s="212"/>
      <c r="W1160" s="212"/>
      <c r="X1160" s="214">
        <v>5</v>
      </c>
    </row>
    <row r="1161" spans="1:24" ht="15">
      <c r="A1161" s="388" t="s">
        <v>37</v>
      </c>
      <c r="B1161" s="433" t="s">
        <v>38</v>
      </c>
      <c r="C1161" s="389" t="s">
        <v>4573</v>
      </c>
      <c r="D1161" s="390" t="s">
        <v>189</v>
      </c>
      <c r="E1161" s="389" t="s">
        <v>190</v>
      </c>
      <c r="F1161" s="389" t="s">
        <v>191</v>
      </c>
      <c r="G1161" s="389" t="s">
        <v>192</v>
      </c>
      <c r="H1161" s="389" t="s">
        <v>193</v>
      </c>
      <c r="I1161" s="389" t="s">
        <v>194</v>
      </c>
      <c r="J1161" s="389" t="s">
        <v>195</v>
      </c>
      <c r="K1161" s="389" t="s">
        <v>196</v>
      </c>
      <c r="L1161" s="389" t="s">
        <v>197</v>
      </c>
      <c r="M1161" s="217">
        <v>1</v>
      </c>
      <c r="N1161" s="442">
        <f>IFERROR(SUM(O1158:O1160)*0.08,0)</f>
        <v>126933.33333333333</v>
      </c>
      <c r="O1161" s="442">
        <f t="shared" ref="O1161" si="249">IF(OR(N1161=0,N1161=""),"",N1161*M1161)</f>
        <v>126933.33333333333</v>
      </c>
      <c r="P1161" s="212" t="str">
        <f t="shared" si="242"/>
        <v>Limón Mandarino</v>
      </c>
      <c r="Q1161" s="212" t="s">
        <v>142</v>
      </c>
      <c r="R1161" s="212"/>
      <c r="S1161" s="212"/>
      <c r="T1161" s="212" cm="1">
        <f t="array" ref="T1161">_xlfn.IFS($D$5&lt;=7, 1.1, $D$5&lt;=12,1.2, $D$5&lt;=25, 1.3, $D$5&gt;25,1.4)</f>
        <v>1.3</v>
      </c>
      <c r="U1161" s="212"/>
      <c r="V1161" s="212" t="s">
        <v>142</v>
      </c>
      <c r="W1161" s="212" t="str">
        <f t="shared" ref="W1161" si="250">IFERROR(ROUNDUP(V1161*U1161,0),"")</f>
        <v/>
      </c>
      <c r="X1161" s="214">
        <v>1</v>
      </c>
    </row>
    <row r="1162" spans="1:24" ht="15">
      <c r="A1162" s="391" t="s">
        <v>37</v>
      </c>
      <c r="B1162" s="434" t="s">
        <v>265</v>
      </c>
      <c r="C1162" s="392" t="s">
        <v>4573</v>
      </c>
      <c r="D1162" s="393" t="s">
        <v>99</v>
      </c>
      <c r="E1162" s="392" t="s">
        <v>100</v>
      </c>
      <c r="F1162" s="392" t="s">
        <v>101</v>
      </c>
      <c r="G1162" s="392" t="s">
        <v>102</v>
      </c>
      <c r="H1162" s="392" t="s">
        <v>4574</v>
      </c>
      <c r="I1162" s="392" t="s">
        <v>4575</v>
      </c>
      <c r="J1162" s="392" t="s">
        <v>105</v>
      </c>
      <c r="K1162" s="392" t="s">
        <v>106</v>
      </c>
      <c r="L1162" s="392" t="s">
        <v>107</v>
      </c>
      <c r="M1162" s="217">
        <f>IF(W1162&lt;&gt;"", W1162, ROUNDUP(X1162*T1162, 0))</f>
        <v>11</v>
      </c>
      <c r="N1162" s="442" cm="1">
        <f t="array" ref="N1162">IF(TRIM(K1162)="Mano de Obra",IF(Formulario!$L$23&lt;&gt;"",Formulario!$L$23,IFERROR(VLOOKUP(TRIM($M$4),Jornalesdeppto!A:C,3,0),"")),_xlfn.XLOOKUP(1,(Tabla_Costos_Insumos!$A$2:$A$2928=TRIM($M$4))*(Tabla_Costos_Insumos!$C$2:$C$2928=TRIM(K1162)),Tabla_Costos_Insumos!$E$2:$E$2928,"",0))</f>
        <v>46666.666666666664</v>
      </c>
      <c r="O1162" s="442">
        <f>IF(OR(N1162=0,N1162=""),"",N1162*M1162)</f>
        <v>513333.33333333331</v>
      </c>
      <c r="P1162" s="212" t="str">
        <f t="shared" si="242"/>
        <v>Limón Tahití</v>
      </c>
      <c r="Q1162" s="212"/>
      <c r="R1162" s="212"/>
      <c r="S1162" s="212"/>
      <c r="T1162" s="212" cm="1">
        <f t="array" ref="T1162">_xlfn.IFS($D$5&lt;=7, 1.1, $D$5&lt;=12,1.2, $D$5&lt;=25, 1.3, $D$5&gt;25,1.4)</f>
        <v>1.3</v>
      </c>
      <c r="U1162" s="212"/>
      <c r="V1162" s="212"/>
      <c r="W1162" s="212"/>
      <c r="X1162" s="214">
        <v>8</v>
      </c>
    </row>
    <row r="1163" spans="1:24" ht="15">
      <c r="A1163" s="391" t="s">
        <v>37</v>
      </c>
      <c r="B1163" s="434" t="s">
        <v>265</v>
      </c>
      <c r="C1163" s="392" t="s">
        <v>4573</v>
      </c>
      <c r="D1163" s="393" t="s">
        <v>99</v>
      </c>
      <c r="E1163" s="392" t="s">
        <v>100</v>
      </c>
      <c r="F1163" s="392" t="s">
        <v>101</v>
      </c>
      <c r="G1163" s="392" t="s">
        <v>102</v>
      </c>
      <c r="H1163" s="392" t="s">
        <v>4576</v>
      </c>
      <c r="I1163" s="392" t="s">
        <v>4577</v>
      </c>
      <c r="J1163" s="392" t="s">
        <v>105</v>
      </c>
      <c r="K1163" s="392" t="s">
        <v>106</v>
      </c>
      <c r="L1163" s="392" t="s">
        <v>107</v>
      </c>
      <c r="M1163" s="217">
        <f>IF(W1163&lt;&gt;"", W1163, ROUNDUP(X1163*T1163, 0))</f>
        <v>16</v>
      </c>
      <c r="N1163" s="442" cm="1">
        <f t="array" ref="N1163">IF(TRIM(K1163)="Mano de Obra",IF(Formulario!$L$23&lt;&gt;"",Formulario!$L$23,IFERROR(VLOOKUP(TRIM($M$4),Jornalesdeppto!A:C,3,0),"")),_xlfn.XLOOKUP(1,(Tabla_Costos_Insumos!$A$2:$A$2928=TRIM($M$4))*(Tabla_Costos_Insumos!$C$2:$C$2928=TRIM(K1163)),Tabla_Costos_Insumos!$E$2:$E$2928,"",0))</f>
        <v>46666.666666666664</v>
      </c>
      <c r="O1163" s="442">
        <f>IF(OR(N1163=0,N1163=""),"",N1163*M1163)</f>
        <v>746666.66666666663</v>
      </c>
      <c r="P1163" s="212" t="str">
        <f t="shared" si="242"/>
        <v>Limón Tahití</v>
      </c>
      <c r="Q1163" s="212"/>
      <c r="R1163" s="212"/>
      <c r="S1163" s="212"/>
      <c r="T1163" s="212" cm="1">
        <f t="array" ref="T1163">_xlfn.IFS($D$5&lt;=7, 1.1, $D$5&lt;=12,1.2, $D$5&lt;=25, 1.3, $D$5&gt;25,1.4)</f>
        <v>1.3</v>
      </c>
      <c r="U1163" s="212"/>
      <c r="V1163" s="212"/>
      <c r="W1163" s="212"/>
      <c r="X1163" s="214">
        <v>12</v>
      </c>
    </row>
    <row r="1164" spans="1:24" ht="15">
      <c r="A1164" s="391" t="s">
        <v>37</v>
      </c>
      <c r="B1164" s="434" t="s">
        <v>265</v>
      </c>
      <c r="C1164" s="392" t="s">
        <v>4573</v>
      </c>
      <c r="D1164" s="393" t="s">
        <v>99</v>
      </c>
      <c r="E1164" s="392" t="s">
        <v>100</v>
      </c>
      <c r="F1164" s="392" t="s">
        <v>101</v>
      </c>
      <c r="G1164" s="392" t="s">
        <v>102</v>
      </c>
      <c r="H1164" s="392" t="s">
        <v>214</v>
      </c>
      <c r="I1164" s="392" t="s">
        <v>20</v>
      </c>
      <c r="J1164" s="392" t="s">
        <v>105</v>
      </c>
      <c r="K1164" s="392" t="s">
        <v>106</v>
      </c>
      <c r="L1164" s="392" t="s">
        <v>107</v>
      </c>
      <c r="M1164" s="217">
        <f>IF(W1164&lt;&gt;"", W1164, ROUNDUP(X1164*T1164, 0))</f>
        <v>7</v>
      </c>
      <c r="N1164" s="442" cm="1">
        <f t="array" ref="N1164">IF(TRIM(K1164)="Mano de Obra",IF(Formulario!$L$23&lt;&gt;"",Formulario!$L$23,IFERROR(VLOOKUP(TRIM($M$4),Jornalesdeppto!A:C,3,0),"")),_xlfn.XLOOKUP(1,(Tabla_Costos_Insumos!$A$2:$A$2928=TRIM($M$4))*(Tabla_Costos_Insumos!$C$2:$C$2928=TRIM(K1164)),Tabla_Costos_Insumos!$E$2:$E$2928,"",0))</f>
        <v>46666.666666666664</v>
      </c>
      <c r="O1164" s="442">
        <f t="shared" ref="O1164:O1165" si="251">IF(OR(N1164=0,N1164=""),"",N1164*M1164)</f>
        <v>326666.66666666663</v>
      </c>
      <c r="P1164" s="212" t="str">
        <f t="shared" si="242"/>
        <v>Limón Tahití</v>
      </c>
      <c r="Q1164" s="212" t="s">
        <v>108</v>
      </c>
      <c r="R1164" s="212"/>
      <c r="S1164" s="212"/>
      <c r="T1164" s="212" cm="1">
        <f t="array" ref="T1164">_xlfn.IFS($D$5&lt;=7, 1.1, $D$5&lt;=12,1.2, $D$5&lt;=25, 1.3, $D$5&gt;25,1.4)</f>
        <v>1.3</v>
      </c>
      <c r="U1164" s="212"/>
      <c r="V1164" s="212"/>
      <c r="W1164" s="212"/>
      <c r="X1164" s="214">
        <v>5</v>
      </c>
    </row>
    <row r="1165" spans="1:24" ht="15">
      <c r="A1165" s="391" t="s">
        <v>37</v>
      </c>
      <c r="B1165" s="434" t="s">
        <v>265</v>
      </c>
      <c r="C1165" s="392" t="s">
        <v>4573</v>
      </c>
      <c r="D1165" s="393" t="s">
        <v>189</v>
      </c>
      <c r="E1165" s="392" t="s">
        <v>190</v>
      </c>
      <c r="F1165" s="392" t="s">
        <v>191</v>
      </c>
      <c r="G1165" s="392" t="s">
        <v>192</v>
      </c>
      <c r="H1165" s="392" t="s">
        <v>193</v>
      </c>
      <c r="I1165" s="392" t="s">
        <v>194</v>
      </c>
      <c r="J1165" s="392" t="s">
        <v>195</v>
      </c>
      <c r="K1165" s="392" t="s">
        <v>196</v>
      </c>
      <c r="L1165" s="392" t="s">
        <v>197</v>
      </c>
      <c r="M1165" s="217">
        <v>1</v>
      </c>
      <c r="N1165" s="442">
        <f>IFERROR(SUM(O1162:O1164)*0.08,0)</f>
        <v>126933.33333333333</v>
      </c>
      <c r="O1165" s="442">
        <f t="shared" si="251"/>
        <v>126933.33333333333</v>
      </c>
      <c r="P1165" s="212" t="str">
        <f t="shared" si="242"/>
        <v>Limón Tahití</v>
      </c>
      <c r="Q1165" s="212" t="s">
        <v>142</v>
      </c>
      <c r="R1165" s="212"/>
      <c r="S1165" s="212"/>
      <c r="T1165" s="212" cm="1">
        <f t="array" ref="T1165">_xlfn.IFS($D$5&lt;=7, 1.1, $D$5&lt;=12,1.2, $D$5&lt;=25, 1.3, $D$5&gt;25,1.4)</f>
        <v>1.3</v>
      </c>
      <c r="U1165" s="212"/>
      <c r="V1165" s="212"/>
      <c r="W1165" s="212"/>
      <c r="X1165" s="214">
        <v>1</v>
      </c>
    </row>
    <row r="1166" spans="1:24" ht="15">
      <c r="A1166" s="394" t="s">
        <v>37</v>
      </c>
      <c r="B1166" s="435" t="s">
        <v>258</v>
      </c>
      <c r="C1166" s="395" t="s">
        <v>4573</v>
      </c>
      <c r="D1166" s="396" t="s">
        <v>99</v>
      </c>
      <c r="E1166" s="395" t="s">
        <v>100</v>
      </c>
      <c r="F1166" s="395" t="s">
        <v>101</v>
      </c>
      <c r="G1166" s="395" t="s">
        <v>102</v>
      </c>
      <c r="H1166" s="395" t="s">
        <v>4574</v>
      </c>
      <c r="I1166" s="395" t="s">
        <v>4575</v>
      </c>
      <c r="J1166" s="395" t="s">
        <v>105</v>
      </c>
      <c r="K1166" s="395" t="s">
        <v>106</v>
      </c>
      <c r="L1166" s="395" t="s">
        <v>107</v>
      </c>
      <c r="M1166" s="217">
        <f>IF(W1166&lt;&gt;"", W1166, ROUNDUP(X1166*T1166, 0))</f>
        <v>11</v>
      </c>
      <c r="N1166" s="442" cm="1">
        <f t="array" ref="N1166">IF(TRIM(K1166)="Mano de Obra",IF(Formulario!$L$23&lt;&gt;"",Formulario!$L$23,IFERROR(VLOOKUP(TRIM($M$4),Jornalesdeppto!A:C,3,0),"")),_xlfn.XLOOKUP(1,(Tabla_Costos_Insumos!$A$2:$A$2928=TRIM($M$4))*(Tabla_Costos_Insumos!$C$2:$C$2928=TRIM(K1166)),Tabla_Costos_Insumos!$E$2:$E$2928,"",0))</f>
        <v>46666.666666666664</v>
      </c>
      <c r="O1166" s="442">
        <f>IF(OR(N1166=0,N1166=""),"",N1166*M1166)</f>
        <v>513333.33333333331</v>
      </c>
      <c r="P1166" s="212" t="str">
        <f t="shared" si="242"/>
        <v>Limón Común</v>
      </c>
      <c r="Q1166" s="212"/>
      <c r="R1166" s="212"/>
      <c r="S1166" s="212"/>
      <c r="T1166" s="212" cm="1">
        <f t="array" ref="T1166">_xlfn.IFS($D$5&lt;=7, 1.1, $D$5&lt;=12,1.2, $D$5&lt;=25, 1.3, $D$5&gt;25,1.4)</f>
        <v>1.3</v>
      </c>
      <c r="U1166" s="212"/>
      <c r="V1166" s="212"/>
      <c r="W1166" s="212"/>
      <c r="X1166" s="214">
        <v>8</v>
      </c>
    </row>
    <row r="1167" spans="1:24" ht="15">
      <c r="A1167" s="394" t="s">
        <v>37</v>
      </c>
      <c r="B1167" s="435" t="s">
        <v>258</v>
      </c>
      <c r="C1167" s="395" t="s">
        <v>4573</v>
      </c>
      <c r="D1167" s="396" t="s">
        <v>99</v>
      </c>
      <c r="E1167" s="395" t="s">
        <v>100</v>
      </c>
      <c r="F1167" s="395" t="s">
        <v>101</v>
      </c>
      <c r="G1167" s="395" t="s">
        <v>102</v>
      </c>
      <c r="H1167" s="395" t="s">
        <v>4576</v>
      </c>
      <c r="I1167" s="395" t="s">
        <v>4577</v>
      </c>
      <c r="J1167" s="395" t="s">
        <v>105</v>
      </c>
      <c r="K1167" s="395" t="s">
        <v>106</v>
      </c>
      <c r="L1167" s="395" t="s">
        <v>107</v>
      </c>
      <c r="M1167" s="217">
        <f>IF(W1167&lt;&gt;"", W1167, ROUNDUP(X1167*T1167, 0))</f>
        <v>16</v>
      </c>
      <c r="N1167" s="442" cm="1">
        <f t="array" ref="N1167">IF(TRIM(K1167)="Mano de Obra",IF(Formulario!$L$23&lt;&gt;"",Formulario!$L$23,IFERROR(VLOOKUP(TRIM($M$4),Jornalesdeppto!A:C,3,0),"")),_xlfn.XLOOKUP(1,(Tabla_Costos_Insumos!$A$2:$A$2928=TRIM($M$4))*(Tabla_Costos_Insumos!$C$2:$C$2928=TRIM(K1167)),Tabla_Costos_Insumos!$E$2:$E$2928,"",0))</f>
        <v>46666.666666666664</v>
      </c>
      <c r="O1167" s="442">
        <f>IF(OR(N1167=0,N1167=""),"",N1167*M1167)</f>
        <v>746666.66666666663</v>
      </c>
      <c r="P1167" s="212" t="str">
        <f t="shared" si="242"/>
        <v>Limón Común</v>
      </c>
      <c r="Q1167" s="212"/>
      <c r="R1167" s="212"/>
      <c r="S1167" s="212"/>
      <c r="T1167" s="212" cm="1">
        <f t="array" ref="T1167">_xlfn.IFS($D$5&lt;=7, 1.1, $D$5&lt;=12,1.2, $D$5&lt;=25, 1.3, $D$5&gt;25,1.4)</f>
        <v>1.3</v>
      </c>
      <c r="U1167" s="212"/>
      <c r="V1167" s="212"/>
      <c r="W1167" s="212"/>
      <c r="X1167" s="214">
        <v>12</v>
      </c>
    </row>
    <row r="1168" spans="1:24" ht="15">
      <c r="A1168" s="394" t="s">
        <v>37</v>
      </c>
      <c r="B1168" s="435" t="s">
        <v>258</v>
      </c>
      <c r="C1168" s="395" t="s">
        <v>4573</v>
      </c>
      <c r="D1168" s="396" t="s">
        <v>99</v>
      </c>
      <c r="E1168" s="395" t="s">
        <v>100</v>
      </c>
      <c r="F1168" s="395" t="s">
        <v>101</v>
      </c>
      <c r="G1168" s="395" t="s">
        <v>102</v>
      </c>
      <c r="H1168" s="395" t="s">
        <v>214</v>
      </c>
      <c r="I1168" s="395" t="s">
        <v>20</v>
      </c>
      <c r="J1168" s="395" t="s">
        <v>105</v>
      </c>
      <c r="K1168" s="395" t="s">
        <v>106</v>
      </c>
      <c r="L1168" s="395" t="s">
        <v>107</v>
      </c>
      <c r="M1168" s="217">
        <f>IF(W1168&lt;&gt;"", W1168, ROUNDUP(X1168*T1168, 0))</f>
        <v>7</v>
      </c>
      <c r="N1168" s="442" cm="1">
        <f t="array" ref="N1168">IF(TRIM(K1168)="Mano de Obra",IF(Formulario!$L$23&lt;&gt;"",Formulario!$L$23,IFERROR(VLOOKUP(TRIM($M$4),Jornalesdeppto!A:C,3,0),"")),_xlfn.XLOOKUP(1,(Tabla_Costos_Insumos!$A$2:$A$2928=TRIM($M$4))*(Tabla_Costos_Insumos!$C$2:$C$2928=TRIM(K1168)),Tabla_Costos_Insumos!$E$2:$E$2928,"",0))</f>
        <v>46666.666666666664</v>
      </c>
      <c r="O1168" s="442">
        <f t="shared" ref="O1168:O1169" si="252">IF(OR(N1168=0,N1168=""),"",N1168*M1168)</f>
        <v>326666.66666666663</v>
      </c>
      <c r="P1168" s="212" t="str">
        <f t="shared" si="242"/>
        <v>Limón Común</v>
      </c>
      <c r="Q1168" s="212" t="s">
        <v>108</v>
      </c>
      <c r="R1168" s="212"/>
      <c r="S1168" s="212" t="str">
        <f t="shared" ref="S1168" si="253">IF($M$3="Limón Común",($I$3*R1168) / 480,"")</f>
        <v/>
      </c>
      <c r="T1168" s="212" cm="1">
        <f t="array" ref="T1168">_xlfn.IFS($D$5&lt;=7, 1.1, $D$5&lt;=12,1.2, $D$5&lt;=25, 1.3, $D$5&gt;25,1.4)</f>
        <v>1.3</v>
      </c>
      <c r="U1168" s="212"/>
      <c r="V1168" s="212"/>
      <c r="W1168" s="212"/>
      <c r="X1168" s="214">
        <v>5</v>
      </c>
    </row>
    <row r="1169" spans="1:24" ht="15">
      <c r="A1169" s="394" t="s">
        <v>37</v>
      </c>
      <c r="B1169" s="435" t="s">
        <v>258</v>
      </c>
      <c r="C1169" s="395" t="s">
        <v>4573</v>
      </c>
      <c r="D1169" s="396" t="s">
        <v>189</v>
      </c>
      <c r="E1169" s="395" t="s">
        <v>190</v>
      </c>
      <c r="F1169" s="395" t="s">
        <v>191</v>
      </c>
      <c r="G1169" s="395" t="s">
        <v>192</v>
      </c>
      <c r="H1169" s="395" t="s">
        <v>193</v>
      </c>
      <c r="I1169" s="395" t="s">
        <v>194</v>
      </c>
      <c r="J1169" s="395" t="s">
        <v>195</v>
      </c>
      <c r="K1169" s="395" t="s">
        <v>196</v>
      </c>
      <c r="L1169" s="395" t="s">
        <v>197</v>
      </c>
      <c r="M1169" s="217">
        <v>1</v>
      </c>
      <c r="N1169" s="442">
        <f>IFERROR(SUM(O1166:O1168)*0.08,0)</f>
        <v>126933.33333333333</v>
      </c>
      <c r="O1169" s="442">
        <f t="shared" si="252"/>
        <v>126933.33333333333</v>
      </c>
      <c r="P1169" s="212" t="str">
        <f t="shared" si="242"/>
        <v>Limón Común</v>
      </c>
      <c r="Q1169" s="212" t="s">
        <v>142</v>
      </c>
      <c r="R1169" s="212"/>
      <c r="S1169" s="212"/>
      <c r="T1169" s="212" cm="1">
        <f t="array" ref="T1169">_xlfn.IFS($D$5&lt;=7, 1.1, $D$5&lt;=12,1.2, $D$5&lt;=25, 1.3, $D$5&gt;25,1.4)</f>
        <v>1.3</v>
      </c>
      <c r="U1169" s="212"/>
      <c r="V1169" s="212"/>
      <c r="W1169" s="212"/>
      <c r="X1169" s="214">
        <v>1</v>
      </c>
    </row>
    <row r="1170" spans="1:24" ht="15">
      <c r="A1170" s="397" t="s">
        <v>270</v>
      </c>
      <c r="B1170" s="436" t="s">
        <v>258</v>
      </c>
      <c r="C1170" s="398" t="s">
        <v>4573</v>
      </c>
      <c r="D1170" s="399" t="s">
        <v>99</v>
      </c>
      <c r="E1170" s="398" t="s">
        <v>100</v>
      </c>
      <c r="F1170" s="398" t="s">
        <v>101</v>
      </c>
      <c r="G1170" s="398" t="s">
        <v>102</v>
      </c>
      <c r="H1170" s="398" t="s">
        <v>4574</v>
      </c>
      <c r="I1170" s="398" t="s">
        <v>4575</v>
      </c>
      <c r="J1170" s="398" t="s">
        <v>105</v>
      </c>
      <c r="K1170" s="398" t="s">
        <v>106</v>
      </c>
      <c r="L1170" s="398" t="s">
        <v>107</v>
      </c>
      <c r="M1170" s="217">
        <f>IF(W1170&lt;&gt;"", W1170, ROUNDUP(X1170*T1170, 0))</f>
        <v>11</v>
      </c>
      <c r="N1170" s="442" cm="1">
        <f t="array" ref="N1170">IF(TRIM(K1170)="Mano de Obra",IF(Formulario!$L$23&lt;&gt;"",Formulario!$L$23,IFERROR(VLOOKUP(TRIM($M$4),Jornalesdeppto!A:C,3,0),"")),_xlfn.XLOOKUP(1,(Tabla_Costos_Insumos!$A$2:$A$2928=TRIM($M$4))*(Tabla_Costos_Insumos!$C$2:$C$2928=TRIM(K1170)),Tabla_Costos_Insumos!$E$2:$E$2928,"",0))</f>
        <v>46666.666666666664</v>
      </c>
      <c r="O1170" s="442">
        <f>IF(OR(N1170=0,N1170=""),"",N1170*M1170)</f>
        <v>513333.33333333331</v>
      </c>
      <c r="P1170" s="212" t="str">
        <f t="shared" si="242"/>
        <v>Mandarina Común</v>
      </c>
      <c r="Q1170" s="212"/>
      <c r="R1170" s="212"/>
      <c r="S1170" s="212"/>
      <c r="T1170" s="212" cm="1">
        <f t="array" ref="T1170">_xlfn.IFS($D$5&lt;=7, 1.1, $D$5&lt;=12,1.2, $D$5&lt;=25, 1.3, $D$5&gt;25,1.4)</f>
        <v>1.3</v>
      </c>
      <c r="U1170" s="212"/>
      <c r="V1170" s="212"/>
      <c r="W1170" s="212"/>
      <c r="X1170" s="214">
        <v>8</v>
      </c>
    </row>
    <row r="1171" spans="1:24" ht="15">
      <c r="A1171" s="397" t="s">
        <v>270</v>
      </c>
      <c r="B1171" s="436" t="s">
        <v>258</v>
      </c>
      <c r="C1171" s="398" t="s">
        <v>4573</v>
      </c>
      <c r="D1171" s="399" t="s">
        <v>99</v>
      </c>
      <c r="E1171" s="398" t="s">
        <v>100</v>
      </c>
      <c r="F1171" s="398" t="s">
        <v>101</v>
      </c>
      <c r="G1171" s="398" t="s">
        <v>102</v>
      </c>
      <c r="H1171" s="398" t="s">
        <v>4576</v>
      </c>
      <c r="I1171" s="398" t="s">
        <v>4577</v>
      </c>
      <c r="J1171" s="398" t="s">
        <v>105</v>
      </c>
      <c r="K1171" s="398" t="s">
        <v>106</v>
      </c>
      <c r="L1171" s="398" t="s">
        <v>107</v>
      </c>
      <c r="M1171" s="217">
        <f>IF(W1171&lt;&gt;"", W1171, ROUNDUP(X1171*T1171, 0))</f>
        <v>16</v>
      </c>
      <c r="N1171" s="442" cm="1">
        <f t="array" ref="N1171">IF(TRIM(K1171)="Mano de Obra",IF(Formulario!$L$23&lt;&gt;"",Formulario!$L$23,IFERROR(VLOOKUP(TRIM($M$4),Jornalesdeppto!A:C,3,0),"")),_xlfn.XLOOKUP(1,(Tabla_Costos_Insumos!$A$2:$A$2928=TRIM($M$4))*(Tabla_Costos_Insumos!$C$2:$C$2928=TRIM(K1171)),Tabla_Costos_Insumos!$E$2:$E$2928,"",0))</f>
        <v>46666.666666666664</v>
      </c>
      <c r="O1171" s="442">
        <f>IF(OR(N1171=0,N1171=""),"",N1171*M1171)</f>
        <v>746666.66666666663</v>
      </c>
      <c r="P1171" s="212" t="str">
        <f t="shared" si="242"/>
        <v>Mandarina Común</v>
      </c>
      <c r="Q1171" s="212"/>
      <c r="R1171" s="212"/>
      <c r="S1171" s="212"/>
      <c r="T1171" s="212" cm="1">
        <f t="array" ref="T1171">_xlfn.IFS($D$5&lt;=7, 1.1, $D$5&lt;=12,1.2, $D$5&lt;=25, 1.3, $D$5&gt;25,1.4)</f>
        <v>1.3</v>
      </c>
      <c r="U1171" s="212"/>
      <c r="V1171" s="212"/>
      <c r="W1171" s="212"/>
      <c r="X1171" s="214">
        <v>12</v>
      </c>
    </row>
    <row r="1172" spans="1:24" ht="15">
      <c r="A1172" s="397" t="s">
        <v>270</v>
      </c>
      <c r="B1172" s="436" t="s">
        <v>258</v>
      </c>
      <c r="C1172" s="398" t="s">
        <v>4573</v>
      </c>
      <c r="D1172" s="399" t="s">
        <v>99</v>
      </c>
      <c r="E1172" s="398" t="s">
        <v>100</v>
      </c>
      <c r="F1172" s="398" t="s">
        <v>101</v>
      </c>
      <c r="G1172" s="398" t="s">
        <v>102</v>
      </c>
      <c r="H1172" s="398" t="s">
        <v>214</v>
      </c>
      <c r="I1172" s="398" t="s">
        <v>20</v>
      </c>
      <c r="J1172" s="398" t="s">
        <v>105</v>
      </c>
      <c r="K1172" s="398" t="s">
        <v>106</v>
      </c>
      <c r="L1172" s="398" t="s">
        <v>107</v>
      </c>
      <c r="M1172" s="217">
        <f>IF(W1172&lt;&gt;"", W1172, ROUNDUP(X1172*T1172, 0))</f>
        <v>7</v>
      </c>
      <c r="N1172" s="442" cm="1">
        <f t="array" ref="N1172">IF(TRIM(K1172)="Mano de Obra",IF(Formulario!$L$23&lt;&gt;"",Formulario!$L$23,IFERROR(VLOOKUP(TRIM($M$4),Jornalesdeppto!A:C,3,0),"")),_xlfn.XLOOKUP(1,(Tabla_Costos_Insumos!$A$2:$A$2928=TRIM($M$4))*(Tabla_Costos_Insumos!$C$2:$C$2928=TRIM(K1172)),Tabla_Costos_Insumos!$E$2:$E$2928,"",0))</f>
        <v>46666.666666666664</v>
      </c>
      <c r="O1172" s="442">
        <f>IF(OR(N1172=0,N1172=""),"",N1172*M1172)</f>
        <v>326666.66666666663</v>
      </c>
      <c r="P1172" s="212" t="str">
        <f t="shared" si="242"/>
        <v>Mandarina Común</v>
      </c>
      <c r="Q1172" s="212"/>
      <c r="R1172" s="212"/>
      <c r="S1172" s="212"/>
      <c r="T1172" s="212" cm="1">
        <f t="array" ref="T1172">_xlfn.IFS($D$5&lt;=7, 1.1, $D$5&lt;=12,1.2, $D$5&lt;=25, 1.3, $D$5&gt;25,1.4)</f>
        <v>1.3</v>
      </c>
      <c r="U1172" s="212"/>
      <c r="V1172" s="212"/>
      <c r="W1172" s="212"/>
      <c r="X1172" s="214">
        <v>5</v>
      </c>
    </row>
    <row r="1173" spans="1:24" ht="15">
      <c r="A1173" s="397" t="s">
        <v>270</v>
      </c>
      <c r="B1173" s="436" t="s">
        <v>258</v>
      </c>
      <c r="C1173" s="398" t="s">
        <v>4573</v>
      </c>
      <c r="D1173" s="399" t="s">
        <v>189</v>
      </c>
      <c r="E1173" s="398" t="s">
        <v>190</v>
      </c>
      <c r="F1173" s="398" t="s">
        <v>191</v>
      </c>
      <c r="G1173" s="398" t="s">
        <v>192</v>
      </c>
      <c r="H1173" s="398" t="s">
        <v>193</v>
      </c>
      <c r="I1173" s="398" t="s">
        <v>194</v>
      </c>
      <c r="J1173" s="398" t="s">
        <v>195</v>
      </c>
      <c r="K1173" s="398" t="s">
        <v>196</v>
      </c>
      <c r="L1173" s="398" t="s">
        <v>197</v>
      </c>
      <c r="M1173" s="217">
        <v>1</v>
      </c>
      <c r="N1173" s="442">
        <f>IFERROR(SUM(O1170:O1172)*0.08,0)</f>
        <v>126933.33333333333</v>
      </c>
      <c r="O1173" s="442">
        <f t="shared" ref="O1173" si="254">IF(OR(N1173=0,N1173=""),"",N1173*M1173)</f>
        <v>126933.33333333333</v>
      </c>
      <c r="P1173" s="212" t="str">
        <f t="shared" si="242"/>
        <v>Mandarina Común</v>
      </c>
      <c r="Q1173" s="212" t="s">
        <v>142</v>
      </c>
      <c r="R1173" s="212"/>
      <c r="S1173" s="212"/>
      <c r="T1173" s="212" cm="1">
        <f t="array" ref="T1173">_xlfn.IFS($D$5&lt;=7, 1.1, $D$5&lt;=12,1.2, $D$5&lt;=25, 1.3, $D$5&gt;25,1.4)</f>
        <v>1.3</v>
      </c>
      <c r="U1173" s="212"/>
      <c r="V1173" s="212"/>
      <c r="W1173" s="212"/>
      <c r="X1173" s="214">
        <v>1</v>
      </c>
    </row>
    <row r="1174" spans="1:24" ht="15">
      <c r="A1174" s="400" t="s">
        <v>274</v>
      </c>
      <c r="B1174" s="437" t="s">
        <v>275</v>
      </c>
      <c r="C1174" s="401" t="s">
        <v>4573</v>
      </c>
      <c r="D1174" s="402" t="s">
        <v>99</v>
      </c>
      <c r="E1174" s="401" t="s">
        <v>100</v>
      </c>
      <c r="F1174" s="401" t="s">
        <v>101</v>
      </c>
      <c r="G1174" s="401" t="s">
        <v>102</v>
      </c>
      <c r="H1174" s="401" t="s">
        <v>4574</v>
      </c>
      <c r="I1174" s="401" t="s">
        <v>4575</v>
      </c>
      <c r="J1174" s="401" t="s">
        <v>105</v>
      </c>
      <c r="K1174" s="401" t="s">
        <v>106</v>
      </c>
      <c r="L1174" s="401" t="s">
        <v>107</v>
      </c>
      <c r="M1174" s="217">
        <f>IF(W1174&lt;&gt;"", W1174, ROUNDUP(X1174*T1174, 0))</f>
        <v>13</v>
      </c>
      <c r="N1174" s="442" cm="1">
        <f t="array" ref="N1174">IF(TRIM(K1174)="Mano de Obra",IF(Formulario!$L$23&lt;&gt;"",Formulario!$L$23,IFERROR(VLOOKUP(TRIM($M$4),Jornalesdeppto!A:C,3,0),"")),_xlfn.XLOOKUP(1,(Tabla_Costos_Insumos!$A$2:$A$2928=TRIM($M$4))*(Tabla_Costos_Insumos!$C$2:$C$2928=TRIM(K1174)),Tabla_Costos_Insumos!$E$2:$E$2928,"",0))</f>
        <v>46666.666666666664</v>
      </c>
      <c r="O1174" s="442">
        <f>IF(OR(N1174=0,N1174=""),"",N1174*M1174)</f>
        <v>606666.66666666663</v>
      </c>
      <c r="P1174" s="212" t="str">
        <f t="shared" si="242"/>
        <v>Mango Tommy</v>
      </c>
      <c r="Q1174" s="212"/>
      <c r="R1174" s="212"/>
      <c r="S1174" s="212"/>
      <c r="T1174" s="212" cm="1">
        <f t="array" ref="T1174">_xlfn.IFS($D$5&lt;=7, 1.1, $D$5&lt;=12,1.2, $D$5&lt;=25, 1.3, $D$5&gt;25,1.4)</f>
        <v>1.3</v>
      </c>
      <c r="U1174" s="212"/>
      <c r="V1174" s="212"/>
      <c r="W1174" s="212"/>
      <c r="X1174" s="214">
        <v>10</v>
      </c>
    </row>
    <row r="1175" spans="1:24" ht="15">
      <c r="A1175" s="400" t="s">
        <v>274</v>
      </c>
      <c r="B1175" s="437" t="s">
        <v>275</v>
      </c>
      <c r="C1175" s="401" t="s">
        <v>4573</v>
      </c>
      <c r="D1175" s="402" t="s">
        <v>99</v>
      </c>
      <c r="E1175" s="401" t="s">
        <v>100</v>
      </c>
      <c r="F1175" s="401" t="s">
        <v>101</v>
      </c>
      <c r="G1175" s="401" t="s">
        <v>102</v>
      </c>
      <c r="H1175" s="401" t="s">
        <v>4576</v>
      </c>
      <c r="I1175" s="401" t="s">
        <v>4577</v>
      </c>
      <c r="J1175" s="401" t="s">
        <v>105</v>
      </c>
      <c r="K1175" s="401" t="s">
        <v>106</v>
      </c>
      <c r="L1175" s="401" t="s">
        <v>107</v>
      </c>
      <c r="M1175" s="217">
        <f>IF(W1175&lt;&gt;"", W1175, ROUNDUP(X1175*T1175, 0))</f>
        <v>26</v>
      </c>
      <c r="N1175" s="442" cm="1">
        <f t="array" ref="N1175">IF(TRIM(K1175)="Mano de Obra",IF(Formulario!$L$23&lt;&gt;"",Formulario!$L$23,IFERROR(VLOOKUP(TRIM($M$4),Jornalesdeppto!A:C,3,0),"")),_xlfn.XLOOKUP(1,(Tabla_Costos_Insumos!$A$2:$A$2928=TRIM($M$4))*(Tabla_Costos_Insumos!$C$2:$C$2928=TRIM(K1175)),Tabla_Costos_Insumos!$E$2:$E$2928,"",0))</f>
        <v>46666.666666666664</v>
      </c>
      <c r="O1175" s="442">
        <f>IF(OR(N1175=0,N1175=""),"",N1175*M1175)</f>
        <v>1213333.3333333333</v>
      </c>
      <c r="P1175" s="212" t="str">
        <f t="shared" si="242"/>
        <v>Mango Tommy</v>
      </c>
      <c r="Q1175" s="212"/>
      <c r="R1175" s="212"/>
      <c r="S1175" s="212"/>
      <c r="T1175" s="212" cm="1">
        <f t="array" ref="T1175">_xlfn.IFS($D$5&lt;=7, 1.1, $D$5&lt;=12,1.2, $D$5&lt;=25, 1.3, $D$5&gt;25,1.4)</f>
        <v>1.3</v>
      </c>
      <c r="U1175" s="212"/>
      <c r="V1175" s="212"/>
      <c r="W1175" s="212"/>
      <c r="X1175" s="214">
        <v>20</v>
      </c>
    </row>
    <row r="1176" spans="1:24" ht="15">
      <c r="A1176" s="400" t="s">
        <v>274</v>
      </c>
      <c r="B1176" s="437" t="s">
        <v>275</v>
      </c>
      <c r="C1176" s="401" t="s">
        <v>4573</v>
      </c>
      <c r="D1176" s="402" t="s">
        <v>99</v>
      </c>
      <c r="E1176" s="401" t="s">
        <v>100</v>
      </c>
      <c r="F1176" s="401" t="s">
        <v>101</v>
      </c>
      <c r="G1176" s="401" t="s">
        <v>102</v>
      </c>
      <c r="H1176" s="401" t="s">
        <v>214</v>
      </c>
      <c r="I1176" s="401" t="s">
        <v>20</v>
      </c>
      <c r="J1176" s="401" t="s">
        <v>105</v>
      </c>
      <c r="K1176" s="401" t="s">
        <v>106</v>
      </c>
      <c r="L1176" s="401" t="s">
        <v>107</v>
      </c>
      <c r="M1176" s="217">
        <v>5</v>
      </c>
      <c r="N1176" s="442" cm="1">
        <f t="array" ref="N1176">IF(TRIM(K1176)="Mano de Obra",IF(Formulario!$L$23&lt;&gt;"",Formulario!$L$23,IFERROR(VLOOKUP(TRIM($M$4),Jornalesdeppto!A:C,3,0),"")),_xlfn.XLOOKUP(1,(Tabla_Costos_Insumos!$A$2:$A$2928=TRIM($M$4))*(Tabla_Costos_Insumos!$C$2:$C$2928=TRIM(K1176)),Tabla_Costos_Insumos!$E$2:$E$2928,"",0))</f>
        <v>46666.666666666664</v>
      </c>
      <c r="O1176" s="442">
        <f>IF(OR(N1176=0,N1176=""),"",N1176*M1176)</f>
        <v>233333.33333333331</v>
      </c>
      <c r="P1176" s="212" t="str">
        <f t="shared" si="242"/>
        <v>Mango Tommy</v>
      </c>
      <c r="Q1176" s="212"/>
      <c r="R1176" s="212"/>
      <c r="S1176" s="212"/>
      <c r="T1176" s="212" cm="1">
        <f t="array" ref="T1176">_xlfn.IFS($D$5&lt;=7, 1.1, $D$5&lt;=12,1.2, $D$5&lt;=25, 1.3, $D$5&gt;25,1.4)</f>
        <v>1.3</v>
      </c>
      <c r="U1176" s="212"/>
      <c r="V1176" s="212"/>
      <c r="W1176" s="212"/>
      <c r="X1176" s="214">
        <v>5</v>
      </c>
    </row>
    <row r="1177" spans="1:24" ht="15">
      <c r="A1177" s="400" t="s">
        <v>274</v>
      </c>
      <c r="B1177" s="437" t="s">
        <v>275</v>
      </c>
      <c r="C1177" s="401" t="s">
        <v>4573</v>
      </c>
      <c r="D1177" s="402" t="s">
        <v>189</v>
      </c>
      <c r="E1177" s="401" t="s">
        <v>190</v>
      </c>
      <c r="F1177" s="401" t="s">
        <v>191</v>
      </c>
      <c r="G1177" s="401" t="s">
        <v>192</v>
      </c>
      <c r="H1177" s="401" t="s">
        <v>193</v>
      </c>
      <c r="I1177" s="401" t="s">
        <v>194</v>
      </c>
      <c r="J1177" s="401" t="s">
        <v>195</v>
      </c>
      <c r="K1177" s="401" t="s">
        <v>196</v>
      </c>
      <c r="L1177" s="401" t="s">
        <v>197</v>
      </c>
      <c r="M1177" s="217">
        <v>1</v>
      </c>
      <c r="N1177" s="442">
        <f>IFERROR(SUM(O1174:O1176)*0.08,0)</f>
        <v>164266.66666666666</v>
      </c>
      <c r="O1177" s="442">
        <f t="shared" ref="O1177" si="255">IF(OR(N1177=0,N1177=""),"",N1177*M1177)</f>
        <v>164266.66666666666</v>
      </c>
      <c r="P1177" s="212" t="str">
        <f t="shared" si="242"/>
        <v>Mango Tommy</v>
      </c>
      <c r="Q1177" s="212" t="s">
        <v>142</v>
      </c>
      <c r="R1177" s="212"/>
      <c r="S1177" s="212"/>
      <c r="T1177" s="212" cm="1">
        <f t="array" ref="T1177">_xlfn.IFS($D$5&lt;=7, 1.1, $D$5&lt;=12,1.2, $D$5&lt;=25, 1.3, $D$5&gt;25,1.4)</f>
        <v>1.3</v>
      </c>
      <c r="U1177" s="212"/>
      <c r="V1177" s="212"/>
      <c r="W1177" s="212"/>
      <c r="X1177" s="214">
        <v>1</v>
      </c>
    </row>
    <row r="1178" spans="1:24" ht="15">
      <c r="A1178" s="403" t="s">
        <v>3774</v>
      </c>
      <c r="B1178" s="438" t="s">
        <v>287</v>
      </c>
      <c r="C1178" s="404" t="s">
        <v>4573</v>
      </c>
      <c r="D1178" s="405" t="s">
        <v>99</v>
      </c>
      <c r="E1178" s="404" t="s">
        <v>100</v>
      </c>
      <c r="F1178" s="404" t="s">
        <v>101</v>
      </c>
      <c r="G1178" s="404" t="s">
        <v>102</v>
      </c>
      <c r="H1178" s="404" t="s">
        <v>4574</v>
      </c>
      <c r="I1178" s="404" t="s">
        <v>4575</v>
      </c>
      <c r="J1178" s="404" t="s">
        <v>105</v>
      </c>
      <c r="K1178" s="404" t="s">
        <v>106</v>
      </c>
      <c r="L1178" s="404" t="s">
        <v>107</v>
      </c>
      <c r="M1178" s="217">
        <f>IF(W1178&lt;&gt;"", W1178, ROUNDUP(X1178*T1178, 0))</f>
        <v>13</v>
      </c>
      <c r="N1178" s="442" cm="1">
        <f t="array" ref="N1178">IF(TRIM(K1178)="Mano de Obra",IF(Formulario!$L$23&lt;&gt;"",Formulario!$L$23,IFERROR(VLOOKUP(TRIM($M$4),Jornalesdeppto!A:C,3,0),"")),_xlfn.XLOOKUP(1,(Tabla_Costos_Insumos!$A$2:$A$2928=TRIM($M$4))*(Tabla_Costos_Insumos!$C$2:$C$2928=TRIM(K1178)),Tabla_Costos_Insumos!$E$2:$E$2928,"",0))</f>
        <v>46666.666666666664</v>
      </c>
      <c r="O1178" s="442">
        <f>IF(OR(N1178=0,N1178=""),"",N1178*M1178)</f>
        <v>606666.66666666663</v>
      </c>
      <c r="P1178" s="212" t="str">
        <f t="shared" si="242"/>
        <v>Palma_Aceite Elaeis guineensis</v>
      </c>
      <c r="Q1178" s="212"/>
      <c r="R1178" s="212"/>
      <c r="S1178" s="212"/>
      <c r="T1178" s="212" cm="1">
        <f t="array" ref="T1178">_xlfn.IFS($D$5&lt;=7, 1.1, $D$5&lt;=12,1.2, $D$5&lt;=25, 1.3, $D$5&gt;25,1.4)</f>
        <v>1.3</v>
      </c>
      <c r="U1178" s="212"/>
      <c r="V1178" s="212"/>
      <c r="W1178" s="212"/>
      <c r="X1178" s="214">
        <v>10</v>
      </c>
    </row>
    <row r="1179" spans="1:24" ht="15">
      <c r="A1179" s="403" t="s">
        <v>3774</v>
      </c>
      <c r="B1179" s="438" t="s">
        <v>287</v>
      </c>
      <c r="C1179" s="404" t="s">
        <v>4573</v>
      </c>
      <c r="D1179" s="405" t="s">
        <v>99</v>
      </c>
      <c r="E1179" s="404" t="s">
        <v>100</v>
      </c>
      <c r="F1179" s="404" t="s">
        <v>101</v>
      </c>
      <c r="G1179" s="404" t="s">
        <v>102</v>
      </c>
      <c r="H1179" s="404" t="s">
        <v>4576</v>
      </c>
      <c r="I1179" s="404" t="s">
        <v>4577</v>
      </c>
      <c r="J1179" s="404" t="s">
        <v>105</v>
      </c>
      <c r="K1179" s="404" t="s">
        <v>106</v>
      </c>
      <c r="L1179" s="404" t="s">
        <v>107</v>
      </c>
      <c r="M1179" s="217">
        <f>IF(W1179&lt;&gt;"", W1179, ROUNDUP(X1179*T1179, 0))</f>
        <v>26</v>
      </c>
      <c r="N1179" s="442" cm="1">
        <f t="array" ref="N1179">IF(TRIM(K1179)="Mano de Obra",IF(Formulario!$L$23&lt;&gt;"",Formulario!$L$23,IFERROR(VLOOKUP(TRIM($M$4),Jornalesdeppto!A:C,3,0),"")),_xlfn.XLOOKUP(1,(Tabla_Costos_Insumos!$A$2:$A$2928=TRIM($M$4))*(Tabla_Costos_Insumos!$C$2:$C$2928=TRIM(K1179)),Tabla_Costos_Insumos!$E$2:$E$2928,"",0))</f>
        <v>46666.666666666664</v>
      </c>
      <c r="O1179" s="442">
        <f>IF(OR(N1179=0,N1179=""),"",N1179*M1179)</f>
        <v>1213333.3333333333</v>
      </c>
      <c r="P1179" s="212" t="str">
        <f t="shared" si="242"/>
        <v>Palma_Aceite Elaeis guineensis</v>
      </c>
      <c r="Q1179" s="212"/>
      <c r="R1179" s="212"/>
      <c r="S1179" s="212"/>
      <c r="T1179" s="212" cm="1">
        <f t="array" ref="T1179">_xlfn.IFS($D$5&lt;=7, 1.1, $D$5&lt;=12,1.2, $D$5&lt;=25, 1.3, $D$5&gt;25,1.4)</f>
        <v>1.3</v>
      </c>
      <c r="U1179" s="212"/>
      <c r="V1179" s="212"/>
      <c r="W1179" s="212"/>
      <c r="X1179" s="214">
        <v>20</v>
      </c>
    </row>
    <row r="1180" spans="1:24" ht="15">
      <c r="A1180" s="403" t="s">
        <v>3774</v>
      </c>
      <c r="B1180" s="438" t="s">
        <v>287</v>
      </c>
      <c r="C1180" s="404" t="s">
        <v>4573</v>
      </c>
      <c r="D1180" s="405" t="s">
        <v>99</v>
      </c>
      <c r="E1180" s="404" t="s">
        <v>100</v>
      </c>
      <c r="F1180" s="404" t="s">
        <v>101</v>
      </c>
      <c r="G1180" s="404" t="s">
        <v>102</v>
      </c>
      <c r="H1180" s="404" t="s">
        <v>214</v>
      </c>
      <c r="I1180" s="404" t="s">
        <v>20</v>
      </c>
      <c r="J1180" s="404" t="s">
        <v>105</v>
      </c>
      <c r="K1180" s="404" t="s">
        <v>106</v>
      </c>
      <c r="L1180" s="404" t="s">
        <v>107</v>
      </c>
      <c r="M1180" s="217">
        <f>IF(W1180&lt;&gt;"", W1180, ROUNDUP(X1180*T1180, 0))</f>
        <v>7</v>
      </c>
      <c r="N1180" s="442" cm="1">
        <f t="array" ref="N1180">IF(TRIM(K1180)="Mano de Obra",IF(Formulario!$L$23&lt;&gt;"",Formulario!$L$23,IFERROR(VLOOKUP(TRIM($M$4),Jornalesdeppto!A:C,3,0),"")),_xlfn.XLOOKUP(1,(Tabla_Costos_Insumos!$A$2:$A$2928=TRIM($M$4))*(Tabla_Costos_Insumos!$C$2:$C$2928=TRIM(K1180)),Tabla_Costos_Insumos!$E$2:$E$2928,"",0))</f>
        <v>46666.666666666664</v>
      </c>
      <c r="O1180" s="442">
        <f t="shared" ref="O1180:O1181" si="256">IF(OR(N1180=0,N1180=""),"",N1180*M1180)</f>
        <v>326666.66666666663</v>
      </c>
      <c r="P1180" s="212" t="str">
        <f t="shared" si="242"/>
        <v>Palma_Aceite Elaeis guineensis</v>
      </c>
      <c r="Q1180" s="212" t="s">
        <v>108</v>
      </c>
      <c r="R1180" s="212"/>
      <c r="S1180" s="212" t="str">
        <f>IF($M$3="Palma_Aceite Elaeis guineensis",($I$3*R1180) / 480,"")</f>
        <v/>
      </c>
      <c r="T1180" s="212" cm="1">
        <f t="array" ref="T1180">_xlfn.IFS($D$5&lt;=7, 1.1, $D$5&lt;=12,1.2, $D$5&lt;=25, 1.3, $D$5&gt;25,1.4)</f>
        <v>1.3</v>
      </c>
      <c r="U1180" s="212"/>
      <c r="V1180" s="212"/>
      <c r="W1180" s="212"/>
      <c r="X1180" s="214">
        <v>5</v>
      </c>
    </row>
    <row r="1181" spans="1:24" ht="15">
      <c r="A1181" s="403" t="s">
        <v>3774</v>
      </c>
      <c r="B1181" s="438" t="s">
        <v>287</v>
      </c>
      <c r="C1181" s="404" t="s">
        <v>4573</v>
      </c>
      <c r="D1181" s="405" t="s">
        <v>189</v>
      </c>
      <c r="E1181" s="404" t="s">
        <v>190</v>
      </c>
      <c r="F1181" s="404" t="s">
        <v>191</v>
      </c>
      <c r="G1181" s="404" t="s">
        <v>192</v>
      </c>
      <c r="H1181" s="404" t="s">
        <v>193</v>
      </c>
      <c r="I1181" s="404" t="s">
        <v>194</v>
      </c>
      <c r="J1181" s="404" t="s">
        <v>195</v>
      </c>
      <c r="K1181" s="404" t="s">
        <v>196</v>
      </c>
      <c r="L1181" s="404" t="s">
        <v>197</v>
      </c>
      <c r="M1181" s="217">
        <v>1</v>
      </c>
      <c r="N1181" s="442">
        <f>IFERROR(SUM(O1178:O1180)*0.08,0)</f>
        <v>171733.33333333331</v>
      </c>
      <c r="O1181" s="442">
        <f t="shared" si="256"/>
        <v>171733.33333333331</v>
      </c>
      <c r="P1181" s="212" t="str">
        <f t="shared" si="242"/>
        <v>Palma_Aceite Elaeis guineensis</v>
      </c>
      <c r="Q1181" s="212" t="s">
        <v>142</v>
      </c>
      <c r="R1181" s="212"/>
      <c r="S1181" s="212"/>
      <c r="T1181" s="212" cm="1">
        <f t="array" ref="T1181">_xlfn.IFS($D$5&lt;=7, 1.1, $D$5&lt;=12,1.2, $D$5&lt;=25, 1.3, $D$5&gt;25,1.4)</f>
        <v>1.3</v>
      </c>
      <c r="U1181" s="212"/>
      <c r="V1181" s="212"/>
      <c r="W1181" s="212"/>
      <c r="X1181" s="214">
        <v>1</v>
      </c>
    </row>
    <row r="1182" spans="1:24" ht="15">
      <c r="A1182" s="403" t="s">
        <v>3774</v>
      </c>
      <c r="B1182" s="439" t="s">
        <v>301</v>
      </c>
      <c r="C1182" s="406" t="s">
        <v>4573</v>
      </c>
      <c r="D1182" s="407" t="s">
        <v>99</v>
      </c>
      <c r="E1182" s="406" t="s">
        <v>100</v>
      </c>
      <c r="F1182" s="406" t="s">
        <v>101</v>
      </c>
      <c r="G1182" s="406" t="s">
        <v>102</v>
      </c>
      <c r="H1182" s="406" t="s">
        <v>4574</v>
      </c>
      <c r="I1182" s="406" t="s">
        <v>4575</v>
      </c>
      <c r="J1182" s="406" t="s">
        <v>105</v>
      </c>
      <c r="K1182" s="406" t="s">
        <v>106</v>
      </c>
      <c r="L1182" s="406" t="s">
        <v>107</v>
      </c>
      <c r="M1182" s="217">
        <f>IF(W1182&lt;&gt;"", W1182, ROUNDUP(X1182*T1182, 0))</f>
        <v>26</v>
      </c>
      <c r="N1182" s="442" cm="1">
        <f t="array" ref="N1182">IF(TRIM(K1182)="Mano de Obra",IF(Formulario!$L$23&lt;&gt;"",Formulario!$L$23,IFERROR(VLOOKUP(TRIM($M$4),Jornalesdeppto!A:C,3,0),"")),_xlfn.XLOOKUP(1,(Tabla_Costos_Insumos!$A$2:$A$2928=TRIM($M$4))*(Tabla_Costos_Insumos!$C$2:$C$2928=TRIM(K1182)),Tabla_Costos_Insumos!$E$2:$E$2928,"",0))</f>
        <v>46666.666666666664</v>
      </c>
      <c r="O1182" s="442">
        <f>IF(OR(N1182=0,N1182=""),"",N1182*M1182)</f>
        <v>1213333.3333333333</v>
      </c>
      <c r="P1182" s="212" t="str">
        <f t="shared" si="242"/>
        <v>Palma_Aceite Hibrido (OxG)</v>
      </c>
      <c r="Q1182" s="212"/>
      <c r="R1182" s="212"/>
      <c r="S1182" s="212"/>
      <c r="T1182" s="212" cm="1">
        <f t="array" ref="T1182">_xlfn.IFS($D$5&lt;=7, 1.1, $D$5&lt;=12,1.2, $D$5&lt;=25, 1.3, $D$5&gt;25,1.4)</f>
        <v>1.3</v>
      </c>
      <c r="U1182" s="212"/>
      <c r="V1182" s="212"/>
      <c r="W1182" s="212"/>
      <c r="X1182" s="214">
        <v>20</v>
      </c>
    </row>
    <row r="1183" spans="1:24" ht="15">
      <c r="A1183" s="403" t="s">
        <v>3774</v>
      </c>
      <c r="B1183" s="439" t="s">
        <v>301</v>
      </c>
      <c r="C1183" s="406" t="s">
        <v>4573</v>
      </c>
      <c r="D1183" s="407" t="s">
        <v>99</v>
      </c>
      <c r="E1183" s="406" t="s">
        <v>100</v>
      </c>
      <c r="F1183" s="406" t="s">
        <v>101</v>
      </c>
      <c r="G1183" s="406" t="s">
        <v>102</v>
      </c>
      <c r="H1183" s="406" t="s">
        <v>4576</v>
      </c>
      <c r="I1183" s="406" t="s">
        <v>4577</v>
      </c>
      <c r="J1183" s="406" t="s">
        <v>105</v>
      </c>
      <c r="K1183" s="406" t="s">
        <v>106</v>
      </c>
      <c r="L1183" s="406" t="s">
        <v>107</v>
      </c>
      <c r="M1183" s="217">
        <f>IF(W1183&lt;&gt;"", W1183, ROUNDUP(X1183*T1183, 0))</f>
        <v>13</v>
      </c>
      <c r="N1183" s="442" cm="1">
        <f t="array" ref="N1183">IF(TRIM(K1183)="Mano de Obra",IF(Formulario!$L$23&lt;&gt;"",Formulario!$L$23,IFERROR(VLOOKUP(TRIM($M$4),Jornalesdeppto!A:C,3,0),"")),_xlfn.XLOOKUP(1,(Tabla_Costos_Insumos!$A$2:$A$2928=TRIM($M$4))*(Tabla_Costos_Insumos!$C$2:$C$2928=TRIM(K1183)),Tabla_Costos_Insumos!$E$2:$E$2928,"",0))</f>
        <v>46666.666666666664</v>
      </c>
      <c r="O1183" s="442">
        <f>IF(OR(N1183=0,N1183=""),"",N1183*M1183)</f>
        <v>606666.66666666663</v>
      </c>
      <c r="P1183" s="212" t="str">
        <f t="shared" si="242"/>
        <v>Palma_Aceite Hibrido (OxG)</v>
      </c>
      <c r="Q1183" s="212"/>
      <c r="R1183" s="212"/>
      <c r="S1183" s="212"/>
      <c r="T1183" s="212" cm="1">
        <f t="array" ref="T1183">_xlfn.IFS($D$5&lt;=7, 1.1, $D$5&lt;=12,1.2, $D$5&lt;=25, 1.3, $D$5&gt;25,1.4)</f>
        <v>1.3</v>
      </c>
      <c r="U1183" s="212"/>
      <c r="V1183" s="212"/>
      <c r="W1183" s="212"/>
      <c r="X1183" s="214">
        <v>10</v>
      </c>
    </row>
    <row r="1184" spans="1:24" ht="15">
      <c r="A1184" s="403" t="s">
        <v>3774</v>
      </c>
      <c r="B1184" s="439" t="s">
        <v>301</v>
      </c>
      <c r="C1184" s="406" t="s">
        <v>4573</v>
      </c>
      <c r="D1184" s="407" t="s">
        <v>99</v>
      </c>
      <c r="E1184" s="406" t="s">
        <v>100</v>
      </c>
      <c r="F1184" s="406" t="s">
        <v>101</v>
      </c>
      <c r="G1184" s="406" t="s">
        <v>102</v>
      </c>
      <c r="H1184" s="406" t="s">
        <v>214</v>
      </c>
      <c r="I1184" s="406" t="s">
        <v>20</v>
      </c>
      <c r="J1184" s="406" t="s">
        <v>105</v>
      </c>
      <c r="K1184" s="406" t="s">
        <v>106</v>
      </c>
      <c r="L1184" s="406" t="s">
        <v>107</v>
      </c>
      <c r="M1184" s="217">
        <f>IF(W1184&lt;&gt;"", W1184, ROUNDUP(X1184*T1184, 0))</f>
        <v>8</v>
      </c>
      <c r="N1184" s="442" cm="1">
        <f t="array" ref="N1184">IF(TRIM(K1184)="Mano de Obra",IF(Formulario!$L$23&lt;&gt;"",Formulario!$L$23,IFERROR(VLOOKUP(TRIM($M$4),Jornalesdeppto!A:C,3,0),"")),_xlfn.XLOOKUP(1,(Tabla_Costos_Insumos!$A$2:$A$2928=TRIM($M$4))*(Tabla_Costos_Insumos!$C$2:$C$2928=TRIM(K1184)),Tabla_Costos_Insumos!$E$2:$E$2928,"",0))</f>
        <v>46666.666666666664</v>
      </c>
      <c r="O1184" s="442">
        <f t="shared" ref="O1184:O1185" si="257">IF(OR(N1184=0,N1184=""),"",N1184*M1184)</f>
        <v>373333.33333333331</v>
      </c>
      <c r="P1184" s="212" t="str">
        <f t="shared" si="242"/>
        <v>Palma_Aceite Hibrido (OxG)</v>
      </c>
      <c r="Q1184" s="212" t="s">
        <v>108</v>
      </c>
      <c r="R1184" s="212"/>
      <c r="S1184" s="212"/>
      <c r="T1184" s="212" cm="1">
        <f t="array" ref="T1184">_xlfn.IFS($D$5&lt;=7, 1.1, $D$5&lt;=12,1.2, $D$5&lt;=25, 1.3, $D$5&gt;25,1.4)</f>
        <v>1.3</v>
      </c>
      <c r="U1184" s="212"/>
      <c r="V1184" s="212"/>
      <c r="W1184" s="212"/>
      <c r="X1184" s="214">
        <v>6</v>
      </c>
    </row>
    <row r="1185" spans="1:24" ht="15">
      <c r="A1185" s="403" t="s">
        <v>3774</v>
      </c>
      <c r="B1185" s="439" t="s">
        <v>301</v>
      </c>
      <c r="C1185" s="406" t="s">
        <v>4573</v>
      </c>
      <c r="D1185" s="407" t="s">
        <v>189</v>
      </c>
      <c r="E1185" s="406" t="s">
        <v>190</v>
      </c>
      <c r="F1185" s="406" t="s">
        <v>191</v>
      </c>
      <c r="G1185" s="406" t="s">
        <v>192</v>
      </c>
      <c r="H1185" s="406" t="s">
        <v>193</v>
      </c>
      <c r="I1185" s="406" t="s">
        <v>194</v>
      </c>
      <c r="J1185" s="406" t="s">
        <v>195</v>
      </c>
      <c r="K1185" s="406" t="s">
        <v>196</v>
      </c>
      <c r="L1185" s="406" t="s">
        <v>197</v>
      </c>
      <c r="M1185" s="217">
        <v>1</v>
      </c>
      <c r="N1185" s="442">
        <f>IFERROR(SUM(O1182:O1184)*0.08,0)</f>
        <v>175466.66666666669</v>
      </c>
      <c r="O1185" s="442">
        <f t="shared" si="257"/>
        <v>175466.66666666669</v>
      </c>
      <c r="P1185" s="212" t="str">
        <f t="shared" si="242"/>
        <v>Palma_Aceite Hibrido (OxG)</v>
      </c>
      <c r="Q1185" s="212" t="s">
        <v>142</v>
      </c>
      <c r="R1185" s="212"/>
      <c r="S1185" s="212"/>
      <c r="T1185" s="212" cm="1">
        <f t="array" ref="T1185">_xlfn.IFS($D$5&lt;=7, 1.1, $D$5&lt;=12,1.2, $D$5&lt;=25, 1.3, $D$5&gt;25,1.4)</f>
        <v>1.3</v>
      </c>
      <c r="U1185" s="212"/>
      <c r="V1185" s="212"/>
      <c r="W1185" s="212"/>
      <c r="X1185" s="214">
        <v>1</v>
      </c>
    </row>
    <row r="1186" spans="1:24" ht="15">
      <c r="A1186" s="408" t="s">
        <v>306</v>
      </c>
      <c r="B1186" s="440" t="s">
        <v>307</v>
      </c>
      <c r="C1186" s="409" t="s">
        <v>4573</v>
      </c>
      <c r="D1186" s="410" t="s">
        <v>99</v>
      </c>
      <c r="E1186" s="409" t="s">
        <v>100</v>
      </c>
      <c r="F1186" s="409" t="s">
        <v>101</v>
      </c>
      <c r="G1186" s="409" t="s">
        <v>102</v>
      </c>
      <c r="H1186" s="409" t="s">
        <v>4574</v>
      </c>
      <c r="I1186" s="409" t="s">
        <v>4575</v>
      </c>
      <c r="J1186" s="409" t="s">
        <v>105</v>
      </c>
      <c r="K1186" s="409" t="s">
        <v>106</v>
      </c>
      <c r="L1186" s="409" t="s">
        <v>107</v>
      </c>
      <c r="M1186" s="217">
        <f>IF(W1186&lt;&gt;"", W1186, ROUNDUP(X1186*T1186, 0))</f>
        <v>13</v>
      </c>
      <c r="N1186" s="442" cm="1">
        <f t="array" ref="N1186">IF(TRIM(K1186)="Mano de Obra",IF(Formulario!$L$23&lt;&gt;"",Formulario!$L$23,IFERROR(VLOOKUP(TRIM($M$4),Jornalesdeppto!A:C,3,0),"")),_xlfn.XLOOKUP(1,(Tabla_Costos_Insumos!$A$2:$A$2928=TRIM($M$4))*(Tabla_Costos_Insumos!$C$2:$C$2928=TRIM(K1186)),Tabla_Costos_Insumos!$E$2:$E$2928,"",0))</f>
        <v>46666.666666666664</v>
      </c>
      <c r="O1186" s="442">
        <f>IF(OR(N1186=0,N1186=""),"",N1186*M1186)</f>
        <v>606666.66666666663</v>
      </c>
      <c r="P1186" s="212" t="str">
        <f t="shared" si="242"/>
        <v>Plátano Domínico hartón</v>
      </c>
      <c r="Q1186" s="212"/>
      <c r="R1186" s="212"/>
      <c r="S1186" s="212"/>
      <c r="T1186" s="212" cm="1">
        <f t="array" ref="T1186">_xlfn.IFS($D$5&lt;=7, 1.1, $D$5&lt;=12,1.2, $D$5&lt;=25, 1.3, $D$5&gt;25,1.4)</f>
        <v>1.3</v>
      </c>
      <c r="U1186" s="212"/>
      <c r="V1186" s="212"/>
      <c r="W1186" s="212"/>
      <c r="X1186" s="214">
        <v>10</v>
      </c>
    </row>
    <row r="1187" spans="1:24" ht="15">
      <c r="A1187" s="408" t="s">
        <v>306</v>
      </c>
      <c r="B1187" s="440" t="s">
        <v>307</v>
      </c>
      <c r="C1187" s="409" t="s">
        <v>4573</v>
      </c>
      <c r="D1187" s="410" t="s">
        <v>99</v>
      </c>
      <c r="E1187" s="409" t="s">
        <v>100</v>
      </c>
      <c r="F1187" s="409" t="s">
        <v>101</v>
      </c>
      <c r="G1187" s="409" t="s">
        <v>102</v>
      </c>
      <c r="H1187" s="409" t="s">
        <v>4576</v>
      </c>
      <c r="I1187" s="409" t="s">
        <v>4577</v>
      </c>
      <c r="J1187" s="409" t="s">
        <v>105</v>
      </c>
      <c r="K1187" s="409" t="s">
        <v>106</v>
      </c>
      <c r="L1187" s="409" t="s">
        <v>107</v>
      </c>
      <c r="M1187" s="217">
        <f>IF(W1187&lt;&gt;"", W1187, ROUNDUP(X1187*T1187, 0))</f>
        <v>7</v>
      </c>
      <c r="N1187" s="442" cm="1">
        <f t="array" ref="N1187">IF(TRIM(K1187)="Mano de Obra",IF(Formulario!$L$23&lt;&gt;"",Formulario!$L$23,IFERROR(VLOOKUP(TRIM($M$4),Jornalesdeppto!A:C,3,0),"")),_xlfn.XLOOKUP(1,(Tabla_Costos_Insumos!$A$2:$A$2928=TRIM($M$4))*(Tabla_Costos_Insumos!$C$2:$C$2928=TRIM(K1187)),Tabla_Costos_Insumos!$E$2:$E$2928,"",0))</f>
        <v>46666.666666666664</v>
      </c>
      <c r="O1187" s="442">
        <f>IF(OR(N1187=0,N1187=""),"",N1187*M1187)</f>
        <v>326666.66666666663</v>
      </c>
      <c r="P1187" s="212" t="str">
        <f t="shared" si="242"/>
        <v>Plátano Domínico hartón</v>
      </c>
      <c r="Q1187" s="212"/>
      <c r="R1187" s="212"/>
      <c r="S1187" s="212"/>
      <c r="T1187" s="212" cm="1">
        <f t="array" ref="T1187">_xlfn.IFS($D$5&lt;=7, 1.1, $D$5&lt;=12,1.2, $D$5&lt;=25, 1.3, $D$5&gt;25,1.4)</f>
        <v>1.3</v>
      </c>
      <c r="U1187" s="212"/>
      <c r="V1187" s="212"/>
      <c r="W1187" s="212"/>
      <c r="X1187" s="214">
        <v>5</v>
      </c>
    </row>
    <row r="1188" spans="1:24" ht="15">
      <c r="A1188" s="408" t="s">
        <v>306</v>
      </c>
      <c r="B1188" s="440" t="s">
        <v>307</v>
      </c>
      <c r="C1188" s="409" t="s">
        <v>4573</v>
      </c>
      <c r="D1188" s="410" t="s">
        <v>99</v>
      </c>
      <c r="E1188" s="409" t="s">
        <v>100</v>
      </c>
      <c r="F1188" s="409" t="s">
        <v>101</v>
      </c>
      <c r="G1188" s="409" t="s">
        <v>102</v>
      </c>
      <c r="H1188" s="409" t="s">
        <v>214</v>
      </c>
      <c r="I1188" s="409" t="s">
        <v>20</v>
      </c>
      <c r="J1188" s="409" t="s">
        <v>105</v>
      </c>
      <c r="K1188" s="409" t="s">
        <v>106</v>
      </c>
      <c r="L1188" s="409" t="s">
        <v>107</v>
      </c>
      <c r="M1188" s="217">
        <f>IF(W1188&lt;&gt;"", W1188, ROUNDUP(X1188*T1188, 0))</f>
        <v>7</v>
      </c>
      <c r="N1188" s="442" cm="1">
        <f t="array" ref="N1188">IF(TRIM(K1188)="Mano de Obra",IF(Formulario!$L$23&lt;&gt;"",Formulario!$L$23,IFERROR(VLOOKUP(TRIM($M$4),Jornalesdeppto!A:C,3,0),"")),_xlfn.XLOOKUP(1,(Tabla_Costos_Insumos!$A$2:$A$2928=TRIM($M$4))*(Tabla_Costos_Insumos!$C$2:$C$2928=TRIM(K1188)),Tabla_Costos_Insumos!$E$2:$E$2928,"",0))</f>
        <v>46666.666666666664</v>
      </c>
      <c r="O1188" s="442">
        <f t="shared" ref="O1188:O1189" si="258">IF(OR(N1188=0,N1188=""),"",N1188*M1188)</f>
        <v>326666.66666666663</v>
      </c>
      <c r="P1188" s="212" t="str">
        <f t="shared" si="242"/>
        <v>Plátano Domínico hartón</v>
      </c>
      <c r="Q1188" s="212" t="s">
        <v>108</v>
      </c>
      <c r="R1188" s="212"/>
      <c r="S1188" s="212"/>
      <c r="T1188" s="212" cm="1">
        <f t="array" ref="T1188">_xlfn.IFS($D$5&lt;=7, 1.1, $D$5&lt;=12,1.2, $D$5&lt;=25, 1.3, $D$5&gt;25,1.4)</f>
        <v>1.3</v>
      </c>
      <c r="U1188" s="212"/>
      <c r="V1188" s="212"/>
      <c r="W1188" s="212"/>
      <c r="X1188" s="214">
        <v>5</v>
      </c>
    </row>
    <row r="1189" spans="1:24" ht="15">
      <c r="A1189" s="408" t="s">
        <v>306</v>
      </c>
      <c r="B1189" s="440" t="s">
        <v>307</v>
      </c>
      <c r="C1189" s="409" t="s">
        <v>4573</v>
      </c>
      <c r="D1189" s="410" t="s">
        <v>189</v>
      </c>
      <c r="E1189" s="409" t="s">
        <v>190</v>
      </c>
      <c r="F1189" s="409" t="s">
        <v>191</v>
      </c>
      <c r="G1189" s="409" t="s">
        <v>192</v>
      </c>
      <c r="H1189" s="409" t="s">
        <v>193</v>
      </c>
      <c r="I1189" s="409" t="s">
        <v>194</v>
      </c>
      <c r="J1189" s="409" t="s">
        <v>195</v>
      </c>
      <c r="K1189" s="409" t="s">
        <v>196</v>
      </c>
      <c r="L1189" s="409" t="s">
        <v>197</v>
      </c>
      <c r="M1189" s="217">
        <v>1</v>
      </c>
      <c r="N1189" s="442">
        <f>IFERROR(SUM(O1186:O1188)*0.08,0)</f>
        <v>100800</v>
      </c>
      <c r="O1189" s="442">
        <f t="shared" si="258"/>
        <v>100800</v>
      </c>
      <c r="P1189" s="212" t="str">
        <f t="shared" si="242"/>
        <v>Plátano Domínico hartón</v>
      </c>
      <c r="Q1189" s="212" t="s">
        <v>142</v>
      </c>
      <c r="R1189" s="212"/>
      <c r="S1189" s="212" t="s">
        <v>142</v>
      </c>
      <c r="T1189" s="212" cm="1">
        <f t="array" ref="T1189">_xlfn.IFS($D$5&lt;=7, 1.1, $D$5&lt;=12,1.2, $D$5&lt;=25, 1.3, $D$5&gt;25,1.4)</f>
        <v>1.3</v>
      </c>
      <c r="U1189" s="212"/>
      <c r="V1189" s="212"/>
      <c r="W1189" s="212"/>
      <c r="X1189" s="214">
        <v>1</v>
      </c>
    </row>
    <row r="1190" spans="1:24" ht="15">
      <c r="A1190" s="411" t="s">
        <v>4604</v>
      </c>
      <c r="B1190" s="414" t="s">
        <v>4060</v>
      </c>
      <c r="C1190" s="412" t="s">
        <v>4573</v>
      </c>
      <c r="D1190" s="413" t="s">
        <v>99</v>
      </c>
      <c r="E1190" s="412" t="s">
        <v>100</v>
      </c>
      <c r="F1190" s="412" t="s">
        <v>101</v>
      </c>
      <c r="G1190" s="412" t="s">
        <v>102</v>
      </c>
      <c r="H1190" s="412" t="s">
        <v>4574</v>
      </c>
      <c r="I1190" s="412" t="s">
        <v>4575</v>
      </c>
      <c r="J1190" s="412" t="s">
        <v>105</v>
      </c>
      <c r="K1190" s="412" t="s">
        <v>106</v>
      </c>
      <c r="L1190" s="412" t="s">
        <v>107</v>
      </c>
      <c r="M1190" s="217">
        <f>IF(W1190&lt;&gt;"", W1190, ROUNDUP(X1190*T1190, 0))</f>
        <v>3</v>
      </c>
      <c r="N1190" s="442" cm="1">
        <f t="array" ref="N1190">IF(TRIM(K1190)="Mano de Obra",IF(Formulario!$L$23&lt;&gt;"",Formulario!$L$23,IFERROR(VLOOKUP(TRIM($M$4),Jornalesdeppto!A:C,3,0),"")),_xlfn.XLOOKUP(1,(Tabla_Costos_Insumos!$A$2:$A$2928=TRIM($M$4))*(Tabla_Costos_Insumos!$C$2:$C$2928=TRIM(K1190)),Tabla_Costos_Insumos!$E$2:$E$2928,"",0))</f>
        <v>46666.666666666664</v>
      </c>
      <c r="O1190" s="442">
        <f>IF(OR(N1190=0,N1190=""),"",N1190*M1190)</f>
        <v>140000</v>
      </c>
      <c r="P1190" s="212" t="str">
        <f t="shared" si="242"/>
        <v>Caña_Azucar CC 93-7711 Pierna Bella</v>
      </c>
      <c r="Q1190" s="212"/>
      <c r="R1190" s="212"/>
      <c r="S1190" s="212"/>
      <c r="T1190" s="212" cm="1">
        <f t="array" ref="T1190">_xlfn.IFS($D$5&lt;=7, 1.1, $D$5&lt;=12,1.2, $D$5&lt;=25, 1.3, $D$5&gt;25,1.4)</f>
        <v>1.3</v>
      </c>
      <c r="U1190" s="212"/>
      <c r="V1190" s="212"/>
      <c r="W1190" s="212"/>
      <c r="X1190" s="214">
        <v>2</v>
      </c>
    </row>
    <row r="1191" spans="1:24" ht="15">
      <c r="A1191" s="411" t="s">
        <v>4604</v>
      </c>
      <c r="B1191" s="414" t="s">
        <v>4060</v>
      </c>
      <c r="C1191" s="412" t="s">
        <v>4573</v>
      </c>
      <c r="D1191" s="413" t="s">
        <v>99</v>
      </c>
      <c r="E1191" s="412" t="s">
        <v>100</v>
      </c>
      <c r="F1191" s="412" t="s">
        <v>101</v>
      </c>
      <c r="G1191" s="412" t="s">
        <v>102</v>
      </c>
      <c r="H1191" s="412" t="s">
        <v>3823</v>
      </c>
      <c r="I1191" s="412" t="s">
        <v>3824</v>
      </c>
      <c r="J1191" s="412" t="s">
        <v>280</v>
      </c>
      <c r="K1191" s="412" t="s">
        <v>4118</v>
      </c>
      <c r="L1191" s="412" t="s">
        <v>281</v>
      </c>
      <c r="M1191" s="217">
        <v>4</v>
      </c>
      <c r="N1191" s="442">
        <v>72204</v>
      </c>
      <c r="O1191" s="442">
        <f t="shared" ref="O1191" si="259">IF(OR(N1191=0,N1191=""),"",N1191*M1191)</f>
        <v>288816</v>
      </c>
      <c r="P1191" s="212" t="str">
        <f t="shared" si="242"/>
        <v>Caña_Azucar CC 93-7711 Pierna Bella</v>
      </c>
      <c r="Q1191" s="212"/>
      <c r="R1191" s="212"/>
      <c r="S1191" s="212"/>
      <c r="T1191" s="212" cm="1">
        <f t="array" ref="T1191">_xlfn.IFS($D$5&lt;=7, 1.1, $D$5&lt;=12,1.2, $D$5&lt;=25, 1.3, $D$5&gt;25,1.4)</f>
        <v>1.3</v>
      </c>
      <c r="U1191" s="212"/>
      <c r="V1191" s="212"/>
      <c r="W1191" s="212"/>
      <c r="X1191" s="214">
        <v>4</v>
      </c>
    </row>
    <row r="1192" spans="1:24" ht="15">
      <c r="A1192" s="411" t="s">
        <v>4604</v>
      </c>
      <c r="B1192" s="414" t="s">
        <v>4060</v>
      </c>
      <c r="C1192" s="412" t="s">
        <v>4573</v>
      </c>
      <c r="D1192" s="413" t="s">
        <v>99</v>
      </c>
      <c r="E1192" s="412" t="s">
        <v>100</v>
      </c>
      <c r="F1192" s="412" t="s">
        <v>101</v>
      </c>
      <c r="G1192" s="412" t="s">
        <v>102</v>
      </c>
      <c r="H1192" s="412" t="s">
        <v>214</v>
      </c>
      <c r="I1192" s="412" t="s">
        <v>20</v>
      </c>
      <c r="J1192" s="412" t="s">
        <v>105</v>
      </c>
      <c r="K1192" s="412" t="s">
        <v>106</v>
      </c>
      <c r="L1192" s="412" t="s">
        <v>107</v>
      </c>
      <c r="M1192" s="217">
        <f>IF(W1192&lt;&gt;"", W1192, ROUNDUP(X1192*T1192, 0))</f>
        <v>3</v>
      </c>
      <c r="N1192" s="442" cm="1">
        <f t="array" ref="N1192">IF(TRIM(K1192)="Mano de Obra",IF(Formulario!$L$23&lt;&gt;"",Formulario!$L$23,IFERROR(VLOOKUP(TRIM($M$4),Jornalesdeppto!A:C,3,0),"")),_xlfn.XLOOKUP(1,(Tabla_Costos_Insumos!$A$2:$A$2928=TRIM($M$4))*(Tabla_Costos_Insumos!$C$2:$C$2928=TRIM(K1192)),Tabla_Costos_Insumos!$E$2:$E$2928,"",0))</f>
        <v>46666.666666666664</v>
      </c>
      <c r="O1192" s="442">
        <f>IF(OR(N1192=0,N1192=""),"",N1192*M1192)</f>
        <v>140000</v>
      </c>
      <c r="P1192" s="212" t="str">
        <f t="shared" si="242"/>
        <v>Caña_Azucar CC 93-7711 Pierna Bella</v>
      </c>
      <c r="Q1192" s="212"/>
      <c r="R1192" s="212"/>
      <c r="S1192" s="212"/>
      <c r="T1192" s="212" cm="1">
        <f t="array" ref="T1192">_xlfn.IFS($D$5&lt;=7, 1.1, $D$5&lt;=12,1.2, $D$5&lt;=25, 1.3, $D$5&gt;25,1.4)</f>
        <v>1.3</v>
      </c>
      <c r="U1192" s="212"/>
      <c r="V1192" s="212"/>
      <c r="W1192" s="212"/>
      <c r="X1192" s="214">
        <v>2</v>
      </c>
    </row>
    <row r="1193" spans="1:24" ht="15">
      <c r="A1193" s="411" t="s">
        <v>4604</v>
      </c>
      <c r="B1193" s="414" t="s">
        <v>4060</v>
      </c>
      <c r="C1193" s="412" t="s">
        <v>4573</v>
      </c>
      <c r="D1193" s="413" t="s">
        <v>99</v>
      </c>
      <c r="E1193" s="412" t="s">
        <v>100</v>
      </c>
      <c r="F1193" s="412" t="s">
        <v>123</v>
      </c>
      <c r="G1193" s="412" t="s">
        <v>124</v>
      </c>
      <c r="H1193" s="412" t="s">
        <v>125</v>
      </c>
      <c r="I1193" s="412" t="s">
        <v>4578</v>
      </c>
      <c r="J1193" s="412" t="s">
        <v>105</v>
      </c>
      <c r="K1193" s="412" t="s">
        <v>106</v>
      </c>
      <c r="L1193" s="412" t="s">
        <v>107</v>
      </c>
      <c r="M1193" s="217">
        <f>IF(W1193&lt;&gt;"", W1193, ROUNDUP(X1193*T1193, 0))</f>
        <v>3</v>
      </c>
      <c r="N1193" s="442" cm="1">
        <f t="array" ref="N1193">IF(TRIM(K1193)="Mano de Obra",IF(Formulario!$L$23&lt;&gt;"",Formulario!$L$23,IFERROR(VLOOKUP(TRIM($M$4),Jornalesdeppto!A:C,3,0),"")),_xlfn.XLOOKUP(1,(Tabla_Costos_Insumos!$A$2:$A$2928=TRIM($M$4))*(Tabla_Costos_Insumos!$C$2:$C$2928=TRIM(K1193)),Tabla_Costos_Insumos!$E$2:$E$2928,"",0))</f>
        <v>46666.666666666664</v>
      </c>
      <c r="O1193" s="442">
        <f>IF(OR(N1193=0,N1193=""),"",N1193*M1193)</f>
        <v>140000</v>
      </c>
      <c r="P1193" s="212" t="str">
        <f t="shared" si="242"/>
        <v>Caña_Azucar CC 93-7711 Pierna Bella</v>
      </c>
      <c r="Q1193" s="212"/>
      <c r="R1193" s="212"/>
      <c r="S1193" s="212"/>
      <c r="T1193" s="212" cm="1">
        <f t="array" ref="T1193">_xlfn.IFS($D$5&lt;=7, 1.1, $D$5&lt;=12,1.2, $D$5&lt;=25, 1.3, $D$5&gt;25,1.4)</f>
        <v>1.3</v>
      </c>
      <c r="U1193" s="212"/>
      <c r="V1193" s="212"/>
      <c r="W1193" s="212"/>
      <c r="X1193" s="214">
        <v>2</v>
      </c>
    </row>
    <row r="1194" spans="1:24" ht="15">
      <c r="A1194" s="411" t="s">
        <v>4604</v>
      </c>
      <c r="B1194" s="414" t="s">
        <v>4060</v>
      </c>
      <c r="C1194" s="412" t="s">
        <v>4573</v>
      </c>
      <c r="D1194" s="413" t="s">
        <v>145</v>
      </c>
      <c r="E1194" s="412" t="s">
        <v>146</v>
      </c>
      <c r="F1194" s="412" t="s">
        <v>167</v>
      </c>
      <c r="G1194" s="412" t="s">
        <v>118</v>
      </c>
      <c r="H1194" s="412" t="s">
        <v>174</v>
      </c>
      <c r="I1194" s="412" t="s">
        <v>175</v>
      </c>
      <c r="J1194" s="412" t="s">
        <v>176</v>
      </c>
      <c r="K1194" s="412" t="s">
        <v>262</v>
      </c>
      <c r="L1194" s="412" t="s">
        <v>4579</v>
      </c>
      <c r="M1194" s="217">
        <v>6</v>
      </c>
      <c r="N1194" s="442" cm="1">
        <f t="array" ref="N1194">_xlfn.XLOOKUP(1,(Tabla_Costos_Insumos!$A$2:$A$2928=TRIM($M$4))*(Tabla_Costos_Insumos!$C$2:$C$2928=TRIM(K1194)),Tabla_Costos_Insumos!$E$2:$E$2928,"",0)</f>
        <v>17500</v>
      </c>
      <c r="O1194" s="442">
        <f>IF(OR(N1194=0,N1194=""),"",N1194*M1194)</f>
        <v>105000</v>
      </c>
      <c r="P1194" s="212" t="str">
        <f t="shared" si="242"/>
        <v>Caña_Azucar CC 93-7711 Pierna Bella</v>
      </c>
      <c r="Q1194" s="212"/>
      <c r="R1194" s="212"/>
      <c r="S1194" s="212"/>
      <c r="T1194" s="212" cm="1">
        <f t="array" ref="T1194">_xlfn.IFS($D$5&lt;=7, 1.1, $D$5&lt;=12,1.2, $D$5&lt;=25, 1.3, $D$5&gt;25,1.4)</f>
        <v>1.3</v>
      </c>
      <c r="U1194" s="212"/>
      <c r="V1194" s="212"/>
      <c r="W1194" s="212"/>
      <c r="X1194" s="214">
        <v>6</v>
      </c>
    </row>
    <row r="1195" spans="1:24" ht="15">
      <c r="A1195" s="411" t="s">
        <v>4604</v>
      </c>
      <c r="B1195" s="414" t="s">
        <v>4060</v>
      </c>
      <c r="C1195" s="412" t="s">
        <v>4573</v>
      </c>
      <c r="D1195" s="413" t="s">
        <v>189</v>
      </c>
      <c r="E1195" s="412" t="s">
        <v>190</v>
      </c>
      <c r="F1195" s="412" t="s">
        <v>191</v>
      </c>
      <c r="G1195" s="412" t="s">
        <v>192</v>
      </c>
      <c r="H1195" s="412" t="s">
        <v>193</v>
      </c>
      <c r="I1195" s="412" t="s">
        <v>194</v>
      </c>
      <c r="J1195" s="412" t="s">
        <v>195</v>
      </c>
      <c r="K1195" s="412" t="s">
        <v>196</v>
      </c>
      <c r="L1195" s="412" t="s">
        <v>197</v>
      </c>
      <c r="M1195" s="217">
        <v>1</v>
      </c>
      <c r="N1195" s="442">
        <f>IFERROR(SUM(O1190:O1194)*0.08,0)</f>
        <v>65105.279999999999</v>
      </c>
      <c r="O1195" s="442">
        <f>IF(OR(N1195=0,N1195=""),"",N1195*M1195)</f>
        <v>65105.279999999999</v>
      </c>
      <c r="P1195" s="212" t="str">
        <f t="shared" si="242"/>
        <v>Caña_Azucar CC 93-7711 Pierna Bella</v>
      </c>
      <c r="Q1195" s="212"/>
      <c r="R1195" s="212"/>
      <c r="S1195" s="212"/>
      <c r="T1195" s="212" cm="1">
        <f t="array" ref="T1195">_xlfn.IFS($D$5&lt;=7, 1.1, $D$5&lt;=12,1.2, $D$5&lt;=25, 1.3, $D$5&gt;25,1.4)</f>
        <v>1.3</v>
      </c>
      <c r="U1195" s="212"/>
      <c r="V1195" s="212"/>
      <c r="W1195" s="212"/>
      <c r="X1195" s="214">
        <v>1</v>
      </c>
    </row>
    <row r="1196" spans="1:24" ht="15">
      <c r="A1196" s="411" t="s">
        <v>4604</v>
      </c>
      <c r="B1196" s="415" t="s">
        <v>4056</v>
      </c>
      <c r="C1196" s="416" t="s">
        <v>4573</v>
      </c>
      <c r="D1196" s="417" t="s">
        <v>99</v>
      </c>
      <c r="E1196" s="416" t="s">
        <v>100</v>
      </c>
      <c r="F1196" s="416" t="s">
        <v>101</v>
      </c>
      <c r="G1196" s="416" t="s">
        <v>102</v>
      </c>
      <c r="H1196" s="416" t="s">
        <v>4574</v>
      </c>
      <c r="I1196" s="416" t="s">
        <v>4575</v>
      </c>
      <c r="J1196" s="416" t="s">
        <v>105</v>
      </c>
      <c r="K1196" s="416" t="s">
        <v>106</v>
      </c>
      <c r="L1196" s="416" t="s">
        <v>107</v>
      </c>
      <c r="M1196" s="217">
        <f>IF(W1196&lt;&gt;"", W1196, ROUNDUP(X1196*T1196, 0))</f>
        <v>3</v>
      </c>
      <c r="N1196" s="442" cm="1">
        <f t="array" ref="N1196">IF(TRIM(K1196)="Mano de Obra",IF(Formulario!$L$23&lt;&gt;"",Formulario!$L$23,IFERROR(VLOOKUP(TRIM($M$4),Jornalesdeppto!A:C,3,0),"")),_xlfn.XLOOKUP(1,(Tabla_Costos_Insumos!$A$2:$A$2928=TRIM($M$4))*(Tabla_Costos_Insumos!$C$2:$C$2928=TRIM(K1196)),Tabla_Costos_Insumos!$E$2:$E$2928,"",0))</f>
        <v>46666.666666666664</v>
      </c>
      <c r="O1196" s="442">
        <f>IF(OR(N1196=0,N1196=""),"",N1196*M1196)</f>
        <v>140000</v>
      </c>
      <c r="P1196" s="212" t="str">
        <f t="shared" si="242"/>
        <v>Caña_Azucar Criolla</v>
      </c>
      <c r="Q1196" s="212"/>
      <c r="R1196" s="212"/>
      <c r="S1196" s="212"/>
      <c r="T1196" s="212" cm="1">
        <f t="array" ref="T1196">_xlfn.IFS($D$5&lt;=7, 1.1, $D$5&lt;=12,1.2, $D$5&lt;=25, 1.3, $D$5&gt;25,1.4)</f>
        <v>1.3</v>
      </c>
      <c r="U1196" s="212"/>
      <c r="V1196" s="212"/>
      <c r="W1196" s="212"/>
      <c r="X1196" s="214">
        <v>2</v>
      </c>
    </row>
    <row r="1197" spans="1:24" ht="15">
      <c r="A1197" s="411" t="s">
        <v>4604</v>
      </c>
      <c r="B1197" s="415" t="s">
        <v>4056</v>
      </c>
      <c r="C1197" s="416" t="s">
        <v>4573</v>
      </c>
      <c r="D1197" s="417" t="s">
        <v>99</v>
      </c>
      <c r="E1197" s="416" t="s">
        <v>100</v>
      </c>
      <c r="F1197" s="416" t="s">
        <v>101</v>
      </c>
      <c r="G1197" s="416" t="s">
        <v>102</v>
      </c>
      <c r="H1197" s="416" t="s">
        <v>3823</v>
      </c>
      <c r="I1197" s="416" t="s">
        <v>3824</v>
      </c>
      <c r="J1197" s="416" t="s">
        <v>280</v>
      </c>
      <c r="K1197" s="416" t="s">
        <v>4118</v>
      </c>
      <c r="L1197" s="416" t="s">
        <v>281</v>
      </c>
      <c r="M1197" s="217">
        <v>4</v>
      </c>
      <c r="N1197" s="442">
        <v>77322</v>
      </c>
      <c r="O1197" s="442">
        <f t="shared" ref="O1197:O1198" si="260">IF(OR(N1197=0,N1197=""),"",N1197*M1197)</f>
        <v>309288</v>
      </c>
      <c r="P1197" s="212" t="str">
        <f t="shared" si="242"/>
        <v>Caña_Azucar Criolla</v>
      </c>
      <c r="Q1197" s="212"/>
      <c r="R1197" s="212"/>
      <c r="S1197" s="212"/>
      <c r="T1197" s="212" cm="1">
        <f t="array" ref="T1197">_xlfn.IFS($D$5&lt;=7, 1.1, $D$5&lt;=12,1.2, $D$5&lt;=25, 1.3, $D$5&gt;25,1.4)</f>
        <v>1.3</v>
      </c>
      <c r="U1197" s="212"/>
      <c r="V1197" s="212"/>
      <c r="W1197" s="212"/>
      <c r="X1197" s="214">
        <v>4</v>
      </c>
    </row>
    <row r="1198" spans="1:24" ht="15">
      <c r="A1198" s="411" t="s">
        <v>4604</v>
      </c>
      <c r="B1198" s="415" t="s">
        <v>4056</v>
      </c>
      <c r="C1198" s="416" t="s">
        <v>4573</v>
      </c>
      <c r="D1198" s="417" t="s">
        <v>99</v>
      </c>
      <c r="E1198" s="416" t="s">
        <v>100</v>
      </c>
      <c r="F1198" s="416" t="s">
        <v>101</v>
      </c>
      <c r="G1198" s="416" t="s">
        <v>102</v>
      </c>
      <c r="H1198" s="416" t="s">
        <v>214</v>
      </c>
      <c r="I1198" s="416" t="s">
        <v>20</v>
      </c>
      <c r="J1198" s="416" t="s">
        <v>105</v>
      </c>
      <c r="K1198" s="416" t="s">
        <v>106</v>
      </c>
      <c r="L1198" s="416" t="s">
        <v>107</v>
      </c>
      <c r="M1198" s="217">
        <f>IF(W1198&lt;&gt;"", W1198, ROUNDUP(X1198*T1198, 0))</f>
        <v>7</v>
      </c>
      <c r="N1198" s="442" cm="1">
        <f t="array" ref="N1198">IF(TRIM(K1198)="Mano de Obra",IF(Formulario!$L$23&lt;&gt;"",Formulario!$L$23,IFERROR(VLOOKUP(TRIM($M$4),Jornalesdeppto!A:C,3,0),"")),_xlfn.XLOOKUP(1,(Tabla_Costos_Insumos!$A$2:$A$2928=TRIM($M$4))*(Tabla_Costos_Insumos!$C$2:$C$2928=TRIM(K1198)),Tabla_Costos_Insumos!$E$2:$E$2928,"",0))</f>
        <v>46666.666666666664</v>
      </c>
      <c r="O1198" s="442">
        <f t="shared" si="260"/>
        <v>326666.66666666663</v>
      </c>
      <c r="P1198" s="212" t="str">
        <f t="shared" si="242"/>
        <v>Caña_Azucar Criolla</v>
      </c>
      <c r="Q1198" s="212"/>
      <c r="R1198" s="212"/>
      <c r="S1198" s="212"/>
      <c r="T1198" s="212" cm="1">
        <f t="array" ref="T1198">_xlfn.IFS($D$5&lt;=7, 1.1, $D$5&lt;=12,1.2, $D$5&lt;=25, 1.3, $D$5&gt;25,1.4)</f>
        <v>1.3</v>
      </c>
      <c r="U1198" s="212"/>
      <c r="V1198" s="212"/>
      <c r="W1198" s="212"/>
      <c r="X1198" s="214">
        <v>5</v>
      </c>
    </row>
    <row r="1199" spans="1:24" ht="15">
      <c r="A1199" s="411" t="s">
        <v>4604</v>
      </c>
      <c r="B1199" s="415" t="s">
        <v>4056</v>
      </c>
      <c r="C1199" s="416" t="s">
        <v>4573</v>
      </c>
      <c r="D1199" s="417" t="s">
        <v>99</v>
      </c>
      <c r="E1199" s="416" t="s">
        <v>100</v>
      </c>
      <c r="F1199" s="416" t="s">
        <v>123</v>
      </c>
      <c r="G1199" s="416" t="s">
        <v>124</v>
      </c>
      <c r="H1199" s="416" t="s">
        <v>125</v>
      </c>
      <c r="I1199" s="416" t="s">
        <v>4578</v>
      </c>
      <c r="J1199" s="416" t="s">
        <v>105</v>
      </c>
      <c r="K1199" s="416" t="s">
        <v>106</v>
      </c>
      <c r="L1199" s="416" t="s">
        <v>107</v>
      </c>
      <c r="M1199" s="217">
        <f>IF(W1199&lt;&gt;"", W1199, ROUNDUP(X1199*T1199, 0))</f>
        <v>3</v>
      </c>
      <c r="N1199" s="442" cm="1">
        <f t="array" ref="N1199">IF(TRIM(K1199)="Mano de Obra",IF(Formulario!$L$23&lt;&gt;"",Formulario!$L$23,IFERROR(VLOOKUP(TRIM($M$4),Jornalesdeppto!A:C,3,0),"")),_xlfn.XLOOKUP(1,(Tabla_Costos_Insumos!$A$2:$A$2928=TRIM($M$4))*(Tabla_Costos_Insumos!$C$2:$C$2928=TRIM(K1199)),Tabla_Costos_Insumos!$E$2:$E$2928,"",0))</f>
        <v>46666.666666666664</v>
      </c>
      <c r="O1199" s="442">
        <f>IF(OR(N1199=0,N1199=""),"",N1199*M1199)</f>
        <v>140000</v>
      </c>
      <c r="P1199" s="212" t="str">
        <f t="shared" si="242"/>
        <v>Caña_Azucar Criolla</v>
      </c>
      <c r="Q1199" s="212"/>
      <c r="R1199" s="212"/>
      <c r="S1199" s="212"/>
      <c r="T1199" s="212" cm="1">
        <f t="array" ref="T1199">_xlfn.IFS($D$5&lt;=7, 1.1, $D$5&lt;=12,1.2, $D$5&lt;=25, 1.3, $D$5&gt;25,1.4)</f>
        <v>1.3</v>
      </c>
      <c r="U1199" s="212"/>
      <c r="V1199" s="212"/>
      <c r="W1199" s="212"/>
      <c r="X1199" s="214">
        <v>2</v>
      </c>
    </row>
    <row r="1200" spans="1:24" ht="15">
      <c r="A1200" s="411" t="s">
        <v>4604</v>
      </c>
      <c r="B1200" s="415" t="s">
        <v>4056</v>
      </c>
      <c r="C1200" s="416" t="s">
        <v>4573</v>
      </c>
      <c r="D1200" s="417" t="s">
        <v>145</v>
      </c>
      <c r="E1200" s="416" t="s">
        <v>146</v>
      </c>
      <c r="F1200" s="416" t="s">
        <v>167</v>
      </c>
      <c r="G1200" s="416" t="s">
        <v>118</v>
      </c>
      <c r="H1200" s="416" t="s">
        <v>174</v>
      </c>
      <c r="I1200" s="416" t="s">
        <v>175</v>
      </c>
      <c r="J1200" s="416" t="s">
        <v>176</v>
      </c>
      <c r="K1200" s="416" t="s">
        <v>262</v>
      </c>
      <c r="L1200" s="416" t="s">
        <v>4579</v>
      </c>
      <c r="M1200" s="217">
        <v>6</v>
      </c>
      <c r="N1200" s="442" cm="1">
        <f t="array" ref="N1200">_xlfn.XLOOKUP(1,(Tabla_Costos_Insumos!$A$2:$A$2928=TRIM($M$4))*(Tabla_Costos_Insumos!$C$2:$C$2928=TRIM(K1200)),Tabla_Costos_Insumos!$E$2:$E$2928,"",0)</f>
        <v>17500</v>
      </c>
      <c r="O1200" s="442">
        <f>IF(OR(N1200=0,N1200=""),"",N1200*M1200)</f>
        <v>105000</v>
      </c>
      <c r="P1200" s="212" t="str">
        <f t="shared" si="242"/>
        <v>Caña_Azucar Criolla</v>
      </c>
      <c r="Q1200" s="212"/>
      <c r="R1200" s="212"/>
      <c r="S1200" s="212"/>
      <c r="T1200" s="212" cm="1">
        <f t="array" ref="T1200">_xlfn.IFS($D$5&lt;=7, 1.1, $D$5&lt;=12,1.2, $D$5&lt;=25, 1.3, $D$5&gt;25,1.4)</f>
        <v>1.3</v>
      </c>
      <c r="U1200" s="212"/>
      <c r="V1200" s="212"/>
      <c r="W1200" s="212"/>
      <c r="X1200" s="214">
        <v>6</v>
      </c>
    </row>
    <row r="1201" spans="1:24" ht="15">
      <c r="A1201" s="411" t="s">
        <v>4604</v>
      </c>
      <c r="B1201" s="415" t="s">
        <v>4056</v>
      </c>
      <c r="C1201" s="416" t="s">
        <v>4573</v>
      </c>
      <c r="D1201" s="417" t="s">
        <v>189</v>
      </c>
      <c r="E1201" s="416" t="s">
        <v>190</v>
      </c>
      <c r="F1201" s="416" t="s">
        <v>191</v>
      </c>
      <c r="G1201" s="416" t="s">
        <v>192</v>
      </c>
      <c r="H1201" s="416" t="s">
        <v>193</v>
      </c>
      <c r="I1201" s="416" t="s">
        <v>194</v>
      </c>
      <c r="J1201" s="416" t="s">
        <v>195</v>
      </c>
      <c r="K1201" s="416" t="s">
        <v>196</v>
      </c>
      <c r="L1201" s="416" t="s">
        <v>197</v>
      </c>
      <c r="M1201" s="217">
        <v>1</v>
      </c>
      <c r="N1201" s="442">
        <f>IFERROR(SUM(O1196:O1200)*0.08,0)</f>
        <v>81676.373333333337</v>
      </c>
      <c r="O1201" s="442">
        <f>IF(OR(N1201=0,N1201=""),"",N1201*M1201)</f>
        <v>81676.373333333337</v>
      </c>
      <c r="P1201" s="212" t="str">
        <f t="shared" si="242"/>
        <v>Caña_Azucar Criolla</v>
      </c>
      <c r="Q1201" s="212"/>
      <c r="R1201" s="212"/>
      <c r="S1201" s="212"/>
      <c r="T1201" s="212" cm="1">
        <f t="array" ref="T1201">_xlfn.IFS($D$5&lt;=7, 1.1, $D$5&lt;=12,1.2, $D$5&lt;=25, 1.3, $D$5&gt;25,1.4)</f>
        <v>1.3</v>
      </c>
      <c r="U1201" s="212"/>
      <c r="V1201" s="212"/>
      <c r="W1201" s="212"/>
      <c r="X1201" s="214">
        <v>1</v>
      </c>
    </row>
    <row r="1202" spans="1:24" ht="15">
      <c r="A1202" s="411" t="s">
        <v>4604</v>
      </c>
      <c r="B1202" s="418" t="s">
        <v>4058</v>
      </c>
      <c r="C1202" s="419" t="s">
        <v>4573</v>
      </c>
      <c r="D1202" s="420" t="s">
        <v>99</v>
      </c>
      <c r="E1202" s="419" t="s">
        <v>100</v>
      </c>
      <c r="F1202" s="419" t="s">
        <v>101</v>
      </c>
      <c r="G1202" s="419" t="s">
        <v>102</v>
      </c>
      <c r="H1202" s="419" t="s">
        <v>4574</v>
      </c>
      <c r="I1202" s="419" t="s">
        <v>4575</v>
      </c>
      <c r="J1202" s="419" t="s">
        <v>105</v>
      </c>
      <c r="K1202" s="419" t="s">
        <v>106</v>
      </c>
      <c r="L1202" s="419" t="s">
        <v>107</v>
      </c>
      <c r="M1202" s="217">
        <f>IF(W1202&lt;&gt;"", W1202, ROUNDUP(X1202*T1202, 0))</f>
        <v>3</v>
      </c>
      <c r="N1202" s="442" cm="1">
        <f t="array" ref="N1202">IF(TRIM(K1202)="Mano de Obra",IF(Formulario!$L$23&lt;&gt;"",Formulario!$L$23,IFERROR(VLOOKUP(TRIM($M$4),Jornalesdeppto!A:C,3,0),"")),_xlfn.XLOOKUP(1,(Tabla_Costos_Insumos!$A$2:$A$2928=TRIM($M$4))*(Tabla_Costos_Insumos!$C$2:$C$2928=TRIM(K1202)),Tabla_Costos_Insumos!$E$2:$E$2928,"",0))</f>
        <v>46666.666666666664</v>
      </c>
      <c r="O1202" s="442">
        <f>IF(OR(N1202=0,N1202=""),"",N1202*M1202)</f>
        <v>140000</v>
      </c>
      <c r="P1202" s="212" t="str">
        <f t="shared" si="242"/>
        <v>Caña_Azucar POJ 2878</v>
      </c>
      <c r="Q1202" s="212"/>
      <c r="R1202" s="212"/>
      <c r="S1202" s="212"/>
      <c r="T1202" s="212" cm="1">
        <f t="array" ref="T1202">_xlfn.IFS($D$5&lt;=7, 1.1, $D$5&lt;=12,1.2, $D$5&lt;=25, 1.3, $D$5&gt;25,1.4)</f>
        <v>1.3</v>
      </c>
      <c r="U1202" s="212"/>
      <c r="V1202" s="212"/>
      <c r="W1202" s="212"/>
      <c r="X1202" s="214">
        <v>2</v>
      </c>
    </row>
    <row r="1203" spans="1:24" ht="15">
      <c r="A1203" s="411" t="s">
        <v>4604</v>
      </c>
      <c r="B1203" s="418" t="s">
        <v>4058</v>
      </c>
      <c r="C1203" s="419" t="s">
        <v>4573</v>
      </c>
      <c r="D1203" s="420" t="s">
        <v>99</v>
      </c>
      <c r="E1203" s="419" t="s">
        <v>100</v>
      </c>
      <c r="F1203" s="419" t="s">
        <v>101</v>
      </c>
      <c r="G1203" s="419" t="s">
        <v>102</v>
      </c>
      <c r="H1203" s="419" t="s">
        <v>3823</v>
      </c>
      <c r="I1203" s="419" t="s">
        <v>3824</v>
      </c>
      <c r="J1203" s="419" t="s">
        <v>280</v>
      </c>
      <c r="K1203" s="419" t="s">
        <v>4118</v>
      </c>
      <c r="L1203" s="419" t="s">
        <v>281</v>
      </c>
      <c r="M1203" s="217">
        <v>4</v>
      </c>
      <c r="N1203" s="442">
        <v>74244</v>
      </c>
      <c r="O1203" s="442">
        <f t="shared" ref="O1203" si="261">IF(OR(N1203=0,N1203=""),"",N1203*M1203)</f>
        <v>296976</v>
      </c>
      <c r="P1203" s="212" t="str">
        <f t="shared" si="242"/>
        <v>Caña_Azucar POJ 2878</v>
      </c>
      <c r="Q1203" s="212"/>
      <c r="R1203" s="212"/>
      <c r="S1203" s="212"/>
      <c r="T1203" s="212" cm="1">
        <f t="array" ref="T1203">_xlfn.IFS($D$5&lt;=7, 1.1, $D$5&lt;=12,1.2, $D$5&lt;=25, 1.3, $D$5&gt;25,1.4)</f>
        <v>1.3</v>
      </c>
      <c r="U1203" s="212"/>
      <c r="V1203" s="212"/>
      <c r="W1203" s="212"/>
      <c r="X1203" s="214">
        <v>4</v>
      </c>
    </row>
    <row r="1204" spans="1:24" ht="15">
      <c r="A1204" s="411" t="s">
        <v>4604</v>
      </c>
      <c r="B1204" s="418" t="s">
        <v>4058</v>
      </c>
      <c r="C1204" s="419" t="s">
        <v>4573</v>
      </c>
      <c r="D1204" s="420" t="s">
        <v>99</v>
      </c>
      <c r="E1204" s="419" t="s">
        <v>100</v>
      </c>
      <c r="F1204" s="419" t="s">
        <v>101</v>
      </c>
      <c r="G1204" s="419" t="s">
        <v>102</v>
      </c>
      <c r="H1204" s="419" t="s">
        <v>214</v>
      </c>
      <c r="I1204" s="419" t="s">
        <v>20</v>
      </c>
      <c r="J1204" s="419" t="s">
        <v>105</v>
      </c>
      <c r="K1204" s="419" t="s">
        <v>106</v>
      </c>
      <c r="L1204" s="419" t="s">
        <v>107</v>
      </c>
      <c r="M1204" s="217">
        <f>IF(W1204&lt;&gt;"", W1204, ROUNDUP(X1204*T1204, 0))</f>
        <v>3</v>
      </c>
      <c r="N1204" s="442" cm="1">
        <f t="array" ref="N1204">IF(TRIM(K1204)="Mano de Obra",IF(Formulario!$L$23&lt;&gt;"",Formulario!$L$23,IFERROR(VLOOKUP(TRIM($M$4),Jornalesdeppto!A:C,3,0),"")),_xlfn.XLOOKUP(1,(Tabla_Costos_Insumos!$A$2:$A$2928=TRIM($M$4))*(Tabla_Costos_Insumos!$C$2:$C$2928=TRIM(K1204)),Tabla_Costos_Insumos!$E$2:$E$2928,"",0))</f>
        <v>46666.666666666664</v>
      </c>
      <c r="O1204" s="442">
        <f t="shared" ref="O1204:O1210" si="262">IF(OR(N1204=0,N1204=""),"",N1204*M1204)</f>
        <v>140000</v>
      </c>
      <c r="P1204" s="212" t="str">
        <f t="shared" si="242"/>
        <v>Caña_Azucar POJ 2878</v>
      </c>
      <c r="Q1204" s="212"/>
      <c r="R1204" s="212"/>
      <c r="S1204" s="212"/>
      <c r="T1204" s="212" cm="1">
        <f t="array" ref="T1204">_xlfn.IFS($D$5&lt;=7, 1.1, $D$5&lt;=12,1.2, $D$5&lt;=25, 1.3, $D$5&gt;25,1.4)</f>
        <v>1.3</v>
      </c>
      <c r="U1204" s="212"/>
      <c r="V1204" s="212"/>
      <c r="W1204" s="212"/>
      <c r="X1204" s="214">
        <v>2</v>
      </c>
    </row>
    <row r="1205" spans="1:24" ht="15">
      <c r="A1205" s="411" t="s">
        <v>4604</v>
      </c>
      <c r="B1205" s="418" t="s">
        <v>4058</v>
      </c>
      <c r="C1205" s="419" t="s">
        <v>4573</v>
      </c>
      <c r="D1205" s="420" t="s">
        <v>99</v>
      </c>
      <c r="E1205" s="419" t="s">
        <v>100</v>
      </c>
      <c r="F1205" s="419" t="s">
        <v>123</v>
      </c>
      <c r="G1205" s="419" t="s">
        <v>124</v>
      </c>
      <c r="H1205" s="419" t="s">
        <v>125</v>
      </c>
      <c r="I1205" s="419" t="s">
        <v>4578</v>
      </c>
      <c r="J1205" s="419" t="s">
        <v>105</v>
      </c>
      <c r="K1205" s="419" t="s">
        <v>106</v>
      </c>
      <c r="L1205" s="419" t="s">
        <v>107</v>
      </c>
      <c r="M1205" s="217">
        <f>IF(W1205&lt;&gt;"", W1205, ROUNDUP(X1205*T1205, 0))</f>
        <v>3</v>
      </c>
      <c r="N1205" s="442" cm="1">
        <f t="array" ref="N1205">IF(TRIM(K1205)="Mano de Obra",IF(Formulario!$L$23&lt;&gt;"",Formulario!$L$23,IFERROR(VLOOKUP(TRIM($M$4),Jornalesdeppto!A:C,3,0),"")),_xlfn.XLOOKUP(1,(Tabla_Costos_Insumos!$A$2:$A$2928=TRIM($M$4))*(Tabla_Costos_Insumos!$C$2:$C$2928=TRIM(K1205)),Tabla_Costos_Insumos!$E$2:$E$2928,"",0))</f>
        <v>46666.666666666664</v>
      </c>
      <c r="O1205" s="442">
        <f t="shared" si="262"/>
        <v>140000</v>
      </c>
      <c r="P1205" s="212" t="str">
        <f t="shared" si="242"/>
        <v>Caña_Azucar POJ 2878</v>
      </c>
      <c r="Q1205" s="212"/>
      <c r="R1205" s="212"/>
      <c r="S1205" s="212"/>
      <c r="T1205" s="212" cm="1">
        <f t="array" ref="T1205">_xlfn.IFS($D$5&lt;=7, 1.1, $D$5&lt;=12,1.2, $D$5&lt;=25, 1.3, $D$5&gt;25,1.4)</f>
        <v>1.3</v>
      </c>
      <c r="U1205" s="212"/>
      <c r="V1205" s="212"/>
      <c r="W1205" s="212"/>
      <c r="X1205" s="214">
        <v>2</v>
      </c>
    </row>
    <row r="1206" spans="1:24" ht="15">
      <c r="A1206" s="411" t="s">
        <v>4604</v>
      </c>
      <c r="B1206" s="418" t="s">
        <v>4058</v>
      </c>
      <c r="C1206" s="419" t="s">
        <v>4573</v>
      </c>
      <c r="D1206" s="420" t="s">
        <v>145</v>
      </c>
      <c r="E1206" s="419" t="s">
        <v>146</v>
      </c>
      <c r="F1206" s="419" t="s">
        <v>167</v>
      </c>
      <c r="G1206" s="419" t="s">
        <v>118</v>
      </c>
      <c r="H1206" s="419" t="s">
        <v>174</v>
      </c>
      <c r="I1206" s="419" t="s">
        <v>175</v>
      </c>
      <c r="J1206" s="419" t="s">
        <v>176</v>
      </c>
      <c r="K1206" s="419" t="s">
        <v>262</v>
      </c>
      <c r="L1206" s="419" t="s">
        <v>4579</v>
      </c>
      <c r="M1206" s="217">
        <v>6</v>
      </c>
      <c r="N1206" s="442" cm="1">
        <f t="array" ref="N1206">_xlfn.XLOOKUP(1,(Tabla_Costos_Insumos!$A$2:$A$2928=TRIM($M$4))*(Tabla_Costos_Insumos!$C$2:$C$2928=TRIM(K1206)),Tabla_Costos_Insumos!$E$2:$E$2928,"",0)</f>
        <v>17500</v>
      </c>
      <c r="O1206" s="442">
        <f t="shared" si="262"/>
        <v>105000</v>
      </c>
      <c r="P1206" s="212" t="str">
        <f t="shared" si="242"/>
        <v>Caña_Azucar POJ 2878</v>
      </c>
      <c r="Q1206" s="212"/>
      <c r="R1206" s="212"/>
      <c r="S1206" s="212"/>
      <c r="T1206" s="212" cm="1">
        <f t="array" ref="T1206">_xlfn.IFS($D$5&lt;=7, 1.1, $D$5&lt;=12,1.2, $D$5&lt;=25, 1.3, $D$5&gt;25,1.4)</f>
        <v>1.3</v>
      </c>
      <c r="U1206" s="212"/>
      <c r="V1206" s="212"/>
      <c r="W1206" s="212"/>
      <c r="X1206" s="214">
        <v>6</v>
      </c>
    </row>
    <row r="1207" spans="1:24" ht="15">
      <c r="A1207" s="411" t="s">
        <v>4604</v>
      </c>
      <c r="B1207" s="418" t="s">
        <v>4058</v>
      </c>
      <c r="C1207" s="419" t="s">
        <v>4573</v>
      </c>
      <c r="D1207" s="420" t="s">
        <v>189</v>
      </c>
      <c r="E1207" s="419" t="s">
        <v>190</v>
      </c>
      <c r="F1207" s="419" t="s">
        <v>191</v>
      </c>
      <c r="G1207" s="419" t="s">
        <v>192</v>
      </c>
      <c r="H1207" s="419" t="s">
        <v>193</v>
      </c>
      <c r="I1207" s="419" t="s">
        <v>194</v>
      </c>
      <c r="J1207" s="419" t="s">
        <v>195</v>
      </c>
      <c r="K1207" s="419" t="s">
        <v>196</v>
      </c>
      <c r="L1207" s="419" t="s">
        <v>197</v>
      </c>
      <c r="M1207" s="217">
        <v>1</v>
      </c>
      <c r="N1207" s="442">
        <f>IFERROR(SUM(O1202:O1206)*0.08,0)</f>
        <v>65758.080000000002</v>
      </c>
      <c r="O1207" s="442">
        <f t="shared" si="262"/>
        <v>65758.080000000002</v>
      </c>
      <c r="P1207" s="212" t="str">
        <f t="shared" ref="P1207:P1215" si="263">CONCATENATE(A1207," ",B1207)</f>
        <v>Caña_Azucar POJ 2878</v>
      </c>
      <c r="Q1207" s="212"/>
      <c r="R1207" s="212"/>
      <c r="S1207" s="212"/>
      <c r="T1207" s="212" cm="1">
        <f t="array" ref="T1207">_xlfn.IFS($D$5&lt;=7, 1.1, $D$5&lt;=12,1.2, $D$5&lt;=25, 1.3, $D$5&gt;25,1.4)</f>
        <v>1.3</v>
      </c>
      <c r="U1207" s="212"/>
      <c r="V1207" s="212"/>
      <c r="W1207" s="212"/>
      <c r="X1207" s="214">
        <v>1</v>
      </c>
    </row>
    <row r="1208" spans="1:24" ht="15">
      <c r="A1208" s="421" t="s">
        <v>4062</v>
      </c>
      <c r="B1208" s="422" t="s">
        <v>4063</v>
      </c>
      <c r="C1208" s="423" t="s">
        <v>4573</v>
      </c>
      <c r="D1208" s="424" t="s">
        <v>99</v>
      </c>
      <c r="E1208" s="423" t="s">
        <v>100</v>
      </c>
      <c r="F1208" s="423" t="s">
        <v>101</v>
      </c>
      <c r="G1208" s="423" t="s">
        <v>102</v>
      </c>
      <c r="H1208" s="423" t="s">
        <v>4574</v>
      </c>
      <c r="I1208" s="423" t="s">
        <v>4575</v>
      </c>
      <c r="J1208" s="423" t="s">
        <v>105</v>
      </c>
      <c r="K1208" s="423" t="s">
        <v>106</v>
      </c>
      <c r="L1208" s="423" t="s">
        <v>107</v>
      </c>
      <c r="M1208" s="217">
        <f>IF(W1208&lt;&gt;"", W1208, ROUNDUP(X1208*T1208, 0))</f>
        <v>11</v>
      </c>
      <c r="N1208" s="442" cm="1">
        <f t="array" ref="N1208">IF(TRIM(K1208)="Mano de Obra",IF(Formulario!$L$23&lt;&gt;"",Formulario!$L$23,IFERROR(VLOOKUP(TRIM($M$4),Jornalesdeppto!A:C,3,0),"")),_xlfn.XLOOKUP(1,(Tabla_Costos_Insumos!$A$2:$A$2928=TRIM($M$4))*(Tabla_Costos_Insumos!$C$2:$C$2928=TRIM(K1208)),Tabla_Costos_Insumos!$E$2:$E$2928,"",0))</f>
        <v>46666.666666666664</v>
      </c>
      <c r="O1208" s="442">
        <f t="shared" si="262"/>
        <v>513333.33333333331</v>
      </c>
      <c r="P1208" s="212" t="str">
        <f t="shared" si="263"/>
        <v>Naranja Valencia</v>
      </c>
      <c r="Q1208" s="212"/>
      <c r="R1208" s="212"/>
      <c r="S1208" s="212"/>
      <c r="T1208" s="212" cm="1">
        <f t="array" ref="T1208">_xlfn.IFS($D$5&lt;=7, 1.1, $D$5&lt;=12,1.2, $D$5&lt;=25, 1.3, $D$5&gt;25,1.4)</f>
        <v>1.3</v>
      </c>
      <c r="U1208" s="212"/>
      <c r="V1208" s="212"/>
      <c r="W1208" s="212"/>
      <c r="X1208" s="214">
        <v>8</v>
      </c>
    </row>
    <row r="1209" spans="1:24" ht="15">
      <c r="A1209" s="421" t="s">
        <v>4062</v>
      </c>
      <c r="B1209" s="422" t="s">
        <v>4063</v>
      </c>
      <c r="C1209" s="423" t="s">
        <v>4573</v>
      </c>
      <c r="D1209" s="424" t="s">
        <v>99</v>
      </c>
      <c r="E1209" s="423" t="s">
        <v>100</v>
      </c>
      <c r="F1209" s="423" t="s">
        <v>101</v>
      </c>
      <c r="G1209" s="423" t="s">
        <v>102</v>
      </c>
      <c r="H1209" s="423" t="s">
        <v>4576</v>
      </c>
      <c r="I1209" s="423" t="s">
        <v>4577</v>
      </c>
      <c r="J1209" s="423" t="s">
        <v>105</v>
      </c>
      <c r="K1209" s="423" t="s">
        <v>106</v>
      </c>
      <c r="L1209" s="423" t="s">
        <v>107</v>
      </c>
      <c r="M1209" s="217">
        <f>IF(W1209&lt;&gt;"", W1209, ROUNDUP(X1209*T1209, 0))</f>
        <v>16</v>
      </c>
      <c r="N1209" s="442" cm="1">
        <f t="array" ref="N1209">IF(TRIM(K1209)="Mano de Obra",IF(Formulario!$L$23&lt;&gt;"",Formulario!$L$23,IFERROR(VLOOKUP(TRIM($M$4),Jornalesdeppto!A:C,3,0),"")),_xlfn.XLOOKUP(1,(Tabla_Costos_Insumos!$A$2:$A$2928=TRIM($M$4))*(Tabla_Costos_Insumos!$C$2:$C$2928=TRIM(K1209)),Tabla_Costos_Insumos!$E$2:$E$2928,"",0))</f>
        <v>46666.666666666664</v>
      </c>
      <c r="O1209" s="442">
        <f t="shared" si="262"/>
        <v>746666.66666666663</v>
      </c>
      <c r="P1209" s="212" t="str">
        <f t="shared" si="263"/>
        <v>Naranja Valencia</v>
      </c>
      <c r="Q1209" s="212"/>
      <c r="R1209" s="212"/>
      <c r="S1209" s="212"/>
      <c r="T1209" s="212" cm="1">
        <f t="array" ref="T1209">_xlfn.IFS($D$5&lt;=7, 1.1, $D$5&lt;=12,1.2, $D$5&lt;=25, 1.3, $D$5&gt;25,1.4)</f>
        <v>1.3</v>
      </c>
      <c r="U1209" s="212"/>
      <c r="V1209" s="212"/>
      <c r="W1209" s="212"/>
      <c r="X1209" s="214">
        <v>12</v>
      </c>
    </row>
    <row r="1210" spans="1:24" ht="15">
      <c r="A1210" s="421" t="s">
        <v>4062</v>
      </c>
      <c r="B1210" s="422" t="s">
        <v>4063</v>
      </c>
      <c r="C1210" s="423" t="s">
        <v>4573</v>
      </c>
      <c r="D1210" s="424" t="s">
        <v>99</v>
      </c>
      <c r="E1210" s="423" t="s">
        <v>100</v>
      </c>
      <c r="F1210" s="423" t="s">
        <v>101</v>
      </c>
      <c r="G1210" s="423" t="s">
        <v>102</v>
      </c>
      <c r="H1210" s="423" t="s">
        <v>214</v>
      </c>
      <c r="I1210" s="423" t="s">
        <v>20</v>
      </c>
      <c r="J1210" s="423" t="s">
        <v>105</v>
      </c>
      <c r="K1210" s="423" t="s">
        <v>106</v>
      </c>
      <c r="L1210" s="423" t="s">
        <v>107</v>
      </c>
      <c r="M1210" s="217">
        <f>IF(W1210&lt;&gt;"", W1210, ROUNDUP(X1210*T1210, 0))</f>
        <v>7</v>
      </c>
      <c r="N1210" s="442" cm="1">
        <f t="array" ref="N1210">IF(TRIM(K1210)="Mano de Obra",IF(Formulario!$L$23&lt;&gt;"",Formulario!$L$23,IFERROR(VLOOKUP(TRIM($M$4),Jornalesdeppto!A:C,3,0),"")),_xlfn.XLOOKUP(1,(Tabla_Costos_Insumos!$A$2:$A$2928=TRIM($M$4))*(Tabla_Costos_Insumos!$C$2:$C$2928=TRIM(K1210)),Tabla_Costos_Insumos!$E$2:$E$2928,"",0))</f>
        <v>46666.666666666664</v>
      </c>
      <c r="O1210" s="442">
        <f t="shared" si="262"/>
        <v>326666.66666666663</v>
      </c>
      <c r="P1210" s="212" t="str">
        <f t="shared" si="263"/>
        <v>Naranja Valencia</v>
      </c>
      <c r="Q1210" s="212"/>
      <c r="R1210" s="212"/>
      <c r="S1210" s="212"/>
      <c r="T1210" s="212" cm="1">
        <f t="array" ref="T1210">_xlfn.IFS($D$5&lt;=7, 1.1, $D$5&lt;=12,1.2, $D$5&lt;=25, 1.3, $D$5&gt;25,1.4)</f>
        <v>1.3</v>
      </c>
      <c r="U1210" s="212"/>
      <c r="V1210" s="212"/>
      <c r="W1210" s="212"/>
      <c r="X1210" s="214">
        <v>5</v>
      </c>
    </row>
    <row r="1211" spans="1:24" ht="15">
      <c r="A1211" s="421" t="s">
        <v>4062</v>
      </c>
      <c r="B1211" s="422" t="s">
        <v>4063</v>
      </c>
      <c r="C1211" s="423" t="s">
        <v>4573</v>
      </c>
      <c r="D1211" s="424" t="s">
        <v>189</v>
      </c>
      <c r="E1211" s="423" t="s">
        <v>190</v>
      </c>
      <c r="F1211" s="423" t="s">
        <v>191</v>
      </c>
      <c r="G1211" s="423" t="s">
        <v>192</v>
      </c>
      <c r="H1211" s="423" t="s">
        <v>193</v>
      </c>
      <c r="I1211" s="423" t="s">
        <v>194</v>
      </c>
      <c r="J1211" s="423" t="s">
        <v>195</v>
      </c>
      <c r="K1211" s="423" t="s">
        <v>196</v>
      </c>
      <c r="L1211" s="423" t="s">
        <v>197</v>
      </c>
      <c r="M1211" s="217">
        <v>1</v>
      </c>
      <c r="N1211" s="442">
        <f>IFERROR(SUM(O1208:O1210)*0.08,0)</f>
        <v>126933.33333333333</v>
      </c>
      <c r="O1211" s="442">
        <f t="shared" ref="O1211" si="264">IF(OR(N1211=0,N1211=""),"",N1211*M1211)</f>
        <v>126933.33333333333</v>
      </c>
      <c r="P1211" s="212" t="str">
        <f t="shared" si="263"/>
        <v>Naranja Valencia</v>
      </c>
      <c r="Q1211" s="212"/>
      <c r="R1211" s="212"/>
      <c r="S1211" s="212"/>
      <c r="T1211" s="212" cm="1">
        <f t="array" ref="T1211">_xlfn.IFS($D$5&lt;=7, 1.1, $D$5&lt;=12,1.2, $D$5&lt;=25, 1.3, $D$5&gt;25,1.4)</f>
        <v>1.3</v>
      </c>
      <c r="U1211" s="212"/>
      <c r="V1211" s="212"/>
      <c r="W1211" s="212"/>
      <c r="X1211" s="214">
        <v>1</v>
      </c>
    </row>
    <row r="1212" spans="1:24" ht="15">
      <c r="A1212" s="425" t="s">
        <v>4062</v>
      </c>
      <c r="B1212" s="426" t="s">
        <v>258</v>
      </c>
      <c r="C1212" s="427" t="s">
        <v>4573</v>
      </c>
      <c r="D1212" s="428" t="s">
        <v>99</v>
      </c>
      <c r="E1212" s="427" t="s">
        <v>100</v>
      </c>
      <c r="F1212" s="427" t="s">
        <v>101</v>
      </c>
      <c r="G1212" s="427" t="s">
        <v>102</v>
      </c>
      <c r="H1212" s="427" t="s">
        <v>4574</v>
      </c>
      <c r="I1212" s="427" t="s">
        <v>4575</v>
      </c>
      <c r="J1212" s="427" t="s">
        <v>105</v>
      </c>
      <c r="K1212" s="427" t="s">
        <v>106</v>
      </c>
      <c r="L1212" s="427" t="s">
        <v>107</v>
      </c>
      <c r="M1212" s="217">
        <f>IF(W1212&lt;&gt;"", W1212, ROUNDUP(X1212*T1212, 0))</f>
        <v>11</v>
      </c>
      <c r="N1212" s="442" cm="1">
        <f t="array" ref="N1212">IF(TRIM(K1212)="Mano de Obra",IF(Formulario!$L$23&lt;&gt;"",Formulario!$L$23,IFERROR(VLOOKUP(TRIM($M$4),Jornalesdeppto!A:C,3,0),"")),_xlfn.XLOOKUP(1,(Tabla_Costos_Insumos!$A$2:$A$2928=TRIM($M$4))*(Tabla_Costos_Insumos!$C$2:$C$2928=TRIM(K1212)),Tabla_Costos_Insumos!$E$2:$E$2928,"",0))</f>
        <v>46666.666666666664</v>
      </c>
      <c r="O1212" s="442">
        <f>IF(OR(N1212=0,N1212=""),"",N1212*M1212)</f>
        <v>513333.33333333331</v>
      </c>
      <c r="P1212" s="212" t="str">
        <f t="shared" si="263"/>
        <v>Naranja Común</v>
      </c>
      <c r="Q1212" s="212"/>
      <c r="R1212" s="212"/>
      <c r="S1212" s="212"/>
      <c r="T1212" s="212" cm="1">
        <f t="array" ref="T1212">_xlfn.IFS($D$5&lt;=7, 1.1, $D$5&lt;=12,1.2, $D$5&lt;=25, 1.3, $D$5&gt;25,1.4)</f>
        <v>1.3</v>
      </c>
      <c r="U1212" s="212"/>
      <c r="V1212" s="212"/>
      <c r="W1212" s="212"/>
      <c r="X1212" s="214">
        <v>8</v>
      </c>
    </row>
    <row r="1213" spans="1:24" ht="15">
      <c r="A1213" s="425" t="s">
        <v>4062</v>
      </c>
      <c r="B1213" s="426" t="s">
        <v>258</v>
      </c>
      <c r="C1213" s="427" t="s">
        <v>4573</v>
      </c>
      <c r="D1213" s="428" t="s">
        <v>99</v>
      </c>
      <c r="E1213" s="427" t="s">
        <v>100</v>
      </c>
      <c r="F1213" s="427" t="s">
        <v>101</v>
      </c>
      <c r="G1213" s="427" t="s">
        <v>102</v>
      </c>
      <c r="H1213" s="427" t="s">
        <v>4576</v>
      </c>
      <c r="I1213" s="427" t="s">
        <v>4577</v>
      </c>
      <c r="J1213" s="427" t="s">
        <v>105</v>
      </c>
      <c r="K1213" s="427" t="s">
        <v>106</v>
      </c>
      <c r="L1213" s="427" t="s">
        <v>107</v>
      </c>
      <c r="M1213" s="217">
        <f>IF(W1213&lt;&gt;"", W1213, ROUNDUP(X1213*T1213, 0))</f>
        <v>16</v>
      </c>
      <c r="N1213" s="442" cm="1">
        <f t="array" ref="N1213">IF(TRIM(K1213)="Mano de Obra",IF(Formulario!$L$23&lt;&gt;"",Formulario!$L$23,IFERROR(VLOOKUP(TRIM($M$4),Jornalesdeppto!A:C,3,0),"")),_xlfn.XLOOKUP(1,(Tabla_Costos_Insumos!$A$2:$A$2928=TRIM($M$4))*(Tabla_Costos_Insumos!$C$2:$C$2928=TRIM(K1213)),Tabla_Costos_Insumos!$E$2:$E$2928,"",0))</f>
        <v>46666.666666666664</v>
      </c>
      <c r="O1213" s="442">
        <f>IF(OR(N1213=0,N1213=""),"",N1213*M1213)</f>
        <v>746666.66666666663</v>
      </c>
      <c r="P1213" s="212" t="str">
        <f t="shared" si="263"/>
        <v>Naranja Común</v>
      </c>
      <c r="Q1213" s="212"/>
      <c r="R1213" s="212"/>
      <c r="S1213" s="212"/>
      <c r="T1213" s="212" cm="1">
        <f t="array" ref="T1213">_xlfn.IFS($D$5&lt;=7, 1.1, $D$5&lt;=12,1.2, $D$5&lt;=25, 1.3, $D$5&gt;25,1.4)</f>
        <v>1.3</v>
      </c>
      <c r="U1213" s="212"/>
      <c r="V1213" s="212"/>
      <c r="W1213" s="212"/>
      <c r="X1213" s="214">
        <v>12</v>
      </c>
    </row>
    <row r="1214" spans="1:24" ht="15">
      <c r="A1214" s="425" t="s">
        <v>4062</v>
      </c>
      <c r="B1214" s="426" t="s">
        <v>258</v>
      </c>
      <c r="C1214" s="427" t="s">
        <v>4573</v>
      </c>
      <c r="D1214" s="428" t="s">
        <v>99</v>
      </c>
      <c r="E1214" s="427" t="s">
        <v>100</v>
      </c>
      <c r="F1214" s="427" t="s">
        <v>101</v>
      </c>
      <c r="G1214" s="427" t="s">
        <v>102</v>
      </c>
      <c r="H1214" s="427" t="s">
        <v>214</v>
      </c>
      <c r="I1214" s="427" t="s">
        <v>20</v>
      </c>
      <c r="J1214" s="427" t="s">
        <v>105</v>
      </c>
      <c r="K1214" s="427" t="s">
        <v>106</v>
      </c>
      <c r="L1214" s="427" t="s">
        <v>107</v>
      </c>
      <c r="M1214" s="425">
        <f>IF(W1214&lt;&gt;"", W1214, ROUNDUP(X1214*T1214, 0))</f>
        <v>7</v>
      </c>
      <c r="N1214" s="442" cm="1">
        <f t="array" ref="N1214">IF(TRIM(K1214)="Mano de Obra",IF(Formulario!$L$23&lt;&gt;"",Formulario!$L$23,IFERROR(VLOOKUP(TRIM($M$4),Jornalesdeppto!A:C,3,0),"")),_xlfn.XLOOKUP(1,(Tabla_Costos_Insumos!$A$2:$A$2928=TRIM($M$4))*(Tabla_Costos_Insumos!$C$2:$C$2928=TRIM(K1214)),Tabla_Costos_Insumos!$E$2:$E$2928,"",0))</f>
        <v>46666.666666666664</v>
      </c>
      <c r="O1214" s="442">
        <f t="shared" ref="O1214:O1215" si="265">IF(OR(N1214=0,N1214=""),"",N1214*M1214)</f>
        <v>326666.66666666663</v>
      </c>
      <c r="P1214" s="212" t="str">
        <f t="shared" si="263"/>
        <v>Naranja Común</v>
      </c>
      <c r="Q1214" s="428"/>
      <c r="R1214" s="427"/>
      <c r="S1214" s="427"/>
      <c r="T1214" s="427" cm="1">
        <f t="array" ref="T1214">_xlfn.IFS($D$5&lt;=7, 1.1, $D$5&lt;=12,1.2, $D$5&lt;=25, 1.3, $D$5&gt;25,1.4)</f>
        <v>1.3</v>
      </c>
      <c r="U1214" s="427"/>
      <c r="V1214" s="427"/>
      <c r="W1214" s="427"/>
      <c r="X1214" s="427">
        <v>5</v>
      </c>
    </row>
    <row r="1215" spans="1:24" ht="15">
      <c r="A1215" s="425" t="s">
        <v>4062</v>
      </c>
      <c r="B1215" s="426" t="s">
        <v>258</v>
      </c>
      <c r="C1215" s="427" t="s">
        <v>4573</v>
      </c>
      <c r="D1215" s="428" t="s">
        <v>189</v>
      </c>
      <c r="E1215" s="427" t="s">
        <v>190</v>
      </c>
      <c r="F1215" s="427" t="s">
        <v>191</v>
      </c>
      <c r="G1215" s="427" t="s">
        <v>192</v>
      </c>
      <c r="H1215" s="427" t="s">
        <v>193</v>
      </c>
      <c r="I1215" s="427" t="s">
        <v>194</v>
      </c>
      <c r="J1215" s="427" t="s">
        <v>195</v>
      </c>
      <c r="K1215" s="427" t="s">
        <v>196</v>
      </c>
      <c r="L1215" s="427" t="s">
        <v>197</v>
      </c>
      <c r="M1215" s="425">
        <v>1</v>
      </c>
      <c r="N1215" s="442">
        <f>IFERROR(SUM(O1212:O1214)*0.08,0)</f>
        <v>126933.33333333333</v>
      </c>
      <c r="O1215" s="442">
        <f t="shared" si="265"/>
        <v>126933.33333333333</v>
      </c>
      <c r="P1215" s="212" t="str">
        <f t="shared" si="263"/>
        <v>Naranja Común</v>
      </c>
      <c r="Q1215" s="428"/>
      <c r="R1215" s="427"/>
      <c r="S1215" s="427"/>
      <c r="T1215" s="427" cm="1">
        <f t="array" ref="T1215">_xlfn.IFS($D$5&lt;=7, 1.1, $D$5&lt;=12,1.2, $D$5&lt;=25, 1.3, $D$5&gt;25,1.4)</f>
        <v>1.3</v>
      </c>
      <c r="U1215" s="427"/>
      <c r="V1215" s="427"/>
      <c r="W1215" s="427"/>
      <c r="X1215" s="427">
        <v>1</v>
      </c>
    </row>
  </sheetData>
  <autoFilter ref="A16:X1215" xr:uid="{7A6614B8-21FC-419F-8034-5E3D1F2667C7}"/>
  <phoneticPr fontId="12" type="noConversion"/>
  <conditionalFormatting sqref="A18:L831 M18:X913 M914:O1145">
    <cfRule type="expression" dxfId="48" priority="22">
      <formula>ROW()=CELL("fila")</formula>
    </cfRule>
  </conditionalFormatting>
  <conditionalFormatting sqref="A17:X17 B832:L882 A832:A913 B883:J883 L883 B884:L903 B904:J904 L904 B905:L913 A914:L964 D965:L979 B965:C989 A965:A1045 D980:J980 L980 D981:L989 B990:L1007 B1008:J1008 L1008 B1009:L1035 B1036:J1036 L1036 B1037:L1045 A1046:L1145">
    <cfRule type="expression" dxfId="46" priority="30">
      <formula>ROW()=CELL("fila")</formula>
    </cfRule>
  </conditionalFormatting>
  <conditionalFormatting sqref="K1:K882 K884:K903 K905:K979 K981:K1007 K1009:K1035 K1037:K1145 K1216:K1048576">
    <cfRule type="cellIs" dxfId="44" priority="153" operator="equal">
      <formula>$K$1143</formula>
    </cfRule>
    <cfRule type="cellIs" dxfId="43" priority="154" operator="equal">
      <formula>#REF!</formula>
    </cfRule>
  </conditionalFormatting>
  <conditionalFormatting sqref="K740:K882 K884:K903 K905:K979 K981:K1007 K1009:K1035 K1037:K1123">
    <cfRule type="containsText" dxfId="42" priority="48" operator="containsText" text="agrimins">
      <formula>NOT(ISERROR(SEARCH("agrimins",K740)))</formula>
    </cfRule>
    <cfRule type="containsText" dxfId="41" priority="49" operator="containsText" text="cloruro">
      <formula>NOT(ISERROR(SEARCH("cloruro",K740)))</formula>
    </cfRule>
    <cfRule type="containsText" dxfId="40" priority="50" operator="containsText" text="fosfato">
      <formula>NOT(ISERROR(SEARCH("fosfato",K740)))</formula>
    </cfRule>
    <cfRule type="containsText" dxfId="39" priority="51" operator="containsText" text="urea">
      <formula>NOT(ISERROR(SEARCH("urea",K740)))</formula>
    </cfRule>
  </conditionalFormatting>
  <conditionalFormatting sqref="K1131:K1132">
    <cfRule type="containsText" dxfId="38" priority="38" operator="containsText" text="fosfato">
      <formula>NOT(ISERROR(SEARCH("fosfato",K1131)))</formula>
    </cfRule>
    <cfRule type="containsText" dxfId="37" priority="37" operator="containsText" text="cloruro">
      <formula>NOT(ISERROR(SEARCH("cloruro",K1131)))</formula>
    </cfRule>
    <cfRule type="containsText" dxfId="36" priority="36" operator="containsText" text="agrimins">
      <formula>NOT(ISERROR(SEARCH("agrimins",K1131)))</formula>
    </cfRule>
    <cfRule type="containsText" dxfId="35" priority="39" operator="containsText" text="urea">
      <formula>NOT(ISERROR(SEARCH("urea",K1131)))</formula>
    </cfRule>
  </conditionalFormatting>
  <conditionalFormatting sqref="K1136">
    <cfRule type="containsText" dxfId="34" priority="40" operator="containsText" text="agrimins">
      <formula>NOT(ISERROR(SEARCH("agrimins",K1136)))</formula>
    </cfRule>
    <cfRule type="containsText" dxfId="33" priority="41" operator="containsText" text="cloruro">
      <formula>NOT(ISERROR(SEARCH("cloruro",K1136)))</formula>
    </cfRule>
    <cfRule type="containsText" dxfId="32" priority="42" operator="containsText" text="fosfato">
      <formula>NOT(ISERROR(SEARCH("fosfato",K1136)))</formula>
    </cfRule>
    <cfRule type="containsText" dxfId="31" priority="43" operator="containsText" text="urea">
      <formula>NOT(ISERROR(SEARCH("urea",K1136)))</formula>
    </cfRule>
  </conditionalFormatting>
  <conditionalFormatting sqref="K1148:K1215">
    <cfRule type="cellIs" dxfId="29" priority="20" operator="equal">
      <formula>#REF!</formula>
    </cfRule>
    <cfRule type="cellIs" dxfId="28" priority="21" operator="equal">
      <formula>#REF!</formula>
    </cfRule>
  </conditionalFormatting>
  <conditionalFormatting sqref="K1188:K1215">
    <cfRule type="containsText" dxfId="27" priority="14" operator="containsText" text="agrimins">
      <formula>NOT(ISERROR(SEARCH("agrimins",K1188)))</formula>
    </cfRule>
    <cfRule type="containsText" dxfId="26" priority="15" operator="containsText" text="cloruro">
      <formula>NOT(ISERROR(SEARCH("cloruro",K1188)))</formula>
    </cfRule>
    <cfRule type="containsText" dxfId="25" priority="16" operator="containsText" text="fosfato">
      <formula>NOT(ISERROR(SEARCH("fosfato",K1188)))</formula>
    </cfRule>
    <cfRule type="containsText" dxfId="24" priority="17" operator="containsText" text="urea">
      <formula>NOT(ISERROR(SEARCH("urea",K1188)))</formula>
    </cfRule>
  </conditionalFormatting>
  <conditionalFormatting sqref="M16:M1144 M2:M4">
    <cfRule type="cellIs" dxfId="23" priority="155" operator="equal">
      <formula>0</formula>
    </cfRule>
  </conditionalFormatting>
  <conditionalFormatting sqref="M1148:M1215">
    <cfRule type="cellIs" dxfId="22" priority="18" operator="equal">
      <formula>0</formula>
    </cfRule>
  </conditionalFormatting>
  <conditionalFormatting sqref="P914:X1215 A1146:O1215">
    <cfRule type="expression" dxfId="20" priority="8">
      <formula>ROW()=CELL("fila")</formula>
    </cfRule>
  </conditionalFormatting>
  <conditionalFormatting sqref="X1214:X1215">
    <cfRule type="cellIs" dxfId="16" priority="7" operator="equal">
      <formula>#REF!</formula>
    </cfRule>
    <cfRule type="cellIs" dxfId="15" priority="6" operator="equal">
      <formula>#REF!</formula>
    </cfRule>
    <cfRule type="containsText" dxfId="13" priority="4" operator="containsText" text="urea">
      <formula>NOT(ISERROR(SEARCH("urea",X1214)))</formula>
    </cfRule>
    <cfRule type="containsText" dxfId="12" priority="3" operator="containsText" text="fosfato">
      <formula>NOT(ISERROR(SEARCH("fosfato",X1214)))</formula>
    </cfRule>
    <cfRule type="containsText" dxfId="11" priority="2" operator="containsText" text="cloruro">
      <formula>NOT(ISERROR(SEARCH("cloruro",X1214)))</formula>
    </cfRule>
    <cfRule type="containsText" dxfId="10" priority="1" operator="containsText" text="agrimins">
      <formula>NOT(ISERROR(SEARCH("agrimins",X1214)))</formula>
    </cfRule>
  </conditionalFormatting>
  <dataValidations disablePrompts="1" count="1">
    <dataValidation operator="equal" allowBlank="1" showInputMessage="1" showErrorMessage="1" sqref="F5:F6" xr:uid="{102F35D3-138E-4FCD-A25C-781B40437D9A}"/>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32" operator="containsText" id="{6F1344C9-E81D-40F2-B2FD-859BD99E91BF}">
            <xm:f>NOT(ISERROR(SEARCH(ROW()=CELL("fila"),A17)))</xm:f>
            <xm:f>ROW()=CELL("fila")</xm:f>
            <x14:dxf>
              <fill>
                <patternFill>
                  <bgColor theme="9" tint="0.59996337778862885"/>
                </patternFill>
              </fill>
            </x14:dxf>
          </x14:cfRule>
          <xm:sqref>A17:W17 B832:L882 A832:A913 B883:J883 L883 B884:L903 B904:J904 L904 B905:L913 A914:L964 D965:L979 B965:C989 A965:A1045 D980:J980 L980 D981:L989 B990:L1007 B1008:J1008 L1008 B1009:L1035 B1036:J1036 L1036 B1037:L1045 A1046:L1145 A18:L831 M18:W913</xm:sqref>
        </x14:conditionalFormatting>
        <x14:conditionalFormatting xmlns:xm="http://schemas.microsoft.com/office/excel/2006/main">
          <x14:cfRule type="containsText" priority="152" operator="containsText" id="{4ED2BBC0-AC80-497A-9E8C-F98362918F81}">
            <xm:f>NOT(ISERROR(SEARCH($K$71,K1)))</xm:f>
            <xm:f>$K$71</xm:f>
            <x14:dxf>
              <fill>
                <patternFill>
                  <bgColor theme="7" tint="0.39994506668294322"/>
                </patternFill>
              </fill>
            </x14:dxf>
          </x14:cfRule>
          <xm:sqref>K1:K882 K884:K903 K905:K979 K981:K1007 K1009:K1035 K1037:K1145 K1216:K1048576</xm:sqref>
        </x14:conditionalFormatting>
        <x14:conditionalFormatting xmlns:xm="http://schemas.microsoft.com/office/excel/2006/main">
          <x14:cfRule type="containsText" priority="19" operator="containsText" id="{068A28B1-97CF-461B-975D-5CB1F12DAB57}">
            <xm:f>NOT(ISERROR(SEARCH(#REF!,K1148)))</xm:f>
            <xm:f>#REF!</xm:f>
            <x14:dxf>
              <fill>
                <patternFill>
                  <bgColor theme="7" tint="0.39994506668294322"/>
                </patternFill>
              </fill>
            </x14:dxf>
          </x14:cfRule>
          <xm:sqref>K1148:K1215</xm:sqref>
        </x14:conditionalFormatting>
        <x14:conditionalFormatting xmlns:xm="http://schemas.microsoft.com/office/excel/2006/main">
          <x14:cfRule type="containsText" priority="25" operator="containsText" id="{6C8C5859-895C-4B45-9E44-6CB371ABAFE9}">
            <xm:f>NOT(ISERROR(SEARCH(ROW()=CELL("fila"),M914)))</xm:f>
            <xm:f>ROW()=CELL("fila")</xm:f>
            <x14:dxf>
              <fill>
                <patternFill>
                  <bgColor theme="9" tint="0.59996337778862885"/>
                </patternFill>
              </fill>
            </x14:dxf>
          </x14:cfRule>
          <xm:sqref>M914:O1145 Q914:W1145 P914:P1215</xm:sqref>
        </x14:conditionalFormatting>
        <x14:conditionalFormatting xmlns:xm="http://schemas.microsoft.com/office/excel/2006/main">
          <x14:cfRule type="containsText" priority="13" operator="containsText" id="{91983C0F-E6C1-4499-AB6A-FE6A159E04DD}">
            <xm:f>NOT(ISERROR(SEARCH(ROW()=CELL("fila"),Q1148)))</xm:f>
            <xm:f>ROW()=CELL("fila")</xm:f>
            <x14:dxf>
              <fill>
                <patternFill>
                  <bgColor theme="9" tint="0.59996337778862885"/>
                </patternFill>
              </fill>
            </x14:dxf>
          </x14:cfRule>
          <xm:sqref>Q1148:W1215 X1149:X1152 X1214:X1215</xm:sqref>
        </x14:conditionalFormatting>
        <x14:conditionalFormatting xmlns:xm="http://schemas.microsoft.com/office/excel/2006/main">
          <x14:cfRule type="containsText" priority="9" operator="containsText" id="{D9139D68-B701-4BFC-8E49-3BC799F63A44}">
            <xm:f>NOT(ISERROR(SEARCH(ROW()=CELL("fila"),A1146)))</xm:f>
            <xm:f>ROW()=CELL("fila")</xm:f>
            <x14:dxf>
              <fill>
                <patternFill>
                  <bgColor theme="9" tint="0.59996337778862885"/>
                </patternFill>
              </fill>
            </x14:dxf>
          </x14:cfRule>
          <xm:sqref>Q1146:X1147 A1146:O1215</xm:sqref>
        </x14:conditionalFormatting>
        <x14:conditionalFormatting xmlns:xm="http://schemas.microsoft.com/office/excel/2006/main">
          <x14:cfRule type="containsText" priority="23" operator="containsText" id="{D32B4AD3-1BC2-4E27-B948-6C4571F18427}">
            <xm:f>NOT(ISERROR(SEARCH(ROW()=CELL("fila"),X59)))</xm:f>
            <xm:f>ROW()=CELL("fila")</xm:f>
            <x14:dxf>
              <fill>
                <patternFill>
                  <bgColor theme="9" tint="0.59996337778862885"/>
                </patternFill>
              </fill>
            </x14:dxf>
          </x14:cfRule>
          <xm:sqref>X59:X72</xm:sqref>
        </x14:conditionalFormatting>
        <x14:conditionalFormatting xmlns:xm="http://schemas.microsoft.com/office/excel/2006/main">
          <x14:cfRule type="containsText" priority="5" operator="containsText" id="{10A4CCCD-0AF2-4558-B88A-FF19573B5F65}">
            <xm:f>NOT(ISERROR(SEARCH(#REF!,X1214)))</xm:f>
            <xm:f>#REF!</xm:f>
            <x14:dxf>
              <fill>
                <patternFill>
                  <bgColor theme="7" tint="0.39994506668294322"/>
                </patternFill>
              </fill>
            </x14:dxf>
          </x14:cfRule>
          <xm:sqref>X1214:X1215</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DB21B33E-BAFF-4AF9-A989-BE60C3C37DF8}">
          <x14:formula1>
            <xm:f>Caracteristicas!$M$2:$M$3</xm:f>
          </x14:formula1>
          <xm:sqref>H5:H6</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ACFF7-E690-473C-94D2-87A1A4E0A4EC}">
  <sheetPr codeName="Hoja2">
    <tabColor rgb="FF607D8B"/>
  </sheetPr>
  <dimension ref="A1:AF347"/>
  <sheetViews>
    <sheetView showGridLines="0" zoomScale="87" workbookViewId="0">
      <pane ySplit="1" topLeftCell="A42" activePane="bottomLeft" state="frozen"/>
      <selection pane="bottomLeft" activeCell="F62" sqref="F62"/>
    </sheetView>
    <sheetView workbookViewId="1"/>
  </sheetViews>
  <sheetFormatPr baseColWidth="10" defaultColWidth="10" defaultRowHeight="15"/>
  <cols>
    <col min="1" max="1" width="24.125" style="4" customWidth="1"/>
    <col min="2" max="2" width="52.125" style="4" bestFit="1" customWidth="1"/>
    <col min="3" max="3" width="28.375" style="4" customWidth="1"/>
    <col min="4" max="4" width="17.375" style="4" customWidth="1"/>
    <col min="5" max="5" width="24.125" style="4" bestFit="1" customWidth="1"/>
    <col min="6" max="6" width="23.125" style="4" customWidth="1"/>
    <col min="7" max="7" width="20.375" style="4" customWidth="1"/>
    <col min="8" max="8" width="19.125" style="4" customWidth="1"/>
    <col min="9" max="9" width="27.625" style="4" customWidth="1"/>
    <col min="10" max="10" width="10" style="4"/>
    <col min="11" max="11" width="15.125" style="4" bestFit="1" customWidth="1"/>
    <col min="12" max="12" width="10" style="4"/>
    <col min="13" max="13" width="16.125" style="4" bestFit="1" customWidth="1"/>
    <col min="14" max="16" width="10" style="4"/>
    <col min="17" max="17" width="29.375" style="4" customWidth="1"/>
    <col min="18" max="18" width="21.125" style="4" bestFit="1" customWidth="1"/>
    <col min="19" max="19" width="21.125" style="4" customWidth="1"/>
    <col min="20" max="20" width="64.625" style="4" bestFit="1" customWidth="1"/>
    <col min="21" max="21" width="25.125" style="4" customWidth="1"/>
    <col min="22" max="16384" width="10" style="4"/>
  </cols>
  <sheetData>
    <row r="1" spans="1:32" ht="21.95" customHeight="1">
      <c r="A1" s="179" t="s">
        <v>3625</v>
      </c>
      <c r="B1" s="179"/>
      <c r="C1" s="179"/>
      <c r="D1" s="169"/>
      <c r="E1" s="179" t="s">
        <v>3626</v>
      </c>
      <c r="F1" s="169"/>
      <c r="G1" s="179" t="s">
        <v>3627</v>
      </c>
      <c r="H1" s="169"/>
      <c r="I1" s="169"/>
      <c r="J1" s="169"/>
      <c r="K1" s="179" t="s">
        <v>52</v>
      </c>
      <c r="L1" s="169"/>
      <c r="M1" s="179" t="s">
        <v>3628</v>
      </c>
      <c r="N1" s="169"/>
      <c r="O1" s="169"/>
      <c r="P1" s="179" t="s">
        <v>3629</v>
      </c>
      <c r="Q1" s="179" t="s">
        <v>3630</v>
      </c>
      <c r="R1" s="179" t="s">
        <v>3631</v>
      </c>
      <c r="S1" s="179"/>
      <c r="T1" s="179" t="s">
        <v>3632</v>
      </c>
      <c r="U1" s="179" t="s">
        <v>3633</v>
      </c>
      <c r="V1" s="169"/>
      <c r="W1" s="179" t="s">
        <v>3634</v>
      </c>
      <c r="X1" s="179"/>
      <c r="Y1" s="179" t="s">
        <v>3635</v>
      </c>
      <c r="Z1" s="170"/>
      <c r="AA1" s="170" t="s">
        <v>3636</v>
      </c>
      <c r="AB1" s="170" t="s">
        <v>3637</v>
      </c>
      <c r="AC1" s="170" t="s">
        <v>3638</v>
      </c>
      <c r="AD1" s="170" t="s">
        <v>3639</v>
      </c>
      <c r="AE1" s="170"/>
      <c r="AF1" s="170" t="s">
        <v>42</v>
      </c>
    </row>
    <row r="2" spans="1:32" ht="75" customHeight="1">
      <c r="A2" s="88" t="s">
        <v>3640</v>
      </c>
      <c r="B2" s="88" t="s">
        <v>3641</v>
      </c>
      <c r="C2" s="88" t="s">
        <v>3642</v>
      </c>
      <c r="D2" s="88"/>
      <c r="E2" s="242" t="s">
        <v>3643</v>
      </c>
      <c r="F2" s="88"/>
      <c r="G2" s="133" t="s">
        <v>3644</v>
      </c>
      <c r="H2" s="88"/>
      <c r="I2" s="88"/>
      <c r="J2" s="88"/>
      <c r="K2" s="88" t="s">
        <v>53</v>
      </c>
      <c r="L2" s="88"/>
      <c r="M2" s="133" t="s">
        <v>47</v>
      </c>
      <c r="N2" s="88"/>
      <c r="O2" s="100"/>
      <c r="P2" s="120" t="s">
        <v>23</v>
      </c>
      <c r="Q2" s="147" t="s">
        <v>3645</v>
      </c>
      <c r="R2" s="243" t="s">
        <v>3646</v>
      </c>
      <c r="S2" s="147" t="s">
        <v>3647</v>
      </c>
      <c r="T2" s="147" t="s">
        <v>3648</v>
      </c>
      <c r="U2" s="147" t="s">
        <v>3649</v>
      </c>
      <c r="V2" s="88"/>
      <c r="W2" s="88" t="s">
        <v>53</v>
      </c>
      <c r="X2" s="88"/>
      <c r="Y2" s="88" t="s">
        <v>3650</v>
      </c>
      <c r="Z2" s="88"/>
      <c r="AA2" s="88" t="s">
        <v>3651</v>
      </c>
      <c r="AB2" s="88" t="s">
        <v>3652</v>
      </c>
      <c r="AC2" s="244" t="s">
        <v>3653</v>
      </c>
      <c r="AD2" s="88"/>
      <c r="AE2" s="88"/>
      <c r="AF2" s="235" t="s">
        <v>3654</v>
      </c>
    </row>
    <row r="3" spans="1:32" ht="42.75" customHeight="1">
      <c r="A3" s="88" t="s">
        <v>16</v>
      </c>
      <c r="B3" s="88" t="s">
        <v>3655</v>
      </c>
      <c r="C3" s="88" t="s">
        <v>3656</v>
      </c>
      <c r="D3" s="88"/>
      <c r="E3" s="245" t="s">
        <v>40</v>
      </c>
      <c r="F3" s="88"/>
      <c r="G3" s="133" t="s">
        <v>3657</v>
      </c>
      <c r="H3" s="88"/>
      <c r="I3" s="88"/>
      <c r="J3" s="88"/>
      <c r="K3" s="88" t="s">
        <v>68</v>
      </c>
      <c r="L3" s="88"/>
      <c r="M3" s="133" t="s">
        <v>3658</v>
      </c>
      <c r="N3" s="88"/>
      <c r="O3" s="100"/>
      <c r="P3" s="120" t="s">
        <v>3659</v>
      </c>
      <c r="Q3" s="147" t="s">
        <v>3660</v>
      </c>
      <c r="R3" s="243" t="s">
        <v>3661</v>
      </c>
      <c r="S3" s="147" t="s">
        <v>3662</v>
      </c>
      <c r="T3" s="147" t="s">
        <v>3663</v>
      </c>
      <c r="U3" s="147" t="s">
        <v>3664</v>
      </c>
      <c r="V3" s="88"/>
      <c r="W3" s="88" t="s">
        <v>68</v>
      </c>
      <c r="X3" s="88"/>
      <c r="Y3" s="88" t="s">
        <v>3658</v>
      </c>
      <c r="Z3" s="88"/>
      <c r="AA3" s="88" t="s">
        <v>3665</v>
      </c>
      <c r="AB3" s="88" t="s">
        <v>3666</v>
      </c>
      <c r="AC3" s="244" t="s">
        <v>3667</v>
      </c>
      <c r="AD3" s="88"/>
      <c r="AE3" s="88"/>
      <c r="AF3" s="235" t="s">
        <v>3668</v>
      </c>
    </row>
    <row r="4" spans="1:32" ht="54.75" customHeight="1">
      <c r="A4" s="88" t="s">
        <v>3669</v>
      </c>
      <c r="B4" s="88" t="s">
        <v>3670</v>
      </c>
      <c r="C4" s="88" t="s">
        <v>3671</v>
      </c>
      <c r="D4" s="88"/>
      <c r="E4" s="242" t="s">
        <v>3672</v>
      </c>
      <c r="F4" s="88"/>
      <c r="G4" s="133" t="s">
        <v>39</v>
      </c>
      <c r="H4" s="88"/>
      <c r="I4" s="88"/>
      <c r="J4" s="88"/>
      <c r="K4" s="88" t="s">
        <v>69</v>
      </c>
      <c r="L4" s="88"/>
      <c r="M4" s="88"/>
      <c r="N4" s="88"/>
      <c r="O4" s="100"/>
      <c r="P4" s="120" t="s">
        <v>3673</v>
      </c>
      <c r="Q4" s="147" t="s">
        <v>3674</v>
      </c>
      <c r="R4" s="243" t="s">
        <v>3675</v>
      </c>
      <c r="S4" s="147" t="s">
        <v>3676</v>
      </c>
      <c r="T4" s="147" t="s">
        <v>3677</v>
      </c>
      <c r="U4" s="147" t="s">
        <v>3678</v>
      </c>
      <c r="V4" s="88"/>
      <c r="W4" s="88" t="s">
        <v>69</v>
      </c>
      <c r="X4" s="88"/>
      <c r="Y4" s="88"/>
      <c r="Z4" s="88"/>
      <c r="AA4" s="88" t="s">
        <v>3679</v>
      </c>
      <c r="AB4" s="88" t="s">
        <v>3680</v>
      </c>
      <c r="AC4" s="244" t="s">
        <v>3681</v>
      </c>
      <c r="AD4" s="88" t="s">
        <v>3682</v>
      </c>
      <c r="AE4" s="88"/>
      <c r="AF4" s="235" t="s">
        <v>3683</v>
      </c>
    </row>
    <row r="5" spans="1:32" ht="38.25" customHeight="1" thickBot="1">
      <c r="A5" s="88" t="s">
        <v>3684</v>
      </c>
      <c r="B5" s="88" t="s">
        <v>3685</v>
      </c>
      <c r="C5" s="88" t="s">
        <v>3686</v>
      </c>
      <c r="D5" s="88"/>
      <c r="E5" s="246" t="s">
        <v>3687</v>
      </c>
      <c r="F5" s="88"/>
      <c r="G5" s="133" t="s">
        <v>3688</v>
      </c>
      <c r="H5" s="88"/>
      <c r="I5" s="88"/>
      <c r="J5" s="88"/>
      <c r="K5" s="88" t="s">
        <v>4573</v>
      </c>
      <c r="L5" s="88"/>
      <c r="M5" s="88"/>
      <c r="N5" s="88"/>
      <c r="O5" s="100"/>
      <c r="P5" s="120" t="s">
        <v>3689</v>
      </c>
      <c r="Q5" s="147" t="s">
        <v>3690</v>
      </c>
      <c r="R5" s="243" t="s">
        <v>3691</v>
      </c>
      <c r="S5" s="147" t="s">
        <v>3692</v>
      </c>
      <c r="T5" s="147" t="s">
        <v>3693</v>
      </c>
      <c r="U5" s="147" t="s">
        <v>3694</v>
      </c>
      <c r="V5" s="88"/>
      <c r="W5" s="88"/>
      <c r="X5" s="88"/>
      <c r="Y5" s="88"/>
      <c r="Z5" s="88"/>
      <c r="AA5" s="88"/>
      <c r="AB5" s="88"/>
      <c r="AC5" s="88"/>
      <c r="AD5" s="88"/>
      <c r="AE5" s="88"/>
      <c r="AF5" s="88" t="s">
        <v>4433</v>
      </c>
    </row>
    <row r="6" spans="1:32" ht="55.5" customHeight="1">
      <c r="A6" s="88" t="s">
        <v>3695</v>
      </c>
      <c r="B6" s="88" t="s">
        <v>3696</v>
      </c>
      <c r="C6" s="88" t="s">
        <v>3697</v>
      </c>
      <c r="D6" s="88"/>
      <c r="E6" s="88"/>
      <c r="F6" s="88"/>
      <c r="G6" s="88"/>
      <c r="H6" s="88"/>
      <c r="I6" s="88"/>
      <c r="J6" s="88"/>
      <c r="K6" s="88"/>
      <c r="L6" s="88"/>
      <c r="M6" s="88"/>
      <c r="N6" s="88"/>
      <c r="O6" s="100"/>
      <c r="P6" s="120" t="s">
        <v>3698</v>
      </c>
      <c r="Q6" s="147" t="s">
        <v>3699</v>
      </c>
      <c r="R6" s="243" t="s">
        <v>3646</v>
      </c>
      <c r="S6" s="147" t="s">
        <v>3700</v>
      </c>
      <c r="T6" s="147" t="s">
        <v>3701</v>
      </c>
      <c r="U6" s="147" t="s">
        <v>3702</v>
      </c>
      <c r="V6" s="88"/>
      <c r="W6" s="88"/>
      <c r="X6" s="88"/>
      <c r="Y6" s="88"/>
      <c r="Z6" s="88"/>
      <c r="AA6" s="88"/>
      <c r="AB6" s="88"/>
      <c r="AC6" s="88"/>
      <c r="AD6" s="88"/>
      <c r="AE6" s="88"/>
      <c r="AF6" s="88"/>
    </row>
    <row r="7" spans="1:32" ht="54" customHeight="1">
      <c r="A7" s="88" t="s">
        <v>3703</v>
      </c>
      <c r="B7" s="88" t="s">
        <v>3704</v>
      </c>
      <c r="C7" s="88" t="s">
        <v>3705</v>
      </c>
      <c r="D7" s="88"/>
      <c r="E7" s="88"/>
      <c r="F7" s="88"/>
      <c r="G7" s="88"/>
      <c r="H7" s="88"/>
      <c r="I7" s="88"/>
      <c r="J7" s="88"/>
      <c r="K7" s="88"/>
      <c r="L7" s="88"/>
      <c r="M7" s="88"/>
      <c r="N7" s="88"/>
      <c r="O7" s="100"/>
      <c r="P7" s="120" t="s">
        <v>3706</v>
      </c>
      <c r="Q7" s="147" t="s">
        <v>3707</v>
      </c>
      <c r="R7" s="243" t="s">
        <v>3708</v>
      </c>
      <c r="S7" s="147" t="s">
        <v>3709</v>
      </c>
      <c r="T7" s="147" t="s">
        <v>3710</v>
      </c>
      <c r="U7" s="147" t="s">
        <v>3711</v>
      </c>
      <c r="V7" s="88"/>
      <c r="W7" s="88"/>
      <c r="X7" s="88"/>
      <c r="Y7" s="88"/>
      <c r="Z7" s="88"/>
      <c r="AA7" s="88"/>
      <c r="AB7" s="88"/>
      <c r="AC7" s="88"/>
      <c r="AD7" s="88"/>
      <c r="AE7" s="88"/>
      <c r="AF7" s="88"/>
    </row>
    <row r="8" spans="1:32" ht="59.25" customHeight="1">
      <c r="A8" s="88"/>
      <c r="B8" s="88"/>
      <c r="C8" s="88"/>
      <c r="D8" s="88"/>
      <c r="E8" s="88"/>
      <c r="F8" s="88"/>
      <c r="G8" s="88"/>
      <c r="H8" s="88"/>
      <c r="I8" s="88"/>
      <c r="J8" s="88"/>
      <c r="K8" s="88"/>
      <c r="L8" s="88"/>
      <c r="M8" s="88"/>
      <c r="N8" s="88"/>
      <c r="O8" s="100"/>
      <c r="P8" s="120" t="s">
        <v>3712</v>
      </c>
      <c r="Q8" s="147" t="s">
        <v>3713</v>
      </c>
      <c r="R8" s="243" t="s">
        <v>3714</v>
      </c>
      <c r="S8" s="147" t="s">
        <v>3715</v>
      </c>
      <c r="T8" s="147" t="s">
        <v>3716</v>
      </c>
      <c r="U8" s="147" t="s">
        <v>3717</v>
      </c>
      <c r="V8" s="88"/>
      <c r="W8" s="88"/>
      <c r="X8" s="88"/>
      <c r="Y8" s="88"/>
      <c r="Z8" s="88"/>
      <c r="AA8" s="88"/>
      <c r="AB8" s="88"/>
      <c r="AC8" s="88"/>
      <c r="AD8" s="88"/>
      <c r="AE8" s="88"/>
      <c r="AF8" s="88"/>
    </row>
    <row r="9" spans="1:32" ht="59.25" customHeight="1">
      <c r="A9" s="88"/>
      <c r="B9" s="88"/>
      <c r="C9" s="88"/>
      <c r="D9" s="88"/>
      <c r="E9" s="88"/>
      <c r="F9" s="88"/>
      <c r="G9" s="88"/>
      <c r="H9" s="88"/>
      <c r="I9" s="88"/>
      <c r="J9" s="88"/>
      <c r="K9" s="88"/>
      <c r="L9" s="88"/>
      <c r="M9" s="88"/>
      <c r="N9" s="88"/>
      <c r="O9" s="100"/>
      <c r="P9" s="120" t="s">
        <v>3718</v>
      </c>
      <c r="Q9" s="147" t="s">
        <v>3719</v>
      </c>
      <c r="R9" s="243" t="s">
        <v>3720</v>
      </c>
      <c r="S9" s="147" t="s">
        <v>3721</v>
      </c>
      <c r="T9" s="147" t="s">
        <v>3722</v>
      </c>
      <c r="U9" s="147" t="s">
        <v>3723</v>
      </c>
      <c r="V9" s="88"/>
      <c r="W9" s="88"/>
      <c r="X9" s="88"/>
      <c r="Y9" s="88"/>
      <c r="Z9" s="88"/>
      <c r="AA9" s="88"/>
      <c r="AB9" s="88"/>
      <c r="AC9" s="88"/>
      <c r="AD9" s="88"/>
      <c r="AE9" s="88"/>
      <c r="AF9" s="88"/>
    </row>
    <row r="10" spans="1:32" ht="15.75" thickBot="1">
      <c r="A10" s="247" t="s">
        <v>3724</v>
      </c>
      <c r="B10" s="248" t="s">
        <v>3725</v>
      </c>
      <c r="C10" s="248" t="s">
        <v>3726</v>
      </c>
      <c r="D10" s="249" t="s">
        <v>3727</v>
      </c>
      <c r="E10" s="88"/>
      <c r="F10" s="247" t="s">
        <v>3728</v>
      </c>
      <c r="G10" s="248" t="s">
        <v>3729</v>
      </c>
      <c r="H10" s="248" t="s">
        <v>3730</v>
      </c>
      <c r="I10" s="249" t="s">
        <v>3731</v>
      </c>
      <c r="J10" s="88"/>
      <c r="K10" s="88"/>
      <c r="L10" s="88"/>
      <c r="M10" s="88"/>
      <c r="N10" s="88"/>
      <c r="O10" s="88"/>
      <c r="P10" s="100"/>
      <c r="Q10" s="100"/>
      <c r="R10" s="100"/>
      <c r="S10" s="100"/>
      <c r="T10" s="100"/>
      <c r="U10" s="100"/>
      <c r="V10" s="88"/>
      <c r="W10" s="88"/>
      <c r="X10" s="88"/>
      <c r="Y10" s="88"/>
      <c r="Z10" s="88"/>
      <c r="AA10" s="88"/>
      <c r="AB10" s="88"/>
      <c r="AC10" s="88"/>
      <c r="AD10" s="88"/>
      <c r="AE10" s="88"/>
      <c r="AF10" s="88"/>
    </row>
    <row r="11" spans="1:32" ht="30.75" thickBot="1">
      <c r="A11" s="250" t="s">
        <v>3732</v>
      </c>
      <c r="B11" s="251" t="s">
        <v>3733</v>
      </c>
      <c r="C11" s="251" t="s">
        <v>3734</v>
      </c>
      <c r="D11" s="252" t="s">
        <v>3735</v>
      </c>
      <c r="E11" s="88"/>
      <c r="F11" s="250" t="s">
        <v>44</v>
      </c>
      <c r="G11" s="251" t="s">
        <v>3736</v>
      </c>
      <c r="H11" s="251" t="s">
        <v>3737</v>
      </c>
      <c r="I11" s="252" t="s">
        <v>3738</v>
      </c>
      <c r="J11" s="88"/>
      <c r="K11" s="88"/>
      <c r="L11" s="88"/>
      <c r="M11" s="88"/>
      <c r="N11" s="88"/>
      <c r="O11" s="88"/>
      <c r="P11" s="88"/>
      <c r="Q11" s="88"/>
      <c r="R11" s="88"/>
      <c r="S11" s="88"/>
      <c r="T11" s="88"/>
      <c r="U11" s="88"/>
      <c r="V11" s="88"/>
      <c r="W11" s="88"/>
      <c r="X11" s="88"/>
      <c r="Y11" s="88"/>
      <c r="Z11" s="88"/>
      <c r="AA11" s="88"/>
      <c r="AB11" s="88"/>
      <c r="AC11" s="88"/>
      <c r="AD11" s="88"/>
      <c r="AE11" s="88"/>
      <c r="AF11" s="88"/>
    </row>
    <row r="12" spans="1:32" ht="30.75" thickBot="1">
      <c r="A12" s="250" t="s">
        <v>3739</v>
      </c>
      <c r="B12" s="251" t="s">
        <v>3740</v>
      </c>
      <c r="C12" s="251" t="s">
        <v>3741</v>
      </c>
      <c r="D12" s="252" t="s">
        <v>3742</v>
      </c>
      <c r="E12" s="88"/>
      <c r="F12" s="250" t="s">
        <v>3743</v>
      </c>
      <c r="G12" s="251" t="s">
        <v>3744</v>
      </c>
      <c r="H12" s="251" t="s">
        <v>3745</v>
      </c>
      <c r="I12" s="252" t="s">
        <v>3738</v>
      </c>
      <c r="J12" s="88"/>
      <c r="K12" s="88"/>
      <c r="L12" s="88"/>
      <c r="M12" s="88"/>
      <c r="N12" s="88"/>
      <c r="O12" s="88"/>
      <c r="P12" s="88"/>
      <c r="Q12" s="88"/>
      <c r="R12" s="88"/>
      <c r="S12" s="88"/>
      <c r="T12" s="88"/>
      <c r="U12" s="88"/>
      <c r="V12" s="88"/>
      <c r="W12" s="88"/>
      <c r="X12" s="88"/>
      <c r="Y12" s="88"/>
      <c r="Z12" s="88"/>
      <c r="AA12" s="88"/>
      <c r="AB12" s="88"/>
      <c r="AC12" s="88"/>
      <c r="AD12" s="88"/>
      <c r="AE12" s="88"/>
      <c r="AF12" s="88"/>
    </row>
    <row r="13" spans="1:32" ht="30.75" thickBot="1">
      <c r="A13" s="250" t="s">
        <v>3746</v>
      </c>
      <c r="B13" s="251" t="s">
        <v>3747</v>
      </c>
      <c r="C13" s="251" t="s">
        <v>3748</v>
      </c>
      <c r="D13" s="252" t="s">
        <v>3749</v>
      </c>
      <c r="E13" s="88"/>
      <c r="F13" s="250" t="s">
        <v>39</v>
      </c>
      <c r="G13" s="251" t="s">
        <v>3750</v>
      </c>
      <c r="H13" s="251" t="s">
        <v>3751</v>
      </c>
      <c r="I13" s="252" t="s">
        <v>3738</v>
      </c>
      <c r="J13" s="88"/>
      <c r="K13" s="88"/>
      <c r="L13" s="88"/>
      <c r="M13" s="88"/>
      <c r="N13" s="88"/>
      <c r="O13" s="88"/>
      <c r="P13" s="88"/>
      <c r="Q13" s="88"/>
      <c r="R13" s="88"/>
      <c r="S13" s="88"/>
      <c r="T13" s="88"/>
      <c r="U13" s="88"/>
      <c r="V13" s="88"/>
      <c r="W13" s="88"/>
      <c r="X13" s="88"/>
      <c r="Y13" s="88"/>
      <c r="Z13" s="88"/>
      <c r="AA13" s="88"/>
      <c r="AB13" s="88"/>
      <c r="AC13" s="88"/>
      <c r="AD13" s="88"/>
      <c r="AE13" s="88"/>
      <c r="AF13" s="88"/>
    </row>
    <row r="14" spans="1:32" ht="30.75" thickBot="1">
      <c r="A14" s="250" t="s">
        <v>3752</v>
      </c>
      <c r="B14" s="251" t="s">
        <v>3753</v>
      </c>
      <c r="C14" s="251" t="s">
        <v>3754</v>
      </c>
      <c r="D14" s="252" t="s">
        <v>3755</v>
      </c>
      <c r="E14" s="88"/>
      <c r="F14" s="253" t="s">
        <v>3756</v>
      </c>
      <c r="G14" s="254" t="s">
        <v>3757</v>
      </c>
      <c r="H14" s="254" t="s">
        <v>3758</v>
      </c>
      <c r="I14" s="255" t="s">
        <v>3738</v>
      </c>
      <c r="J14" s="88"/>
      <c r="K14" s="88"/>
      <c r="L14" s="88"/>
      <c r="M14" s="88"/>
      <c r="N14" s="88"/>
      <c r="O14" s="88"/>
      <c r="P14" s="88"/>
      <c r="Q14" s="88"/>
      <c r="R14" s="88"/>
      <c r="S14" s="88"/>
      <c r="T14" s="88"/>
      <c r="U14" s="88"/>
      <c r="V14" s="88"/>
      <c r="W14" s="88"/>
      <c r="X14" s="88"/>
      <c r="Y14" s="88"/>
      <c r="Z14" s="88"/>
      <c r="AA14" s="88"/>
      <c r="AB14" s="88"/>
      <c r="AC14" s="88"/>
      <c r="AD14" s="88"/>
      <c r="AE14" s="88"/>
      <c r="AF14" s="88"/>
    </row>
    <row r="15" spans="1:32" ht="30.75" thickBot="1">
      <c r="A15" s="250" t="s">
        <v>3759</v>
      </c>
      <c r="B15" s="251" t="s">
        <v>3760</v>
      </c>
      <c r="C15" s="251" t="s">
        <v>3761</v>
      </c>
      <c r="D15" s="252" t="s">
        <v>3749</v>
      </c>
      <c r="E15" s="88"/>
      <c r="F15" s="88"/>
      <c r="G15" s="88"/>
      <c r="H15" s="88"/>
      <c r="I15" s="88"/>
      <c r="J15" s="88"/>
      <c r="K15" s="88"/>
      <c r="L15" s="88"/>
      <c r="M15" s="88"/>
      <c r="N15" s="88"/>
      <c r="O15" s="88"/>
      <c r="P15" s="88"/>
      <c r="Q15" s="88"/>
      <c r="R15" s="88"/>
      <c r="S15" s="88"/>
      <c r="T15" s="88"/>
      <c r="U15" s="88"/>
      <c r="V15" s="88"/>
      <c r="W15" s="88"/>
      <c r="X15" s="88"/>
      <c r="Y15" s="88"/>
      <c r="Z15" s="88"/>
      <c r="AA15" s="88"/>
      <c r="AB15" s="88"/>
      <c r="AC15" s="88"/>
      <c r="AD15" s="88"/>
      <c r="AE15" s="88"/>
      <c r="AF15" s="88"/>
    </row>
    <row r="16" spans="1:32" ht="30">
      <c r="A16" s="253" t="s">
        <v>3762</v>
      </c>
      <c r="B16" s="254" t="s">
        <v>3763</v>
      </c>
      <c r="C16" s="254" t="s">
        <v>3764</v>
      </c>
      <c r="D16" s="255" t="s">
        <v>3765</v>
      </c>
      <c r="E16" s="88"/>
      <c r="F16" s="88"/>
      <c r="G16" s="88"/>
      <c r="H16" s="88"/>
      <c r="I16" s="88"/>
      <c r="J16" s="88"/>
      <c r="K16" s="88"/>
      <c r="L16" s="88"/>
      <c r="M16" s="88"/>
      <c r="N16" s="88"/>
      <c r="O16" s="88"/>
      <c r="P16" s="88"/>
      <c r="Q16" s="88"/>
      <c r="R16" s="88"/>
      <c r="S16" s="88"/>
      <c r="T16" s="88"/>
      <c r="U16" s="88"/>
      <c r="V16" s="88"/>
      <c r="W16" s="88"/>
      <c r="X16" s="88"/>
      <c r="Y16" s="88"/>
      <c r="Z16" s="88"/>
      <c r="AA16" s="88"/>
      <c r="AB16" s="88"/>
      <c r="AC16" s="88"/>
      <c r="AD16" s="88"/>
      <c r="AE16" s="88"/>
      <c r="AF16" s="88"/>
    </row>
    <row r="17" spans="1:32">
      <c r="A17" s="88"/>
      <c r="B17" s="88"/>
      <c r="C17" s="88"/>
      <c r="D17" s="88"/>
      <c r="E17" s="88"/>
      <c r="F17" s="88"/>
      <c r="G17" s="88"/>
      <c r="H17" s="88"/>
      <c r="I17" s="88"/>
      <c r="J17" s="88"/>
      <c r="K17" s="88"/>
      <c r="L17" s="88"/>
      <c r="M17" s="88"/>
      <c r="N17" s="88"/>
      <c r="O17" s="88"/>
      <c r="P17" s="88"/>
      <c r="Q17" s="88"/>
      <c r="R17" s="88"/>
      <c r="S17" s="88"/>
      <c r="T17" s="88"/>
      <c r="U17" s="88"/>
      <c r="V17" s="88"/>
      <c r="W17" s="88"/>
      <c r="X17" s="88"/>
      <c r="Y17" s="88"/>
      <c r="Z17" s="88"/>
      <c r="AA17" s="88"/>
      <c r="AB17" s="88"/>
      <c r="AC17" s="88"/>
      <c r="AD17" s="88"/>
      <c r="AE17" s="88"/>
      <c r="AF17" s="88"/>
    </row>
    <row r="18" spans="1:32">
      <c r="A18" s="88"/>
      <c r="B18" s="88"/>
      <c r="C18" s="88"/>
      <c r="D18" s="88"/>
      <c r="E18" s="88"/>
      <c r="F18" s="88"/>
      <c r="G18" s="88"/>
      <c r="H18" s="88"/>
      <c r="I18" s="88"/>
      <c r="J18" s="88"/>
      <c r="K18" s="88"/>
      <c r="L18" s="88"/>
      <c r="M18" s="88"/>
      <c r="N18" s="88"/>
      <c r="O18" s="88"/>
      <c r="P18" s="88"/>
      <c r="Q18" s="88"/>
      <c r="R18" s="88"/>
      <c r="S18" s="88"/>
      <c r="T18" s="88"/>
      <c r="U18" s="88"/>
      <c r="V18" s="88"/>
      <c r="W18" s="88"/>
      <c r="X18" s="88"/>
      <c r="Y18" s="88"/>
      <c r="Z18" s="88"/>
      <c r="AA18" s="88"/>
      <c r="AB18" s="88"/>
      <c r="AC18" s="88"/>
      <c r="AD18" s="88"/>
      <c r="AE18" s="88"/>
      <c r="AF18" s="88"/>
    </row>
    <row r="19" spans="1:32">
      <c r="A19" s="88"/>
      <c r="B19" s="88"/>
      <c r="C19" s="88"/>
      <c r="D19" s="88"/>
      <c r="E19" s="88"/>
      <c r="F19" s="88"/>
      <c r="G19" s="88"/>
      <c r="H19" s="88"/>
      <c r="I19" s="88"/>
      <c r="J19" s="88"/>
      <c r="K19" s="88"/>
      <c r="L19" s="88"/>
      <c r="M19" s="88"/>
      <c r="N19" s="88"/>
      <c r="O19" s="88"/>
      <c r="P19" s="88"/>
      <c r="Q19" s="88"/>
      <c r="R19" s="88"/>
      <c r="S19" s="88"/>
      <c r="T19" s="88"/>
      <c r="U19" s="88"/>
      <c r="V19" s="88"/>
      <c r="W19" s="88"/>
      <c r="X19" s="88"/>
      <c r="Y19" s="88"/>
      <c r="Z19" s="88"/>
      <c r="AA19" s="88"/>
      <c r="AB19" s="88"/>
      <c r="AC19" s="88"/>
      <c r="AD19" s="88"/>
      <c r="AE19" s="88"/>
      <c r="AF19" s="88"/>
    </row>
    <row r="20" spans="1:32">
      <c r="A20" s="88" t="s">
        <v>72</v>
      </c>
      <c r="B20" s="88"/>
      <c r="C20" s="88" t="s">
        <v>73</v>
      </c>
      <c r="D20" s="88"/>
      <c r="E20" s="88"/>
      <c r="F20" s="88" t="s">
        <v>51</v>
      </c>
      <c r="G20" s="88"/>
      <c r="H20" s="88"/>
      <c r="I20" s="88"/>
      <c r="J20" s="88"/>
      <c r="K20" s="88"/>
      <c r="L20" s="88"/>
      <c r="M20" s="88"/>
      <c r="N20" s="88"/>
      <c r="O20" s="88"/>
      <c r="P20" s="88"/>
      <c r="Q20" s="88"/>
      <c r="R20" s="88"/>
      <c r="S20" s="88"/>
      <c r="T20" s="88"/>
      <c r="U20" s="88"/>
      <c r="V20" s="88"/>
      <c r="W20" s="88"/>
      <c r="X20" s="88"/>
      <c r="Y20" s="88"/>
      <c r="Z20" s="88"/>
      <c r="AA20" s="88"/>
      <c r="AB20" s="88"/>
      <c r="AC20" s="88"/>
      <c r="AD20" s="88"/>
      <c r="AE20" s="88"/>
      <c r="AF20" s="88"/>
    </row>
    <row r="21" spans="1:32">
      <c r="A21" s="88" t="s">
        <v>3766</v>
      </c>
      <c r="B21" s="88"/>
      <c r="C21" s="197" t="s">
        <v>98</v>
      </c>
      <c r="D21" s="88"/>
      <c r="E21" s="88"/>
      <c r="F21" s="88" t="s">
        <v>3768</v>
      </c>
      <c r="G21" s="88"/>
      <c r="H21" s="88"/>
      <c r="I21" s="88"/>
      <c r="J21" s="88"/>
      <c r="K21" s="88"/>
      <c r="L21" s="88"/>
      <c r="M21" s="88"/>
      <c r="N21" s="88"/>
      <c r="O21" s="88"/>
      <c r="P21" s="88"/>
      <c r="Q21" s="88"/>
      <c r="R21" s="88"/>
      <c r="S21" s="88"/>
      <c r="T21" s="88"/>
      <c r="U21" s="88"/>
      <c r="V21" s="88"/>
      <c r="W21" s="88"/>
      <c r="X21" s="88"/>
      <c r="Y21" s="88"/>
      <c r="Z21" s="88"/>
      <c r="AA21" s="88"/>
      <c r="AB21" s="88"/>
      <c r="AC21" s="88"/>
      <c r="AD21" s="88"/>
      <c r="AE21" s="88"/>
      <c r="AF21" s="88"/>
    </row>
    <row r="22" spans="1:32">
      <c r="A22" s="88" t="s">
        <v>232</v>
      </c>
      <c r="B22" s="88"/>
      <c r="C22" s="197" t="s">
        <v>233</v>
      </c>
      <c r="D22" s="88"/>
      <c r="E22" s="88"/>
      <c r="F22" s="88" t="s">
        <v>3769</v>
      </c>
      <c r="G22" s="88"/>
      <c r="H22" s="88"/>
      <c r="I22" s="88"/>
      <c r="J22" s="88"/>
      <c r="K22" s="88"/>
      <c r="L22" s="88"/>
      <c r="M22" s="88"/>
      <c r="N22" s="88"/>
      <c r="O22" s="88"/>
      <c r="P22" s="88"/>
      <c r="Q22" s="88"/>
      <c r="R22" s="88"/>
      <c r="S22" s="88"/>
      <c r="T22" s="88"/>
      <c r="U22" s="88"/>
      <c r="V22" s="88"/>
      <c r="W22" s="88"/>
      <c r="X22" s="88"/>
      <c r="Y22" s="88"/>
      <c r="Z22" s="88"/>
      <c r="AA22" s="88"/>
      <c r="AB22" s="88"/>
      <c r="AC22" s="88"/>
      <c r="AD22" s="88"/>
      <c r="AE22" s="88"/>
      <c r="AF22" s="88"/>
    </row>
    <row r="23" spans="1:32">
      <c r="A23" s="88" t="s">
        <v>244</v>
      </c>
      <c r="B23" s="88"/>
      <c r="C23" s="197" t="s">
        <v>245</v>
      </c>
      <c r="D23" s="88"/>
      <c r="E23" s="88"/>
      <c r="F23" s="88" t="s">
        <v>3770</v>
      </c>
      <c r="G23" s="88"/>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row>
    <row r="24" spans="1:32">
      <c r="A24" s="88" t="s">
        <v>4062</v>
      </c>
      <c r="B24" s="88"/>
      <c r="C24" s="197" t="s">
        <v>258</v>
      </c>
      <c r="D24" s="88"/>
      <c r="E24" s="88"/>
      <c r="F24" s="88" t="s">
        <v>3771</v>
      </c>
      <c r="G24" s="88"/>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row>
    <row r="25" spans="1:32">
      <c r="A25" s="88" t="s">
        <v>37</v>
      </c>
      <c r="B25" s="88"/>
      <c r="C25" s="197" t="s">
        <v>38</v>
      </c>
      <c r="D25" s="88"/>
      <c r="E25" s="88"/>
      <c r="F25" s="88" t="s">
        <v>3772</v>
      </c>
      <c r="G25" s="88"/>
      <c r="H25" s="88"/>
      <c r="I25" s="88"/>
      <c r="J25" s="88"/>
      <c r="K25" s="88"/>
      <c r="L25" s="88"/>
      <c r="M25" s="88"/>
      <c r="N25" s="88"/>
      <c r="O25" s="88"/>
      <c r="P25" s="88"/>
      <c r="Q25" s="88"/>
      <c r="R25" s="88"/>
      <c r="S25" s="88"/>
      <c r="T25" s="88"/>
      <c r="U25" s="88"/>
      <c r="V25" s="88"/>
      <c r="W25" s="88"/>
      <c r="X25" s="88"/>
      <c r="Y25" s="88"/>
      <c r="Z25" s="88"/>
      <c r="AA25" s="88"/>
      <c r="AB25" s="88"/>
      <c r="AC25" s="88"/>
      <c r="AD25" s="88"/>
      <c r="AE25" s="88"/>
      <c r="AF25" s="88"/>
    </row>
    <row r="26" spans="1:32">
      <c r="A26" s="88" t="s">
        <v>270</v>
      </c>
      <c r="B26" s="88"/>
      <c r="C26" s="197" t="s">
        <v>265</v>
      </c>
      <c r="D26" s="88"/>
      <c r="E26" s="88"/>
      <c r="F26" s="88" t="s">
        <v>3773</v>
      </c>
      <c r="G26" s="88"/>
      <c r="H26" s="88"/>
      <c r="I26" s="88"/>
      <c r="J26" s="88"/>
      <c r="K26" s="88"/>
      <c r="L26" s="88"/>
      <c r="M26" s="88"/>
      <c r="N26" s="88"/>
      <c r="O26" s="88"/>
      <c r="P26" s="88"/>
      <c r="Q26" s="88"/>
      <c r="R26" s="88"/>
      <c r="S26" s="88"/>
      <c r="T26" s="88"/>
      <c r="U26" s="88"/>
      <c r="V26" s="88"/>
      <c r="W26" s="88"/>
      <c r="X26" s="88"/>
      <c r="Y26" s="88"/>
      <c r="Z26" s="88"/>
      <c r="AA26" s="88"/>
      <c r="AB26" s="88"/>
      <c r="AC26" s="88"/>
      <c r="AD26" s="88"/>
      <c r="AE26" s="88"/>
      <c r="AF26" s="88"/>
    </row>
    <row r="27" spans="1:32">
      <c r="A27" s="88" t="s">
        <v>274</v>
      </c>
      <c r="B27" s="88"/>
      <c r="C27" s="197" t="s">
        <v>275</v>
      </c>
      <c r="D27" s="88"/>
      <c r="E27" s="88"/>
      <c r="F27" s="88" t="s">
        <v>3775</v>
      </c>
      <c r="G27" s="88"/>
      <c r="H27" s="88"/>
      <c r="I27" s="88"/>
      <c r="J27" s="88"/>
      <c r="K27" s="88"/>
      <c r="L27" s="88"/>
      <c r="M27" s="88"/>
      <c r="N27" s="88"/>
      <c r="O27" s="88"/>
      <c r="P27" s="88"/>
      <c r="Q27" s="88"/>
      <c r="R27" s="88"/>
      <c r="S27" s="88"/>
      <c r="T27" s="88"/>
      <c r="U27" s="88"/>
      <c r="V27" s="88"/>
      <c r="W27" s="88"/>
      <c r="X27" s="88"/>
      <c r="Y27" s="88"/>
      <c r="Z27" s="88"/>
      <c r="AA27" s="88"/>
      <c r="AB27" s="88"/>
      <c r="AC27" s="88"/>
      <c r="AD27" s="88"/>
      <c r="AE27" s="88"/>
      <c r="AF27" s="88"/>
    </row>
    <row r="28" spans="1:32">
      <c r="A28" s="88" t="s">
        <v>3774</v>
      </c>
      <c r="B28" s="88"/>
      <c r="C28" s="197" t="s">
        <v>287</v>
      </c>
      <c r="D28" s="88"/>
      <c r="E28" s="88"/>
      <c r="F28" s="88" t="s">
        <v>3776</v>
      </c>
      <c r="G28" s="88"/>
      <c r="H28" s="88"/>
      <c r="I28" s="88"/>
      <c r="J28" s="88"/>
      <c r="K28" s="88"/>
      <c r="L28" s="88"/>
      <c r="M28" s="88"/>
      <c r="N28" s="88"/>
      <c r="O28" s="88"/>
      <c r="P28" s="88"/>
      <c r="Q28" s="88"/>
      <c r="R28" s="88"/>
      <c r="S28" s="88"/>
      <c r="T28" s="88"/>
      <c r="U28" s="88"/>
      <c r="V28" s="88"/>
      <c r="W28" s="88"/>
      <c r="X28" s="88"/>
      <c r="Y28" s="88"/>
      <c r="Z28" s="88"/>
      <c r="AA28" s="88"/>
      <c r="AB28" s="88"/>
      <c r="AC28" s="88"/>
      <c r="AD28" s="88"/>
      <c r="AE28" s="88"/>
      <c r="AF28" s="88"/>
    </row>
    <row r="29" spans="1:32">
      <c r="A29" s="88" t="s">
        <v>306</v>
      </c>
      <c r="B29" s="88"/>
      <c r="C29" s="197" t="s">
        <v>301</v>
      </c>
      <c r="D29" s="88"/>
      <c r="E29" s="88"/>
      <c r="F29" s="88" t="s">
        <v>3777</v>
      </c>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c r="AF29" s="88"/>
    </row>
    <row r="30" spans="1:32">
      <c r="A30" s="88" t="s">
        <v>4604</v>
      </c>
      <c r="B30" s="88"/>
      <c r="C30" s="197" t="s">
        <v>307</v>
      </c>
      <c r="D30" s="88"/>
      <c r="E30" s="88"/>
      <c r="F30" s="88" t="s">
        <v>3778</v>
      </c>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c r="AF30" s="88"/>
    </row>
    <row r="31" spans="1:32">
      <c r="A31" s="88"/>
      <c r="B31" s="88"/>
      <c r="C31" s="88" t="s">
        <v>4056</v>
      </c>
      <c r="D31" s="88"/>
      <c r="E31" s="88"/>
      <c r="F31" s="88" t="s">
        <v>3779</v>
      </c>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row>
    <row r="32" spans="1:32">
      <c r="A32" s="88"/>
      <c r="B32" s="88"/>
      <c r="C32" s="88" t="s">
        <v>4058</v>
      </c>
      <c r="D32" s="88"/>
      <c r="E32" s="88"/>
      <c r="F32" s="88" t="s">
        <v>4064</v>
      </c>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row>
    <row r="33" spans="1:32">
      <c r="A33" s="88"/>
      <c r="B33" s="88"/>
      <c r="C33" s="88" t="s">
        <v>4060</v>
      </c>
      <c r="D33" s="88"/>
      <c r="E33" s="88"/>
      <c r="F33" s="88" t="s">
        <v>4065</v>
      </c>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row>
    <row r="34" spans="1:32">
      <c r="A34" s="88"/>
      <c r="B34" s="88"/>
      <c r="C34" s="88"/>
      <c r="D34" s="88"/>
      <c r="E34" s="88"/>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c r="AF34" s="88"/>
    </row>
    <row r="35" spans="1:32">
      <c r="A35" s="88"/>
      <c r="B35" s="88"/>
      <c r="C35" s="88"/>
      <c r="D35" s="88"/>
      <c r="E35" s="88"/>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c r="AF35" s="88"/>
    </row>
    <row r="36" spans="1:32">
      <c r="A36" s="88"/>
      <c r="B36" s="88"/>
      <c r="C36" s="88"/>
      <c r="D36" s="88"/>
      <c r="E36" s="88"/>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c r="AF36" s="88"/>
    </row>
    <row r="37" spans="1:32">
      <c r="A37" s="88"/>
      <c r="B37" s="88"/>
      <c r="C37" s="88"/>
      <c r="D37" s="88"/>
      <c r="E37" s="88"/>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row>
    <row r="38" spans="1:32">
      <c r="A38" s="256" t="s">
        <v>97</v>
      </c>
      <c r="B38" s="257" t="s">
        <v>232</v>
      </c>
      <c r="C38" s="256" t="s">
        <v>244</v>
      </c>
      <c r="D38" s="257" t="s">
        <v>257</v>
      </c>
      <c r="E38" s="256" t="s">
        <v>37</v>
      </c>
      <c r="F38" s="257" t="s">
        <v>270</v>
      </c>
      <c r="G38" s="256" t="s">
        <v>274</v>
      </c>
      <c r="H38" s="257" t="s">
        <v>286</v>
      </c>
      <c r="I38" s="256" t="s">
        <v>306</v>
      </c>
      <c r="J38" s="257" t="s">
        <v>315</v>
      </c>
      <c r="K38" s="88" t="s">
        <v>4062</v>
      </c>
      <c r="L38" s="88" t="s">
        <v>4055</v>
      </c>
      <c r="M38" s="88"/>
      <c r="N38" s="88"/>
      <c r="O38" s="88"/>
      <c r="P38" s="88"/>
      <c r="Q38" s="88"/>
      <c r="R38" s="88"/>
      <c r="S38" s="88"/>
      <c r="T38" s="88"/>
      <c r="U38" s="88"/>
      <c r="V38" s="88"/>
      <c r="W38" s="88"/>
      <c r="X38" s="88"/>
      <c r="Y38" s="88"/>
      <c r="Z38" s="88"/>
      <c r="AA38" s="88"/>
      <c r="AB38" s="88"/>
      <c r="AC38" s="88"/>
      <c r="AD38" s="88"/>
      <c r="AE38" s="88"/>
      <c r="AF38" s="88"/>
    </row>
    <row r="39" spans="1:32">
      <c r="A39" s="258" t="s">
        <v>98</v>
      </c>
      <c r="B39" s="259" t="s">
        <v>233</v>
      </c>
      <c r="C39" s="258" t="s">
        <v>245</v>
      </c>
      <c r="D39" s="259" t="s">
        <v>258</v>
      </c>
      <c r="E39" s="259" t="s">
        <v>258</v>
      </c>
      <c r="F39" s="259" t="s">
        <v>258</v>
      </c>
      <c r="G39" s="258" t="s">
        <v>275</v>
      </c>
      <c r="H39" s="259" t="s">
        <v>287</v>
      </c>
      <c r="I39" s="259" t="s">
        <v>307</v>
      </c>
      <c r="J39" s="88"/>
      <c r="K39" s="88" t="s">
        <v>4063</v>
      </c>
      <c r="L39" s="88" t="s">
        <v>4056</v>
      </c>
      <c r="M39" s="88"/>
      <c r="N39" s="88"/>
      <c r="O39" s="88"/>
      <c r="P39" s="88"/>
      <c r="Q39" s="88"/>
      <c r="R39" s="88"/>
      <c r="S39" s="88"/>
      <c r="T39" s="88"/>
      <c r="U39" s="88"/>
      <c r="V39" s="88"/>
      <c r="W39" s="88"/>
      <c r="X39" s="88"/>
      <c r="Y39" s="88"/>
      <c r="Z39" s="88"/>
      <c r="AA39" s="88"/>
      <c r="AB39" s="88"/>
      <c r="AC39" s="88"/>
      <c r="AD39" s="88"/>
      <c r="AE39" s="88"/>
      <c r="AF39" s="88"/>
    </row>
    <row r="40" spans="1:32">
      <c r="A40" s="88"/>
      <c r="B40" s="88"/>
      <c r="C40" s="88"/>
      <c r="D40" s="88"/>
      <c r="E40" s="258" t="s">
        <v>38</v>
      </c>
      <c r="F40" s="258"/>
      <c r="G40" s="88"/>
      <c r="H40" s="258" t="s">
        <v>301</v>
      </c>
      <c r="I40" s="88"/>
      <c r="J40" s="88"/>
      <c r="K40" s="88" t="s">
        <v>258</v>
      </c>
      <c r="L40" s="88" t="s">
        <v>4058</v>
      </c>
      <c r="M40" s="88"/>
      <c r="N40" s="88"/>
      <c r="O40" s="88"/>
      <c r="P40" s="88"/>
      <c r="Q40" s="88"/>
      <c r="R40" s="88"/>
      <c r="S40" s="88"/>
      <c r="T40" s="88"/>
      <c r="U40" s="88"/>
      <c r="V40" s="88"/>
      <c r="W40" s="88"/>
      <c r="X40" s="88"/>
      <c r="Y40" s="88"/>
      <c r="Z40" s="88"/>
      <c r="AA40" s="88"/>
      <c r="AB40" s="88"/>
      <c r="AC40" s="88"/>
      <c r="AD40" s="88"/>
      <c r="AE40" s="88"/>
      <c r="AF40" s="88"/>
    </row>
    <row r="41" spans="1:32">
      <c r="A41" s="88"/>
      <c r="B41" s="88"/>
      <c r="C41" s="88"/>
      <c r="D41" s="88"/>
      <c r="E41" s="259" t="s">
        <v>265</v>
      </c>
      <c r="F41" s="259"/>
      <c r="G41" s="88"/>
      <c r="H41" s="88"/>
      <c r="I41" s="88"/>
      <c r="J41" s="88"/>
      <c r="K41" s="88"/>
      <c r="L41" s="88" t="s">
        <v>4060</v>
      </c>
      <c r="M41" s="88"/>
      <c r="N41" s="88"/>
      <c r="O41" s="88"/>
      <c r="P41" s="88"/>
      <c r="Q41" s="88"/>
      <c r="R41" s="88"/>
      <c r="S41" s="88"/>
      <c r="T41" s="88"/>
      <c r="U41" s="88"/>
      <c r="V41" s="88"/>
      <c r="W41" s="88"/>
      <c r="X41" s="88"/>
      <c r="Y41" s="88"/>
      <c r="Z41" s="88"/>
      <c r="AA41" s="88"/>
      <c r="AB41" s="88"/>
      <c r="AC41" s="88"/>
      <c r="AD41" s="88"/>
      <c r="AE41" s="88"/>
      <c r="AF41" s="88"/>
    </row>
    <row r="42" spans="1:32">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c r="AF42" s="88"/>
    </row>
    <row r="43" spans="1:32">
      <c r="A43" s="88"/>
      <c r="B43" s="88"/>
      <c r="C43" s="88"/>
      <c r="D43" s="88"/>
      <c r="E43" s="88"/>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c r="AF43" s="88"/>
    </row>
    <row r="44" spans="1:32">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row>
    <row r="45" spans="1:32" ht="15.75" thickBot="1">
      <c r="A45" s="88"/>
      <c r="B45" s="88"/>
      <c r="C45" s="88"/>
      <c r="D45" s="88"/>
      <c r="E45" s="88"/>
      <c r="F45" s="88"/>
      <c r="G45" s="88"/>
      <c r="H45" s="88"/>
      <c r="I45" s="88"/>
      <c r="J45" s="88"/>
      <c r="K45" s="88"/>
      <c r="L45" s="88"/>
      <c r="M45" s="197"/>
      <c r="N45" s="88"/>
      <c r="O45" s="88"/>
      <c r="P45" s="88"/>
      <c r="Q45" s="88"/>
      <c r="R45" s="88"/>
      <c r="S45" s="88"/>
      <c r="T45" s="88"/>
      <c r="U45" s="88"/>
      <c r="V45" s="88"/>
      <c r="W45" s="88"/>
      <c r="X45" s="88"/>
      <c r="Y45" s="88"/>
      <c r="Z45" s="88"/>
      <c r="AA45" s="88"/>
      <c r="AB45" s="88"/>
      <c r="AC45" s="88"/>
      <c r="AD45" s="88"/>
      <c r="AE45" s="88"/>
      <c r="AF45" s="88"/>
    </row>
    <row r="46" spans="1:32" ht="30.75" thickBot="1">
      <c r="A46" s="260" t="s">
        <v>3780</v>
      </c>
      <c r="B46" s="197" t="s">
        <v>3637</v>
      </c>
      <c r="C46" s="197" t="s">
        <v>3638</v>
      </c>
      <c r="D46" s="197" t="s">
        <v>3639</v>
      </c>
      <c r="E46" s="88"/>
      <c r="F46" s="447" t="s">
        <v>4580</v>
      </c>
      <c r="G46" s="447" t="s">
        <v>4581</v>
      </c>
      <c r="H46" s="447" t="s">
        <v>4582</v>
      </c>
      <c r="I46" s="447" t="s">
        <v>4583</v>
      </c>
      <c r="J46" s="88"/>
      <c r="K46" s="88"/>
      <c r="L46" s="88"/>
      <c r="M46" s="197"/>
      <c r="N46" s="88"/>
      <c r="O46" s="88"/>
      <c r="P46" s="88"/>
      <c r="Q46" s="88"/>
      <c r="R46" s="88"/>
      <c r="S46" s="88"/>
      <c r="T46" s="88"/>
      <c r="U46" s="88"/>
      <c r="V46" s="88"/>
      <c r="W46" s="88"/>
      <c r="X46" s="88"/>
      <c r="Y46" s="88"/>
      <c r="Z46" s="88"/>
      <c r="AA46" s="88"/>
      <c r="AB46" s="88"/>
      <c r="AC46" s="88"/>
      <c r="AD46" s="88"/>
      <c r="AE46" s="88"/>
      <c r="AF46" s="88"/>
    </row>
    <row r="47" spans="1:32" ht="45">
      <c r="A47" s="261" t="s">
        <v>3781</v>
      </c>
      <c r="B47" s="197" t="s">
        <v>3652</v>
      </c>
      <c r="C47" s="76" t="s">
        <v>3653</v>
      </c>
      <c r="D47" s="262">
        <v>1</v>
      </c>
      <c r="E47" s="88"/>
      <c r="F47" s="23" t="s">
        <v>4584</v>
      </c>
      <c r="G47" s="23" t="s">
        <v>4585</v>
      </c>
      <c r="H47" s="23" t="s">
        <v>4586</v>
      </c>
      <c r="I47" s="23" t="s">
        <v>4587</v>
      </c>
      <c r="J47" s="88"/>
      <c r="K47" s="88"/>
      <c r="L47" s="88"/>
      <c r="M47" s="197"/>
      <c r="N47" s="88"/>
      <c r="O47" s="88"/>
      <c r="P47" s="88"/>
      <c r="Q47" s="88"/>
      <c r="R47" s="88"/>
      <c r="S47" s="88"/>
      <c r="T47" s="88"/>
      <c r="U47" s="88"/>
      <c r="V47" s="88"/>
      <c r="W47" s="88"/>
      <c r="X47" s="88"/>
      <c r="Y47" s="88"/>
      <c r="Z47" s="88"/>
      <c r="AA47" s="88"/>
      <c r="AB47" s="88"/>
      <c r="AC47" s="88"/>
      <c r="AD47" s="88"/>
      <c r="AE47" s="88"/>
      <c r="AF47" s="88"/>
    </row>
    <row r="48" spans="1:32" ht="60">
      <c r="A48" s="147" t="s">
        <v>3665</v>
      </c>
      <c r="B48" s="197" t="s">
        <v>3666</v>
      </c>
      <c r="C48" s="76" t="s">
        <v>3667</v>
      </c>
      <c r="D48" s="262">
        <v>0.85</v>
      </c>
      <c r="E48" s="88"/>
      <c r="F48" s="446" t="s">
        <v>4623</v>
      </c>
      <c r="G48" s="23" t="s">
        <v>4588</v>
      </c>
      <c r="H48" s="23" t="s">
        <v>4589</v>
      </c>
      <c r="I48" s="23" t="s">
        <v>4590</v>
      </c>
      <c r="J48" s="88"/>
      <c r="K48" s="88"/>
      <c r="L48" s="88"/>
      <c r="M48" s="197"/>
      <c r="N48" s="88"/>
      <c r="O48" s="88"/>
      <c r="P48" s="88"/>
      <c r="Q48" s="88"/>
      <c r="R48" s="88"/>
      <c r="S48" s="88"/>
      <c r="T48" s="88"/>
      <c r="U48" s="88"/>
      <c r="V48" s="88"/>
      <c r="W48" s="88"/>
      <c r="X48" s="88"/>
      <c r="Y48" s="88"/>
      <c r="Z48" s="88"/>
      <c r="AA48" s="88"/>
      <c r="AB48" s="88"/>
      <c r="AC48" s="88"/>
      <c r="AD48" s="88"/>
      <c r="AE48" s="88"/>
      <c r="AF48" s="88"/>
    </row>
    <row r="49" spans="1:32" ht="60.75" thickBot="1">
      <c r="A49" s="246" t="s">
        <v>41</v>
      </c>
      <c r="B49" s="197" t="s">
        <v>3680</v>
      </c>
      <c r="C49" s="76" t="s">
        <v>3681</v>
      </c>
      <c r="D49" s="262" t="s">
        <v>3682</v>
      </c>
      <c r="E49" s="88"/>
      <c r="F49" s="23" t="s">
        <v>4591</v>
      </c>
      <c r="G49" s="23" t="s">
        <v>4592</v>
      </c>
      <c r="H49" s="23" t="s">
        <v>4593</v>
      </c>
      <c r="I49" s="23" t="s">
        <v>4594</v>
      </c>
      <c r="J49" s="88"/>
      <c r="K49" s="88"/>
      <c r="L49" s="88"/>
      <c r="M49" s="197"/>
      <c r="N49" s="88"/>
      <c r="O49" s="88"/>
      <c r="P49" s="88"/>
      <c r="Q49" s="88"/>
      <c r="R49" s="88"/>
      <c r="S49" s="88"/>
      <c r="T49" s="88"/>
      <c r="U49" s="88"/>
      <c r="V49" s="88"/>
      <c r="W49" s="88"/>
      <c r="X49" s="88"/>
      <c r="Y49" s="88"/>
      <c r="Z49" s="88"/>
      <c r="AA49" s="88"/>
      <c r="AB49" s="88"/>
      <c r="AC49" s="88"/>
      <c r="AD49" s="88"/>
      <c r="AE49" s="88"/>
      <c r="AF49" s="88"/>
    </row>
    <row r="50" spans="1:32" ht="28.5">
      <c r="A50" s="88"/>
      <c r="B50" s="88"/>
      <c r="C50" s="244"/>
      <c r="D50" s="88"/>
      <c r="E50" s="88"/>
      <c r="F50" s="23" t="s">
        <v>4595</v>
      </c>
      <c r="G50" s="23" t="s">
        <v>4596</v>
      </c>
      <c r="H50" s="23" t="s">
        <v>4597</v>
      </c>
      <c r="I50" s="23" t="s">
        <v>4598</v>
      </c>
      <c r="J50" s="88"/>
      <c r="K50" s="88"/>
      <c r="L50" s="88"/>
      <c r="M50" s="197"/>
      <c r="N50" s="88"/>
      <c r="O50" s="88"/>
      <c r="P50" s="88"/>
      <c r="Q50" s="88"/>
      <c r="R50" s="88"/>
      <c r="S50" s="88"/>
      <c r="T50" s="88"/>
      <c r="U50" s="88"/>
      <c r="V50" s="88"/>
      <c r="W50" s="88"/>
      <c r="X50" s="88"/>
      <c r="Y50" s="88"/>
      <c r="Z50" s="88"/>
      <c r="AA50" s="88"/>
      <c r="AB50" s="88"/>
      <c r="AC50" s="88"/>
      <c r="AD50" s="88"/>
      <c r="AE50" s="88"/>
      <c r="AF50" s="88"/>
    </row>
    <row r="51" spans="1:32">
      <c r="A51" s="88"/>
      <c r="B51" s="88"/>
      <c r="C51" s="88"/>
      <c r="D51" s="88"/>
      <c r="E51" s="88"/>
      <c r="F51" s="88"/>
      <c r="G51" s="88"/>
      <c r="H51" s="88"/>
      <c r="I51" s="88"/>
      <c r="J51" s="88"/>
      <c r="K51" s="88"/>
      <c r="L51" s="88"/>
      <c r="M51" s="197"/>
      <c r="N51" s="88"/>
      <c r="O51" s="88"/>
      <c r="P51" s="88"/>
      <c r="Q51" s="88"/>
      <c r="R51" s="88"/>
      <c r="S51" s="88"/>
      <c r="T51" s="88"/>
      <c r="U51" s="88"/>
      <c r="V51" s="88"/>
      <c r="W51" s="88"/>
      <c r="X51" s="88"/>
      <c r="Y51" s="88"/>
      <c r="Z51" s="88"/>
      <c r="AA51" s="88"/>
      <c r="AB51" s="88"/>
      <c r="AC51" s="88"/>
      <c r="AD51" s="88"/>
      <c r="AE51" s="88"/>
      <c r="AF51" s="88"/>
    </row>
    <row r="52" spans="1:32">
      <c r="A52" s="88"/>
      <c r="B52" s="88"/>
      <c r="C52" s="88"/>
      <c r="D52" s="88"/>
      <c r="E52" s="88"/>
      <c r="F52" s="88"/>
      <c r="G52" s="88"/>
      <c r="H52" s="88"/>
      <c r="I52" s="88"/>
      <c r="J52" s="88"/>
      <c r="K52" s="88"/>
      <c r="L52" s="88"/>
      <c r="M52" s="197"/>
      <c r="N52" s="88"/>
      <c r="O52" s="88"/>
      <c r="P52" s="88"/>
      <c r="Q52" s="88"/>
      <c r="R52" s="88"/>
      <c r="S52" s="88"/>
      <c r="T52" s="88"/>
      <c r="U52" s="88"/>
      <c r="V52" s="88"/>
      <c r="W52" s="88"/>
      <c r="X52" s="88"/>
      <c r="Y52" s="88"/>
      <c r="Z52" s="88"/>
      <c r="AA52" s="88"/>
      <c r="AB52" s="88"/>
      <c r="AC52" s="88"/>
      <c r="AD52" s="88"/>
      <c r="AE52" s="88"/>
      <c r="AF52" s="88"/>
    </row>
    <row r="53" spans="1:32">
      <c r="A53" s="88"/>
      <c r="B53" s="88"/>
      <c r="C53" s="88"/>
      <c r="D53" s="88"/>
      <c r="E53" s="88"/>
      <c r="F53" s="88"/>
      <c r="G53" s="88"/>
      <c r="H53" s="88"/>
      <c r="I53" s="88"/>
      <c r="J53" s="88"/>
      <c r="K53" s="88"/>
      <c r="L53" s="88"/>
      <c r="M53" s="197"/>
      <c r="N53" s="88"/>
      <c r="O53" s="88"/>
      <c r="P53" s="88"/>
      <c r="Q53" s="88"/>
      <c r="R53" s="88"/>
      <c r="S53" s="88"/>
      <c r="T53" s="88"/>
      <c r="U53" s="88"/>
      <c r="V53" s="88"/>
      <c r="W53" s="88"/>
      <c r="X53" s="88"/>
      <c r="Y53" s="88"/>
      <c r="Z53" s="88"/>
      <c r="AA53" s="88"/>
      <c r="AB53" s="88"/>
      <c r="AC53" s="88"/>
      <c r="AD53" s="88"/>
      <c r="AE53" s="88"/>
      <c r="AF53" s="88"/>
    </row>
    <row r="54" spans="1:32">
      <c r="A54" s="88"/>
      <c r="B54" s="88"/>
      <c r="C54" s="88"/>
      <c r="D54" s="88"/>
      <c r="E54" s="88"/>
      <c r="F54" s="88"/>
      <c r="G54" s="88"/>
      <c r="H54" s="88"/>
      <c r="I54" s="88"/>
      <c r="J54" s="88"/>
      <c r="K54" s="88"/>
      <c r="L54" s="88"/>
      <c r="M54" s="197"/>
      <c r="N54" s="88"/>
      <c r="O54" s="88"/>
      <c r="P54" s="88"/>
      <c r="Q54" s="88"/>
      <c r="R54" s="88"/>
      <c r="S54" s="88"/>
      <c r="T54" s="88"/>
      <c r="U54" s="88"/>
      <c r="V54" s="88"/>
      <c r="W54" s="88"/>
      <c r="X54" s="88"/>
      <c r="Y54" s="88"/>
      <c r="Z54" s="88"/>
      <c r="AA54" s="88"/>
      <c r="AB54" s="88"/>
      <c r="AC54" s="88"/>
      <c r="AD54" s="88"/>
      <c r="AE54" s="88"/>
      <c r="AF54" s="88"/>
    </row>
    <row r="55" spans="1:32">
      <c r="A55" s="88"/>
      <c r="B55" s="88"/>
      <c r="C55" s="88"/>
      <c r="D55" s="88"/>
      <c r="E55" s="88"/>
      <c r="F55" s="88"/>
      <c r="G55" s="88"/>
      <c r="H55" s="88"/>
      <c r="I55" s="88"/>
      <c r="J55" s="88"/>
      <c r="K55" s="88"/>
      <c r="L55" s="88"/>
      <c r="M55" s="197"/>
      <c r="N55" s="88"/>
      <c r="O55" s="88"/>
      <c r="P55" s="88"/>
      <c r="Q55" s="88"/>
      <c r="R55" s="88"/>
      <c r="S55" s="88"/>
      <c r="T55" s="88"/>
      <c r="U55" s="88"/>
      <c r="V55" s="88"/>
      <c r="W55" s="88"/>
      <c r="X55" s="88"/>
      <c r="Y55" s="88"/>
      <c r="Z55" s="88"/>
      <c r="AA55" s="88"/>
      <c r="AB55" s="88"/>
      <c r="AC55" s="88"/>
      <c r="AD55" s="88"/>
      <c r="AE55" s="88"/>
      <c r="AF55" s="88"/>
    </row>
    <row r="56" spans="1:32">
      <c r="A56" s="88"/>
      <c r="B56" s="88"/>
      <c r="C56" s="88"/>
      <c r="D56" s="88"/>
      <c r="E56" s="88"/>
      <c r="F56" s="88"/>
      <c r="G56" s="88"/>
      <c r="H56" s="88"/>
      <c r="I56" s="88"/>
      <c r="J56" s="88"/>
      <c r="K56" s="88"/>
      <c r="L56" s="88"/>
      <c r="M56" s="197"/>
      <c r="N56" s="88"/>
      <c r="O56" s="88"/>
      <c r="P56" s="88"/>
      <c r="Q56" s="88"/>
      <c r="R56" s="88"/>
      <c r="S56" s="88"/>
      <c r="T56" s="88"/>
      <c r="U56" s="88"/>
      <c r="V56" s="88"/>
      <c r="W56" s="88"/>
      <c r="X56" s="88"/>
      <c r="Y56" s="88"/>
      <c r="Z56" s="88"/>
      <c r="AA56" s="88"/>
      <c r="AB56" s="88"/>
      <c r="AC56" s="88"/>
      <c r="AD56" s="88"/>
      <c r="AE56" s="88"/>
      <c r="AF56" s="88"/>
    </row>
    <row r="57" spans="1:32">
      <c r="A57" s="197"/>
      <c r="B57" s="197"/>
      <c r="C57" s="79"/>
      <c r="D57" s="79"/>
      <c r="E57" s="263"/>
      <c r="F57" s="88"/>
      <c r="G57" s="88"/>
      <c r="H57" s="88"/>
      <c r="I57" s="88"/>
      <c r="J57" s="88"/>
      <c r="K57" s="88"/>
      <c r="L57" s="88"/>
      <c r="M57" s="197"/>
      <c r="N57" s="88"/>
      <c r="O57" s="88"/>
      <c r="P57" s="88"/>
      <c r="Q57" s="88"/>
      <c r="R57" s="88"/>
      <c r="S57" s="88"/>
      <c r="T57" s="88"/>
      <c r="U57" s="88"/>
      <c r="V57" s="88"/>
      <c r="W57" s="88"/>
      <c r="X57" s="88"/>
      <c r="Y57" s="88"/>
      <c r="Z57" s="88"/>
      <c r="AA57" s="88"/>
      <c r="AB57" s="88"/>
      <c r="AC57" s="88"/>
      <c r="AD57" s="88"/>
      <c r="AE57" s="88"/>
      <c r="AF57" s="88"/>
    </row>
    <row r="58" spans="1:32">
      <c r="A58" s="197"/>
      <c r="B58" s="197"/>
      <c r="C58" s="79"/>
      <c r="D58" s="78"/>
      <c r="E58" s="264"/>
      <c r="F58" s="88"/>
      <c r="G58" s="88"/>
      <c r="H58" s="88"/>
      <c r="I58" s="88"/>
      <c r="J58" s="88"/>
      <c r="K58" s="88"/>
      <c r="L58" s="88"/>
      <c r="M58" s="197"/>
      <c r="N58" s="88"/>
      <c r="O58" s="88"/>
      <c r="P58" s="88"/>
      <c r="Q58" s="88"/>
      <c r="R58" s="88"/>
      <c r="S58" s="88"/>
      <c r="T58" s="88"/>
      <c r="U58" s="88"/>
      <c r="V58" s="88"/>
      <c r="W58" s="88"/>
      <c r="X58" s="88"/>
      <c r="Y58" s="88"/>
      <c r="Z58" s="88"/>
      <c r="AA58" s="88"/>
      <c r="AB58" s="88"/>
      <c r="AC58" s="88"/>
      <c r="AD58" s="88"/>
      <c r="AE58" s="88"/>
      <c r="AF58" s="88"/>
    </row>
    <row r="59" spans="1:32">
      <c r="A59" s="263" t="s">
        <v>4218</v>
      </c>
      <c r="B59" s="79" t="s">
        <v>4223</v>
      </c>
      <c r="C59" s="79"/>
      <c r="D59" s="78"/>
      <c r="E59" s="264"/>
      <c r="F59" s="88"/>
      <c r="G59" s="88"/>
      <c r="H59" s="88"/>
      <c r="I59" s="88"/>
      <c r="J59" s="88"/>
      <c r="K59" s="88"/>
      <c r="L59" s="88"/>
      <c r="M59" s="197"/>
      <c r="N59" s="88"/>
      <c r="O59" s="88"/>
      <c r="P59" s="88"/>
      <c r="Q59" s="88"/>
      <c r="R59" s="88"/>
      <c r="S59" s="88"/>
      <c r="T59" s="88"/>
      <c r="U59" s="88"/>
      <c r="V59" s="88"/>
      <c r="W59" s="88"/>
      <c r="X59" s="88"/>
      <c r="Y59" s="88"/>
      <c r="Z59" s="88"/>
      <c r="AA59" s="88"/>
      <c r="AB59" s="88"/>
      <c r="AC59" s="88"/>
      <c r="AD59" s="88"/>
      <c r="AE59" s="88"/>
      <c r="AF59" s="88"/>
    </row>
    <row r="60" spans="1:32">
      <c r="A60" s="263" t="s">
        <v>4219</v>
      </c>
      <c r="B60" s="78">
        <v>1.1000000000000001</v>
      </c>
      <c r="C60" s="79"/>
      <c r="D60" s="78"/>
      <c r="E60" s="264"/>
      <c r="F60" s="88"/>
      <c r="G60" s="88"/>
      <c r="H60" s="88"/>
      <c r="I60" s="88"/>
      <c r="J60" s="88"/>
      <c r="K60" s="88"/>
      <c r="L60" s="88"/>
      <c r="M60" s="197"/>
      <c r="N60" s="88"/>
      <c r="O60" s="88"/>
      <c r="P60" s="88"/>
      <c r="Q60" s="88"/>
      <c r="R60" s="88"/>
      <c r="S60" s="88"/>
      <c r="T60" s="88"/>
      <c r="U60" s="88"/>
      <c r="V60" s="88"/>
      <c r="W60" s="88"/>
      <c r="X60" s="88"/>
      <c r="Y60" s="88"/>
      <c r="Z60" s="88"/>
      <c r="AA60" s="88"/>
      <c r="AB60" s="88"/>
      <c r="AC60" s="88"/>
      <c r="AD60" s="88"/>
      <c r="AE60" s="88"/>
      <c r="AF60" s="88"/>
    </row>
    <row r="61" spans="1:32">
      <c r="A61" s="263" t="s">
        <v>4220</v>
      </c>
      <c r="B61" s="78">
        <v>1.2</v>
      </c>
      <c r="C61" s="79"/>
      <c r="D61" s="78"/>
      <c r="E61" s="264"/>
      <c r="F61" s="88"/>
      <c r="G61" s="88"/>
      <c r="H61" s="88"/>
      <c r="I61" s="88"/>
      <c r="J61" s="88"/>
      <c r="K61" s="88"/>
      <c r="L61" s="88"/>
      <c r="M61" s="197"/>
      <c r="N61" s="88"/>
      <c r="O61" s="88"/>
      <c r="P61" s="88"/>
      <c r="Q61" s="88"/>
      <c r="R61" s="88"/>
      <c r="S61" s="88"/>
      <c r="T61" s="88"/>
      <c r="U61" s="88"/>
      <c r="V61" s="88"/>
      <c r="W61" s="88"/>
      <c r="X61" s="88"/>
      <c r="Y61" s="88"/>
      <c r="Z61" s="88"/>
      <c r="AA61" s="88"/>
      <c r="AB61" s="88"/>
      <c r="AC61" s="88"/>
      <c r="AD61" s="88"/>
      <c r="AE61" s="88"/>
      <c r="AF61" s="88"/>
    </row>
    <row r="62" spans="1:32">
      <c r="A62" s="263" t="s">
        <v>4221</v>
      </c>
      <c r="B62" s="78">
        <v>1.3</v>
      </c>
      <c r="C62" s="88"/>
      <c r="D62" s="88"/>
      <c r="E62" s="88"/>
      <c r="F62" s="88"/>
      <c r="G62" s="88"/>
      <c r="H62" s="88"/>
      <c r="I62" s="88"/>
      <c r="J62" s="88"/>
      <c r="K62" s="88"/>
      <c r="L62" s="88"/>
      <c r="M62" s="197"/>
      <c r="N62" s="88"/>
      <c r="O62" s="88"/>
      <c r="P62" s="88"/>
      <c r="Q62" s="88"/>
      <c r="R62" s="88"/>
      <c r="S62" s="88"/>
      <c r="T62" s="88"/>
      <c r="U62" s="88"/>
      <c r="V62" s="88"/>
      <c r="W62" s="88"/>
      <c r="X62" s="88"/>
      <c r="Y62" s="88"/>
      <c r="Z62" s="88"/>
      <c r="AA62" s="88"/>
      <c r="AB62" s="88"/>
      <c r="AC62" s="88"/>
      <c r="AD62" s="88"/>
      <c r="AE62" s="88"/>
      <c r="AF62" s="88"/>
    </row>
    <row r="63" spans="1:32">
      <c r="A63" s="263" t="s">
        <v>4222</v>
      </c>
      <c r="B63" s="78">
        <v>1.4</v>
      </c>
      <c r="C63" s="88"/>
      <c r="D63" s="88"/>
      <c r="E63" s="88"/>
      <c r="F63" s="88"/>
      <c r="G63" s="88"/>
      <c r="H63" s="88"/>
      <c r="I63" s="88"/>
      <c r="J63" s="88"/>
      <c r="K63" s="88"/>
      <c r="L63" s="88"/>
      <c r="M63" s="197"/>
      <c r="N63" s="88"/>
      <c r="O63" s="88"/>
      <c r="P63" s="88"/>
      <c r="Q63" s="88"/>
      <c r="R63" s="88"/>
      <c r="S63" s="88"/>
      <c r="T63" s="88"/>
      <c r="U63" s="88"/>
      <c r="V63" s="88"/>
      <c r="W63" s="88"/>
      <c r="X63" s="88"/>
      <c r="Y63" s="88"/>
      <c r="Z63" s="88"/>
      <c r="AA63" s="88"/>
      <c r="AB63" s="88"/>
      <c r="AC63" s="88"/>
      <c r="AD63" s="88"/>
      <c r="AE63" s="88"/>
      <c r="AF63" s="88"/>
    </row>
    <row r="64" spans="1:32">
      <c r="M64"/>
    </row>
    <row r="65" spans="13:13">
      <c r="M65"/>
    </row>
    <row r="66" spans="13:13">
      <c r="M66"/>
    </row>
    <row r="67" spans="13:13">
      <c r="M67"/>
    </row>
    <row r="68" spans="13:13">
      <c r="M68"/>
    </row>
    <row r="69" spans="13:13">
      <c r="M69"/>
    </row>
    <row r="70" spans="13:13">
      <c r="M70"/>
    </row>
    <row r="71" spans="13:13">
      <c r="M71"/>
    </row>
    <row r="72" spans="13:13">
      <c r="M72"/>
    </row>
    <row r="73" spans="13:13">
      <c r="M73"/>
    </row>
    <row r="74" spans="13:13">
      <c r="M74"/>
    </row>
    <row r="75" spans="13:13">
      <c r="M75"/>
    </row>
    <row r="76" spans="13:13">
      <c r="M76"/>
    </row>
    <row r="77" spans="13:13">
      <c r="M77"/>
    </row>
    <row r="78" spans="13:13">
      <c r="M78"/>
    </row>
    <row r="79" spans="13:13">
      <c r="M79"/>
    </row>
    <row r="80" spans="13:13">
      <c r="M80"/>
    </row>
    <row r="81" spans="13:13">
      <c r="M81"/>
    </row>
    <row r="82" spans="13:13">
      <c r="M82"/>
    </row>
    <row r="83" spans="13:13">
      <c r="M83"/>
    </row>
    <row r="84" spans="13:13">
      <c r="M84"/>
    </row>
    <row r="85" spans="13:13">
      <c r="M85"/>
    </row>
    <row r="86" spans="13:13">
      <c r="M86"/>
    </row>
    <row r="87" spans="13:13">
      <c r="M87"/>
    </row>
    <row r="88" spans="13:13">
      <c r="M88"/>
    </row>
    <row r="89" spans="13:13">
      <c r="M89"/>
    </row>
    <row r="90" spans="13:13">
      <c r="M90"/>
    </row>
    <row r="91" spans="13:13">
      <c r="M91"/>
    </row>
    <row r="92" spans="13:13">
      <c r="M92"/>
    </row>
    <row r="93" spans="13:13">
      <c r="M93"/>
    </row>
    <row r="94" spans="13:13">
      <c r="M94"/>
    </row>
    <row r="95" spans="13:13">
      <c r="M95"/>
    </row>
    <row r="96" spans="13:13">
      <c r="M96"/>
    </row>
    <row r="97" spans="13:13">
      <c r="M97"/>
    </row>
    <row r="98" spans="13:13">
      <c r="M98"/>
    </row>
    <row r="99" spans="13:13">
      <c r="M99"/>
    </row>
    <row r="100" spans="13:13">
      <c r="M100"/>
    </row>
    <row r="101" spans="13:13">
      <c r="M101"/>
    </row>
    <row r="102" spans="13:13">
      <c r="M102"/>
    </row>
    <row r="103" spans="13:13">
      <c r="M103"/>
    </row>
    <row r="104" spans="13:13">
      <c r="M104"/>
    </row>
    <row r="105" spans="13:13">
      <c r="M105"/>
    </row>
    <row r="106" spans="13:13">
      <c r="M106"/>
    </row>
    <row r="107" spans="13:13">
      <c r="M107"/>
    </row>
    <row r="108" spans="13:13">
      <c r="M108"/>
    </row>
    <row r="109" spans="13:13">
      <c r="M109"/>
    </row>
    <row r="110" spans="13:13">
      <c r="M110"/>
    </row>
    <row r="111" spans="13:13">
      <c r="M111"/>
    </row>
    <row r="112" spans="13:13">
      <c r="M112"/>
    </row>
    <row r="113" spans="13:13">
      <c r="M113"/>
    </row>
    <row r="114" spans="13:13">
      <c r="M114"/>
    </row>
    <row r="115" spans="13:13">
      <c r="M115"/>
    </row>
    <row r="116" spans="13:13">
      <c r="M116"/>
    </row>
    <row r="117" spans="13:13">
      <c r="M117"/>
    </row>
    <row r="118" spans="13:13">
      <c r="M118"/>
    </row>
    <row r="119" spans="13:13">
      <c r="M119"/>
    </row>
    <row r="120" spans="13:13">
      <c r="M120"/>
    </row>
    <row r="121" spans="13:13">
      <c r="M121"/>
    </row>
    <row r="122" spans="13:13">
      <c r="M122"/>
    </row>
    <row r="123" spans="13:13">
      <c r="M123"/>
    </row>
    <row r="124" spans="13:13">
      <c r="M124"/>
    </row>
    <row r="125" spans="13:13">
      <c r="M125"/>
    </row>
    <row r="126" spans="13:13">
      <c r="M126"/>
    </row>
    <row r="127" spans="13:13">
      <c r="M127"/>
    </row>
    <row r="128" spans="13:13">
      <c r="M128"/>
    </row>
    <row r="129" spans="13:13">
      <c r="M129"/>
    </row>
    <row r="130" spans="13:13">
      <c r="M130"/>
    </row>
    <row r="131" spans="13:13">
      <c r="M131"/>
    </row>
    <row r="132" spans="13:13">
      <c r="M132"/>
    </row>
    <row r="133" spans="13:13">
      <c r="M133"/>
    </row>
    <row r="134" spans="13:13">
      <c r="M134"/>
    </row>
    <row r="135" spans="13:13">
      <c r="M135"/>
    </row>
    <row r="136" spans="13:13">
      <c r="M136"/>
    </row>
    <row r="137" spans="13:13">
      <c r="M137"/>
    </row>
    <row r="138" spans="13:13">
      <c r="M138"/>
    </row>
    <row r="139" spans="13:13">
      <c r="M139"/>
    </row>
    <row r="140" spans="13:13">
      <c r="M140"/>
    </row>
    <row r="141" spans="13:13">
      <c r="M141"/>
    </row>
    <row r="142" spans="13:13">
      <c r="M142"/>
    </row>
    <row r="143" spans="13:13">
      <c r="M143"/>
    </row>
    <row r="144" spans="13:13">
      <c r="M144"/>
    </row>
    <row r="145" spans="13:13">
      <c r="M145"/>
    </row>
    <row r="146" spans="13:13">
      <c r="M146"/>
    </row>
    <row r="147" spans="13:13">
      <c r="M147"/>
    </row>
    <row r="148" spans="13:13">
      <c r="M148"/>
    </row>
    <row r="149" spans="13:13">
      <c r="M149"/>
    </row>
    <row r="150" spans="13:13">
      <c r="M150"/>
    </row>
    <row r="151" spans="13:13">
      <c r="M151"/>
    </row>
    <row r="152" spans="13:13">
      <c r="M152"/>
    </row>
    <row r="153" spans="13:13">
      <c r="M153"/>
    </row>
    <row r="154" spans="13:13">
      <c r="M154"/>
    </row>
    <row r="155" spans="13:13">
      <c r="M155"/>
    </row>
    <row r="156" spans="13:13">
      <c r="M156"/>
    </row>
    <row r="157" spans="13:13">
      <c r="M157"/>
    </row>
    <row r="158" spans="13:13">
      <c r="M158"/>
    </row>
    <row r="159" spans="13:13">
      <c r="M159"/>
    </row>
    <row r="160" spans="13:13">
      <c r="M160"/>
    </row>
    <row r="161" spans="13:13">
      <c r="M161"/>
    </row>
    <row r="162" spans="13:13">
      <c r="M162"/>
    </row>
    <row r="163" spans="13:13">
      <c r="M163"/>
    </row>
    <row r="164" spans="13:13">
      <c r="M164"/>
    </row>
    <row r="165" spans="13:13">
      <c r="M165"/>
    </row>
    <row r="166" spans="13:13">
      <c r="M166"/>
    </row>
    <row r="167" spans="13:13">
      <c r="M167"/>
    </row>
    <row r="168" spans="13:13">
      <c r="M168"/>
    </row>
    <row r="169" spans="13:13">
      <c r="M169"/>
    </row>
    <row r="170" spans="13:13">
      <c r="M170"/>
    </row>
    <row r="171" spans="13:13">
      <c r="M171"/>
    </row>
    <row r="172" spans="13:13">
      <c r="M172"/>
    </row>
    <row r="173" spans="13:13">
      <c r="M173"/>
    </row>
    <row r="174" spans="13:13">
      <c r="M174"/>
    </row>
    <row r="175" spans="13:13">
      <c r="M175"/>
    </row>
    <row r="176" spans="13:13">
      <c r="M176"/>
    </row>
    <row r="177" spans="13:13">
      <c r="M177"/>
    </row>
    <row r="178" spans="13:13">
      <c r="M178"/>
    </row>
    <row r="179" spans="13:13">
      <c r="M179"/>
    </row>
    <row r="180" spans="13:13">
      <c r="M180"/>
    </row>
    <row r="181" spans="13:13">
      <c r="M181"/>
    </row>
    <row r="182" spans="13:13">
      <c r="M182"/>
    </row>
    <row r="183" spans="13:13">
      <c r="M183"/>
    </row>
    <row r="184" spans="13:13">
      <c r="M184"/>
    </row>
    <row r="185" spans="13:13">
      <c r="M185"/>
    </row>
    <row r="186" spans="13:13">
      <c r="M186"/>
    </row>
    <row r="187" spans="13:13">
      <c r="M187"/>
    </row>
    <row r="188" spans="13:13">
      <c r="M188"/>
    </row>
    <row r="189" spans="13:13">
      <c r="M189"/>
    </row>
    <row r="190" spans="13:13">
      <c r="M190"/>
    </row>
    <row r="191" spans="13:13">
      <c r="M191"/>
    </row>
    <row r="192" spans="13:13">
      <c r="M192"/>
    </row>
    <row r="193" spans="13:13">
      <c r="M193"/>
    </row>
    <row r="194" spans="13:13">
      <c r="M194"/>
    </row>
    <row r="195" spans="13:13">
      <c r="M195"/>
    </row>
    <row r="196" spans="13:13">
      <c r="M196"/>
    </row>
    <row r="197" spans="13:13">
      <c r="M197"/>
    </row>
    <row r="198" spans="13:13">
      <c r="M198"/>
    </row>
    <row r="199" spans="13:13">
      <c r="M199"/>
    </row>
    <row r="200" spans="13:13">
      <c r="M200"/>
    </row>
    <row r="201" spans="13:13">
      <c r="M201"/>
    </row>
    <row r="202" spans="13:13">
      <c r="M202"/>
    </row>
    <row r="203" spans="13:13">
      <c r="M203"/>
    </row>
    <row r="204" spans="13:13">
      <c r="M204"/>
    </row>
    <row r="205" spans="13:13">
      <c r="M205"/>
    </row>
    <row r="206" spans="13:13">
      <c r="M206"/>
    </row>
    <row r="207" spans="13:13">
      <c r="M207"/>
    </row>
    <row r="208" spans="13:13">
      <c r="M208"/>
    </row>
    <row r="209" spans="13:13">
      <c r="M209"/>
    </row>
    <row r="210" spans="13:13">
      <c r="M210"/>
    </row>
    <row r="211" spans="13:13">
      <c r="M211"/>
    </row>
    <row r="212" spans="13:13">
      <c r="M212"/>
    </row>
    <row r="213" spans="13:13">
      <c r="M213"/>
    </row>
    <row r="214" spans="13:13">
      <c r="M214"/>
    </row>
    <row r="215" spans="13:13">
      <c r="M215"/>
    </row>
    <row r="216" spans="13:13">
      <c r="M216"/>
    </row>
    <row r="217" spans="13:13">
      <c r="M217"/>
    </row>
    <row r="218" spans="13:13">
      <c r="M218"/>
    </row>
    <row r="219" spans="13:13">
      <c r="M219"/>
    </row>
    <row r="220" spans="13:13">
      <c r="M220"/>
    </row>
    <row r="221" spans="13:13">
      <c r="M221"/>
    </row>
    <row r="222" spans="13:13">
      <c r="M222"/>
    </row>
    <row r="223" spans="13:13">
      <c r="M223"/>
    </row>
    <row r="224" spans="13:13">
      <c r="M224"/>
    </row>
    <row r="225" spans="13:13">
      <c r="M225"/>
    </row>
    <row r="226" spans="13:13">
      <c r="M226"/>
    </row>
    <row r="227" spans="13:13">
      <c r="M227"/>
    </row>
    <row r="228" spans="13:13">
      <c r="M228"/>
    </row>
    <row r="229" spans="13:13">
      <c r="M229"/>
    </row>
    <row r="230" spans="13:13">
      <c r="M230"/>
    </row>
    <row r="231" spans="13:13">
      <c r="M231"/>
    </row>
    <row r="232" spans="13:13">
      <c r="M232"/>
    </row>
    <row r="233" spans="13:13">
      <c r="M233"/>
    </row>
    <row r="234" spans="13:13">
      <c r="M234"/>
    </row>
    <row r="235" spans="13:13">
      <c r="M235"/>
    </row>
    <row r="236" spans="13:13">
      <c r="M236"/>
    </row>
    <row r="237" spans="13:13">
      <c r="M237"/>
    </row>
    <row r="238" spans="13:13">
      <c r="M238"/>
    </row>
    <row r="239" spans="13:13">
      <c r="M239"/>
    </row>
    <row r="240" spans="13:13">
      <c r="M240"/>
    </row>
    <row r="241" spans="13:13">
      <c r="M241"/>
    </row>
    <row r="242" spans="13:13">
      <c r="M242"/>
    </row>
    <row r="243" spans="13:13">
      <c r="M243"/>
    </row>
    <row r="244" spans="13:13">
      <c r="M244"/>
    </row>
    <row r="245" spans="13:13">
      <c r="M245"/>
    </row>
    <row r="246" spans="13:13">
      <c r="M246"/>
    </row>
    <row r="247" spans="13:13">
      <c r="M247"/>
    </row>
    <row r="248" spans="13:13">
      <c r="M248"/>
    </row>
    <row r="249" spans="13:13">
      <c r="M249"/>
    </row>
    <row r="250" spans="13:13">
      <c r="M250"/>
    </row>
    <row r="251" spans="13:13">
      <c r="M251"/>
    </row>
    <row r="252" spans="13:13">
      <c r="M252"/>
    </row>
    <row r="253" spans="13:13">
      <c r="M253"/>
    </row>
    <row r="254" spans="13:13">
      <c r="M254"/>
    </row>
    <row r="255" spans="13:13">
      <c r="M255"/>
    </row>
    <row r="256" spans="13:13">
      <c r="M256"/>
    </row>
    <row r="257" spans="13:13">
      <c r="M257"/>
    </row>
    <row r="258" spans="13:13">
      <c r="M258"/>
    </row>
    <row r="259" spans="13:13">
      <c r="M259"/>
    </row>
    <row r="260" spans="13:13">
      <c r="M260"/>
    </row>
    <row r="261" spans="13:13">
      <c r="M261"/>
    </row>
    <row r="262" spans="13:13">
      <c r="M262"/>
    </row>
    <row r="263" spans="13:13">
      <c r="M263"/>
    </row>
    <row r="264" spans="13:13">
      <c r="M264"/>
    </row>
    <row r="265" spans="13:13">
      <c r="M265"/>
    </row>
    <row r="266" spans="13:13">
      <c r="M266"/>
    </row>
    <row r="267" spans="13:13">
      <c r="M267"/>
    </row>
    <row r="268" spans="13:13">
      <c r="M268"/>
    </row>
    <row r="269" spans="13:13">
      <c r="M269"/>
    </row>
    <row r="270" spans="13:13">
      <c r="M270"/>
    </row>
    <row r="271" spans="13:13">
      <c r="M271"/>
    </row>
    <row r="272" spans="13:13">
      <c r="M272"/>
    </row>
    <row r="273" spans="13:13">
      <c r="M273"/>
    </row>
    <row r="274" spans="13:13">
      <c r="M274"/>
    </row>
    <row r="275" spans="13:13">
      <c r="M275"/>
    </row>
    <row r="276" spans="13:13">
      <c r="M276"/>
    </row>
    <row r="277" spans="13:13">
      <c r="M277"/>
    </row>
    <row r="278" spans="13:13">
      <c r="M278"/>
    </row>
    <row r="279" spans="13:13">
      <c r="M279"/>
    </row>
    <row r="280" spans="13:13">
      <c r="M280"/>
    </row>
    <row r="281" spans="13:13">
      <c r="M281"/>
    </row>
    <row r="282" spans="13:13">
      <c r="M282"/>
    </row>
    <row r="283" spans="13:13">
      <c r="M283"/>
    </row>
    <row r="284" spans="13:13">
      <c r="M284"/>
    </row>
    <row r="285" spans="13:13">
      <c r="M285"/>
    </row>
    <row r="286" spans="13:13">
      <c r="M286"/>
    </row>
    <row r="287" spans="13:13">
      <c r="M287"/>
    </row>
    <row r="288" spans="13:13">
      <c r="M288"/>
    </row>
    <row r="289" spans="13:13">
      <c r="M289"/>
    </row>
    <row r="290" spans="13:13">
      <c r="M290"/>
    </row>
    <row r="291" spans="13:13">
      <c r="M291"/>
    </row>
    <row r="292" spans="13:13">
      <c r="M292"/>
    </row>
    <row r="293" spans="13:13">
      <c r="M293"/>
    </row>
    <row r="294" spans="13:13">
      <c r="M294"/>
    </row>
    <row r="295" spans="13:13">
      <c r="M295"/>
    </row>
    <row r="296" spans="13:13">
      <c r="M296"/>
    </row>
    <row r="297" spans="13:13">
      <c r="M297"/>
    </row>
    <row r="298" spans="13:13">
      <c r="M298"/>
    </row>
    <row r="299" spans="13:13">
      <c r="M299"/>
    </row>
    <row r="300" spans="13:13">
      <c r="M300"/>
    </row>
    <row r="301" spans="13:13">
      <c r="M301"/>
    </row>
    <row r="302" spans="13:13">
      <c r="M302"/>
    </row>
    <row r="303" spans="13:13">
      <c r="M303"/>
    </row>
    <row r="304" spans="13:13">
      <c r="M304"/>
    </row>
    <row r="305" spans="13:13">
      <c r="M305"/>
    </row>
    <row r="306" spans="13:13">
      <c r="M306"/>
    </row>
    <row r="307" spans="13:13">
      <c r="M307"/>
    </row>
    <row r="308" spans="13:13">
      <c r="M308"/>
    </row>
    <row r="309" spans="13:13">
      <c r="M309"/>
    </row>
    <row r="310" spans="13:13">
      <c r="M310"/>
    </row>
    <row r="311" spans="13:13">
      <c r="M311"/>
    </row>
    <row r="312" spans="13:13">
      <c r="M312"/>
    </row>
    <row r="313" spans="13:13">
      <c r="M313"/>
    </row>
    <row r="314" spans="13:13">
      <c r="M314"/>
    </row>
    <row r="315" spans="13:13">
      <c r="M315"/>
    </row>
    <row r="316" spans="13:13">
      <c r="M316"/>
    </row>
    <row r="317" spans="13:13">
      <c r="M317"/>
    </row>
    <row r="318" spans="13:13">
      <c r="M318"/>
    </row>
    <row r="319" spans="13:13">
      <c r="M319"/>
    </row>
    <row r="320" spans="13:13">
      <c r="M320"/>
    </row>
    <row r="321" spans="13:13">
      <c r="M321"/>
    </row>
    <row r="322" spans="13:13">
      <c r="M322"/>
    </row>
    <row r="323" spans="13:13">
      <c r="M323"/>
    </row>
    <row r="324" spans="13:13">
      <c r="M324"/>
    </row>
    <row r="325" spans="13:13">
      <c r="M325"/>
    </row>
    <row r="326" spans="13:13">
      <c r="M326"/>
    </row>
    <row r="327" spans="13:13">
      <c r="M327"/>
    </row>
    <row r="328" spans="13:13">
      <c r="M328"/>
    </row>
    <row r="329" spans="13:13">
      <c r="M329"/>
    </row>
    <row r="330" spans="13:13">
      <c r="M330"/>
    </row>
    <row r="331" spans="13:13">
      <c r="M331"/>
    </row>
    <row r="332" spans="13:13">
      <c r="M332"/>
    </row>
    <row r="333" spans="13:13">
      <c r="M333"/>
    </row>
    <row r="334" spans="13:13">
      <c r="M334"/>
    </row>
    <row r="335" spans="13:13">
      <c r="M335"/>
    </row>
    <row r="336" spans="13:13">
      <c r="M336"/>
    </row>
    <row r="337" spans="13:13">
      <c r="M337"/>
    </row>
    <row r="338" spans="13:13">
      <c r="M338"/>
    </row>
    <row r="339" spans="13:13">
      <c r="M339"/>
    </row>
    <row r="340" spans="13:13">
      <c r="M340"/>
    </row>
    <row r="341" spans="13:13">
      <c r="M341"/>
    </row>
    <row r="342" spans="13:13">
      <c r="M342"/>
    </row>
    <row r="343" spans="13:13">
      <c r="M343"/>
    </row>
    <row r="344" spans="13:13">
      <c r="M344"/>
    </row>
    <row r="345" spans="13:13">
      <c r="M345"/>
    </row>
    <row r="346" spans="13:13">
      <c r="M346"/>
    </row>
    <row r="347" spans="13:13">
      <c r="M347"/>
    </row>
  </sheetData>
  <pageMargins left="0.7" right="0.7" top="0.75" bottom="0.75" header="0.3" footer="0.3"/>
  <legacyDrawing r:id="rId1"/>
  <tableParts count="12">
    <tablePart r:id="rId2"/>
    <tablePart r:id="rId3"/>
    <tablePart r:id="rId4"/>
    <tablePart r:id="rId5"/>
    <tablePart r:id="rId6"/>
    <tablePart r:id="rId7"/>
    <tablePart r:id="rId8"/>
    <tablePart r:id="rId9"/>
    <tablePart r:id="rId10"/>
    <tablePart r:id="rId11"/>
    <tablePart r:id="rId12"/>
    <tablePart r:id="rId1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C1F72-F092-4C79-ACA4-C51B63AD6BCE}">
  <sheetPr codeName="Hoja8">
    <tabColor rgb="FF37474F"/>
  </sheetPr>
  <dimension ref="A1:L17"/>
  <sheetViews>
    <sheetView showGridLines="0" workbookViewId="0">
      <pane ySplit="1" topLeftCell="A7" activePane="bottomLeft" state="frozen"/>
      <selection pane="bottomLeft" activeCell="A17" sqref="A17"/>
    </sheetView>
    <sheetView workbookViewId="1"/>
  </sheetViews>
  <sheetFormatPr baseColWidth="10" defaultColWidth="11" defaultRowHeight="14.25"/>
  <cols>
    <col min="3" max="3" width="32.625" bestFit="1" customWidth="1"/>
    <col min="4" max="4" width="14.125" customWidth="1"/>
    <col min="5" max="5" width="15.875" customWidth="1"/>
    <col min="6" max="6" width="14.5" bestFit="1" customWidth="1"/>
    <col min="7" max="7" width="15.375" bestFit="1" customWidth="1"/>
    <col min="8" max="8" width="15.5" bestFit="1" customWidth="1"/>
    <col min="9" max="9" width="16.125" bestFit="1" customWidth="1"/>
    <col min="10" max="10" width="15.5" bestFit="1" customWidth="1"/>
    <col min="11" max="11" width="12.875" bestFit="1" customWidth="1"/>
    <col min="12" max="12" width="13.375" bestFit="1" customWidth="1"/>
  </cols>
  <sheetData>
    <row r="1" spans="1:12" ht="21.95" customHeight="1">
      <c r="A1" s="179" t="s">
        <v>4044</v>
      </c>
      <c r="B1" s="179" t="s">
        <v>73</v>
      </c>
      <c r="C1" s="179" t="s">
        <v>74</v>
      </c>
      <c r="D1" s="179" t="s">
        <v>4045</v>
      </c>
      <c r="E1" s="179" t="s">
        <v>4046</v>
      </c>
      <c r="F1" s="179" t="s">
        <v>4047</v>
      </c>
      <c r="G1" s="179" t="s">
        <v>4048</v>
      </c>
      <c r="H1" s="179" t="s">
        <v>4049</v>
      </c>
      <c r="I1" s="179" t="s">
        <v>4050</v>
      </c>
      <c r="J1" s="179" t="s">
        <v>4051</v>
      </c>
      <c r="K1" s="179" t="s">
        <v>4052</v>
      </c>
      <c r="L1" s="179" t="s">
        <v>4053</v>
      </c>
    </row>
    <row r="2" spans="1:12" ht="15">
      <c r="A2" s="133" t="s">
        <v>3766</v>
      </c>
      <c r="B2" s="133" t="s">
        <v>98</v>
      </c>
      <c r="C2" s="133" t="s">
        <v>4054</v>
      </c>
      <c r="D2" s="176">
        <v>240</v>
      </c>
      <c r="E2" s="278">
        <v>20</v>
      </c>
      <c r="F2" s="177">
        <v>36</v>
      </c>
      <c r="G2" s="279">
        <v>3</v>
      </c>
      <c r="H2" s="177">
        <v>7</v>
      </c>
      <c r="I2" s="177">
        <v>7</v>
      </c>
      <c r="J2" s="175">
        <v>236</v>
      </c>
      <c r="K2" s="177">
        <v>17</v>
      </c>
      <c r="L2" s="177">
        <v>19</v>
      </c>
    </row>
    <row r="3" spans="1:12" ht="15">
      <c r="A3" s="133" t="s">
        <v>232</v>
      </c>
      <c r="B3" s="133" t="s">
        <v>233</v>
      </c>
      <c r="C3" s="133" t="s">
        <v>3768</v>
      </c>
      <c r="D3" s="177">
        <v>240</v>
      </c>
      <c r="E3" s="278">
        <v>20</v>
      </c>
      <c r="F3" s="177">
        <v>24</v>
      </c>
      <c r="G3" s="279">
        <v>3</v>
      </c>
      <c r="H3" s="177">
        <v>3.5</v>
      </c>
      <c r="I3" s="177">
        <v>3</v>
      </c>
      <c r="J3" s="177">
        <v>952</v>
      </c>
      <c r="K3" s="177">
        <v>18</v>
      </c>
      <c r="L3" s="177">
        <v>19</v>
      </c>
    </row>
    <row r="4" spans="1:12" ht="15">
      <c r="A4" s="133" t="s">
        <v>244</v>
      </c>
      <c r="B4" s="133" t="s">
        <v>245</v>
      </c>
      <c r="C4" s="133" t="s">
        <v>3769</v>
      </c>
      <c r="D4" s="176">
        <v>168</v>
      </c>
      <c r="E4" s="280">
        <v>14</v>
      </c>
      <c r="F4" s="176">
        <v>12</v>
      </c>
      <c r="G4" s="281">
        <v>1</v>
      </c>
      <c r="H4" s="176">
        <v>2</v>
      </c>
      <c r="I4" s="176">
        <v>1</v>
      </c>
      <c r="J4" s="176">
        <v>5000</v>
      </c>
      <c r="K4" s="176">
        <v>12</v>
      </c>
      <c r="L4" s="176">
        <v>12</v>
      </c>
    </row>
    <row r="5" spans="1:12" ht="15">
      <c r="A5" s="133" t="s">
        <v>4604</v>
      </c>
      <c r="B5" s="133" t="s">
        <v>4056</v>
      </c>
      <c r="C5" s="133" t="s">
        <v>4057</v>
      </c>
      <c r="D5" s="175">
        <v>84</v>
      </c>
      <c r="E5" s="278">
        <v>7</v>
      </c>
      <c r="F5" s="175">
        <v>12</v>
      </c>
      <c r="G5" s="279">
        <v>1</v>
      </c>
      <c r="H5" s="175">
        <v>1.5</v>
      </c>
      <c r="I5" s="175">
        <v>0.1</v>
      </c>
      <c r="J5" s="282">
        <v>66667</v>
      </c>
      <c r="K5" s="177">
        <v>6</v>
      </c>
      <c r="L5" s="177">
        <v>6</v>
      </c>
    </row>
    <row r="6" spans="1:12" ht="15">
      <c r="A6" s="133" t="s">
        <v>4604</v>
      </c>
      <c r="B6" s="133" t="s">
        <v>4058</v>
      </c>
      <c r="C6" s="133" t="s">
        <v>4059</v>
      </c>
      <c r="D6" s="176">
        <v>84</v>
      </c>
      <c r="E6" s="280">
        <v>7</v>
      </c>
      <c r="F6" s="176">
        <v>12</v>
      </c>
      <c r="G6" s="281">
        <v>1</v>
      </c>
      <c r="H6" s="176">
        <v>1.3</v>
      </c>
      <c r="I6" s="176">
        <v>0.1</v>
      </c>
      <c r="J6" s="176">
        <v>76923.076923076922</v>
      </c>
      <c r="K6" s="176">
        <v>6</v>
      </c>
      <c r="L6" s="176">
        <v>6</v>
      </c>
    </row>
    <row r="7" spans="1:12" ht="15">
      <c r="A7" s="133" t="s">
        <v>4604</v>
      </c>
      <c r="B7" s="133" t="s">
        <v>4060</v>
      </c>
      <c r="C7" s="133" t="s">
        <v>4061</v>
      </c>
      <c r="D7" s="120">
        <v>84</v>
      </c>
      <c r="E7" s="283">
        <v>7</v>
      </c>
      <c r="F7" s="120">
        <v>12</v>
      </c>
      <c r="G7" s="284">
        <v>1</v>
      </c>
      <c r="H7" s="120">
        <v>1.4</v>
      </c>
      <c r="I7" s="120">
        <v>0.6</v>
      </c>
      <c r="J7" s="176">
        <v>111905</v>
      </c>
      <c r="K7" s="120">
        <v>6</v>
      </c>
      <c r="L7" s="120">
        <v>6</v>
      </c>
    </row>
    <row r="8" spans="1:12" ht="15">
      <c r="A8" s="133" t="s">
        <v>37</v>
      </c>
      <c r="B8" s="133" t="s">
        <v>265</v>
      </c>
      <c r="C8" s="133" t="s">
        <v>3772</v>
      </c>
      <c r="D8" s="176">
        <v>240</v>
      </c>
      <c r="E8" s="280">
        <v>20</v>
      </c>
      <c r="F8" s="176">
        <v>36</v>
      </c>
      <c r="G8" s="281">
        <v>3</v>
      </c>
      <c r="H8" s="176">
        <v>7</v>
      </c>
      <c r="I8" s="176">
        <v>7</v>
      </c>
      <c r="J8" s="176">
        <v>204</v>
      </c>
      <c r="K8" s="176">
        <v>17</v>
      </c>
      <c r="L8" s="176">
        <v>19</v>
      </c>
    </row>
    <row r="9" spans="1:12" ht="15">
      <c r="A9" s="133" t="s">
        <v>37</v>
      </c>
      <c r="B9" s="133" t="s">
        <v>258</v>
      </c>
      <c r="C9" s="133" t="s">
        <v>3773</v>
      </c>
      <c r="D9" s="176">
        <v>240</v>
      </c>
      <c r="E9" s="280">
        <v>20</v>
      </c>
      <c r="F9" s="176">
        <v>36</v>
      </c>
      <c r="G9" s="281">
        <v>3</v>
      </c>
      <c r="H9" s="176">
        <v>7</v>
      </c>
      <c r="I9" s="176">
        <v>7</v>
      </c>
      <c r="J9" s="176">
        <v>204</v>
      </c>
      <c r="K9" s="176">
        <v>17</v>
      </c>
      <c r="L9" s="176">
        <v>19</v>
      </c>
    </row>
    <row r="10" spans="1:12" ht="15">
      <c r="A10" s="133" t="s">
        <v>37</v>
      </c>
      <c r="B10" s="133" t="s">
        <v>38</v>
      </c>
      <c r="C10" s="133" t="s">
        <v>3771</v>
      </c>
      <c r="D10" s="176">
        <v>240</v>
      </c>
      <c r="E10" s="280">
        <v>20</v>
      </c>
      <c r="F10" s="176">
        <v>36</v>
      </c>
      <c r="G10" s="281">
        <v>3</v>
      </c>
      <c r="H10" s="176">
        <v>8</v>
      </c>
      <c r="I10" s="176">
        <v>5</v>
      </c>
      <c r="J10" s="176">
        <v>250</v>
      </c>
      <c r="K10" s="176">
        <v>17</v>
      </c>
      <c r="L10" s="176">
        <v>19</v>
      </c>
    </row>
    <row r="11" spans="1:12" ht="15">
      <c r="A11" s="133" t="s">
        <v>270</v>
      </c>
      <c r="B11" s="133" t="s">
        <v>258</v>
      </c>
      <c r="C11" s="133" t="s">
        <v>3775</v>
      </c>
      <c r="D11" s="177">
        <v>180</v>
      </c>
      <c r="E11" s="278">
        <v>15</v>
      </c>
      <c r="F11" s="177">
        <v>36</v>
      </c>
      <c r="G11" s="279">
        <v>3</v>
      </c>
      <c r="H11" s="177">
        <v>6.5</v>
      </c>
      <c r="I11" s="177">
        <v>6</v>
      </c>
      <c r="J11" s="177">
        <v>277</v>
      </c>
      <c r="K11" s="177">
        <v>12</v>
      </c>
      <c r="L11" s="177">
        <v>14</v>
      </c>
    </row>
    <row r="12" spans="1:12" ht="15">
      <c r="A12" s="133" t="s">
        <v>274</v>
      </c>
      <c r="B12" s="133" t="s">
        <v>275</v>
      </c>
      <c r="C12" s="133" t="s">
        <v>3776</v>
      </c>
      <c r="D12" s="177">
        <v>240</v>
      </c>
      <c r="E12" s="278">
        <v>20</v>
      </c>
      <c r="F12" s="177">
        <v>36</v>
      </c>
      <c r="G12" s="279">
        <v>3</v>
      </c>
      <c r="H12" s="177">
        <v>8</v>
      </c>
      <c r="I12" s="177">
        <v>7</v>
      </c>
      <c r="J12" s="177">
        <v>236</v>
      </c>
      <c r="K12" s="177">
        <v>17</v>
      </c>
      <c r="L12" s="177">
        <v>19</v>
      </c>
    </row>
    <row r="13" spans="1:12" ht="15">
      <c r="A13" s="133" t="s">
        <v>4062</v>
      </c>
      <c r="B13" s="133" t="s">
        <v>4063</v>
      </c>
      <c r="C13" s="133" t="s">
        <v>4064</v>
      </c>
      <c r="D13" s="175">
        <v>240</v>
      </c>
      <c r="E13" s="285">
        <v>20</v>
      </c>
      <c r="F13" s="175">
        <v>36</v>
      </c>
      <c r="G13" s="286">
        <v>3</v>
      </c>
      <c r="H13" s="175">
        <v>7</v>
      </c>
      <c r="I13" s="175">
        <v>7</v>
      </c>
      <c r="J13" s="175">
        <v>235</v>
      </c>
      <c r="K13" s="175">
        <v>17</v>
      </c>
      <c r="L13" s="175">
        <v>19</v>
      </c>
    </row>
    <row r="14" spans="1:12" ht="15">
      <c r="A14" s="133" t="s">
        <v>4062</v>
      </c>
      <c r="B14" s="133" t="s">
        <v>258</v>
      </c>
      <c r="C14" s="133" t="s">
        <v>4065</v>
      </c>
      <c r="D14" s="176">
        <v>240</v>
      </c>
      <c r="E14" s="280">
        <v>20</v>
      </c>
      <c r="F14" s="176">
        <v>36</v>
      </c>
      <c r="G14" s="281">
        <v>3</v>
      </c>
      <c r="H14" s="176">
        <v>7</v>
      </c>
      <c r="I14" s="176">
        <v>7</v>
      </c>
      <c r="J14" s="176">
        <v>204</v>
      </c>
      <c r="K14" s="176">
        <v>17</v>
      </c>
      <c r="L14" s="176">
        <v>19</v>
      </c>
    </row>
    <row r="15" spans="1:12" ht="15">
      <c r="A15" s="133" t="s">
        <v>3774</v>
      </c>
      <c r="B15" s="133" t="s">
        <v>301</v>
      </c>
      <c r="C15" s="133" t="s">
        <v>4606</v>
      </c>
      <c r="D15" s="175">
        <v>360</v>
      </c>
      <c r="E15" s="278">
        <v>30</v>
      </c>
      <c r="F15" s="175">
        <v>30</v>
      </c>
      <c r="G15" s="279">
        <v>2.5</v>
      </c>
      <c r="H15" s="175">
        <v>8.5</v>
      </c>
      <c r="I15" s="175">
        <v>10</v>
      </c>
      <c r="J15" s="175">
        <v>115</v>
      </c>
      <c r="K15" s="177">
        <v>27.5</v>
      </c>
      <c r="L15" s="177">
        <v>29</v>
      </c>
    </row>
    <row r="16" spans="1:12" ht="15">
      <c r="A16" s="133" t="s">
        <v>3774</v>
      </c>
      <c r="B16" s="268" t="s">
        <v>287</v>
      </c>
      <c r="C16" s="133" t="s">
        <v>4605</v>
      </c>
      <c r="D16" s="176">
        <v>300</v>
      </c>
      <c r="E16" s="280">
        <v>25</v>
      </c>
      <c r="F16" s="176">
        <v>36</v>
      </c>
      <c r="G16" s="281">
        <v>3</v>
      </c>
      <c r="H16" s="176">
        <v>7.78</v>
      </c>
      <c r="I16" s="176">
        <v>9</v>
      </c>
      <c r="J16" s="176">
        <v>143</v>
      </c>
      <c r="K16" s="176">
        <v>22</v>
      </c>
      <c r="L16" s="176">
        <v>24</v>
      </c>
    </row>
    <row r="17" spans="1:12" ht="15">
      <c r="A17" s="133" t="s">
        <v>306</v>
      </c>
      <c r="B17" s="133" t="s">
        <v>307</v>
      </c>
      <c r="C17" s="133" t="s">
        <v>3779</v>
      </c>
      <c r="D17" s="177">
        <v>60</v>
      </c>
      <c r="E17" s="278">
        <v>5</v>
      </c>
      <c r="F17" s="177">
        <v>11</v>
      </c>
      <c r="G17" s="279">
        <v>0.9</v>
      </c>
      <c r="H17" s="177">
        <v>3</v>
      </c>
      <c r="I17" s="177">
        <v>2.5</v>
      </c>
      <c r="J17" s="177">
        <v>1316</v>
      </c>
      <c r="K17" s="177">
        <v>4.0999999999999996</v>
      </c>
      <c r="L17" s="177">
        <v>4</v>
      </c>
    </row>
  </sheetData>
  <conditionalFormatting sqref="A2:L17">
    <cfRule type="expression" dxfId="9" priority="1">
      <formula>ROW()=CELL("fila")</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DE081-6993-4D80-B3D5-44512B43503F}">
  <sheetPr codeName="Hoja21">
    <tabColor rgb="FF37474F"/>
  </sheetPr>
  <dimension ref="A1:P268"/>
  <sheetViews>
    <sheetView showGridLines="0" workbookViewId="0">
      <pane xSplit="1" ySplit="1" topLeftCell="B2" activePane="bottomRight" state="frozen"/>
      <selection pane="topRight" activeCell="B1" sqref="B1"/>
      <selection pane="bottomLeft" activeCell="A2" sqref="A2"/>
      <selection pane="bottomRight" activeCell="K251" sqref="K251"/>
    </sheetView>
    <sheetView workbookViewId="1"/>
  </sheetViews>
  <sheetFormatPr baseColWidth="10" defaultColWidth="11" defaultRowHeight="15"/>
  <cols>
    <col min="1" max="1" width="9.625" style="51" bestFit="1" customWidth="1"/>
    <col min="2" max="2" width="33.125" style="51" bestFit="1" customWidth="1"/>
    <col min="3" max="3" width="13.875" style="51" bestFit="1" customWidth="1"/>
    <col min="4" max="4" width="30.75" style="51" bestFit="1" customWidth="1"/>
    <col min="5" max="5" width="24.875" style="50" hidden="1" customWidth="1"/>
    <col min="6" max="6" width="17.625" style="52" hidden="1" customWidth="1"/>
    <col min="7" max="7" width="9.625" style="51" hidden="1" customWidth="1"/>
    <col min="8" max="8" width="18.375" style="61" bestFit="1" customWidth="1"/>
    <col min="9" max="9" width="13.375" style="1" customWidth="1"/>
    <col min="10" max="10" width="14.875" style="1" customWidth="1"/>
    <col min="11" max="16384" width="11" style="1"/>
  </cols>
  <sheetData>
    <row r="1" spans="1:16" ht="21.95" customHeight="1">
      <c r="A1" s="304" t="s">
        <v>4066</v>
      </c>
      <c r="B1" s="305" t="s">
        <v>72</v>
      </c>
      <c r="C1" s="305" t="s">
        <v>4067</v>
      </c>
      <c r="D1" s="305" t="s">
        <v>4434</v>
      </c>
      <c r="E1" s="306" t="s">
        <v>4443</v>
      </c>
      <c r="F1" s="307" t="s">
        <v>4446</v>
      </c>
      <c r="G1" s="308" t="s">
        <v>4440</v>
      </c>
      <c r="H1" s="481" t="s">
        <v>4447</v>
      </c>
      <c r="I1" s="169" t="s">
        <v>4445</v>
      </c>
      <c r="J1" s="309" t="str">
        <f>Formulario!B28</f>
        <v>Plátano Domínico hartón</v>
      </c>
      <c r="K1" s="287"/>
      <c r="L1" s="287"/>
    </row>
    <row r="2" spans="1:16">
      <c r="A2" s="288">
        <v>1</v>
      </c>
      <c r="B2" s="289" t="s">
        <v>4054</v>
      </c>
      <c r="C2" s="289" t="s">
        <v>53</v>
      </c>
      <c r="D2" s="289">
        <v>0</v>
      </c>
      <c r="E2" s="176">
        <f>INDEX(Caracteristicas_agronomicas!J:J,MATCH(B2,Caracteristicas_agronomicas!C:C,0))</f>
        <v>236</v>
      </c>
      <c r="F2" s="290">
        <f t="shared" ref="F2:F65" si="0">$J$2/E2</f>
        <v>6.5254237288135597</v>
      </c>
      <c r="G2" s="290">
        <f>VLOOKUP(Tabla1715[[#This Row],[Cultivo]],Tabla16[#All],9,FALSE)</f>
        <v>0.75</v>
      </c>
      <c r="H2" s="82">
        <f>IFERROR(D2*Formulario!$B$24,"")</f>
        <v>0</v>
      </c>
      <c r="I2" s="100" t="s">
        <v>4444</v>
      </c>
      <c r="J2" s="100">
        <f>Formulario!I22</f>
        <v>1540</v>
      </c>
      <c r="K2" s="152"/>
      <c r="L2" s="152"/>
      <c r="M2" s="13"/>
      <c r="N2" s="13"/>
      <c r="O2" s="13"/>
      <c r="P2" s="13"/>
    </row>
    <row r="3" spans="1:16">
      <c r="A3" s="291">
        <v>2</v>
      </c>
      <c r="B3" s="120" t="s">
        <v>4054</v>
      </c>
      <c r="C3" s="120" t="s">
        <v>68</v>
      </c>
      <c r="D3" s="120">
        <v>0</v>
      </c>
      <c r="E3" s="176">
        <f>INDEX(Caracteristicas_agronomicas!J:J,MATCH(B3,Caracteristicas_agronomicas!C:C,0))</f>
        <v>236</v>
      </c>
      <c r="F3" s="290">
        <f t="shared" si="0"/>
        <v>6.5254237288135597</v>
      </c>
      <c r="G3" s="290">
        <f>VLOOKUP(Tabla1715[[#This Row],[Cultivo]],Tabla16[#All],9,FALSE)</f>
        <v>0.75</v>
      </c>
      <c r="H3" s="82">
        <f>IFERROR(D3*Formulario!$B$24,"")</f>
        <v>0</v>
      </c>
      <c r="I3" s="292" t="s">
        <v>4441</v>
      </c>
      <c r="J3" s="293">
        <f>Formulario!B24</f>
        <v>0.95</v>
      </c>
      <c r="K3" s="152"/>
      <c r="L3" s="294" t="s">
        <v>4435</v>
      </c>
      <c r="M3" s="13"/>
      <c r="N3" s="13"/>
      <c r="O3" s="13"/>
      <c r="P3" s="13"/>
    </row>
    <row r="4" spans="1:16">
      <c r="A4" s="288">
        <v>3</v>
      </c>
      <c r="B4" s="289" t="s">
        <v>4054</v>
      </c>
      <c r="C4" s="289" t="s">
        <v>69</v>
      </c>
      <c r="D4" s="289">
        <v>1200</v>
      </c>
      <c r="E4" s="176">
        <f>INDEX(Caracteristicas_agronomicas!J:J,MATCH(B4,Caracteristicas_agronomicas!C:C,0))</f>
        <v>236</v>
      </c>
      <c r="F4" s="290">
        <f t="shared" si="0"/>
        <v>6.5254237288135597</v>
      </c>
      <c r="G4" s="290">
        <f>VLOOKUP(Tabla1715[[#This Row],[Cultivo]],Tabla16[#All],9,FALSE)</f>
        <v>0.75</v>
      </c>
      <c r="H4" s="82">
        <f>IFERROR(D4*Formulario!$B$24,"")</f>
        <v>1140</v>
      </c>
      <c r="I4" s="152"/>
      <c r="J4" s="152"/>
      <c r="K4" s="152"/>
      <c r="L4" s="152"/>
      <c r="M4" s="13"/>
      <c r="N4" s="13"/>
      <c r="O4" s="13"/>
      <c r="P4" s="13"/>
    </row>
    <row r="5" spans="1:16">
      <c r="A5" s="291">
        <v>4</v>
      </c>
      <c r="B5" s="120" t="s">
        <v>4054</v>
      </c>
      <c r="C5" s="120" t="s">
        <v>69</v>
      </c>
      <c r="D5" s="120">
        <v>3600</v>
      </c>
      <c r="E5" s="176">
        <f>INDEX(Caracteristicas_agronomicas!J:J,MATCH(B5,Caracteristicas_agronomicas!C:C,0))</f>
        <v>236</v>
      </c>
      <c r="F5" s="290">
        <f t="shared" si="0"/>
        <v>6.5254237288135597</v>
      </c>
      <c r="G5" s="290">
        <f>VLOOKUP(Tabla1715[[#This Row],[Cultivo]],Tabla16[#All],9,FALSE)</f>
        <v>0.75</v>
      </c>
      <c r="H5" s="82">
        <f>IFERROR(D5*Formulario!$B$24,"")</f>
        <v>3420</v>
      </c>
      <c r="I5" s="152"/>
      <c r="J5" s="152"/>
      <c r="K5" s="152"/>
      <c r="L5" s="152"/>
      <c r="M5" s="13"/>
      <c r="N5" s="13"/>
      <c r="O5" s="13"/>
      <c r="P5" s="13"/>
    </row>
    <row r="6" spans="1:16">
      <c r="A6" s="288">
        <v>5</v>
      </c>
      <c r="B6" s="289" t="s">
        <v>4054</v>
      </c>
      <c r="C6" s="289" t="s">
        <v>69</v>
      </c>
      <c r="D6" s="289">
        <v>8500</v>
      </c>
      <c r="E6" s="176">
        <f>INDEX(Caracteristicas_agronomicas!J:J,MATCH(B6,Caracteristicas_agronomicas!C:C,0))</f>
        <v>236</v>
      </c>
      <c r="F6" s="290">
        <f t="shared" si="0"/>
        <v>6.5254237288135597</v>
      </c>
      <c r="G6" s="290">
        <f>VLOOKUP(Tabla1715[[#This Row],[Cultivo]],Tabla16[#All],9,FALSE)</f>
        <v>0.75</v>
      </c>
      <c r="H6" s="82">
        <f>IFERROR(D6*Formulario!$B$24,"")</f>
        <v>8075</v>
      </c>
      <c r="I6" s="152"/>
      <c r="J6" s="152"/>
      <c r="K6" s="152"/>
      <c r="L6" s="152"/>
      <c r="M6" s="13"/>
      <c r="N6" s="13"/>
      <c r="O6" s="13"/>
      <c r="P6" s="13"/>
    </row>
    <row r="7" spans="1:16">
      <c r="A7" s="291">
        <v>6</v>
      </c>
      <c r="B7" s="120" t="s">
        <v>4054</v>
      </c>
      <c r="C7" s="120" t="s">
        <v>69</v>
      </c>
      <c r="D7" s="120">
        <v>15000</v>
      </c>
      <c r="E7" s="176">
        <f>INDEX(Caracteristicas_agronomicas!J:J,MATCH(B7,Caracteristicas_agronomicas!C:C,0))</f>
        <v>236</v>
      </c>
      <c r="F7" s="290">
        <f t="shared" si="0"/>
        <v>6.5254237288135597</v>
      </c>
      <c r="G7" s="290">
        <f>VLOOKUP(Tabla1715[[#This Row],[Cultivo]],Tabla16[#All],9,FALSE)</f>
        <v>0.75</v>
      </c>
      <c r="H7" s="82">
        <f>IFERROR(D7*Formulario!$B$24,"")</f>
        <v>14250</v>
      </c>
      <c r="I7" s="152"/>
      <c r="J7" s="152"/>
      <c r="K7" s="152"/>
      <c r="L7" s="152"/>
      <c r="M7" s="13"/>
      <c r="N7" s="13"/>
      <c r="O7" s="13"/>
      <c r="P7" s="13"/>
    </row>
    <row r="8" spans="1:16">
      <c r="A8" s="288">
        <v>7</v>
      </c>
      <c r="B8" s="289" t="s">
        <v>4054</v>
      </c>
      <c r="C8" s="289" t="s">
        <v>69</v>
      </c>
      <c r="D8" s="289">
        <v>15000</v>
      </c>
      <c r="E8" s="176">
        <f>INDEX(Caracteristicas_agronomicas!J:J,MATCH(B8,Caracteristicas_agronomicas!C:C,0))</f>
        <v>236</v>
      </c>
      <c r="F8" s="290">
        <f t="shared" si="0"/>
        <v>6.5254237288135597</v>
      </c>
      <c r="G8" s="290">
        <f>VLOOKUP(Tabla1715[[#This Row],[Cultivo]],Tabla16[#All],9,FALSE)</f>
        <v>0.75</v>
      </c>
      <c r="H8" s="82">
        <f>IFERROR(D8*Formulario!$B$24,"")</f>
        <v>14250</v>
      </c>
      <c r="I8" s="152"/>
      <c r="J8" s="152"/>
      <c r="K8" s="152"/>
      <c r="L8" s="152"/>
      <c r="M8" s="13"/>
      <c r="N8" s="13"/>
      <c r="O8" s="13"/>
      <c r="P8" s="13"/>
    </row>
    <row r="9" spans="1:16">
      <c r="A9" s="291">
        <v>8</v>
      </c>
      <c r="B9" s="120" t="s">
        <v>4054</v>
      </c>
      <c r="C9" s="120" t="s">
        <v>69</v>
      </c>
      <c r="D9" s="120">
        <v>15000</v>
      </c>
      <c r="E9" s="176">
        <f>INDEX(Caracteristicas_agronomicas!J:J,MATCH(B9,Caracteristicas_agronomicas!C:C,0))</f>
        <v>236</v>
      </c>
      <c r="F9" s="290">
        <f t="shared" si="0"/>
        <v>6.5254237288135597</v>
      </c>
      <c r="G9" s="290">
        <f>VLOOKUP(Tabla1715[[#This Row],[Cultivo]],Tabla16[#All],9,FALSE)</f>
        <v>0.75</v>
      </c>
      <c r="H9" s="82">
        <f>IFERROR(D9*Formulario!$B$24,"")</f>
        <v>14250</v>
      </c>
      <c r="I9" s="152"/>
      <c r="J9" s="152"/>
      <c r="K9" s="152"/>
      <c r="L9" s="152"/>
      <c r="M9" s="13"/>
      <c r="N9" s="13"/>
      <c r="O9" s="13"/>
      <c r="P9" s="13"/>
    </row>
    <row r="10" spans="1:16">
      <c r="A10" s="288">
        <v>9</v>
      </c>
      <c r="B10" s="289" t="s">
        <v>4054</v>
      </c>
      <c r="C10" s="289" t="s">
        <v>69</v>
      </c>
      <c r="D10" s="289">
        <v>15000</v>
      </c>
      <c r="E10" s="176">
        <f>INDEX(Caracteristicas_agronomicas!J:J,MATCH(B10,Caracteristicas_agronomicas!C:C,0))</f>
        <v>236</v>
      </c>
      <c r="F10" s="290">
        <f t="shared" si="0"/>
        <v>6.5254237288135597</v>
      </c>
      <c r="G10" s="290">
        <f>VLOOKUP(Tabla1715[[#This Row],[Cultivo]],Tabla16[#All],9,FALSE)</f>
        <v>0.75</v>
      </c>
      <c r="H10" s="82">
        <f>IFERROR(D10*Formulario!$B$24,"")</f>
        <v>14250</v>
      </c>
      <c r="I10" s="152"/>
      <c r="J10" s="152"/>
      <c r="K10" s="152" t="s">
        <v>3821</v>
      </c>
      <c r="L10" s="152"/>
      <c r="M10" s="13"/>
      <c r="N10" s="13"/>
      <c r="O10" s="13"/>
      <c r="P10" s="13"/>
    </row>
    <row r="11" spans="1:16">
      <c r="A11" s="291">
        <v>10</v>
      </c>
      <c r="B11" s="120" t="s">
        <v>4054</v>
      </c>
      <c r="C11" s="120" t="s">
        <v>69</v>
      </c>
      <c r="D11" s="120">
        <v>15000</v>
      </c>
      <c r="E11" s="176">
        <f>INDEX(Caracteristicas_agronomicas!J:J,MATCH(B11,Caracteristicas_agronomicas!C:C,0))</f>
        <v>236</v>
      </c>
      <c r="F11" s="290">
        <f t="shared" si="0"/>
        <v>6.5254237288135597</v>
      </c>
      <c r="G11" s="290">
        <f>VLOOKUP(Tabla1715[[#This Row],[Cultivo]],Tabla16[#All],9,FALSE)</f>
        <v>0.75</v>
      </c>
      <c r="H11" s="82">
        <f>IFERROR(D11*Formulario!$B$24,"")</f>
        <v>14250</v>
      </c>
      <c r="I11" s="152"/>
      <c r="J11" s="152"/>
      <c r="K11" s="152"/>
      <c r="L11" s="152"/>
      <c r="M11" s="13"/>
      <c r="N11" s="13"/>
      <c r="O11" s="13"/>
      <c r="P11" s="13"/>
    </row>
    <row r="12" spans="1:16">
      <c r="A12" s="288">
        <v>11</v>
      </c>
      <c r="B12" s="289" t="s">
        <v>4054</v>
      </c>
      <c r="C12" s="289" t="s">
        <v>69</v>
      </c>
      <c r="D12" s="289">
        <v>15000</v>
      </c>
      <c r="E12" s="176">
        <f>INDEX(Caracteristicas_agronomicas!J:J,MATCH(B12,Caracteristicas_agronomicas!C:C,0))</f>
        <v>236</v>
      </c>
      <c r="F12" s="290">
        <f t="shared" si="0"/>
        <v>6.5254237288135597</v>
      </c>
      <c r="G12" s="290">
        <f>VLOOKUP(Tabla1715[[#This Row],[Cultivo]],Tabla16[#All],9,FALSE)</f>
        <v>0.75</v>
      </c>
      <c r="H12" s="82">
        <f>IFERROR(D12*Formulario!$B$24,"")</f>
        <v>14250</v>
      </c>
      <c r="I12" s="152"/>
      <c r="J12" s="152"/>
      <c r="K12" s="152"/>
      <c r="L12" s="152"/>
      <c r="M12" s="13"/>
      <c r="N12" s="13"/>
      <c r="O12" s="13"/>
      <c r="P12" s="13"/>
    </row>
    <row r="13" spans="1:16">
      <c r="A13" s="291">
        <v>12</v>
      </c>
      <c r="B13" s="120" t="s">
        <v>4054</v>
      </c>
      <c r="C13" s="120" t="s">
        <v>69</v>
      </c>
      <c r="D13" s="120">
        <v>15000</v>
      </c>
      <c r="E13" s="176">
        <f>INDEX(Caracteristicas_agronomicas!J:J,MATCH(B13,Caracteristicas_agronomicas!C:C,0))</f>
        <v>236</v>
      </c>
      <c r="F13" s="290">
        <f t="shared" si="0"/>
        <v>6.5254237288135597</v>
      </c>
      <c r="G13" s="290">
        <f>VLOOKUP(Tabla1715[[#This Row],[Cultivo]],Tabla16[#All],9,FALSE)</f>
        <v>0.75</v>
      </c>
      <c r="H13" s="82">
        <f>IFERROR(D13*Formulario!$B$24,"")</f>
        <v>14250</v>
      </c>
      <c r="I13" s="152"/>
      <c r="J13" s="152"/>
      <c r="K13" s="152"/>
      <c r="L13" s="152"/>
      <c r="M13" s="13"/>
      <c r="N13" s="13"/>
      <c r="O13" s="13"/>
      <c r="P13" s="13"/>
    </row>
    <row r="14" spans="1:16">
      <c r="A14" s="288">
        <v>13</v>
      </c>
      <c r="B14" s="289" t="s">
        <v>4054</v>
      </c>
      <c r="C14" s="289" t="s">
        <v>69</v>
      </c>
      <c r="D14" s="289">
        <v>15000</v>
      </c>
      <c r="E14" s="176">
        <f>INDEX(Caracteristicas_agronomicas!J:J,MATCH(B14,Caracteristicas_agronomicas!C:C,0))</f>
        <v>236</v>
      </c>
      <c r="F14" s="290">
        <f t="shared" si="0"/>
        <v>6.5254237288135597</v>
      </c>
      <c r="G14" s="290">
        <f>VLOOKUP(Tabla1715[[#This Row],[Cultivo]],Tabla16[#All],9,FALSE)</f>
        <v>0.75</v>
      </c>
      <c r="H14" s="82">
        <f>IFERROR(D14*Formulario!$B$24,"")</f>
        <v>14250</v>
      </c>
      <c r="I14" s="152"/>
      <c r="J14" s="152"/>
      <c r="K14" s="152"/>
      <c r="L14" s="152"/>
      <c r="M14" s="13"/>
      <c r="N14" s="13"/>
      <c r="O14" s="13"/>
      <c r="P14" s="13"/>
    </row>
    <row r="15" spans="1:16">
      <c r="A15" s="291">
        <v>14</v>
      </c>
      <c r="B15" s="120" t="s">
        <v>4054</v>
      </c>
      <c r="C15" s="120" t="s">
        <v>69</v>
      </c>
      <c r="D15" s="120">
        <v>15000</v>
      </c>
      <c r="E15" s="176">
        <f>INDEX(Caracteristicas_agronomicas!J:J,MATCH(B15,Caracteristicas_agronomicas!C:C,0))</f>
        <v>236</v>
      </c>
      <c r="F15" s="290">
        <f t="shared" si="0"/>
        <v>6.5254237288135597</v>
      </c>
      <c r="G15" s="290">
        <f>VLOOKUP(Tabla1715[[#This Row],[Cultivo]],Tabla16[#All],9,FALSE)</f>
        <v>0.75</v>
      </c>
      <c r="H15" s="82">
        <f>IFERROR(D15*Formulario!$B$24,"")</f>
        <v>14250</v>
      </c>
      <c r="I15" s="152"/>
      <c r="J15" s="152"/>
      <c r="K15" s="152"/>
      <c r="L15" s="152"/>
      <c r="M15" s="13"/>
      <c r="N15" s="13"/>
      <c r="O15" s="13"/>
      <c r="P15" s="13"/>
    </row>
    <row r="16" spans="1:16">
      <c r="A16" s="288">
        <v>15</v>
      </c>
      <c r="B16" s="289" t="s">
        <v>4054</v>
      </c>
      <c r="C16" s="289" t="s">
        <v>69</v>
      </c>
      <c r="D16" s="289">
        <v>12000</v>
      </c>
      <c r="E16" s="176">
        <f>INDEX(Caracteristicas_agronomicas!J:J,MATCH(B16,Caracteristicas_agronomicas!C:C,0))</f>
        <v>236</v>
      </c>
      <c r="F16" s="290">
        <f t="shared" si="0"/>
        <v>6.5254237288135597</v>
      </c>
      <c r="G16" s="290">
        <f>VLOOKUP(Tabla1715[[#This Row],[Cultivo]],Tabla16[#All],9,FALSE)</f>
        <v>0.75</v>
      </c>
      <c r="H16" s="82">
        <f>IFERROR(D16*Formulario!$B$24,"")</f>
        <v>11400</v>
      </c>
      <c r="I16" s="152"/>
      <c r="J16" s="152"/>
      <c r="K16" s="152"/>
      <c r="L16" s="152"/>
      <c r="M16" s="13"/>
      <c r="N16" s="13"/>
      <c r="O16" s="13"/>
      <c r="P16" s="13"/>
    </row>
    <row r="17" spans="1:12">
      <c r="A17" s="291">
        <v>16</v>
      </c>
      <c r="B17" s="120" t="s">
        <v>4054</v>
      </c>
      <c r="C17" s="120" t="s">
        <v>69</v>
      </c>
      <c r="D17" s="120">
        <v>12000</v>
      </c>
      <c r="E17" s="176">
        <f>INDEX(Caracteristicas_agronomicas!J:J,MATCH(B17,Caracteristicas_agronomicas!C:C,0))</f>
        <v>236</v>
      </c>
      <c r="F17" s="290">
        <f t="shared" si="0"/>
        <v>6.5254237288135597</v>
      </c>
      <c r="G17" s="290">
        <f>VLOOKUP(Tabla1715[[#This Row],[Cultivo]],Tabla16[#All],9,FALSE)</f>
        <v>0.75</v>
      </c>
      <c r="H17" s="82">
        <f>IFERROR(D17*Formulario!$B$24,"")</f>
        <v>11400</v>
      </c>
      <c r="I17" s="88"/>
      <c r="J17" s="88"/>
      <c r="K17" s="88"/>
      <c r="L17" s="88"/>
    </row>
    <row r="18" spans="1:12">
      <c r="A18" s="288">
        <v>17</v>
      </c>
      <c r="B18" s="289" t="s">
        <v>4054</v>
      </c>
      <c r="C18" s="289" t="s">
        <v>69</v>
      </c>
      <c r="D18" s="289">
        <v>12000</v>
      </c>
      <c r="E18" s="176">
        <f>INDEX(Caracteristicas_agronomicas!J:J,MATCH(B18,Caracteristicas_agronomicas!C:C,0))</f>
        <v>236</v>
      </c>
      <c r="F18" s="290">
        <f t="shared" si="0"/>
        <v>6.5254237288135597</v>
      </c>
      <c r="G18" s="290">
        <f>VLOOKUP(Tabla1715[[#This Row],[Cultivo]],Tabla16[#All],9,FALSE)</f>
        <v>0.75</v>
      </c>
      <c r="H18" s="82">
        <f>IFERROR(D18*Formulario!$B$24,"")</f>
        <v>11400</v>
      </c>
      <c r="I18" s="88"/>
      <c r="J18" s="88"/>
      <c r="K18" s="88"/>
      <c r="L18" s="88"/>
    </row>
    <row r="19" spans="1:12">
      <c r="A19" s="291">
        <v>18</v>
      </c>
      <c r="B19" s="120" t="s">
        <v>4054</v>
      </c>
      <c r="C19" s="120" t="s">
        <v>69</v>
      </c>
      <c r="D19" s="120">
        <v>12000</v>
      </c>
      <c r="E19" s="176">
        <f>INDEX(Caracteristicas_agronomicas!J:J,MATCH(B19,Caracteristicas_agronomicas!C:C,0))</f>
        <v>236</v>
      </c>
      <c r="F19" s="290">
        <f t="shared" si="0"/>
        <v>6.5254237288135597</v>
      </c>
      <c r="G19" s="290">
        <f>VLOOKUP(Tabla1715[[#This Row],[Cultivo]],Tabla16[#All],9,FALSE)</f>
        <v>0.75</v>
      </c>
      <c r="H19" s="82">
        <f>IFERROR(D19*Formulario!$B$24,"")</f>
        <v>11400</v>
      </c>
      <c r="I19" s="88"/>
      <c r="J19" s="88"/>
      <c r="K19" s="88"/>
      <c r="L19" s="88"/>
    </row>
    <row r="20" spans="1:12">
      <c r="A20" s="288">
        <v>19</v>
      </c>
      <c r="B20" s="289" t="s">
        <v>4054</v>
      </c>
      <c r="C20" s="289" t="s">
        <v>69</v>
      </c>
      <c r="D20" s="289">
        <v>9600</v>
      </c>
      <c r="E20" s="176">
        <f>INDEX(Caracteristicas_agronomicas!J:J,MATCH(B20,Caracteristicas_agronomicas!C:C,0))</f>
        <v>236</v>
      </c>
      <c r="F20" s="290">
        <f t="shared" si="0"/>
        <v>6.5254237288135597</v>
      </c>
      <c r="G20" s="290">
        <f>VLOOKUP(Tabla1715[[#This Row],[Cultivo]],Tabla16[#All],9,FALSE)</f>
        <v>0.75</v>
      </c>
      <c r="H20" s="82">
        <f>IFERROR(D20*Formulario!$B$24,"")</f>
        <v>9120</v>
      </c>
      <c r="I20" s="88"/>
      <c r="J20" s="88"/>
      <c r="K20" s="88"/>
      <c r="L20" s="88"/>
    </row>
    <row r="21" spans="1:12">
      <c r="A21" s="291">
        <v>20</v>
      </c>
      <c r="B21" s="120" t="s">
        <v>4054</v>
      </c>
      <c r="C21" s="120" t="s">
        <v>69</v>
      </c>
      <c r="D21" s="120">
        <v>7200</v>
      </c>
      <c r="E21" s="176">
        <f>INDEX(Caracteristicas_agronomicas!J:J,MATCH(B21,Caracteristicas_agronomicas!C:C,0))</f>
        <v>236</v>
      </c>
      <c r="F21" s="290">
        <f t="shared" si="0"/>
        <v>6.5254237288135597</v>
      </c>
      <c r="G21" s="290">
        <f>VLOOKUP(Tabla1715[[#This Row],[Cultivo]],Tabla16[#All],9,FALSE)</f>
        <v>0.75</v>
      </c>
      <c r="H21" s="82">
        <f>IFERROR(D21*Formulario!$B$24,"")</f>
        <v>6840</v>
      </c>
      <c r="I21" s="88"/>
      <c r="J21" s="88"/>
      <c r="K21" s="88"/>
      <c r="L21" s="88"/>
    </row>
    <row r="22" spans="1:12">
      <c r="A22" s="288">
        <v>1</v>
      </c>
      <c r="B22" s="289" t="s">
        <v>3768</v>
      </c>
      <c r="C22" s="289" t="s">
        <v>53</v>
      </c>
      <c r="D22" s="295">
        <v>0</v>
      </c>
      <c r="E22" s="176">
        <f>INDEX(Caracteristicas_agronomicas!J:J,MATCH(B22,Caracteristicas_agronomicas!C:C,0))</f>
        <v>952</v>
      </c>
      <c r="F22" s="290">
        <f t="shared" si="0"/>
        <v>1.6176470588235294</v>
      </c>
      <c r="G22" s="290" t="str">
        <f>VLOOKUP(Tabla1715[[#This Row],[Cultivo]],Tabla16[#All],9,FALSE)</f>
        <v/>
      </c>
      <c r="H22" s="82">
        <f>IFERROR(D22*Formulario!$B$24,"")</f>
        <v>0</v>
      </c>
      <c r="I22" s="88"/>
      <c r="J22" s="88"/>
      <c r="K22" s="88"/>
      <c r="L22" s="88"/>
    </row>
    <row r="23" spans="1:12">
      <c r="A23" s="291">
        <v>2</v>
      </c>
      <c r="B23" s="120" t="s">
        <v>3768</v>
      </c>
      <c r="C23" s="120" t="s">
        <v>68</v>
      </c>
      <c r="D23" s="274">
        <v>0</v>
      </c>
      <c r="E23" s="176">
        <f>INDEX(Caracteristicas_agronomicas!J:J,MATCH(B23,Caracteristicas_agronomicas!C:C,0))</f>
        <v>952</v>
      </c>
      <c r="F23" s="290">
        <f t="shared" si="0"/>
        <v>1.6176470588235294</v>
      </c>
      <c r="G23" s="290" t="str">
        <f>VLOOKUP(Tabla1715[[#This Row],[Cultivo]],Tabla16[#All],9,FALSE)</f>
        <v/>
      </c>
      <c r="H23" s="82">
        <f>IFERROR(D23*Formulario!$B$24,"")</f>
        <v>0</v>
      </c>
      <c r="I23" s="88"/>
      <c r="J23" s="88"/>
      <c r="K23" s="88"/>
      <c r="L23" s="88"/>
    </row>
    <row r="24" spans="1:12">
      <c r="A24" s="288">
        <v>3</v>
      </c>
      <c r="B24" s="289" t="s">
        <v>3768</v>
      </c>
      <c r="C24" s="289" t="s">
        <v>69</v>
      </c>
      <c r="D24" s="296">
        <v>250</v>
      </c>
      <c r="E24" s="176">
        <f>INDEX(Caracteristicas_agronomicas!J:J,MATCH(B24,Caracteristicas_agronomicas!C:C,0))</f>
        <v>952</v>
      </c>
      <c r="F24" s="290">
        <f t="shared" si="0"/>
        <v>1.6176470588235294</v>
      </c>
      <c r="G24" s="290" t="str">
        <f>VLOOKUP(Tabla1715[[#This Row],[Cultivo]],Tabla16[#All],9,FALSE)</f>
        <v/>
      </c>
      <c r="H24" s="82">
        <f>IFERROR(D24*Formulario!$B$24,"")</f>
        <v>237.5</v>
      </c>
      <c r="I24" s="88"/>
      <c r="J24" s="88"/>
      <c r="K24" s="88"/>
      <c r="L24" s="88"/>
    </row>
    <row r="25" spans="1:12">
      <c r="A25" s="291">
        <v>4</v>
      </c>
      <c r="B25" s="120" t="s">
        <v>3768</v>
      </c>
      <c r="C25" s="120" t="s">
        <v>69</v>
      </c>
      <c r="D25" s="297">
        <v>480</v>
      </c>
      <c r="E25" s="176">
        <f>INDEX(Caracteristicas_agronomicas!J:J,MATCH(B25,Caracteristicas_agronomicas!C:C,0))</f>
        <v>952</v>
      </c>
      <c r="F25" s="290">
        <f t="shared" si="0"/>
        <v>1.6176470588235294</v>
      </c>
      <c r="G25" s="290" t="str">
        <f>VLOOKUP(Tabla1715[[#This Row],[Cultivo]],Tabla16[#All],9,FALSE)</f>
        <v/>
      </c>
      <c r="H25" s="82">
        <f>IFERROR(D25*Formulario!$B$24,"")</f>
        <v>456</v>
      </c>
      <c r="I25" s="88"/>
      <c r="J25" s="88"/>
      <c r="K25" s="88"/>
      <c r="L25" s="88"/>
    </row>
    <row r="26" spans="1:12">
      <c r="A26" s="288">
        <v>5</v>
      </c>
      <c r="B26" s="289" t="s">
        <v>3768</v>
      </c>
      <c r="C26" s="289" t="s">
        <v>69</v>
      </c>
      <c r="D26" s="296">
        <v>618</v>
      </c>
      <c r="E26" s="176">
        <f>INDEX(Caracteristicas_agronomicas!J:J,MATCH(B26,Caracteristicas_agronomicas!C:C,0))</f>
        <v>952</v>
      </c>
      <c r="F26" s="290">
        <f t="shared" si="0"/>
        <v>1.6176470588235294</v>
      </c>
      <c r="G26" s="290" t="str">
        <f>VLOOKUP(Tabla1715[[#This Row],[Cultivo]],Tabla16[#All],9,FALSE)</f>
        <v/>
      </c>
      <c r="H26" s="82">
        <f>IFERROR(D26*Formulario!$B$24,"")</f>
        <v>587.1</v>
      </c>
      <c r="I26" s="88"/>
      <c r="J26" s="88"/>
      <c r="K26" s="88"/>
      <c r="L26" s="88"/>
    </row>
    <row r="27" spans="1:12">
      <c r="A27" s="291">
        <v>6</v>
      </c>
      <c r="B27" s="120" t="s">
        <v>3768</v>
      </c>
      <c r="C27" s="120" t="s">
        <v>69</v>
      </c>
      <c r="D27" s="297">
        <v>698</v>
      </c>
      <c r="E27" s="176">
        <f>INDEX(Caracteristicas_agronomicas!J:J,MATCH(B27,Caracteristicas_agronomicas!C:C,0))</f>
        <v>952</v>
      </c>
      <c r="F27" s="290">
        <f t="shared" si="0"/>
        <v>1.6176470588235294</v>
      </c>
      <c r="G27" s="290" t="str">
        <f>VLOOKUP(Tabla1715[[#This Row],[Cultivo]],Tabla16[#All],9,FALSE)</f>
        <v/>
      </c>
      <c r="H27" s="82">
        <f>IFERROR(D27*Formulario!$B$24,"")</f>
        <v>663.1</v>
      </c>
      <c r="I27" s="88"/>
      <c r="J27" s="88"/>
      <c r="K27" s="88"/>
      <c r="L27" s="88"/>
    </row>
    <row r="28" spans="1:12">
      <c r="A28" s="288">
        <v>7</v>
      </c>
      <c r="B28" s="289" t="s">
        <v>3768</v>
      </c>
      <c r="C28" s="289" t="s">
        <v>69</v>
      </c>
      <c r="D28" s="296">
        <v>790</v>
      </c>
      <c r="E28" s="176">
        <f>INDEX(Caracteristicas_agronomicas!J:J,MATCH(B28,Caracteristicas_agronomicas!C:C,0))</f>
        <v>952</v>
      </c>
      <c r="F28" s="290">
        <f t="shared" si="0"/>
        <v>1.6176470588235294</v>
      </c>
      <c r="G28" s="290" t="str">
        <f>VLOOKUP(Tabla1715[[#This Row],[Cultivo]],Tabla16[#All],9,FALSE)</f>
        <v/>
      </c>
      <c r="H28" s="82">
        <f>IFERROR(D28*Formulario!$B$24,"")</f>
        <v>750.5</v>
      </c>
      <c r="I28" s="88"/>
      <c r="J28" s="88"/>
      <c r="K28" s="88"/>
      <c r="L28" s="88"/>
    </row>
    <row r="29" spans="1:12">
      <c r="A29" s="291">
        <v>8</v>
      </c>
      <c r="B29" s="120" t="s">
        <v>3768</v>
      </c>
      <c r="C29" s="120" t="s">
        <v>69</v>
      </c>
      <c r="D29" s="297">
        <v>807</v>
      </c>
      <c r="E29" s="176">
        <f>INDEX(Caracteristicas_agronomicas!J:J,MATCH(B29,Caracteristicas_agronomicas!C:C,0))</f>
        <v>952</v>
      </c>
      <c r="F29" s="290">
        <f t="shared" si="0"/>
        <v>1.6176470588235294</v>
      </c>
      <c r="G29" s="290" t="str">
        <f>VLOOKUP(Tabla1715[[#This Row],[Cultivo]],Tabla16[#All],9,FALSE)</f>
        <v/>
      </c>
      <c r="H29" s="82">
        <f>IFERROR(D29*Formulario!$B$24,"")</f>
        <v>766.65</v>
      </c>
      <c r="I29" s="88"/>
      <c r="J29" s="88"/>
      <c r="K29" s="88"/>
      <c r="L29" s="88"/>
    </row>
    <row r="30" spans="1:12">
      <c r="A30" s="288">
        <v>9</v>
      </c>
      <c r="B30" s="289" t="s">
        <v>3768</v>
      </c>
      <c r="C30" s="289" t="s">
        <v>69</v>
      </c>
      <c r="D30" s="296">
        <v>807</v>
      </c>
      <c r="E30" s="176">
        <f>INDEX(Caracteristicas_agronomicas!J:J,MATCH(B30,Caracteristicas_agronomicas!C:C,0))</f>
        <v>952</v>
      </c>
      <c r="F30" s="290">
        <f t="shared" si="0"/>
        <v>1.6176470588235294</v>
      </c>
      <c r="G30" s="290" t="str">
        <f>VLOOKUP(Tabla1715[[#This Row],[Cultivo]],Tabla16[#All],9,FALSE)</f>
        <v/>
      </c>
      <c r="H30" s="82">
        <f>IFERROR(D30*Formulario!$B$24,"")</f>
        <v>766.65</v>
      </c>
      <c r="I30" s="88"/>
      <c r="J30" s="88"/>
      <c r="K30" s="88"/>
      <c r="L30" s="88"/>
    </row>
    <row r="31" spans="1:12">
      <c r="A31" s="291">
        <v>10</v>
      </c>
      <c r="B31" s="120" t="s">
        <v>3768</v>
      </c>
      <c r="C31" s="120" t="s">
        <v>69</v>
      </c>
      <c r="D31" s="297">
        <v>807</v>
      </c>
      <c r="E31" s="176">
        <f>INDEX(Caracteristicas_agronomicas!J:J,MATCH(B31,Caracteristicas_agronomicas!C:C,0))</f>
        <v>952</v>
      </c>
      <c r="F31" s="290">
        <f t="shared" si="0"/>
        <v>1.6176470588235294</v>
      </c>
      <c r="G31" s="290" t="str">
        <f>VLOOKUP(Tabla1715[[#This Row],[Cultivo]],Tabla16[#All],9,FALSE)</f>
        <v/>
      </c>
      <c r="H31" s="82">
        <f>IFERROR(D31*Formulario!$B$24,"")</f>
        <v>766.65</v>
      </c>
      <c r="I31" s="88"/>
      <c r="J31" s="88"/>
      <c r="K31" s="88"/>
      <c r="L31" s="88"/>
    </row>
    <row r="32" spans="1:12">
      <c r="A32" s="298">
        <v>11</v>
      </c>
      <c r="B32" s="289" t="s">
        <v>3768</v>
      </c>
      <c r="C32" s="289" t="s">
        <v>69</v>
      </c>
      <c r="D32" s="296">
        <v>807</v>
      </c>
      <c r="E32" s="176">
        <f>INDEX(Caracteristicas_agronomicas!J:J,MATCH(B32,Caracteristicas_agronomicas!C:C,0))</f>
        <v>952</v>
      </c>
      <c r="F32" s="290">
        <f t="shared" si="0"/>
        <v>1.6176470588235294</v>
      </c>
      <c r="G32" s="290" t="str">
        <f>VLOOKUP(Tabla1715[[#This Row],[Cultivo]],Tabla16[#All],9,FALSE)</f>
        <v/>
      </c>
      <c r="H32" s="82">
        <f>IFERROR(D32*Formulario!$B$24,"")</f>
        <v>766.65</v>
      </c>
      <c r="I32" s="88"/>
      <c r="J32" s="88"/>
      <c r="K32" s="88"/>
      <c r="L32" s="88"/>
    </row>
    <row r="33" spans="1:12">
      <c r="A33" s="299">
        <v>12</v>
      </c>
      <c r="B33" s="120" t="s">
        <v>3768</v>
      </c>
      <c r="C33" s="120" t="s">
        <v>69</v>
      </c>
      <c r="D33" s="297">
        <v>807</v>
      </c>
      <c r="E33" s="176">
        <f>INDEX(Caracteristicas_agronomicas!J:J,MATCH(B33,Caracteristicas_agronomicas!C:C,0))</f>
        <v>952</v>
      </c>
      <c r="F33" s="290">
        <f t="shared" si="0"/>
        <v>1.6176470588235294</v>
      </c>
      <c r="G33" s="290" t="str">
        <f>VLOOKUP(Tabla1715[[#This Row],[Cultivo]],Tabla16[#All],9,FALSE)</f>
        <v/>
      </c>
      <c r="H33" s="82">
        <f>IFERROR(D33*Formulario!$B$24,"")</f>
        <v>766.65</v>
      </c>
      <c r="I33" s="88"/>
      <c r="J33" s="88"/>
      <c r="K33" s="88"/>
      <c r="L33" s="88"/>
    </row>
    <row r="34" spans="1:12">
      <c r="A34" s="298">
        <v>13</v>
      </c>
      <c r="B34" s="289" t="s">
        <v>3768</v>
      </c>
      <c r="C34" s="289" t="s">
        <v>69</v>
      </c>
      <c r="D34" s="296">
        <v>807</v>
      </c>
      <c r="E34" s="176">
        <f>INDEX(Caracteristicas_agronomicas!J:J,MATCH(B34,Caracteristicas_agronomicas!C:C,0))</f>
        <v>952</v>
      </c>
      <c r="F34" s="290">
        <f t="shared" si="0"/>
        <v>1.6176470588235294</v>
      </c>
      <c r="G34" s="290" t="str">
        <f>VLOOKUP(Tabla1715[[#This Row],[Cultivo]],Tabla16[#All],9,FALSE)</f>
        <v/>
      </c>
      <c r="H34" s="82">
        <f>IFERROR(D34*Formulario!$B$24,"")</f>
        <v>766.65</v>
      </c>
      <c r="I34" s="88"/>
      <c r="J34" s="88"/>
      <c r="K34" s="88"/>
      <c r="L34" s="88"/>
    </row>
    <row r="35" spans="1:12">
      <c r="A35" s="299">
        <v>14</v>
      </c>
      <c r="B35" s="120" t="s">
        <v>3768</v>
      </c>
      <c r="C35" s="120" t="s">
        <v>69</v>
      </c>
      <c r="D35" s="297">
        <v>807</v>
      </c>
      <c r="E35" s="176">
        <f>INDEX(Caracteristicas_agronomicas!J:J,MATCH(B35,Caracteristicas_agronomicas!C:C,0))</f>
        <v>952</v>
      </c>
      <c r="F35" s="290">
        <f t="shared" si="0"/>
        <v>1.6176470588235294</v>
      </c>
      <c r="G35" s="290" t="str">
        <f>VLOOKUP(Tabla1715[[#This Row],[Cultivo]],Tabla16[#All],9,FALSE)</f>
        <v/>
      </c>
      <c r="H35" s="82">
        <f>IFERROR(D35*Formulario!$B$24,"")</f>
        <v>766.65</v>
      </c>
      <c r="I35" s="88"/>
      <c r="J35" s="88"/>
      <c r="K35" s="88"/>
      <c r="L35" s="88"/>
    </row>
    <row r="36" spans="1:12">
      <c r="A36" s="298">
        <v>15</v>
      </c>
      <c r="B36" s="289" t="s">
        <v>3768</v>
      </c>
      <c r="C36" s="289" t="s">
        <v>69</v>
      </c>
      <c r="D36" s="296">
        <v>807</v>
      </c>
      <c r="E36" s="176">
        <f>INDEX(Caracteristicas_agronomicas!J:J,MATCH(B36,Caracteristicas_agronomicas!C:C,0))</f>
        <v>952</v>
      </c>
      <c r="F36" s="290">
        <f t="shared" si="0"/>
        <v>1.6176470588235294</v>
      </c>
      <c r="G36" s="290" t="str">
        <f>VLOOKUP(Tabla1715[[#This Row],[Cultivo]],Tabla16[#All],9,FALSE)</f>
        <v/>
      </c>
      <c r="H36" s="82">
        <f>IFERROR(D36*Formulario!$B$24,"")</f>
        <v>766.65</v>
      </c>
      <c r="I36" s="88"/>
      <c r="J36" s="88"/>
      <c r="K36" s="88"/>
      <c r="L36" s="88"/>
    </row>
    <row r="37" spans="1:12">
      <c r="A37" s="299">
        <v>16</v>
      </c>
      <c r="B37" s="120" t="s">
        <v>3768</v>
      </c>
      <c r="C37" s="120" t="s">
        <v>69</v>
      </c>
      <c r="D37" s="297">
        <v>807</v>
      </c>
      <c r="E37" s="176">
        <f>INDEX(Caracteristicas_agronomicas!J:J,MATCH(B37,Caracteristicas_agronomicas!C:C,0))</f>
        <v>952</v>
      </c>
      <c r="F37" s="290">
        <f t="shared" si="0"/>
        <v>1.6176470588235294</v>
      </c>
      <c r="G37" s="290" t="str">
        <f>VLOOKUP(Tabla1715[[#This Row],[Cultivo]],Tabla16[#All],9,FALSE)</f>
        <v/>
      </c>
      <c r="H37" s="82">
        <f>IFERROR(D37*Formulario!$B$24,"")</f>
        <v>766.65</v>
      </c>
      <c r="I37" s="88"/>
      <c r="J37" s="88"/>
      <c r="K37" s="88"/>
      <c r="L37" s="88"/>
    </row>
    <row r="38" spans="1:12">
      <c r="A38" s="298">
        <v>17</v>
      </c>
      <c r="B38" s="289" t="s">
        <v>3768</v>
      </c>
      <c r="C38" s="289" t="s">
        <v>69</v>
      </c>
      <c r="D38" s="296">
        <v>807</v>
      </c>
      <c r="E38" s="176">
        <f>INDEX(Caracteristicas_agronomicas!J:J,MATCH(B38,Caracteristicas_agronomicas!C:C,0))</f>
        <v>952</v>
      </c>
      <c r="F38" s="290">
        <f t="shared" si="0"/>
        <v>1.6176470588235294</v>
      </c>
      <c r="G38" s="290" t="str">
        <f>VLOOKUP(Tabla1715[[#This Row],[Cultivo]],Tabla16[#All],9,FALSE)</f>
        <v/>
      </c>
      <c r="H38" s="82">
        <f>IFERROR(D38*Formulario!$B$24,"")</f>
        <v>766.65</v>
      </c>
      <c r="I38" s="88"/>
      <c r="J38" s="88"/>
      <c r="K38" s="88"/>
      <c r="L38" s="88"/>
    </row>
    <row r="39" spans="1:12">
      <c r="A39" s="299">
        <v>18</v>
      </c>
      <c r="B39" s="120" t="s">
        <v>3768</v>
      </c>
      <c r="C39" s="120" t="s">
        <v>69</v>
      </c>
      <c r="D39" s="297">
        <v>807</v>
      </c>
      <c r="E39" s="176">
        <f>INDEX(Caracteristicas_agronomicas!J:J,MATCH(B39,Caracteristicas_agronomicas!C:C,0))</f>
        <v>952</v>
      </c>
      <c r="F39" s="290">
        <f t="shared" si="0"/>
        <v>1.6176470588235294</v>
      </c>
      <c r="G39" s="290" t="str">
        <f>VLOOKUP(Tabla1715[[#This Row],[Cultivo]],Tabla16[#All],9,FALSE)</f>
        <v/>
      </c>
      <c r="H39" s="82">
        <f>IFERROR(D39*Formulario!$B$24,"")</f>
        <v>766.65</v>
      </c>
      <c r="I39" s="88"/>
      <c r="J39" s="88"/>
      <c r="K39" s="88"/>
      <c r="L39" s="88"/>
    </row>
    <row r="40" spans="1:12">
      <c r="A40" s="298">
        <v>19</v>
      </c>
      <c r="B40" s="289" t="s">
        <v>3768</v>
      </c>
      <c r="C40" s="289" t="s">
        <v>69</v>
      </c>
      <c r="D40" s="296">
        <v>807</v>
      </c>
      <c r="E40" s="176">
        <f>INDEX(Caracteristicas_agronomicas!J:J,MATCH(B40,Caracteristicas_agronomicas!C:C,0))</f>
        <v>952</v>
      </c>
      <c r="F40" s="290">
        <f t="shared" si="0"/>
        <v>1.6176470588235294</v>
      </c>
      <c r="G40" s="290" t="str">
        <f>VLOOKUP(Tabla1715[[#This Row],[Cultivo]],Tabla16[#All],9,FALSE)</f>
        <v/>
      </c>
      <c r="H40" s="82">
        <f>IFERROR(D40*Formulario!$B$24,"")</f>
        <v>766.65</v>
      </c>
      <c r="I40" s="88"/>
      <c r="J40" s="88"/>
      <c r="K40" s="88"/>
      <c r="L40" s="88"/>
    </row>
    <row r="41" spans="1:12">
      <c r="A41" s="299">
        <v>20</v>
      </c>
      <c r="B41" s="120" t="s">
        <v>3768</v>
      </c>
      <c r="C41" s="120" t="s">
        <v>69</v>
      </c>
      <c r="D41" s="297">
        <v>807</v>
      </c>
      <c r="E41" s="176">
        <f>INDEX(Caracteristicas_agronomicas!J:J,MATCH(B41,Caracteristicas_agronomicas!C:C,0))</f>
        <v>952</v>
      </c>
      <c r="F41" s="290">
        <f t="shared" si="0"/>
        <v>1.6176470588235294</v>
      </c>
      <c r="G41" s="290" t="str">
        <f>VLOOKUP(Tabla1715[[#This Row],[Cultivo]],Tabla16[#All],9,FALSE)</f>
        <v/>
      </c>
      <c r="H41" s="82">
        <f>IFERROR(D41*Formulario!$B$24,"")</f>
        <v>766.65</v>
      </c>
      <c r="I41" s="88"/>
      <c r="J41" s="88"/>
      <c r="K41" s="88"/>
      <c r="L41" s="88"/>
    </row>
    <row r="42" spans="1:12">
      <c r="A42" s="298">
        <v>1</v>
      </c>
      <c r="B42" s="289" t="s">
        <v>3769</v>
      </c>
      <c r="C42" s="289" t="s">
        <v>53</v>
      </c>
      <c r="D42" s="296">
        <v>0</v>
      </c>
      <c r="E42" s="176">
        <f>INDEX(Caracteristicas_agronomicas!J:J,MATCH(B42,Caracteristicas_agronomicas!C:C,0))</f>
        <v>5000</v>
      </c>
      <c r="F42" s="290">
        <f t="shared" si="0"/>
        <v>0.308</v>
      </c>
      <c r="G42" s="290" t="str">
        <f>VLOOKUP(Tabla1715[[#This Row],[Cultivo]],Tabla16[#All],9,FALSE)</f>
        <v/>
      </c>
      <c r="H42" s="82">
        <f>IFERROR(D42*Formulario!$B$24,"")</f>
        <v>0</v>
      </c>
      <c r="I42" s="88"/>
      <c r="J42" s="88"/>
      <c r="K42" s="88"/>
      <c r="L42" s="88"/>
    </row>
    <row r="43" spans="1:12">
      <c r="A43" s="299">
        <v>2</v>
      </c>
      <c r="B43" s="120" t="s">
        <v>3769</v>
      </c>
      <c r="C43" s="120" t="s">
        <v>69</v>
      </c>
      <c r="D43" s="297">
        <v>1105</v>
      </c>
      <c r="E43" s="176">
        <f>INDEX(Caracteristicas_agronomicas!J:J,MATCH(B43,Caracteristicas_agronomicas!C:C,0))</f>
        <v>5000</v>
      </c>
      <c r="F43" s="290">
        <f t="shared" si="0"/>
        <v>0.308</v>
      </c>
      <c r="G43" s="290" t="str">
        <f>VLOOKUP(Tabla1715[[#This Row],[Cultivo]],Tabla16[#All],9,FALSE)</f>
        <v/>
      </c>
      <c r="H43" s="82">
        <f>IFERROR(D43*Formulario!$B$24,"")</f>
        <v>1049.75</v>
      </c>
      <c r="I43" s="88"/>
      <c r="J43" s="88"/>
      <c r="K43" s="88"/>
      <c r="L43" s="88"/>
    </row>
    <row r="44" spans="1:12">
      <c r="A44" s="298">
        <v>3</v>
      </c>
      <c r="B44" s="289" t="s">
        <v>3769</v>
      </c>
      <c r="C44" s="289" t="s">
        <v>69</v>
      </c>
      <c r="D44" s="296">
        <v>1867</v>
      </c>
      <c r="E44" s="176">
        <f>INDEX(Caracteristicas_agronomicas!J:J,MATCH(B44,Caracteristicas_agronomicas!C:C,0))</f>
        <v>5000</v>
      </c>
      <c r="F44" s="290">
        <f t="shared" si="0"/>
        <v>0.308</v>
      </c>
      <c r="G44" s="290" t="str">
        <f>VLOOKUP(Tabla1715[[#This Row],[Cultivo]],Tabla16[#All],9,FALSE)</f>
        <v/>
      </c>
      <c r="H44" s="82">
        <f>IFERROR(D44*Formulario!$B$24,"")</f>
        <v>1773.6499999999999</v>
      </c>
      <c r="I44" s="88"/>
      <c r="J44" s="88"/>
      <c r="K44" s="88"/>
      <c r="L44" s="88"/>
    </row>
    <row r="45" spans="1:12">
      <c r="A45" s="299">
        <v>4</v>
      </c>
      <c r="B45" s="120" t="s">
        <v>3769</v>
      </c>
      <c r="C45" s="120" t="s">
        <v>69</v>
      </c>
      <c r="D45" s="297">
        <v>2530.25</v>
      </c>
      <c r="E45" s="176">
        <f>INDEX(Caracteristicas_agronomicas!J:J,MATCH(B45,Caracteristicas_agronomicas!C:C,0))</f>
        <v>5000</v>
      </c>
      <c r="F45" s="290">
        <f t="shared" si="0"/>
        <v>0.308</v>
      </c>
      <c r="G45" s="290" t="str">
        <f>VLOOKUP(Tabla1715[[#This Row],[Cultivo]],Tabla16[#All],9,FALSE)</f>
        <v/>
      </c>
      <c r="H45" s="82">
        <f>IFERROR(D45*Formulario!$B$24,"")</f>
        <v>2403.7374999999997</v>
      </c>
      <c r="I45" s="88"/>
      <c r="J45" s="88"/>
      <c r="K45" s="88"/>
      <c r="L45" s="88"/>
    </row>
    <row r="46" spans="1:12">
      <c r="A46" s="298">
        <v>5</v>
      </c>
      <c r="B46" s="289" t="s">
        <v>3769</v>
      </c>
      <c r="C46" s="289" t="s">
        <v>69</v>
      </c>
      <c r="D46" s="296">
        <v>2592.75</v>
      </c>
      <c r="E46" s="176">
        <f>INDEX(Caracteristicas_agronomicas!J:J,MATCH(B46,Caracteristicas_agronomicas!C:C,0))</f>
        <v>5000</v>
      </c>
      <c r="F46" s="290">
        <f t="shared" si="0"/>
        <v>0.308</v>
      </c>
      <c r="G46" s="290" t="str">
        <f>VLOOKUP(Tabla1715[[#This Row],[Cultivo]],Tabla16[#All],9,FALSE)</f>
        <v/>
      </c>
      <c r="H46" s="82">
        <f>IFERROR(D46*Formulario!$B$24,"")</f>
        <v>2463.1124999999997</v>
      </c>
      <c r="I46" s="88"/>
      <c r="J46" s="88"/>
      <c r="K46" s="88"/>
      <c r="L46" s="88"/>
    </row>
    <row r="47" spans="1:12">
      <c r="A47" s="299">
        <v>6</v>
      </c>
      <c r="B47" s="120" t="s">
        <v>3769</v>
      </c>
      <c r="C47" s="120" t="s">
        <v>69</v>
      </c>
      <c r="D47" s="297">
        <v>2084</v>
      </c>
      <c r="E47" s="176">
        <f>INDEX(Caracteristicas_agronomicas!J:J,MATCH(B47,Caracteristicas_agronomicas!C:C,0))</f>
        <v>5000</v>
      </c>
      <c r="F47" s="290">
        <f t="shared" si="0"/>
        <v>0.308</v>
      </c>
      <c r="G47" s="290" t="str">
        <f>VLOOKUP(Tabla1715[[#This Row],[Cultivo]],Tabla16[#All],9,FALSE)</f>
        <v/>
      </c>
      <c r="H47" s="82">
        <f>IFERROR(D47*Formulario!$B$24,"")</f>
        <v>1979.8</v>
      </c>
      <c r="I47" s="88"/>
      <c r="J47" s="88"/>
      <c r="K47" s="88"/>
      <c r="L47" s="88"/>
    </row>
    <row r="48" spans="1:12">
      <c r="A48" s="298">
        <v>7</v>
      </c>
      <c r="B48" s="289" t="s">
        <v>3769</v>
      </c>
      <c r="C48" s="289" t="s">
        <v>69</v>
      </c>
      <c r="D48" s="296">
        <v>1483.25</v>
      </c>
      <c r="E48" s="176">
        <f>INDEX(Caracteristicas_agronomicas!J:J,MATCH(B48,Caracteristicas_agronomicas!C:C,0))</f>
        <v>5000</v>
      </c>
      <c r="F48" s="290">
        <f t="shared" si="0"/>
        <v>0.308</v>
      </c>
      <c r="G48" s="290" t="str">
        <f>VLOOKUP(Tabla1715[[#This Row],[Cultivo]],Tabla16[#All],9,FALSE)</f>
        <v/>
      </c>
      <c r="H48" s="82">
        <f>IFERROR(D48*Formulario!$B$24,"")</f>
        <v>1409.0874999999999</v>
      </c>
      <c r="I48" s="88"/>
      <c r="J48" s="88"/>
      <c r="K48" s="88"/>
      <c r="L48" s="88"/>
    </row>
    <row r="49" spans="1:12">
      <c r="A49" s="299">
        <v>1</v>
      </c>
      <c r="B49" s="120" t="s">
        <v>4057</v>
      </c>
      <c r="C49" s="120" t="s">
        <v>53</v>
      </c>
      <c r="D49" s="120">
        <v>0</v>
      </c>
      <c r="E49" s="176">
        <f>INDEX(Caracteristicas_agronomicas!J:J,MATCH(B49,Caracteristicas_agronomicas!C:C,0))</f>
        <v>66667</v>
      </c>
      <c r="F49" s="290">
        <f t="shared" si="0"/>
        <v>2.3099884500577497E-2</v>
      </c>
      <c r="G49" s="290">
        <f>VLOOKUP(Tabla1715[[#This Row],[Cultivo]],Tabla16[#All],9,FALSE)</f>
        <v>0.8</v>
      </c>
      <c r="H49" s="82">
        <f>IFERROR(D49*Formulario!$B$24,"")</f>
        <v>0</v>
      </c>
      <c r="I49" s="88"/>
      <c r="J49" s="88"/>
      <c r="K49" s="88"/>
      <c r="L49" s="88"/>
    </row>
    <row r="50" spans="1:12">
      <c r="A50" s="298">
        <v>2</v>
      </c>
      <c r="B50" s="289" t="s">
        <v>4057</v>
      </c>
      <c r="C50" s="289" t="s">
        <v>69</v>
      </c>
      <c r="D50" s="289">
        <v>59500</v>
      </c>
      <c r="E50" s="176">
        <f>INDEX(Caracteristicas_agronomicas!J:J,MATCH(B50,Caracteristicas_agronomicas!C:C,0))</f>
        <v>66667</v>
      </c>
      <c r="F50" s="290">
        <f t="shared" si="0"/>
        <v>2.3099884500577497E-2</v>
      </c>
      <c r="G50" s="290">
        <f>VLOOKUP(Tabla1715[[#This Row],[Cultivo]],Tabla16[#All],9,FALSE)</f>
        <v>0.8</v>
      </c>
      <c r="H50" s="82">
        <f>IFERROR(D50*Formulario!$B$24,"")</f>
        <v>56525</v>
      </c>
      <c r="I50" s="88"/>
      <c r="J50" s="88"/>
      <c r="K50" s="88"/>
      <c r="L50" s="88"/>
    </row>
    <row r="51" spans="1:12">
      <c r="A51" s="299">
        <v>3</v>
      </c>
      <c r="B51" s="120" t="s">
        <v>4057</v>
      </c>
      <c r="C51" s="120" t="s">
        <v>69</v>
      </c>
      <c r="D51" s="120">
        <v>68600</v>
      </c>
      <c r="E51" s="176">
        <f>INDEX(Caracteristicas_agronomicas!J:J,MATCH(B51,Caracteristicas_agronomicas!C:C,0))</f>
        <v>66667</v>
      </c>
      <c r="F51" s="290">
        <f t="shared" si="0"/>
        <v>2.3099884500577497E-2</v>
      </c>
      <c r="G51" s="290">
        <f>VLOOKUP(Tabla1715[[#This Row],[Cultivo]],Tabla16[#All],9,FALSE)</f>
        <v>0.8</v>
      </c>
      <c r="H51" s="82">
        <f>IFERROR(D51*Formulario!$B$24,"")</f>
        <v>65170</v>
      </c>
      <c r="I51" s="88"/>
      <c r="J51" s="88"/>
      <c r="K51" s="88"/>
      <c r="L51" s="88"/>
    </row>
    <row r="52" spans="1:12">
      <c r="A52" s="298">
        <v>4</v>
      </c>
      <c r="B52" s="289" t="s">
        <v>4057</v>
      </c>
      <c r="C52" s="289" t="s">
        <v>69</v>
      </c>
      <c r="D52" s="289">
        <v>66500</v>
      </c>
      <c r="E52" s="176">
        <f>INDEX(Caracteristicas_agronomicas!J:J,MATCH(B52,Caracteristicas_agronomicas!C:C,0))</f>
        <v>66667</v>
      </c>
      <c r="F52" s="290">
        <f t="shared" si="0"/>
        <v>2.3099884500577497E-2</v>
      </c>
      <c r="G52" s="290">
        <f>VLOOKUP(Tabla1715[[#This Row],[Cultivo]],Tabla16[#All],9,FALSE)</f>
        <v>0.8</v>
      </c>
      <c r="H52" s="82">
        <f>IFERROR(D52*Formulario!$B$24,"")</f>
        <v>63175</v>
      </c>
      <c r="I52" s="88"/>
      <c r="J52" s="88"/>
      <c r="K52" s="88"/>
      <c r="L52" s="88"/>
    </row>
    <row r="53" spans="1:12">
      <c r="A53" s="299">
        <v>5</v>
      </c>
      <c r="B53" s="120" t="s">
        <v>4057</v>
      </c>
      <c r="C53" s="120" t="s">
        <v>69</v>
      </c>
      <c r="D53" s="120">
        <v>63000</v>
      </c>
      <c r="E53" s="176">
        <f>INDEX(Caracteristicas_agronomicas!J:J,MATCH(B53,Caracteristicas_agronomicas!C:C,0))</f>
        <v>66667</v>
      </c>
      <c r="F53" s="290">
        <f t="shared" si="0"/>
        <v>2.3099884500577497E-2</v>
      </c>
      <c r="G53" s="290">
        <f>VLOOKUP(Tabla1715[[#This Row],[Cultivo]],Tabla16[#All],9,FALSE)</f>
        <v>0.8</v>
      </c>
      <c r="H53" s="82">
        <f>IFERROR(D53*Formulario!$B$24,"")</f>
        <v>59850</v>
      </c>
      <c r="I53" s="88"/>
      <c r="J53" s="88"/>
      <c r="K53" s="88"/>
      <c r="L53" s="88"/>
    </row>
    <row r="54" spans="1:12">
      <c r="A54" s="298">
        <v>6</v>
      </c>
      <c r="B54" s="289" t="s">
        <v>4057</v>
      </c>
      <c r="C54" s="289" t="s">
        <v>69</v>
      </c>
      <c r="D54" s="289">
        <v>59500</v>
      </c>
      <c r="E54" s="176">
        <f>INDEX(Caracteristicas_agronomicas!J:J,MATCH(B54,Caracteristicas_agronomicas!C:C,0))</f>
        <v>66667</v>
      </c>
      <c r="F54" s="290">
        <f t="shared" si="0"/>
        <v>2.3099884500577497E-2</v>
      </c>
      <c r="G54" s="290">
        <f>VLOOKUP(Tabla1715[[#This Row],[Cultivo]],Tabla16[#All],9,FALSE)</f>
        <v>0.8</v>
      </c>
      <c r="H54" s="82">
        <f>IFERROR(D54*Formulario!$B$24,"")</f>
        <v>56525</v>
      </c>
      <c r="I54" s="88"/>
      <c r="J54" s="88"/>
      <c r="K54" s="88"/>
      <c r="L54" s="88"/>
    </row>
    <row r="55" spans="1:12">
      <c r="A55" s="299">
        <v>7</v>
      </c>
      <c r="B55" s="120" t="s">
        <v>4057</v>
      </c>
      <c r="C55" s="120" t="s">
        <v>69</v>
      </c>
      <c r="D55" s="120">
        <v>56000</v>
      </c>
      <c r="E55" s="176">
        <f>INDEX(Caracteristicas_agronomicas!J:J,MATCH(B55,Caracteristicas_agronomicas!C:C,0))</f>
        <v>66667</v>
      </c>
      <c r="F55" s="290">
        <f t="shared" si="0"/>
        <v>2.3099884500577497E-2</v>
      </c>
      <c r="G55" s="290">
        <f>VLOOKUP(Tabla1715[[#This Row],[Cultivo]],Tabla16[#All],9,FALSE)</f>
        <v>0.8</v>
      </c>
      <c r="H55" s="82">
        <f>IFERROR(D55*Formulario!$B$24,"")</f>
        <v>53200</v>
      </c>
      <c r="I55" s="88"/>
      <c r="J55" s="88"/>
      <c r="K55" s="88"/>
      <c r="L55" s="88"/>
    </row>
    <row r="56" spans="1:12">
      <c r="A56" s="298">
        <v>8</v>
      </c>
      <c r="B56" s="289" t="s">
        <v>4057</v>
      </c>
      <c r="C56" s="289" t="s">
        <v>69</v>
      </c>
      <c r="D56" s="289">
        <v>52500</v>
      </c>
      <c r="E56" s="176">
        <f>INDEX(Caracteristicas_agronomicas!J:J,MATCH(B56,Caracteristicas_agronomicas!C:C,0))</f>
        <v>66667</v>
      </c>
      <c r="F56" s="290">
        <f t="shared" si="0"/>
        <v>2.3099884500577497E-2</v>
      </c>
      <c r="G56" s="290">
        <f>VLOOKUP(Tabla1715[[#This Row],[Cultivo]],Tabla16[#All],9,FALSE)</f>
        <v>0.8</v>
      </c>
      <c r="H56" s="82">
        <f>IFERROR(D56*Formulario!$B$24,"")</f>
        <v>49875</v>
      </c>
      <c r="I56" s="88"/>
      <c r="J56" s="88"/>
      <c r="K56" s="88"/>
      <c r="L56" s="88"/>
    </row>
    <row r="57" spans="1:12">
      <c r="A57" s="299">
        <v>1</v>
      </c>
      <c r="B57" s="120" t="s">
        <v>4059</v>
      </c>
      <c r="C57" s="120" t="s">
        <v>53</v>
      </c>
      <c r="D57" s="120">
        <v>0</v>
      </c>
      <c r="E57" s="176">
        <f>INDEX(Caracteristicas_agronomicas!J:J,MATCH(B57,Caracteristicas_agronomicas!C:C,0))</f>
        <v>76923.076923076922</v>
      </c>
      <c r="F57" s="290">
        <f t="shared" si="0"/>
        <v>2.002E-2</v>
      </c>
      <c r="G57" s="290">
        <f>VLOOKUP(Tabla1715[[#This Row],[Cultivo]],Tabla16[#All],9,FALSE)</f>
        <v>0.70588235294117652</v>
      </c>
      <c r="H57" s="82">
        <f>IFERROR(D57*Formulario!$B$24,"")</f>
        <v>0</v>
      </c>
      <c r="I57" s="88"/>
      <c r="J57" s="88"/>
      <c r="K57" s="88"/>
      <c r="L57" s="88"/>
    </row>
    <row r="58" spans="1:12">
      <c r="A58" s="298">
        <v>2</v>
      </c>
      <c r="B58" s="120" t="s">
        <v>4059</v>
      </c>
      <c r="C58" s="289" t="s">
        <v>69</v>
      </c>
      <c r="D58" s="289">
        <v>136000</v>
      </c>
      <c r="E58" s="176">
        <f>INDEX(Caracteristicas_agronomicas!J:J,MATCH(B58,Caracteristicas_agronomicas!C:C,0))</f>
        <v>76923.076923076922</v>
      </c>
      <c r="F58" s="290">
        <f t="shared" si="0"/>
        <v>2.002E-2</v>
      </c>
      <c r="G58" s="290">
        <f>VLOOKUP(Tabla1715[[#This Row],[Cultivo]],Tabla16[#All],9,FALSE)</f>
        <v>0.70588235294117652</v>
      </c>
      <c r="H58" s="82">
        <f>IFERROR(D58*Formulario!$B$24,"")</f>
        <v>129200</v>
      </c>
      <c r="I58" s="88"/>
      <c r="J58" s="88"/>
      <c r="K58" s="88"/>
      <c r="L58" s="88"/>
    </row>
    <row r="59" spans="1:12">
      <c r="A59" s="299">
        <v>3</v>
      </c>
      <c r="B59" s="120" t="s">
        <v>4059</v>
      </c>
      <c r="C59" s="120" t="s">
        <v>69</v>
      </c>
      <c r="D59" s="120">
        <v>156800</v>
      </c>
      <c r="E59" s="176">
        <f>INDEX(Caracteristicas_agronomicas!J:J,MATCH(B59,Caracteristicas_agronomicas!C:C,0))</f>
        <v>76923.076923076922</v>
      </c>
      <c r="F59" s="290">
        <f t="shared" si="0"/>
        <v>2.002E-2</v>
      </c>
      <c r="G59" s="290">
        <f>VLOOKUP(Tabla1715[[#This Row],[Cultivo]],Tabla16[#All],9,FALSE)</f>
        <v>0.70588235294117652</v>
      </c>
      <c r="H59" s="82">
        <f>IFERROR(D59*Formulario!$B$24,"")</f>
        <v>148960</v>
      </c>
      <c r="I59" s="88"/>
      <c r="J59" s="88"/>
      <c r="K59" s="88"/>
      <c r="L59" s="88"/>
    </row>
    <row r="60" spans="1:12">
      <c r="A60" s="298">
        <v>4</v>
      </c>
      <c r="B60" s="120" t="s">
        <v>4059</v>
      </c>
      <c r="C60" s="289" t="s">
        <v>69</v>
      </c>
      <c r="D60" s="289">
        <v>152000</v>
      </c>
      <c r="E60" s="176">
        <f>INDEX(Caracteristicas_agronomicas!J:J,MATCH(B60,Caracteristicas_agronomicas!C:C,0))</f>
        <v>76923.076923076922</v>
      </c>
      <c r="F60" s="290">
        <f t="shared" si="0"/>
        <v>2.002E-2</v>
      </c>
      <c r="G60" s="290">
        <f>VLOOKUP(Tabla1715[[#This Row],[Cultivo]],Tabla16[#All],9,FALSE)</f>
        <v>0.70588235294117652</v>
      </c>
      <c r="H60" s="82">
        <f>IFERROR(D60*Formulario!$B$24,"")</f>
        <v>144400</v>
      </c>
      <c r="I60" s="88"/>
      <c r="J60" s="88"/>
      <c r="K60" s="88"/>
      <c r="L60" s="88"/>
    </row>
    <row r="61" spans="1:12">
      <c r="A61" s="299">
        <v>5</v>
      </c>
      <c r="B61" s="120" t="s">
        <v>4059</v>
      </c>
      <c r="C61" s="120" t="s">
        <v>69</v>
      </c>
      <c r="D61" s="120">
        <v>144000</v>
      </c>
      <c r="E61" s="176">
        <f>INDEX(Caracteristicas_agronomicas!J:J,MATCH(B61,Caracteristicas_agronomicas!C:C,0))</f>
        <v>76923.076923076922</v>
      </c>
      <c r="F61" s="290">
        <f t="shared" si="0"/>
        <v>2.002E-2</v>
      </c>
      <c r="G61" s="290">
        <f>VLOOKUP(Tabla1715[[#This Row],[Cultivo]],Tabla16[#All],9,FALSE)</f>
        <v>0.70588235294117652</v>
      </c>
      <c r="H61" s="82">
        <f>IFERROR(D61*Formulario!$B$24,"")</f>
        <v>136800</v>
      </c>
      <c r="I61" s="88"/>
      <c r="J61" s="88"/>
      <c r="K61" s="88"/>
      <c r="L61" s="88"/>
    </row>
    <row r="62" spans="1:12">
      <c r="A62" s="298">
        <v>6</v>
      </c>
      <c r="B62" s="120" t="s">
        <v>4059</v>
      </c>
      <c r="C62" s="289" t="s">
        <v>69</v>
      </c>
      <c r="D62" s="289">
        <v>136000</v>
      </c>
      <c r="E62" s="176">
        <f>INDEX(Caracteristicas_agronomicas!J:J,MATCH(B62,Caracteristicas_agronomicas!C:C,0))</f>
        <v>76923.076923076922</v>
      </c>
      <c r="F62" s="290">
        <f t="shared" si="0"/>
        <v>2.002E-2</v>
      </c>
      <c r="G62" s="290">
        <f>VLOOKUP(Tabla1715[[#This Row],[Cultivo]],Tabla16[#All],9,FALSE)</f>
        <v>0.70588235294117652</v>
      </c>
      <c r="H62" s="82">
        <f>IFERROR(D62*Formulario!$B$24,"")</f>
        <v>129200</v>
      </c>
      <c r="I62" s="88"/>
      <c r="J62" s="88"/>
      <c r="K62" s="88"/>
      <c r="L62" s="88"/>
    </row>
    <row r="63" spans="1:12">
      <c r="A63" s="299">
        <v>7</v>
      </c>
      <c r="B63" s="120" t="s">
        <v>4059</v>
      </c>
      <c r="C63" s="120" t="s">
        <v>69</v>
      </c>
      <c r="D63" s="120">
        <v>128000</v>
      </c>
      <c r="E63" s="176">
        <f>INDEX(Caracteristicas_agronomicas!J:J,MATCH(B63,Caracteristicas_agronomicas!C:C,0))</f>
        <v>76923.076923076922</v>
      </c>
      <c r="F63" s="290">
        <f t="shared" si="0"/>
        <v>2.002E-2</v>
      </c>
      <c r="G63" s="290">
        <f>VLOOKUP(Tabla1715[[#This Row],[Cultivo]],Tabla16[#All],9,FALSE)</f>
        <v>0.70588235294117652</v>
      </c>
      <c r="H63" s="82">
        <f>IFERROR(D63*Formulario!$B$24,"")</f>
        <v>121600</v>
      </c>
      <c r="I63" s="88"/>
      <c r="J63" s="88"/>
      <c r="K63" s="88"/>
      <c r="L63" s="88"/>
    </row>
    <row r="64" spans="1:12">
      <c r="A64" s="298">
        <v>8</v>
      </c>
      <c r="B64" s="120" t="s">
        <v>4059</v>
      </c>
      <c r="C64" s="289" t="s">
        <v>69</v>
      </c>
      <c r="D64" s="289">
        <v>120000</v>
      </c>
      <c r="E64" s="176">
        <f>INDEX(Caracteristicas_agronomicas!J:J,MATCH(B64,Caracteristicas_agronomicas!C:C,0))</f>
        <v>76923.076923076922</v>
      </c>
      <c r="F64" s="290">
        <f t="shared" si="0"/>
        <v>2.002E-2</v>
      </c>
      <c r="G64" s="290">
        <f>VLOOKUP(Tabla1715[[#This Row],[Cultivo]],Tabla16[#All],9,FALSE)</f>
        <v>0.70588235294117652</v>
      </c>
      <c r="H64" s="82">
        <f>IFERROR(D64*Formulario!$B$24,"")</f>
        <v>114000</v>
      </c>
      <c r="I64" s="88"/>
      <c r="J64" s="88"/>
      <c r="K64" s="88"/>
      <c r="L64" s="88"/>
    </row>
    <row r="65" spans="1:12">
      <c r="A65" s="291">
        <v>1</v>
      </c>
      <c r="B65" s="120" t="s">
        <v>4061</v>
      </c>
      <c r="C65" s="120" t="s">
        <v>53</v>
      </c>
      <c r="D65" s="120">
        <v>0</v>
      </c>
      <c r="E65" s="176">
        <f>INDEX(Caracteristicas_agronomicas!J:J,MATCH(B65,Caracteristicas_agronomicas!C:C,0))</f>
        <v>111905</v>
      </c>
      <c r="F65" s="290">
        <f t="shared" si="0"/>
        <v>1.376167284750458E-2</v>
      </c>
      <c r="G65" s="290">
        <f>VLOOKUP(Tabla1715[[#This Row],[Cultivo]],Tabla16[#All],9,FALSE)</f>
        <v>0.8</v>
      </c>
      <c r="H65" s="82">
        <f>IFERROR(D65*Formulario!$B$24,"")</f>
        <v>0</v>
      </c>
      <c r="I65" s="88"/>
      <c r="J65" s="88"/>
      <c r="K65" s="88"/>
      <c r="L65" s="88"/>
    </row>
    <row r="66" spans="1:12">
      <c r="A66" s="288">
        <v>2</v>
      </c>
      <c r="B66" s="289" t="s">
        <v>4061</v>
      </c>
      <c r="C66" s="289" t="s">
        <v>69</v>
      </c>
      <c r="D66" s="289">
        <v>102000</v>
      </c>
      <c r="E66" s="176">
        <f>INDEX(Caracteristicas_agronomicas!J:J,MATCH(B66,Caracteristicas_agronomicas!C:C,0))</f>
        <v>111905</v>
      </c>
      <c r="F66" s="290">
        <f t="shared" ref="F66:F129" si="1">$J$2/E66</f>
        <v>1.376167284750458E-2</v>
      </c>
      <c r="G66" s="290">
        <f>VLOOKUP(Tabla1715[[#This Row],[Cultivo]],Tabla16[#All],9,FALSE)</f>
        <v>0.8</v>
      </c>
      <c r="H66" s="82">
        <f>IFERROR(D66*Formulario!$B$24,"")</f>
        <v>96900</v>
      </c>
      <c r="I66" s="88"/>
      <c r="J66" s="88"/>
      <c r="K66" s="88"/>
      <c r="L66" s="88"/>
    </row>
    <row r="67" spans="1:12">
      <c r="A67" s="291">
        <v>3</v>
      </c>
      <c r="B67" s="120" t="s">
        <v>4061</v>
      </c>
      <c r="C67" s="120" t="s">
        <v>69</v>
      </c>
      <c r="D67" s="120">
        <v>117600</v>
      </c>
      <c r="E67" s="176">
        <f>INDEX(Caracteristicas_agronomicas!J:J,MATCH(B67,Caracteristicas_agronomicas!C:C,0))</f>
        <v>111905</v>
      </c>
      <c r="F67" s="290">
        <f t="shared" si="1"/>
        <v>1.376167284750458E-2</v>
      </c>
      <c r="G67" s="290">
        <f>VLOOKUP(Tabla1715[[#This Row],[Cultivo]],Tabla16[#All],9,FALSE)</f>
        <v>0.8</v>
      </c>
      <c r="H67" s="82">
        <f>IFERROR(D67*Formulario!$B$24,"")</f>
        <v>111720</v>
      </c>
      <c r="I67" s="88"/>
      <c r="J67" s="88"/>
      <c r="K67" s="88"/>
      <c r="L67" s="88"/>
    </row>
    <row r="68" spans="1:12">
      <c r="A68" s="288">
        <v>4</v>
      </c>
      <c r="B68" s="289" t="s">
        <v>4061</v>
      </c>
      <c r="C68" s="289" t="s">
        <v>69</v>
      </c>
      <c r="D68" s="289">
        <v>114000</v>
      </c>
      <c r="E68" s="176">
        <f>INDEX(Caracteristicas_agronomicas!J:J,MATCH(B68,Caracteristicas_agronomicas!C:C,0))</f>
        <v>111905</v>
      </c>
      <c r="F68" s="290">
        <f t="shared" si="1"/>
        <v>1.376167284750458E-2</v>
      </c>
      <c r="G68" s="290">
        <f>VLOOKUP(Tabla1715[[#This Row],[Cultivo]],Tabla16[#All],9,FALSE)</f>
        <v>0.8</v>
      </c>
      <c r="H68" s="82">
        <f>IFERROR(D68*Formulario!$B$24,"")</f>
        <v>108300</v>
      </c>
      <c r="I68" s="88"/>
      <c r="J68" s="88"/>
      <c r="K68" s="88"/>
      <c r="L68" s="88"/>
    </row>
    <row r="69" spans="1:12">
      <c r="A69" s="291">
        <v>5</v>
      </c>
      <c r="B69" s="120" t="s">
        <v>4061</v>
      </c>
      <c r="C69" s="120" t="s">
        <v>69</v>
      </c>
      <c r="D69" s="120">
        <v>108000</v>
      </c>
      <c r="E69" s="176">
        <f>INDEX(Caracteristicas_agronomicas!J:J,MATCH(B69,Caracteristicas_agronomicas!C:C,0))</f>
        <v>111905</v>
      </c>
      <c r="F69" s="290">
        <f t="shared" si="1"/>
        <v>1.376167284750458E-2</v>
      </c>
      <c r="G69" s="290">
        <f>VLOOKUP(Tabla1715[[#This Row],[Cultivo]],Tabla16[#All],9,FALSE)</f>
        <v>0.8</v>
      </c>
      <c r="H69" s="82">
        <f>IFERROR(D69*Formulario!$B$24,"")</f>
        <v>102600</v>
      </c>
      <c r="I69" s="88"/>
      <c r="J69" s="88"/>
      <c r="K69" s="88"/>
      <c r="L69" s="88"/>
    </row>
    <row r="70" spans="1:12">
      <c r="A70" s="288">
        <v>6</v>
      </c>
      <c r="B70" s="289" t="s">
        <v>4061</v>
      </c>
      <c r="C70" s="289" t="s">
        <v>69</v>
      </c>
      <c r="D70" s="289">
        <v>102000</v>
      </c>
      <c r="E70" s="176">
        <f>INDEX(Caracteristicas_agronomicas!J:J,MATCH(B70,Caracteristicas_agronomicas!C:C,0))</f>
        <v>111905</v>
      </c>
      <c r="F70" s="290">
        <f t="shared" si="1"/>
        <v>1.376167284750458E-2</v>
      </c>
      <c r="G70" s="290">
        <f>VLOOKUP(Tabla1715[[#This Row],[Cultivo]],Tabla16[#All],9,FALSE)</f>
        <v>0.8</v>
      </c>
      <c r="H70" s="82">
        <f>IFERROR(D70*Formulario!$B$24,"")</f>
        <v>96900</v>
      </c>
      <c r="I70" s="88"/>
      <c r="J70" s="88"/>
      <c r="K70" s="88"/>
      <c r="L70" s="88"/>
    </row>
    <row r="71" spans="1:12">
      <c r="A71" s="291">
        <v>7</v>
      </c>
      <c r="B71" s="120" t="s">
        <v>4061</v>
      </c>
      <c r="C71" s="120" t="s">
        <v>69</v>
      </c>
      <c r="D71" s="120">
        <v>96000</v>
      </c>
      <c r="E71" s="176">
        <f>INDEX(Caracteristicas_agronomicas!J:J,MATCH(B71,Caracteristicas_agronomicas!C:C,0))</f>
        <v>111905</v>
      </c>
      <c r="F71" s="290">
        <f t="shared" si="1"/>
        <v>1.376167284750458E-2</v>
      </c>
      <c r="G71" s="290">
        <f>VLOOKUP(Tabla1715[[#This Row],[Cultivo]],Tabla16[#All],9,FALSE)</f>
        <v>0.8</v>
      </c>
      <c r="H71" s="82">
        <f>IFERROR(D71*Formulario!$B$24,"")</f>
        <v>91200</v>
      </c>
      <c r="I71" s="88"/>
      <c r="J71" s="88"/>
      <c r="K71" s="88"/>
      <c r="L71" s="88"/>
    </row>
    <row r="72" spans="1:12">
      <c r="A72" s="288">
        <v>8</v>
      </c>
      <c r="B72" s="289" t="s">
        <v>4061</v>
      </c>
      <c r="C72" s="289" t="s">
        <v>69</v>
      </c>
      <c r="D72" s="289">
        <v>90000</v>
      </c>
      <c r="E72" s="176">
        <f>INDEX(Caracteristicas_agronomicas!J:J,MATCH(B72,Caracteristicas_agronomicas!C:C,0))</f>
        <v>111905</v>
      </c>
      <c r="F72" s="290">
        <f t="shared" si="1"/>
        <v>1.376167284750458E-2</v>
      </c>
      <c r="G72" s="290">
        <f>VLOOKUP(Tabla1715[[#This Row],[Cultivo]],Tabla16[#All],9,FALSE)</f>
        <v>0.8</v>
      </c>
      <c r="H72" s="82">
        <f>IFERROR(D72*Formulario!$B$24,"")</f>
        <v>85500</v>
      </c>
      <c r="I72" s="88"/>
      <c r="J72" s="88"/>
      <c r="K72" s="88"/>
      <c r="L72" s="88"/>
    </row>
    <row r="73" spans="1:12">
      <c r="A73" s="291">
        <v>1</v>
      </c>
      <c r="B73" s="120" t="s">
        <v>3772</v>
      </c>
      <c r="C73" s="120" t="s">
        <v>53</v>
      </c>
      <c r="D73" s="120">
        <v>0</v>
      </c>
      <c r="E73" s="176">
        <f>INDEX(Caracteristicas_agronomicas!J:J,MATCH(B73,Caracteristicas_agronomicas!C:C,0))</f>
        <v>204</v>
      </c>
      <c r="F73" s="290">
        <f t="shared" si="1"/>
        <v>7.5490196078431371</v>
      </c>
      <c r="G73" s="290">
        <f>VLOOKUP(Tabla1715[[#This Row],[Cultivo]],Tabla16[#All],9,FALSE)</f>
        <v>0.8</v>
      </c>
      <c r="H73" s="82">
        <f>IFERROR(D73*Formulario!$B$24,"")</f>
        <v>0</v>
      </c>
      <c r="I73" s="88"/>
      <c r="J73" s="88"/>
      <c r="K73" s="88"/>
      <c r="L73" s="88"/>
    </row>
    <row r="74" spans="1:12">
      <c r="A74" s="288">
        <v>2</v>
      </c>
      <c r="B74" s="289" t="s">
        <v>3772</v>
      </c>
      <c r="C74" s="289" t="s">
        <v>68</v>
      </c>
      <c r="D74" s="289">
        <v>0</v>
      </c>
      <c r="E74" s="176">
        <f>INDEX(Caracteristicas_agronomicas!J:J,MATCH(B74,Caracteristicas_agronomicas!C:C,0))</f>
        <v>204</v>
      </c>
      <c r="F74" s="290">
        <f t="shared" si="1"/>
        <v>7.5490196078431371</v>
      </c>
      <c r="G74" s="290">
        <f>VLOOKUP(Tabla1715[[#This Row],[Cultivo]],Tabla16[#All],9,FALSE)</f>
        <v>0.8</v>
      </c>
      <c r="H74" s="82">
        <f>IFERROR(D74*Formulario!$B$24,"")</f>
        <v>0</v>
      </c>
      <c r="I74" s="88"/>
      <c r="J74" s="88"/>
      <c r="K74" s="88"/>
      <c r="L74" s="88"/>
    </row>
    <row r="75" spans="1:12">
      <c r="A75" s="291">
        <v>3</v>
      </c>
      <c r="B75" s="120" t="s">
        <v>3772</v>
      </c>
      <c r="C75" s="120" t="s">
        <v>69</v>
      </c>
      <c r="D75" s="120">
        <v>6000</v>
      </c>
      <c r="E75" s="176">
        <f>INDEX(Caracteristicas_agronomicas!J:J,MATCH(B75,Caracteristicas_agronomicas!C:C,0))</f>
        <v>204</v>
      </c>
      <c r="F75" s="290">
        <f t="shared" si="1"/>
        <v>7.5490196078431371</v>
      </c>
      <c r="G75" s="290">
        <f>VLOOKUP(Tabla1715[[#This Row],[Cultivo]],Tabla16[#All],9,FALSE)</f>
        <v>0.8</v>
      </c>
      <c r="H75" s="82">
        <f>IFERROR(D75*Formulario!$B$24,"")</f>
        <v>5700</v>
      </c>
      <c r="I75" s="88"/>
      <c r="J75" s="88"/>
      <c r="K75" s="88"/>
      <c r="L75" s="88"/>
    </row>
    <row r="76" spans="1:12">
      <c r="A76" s="298">
        <v>4</v>
      </c>
      <c r="B76" s="289" t="s">
        <v>3772</v>
      </c>
      <c r="C76" s="289" t="s">
        <v>69</v>
      </c>
      <c r="D76" s="289">
        <v>12000</v>
      </c>
      <c r="E76" s="176">
        <f>INDEX(Caracteristicas_agronomicas!J:J,MATCH(B76,Caracteristicas_agronomicas!C:C,0))</f>
        <v>204</v>
      </c>
      <c r="F76" s="290">
        <f t="shared" si="1"/>
        <v>7.5490196078431371</v>
      </c>
      <c r="G76" s="290">
        <f>VLOOKUP(Tabla1715[[#This Row],[Cultivo]],Tabla16[#All],9,FALSE)</f>
        <v>0.8</v>
      </c>
      <c r="H76" s="82">
        <f>IFERROR(D76*Formulario!$B$24,"")</f>
        <v>11400</v>
      </c>
      <c r="I76" s="88"/>
      <c r="J76" s="88"/>
      <c r="K76" s="88"/>
      <c r="L76" s="88"/>
    </row>
    <row r="77" spans="1:12">
      <c r="A77" s="299">
        <v>5</v>
      </c>
      <c r="B77" s="120" t="s">
        <v>3772</v>
      </c>
      <c r="C77" s="120" t="s">
        <v>69</v>
      </c>
      <c r="D77" s="120">
        <v>18000</v>
      </c>
      <c r="E77" s="176">
        <f>INDEX(Caracteristicas_agronomicas!J:J,MATCH(B77,Caracteristicas_agronomicas!C:C,0))</f>
        <v>204</v>
      </c>
      <c r="F77" s="290">
        <f t="shared" si="1"/>
        <v>7.5490196078431371</v>
      </c>
      <c r="G77" s="290">
        <f>VLOOKUP(Tabla1715[[#This Row],[Cultivo]],Tabla16[#All],9,FALSE)</f>
        <v>0.8</v>
      </c>
      <c r="H77" s="82">
        <f>IFERROR(D77*Formulario!$B$24,"")</f>
        <v>17100</v>
      </c>
      <c r="I77" s="88"/>
      <c r="J77" s="88"/>
      <c r="K77" s="88"/>
      <c r="L77" s="88"/>
    </row>
    <row r="78" spans="1:12">
      <c r="A78" s="298">
        <v>6</v>
      </c>
      <c r="B78" s="289" t="s">
        <v>3772</v>
      </c>
      <c r="C78" s="289" t="s">
        <v>69</v>
      </c>
      <c r="D78" s="289">
        <v>18000</v>
      </c>
      <c r="E78" s="176">
        <f>INDEX(Caracteristicas_agronomicas!J:J,MATCH(B78,Caracteristicas_agronomicas!C:C,0))</f>
        <v>204</v>
      </c>
      <c r="F78" s="290">
        <f t="shared" si="1"/>
        <v>7.5490196078431371</v>
      </c>
      <c r="G78" s="290">
        <f>VLOOKUP(Tabla1715[[#This Row],[Cultivo]],Tabla16[#All],9,FALSE)</f>
        <v>0.8</v>
      </c>
      <c r="H78" s="82">
        <f>IFERROR(D78*Formulario!$B$24,"")</f>
        <v>17100</v>
      </c>
      <c r="I78" s="88"/>
      <c r="J78" s="88"/>
      <c r="K78" s="88"/>
      <c r="L78" s="88"/>
    </row>
    <row r="79" spans="1:12">
      <c r="A79" s="299">
        <v>7</v>
      </c>
      <c r="B79" s="120" t="s">
        <v>3772</v>
      </c>
      <c r="C79" s="120" t="s">
        <v>69</v>
      </c>
      <c r="D79" s="120">
        <v>18000</v>
      </c>
      <c r="E79" s="176">
        <f>INDEX(Caracteristicas_agronomicas!J:J,MATCH(B79,Caracteristicas_agronomicas!C:C,0))</f>
        <v>204</v>
      </c>
      <c r="F79" s="290">
        <f t="shared" si="1"/>
        <v>7.5490196078431371</v>
      </c>
      <c r="G79" s="290">
        <f>VLOOKUP(Tabla1715[[#This Row],[Cultivo]],Tabla16[#All],9,FALSE)</f>
        <v>0.8</v>
      </c>
      <c r="H79" s="82">
        <f>IFERROR(D79*Formulario!$B$24,"")</f>
        <v>17100</v>
      </c>
      <c r="I79" s="88"/>
      <c r="J79" s="88"/>
      <c r="K79" s="88"/>
      <c r="L79" s="88"/>
    </row>
    <row r="80" spans="1:12">
      <c r="A80" s="298">
        <v>8</v>
      </c>
      <c r="B80" s="289" t="s">
        <v>3772</v>
      </c>
      <c r="C80" s="289" t="s">
        <v>69</v>
      </c>
      <c r="D80" s="289">
        <v>18000</v>
      </c>
      <c r="E80" s="176">
        <f>INDEX(Caracteristicas_agronomicas!J:J,MATCH(B80,Caracteristicas_agronomicas!C:C,0))</f>
        <v>204</v>
      </c>
      <c r="F80" s="290">
        <f t="shared" si="1"/>
        <v>7.5490196078431371</v>
      </c>
      <c r="G80" s="290">
        <f>VLOOKUP(Tabla1715[[#This Row],[Cultivo]],Tabla16[#All],9,FALSE)</f>
        <v>0.8</v>
      </c>
      <c r="H80" s="82">
        <f>IFERROR(D80*Formulario!$B$24,"")</f>
        <v>17100</v>
      </c>
      <c r="I80" s="88"/>
      <c r="J80" s="88"/>
      <c r="K80" s="88"/>
      <c r="L80" s="88"/>
    </row>
    <row r="81" spans="1:12">
      <c r="A81" s="299">
        <v>9</v>
      </c>
      <c r="B81" s="120" t="s">
        <v>3772</v>
      </c>
      <c r="C81" s="120" t="s">
        <v>69</v>
      </c>
      <c r="D81" s="120">
        <v>18000</v>
      </c>
      <c r="E81" s="176">
        <f>INDEX(Caracteristicas_agronomicas!J:J,MATCH(B81,Caracteristicas_agronomicas!C:C,0))</f>
        <v>204</v>
      </c>
      <c r="F81" s="290">
        <f t="shared" si="1"/>
        <v>7.5490196078431371</v>
      </c>
      <c r="G81" s="290">
        <f>VLOOKUP(Tabla1715[[#This Row],[Cultivo]],Tabla16[#All],9,FALSE)</f>
        <v>0.8</v>
      </c>
      <c r="H81" s="82">
        <f>IFERROR(D81*Formulario!$B$24,"")</f>
        <v>17100</v>
      </c>
      <c r="I81" s="88"/>
      <c r="J81" s="88"/>
      <c r="K81" s="88"/>
      <c r="L81" s="88"/>
    </row>
    <row r="82" spans="1:12">
      <c r="A82" s="298">
        <v>10</v>
      </c>
      <c r="B82" s="289" t="s">
        <v>3772</v>
      </c>
      <c r="C82" s="289" t="s">
        <v>69</v>
      </c>
      <c r="D82" s="289">
        <v>18000</v>
      </c>
      <c r="E82" s="176">
        <f>INDEX(Caracteristicas_agronomicas!J:J,MATCH(B82,Caracteristicas_agronomicas!C:C,0))</f>
        <v>204</v>
      </c>
      <c r="F82" s="290">
        <f t="shared" si="1"/>
        <v>7.5490196078431371</v>
      </c>
      <c r="G82" s="290">
        <f>VLOOKUP(Tabla1715[[#This Row],[Cultivo]],Tabla16[#All],9,FALSE)</f>
        <v>0.8</v>
      </c>
      <c r="H82" s="82">
        <f>IFERROR(D82*Formulario!$B$24,"")</f>
        <v>17100</v>
      </c>
      <c r="I82" s="88"/>
      <c r="J82" s="88"/>
      <c r="K82" s="88"/>
      <c r="L82" s="88"/>
    </row>
    <row r="83" spans="1:12">
      <c r="A83" s="299">
        <v>11</v>
      </c>
      <c r="B83" s="120" t="s">
        <v>3772</v>
      </c>
      <c r="C83" s="120" t="s">
        <v>69</v>
      </c>
      <c r="D83" s="120">
        <v>18000</v>
      </c>
      <c r="E83" s="176">
        <f>INDEX(Caracteristicas_agronomicas!J:J,MATCH(B83,Caracteristicas_agronomicas!C:C,0))</f>
        <v>204</v>
      </c>
      <c r="F83" s="290">
        <f t="shared" si="1"/>
        <v>7.5490196078431371</v>
      </c>
      <c r="G83" s="290">
        <f>VLOOKUP(Tabla1715[[#This Row],[Cultivo]],Tabla16[#All],9,FALSE)</f>
        <v>0.8</v>
      </c>
      <c r="H83" s="82">
        <f>IFERROR(D83*Formulario!$B$24,"")</f>
        <v>17100</v>
      </c>
      <c r="I83" s="88"/>
      <c r="J83" s="88"/>
      <c r="K83" s="88"/>
      <c r="L83" s="88"/>
    </row>
    <row r="84" spans="1:12">
      <c r="A84" s="298">
        <v>12</v>
      </c>
      <c r="B84" s="289" t="s">
        <v>3772</v>
      </c>
      <c r="C84" s="289" t="s">
        <v>69</v>
      </c>
      <c r="D84" s="289">
        <v>18000</v>
      </c>
      <c r="E84" s="176">
        <f>INDEX(Caracteristicas_agronomicas!J:J,MATCH(B84,Caracteristicas_agronomicas!C:C,0))</f>
        <v>204</v>
      </c>
      <c r="F84" s="290">
        <f t="shared" si="1"/>
        <v>7.5490196078431371</v>
      </c>
      <c r="G84" s="290">
        <f>VLOOKUP(Tabla1715[[#This Row],[Cultivo]],Tabla16[#All],9,FALSE)</f>
        <v>0.8</v>
      </c>
      <c r="H84" s="82">
        <f>IFERROR(D84*Formulario!$B$24,"")</f>
        <v>17100</v>
      </c>
      <c r="I84" s="88"/>
      <c r="J84" s="88"/>
      <c r="K84" s="88"/>
      <c r="L84" s="88"/>
    </row>
    <row r="85" spans="1:12">
      <c r="A85" s="299">
        <v>13</v>
      </c>
      <c r="B85" s="120" t="s">
        <v>3772</v>
      </c>
      <c r="C85" s="120" t="s">
        <v>69</v>
      </c>
      <c r="D85" s="120">
        <v>18000</v>
      </c>
      <c r="E85" s="176">
        <f>INDEX(Caracteristicas_agronomicas!J:J,MATCH(B85,Caracteristicas_agronomicas!C:C,0))</f>
        <v>204</v>
      </c>
      <c r="F85" s="290">
        <f t="shared" si="1"/>
        <v>7.5490196078431371</v>
      </c>
      <c r="G85" s="290">
        <f>VLOOKUP(Tabla1715[[#This Row],[Cultivo]],Tabla16[#All],9,FALSE)</f>
        <v>0.8</v>
      </c>
      <c r="H85" s="82">
        <f>IFERROR(D85*Formulario!$B$24,"")</f>
        <v>17100</v>
      </c>
      <c r="I85" s="88"/>
      <c r="J85" s="88"/>
      <c r="K85" s="88"/>
      <c r="L85" s="88"/>
    </row>
    <row r="86" spans="1:12">
      <c r="A86" s="288">
        <v>14</v>
      </c>
      <c r="B86" s="289" t="s">
        <v>3772</v>
      </c>
      <c r="C86" s="289" t="s">
        <v>69</v>
      </c>
      <c r="D86" s="289">
        <v>18000</v>
      </c>
      <c r="E86" s="176">
        <f>INDEX(Caracteristicas_agronomicas!J:J,MATCH(B86,Caracteristicas_agronomicas!C:C,0))</f>
        <v>204</v>
      </c>
      <c r="F86" s="290">
        <f t="shared" si="1"/>
        <v>7.5490196078431371</v>
      </c>
      <c r="G86" s="290">
        <f>VLOOKUP(Tabla1715[[#This Row],[Cultivo]],Tabla16[#All],9,FALSE)</f>
        <v>0.8</v>
      </c>
      <c r="H86" s="82">
        <f>IFERROR(D86*Formulario!$B$24,"")</f>
        <v>17100</v>
      </c>
      <c r="I86" s="88"/>
      <c r="J86" s="88"/>
      <c r="K86" s="88"/>
      <c r="L86" s="88"/>
    </row>
    <row r="87" spans="1:12">
      <c r="A87" s="291">
        <v>15</v>
      </c>
      <c r="B87" s="120" t="s">
        <v>3772</v>
      </c>
      <c r="C87" s="120" t="s">
        <v>69</v>
      </c>
      <c r="D87" s="120">
        <v>18000</v>
      </c>
      <c r="E87" s="176">
        <f>INDEX(Caracteristicas_agronomicas!J:J,MATCH(B87,Caracteristicas_agronomicas!C:C,0))</f>
        <v>204</v>
      </c>
      <c r="F87" s="290">
        <f t="shared" si="1"/>
        <v>7.5490196078431371</v>
      </c>
      <c r="G87" s="290">
        <f>VLOOKUP(Tabla1715[[#This Row],[Cultivo]],Tabla16[#All],9,FALSE)</f>
        <v>0.8</v>
      </c>
      <c r="H87" s="82">
        <f>IFERROR(D87*Formulario!$B$24,"")</f>
        <v>17100</v>
      </c>
      <c r="I87" s="88"/>
      <c r="J87" s="88"/>
      <c r="K87" s="88"/>
      <c r="L87" s="88"/>
    </row>
    <row r="88" spans="1:12">
      <c r="A88" s="288">
        <v>16</v>
      </c>
      <c r="B88" s="289" t="s">
        <v>3772</v>
      </c>
      <c r="C88" s="289" t="s">
        <v>69</v>
      </c>
      <c r="D88" s="289">
        <v>18000</v>
      </c>
      <c r="E88" s="176">
        <f>INDEX(Caracteristicas_agronomicas!J:J,MATCH(B88,Caracteristicas_agronomicas!C:C,0))</f>
        <v>204</v>
      </c>
      <c r="F88" s="290">
        <f t="shared" si="1"/>
        <v>7.5490196078431371</v>
      </c>
      <c r="G88" s="290">
        <f>VLOOKUP(Tabla1715[[#This Row],[Cultivo]],Tabla16[#All],9,FALSE)</f>
        <v>0.8</v>
      </c>
      <c r="H88" s="82">
        <f>IFERROR(D88*Formulario!$B$24,"")</f>
        <v>17100</v>
      </c>
      <c r="I88" s="88"/>
      <c r="J88" s="88"/>
      <c r="K88" s="88"/>
      <c r="L88" s="88"/>
    </row>
    <row r="89" spans="1:12">
      <c r="A89" s="291">
        <v>17</v>
      </c>
      <c r="B89" s="120" t="s">
        <v>3772</v>
      </c>
      <c r="C89" s="120" t="s">
        <v>69</v>
      </c>
      <c r="D89" s="120">
        <v>18000</v>
      </c>
      <c r="E89" s="176">
        <f>INDEX(Caracteristicas_agronomicas!J:J,MATCH(B89,Caracteristicas_agronomicas!C:C,0))</f>
        <v>204</v>
      </c>
      <c r="F89" s="290">
        <f t="shared" si="1"/>
        <v>7.5490196078431371</v>
      </c>
      <c r="G89" s="290">
        <f>VLOOKUP(Tabla1715[[#This Row],[Cultivo]],Tabla16[#All],9,FALSE)</f>
        <v>0.8</v>
      </c>
      <c r="H89" s="82">
        <f>IFERROR(D89*Formulario!$B$24,"")</f>
        <v>17100</v>
      </c>
      <c r="I89" s="88"/>
      <c r="J89" s="88"/>
      <c r="K89" s="88"/>
      <c r="L89" s="88"/>
    </row>
    <row r="90" spans="1:12">
      <c r="A90" s="288">
        <v>18</v>
      </c>
      <c r="B90" s="289" t="s">
        <v>3772</v>
      </c>
      <c r="C90" s="289" t="s">
        <v>69</v>
      </c>
      <c r="D90" s="289">
        <v>18000</v>
      </c>
      <c r="E90" s="176">
        <f>INDEX(Caracteristicas_agronomicas!J:J,MATCH(B90,Caracteristicas_agronomicas!C:C,0))</f>
        <v>204</v>
      </c>
      <c r="F90" s="290">
        <f t="shared" si="1"/>
        <v>7.5490196078431371</v>
      </c>
      <c r="G90" s="290">
        <f>VLOOKUP(Tabla1715[[#This Row],[Cultivo]],Tabla16[#All],9,FALSE)</f>
        <v>0.8</v>
      </c>
      <c r="H90" s="82">
        <f>IFERROR(D90*Formulario!$B$24,"")</f>
        <v>17100</v>
      </c>
      <c r="I90" s="88"/>
      <c r="J90" s="88"/>
      <c r="K90" s="88"/>
      <c r="L90" s="88"/>
    </row>
    <row r="91" spans="1:12">
      <c r="A91" s="291">
        <v>19</v>
      </c>
      <c r="B91" s="120" t="s">
        <v>3772</v>
      </c>
      <c r="C91" s="120" t="s">
        <v>69</v>
      </c>
      <c r="D91" s="120">
        <v>18000</v>
      </c>
      <c r="E91" s="176">
        <f>INDEX(Caracteristicas_agronomicas!J:J,MATCH(B91,Caracteristicas_agronomicas!C:C,0))</f>
        <v>204</v>
      </c>
      <c r="F91" s="290">
        <f t="shared" si="1"/>
        <v>7.5490196078431371</v>
      </c>
      <c r="G91" s="290">
        <f>VLOOKUP(Tabla1715[[#This Row],[Cultivo]],Tabla16[#All],9,FALSE)</f>
        <v>0.8</v>
      </c>
      <c r="H91" s="82">
        <f>IFERROR(D91*Formulario!$B$24,"")</f>
        <v>17100</v>
      </c>
      <c r="I91" s="88"/>
      <c r="J91" s="88"/>
      <c r="K91" s="88"/>
      <c r="L91" s="88"/>
    </row>
    <row r="92" spans="1:12">
      <c r="A92" s="288">
        <v>20</v>
      </c>
      <c r="B92" s="289" t="s">
        <v>3772</v>
      </c>
      <c r="C92" s="289" t="s">
        <v>69</v>
      </c>
      <c r="D92" s="289">
        <v>18000</v>
      </c>
      <c r="E92" s="176">
        <f>INDEX(Caracteristicas_agronomicas!J:J,MATCH(B92,Caracteristicas_agronomicas!C:C,0))</f>
        <v>204</v>
      </c>
      <c r="F92" s="290">
        <f t="shared" si="1"/>
        <v>7.5490196078431371</v>
      </c>
      <c r="G92" s="290">
        <f>VLOOKUP(Tabla1715[[#This Row],[Cultivo]],Tabla16[#All],9,FALSE)</f>
        <v>0.8</v>
      </c>
      <c r="H92" s="82">
        <f>IFERROR(D92*Formulario!$B$24,"")</f>
        <v>17100</v>
      </c>
      <c r="I92" s="88"/>
      <c r="J92" s="88"/>
      <c r="K92" s="88"/>
      <c r="L92" s="88"/>
    </row>
    <row r="93" spans="1:12">
      <c r="A93" s="291">
        <v>1</v>
      </c>
      <c r="B93" s="120" t="s">
        <v>3773</v>
      </c>
      <c r="C93" s="120" t="s">
        <v>53</v>
      </c>
      <c r="D93" s="120">
        <v>0</v>
      </c>
      <c r="E93" s="176">
        <f>INDEX(Caracteristicas_agronomicas!J:J,MATCH(B93,Caracteristicas_agronomicas!C:C,0))</f>
        <v>204</v>
      </c>
      <c r="F93" s="290">
        <f t="shared" si="1"/>
        <v>7.5490196078431371</v>
      </c>
      <c r="G93" s="290">
        <f>VLOOKUP(Tabla1715[[#This Row],[Cultivo]],Tabla16[#All],9,FALSE)</f>
        <v>1</v>
      </c>
      <c r="H93" s="82">
        <f>IFERROR(D93*Formulario!$B$24,"")</f>
        <v>0</v>
      </c>
      <c r="I93" s="88"/>
      <c r="J93" s="88"/>
      <c r="K93" s="88"/>
      <c r="L93" s="88"/>
    </row>
    <row r="94" spans="1:12">
      <c r="A94" s="288">
        <v>2</v>
      </c>
      <c r="B94" s="289" t="s">
        <v>3773</v>
      </c>
      <c r="C94" s="289" t="s">
        <v>68</v>
      </c>
      <c r="D94" s="289">
        <v>0</v>
      </c>
      <c r="E94" s="176">
        <f>INDEX(Caracteristicas_agronomicas!J:J,MATCH(B94,Caracteristicas_agronomicas!C:C,0))</f>
        <v>204</v>
      </c>
      <c r="F94" s="290">
        <f t="shared" si="1"/>
        <v>7.5490196078431371</v>
      </c>
      <c r="G94" s="290">
        <f>VLOOKUP(Tabla1715[[#This Row],[Cultivo]],Tabla16[#All],9,FALSE)</f>
        <v>1</v>
      </c>
      <c r="H94" s="82">
        <f>IFERROR(D94*Formulario!$B$24,"")</f>
        <v>0</v>
      </c>
      <c r="I94" s="88"/>
      <c r="J94" s="88"/>
      <c r="K94" s="88"/>
      <c r="L94" s="88"/>
    </row>
    <row r="95" spans="1:12">
      <c r="A95" s="291">
        <v>3</v>
      </c>
      <c r="B95" s="120" t="s">
        <v>3773</v>
      </c>
      <c r="C95" s="120" t="s">
        <v>69</v>
      </c>
      <c r="D95" s="120">
        <v>2750</v>
      </c>
      <c r="E95" s="176">
        <f>INDEX(Caracteristicas_agronomicas!J:J,MATCH(B95,Caracteristicas_agronomicas!C:C,0))</f>
        <v>204</v>
      </c>
      <c r="F95" s="290">
        <f t="shared" si="1"/>
        <v>7.5490196078431371</v>
      </c>
      <c r="G95" s="290">
        <f>VLOOKUP(Tabla1715[[#This Row],[Cultivo]],Tabla16[#All],9,FALSE)</f>
        <v>1</v>
      </c>
      <c r="H95" s="82">
        <f>IFERROR(D95*Formulario!$B$24,"")</f>
        <v>2612.5</v>
      </c>
      <c r="I95" s="88"/>
      <c r="J95" s="88"/>
      <c r="K95" s="88"/>
      <c r="L95" s="88"/>
    </row>
    <row r="96" spans="1:12">
      <c r="A96" s="298">
        <v>4</v>
      </c>
      <c r="B96" s="289" t="s">
        <v>3773</v>
      </c>
      <c r="C96" s="289" t="s">
        <v>69</v>
      </c>
      <c r="D96" s="289">
        <v>5500</v>
      </c>
      <c r="E96" s="176">
        <f>INDEX(Caracteristicas_agronomicas!J:J,MATCH(B96,Caracteristicas_agronomicas!C:C,0))</f>
        <v>204</v>
      </c>
      <c r="F96" s="290">
        <f t="shared" si="1"/>
        <v>7.5490196078431371</v>
      </c>
      <c r="G96" s="290">
        <f>VLOOKUP(Tabla1715[[#This Row],[Cultivo]],Tabla16[#All],9,FALSE)</f>
        <v>1</v>
      </c>
      <c r="H96" s="82">
        <f>IFERROR(D96*Formulario!$B$24,"")</f>
        <v>5225</v>
      </c>
      <c r="I96" s="88"/>
      <c r="J96" s="88"/>
      <c r="K96" s="88"/>
      <c r="L96" s="88"/>
    </row>
    <row r="97" spans="1:12">
      <c r="A97" s="299">
        <v>5</v>
      </c>
      <c r="B97" s="120" t="s">
        <v>3773</v>
      </c>
      <c r="C97" s="120" t="s">
        <v>69</v>
      </c>
      <c r="D97" s="120">
        <v>8250</v>
      </c>
      <c r="E97" s="176">
        <f>INDEX(Caracteristicas_agronomicas!J:J,MATCH(B97,Caracteristicas_agronomicas!C:C,0))</f>
        <v>204</v>
      </c>
      <c r="F97" s="290">
        <f t="shared" si="1"/>
        <v>7.5490196078431371</v>
      </c>
      <c r="G97" s="290">
        <f>VLOOKUP(Tabla1715[[#This Row],[Cultivo]],Tabla16[#All],9,FALSE)</f>
        <v>1</v>
      </c>
      <c r="H97" s="82">
        <f>IFERROR(D97*Formulario!$B$24,"")</f>
        <v>7837.5</v>
      </c>
      <c r="I97" s="88"/>
      <c r="J97" s="88"/>
      <c r="K97" s="88"/>
      <c r="L97" s="88"/>
    </row>
    <row r="98" spans="1:12">
      <c r="A98" s="298">
        <v>6</v>
      </c>
      <c r="B98" s="289" t="s">
        <v>3773</v>
      </c>
      <c r="C98" s="289" t="s">
        <v>69</v>
      </c>
      <c r="D98" s="289">
        <v>11000</v>
      </c>
      <c r="E98" s="176">
        <f>INDEX(Caracteristicas_agronomicas!J:J,MATCH(B98,Caracteristicas_agronomicas!C:C,0))</f>
        <v>204</v>
      </c>
      <c r="F98" s="290">
        <f t="shared" si="1"/>
        <v>7.5490196078431371</v>
      </c>
      <c r="G98" s="290">
        <f>VLOOKUP(Tabla1715[[#This Row],[Cultivo]],Tabla16[#All],9,FALSE)</f>
        <v>1</v>
      </c>
      <c r="H98" s="82">
        <f>IFERROR(D98*Formulario!$B$24,"")</f>
        <v>10450</v>
      </c>
      <c r="I98" s="88"/>
      <c r="J98" s="88"/>
      <c r="K98" s="88"/>
      <c r="L98" s="88"/>
    </row>
    <row r="99" spans="1:12">
      <c r="A99" s="299">
        <v>7</v>
      </c>
      <c r="B99" s="120" t="s">
        <v>3773</v>
      </c>
      <c r="C99" s="120" t="s">
        <v>69</v>
      </c>
      <c r="D99" s="120">
        <v>11000</v>
      </c>
      <c r="E99" s="176">
        <f>INDEX(Caracteristicas_agronomicas!J:J,MATCH(B99,Caracteristicas_agronomicas!C:C,0))</f>
        <v>204</v>
      </c>
      <c r="F99" s="290">
        <f t="shared" si="1"/>
        <v>7.5490196078431371</v>
      </c>
      <c r="G99" s="290">
        <f>VLOOKUP(Tabla1715[[#This Row],[Cultivo]],Tabla16[#All],9,FALSE)</f>
        <v>1</v>
      </c>
      <c r="H99" s="82">
        <f>IFERROR(D99*Formulario!$B$24,"")</f>
        <v>10450</v>
      </c>
      <c r="I99" s="88"/>
      <c r="J99" s="88"/>
      <c r="K99" s="88"/>
      <c r="L99" s="88"/>
    </row>
    <row r="100" spans="1:12">
      <c r="A100" s="298">
        <v>8</v>
      </c>
      <c r="B100" s="289" t="s">
        <v>3773</v>
      </c>
      <c r="C100" s="289" t="s">
        <v>69</v>
      </c>
      <c r="D100" s="289">
        <v>11000</v>
      </c>
      <c r="E100" s="176">
        <f>INDEX(Caracteristicas_agronomicas!J:J,MATCH(B100,Caracteristicas_agronomicas!C:C,0))</f>
        <v>204</v>
      </c>
      <c r="F100" s="290">
        <f t="shared" si="1"/>
        <v>7.5490196078431371</v>
      </c>
      <c r="G100" s="290">
        <f>VLOOKUP(Tabla1715[[#This Row],[Cultivo]],Tabla16[#All],9,FALSE)</f>
        <v>1</v>
      </c>
      <c r="H100" s="82">
        <f>IFERROR(D100*Formulario!$B$24,"")</f>
        <v>10450</v>
      </c>
      <c r="I100" s="88"/>
      <c r="J100" s="88"/>
      <c r="K100" s="88"/>
      <c r="L100" s="88"/>
    </row>
    <row r="101" spans="1:12">
      <c r="A101" s="299">
        <v>9</v>
      </c>
      <c r="B101" s="120" t="s">
        <v>3773</v>
      </c>
      <c r="C101" s="120" t="s">
        <v>69</v>
      </c>
      <c r="D101" s="120">
        <v>11000</v>
      </c>
      <c r="E101" s="176">
        <f>INDEX(Caracteristicas_agronomicas!J:J,MATCH(B101,Caracteristicas_agronomicas!C:C,0))</f>
        <v>204</v>
      </c>
      <c r="F101" s="290">
        <f t="shared" si="1"/>
        <v>7.5490196078431371</v>
      </c>
      <c r="G101" s="290">
        <f>VLOOKUP(Tabla1715[[#This Row],[Cultivo]],Tabla16[#All],9,FALSE)</f>
        <v>1</v>
      </c>
      <c r="H101" s="82">
        <f>IFERROR(D101*Formulario!$B$24,"")</f>
        <v>10450</v>
      </c>
      <c r="I101" s="88"/>
      <c r="J101" s="88"/>
      <c r="K101" s="88"/>
      <c r="L101" s="88"/>
    </row>
    <row r="102" spans="1:12">
      <c r="A102" s="298">
        <v>10</v>
      </c>
      <c r="B102" s="289" t="s">
        <v>3773</v>
      </c>
      <c r="C102" s="289" t="s">
        <v>69</v>
      </c>
      <c r="D102" s="289">
        <v>11000</v>
      </c>
      <c r="E102" s="176">
        <f>INDEX(Caracteristicas_agronomicas!J:J,MATCH(B102,Caracteristicas_agronomicas!C:C,0))</f>
        <v>204</v>
      </c>
      <c r="F102" s="290">
        <f t="shared" si="1"/>
        <v>7.5490196078431371</v>
      </c>
      <c r="G102" s="290">
        <f>VLOOKUP(Tabla1715[[#This Row],[Cultivo]],Tabla16[#All],9,FALSE)</f>
        <v>1</v>
      </c>
      <c r="H102" s="82">
        <f>IFERROR(D102*Formulario!$B$24,"")</f>
        <v>10450</v>
      </c>
      <c r="I102" s="88"/>
      <c r="J102" s="88"/>
      <c r="K102" s="88"/>
      <c r="L102" s="88"/>
    </row>
    <row r="103" spans="1:12">
      <c r="A103" s="299">
        <v>11</v>
      </c>
      <c r="B103" s="120" t="s">
        <v>3773</v>
      </c>
      <c r="C103" s="120" t="s">
        <v>69</v>
      </c>
      <c r="D103" s="120">
        <v>11000</v>
      </c>
      <c r="E103" s="176">
        <f>INDEX(Caracteristicas_agronomicas!J:J,MATCH(B103,Caracteristicas_agronomicas!C:C,0))</f>
        <v>204</v>
      </c>
      <c r="F103" s="290">
        <f t="shared" si="1"/>
        <v>7.5490196078431371</v>
      </c>
      <c r="G103" s="290">
        <f>VLOOKUP(Tabla1715[[#This Row],[Cultivo]],Tabla16[#All],9,FALSE)</f>
        <v>1</v>
      </c>
      <c r="H103" s="82">
        <f>IFERROR(D103*Formulario!$B$24,"")</f>
        <v>10450</v>
      </c>
      <c r="I103" s="88"/>
      <c r="J103" s="88"/>
      <c r="K103" s="88"/>
      <c r="L103" s="88"/>
    </row>
    <row r="104" spans="1:12">
      <c r="A104" s="298">
        <v>12</v>
      </c>
      <c r="B104" s="289" t="s">
        <v>3773</v>
      </c>
      <c r="C104" s="289" t="s">
        <v>69</v>
      </c>
      <c r="D104" s="289">
        <v>11000</v>
      </c>
      <c r="E104" s="176">
        <f>INDEX(Caracteristicas_agronomicas!J:J,MATCH(B104,Caracteristicas_agronomicas!C:C,0))</f>
        <v>204</v>
      </c>
      <c r="F104" s="290">
        <f t="shared" si="1"/>
        <v>7.5490196078431371</v>
      </c>
      <c r="G104" s="290">
        <f>VLOOKUP(Tabla1715[[#This Row],[Cultivo]],Tabla16[#All],9,FALSE)</f>
        <v>1</v>
      </c>
      <c r="H104" s="82">
        <f>IFERROR(D104*Formulario!$B$24,"")</f>
        <v>10450</v>
      </c>
      <c r="I104" s="88"/>
      <c r="J104" s="88"/>
      <c r="K104" s="88"/>
      <c r="L104" s="88"/>
    </row>
    <row r="105" spans="1:12">
      <c r="A105" s="299">
        <v>13</v>
      </c>
      <c r="B105" s="120" t="s">
        <v>3773</v>
      </c>
      <c r="C105" s="120" t="s">
        <v>69</v>
      </c>
      <c r="D105" s="120">
        <v>11000</v>
      </c>
      <c r="E105" s="176">
        <f>INDEX(Caracteristicas_agronomicas!J:J,MATCH(B105,Caracteristicas_agronomicas!C:C,0))</f>
        <v>204</v>
      </c>
      <c r="F105" s="290">
        <f t="shared" si="1"/>
        <v>7.5490196078431371</v>
      </c>
      <c r="G105" s="290">
        <f>VLOOKUP(Tabla1715[[#This Row],[Cultivo]],Tabla16[#All],9,FALSE)</f>
        <v>1</v>
      </c>
      <c r="H105" s="82">
        <f>IFERROR(D105*Formulario!$B$24,"")</f>
        <v>10450</v>
      </c>
      <c r="I105" s="88"/>
      <c r="J105" s="88"/>
      <c r="K105" s="88"/>
      <c r="L105" s="88"/>
    </row>
    <row r="106" spans="1:12">
      <c r="A106" s="288">
        <v>14</v>
      </c>
      <c r="B106" s="289" t="s">
        <v>3773</v>
      </c>
      <c r="C106" s="289" t="s">
        <v>69</v>
      </c>
      <c r="D106" s="289">
        <v>11000</v>
      </c>
      <c r="E106" s="176">
        <f>INDEX(Caracteristicas_agronomicas!J:J,MATCH(B106,Caracteristicas_agronomicas!C:C,0))</f>
        <v>204</v>
      </c>
      <c r="F106" s="290">
        <f t="shared" si="1"/>
        <v>7.5490196078431371</v>
      </c>
      <c r="G106" s="290">
        <f>VLOOKUP(Tabla1715[[#This Row],[Cultivo]],Tabla16[#All],9,FALSE)</f>
        <v>1</v>
      </c>
      <c r="H106" s="82">
        <f>IFERROR(D106*Formulario!$B$24,"")</f>
        <v>10450</v>
      </c>
      <c r="I106" s="88"/>
      <c r="J106" s="88"/>
      <c r="K106" s="88"/>
      <c r="L106" s="88"/>
    </row>
    <row r="107" spans="1:12">
      <c r="A107" s="291">
        <v>15</v>
      </c>
      <c r="B107" s="120" t="s">
        <v>3773</v>
      </c>
      <c r="C107" s="120" t="s">
        <v>69</v>
      </c>
      <c r="D107" s="120">
        <v>11000</v>
      </c>
      <c r="E107" s="176">
        <f>INDEX(Caracteristicas_agronomicas!J:J,MATCH(B107,Caracteristicas_agronomicas!C:C,0))</f>
        <v>204</v>
      </c>
      <c r="F107" s="290">
        <f t="shared" si="1"/>
        <v>7.5490196078431371</v>
      </c>
      <c r="G107" s="290">
        <f>VLOOKUP(Tabla1715[[#This Row],[Cultivo]],Tabla16[#All],9,FALSE)</f>
        <v>1</v>
      </c>
      <c r="H107" s="82">
        <f>IFERROR(D107*Formulario!$B$24,"")</f>
        <v>10450</v>
      </c>
      <c r="I107" s="88"/>
      <c r="J107" s="88"/>
      <c r="K107" s="88"/>
      <c r="L107" s="88"/>
    </row>
    <row r="108" spans="1:12">
      <c r="A108" s="288">
        <v>16</v>
      </c>
      <c r="B108" s="289" t="s">
        <v>3773</v>
      </c>
      <c r="C108" s="289" t="s">
        <v>69</v>
      </c>
      <c r="D108" s="289">
        <v>11000</v>
      </c>
      <c r="E108" s="176">
        <f>INDEX(Caracteristicas_agronomicas!J:J,MATCH(B108,Caracteristicas_agronomicas!C:C,0))</f>
        <v>204</v>
      </c>
      <c r="F108" s="290">
        <f t="shared" si="1"/>
        <v>7.5490196078431371</v>
      </c>
      <c r="G108" s="290">
        <f>VLOOKUP(Tabla1715[[#This Row],[Cultivo]],Tabla16[#All],9,FALSE)</f>
        <v>1</v>
      </c>
      <c r="H108" s="82">
        <f>IFERROR(D108*Formulario!$B$24,"")</f>
        <v>10450</v>
      </c>
      <c r="I108" s="88"/>
      <c r="J108" s="88"/>
      <c r="K108" s="88"/>
      <c r="L108" s="88"/>
    </row>
    <row r="109" spans="1:12">
      <c r="A109" s="291">
        <v>17</v>
      </c>
      <c r="B109" s="120" t="s">
        <v>3773</v>
      </c>
      <c r="C109" s="120" t="s">
        <v>69</v>
      </c>
      <c r="D109" s="120">
        <v>11000</v>
      </c>
      <c r="E109" s="176">
        <f>INDEX(Caracteristicas_agronomicas!J:J,MATCH(B109,Caracteristicas_agronomicas!C:C,0))</f>
        <v>204</v>
      </c>
      <c r="F109" s="290">
        <f t="shared" si="1"/>
        <v>7.5490196078431371</v>
      </c>
      <c r="G109" s="290">
        <f>VLOOKUP(Tabla1715[[#This Row],[Cultivo]],Tabla16[#All],9,FALSE)</f>
        <v>1</v>
      </c>
      <c r="H109" s="82">
        <f>IFERROR(D109*Formulario!$B$24,"")</f>
        <v>10450</v>
      </c>
      <c r="I109" s="88"/>
      <c r="J109" s="88"/>
      <c r="K109" s="88"/>
      <c r="L109" s="88"/>
    </row>
    <row r="110" spans="1:12">
      <c r="A110" s="288">
        <v>18</v>
      </c>
      <c r="B110" s="289" t="s">
        <v>3773</v>
      </c>
      <c r="C110" s="289" t="s">
        <v>69</v>
      </c>
      <c r="D110" s="289">
        <v>11000</v>
      </c>
      <c r="E110" s="176">
        <f>INDEX(Caracteristicas_agronomicas!J:J,MATCH(B110,Caracteristicas_agronomicas!C:C,0))</f>
        <v>204</v>
      </c>
      <c r="F110" s="290">
        <f t="shared" si="1"/>
        <v>7.5490196078431371</v>
      </c>
      <c r="G110" s="290">
        <f>VLOOKUP(Tabla1715[[#This Row],[Cultivo]],Tabla16[#All],9,FALSE)</f>
        <v>1</v>
      </c>
      <c r="H110" s="82">
        <f>IFERROR(D110*Formulario!$B$24,"")</f>
        <v>10450</v>
      </c>
      <c r="I110" s="88"/>
      <c r="J110" s="88"/>
      <c r="K110" s="88"/>
      <c r="L110" s="88"/>
    </row>
    <row r="111" spans="1:12">
      <c r="A111" s="291">
        <v>19</v>
      </c>
      <c r="B111" s="120" t="s">
        <v>3773</v>
      </c>
      <c r="C111" s="120" t="s">
        <v>69</v>
      </c>
      <c r="D111" s="120">
        <v>11000</v>
      </c>
      <c r="E111" s="176">
        <f>INDEX(Caracteristicas_agronomicas!J:J,MATCH(B111,Caracteristicas_agronomicas!C:C,0))</f>
        <v>204</v>
      </c>
      <c r="F111" s="290">
        <f t="shared" si="1"/>
        <v>7.5490196078431371</v>
      </c>
      <c r="G111" s="290">
        <f>VLOOKUP(Tabla1715[[#This Row],[Cultivo]],Tabla16[#All],9,FALSE)</f>
        <v>1</v>
      </c>
      <c r="H111" s="82">
        <f>IFERROR(D111*Formulario!$B$24,"")</f>
        <v>10450</v>
      </c>
      <c r="I111" s="88"/>
      <c r="J111" s="88"/>
      <c r="K111" s="88"/>
      <c r="L111" s="88"/>
    </row>
    <row r="112" spans="1:12">
      <c r="A112" s="288">
        <v>20</v>
      </c>
      <c r="B112" s="289" t="s">
        <v>3773</v>
      </c>
      <c r="C112" s="289" t="s">
        <v>69</v>
      </c>
      <c r="D112" s="289">
        <v>11000</v>
      </c>
      <c r="E112" s="176">
        <f>INDEX(Caracteristicas_agronomicas!J:J,MATCH(B112,Caracteristicas_agronomicas!C:C,0))</f>
        <v>204</v>
      </c>
      <c r="F112" s="290">
        <f t="shared" si="1"/>
        <v>7.5490196078431371</v>
      </c>
      <c r="G112" s="290">
        <f>VLOOKUP(Tabla1715[[#This Row],[Cultivo]],Tabla16[#All],9,FALSE)</f>
        <v>1</v>
      </c>
      <c r="H112" s="82">
        <f>IFERROR(D112*Formulario!$B$24,"")</f>
        <v>10450</v>
      </c>
      <c r="I112" s="88"/>
      <c r="J112" s="88"/>
      <c r="K112" s="88"/>
      <c r="L112" s="88"/>
    </row>
    <row r="113" spans="1:12">
      <c r="A113" s="291">
        <v>1</v>
      </c>
      <c r="B113" s="120" t="s">
        <v>3771</v>
      </c>
      <c r="C113" s="120" t="s">
        <v>53</v>
      </c>
      <c r="D113" s="120">
        <v>0</v>
      </c>
      <c r="E113" s="176">
        <f>INDEX(Caracteristicas_agronomicas!J:J,MATCH(B113,Caracteristicas_agronomicas!C:C,0))</f>
        <v>250</v>
      </c>
      <c r="F113" s="290">
        <f t="shared" si="1"/>
        <v>6.16</v>
      </c>
      <c r="G113" s="290">
        <f>VLOOKUP(Tabla1715[[#This Row],[Cultivo]],Tabla16[#All],9,FALSE)</f>
        <v>0.8</v>
      </c>
      <c r="H113" s="82">
        <f>IFERROR(D113*Formulario!$B$24,"")</f>
        <v>0</v>
      </c>
      <c r="I113" s="88"/>
      <c r="J113" s="88"/>
      <c r="K113" s="88"/>
      <c r="L113" s="88"/>
    </row>
    <row r="114" spans="1:12">
      <c r="A114" s="288">
        <v>2</v>
      </c>
      <c r="B114" s="289" t="s">
        <v>3771</v>
      </c>
      <c r="C114" s="289" t="s">
        <v>68</v>
      </c>
      <c r="D114" s="289">
        <v>0</v>
      </c>
      <c r="E114" s="176">
        <f>INDEX(Caracteristicas_agronomicas!J:J,MATCH(B114,Caracteristicas_agronomicas!C:C,0))</f>
        <v>250</v>
      </c>
      <c r="F114" s="290">
        <f t="shared" si="1"/>
        <v>6.16</v>
      </c>
      <c r="G114" s="290">
        <f>VLOOKUP(Tabla1715[[#This Row],[Cultivo]],Tabla16[#All],9,FALSE)</f>
        <v>0.8</v>
      </c>
      <c r="H114" s="82">
        <f>IFERROR(D114*Formulario!$B$24,"")</f>
        <v>0</v>
      </c>
      <c r="I114" s="88"/>
      <c r="J114" s="88"/>
      <c r="K114" s="88"/>
      <c r="L114" s="88"/>
    </row>
    <row r="115" spans="1:12">
      <c r="A115" s="291">
        <v>3</v>
      </c>
      <c r="B115" s="120" t="s">
        <v>3771</v>
      </c>
      <c r="C115" s="120" t="s">
        <v>69</v>
      </c>
      <c r="D115" s="120">
        <v>1500</v>
      </c>
      <c r="E115" s="176">
        <f>INDEX(Caracteristicas_agronomicas!J:J,MATCH(B115,Caracteristicas_agronomicas!C:C,0))</f>
        <v>250</v>
      </c>
      <c r="F115" s="290">
        <f t="shared" si="1"/>
        <v>6.16</v>
      </c>
      <c r="G115" s="290">
        <f>VLOOKUP(Tabla1715[[#This Row],[Cultivo]],Tabla16[#All],9,FALSE)</f>
        <v>0.8</v>
      </c>
      <c r="H115" s="82">
        <f>IFERROR(D115*Formulario!$B$24,"")</f>
        <v>1425</v>
      </c>
      <c r="I115" s="88"/>
      <c r="J115" s="88"/>
      <c r="K115" s="88"/>
      <c r="L115" s="88"/>
    </row>
    <row r="116" spans="1:12">
      <c r="A116" s="298">
        <v>4</v>
      </c>
      <c r="B116" s="289" t="s">
        <v>3771</v>
      </c>
      <c r="C116" s="289" t="s">
        <v>69</v>
      </c>
      <c r="D116" s="289">
        <v>6000</v>
      </c>
      <c r="E116" s="176">
        <f>INDEX(Caracteristicas_agronomicas!J:J,MATCH(B116,Caracteristicas_agronomicas!C:C,0))</f>
        <v>250</v>
      </c>
      <c r="F116" s="290">
        <f t="shared" si="1"/>
        <v>6.16</v>
      </c>
      <c r="G116" s="290">
        <f>VLOOKUP(Tabla1715[[#This Row],[Cultivo]],Tabla16[#All],9,FALSE)</f>
        <v>0.8</v>
      </c>
      <c r="H116" s="82">
        <f>IFERROR(D116*Formulario!$B$24,"")</f>
        <v>5700</v>
      </c>
      <c r="I116" s="88"/>
      <c r="J116" s="88"/>
      <c r="K116" s="88"/>
      <c r="L116" s="88"/>
    </row>
    <row r="117" spans="1:12">
      <c r="A117" s="299">
        <v>5</v>
      </c>
      <c r="B117" s="120" t="s">
        <v>3771</v>
      </c>
      <c r="C117" s="120" t="s">
        <v>69</v>
      </c>
      <c r="D117" s="120">
        <v>12000</v>
      </c>
      <c r="E117" s="176">
        <f>INDEX(Caracteristicas_agronomicas!J:J,MATCH(B117,Caracteristicas_agronomicas!C:C,0))</f>
        <v>250</v>
      </c>
      <c r="F117" s="290">
        <f t="shared" si="1"/>
        <v>6.16</v>
      </c>
      <c r="G117" s="290">
        <f>VLOOKUP(Tabla1715[[#This Row],[Cultivo]],Tabla16[#All],9,FALSE)</f>
        <v>0.8</v>
      </c>
      <c r="H117" s="82">
        <f>IFERROR(D117*Formulario!$B$24,"")</f>
        <v>11400</v>
      </c>
      <c r="I117" s="88"/>
      <c r="J117" s="88"/>
      <c r="K117" s="88"/>
      <c r="L117" s="88"/>
    </row>
    <row r="118" spans="1:12">
      <c r="A118" s="298">
        <v>6</v>
      </c>
      <c r="B118" s="289" t="s">
        <v>3771</v>
      </c>
      <c r="C118" s="289" t="s">
        <v>69</v>
      </c>
      <c r="D118" s="289">
        <v>15000</v>
      </c>
      <c r="E118" s="176">
        <f>INDEX(Caracteristicas_agronomicas!J:J,MATCH(B118,Caracteristicas_agronomicas!C:C,0))</f>
        <v>250</v>
      </c>
      <c r="F118" s="290">
        <f t="shared" si="1"/>
        <v>6.16</v>
      </c>
      <c r="G118" s="290">
        <f>VLOOKUP(Tabla1715[[#This Row],[Cultivo]],Tabla16[#All],9,FALSE)</f>
        <v>0.8</v>
      </c>
      <c r="H118" s="82">
        <f>IFERROR(D118*Formulario!$B$24,"")</f>
        <v>14250</v>
      </c>
      <c r="I118" s="88"/>
      <c r="J118" s="88"/>
      <c r="K118" s="88"/>
      <c r="L118" s="88"/>
    </row>
    <row r="119" spans="1:12">
      <c r="A119" s="299">
        <v>7</v>
      </c>
      <c r="B119" s="120" t="s">
        <v>3771</v>
      </c>
      <c r="C119" s="120" t="s">
        <v>69</v>
      </c>
      <c r="D119" s="120">
        <v>14500</v>
      </c>
      <c r="E119" s="176">
        <f>INDEX(Caracteristicas_agronomicas!J:J,MATCH(B119,Caracteristicas_agronomicas!C:C,0))</f>
        <v>250</v>
      </c>
      <c r="F119" s="290">
        <f t="shared" si="1"/>
        <v>6.16</v>
      </c>
      <c r="G119" s="290">
        <f>VLOOKUP(Tabla1715[[#This Row],[Cultivo]],Tabla16[#All],9,FALSE)</f>
        <v>0.8</v>
      </c>
      <c r="H119" s="82">
        <f>IFERROR(D119*Formulario!$B$24,"")</f>
        <v>13775</v>
      </c>
      <c r="I119" s="88"/>
      <c r="J119" s="88"/>
      <c r="K119" s="88"/>
      <c r="L119" s="88"/>
    </row>
    <row r="120" spans="1:12">
      <c r="A120" s="298">
        <v>8</v>
      </c>
      <c r="B120" s="289" t="s">
        <v>3771</v>
      </c>
      <c r="C120" s="289" t="s">
        <v>69</v>
      </c>
      <c r="D120" s="289">
        <v>14000</v>
      </c>
      <c r="E120" s="176">
        <f>INDEX(Caracteristicas_agronomicas!J:J,MATCH(B120,Caracteristicas_agronomicas!C:C,0))</f>
        <v>250</v>
      </c>
      <c r="F120" s="290">
        <f t="shared" si="1"/>
        <v>6.16</v>
      </c>
      <c r="G120" s="290">
        <f>VLOOKUP(Tabla1715[[#This Row],[Cultivo]],Tabla16[#All],9,FALSE)</f>
        <v>0.8</v>
      </c>
      <c r="H120" s="82">
        <f>IFERROR(D120*Formulario!$B$24,"")</f>
        <v>13300</v>
      </c>
      <c r="I120" s="88"/>
      <c r="J120" s="88"/>
      <c r="K120" s="88"/>
      <c r="L120" s="88"/>
    </row>
    <row r="121" spans="1:12">
      <c r="A121" s="299">
        <v>9</v>
      </c>
      <c r="B121" s="120" t="s">
        <v>3771</v>
      </c>
      <c r="C121" s="120" t="s">
        <v>69</v>
      </c>
      <c r="D121" s="120">
        <v>13500</v>
      </c>
      <c r="E121" s="176">
        <f>INDEX(Caracteristicas_agronomicas!J:J,MATCH(B121,Caracteristicas_agronomicas!C:C,0))</f>
        <v>250</v>
      </c>
      <c r="F121" s="290">
        <f t="shared" si="1"/>
        <v>6.16</v>
      </c>
      <c r="G121" s="290">
        <f>VLOOKUP(Tabla1715[[#This Row],[Cultivo]],Tabla16[#All],9,FALSE)</f>
        <v>0.8</v>
      </c>
      <c r="H121" s="82">
        <f>IFERROR(D121*Formulario!$B$24,"")</f>
        <v>12825</v>
      </c>
      <c r="I121" s="88"/>
      <c r="J121" s="88"/>
      <c r="K121" s="88"/>
      <c r="L121" s="88"/>
    </row>
    <row r="122" spans="1:12">
      <c r="A122" s="298">
        <v>10</v>
      </c>
      <c r="B122" s="289" t="s">
        <v>3771</v>
      </c>
      <c r="C122" s="289" t="s">
        <v>69</v>
      </c>
      <c r="D122" s="289">
        <v>13000</v>
      </c>
      <c r="E122" s="176">
        <f>INDEX(Caracteristicas_agronomicas!J:J,MATCH(B122,Caracteristicas_agronomicas!C:C,0))</f>
        <v>250</v>
      </c>
      <c r="F122" s="290">
        <f t="shared" si="1"/>
        <v>6.16</v>
      </c>
      <c r="G122" s="290">
        <f>VLOOKUP(Tabla1715[[#This Row],[Cultivo]],Tabla16[#All],9,FALSE)</f>
        <v>0.8</v>
      </c>
      <c r="H122" s="82">
        <f>IFERROR(D122*Formulario!$B$24,"")</f>
        <v>12350</v>
      </c>
      <c r="I122" s="88"/>
      <c r="J122" s="88"/>
      <c r="K122" s="88"/>
      <c r="L122" s="88"/>
    </row>
    <row r="123" spans="1:12">
      <c r="A123" s="299">
        <v>11</v>
      </c>
      <c r="B123" s="120" t="s">
        <v>3771</v>
      </c>
      <c r="C123" s="120" t="s">
        <v>69</v>
      </c>
      <c r="D123" s="120">
        <v>12500</v>
      </c>
      <c r="E123" s="176">
        <f>INDEX(Caracteristicas_agronomicas!J:J,MATCH(B123,Caracteristicas_agronomicas!C:C,0))</f>
        <v>250</v>
      </c>
      <c r="F123" s="290">
        <f t="shared" si="1"/>
        <v>6.16</v>
      </c>
      <c r="G123" s="290">
        <f>VLOOKUP(Tabla1715[[#This Row],[Cultivo]],Tabla16[#All],9,FALSE)</f>
        <v>0.8</v>
      </c>
      <c r="H123" s="82">
        <f>IFERROR(D123*Formulario!$B$24,"")</f>
        <v>11875</v>
      </c>
      <c r="I123" s="88"/>
      <c r="J123" s="88"/>
      <c r="K123" s="88"/>
      <c r="L123" s="88"/>
    </row>
    <row r="124" spans="1:12">
      <c r="A124" s="298">
        <v>12</v>
      </c>
      <c r="B124" s="289" t="s">
        <v>3771</v>
      </c>
      <c r="C124" s="289" t="s">
        <v>69</v>
      </c>
      <c r="D124" s="289">
        <v>12000</v>
      </c>
      <c r="E124" s="176">
        <f>INDEX(Caracteristicas_agronomicas!J:J,MATCH(B124,Caracteristicas_agronomicas!C:C,0))</f>
        <v>250</v>
      </c>
      <c r="F124" s="290">
        <f t="shared" si="1"/>
        <v>6.16</v>
      </c>
      <c r="G124" s="290">
        <f>VLOOKUP(Tabla1715[[#This Row],[Cultivo]],Tabla16[#All],9,FALSE)</f>
        <v>0.8</v>
      </c>
      <c r="H124" s="82">
        <f>IFERROR(D124*Formulario!$B$24,"")</f>
        <v>11400</v>
      </c>
      <c r="I124" s="88"/>
      <c r="J124" s="88"/>
      <c r="K124" s="88"/>
      <c r="L124" s="88"/>
    </row>
    <row r="125" spans="1:12">
      <c r="A125" s="299">
        <v>13</v>
      </c>
      <c r="B125" s="120" t="s">
        <v>3771</v>
      </c>
      <c r="C125" s="120" t="s">
        <v>69</v>
      </c>
      <c r="D125" s="120">
        <v>12000</v>
      </c>
      <c r="E125" s="176">
        <f>INDEX(Caracteristicas_agronomicas!J:J,MATCH(B125,Caracteristicas_agronomicas!C:C,0))</f>
        <v>250</v>
      </c>
      <c r="F125" s="290">
        <f t="shared" si="1"/>
        <v>6.16</v>
      </c>
      <c r="G125" s="290">
        <f>VLOOKUP(Tabla1715[[#This Row],[Cultivo]],Tabla16[#All],9,FALSE)</f>
        <v>0.8</v>
      </c>
      <c r="H125" s="82">
        <f>IFERROR(D125*Formulario!$B$24,"")</f>
        <v>11400</v>
      </c>
      <c r="I125" s="88"/>
      <c r="J125" s="88"/>
      <c r="K125" s="88"/>
      <c r="L125" s="88"/>
    </row>
    <row r="126" spans="1:12">
      <c r="A126" s="288">
        <v>14</v>
      </c>
      <c r="B126" s="289" t="s">
        <v>3771</v>
      </c>
      <c r="C126" s="289" t="s">
        <v>69</v>
      </c>
      <c r="D126" s="289">
        <v>12000</v>
      </c>
      <c r="E126" s="176">
        <f>INDEX(Caracteristicas_agronomicas!J:J,MATCH(B126,Caracteristicas_agronomicas!C:C,0))</f>
        <v>250</v>
      </c>
      <c r="F126" s="290">
        <f t="shared" si="1"/>
        <v>6.16</v>
      </c>
      <c r="G126" s="290">
        <f>VLOOKUP(Tabla1715[[#This Row],[Cultivo]],Tabla16[#All],9,FALSE)</f>
        <v>0.8</v>
      </c>
      <c r="H126" s="82">
        <f>IFERROR(D126*Formulario!$B$24,"")</f>
        <v>11400</v>
      </c>
      <c r="I126" s="88"/>
      <c r="J126" s="88"/>
      <c r="K126" s="88"/>
      <c r="L126" s="88"/>
    </row>
    <row r="127" spans="1:12">
      <c r="A127" s="291">
        <v>15</v>
      </c>
      <c r="B127" s="120" t="s">
        <v>3771</v>
      </c>
      <c r="C127" s="120" t="s">
        <v>69</v>
      </c>
      <c r="D127" s="120">
        <v>12000</v>
      </c>
      <c r="E127" s="176">
        <f>INDEX(Caracteristicas_agronomicas!J:J,MATCH(B127,Caracteristicas_agronomicas!C:C,0))</f>
        <v>250</v>
      </c>
      <c r="F127" s="290">
        <f t="shared" si="1"/>
        <v>6.16</v>
      </c>
      <c r="G127" s="290">
        <f>VLOOKUP(Tabla1715[[#This Row],[Cultivo]],Tabla16[#All],9,FALSE)</f>
        <v>0.8</v>
      </c>
      <c r="H127" s="82">
        <f>IFERROR(D127*Formulario!$B$24,"")</f>
        <v>11400</v>
      </c>
      <c r="I127" s="88"/>
      <c r="J127" s="88"/>
      <c r="K127" s="88"/>
      <c r="L127" s="88"/>
    </row>
    <row r="128" spans="1:12">
      <c r="A128" s="288">
        <v>16</v>
      </c>
      <c r="B128" s="289" t="s">
        <v>3771</v>
      </c>
      <c r="C128" s="289" t="s">
        <v>69</v>
      </c>
      <c r="D128" s="289">
        <v>12000</v>
      </c>
      <c r="E128" s="176">
        <f>INDEX(Caracteristicas_agronomicas!J:J,MATCH(B128,Caracteristicas_agronomicas!C:C,0))</f>
        <v>250</v>
      </c>
      <c r="F128" s="290">
        <f t="shared" si="1"/>
        <v>6.16</v>
      </c>
      <c r="G128" s="290">
        <f>VLOOKUP(Tabla1715[[#This Row],[Cultivo]],Tabla16[#All],9,FALSE)</f>
        <v>0.8</v>
      </c>
      <c r="H128" s="82">
        <f>IFERROR(D128*Formulario!$B$24,"")</f>
        <v>11400</v>
      </c>
      <c r="I128" s="88"/>
      <c r="J128" s="88"/>
      <c r="K128" s="88"/>
      <c r="L128" s="88"/>
    </row>
    <row r="129" spans="1:12">
      <c r="A129" s="291">
        <v>17</v>
      </c>
      <c r="B129" s="120" t="s">
        <v>3771</v>
      </c>
      <c r="C129" s="120" t="s">
        <v>69</v>
      </c>
      <c r="D129" s="120">
        <v>12000</v>
      </c>
      <c r="E129" s="176">
        <f>INDEX(Caracteristicas_agronomicas!J:J,MATCH(B129,Caracteristicas_agronomicas!C:C,0))</f>
        <v>250</v>
      </c>
      <c r="F129" s="290">
        <f t="shared" si="1"/>
        <v>6.16</v>
      </c>
      <c r="G129" s="290">
        <f>VLOOKUP(Tabla1715[[#This Row],[Cultivo]],Tabla16[#All],9,FALSE)</f>
        <v>0.8</v>
      </c>
      <c r="H129" s="82">
        <f>IFERROR(D129*Formulario!$B$24,"")</f>
        <v>11400</v>
      </c>
      <c r="I129" s="88"/>
      <c r="J129" s="88"/>
      <c r="K129" s="88"/>
      <c r="L129" s="88"/>
    </row>
    <row r="130" spans="1:12">
      <c r="A130" s="288">
        <v>18</v>
      </c>
      <c r="B130" s="289" t="s">
        <v>3771</v>
      </c>
      <c r="C130" s="289" t="s">
        <v>69</v>
      </c>
      <c r="D130" s="289">
        <v>10000</v>
      </c>
      <c r="E130" s="176">
        <f>INDEX(Caracteristicas_agronomicas!J:J,MATCH(B130,Caracteristicas_agronomicas!C:C,0))</f>
        <v>250</v>
      </c>
      <c r="F130" s="290">
        <f t="shared" ref="F130:F193" si="2">$J$2/E130</f>
        <v>6.16</v>
      </c>
      <c r="G130" s="290">
        <f>VLOOKUP(Tabla1715[[#This Row],[Cultivo]],Tabla16[#All],9,FALSE)</f>
        <v>0.8</v>
      </c>
      <c r="H130" s="82">
        <f>IFERROR(D130*Formulario!$B$24,"")</f>
        <v>9500</v>
      </c>
      <c r="I130" s="88"/>
      <c r="J130" s="88"/>
      <c r="K130" s="88"/>
      <c r="L130" s="88"/>
    </row>
    <row r="131" spans="1:12">
      <c r="A131" s="291">
        <v>19</v>
      </c>
      <c r="B131" s="120" t="s">
        <v>3771</v>
      </c>
      <c r="C131" s="120" t="s">
        <v>69</v>
      </c>
      <c r="D131" s="120">
        <v>9500</v>
      </c>
      <c r="E131" s="176">
        <f>INDEX(Caracteristicas_agronomicas!J:J,MATCH(B131,Caracteristicas_agronomicas!C:C,0))</f>
        <v>250</v>
      </c>
      <c r="F131" s="290">
        <f t="shared" si="2"/>
        <v>6.16</v>
      </c>
      <c r="G131" s="290">
        <f>VLOOKUP(Tabla1715[[#This Row],[Cultivo]],Tabla16[#All],9,FALSE)</f>
        <v>0.8</v>
      </c>
      <c r="H131" s="82">
        <f>IFERROR(D131*Formulario!$B$24,"")</f>
        <v>9025</v>
      </c>
      <c r="I131" s="88"/>
      <c r="J131" s="88"/>
      <c r="K131" s="88"/>
      <c r="L131" s="88"/>
    </row>
    <row r="132" spans="1:12">
      <c r="A132" s="288">
        <v>20</v>
      </c>
      <c r="B132" s="289" t="s">
        <v>3771</v>
      </c>
      <c r="C132" s="289" t="s">
        <v>69</v>
      </c>
      <c r="D132" s="289">
        <v>9000</v>
      </c>
      <c r="E132" s="176">
        <f>INDEX(Caracteristicas_agronomicas!J:J,MATCH(B132,Caracteristicas_agronomicas!C:C,0))</f>
        <v>250</v>
      </c>
      <c r="F132" s="290">
        <f t="shared" si="2"/>
        <v>6.16</v>
      </c>
      <c r="G132" s="290">
        <f>VLOOKUP(Tabla1715[[#This Row],[Cultivo]],Tabla16[#All],9,FALSE)</f>
        <v>0.8</v>
      </c>
      <c r="H132" s="82">
        <f>IFERROR(D132*Formulario!$B$24,"")</f>
        <v>8550</v>
      </c>
      <c r="I132" s="88"/>
      <c r="J132" s="88"/>
      <c r="K132" s="88"/>
      <c r="L132" s="88"/>
    </row>
    <row r="133" spans="1:12">
      <c r="A133" s="299">
        <v>1</v>
      </c>
      <c r="B133" s="120" t="s">
        <v>3775</v>
      </c>
      <c r="C133" s="120" t="s">
        <v>53</v>
      </c>
      <c r="D133" s="120">
        <v>0</v>
      </c>
      <c r="E133" s="176">
        <f>INDEX(Caracteristicas_agronomicas!J:J,MATCH(B133,Caracteristicas_agronomicas!C:C,0))</f>
        <v>277</v>
      </c>
      <c r="F133" s="290">
        <f t="shared" si="2"/>
        <v>5.5595667870036101</v>
      </c>
      <c r="G133" s="290">
        <f>VLOOKUP(Tabla1715[[#This Row],[Cultivo]],Tabla16[#All],9,FALSE)</f>
        <v>0.8</v>
      </c>
      <c r="H133" s="82">
        <f>IFERROR(D133*Formulario!$B$24,"")</f>
        <v>0</v>
      </c>
      <c r="I133" s="88"/>
      <c r="J133" s="88"/>
      <c r="K133" s="88"/>
      <c r="L133" s="88"/>
    </row>
    <row r="134" spans="1:12">
      <c r="A134" s="298">
        <v>2</v>
      </c>
      <c r="B134" s="289" t="s">
        <v>3775</v>
      </c>
      <c r="C134" s="289" t="s">
        <v>68</v>
      </c>
      <c r="D134" s="289">
        <v>0</v>
      </c>
      <c r="E134" s="176">
        <f>INDEX(Caracteristicas_agronomicas!J:J,MATCH(B134,Caracteristicas_agronomicas!C:C,0))</f>
        <v>277</v>
      </c>
      <c r="F134" s="290">
        <f t="shared" si="2"/>
        <v>5.5595667870036101</v>
      </c>
      <c r="G134" s="290">
        <f>VLOOKUP(Tabla1715[[#This Row],[Cultivo]],Tabla16[#All],9,FALSE)</f>
        <v>0.8</v>
      </c>
      <c r="H134" s="82">
        <f>IFERROR(D134*Formulario!$B$24,"")</f>
        <v>0</v>
      </c>
      <c r="I134" s="88"/>
      <c r="J134" s="88"/>
      <c r="K134" s="88"/>
      <c r="L134" s="88"/>
    </row>
    <row r="135" spans="1:12">
      <c r="A135" s="299">
        <v>3</v>
      </c>
      <c r="B135" s="120" t="s">
        <v>3775</v>
      </c>
      <c r="C135" s="120" t="s">
        <v>69</v>
      </c>
      <c r="D135" s="120">
        <v>5670</v>
      </c>
      <c r="E135" s="176">
        <f>INDEX(Caracteristicas_agronomicas!J:J,MATCH(B135,Caracteristicas_agronomicas!C:C,0))</f>
        <v>277</v>
      </c>
      <c r="F135" s="290">
        <f t="shared" si="2"/>
        <v>5.5595667870036101</v>
      </c>
      <c r="G135" s="290">
        <f>VLOOKUP(Tabla1715[[#This Row],[Cultivo]],Tabla16[#All],9,FALSE)</f>
        <v>0.8</v>
      </c>
      <c r="H135" s="82">
        <f>IFERROR(D135*Formulario!$B$24,"")</f>
        <v>5386.5</v>
      </c>
      <c r="I135" s="88"/>
      <c r="J135" s="88"/>
      <c r="K135" s="88"/>
      <c r="L135" s="88"/>
    </row>
    <row r="136" spans="1:12">
      <c r="A136" s="298">
        <v>4</v>
      </c>
      <c r="B136" s="289" t="s">
        <v>3775</v>
      </c>
      <c r="C136" s="289" t="s">
        <v>69</v>
      </c>
      <c r="D136" s="289">
        <v>11330</v>
      </c>
      <c r="E136" s="176">
        <f>INDEX(Caracteristicas_agronomicas!J:J,MATCH(B136,Caracteristicas_agronomicas!C:C,0))</f>
        <v>277</v>
      </c>
      <c r="F136" s="290">
        <f t="shared" si="2"/>
        <v>5.5595667870036101</v>
      </c>
      <c r="G136" s="290">
        <f>VLOOKUP(Tabla1715[[#This Row],[Cultivo]],Tabla16[#All],9,FALSE)</f>
        <v>0.8</v>
      </c>
      <c r="H136" s="82">
        <f>IFERROR(D136*Formulario!$B$24,"")</f>
        <v>10763.5</v>
      </c>
      <c r="I136" s="88"/>
      <c r="J136" s="88"/>
      <c r="K136" s="88"/>
      <c r="L136" s="88"/>
    </row>
    <row r="137" spans="1:12">
      <c r="A137" s="299">
        <v>5</v>
      </c>
      <c r="B137" s="120" t="s">
        <v>3775</v>
      </c>
      <c r="C137" s="120" t="s">
        <v>69</v>
      </c>
      <c r="D137" s="120">
        <v>17000</v>
      </c>
      <c r="E137" s="176">
        <f>INDEX(Caracteristicas_agronomicas!J:J,MATCH(B137,Caracteristicas_agronomicas!C:C,0))</f>
        <v>277</v>
      </c>
      <c r="F137" s="290">
        <f t="shared" si="2"/>
        <v>5.5595667870036101</v>
      </c>
      <c r="G137" s="290">
        <f>VLOOKUP(Tabla1715[[#This Row],[Cultivo]],Tabla16[#All],9,FALSE)</f>
        <v>0.8</v>
      </c>
      <c r="H137" s="82">
        <f>IFERROR(D137*Formulario!$B$24,"")</f>
        <v>16150</v>
      </c>
      <c r="I137" s="88"/>
      <c r="J137" s="88"/>
      <c r="K137" s="88"/>
      <c r="L137" s="88"/>
    </row>
    <row r="138" spans="1:12">
      <c r="A138" s="298">
        <v>6</v>
      </c>
      <c r="B138" s="289" t="s">
        <v>3775</v>
      </c>
      <c r="C138" s="289" t="s">
        <v>69</v>
      </c>
      <c r="D138" s="289">
        <v>17000</v>
      </c>
      <c r="E138" s="176">
        <f>INDEX(Caracteristicas_agronomicas!J:J,MATCH(B138,Caracteristicas_agronomicas!C:C,0))</f>
        <v>277</v>
      </c>
      <c r="F138" s="290">
        <f t="shared" si="2"/>
        <v>5.5595667870036101</v>
      </c>
      <c r="G138" s="290">
        <f>VLOOKUP(Tabla1715[[#This Row],[Cultivo]],Tabla16[#All],9,FALSE)</f>
        <v>0.8</v>
      </c>
      <c r="H138" s="82">
        <f>IFERROR(D138*Formulario!$B$24,"")</f>
        <v>16150</v>
      </c>
      <c r="I138" s="88"/>
      <c r="J138" s="88"/>
      <c r="K138" s="88"/>
      <c r="L138" s="88"/>
    </row>
    <row r="139" spans="1:12">
      <c r="A139" s="299">
        <v>7</v>
      </c>
      <c r="B139" s="120" t="s">
        <v>3775</v>
      </c>
      <c r="C139" s="120" t="s">
        <v>69</v>
      </c>
      <c r="D139" s="120">
        <v>17000</v>
      </c>
      <c r="E139" s="176">
        <f>INDEX(Caracteristicas_agronomicas!J:J,MATCH(B139,Caracteristicas_agronomicas!C:C,0))</f>
        <v>277</v>
      </c>
      <c r="F139" s="290">
        <f t="shared" si="2"/>
        <v>5.5595667870036101</v>
      </c>
      <c r="G139" s="290">
        <f>VLOOKUP(Tabla1715[[#This Row],[Cultivo]],Tabla16[#All],9,FALSE)</f>
        <v>0.8</v>
      </c>
      <c r="H139" s="82">
        <f>IFERROR(D139*Formulario!$B$24,"")</f>
        <v>16150</v>
      </c>
      <c r="I139" s="88"/>
      <c r="J139" s="88"/>
      <c r="K139" s="88"/>
      <c r="L139" s="88"/>
    </row>
    <row r="140" spans="1:12">
      <c r="A140" s="298">
        <v>8</v>
      </c>
      <c r="B140" s="289" t="s">
        <v>3775</v>
      </c>
      <c r="C140" s="289" t="s">
        <v>69</v>
      </c>
      <c r="D140" s="289">
        <v>17000</v>
      </c>
      <c r="E140" s="176">
        <f>INDEX(Caracteristicas_agronomicas!J:J,MATCH(B140,Caracteristicas_agronomicas!C:C,0))</f>
        <v>277</v>
      </c>
      <c r="F140" s="290">
        <f t="shared" si="2"/>
        <v>5.5595667870036101</v>
      </c>
      <c r="G140" s="290">
        <f>VLOOKUP(Tabla1715[[#This Row],[Cultivo]],Tabla16[#All],9,FALSE)</f>
        <v>0.8</v>
      </c>
      <c r="H140" s="82">
        <f>IFERROR(D140*Formulario!$B$24,"")</f>
        <v>16150</v>
      </c>
      <c r="I140" s="88"/>
      <c r="J140" s="88"/>
      <c r="K140" s="88"/>
      <c r="L140" s="88"/>
    </row>
    <row r="141" spans="1:12">
      <c r="A141" s="299">
        <v>9</v>
      </c>
      <c r="B141" s="120" t="s">
        <v>3775</v>
      </c>
      <c r="C141" s="120" t="s">
        <v>69</v>
      </c>
      <c r="D141" s="120">
        <v>17000</v>
      </c>
      <c r="E141" s="176">
        <f>INDEX(Caracteristicas_agronomicas!J:J,MATCH(B141,Caracteristicas_agronomicas!C:C,0))</f>
        <v>277</v>
      </c>
      <c r="F141" s="290">
        <f t="shared" si="2"/>
        <v>5.5595667870036101</v>
      </c>
      <c r="G141" s="290">
        <f>VLOOKUP(Tabla1715[[#This Row],[Cultivo]],Tabla16[#All],9,FALSE)</f>
        <v>0.8</v>
      </c>
      <c r="H141" s="82">
        <f>IFERROR(D141*Formulario!$B$24,"")</f>
        <v>16150</v>
      </c>
      <c r="I141" s="88"/>
      <c r="J141" s="88"/>
      <c r="K141" s="88"/>
      <c r="L141" s="88"/>
    </row>
    <row r="142" spans="1:12">
      <c r="A142" s="298">
        <v>10</v>
      </c>
      <c r="B142" s="289" t="s">
        <v>3775</v>
      </c>
      <c r="C142" s="289" t="s">
        <v>69</v>
      </c>
      <c r="D142" s="289">
        <v>17000</v>
      </c>
      <c r="E142" s="176">
        <f>INDEX(Caracteristicas_agronomicas!J:J,MATCH(B142,Caracteristicas_agronomicas!C:C,0))</f>
        <v>277</v>
      </c>
      <c r="F142" s="290">
        <f t="shared" si="2"/>
        <v>5.5595667870036101</v>
      </c>
      <c r="G142" s="290">
        <f>VLOOKUP(Tabla1715[[#This Row],[Cultivo]],Tabla16[#All],9,FALSE)</f>
        <v>0.8</v>
      </c>
      <c r="H142" s="82">
        <f>IFERROR(D142*Formulario!$B$24,"")</f>
        <v>16150</v>
      </c>
      <c r="I142" s="88"/>
      <c r="J142" s="88"/>
      <c r="K142" s="88"/>
      <c r="L142" s="88"/>
    </row>
    <row r="143" spans="1:12">
      <c r="A143" s="299">
        <v>11</v>
      </c>
      <c r="B143" s="120" t="s">
        <v>3775</v>
      </c>
      <c r="C143" s="120" t="s">
        <v>69</v>
      </c>
      <c r="D143" s="120">
        <v>17000</v>
      </c>
      <c r="E143" s="176">
        <f>INDEX(Caracteristicas_agronomicas!J:J,MATCH(B143,Caracteristicas_agronomicas!C:C,0))</f>
        <v>277</v>
      </c>
      <c r="F143" s="290">
        <f t="shared" si="2"/>
        <v>5.5595667870036101</v>
      </c>
      <c r="G143" s="290">
        <f>VLOOKUP(Tabla1715[[#This Row],[Cultivo]],Tabla16[#All],9,FALSE)</f>
        <v>0.8</v>
      </c>
      <c r="H143" s="82">
        <f>IFERROR(D143*Formulario!$B$24,"")</f>
        <v>16150</v>
      </c>
      <c r="I143" s="88"/>
      <c r="J143" s="88"/>
      <c r="K143" s="88"/>
      <c r="L143" s="88"/>
    </row>
    <row r="144" spans="1:12">
      <c r="A144" s="298">
        <v>12</v>
      </c>
      <c r="B144" s="289" t="s">
        <v>3775</v>
      </c>
      <c r="C144" s="289" t="s">
        <v>69</v>
      </c>
      <c r="D144" s="289">
        <v>17000</v>
      </c>
      <c r="E144" s="176">
        <f>INDEX(Caracteristicas_agronomicas!J:J,MATCH(B144,Caracteristicas_agronomicas!C:C,0))</f>
        <v>277</v>
      </c>
      <c r="F144" s="290">
        <f t="shared" si="2"/>
        <v>5.5595667870036101</v>
      </c>
      <c r="G144" s="290">
        <f>VLOOKUP(Tabla1715[[#This Row],[Cultivo]],Tabla16[#All],9,FALSE)</f>
        <v>0.8</v>
      </c>
      <c r="H144" s="82">
        <f>IFERROR(D144*Formulario!$B$24,"")</f>
        <v>16150</v>
      </c>
      <c r="I144" s="88"/>
      <c r="J144" s="88"/>
      <c r="K144" s="88"/>
      <c r="L144" s="88"/>
    </row>
    <row r="145" spans="1:12">
      <c r="A145" s="299">
        <v>13</v>
      </c>
      <c r="B145" s="120" t="s">
        <v>3775</v>
      </c>
      <c r="C145" s="120" t="s">
        <v>69</v>
      </c>
      <c r="D145" s="120">
        <v>17000</v>
      </c>
      <c r="E145" s="176">
        <f>INDEX(Caracteristicas_agronomicas!J:J,MATCH(B145,Caracteristicas_agronomicas!C:C,0))</f>
        <v>277</v>
      </c>
      <c r="F145" s="290">
        <f t="shared" si="2"/>
        <v>5.5595667870036101</v>
      </c>
      <c r="G145" s="290">
        <f>VLOOKUP(Tabla1715[[#This Row],[Cultivo]],Tabla16[#All],9,FALSE)</f>
        <v>0.8</v>
      </c>
      <c r="H145" s="82">
        <f>IFERROR(D145*Formulario!$B$24,"")</f>
        <v>16150</v>
      </c>
      <c r="I145" s="88"/>
      <c r="J145" s="88"/>
      <c r="K145" s="88"/>
      <c r="L145" s="88"/>
    </row>
    <row r="146" spans="1:12">
      <c r="A146" s="298">
        <v>14</v>
      </c>
      <c r="B146" s="289" t="s">
        <v>3775</v>
      </c>
      <c r="C146" s="289" t="s">
        <v>69</v>
      </c>
      <c r="D146" s="289">
        <v>17000</v>
      </c>
      <c r="E146" s="176">
        <f>INDEX(Caracteristicas_agronomicas!J:J,MATCH(B146,Caracteristicas_agronomicas!C:C,0))</f>
        <v>277</v>
      </c>
      <c r="F146" s="290">
        <f t="shared" si="2"/>
        <v>5.5595667870036101</v>
      </c>
      <c r="G146" s="290">
        <f>VLOOKUP(Tabla1715[[#This Row],[Cultivo]],Tabla16[#All],9,FALSE)</f>
        <v>0.8</v>
      </c>
      <c r="H146" s="82">
        <f>IFERROR(D146*Formulario!$B$24,"")</f>
        <v>16150</v>
      </c>
      <c r="I146" s="88"/>
      <c r="J146" s="88"/>
      <c r="K146" s="88"/>
      <c r="L146" s="88"/>
    </row>
    <row r="147" spans="1:12">
      <c r="A147" s="299">
        <v>15</v>
      </c>
      <c r="B147" s="120" t="s">
        <v>3775</v>
      </c>
      <c r="C147" s="120" t="s">
        <v>69</v>
      </c>
      <c r="D147" s="120">
        <v>17000</v>
      </c>
      <c r="E147" s="176">
        <f>INDEX(Caracteristicas_agronomicas!J:J,MATCH(B147,Caracteristicas_agronomicas!C:C,0))</f>
        <v>277</v>
      </c>
      <c r="F147" s="290">
        <f t="shared" si="2"/>
        <v>5.5595667870036101</v>
      </c>
      <c r="G147" s="290">
        <f>VLOOKUP(Tabla1715[[#This Row],[Cultivo]],Tabla16[#All],9,FALSE)</f>
        <v>0.8</v>
      </c>
      <c r="H147" s="82">
        <f>IFERROR(D147*Formulario!$B$24,"")</f>
        <v>16150</v>
      </c>
      <c r="I147" s="88"/>
      <c r="J147" s="88"/>
      <c r="K147" s="88"/>
      <c r="L147" s="88"/>
    </row>
    <row r="148" spans="1:12">
      <c r="A148" s="298">
        <v>1</v>
      </c>
      <c r="B148" s="289" t="s">
        <v>3776</v>
      </c>
      <c r="C148" s="289" t="s">
        <v>53</v>
      </c>
      <c r="D148" s="300">
        <v>0</v>
      </c>
      <c r="E148" s="176">
        <f>INDEX(Caracteristicas_agronomicas!J:J,MATCH(B148,Caracteristicas_agronomicas!C:C,0))</f>
        <v>236</v>
      </c>
      <c r="F148" s="290">
        <f t="shared" si="2"/>
        <v>6.5254237288135597</v>
      </c>
      <c r="G148" s="290">
        <f>VLOOKUP(Tabla1715[[#This Row],[Cultivo]],Tabla16[#All],9,FALSE)</f>
        <v>0.8</v>
      </c>
      <c r="H148" s="82">
        <f>IFERROR(D148*Formulario!$B$24,"")</f>
        <v>0</v>
      </c>
      <c r="I148" s="88"/>
      <c r="J148" s="88"/>
      <c r="K148" s="88"/>
      <c r="L148" s="88"/>
    </row>
    <row r="149" spans="1:12">
      <c r="A149" s="299">
        <v>2</v>
      </c>
      <c r="B149" s="120" t="s">
        <v>3776</v>
      </c>
      <c r="C149" s="120" t="s">
        <v>68</v>
      </c>
      <c r="D149" s="301">
        <v>0</v>
      </c>
      <c r="E149" s="176">
        <f>INDEX(Caracteristicas_agronomicas!J:J,MATCH(B149,Caracteristicas_agronomicas!C:C,0))</f>
        <v>236</v>
      </c>
      <c r="F149" s="290">
        <f t="shared" si="2"/>
        <v>6.5254237288135597</v>
      </c>
      <c r="G149" s="290">
        <f>VLOOKUP(Tabla1715[[#This Row],[Cultivo]],Tabla16[#All],9,FALSE)</f>
        <v>0.8</v>
      </c>
      <c r="H149" s="82">
        <f>IFERROR(D149*Formulario!$B$24,"")</f>
        <v>0</v>
      </c>
      <c r="I149" s="88"/>
      <c r="J149" s="88"/>
      <c r="K149" s="88"/>
      <c r="L149" s="88"/>
    </row>
    <row r="150" spans="1:12">
      <c r="A150" s="298">
        <v>3</v>
      </c>
      <c r="B150" s="289" t="s">
        <v>3776</v>
      </c>
      <c r="C150" s="289" t="s">
        <v>69</v>
      </c>
      <c r="D150" s="300">
        <v>0</v>
      </c>
      <c r="E150" s="176">
        <f>INDEX(Caracteristicas_agronomicas!J:J,MATCH(B150,Caracteristicas_agronomicas!C:C,0))</f>
        <v>236</v>
      </c>
      <c r="F150" s="290">
        <f t="shared" si="2"/>
        <v>6.5254237288135597</v>
      </c>
      <c r="G150" s="290">
        <f>VLOOKUP(Tabla1715[[#This Row],[Cultivo]],Tabla16[#All],9,FALSE)</f>
        <v>0.8</v>
      </c>
      <c r="H150" s="82">
        <f>IFERROR(D150*Formulario!$B$24,"")</f>
        <v>0</v>
      </c>
      <c r="I150" s="88"/>
      <c r="J150" s="88"/>
      <c r="K150" s="88"/>
      <c r="L150" s="88"/>
    </row>
    <row r="151" spans="1:12">
      <c r="A151" s="299">
        <v>4</v>
      </c>
      <c r="B151" s="120" t="s">
        <v>3776</v>
      </c>
      <c r="C151" s="120" t="s">
        <v>69</v>
      </c>
      <c r="D151" s="301">
        <v>4000</v>
      </c>
      <c r="E151" s="176">
        <f>INDEX(Caracteristicas_agronomicas!J:J,MATCH(B151,Caracteristicas_agronomicas!C:C,0))</f>
        <v>236</v>
      </c>
      <c r="F151" s="290">
        <f t="shared" si="2"/>
        <v>6.5254237288135597</v>
      </c>
      <c r="G151" s="290">
        <f>VLOOKUP(Tabla1715[[#This Row],[Cultivo]],Tabla16[#All],9,FALSE)</f>
        <v>0.8</v>
      </c>
      <c r="H151" s="82">
        <f>IFERROR(D151*Formulario!$B$24,"")</f>
        <v>3800</v>
      </c>
      <c r="I151" s="88"/>
      <c r="J151" s="88"/>
      <c r="K151" s="88"/>
      <c r="L151" s="88"/>
    </row>
    <row r="152" spans="1:12">
      <c r="A152" s="298">
        <v>5</v>
      </c>
      <c r="B152" s="289" t="s">
        <v>3776</v>
      </c>
      <c r="C152" s="289" t="s">
        <v>69</v>
      </c>
      <c r="D152" s="300">
        <v>10000</v>
      </c>
      <c r="E152" s="176">
        <f>INDEX(Caracteristicas_agronomicas!J:J,MATCH(B152,Caracteristicas_agronomicas!C:C,0))</f>
        <v>236</v>
      </c>
      <c r="F152" s="290">
        <f t="shared" si="2"/>
        <v>6.5254237288135597</v>
      </c>
      <c r="G152" s="290">
        <f>VLOOKUP(Tabla1715[[#This Row],[Cultivo]],Tabla16[#All],9,FALSE)</f>
        <v>0.8</v>
      </c>
      <c r="H152" s="82">
        <f>IFERROR(D152*Formulario!$B$24,"")</f>
        <v>9500</v>
      </c>
      <c r="I152" s="88"/>
      <c r="J152" s="88"/>
      <c r="K152" s="88"/>
      <c r="L152" s="88"/>
    </row>
    <row r="153" spans="1:12">
      <c r="A153" s="299">
        <v>6</v>
      </c>
      <c r="B153" s="120" t="s">
        <v>3776</v>
      </c>
      <c r="C153" s="120" t="s">
        <v>69</v>
      </c>
      <c r="D153" s="301">
        <v>10000</v>
      </c>
      <c r="E153" s="176">
        <f>INDEX(Caracteristicas_agronomicas!J:J,MATCH(B153,Caracteristicas_agronomicas!C:C,0))</f>
        <v>236</v>
      </c>
      <c r="F153" s="290">
        <f t="shared" si="2"/>
        <v>6.5254237288135597</v>
      </c>
      <c r="G153" s="290">
        <f>VLOOKUP(Tabla1715[[#This Row],[Cultivo]],Tabla16[#All],9,FALSE)</f>
        <v>0.8</v>
      </c>
      <c r="H153" s="82">
        <f>IFERROR(D153*Formulario!$B$24,"")</f>
        <v>9500</v>
      </c>
      <c r="I153" s="88"/>
      <c r="J153" s="88"/>
      <c r="K153" s="88"/>
      <c r="L153" s="88"/>
    </row>
    <row r="154" spans="1:12">
      <c r="A154" s="298">
        <v>7</v>
      </c>
      <c r="B154" s="289" t="s">
        <v>3776</v>
      </c>
      <c r="C154" s="289" t="s">
        <v>69</v>
      </c>
      <c r="D154" s="300">
        <v>20000</v>
      </c>
      <c r="E154" s="176">
        <f>INDEX(Caracteristicas_agronomicas!J:J,MATCH(B154,Caracteristicas_agronomicas!C:C,0))</f>
        <v>236</v>
      </c>
      <c r="F154" s="290">
        <f t="shared" si="2"/>
        <v>6.5254237288135597</v>
      </c>
      <c r="G154" s="290">
        <f>VLOOKUP(Tabla1715[[#This Row],[Cultivo]],Tabla16[#All],9,FALSE)</f>
        <v>0.8</v>
      </c>
      <c r="H154" s="82">
        <f>IFERROR(D154*Formulario!$B$24,"")</f>
        <v>19000</v>
      </c>
      <c r="I154" s="88"/>
      <c r="J154" s="88"/>
      <c r="K154" s="88"/>
      <c r="L154" s="88"/>
    </row>
    <row r="155" spans="1:12">
      <c r="A155" s="299">
        <v>8</v>
      </c>
      <c r="B155" s="120" t="s">
        <v>3776</v>
      </c>
      <c r="C155" s="120" t="s">
        <v>69</v>
      </c>
      <c r="D155" s="301">
        <v>20000</v>
      </c>
      <c r="E155" s="176">
        <f>INDEX(Caracteristicas_agronomicas!J:J,MATCH(B155,Caracteristicas_agronomicas!C:C,0))</f>
        <v>236</v>
      </c>
      <c r="F155" s="290">
        <f t="shared" si="2"/>
        <v>6.5254237288135597</v>
      </c>
      <c r="G155" s="290">
        <f>VLOOKUP(Tabla1715[[#This Row],[Cultivo]],Tabla16[#All],9,FALSE)</f>
        <v>0.8</v>
      </c>
      <c r="H155" s="82">
        <f>IFERROR(D155*Formulario!$B$24,"")</f>
        <v>19000</v>
      </c>
      <c r="I155" s="88"/>
      <c r="J155" s="88"/>
      <c r="K155" s="88"/>
      <c r="L155" s="88"/>
    </row>
    <row r="156" spans="1:12">
      <c r="A156" s="298">
        <v>9</v>
      </c>
      <c r="B156" s="289" t="s">
        <v>3776</v>
      </c>
      <c r="C156" s="289" t="s">
        <v>69</v>
      </c>
      <c r="D156" s="300">
        <v>20000</v>
      </c>
      <c r="E156" s="176">
        <f>INDEX(Caracteristicas_agronomicas!J:J,MATCH(B156,Caracteristicas_agronomicas!C:C,0))</f>
        <v>236</v>
      </c>
      <c r="F156" s="290">
        <f t="shared" si="2"/>
        <v>6.5254237288135597</v>
      </c>
      <c r="G156" s="290">
        <f>VLOOKUP(Tabla1715[[#This Row],[Cultivo]],Tabla16[#All],9,FALSE)</f>
        <v>0.8</v>
      </c>
      <c r="H156" s="82">
        <f>IFERROR(D156*Formulario!$B$24,"")</f>
        <v>19000</v>
      </c>
      <c r="I156" s="88"/>
      <c r="J156" s="88"/>
      <c r="K156" s="88"/>
      <c r="L156" s="88"/>
    </row>
    <row r="157" spans="1:12">
      <c r="A157" s="299">
        <v>10</v>
      </c>
      <c r="B157" s="120" t="s">
        <v>3776</v>
      </c>
      <c r="C157" s="120" t="s">
        <v>69</v>
      </c>
      <c r="D157" s="301">
        <v>20000</v>
      </c>
      <c r="E157" s="176">
        <f>INDEX(Caracteristicas_agronomicas!J:J,MATCH(B157,Caracteristicas_agronomicas!C:C,0))</f>
        <v>236</v>
      </c>
      <c r="F157" s="290">
        <f t="shared" si="2"/>
        <v>6.5254237288135597</v>
      </c>
      <c r="G157" s="290">
        <f>VLOOKUP(Tabla1715[[#This Row],[Cultivo]],Tabla16[#All],9,FALSE)</f>
        <v>0.8</v>
      </c>
      <c r="H157" s="82">
        <f>IFERROR(D157*Formulario!$B$24,"")</f>
        <v>19000</v>
      </c>
      <c r="I157" s="88"/>
      <c r="J157" s="88"/>
      <c r="K157" s="88"/>
      <c r="L157" s="88"/>
    </row>
    <row r="158" spans="1:12">
      <c r="A158" s="298">
        <v>11</v>
      </c>
      <c r="B158" s="289" t="s">
        <v>3776</v>
      </c>
      <c r="C158" s="289" t="s">
        <v>69</v>
      </c>
      <c r="D158" s="300">
        <v>20000</v>
      </c>
      <c r="E158" s="176">
        <f>INDEX(Caracteristicas_agronomicas!J:J,MATCH(B158,Caracteristicas_agronomicas!C:C,0))</f>
        <v>236</v>
      </c>
      <c r="F158" s="290">
        <f t="shared" si="2"/>
        <v>6.5254237288135597</v>
      </c>
      <c r="G158" s="290">
        <f>VLOOKUP(Tabla1715[[#This Row],[Cultivo]],Tabla16[#All],9,FALSE)</f>
        <v>0.8</v>
      </c>
      <c r="H158" s="82">
        <f>IFERROR(D158*Formulario!$B$24,"")</f>
        <v>19000</v>
      </c>
      <c r="I158" s="88"/>
      <c r="J158" s="88"/>
      <c r="K158" s="88"/>
      <c r="L158" s="88"/>
    </row>
    <row r="159" spans="1:12">
      <c r="A159" s="299">
        <v>12</v>
      </c>
      <c r="B159" s="120" t="s">
        <v>3776</v>
      </c>
      <c r="C159" s="120" t="s">
        <v>69</v>
      </c>
      <c r="D159" s="301">
        <v>20000</v>
      </c>
      <c r="E159" s="176">
        <f>INDEX(Caracteristicas_agronomicas!J:J,MATCH(B159,Caracteristicas_agronomicas!C:C,0))</f>
        <v>236</v>
      </c>
      <c r="F159" s="290">
        <f t="shared" si="2"/>
        <v>6.5254237288135597</v>
      </c>
      <c r="G159" s="290">
        <f>VLOOKUP(Tabla1715[[#This Row],[Cultivo]],Tabla16[#All],9,FALSE)</f>
        <v>0.8</v>
      </c>
      <c r="H159" s="82">
        <f>IFERROR(D159*Formulario!$B$24,"")</f>
        <v>19000</v>
      </c>
      <c r="I159" s="88"/>
      <c r="J159" s="88"/>
      <c r="K159" s="88"/>
      <c r="L159" s="88"/>
    </row>
    <row r="160" spans="1:12">
      <c r="A160" s="298">
        <v>13</v>
      </c>
      <c r="B160" s="289" t="s">
        <v>3776</v>
      </c>
      <c r="C160" s="289" t="s">
        <v>69</v>
      </c>
      <c r="D160" s="300">
        <v>20000</v>
      </c>
      <c r="E160" s="176">
        <f>INDEX(Caracteristicas_agronomicas!J:J,MATCH(B160,Caracteristicas_agronomicas!C:C,0))</f>
        <v>236</v>
      </c>
      <c r="F160" s="290">
        <f t="shared" si="2"/>
        <v>6.5254237288135597</v>
      </c>
      <c r="G160" s="290">
        <f>VLOOKUP(Tabla1715[[#This Row],[Cultivo]],Tabla16[#All],9,FALSE)</f>
        <v>0.8</v>
      </c>
      <c r="H160" s="82">
        <f>IFERROR(D160*Formulario!$B$24,"")</f>
        <v>19000</v>
      </c>
      <c r="I160" s="88"/>
      <c r="J160" s="88"/>
      <c r="K160" s="88"/>
      <c r="L160" s="88"/>
    </row>
    <row r="161" spans="1:12">
      <c r="A161" s="299">
        <v>14</v>
      </c>
      <c r="B161" s="120" t="s">
        <v>3776</v>
      </c>
      <c r="C161" s="120" t="s">
        <v>69</v>
      </c>
      <c r="D161" s="301">
        <v>20000</v>
      </c>
      <c r="E161" s="176">
        <f>INDEX(Caracteristicas_agronomicas!J:J,MATCH(B161,Caracteristicas_agronomicas!C:C,0))</f>
        <v>236</v>
      </c>
      <c r="F161" s="290">
        <f t="shared" si="2"/>
        <v>6.5254237288135597</v>
      </c>
      <c r="G161" s="290">
        <f>VLOOKUP(Tabla1715[[#This Row],[Cultivo]],Tabla16[#All],9,FALSE)</f>
        <v>0.8</v>
      </c>
      <c r="H161" s="82">
        <f>IFERROR(D161*Formulario!$B$24,"")</f>
        <v>19000</v>
      </c>
      <c r="I161" s="88"/>
      <c r="J161" s="88"/>
      <c r="K161" s="88"/>
      <c r="L161" s="88"/>
    </row>
    <row r="162" spans="1:12">
      <c r="A162" s="298">
        <v>15</v>
      </c>
      <c r="B162" s="289" t="s">
        <v>3776</v>
      </c>
      <c r="C162" s="289" t="s">
        <v>69</v>
      </c>
      <c r="D162" s="300">
        <v>20000</v>
      </c>
      <c r="E162" s="176">
        <f>INDEX(Caracteristicas_agronomicas!J:J,MATCH(B162,Caracteristicas_agronomicas!C:C,0))</f>
        <v>236</v>
      </c>
      <c r="F162" s="290">
        <f t="shared" si="2"/>
        <v>6.5254237288135597</v>
      </c>
      <c r="G162" s="290">
        <f>VLOOKUP(Tabla1715[[#This Row],[Cultivo]],Tabla16[#All],9,FALSE)</f>
        <v>0.8</v>
      </c>
      <c r="H162" s="82">
        <f>IFERROR(D162*Formulario!$B$24,"")</f>
        <v>19000</v>
      </c>
      <c r="I162" s="88"/>
      <c r="J162" s="88"/>
      <c r="K162" s="88"/>
      <c r="L162" s="88"/>
    </row>
    <row r="163" spans="1:12">
      <c r="A163" s="299">
        <v>16</v>
      </c>
      <c r="B163" s="120" t="s">
        <v>3776</v>
      </c>
      <c r="C163" s="120" t="s">
        <v>69</v>
      </c>
      <c r="D163" s="301">
        <v>20000</v>
      </c>
      <c r="E163" s="176">
        <f>INDEX(Caracteristicas_agronomicas!J:J,MATCH(B163,Caracteristicas_agronomicas!C:C,0))</f>
        <v>236</v>
      </c>
      <c r="F163" s="290">
        <f t="shared" si="2"/>
        <v>6.5254237288135597</v>
      </c>
      <c r="G163" s="290">
        <f>VLOOKUP(Tabla1715[[#This Row],[Cultivo]],Tabla16[#All],9,FALSE)</f>
        <v>0.8</v>
      </c>
      <c r="H163" s="82">
        <f>IFERROR(D163*Formulario!$B$24,"")</f>
        <v>19000</v>
      </c>
      <c r="I163" s="88"/>
      <c r="J163" s="88"/>
      <c r="K163" s="88"/>
      <c r="L163" s="88"/>
    </row>
    <row r="164" spans="1:12">
      <c r="A164" s="298">
        <v>17</v>
      </c>
      <c r="B164" s="289" t="s">
        <v>3776</v>
      </c>
      <c r="C164" s="289" t="s">
        <v>69</v>
      </c>
      <c r="D164" s="300">
        <v>20000</v>
      </c>
      <c r="E164" s="176">
        <f>INDEX(Caracteristicas_agronomicas!J:J,MATCH(B164,Caracteristicas_agronomicas!C:C,0))</f>
        <v>236</v>
      </c>
      <c r="F164" s="290">
        <f t="shared" si="2"/>
        <v>6.5254237288135597</v>
      </c>
      <c r="G164" s="290">
        <f>VLOOKUP(Tabla1715[[#This Row],[Cultivo]],Tabla16[#All],9,FALSE)</f>
        <v>0.8</v>
      </c>
      <c r="H164" s="82">
        <f>IFERROR(D164*Formulario!$B$24,"")</f>
        <v>19000</v>
      </c>
      <c r="I164" s="88"/>
      <c r="J164" s="88"/>
      <c r="K164" s="88"/>
      <c r="L164" s="88"/>
    </row>
    <row r="165" spans="1:12">
      <c r="A165" s="299">
        <v>18</v>
      </c>
      <c r="B165" s="120" t="s">
        <v>3776</v>
      </c>
      <c r="C165" s="120" t="s">
        <v>69</v>
      </c>
      <c r="D165" s="301">
        <v>20000</v>
      </c>
      <c r="E165" s="176">
        <f>INDEX(Caracteristicas_agronomicas!J:J,MATCH(B165,Caracteristicas_agronomicas!C:C,0))</f>
        <v>236</v>
      </c>
      <c r="F165" s="290">
        <f t="shared" si="2"/>
        <v>6.5254237288135597</v>
      </c>
      <c r="G165" s="290">
        <f>VLOOKUP(Tabla1715[[#This Row],[Cultivo]],Tabla16[#All],9,FALSE)</f>
        <v>0.8</v>
      </c>
      <c r="H165" s="82">
        <f>IFERROR(D165*Formulario!$B$24,"")</f>
        <v>19000</v>
      </c>
      <c r="I165" s="88"/>
      <c r="J165" s="88"/>
      <c r="K165" s="88"/>
      <c r="L165" s="88"/>
    </row>
    <row r="166" spans="1:12">
      <c r="A166" s="298">
        <v>19</v>
      </c>
      <c r="B166" s="289" t="s">
        <v>3776</v>
      </c>
      <c r="C166" s="289" t="s">
        <v>69</v>
      </c>
      <c r="D166" s="300">
        <v>12000</v>
      </c>
      <c r="E166" s="176">
        <f>INDEX(Caracteristicas_agronomicas!J:J,MATCH(B166,Caracteristicas_agronomicas!C:C,0))</f>
        <v>236</v>
      </c>
      <c r="F166" s="290">
        <f t="shared" si="2"/>
        <v>6.5254237288135597</v>
      </c>
      <c r="G166" s="290">
        <f>VLOOKUP(Tabla1715[[#This Row],[Cultivo]],Tabla16[#All],9,FALSE)</f>
        <v>0.8</v>
      </c>
      <c r="H166" s="82">
        <f>IFERROR(D166*Formulario!$B$24,"")</f>
        <v>11400</v>
      </c>
      <c r="I166" s="88"/>
      <c r="J166" s="88"/>
      <c r="K166" s="88"/>
      <c r="L166" s="88"/>
    </row>
    <row r="167" spans="1:12">
      <c r="A167" s="299">
        <v>20</v>
      </c>
      <c r="B167" s="120" t="s">
        <v>3776</v>
      </c>
      <c r="C167" s="120" t="s">
        <v>69</v>
      </c>
      <c r="D167" s="301">
        <v>5000</v>
      </c>
      <c r="E167" s="176">
        <f>INDEX(Caracteristicas_agronomicas!J:J,MATCH(B167,Caracteristicas_agronomicas!C:C,0))</f>
        <v>236</v>
      </c>
      <c r="F167" s="290">
        <f t="shared" si="2"/>
        <v>6.5254237288135597</v>
      </c>
      <c r="G167" s="290">
        <f>VLOOKUP(Tabla1715[[#This Row],[Cultivo]],Tabla16[#All],9,FALSE)</f>
        <v>0.8</v>
      </c>
      <c r="H167" s="82">
        <f>IFERROR(D167*Formulario!$B$24,"")</f>
        <v>4750</v>
      </c>
      <c r="I167" s="88"/>
      <c r="J167" s="88"/>
      <c r="K167" s="88"/>
      <c r="L167" s="88"/>
    </row>
    <row r="168" spans="1:12">
      <c r="A168" s="298">
        <v>1</v>
      </c>
      <c r="B168" s="289" t="s">
        <v>4064</v>
      </c>
      <c r="C168" s="289" t="s">
        <v>53</v>
      </c>
      <c r="D168" s="289">
        <v>0</v>
      </c>
      <c r="E168" s="176">
        <f>INDEX(Caracteristicas_agronomicas!J:J,MATCH(B168,Caracteristicas_agronomicas!C:C,0))</f>
        <v>235</v>
      </c>
      <c r="F168" s="290">
        <f t="shared" si="2"/>
        <v>6.5531914893617023</v>
      </c>
      <c r="G168" s="290">
        <f>VLOOKUP(Tabla1715[[#This Row],[Cultivo]],Tabla16[#All],9,FALSE)</f>
        <v>0.8</v>
      </c>
      <c r="H168" s="82">
        <f>IFERROR(D168*Formulario!$B$24,"")</f>
        <v>0</v>
      </c>
      <c r="I168" s="88"/>
      <c r="J168" s="88"/>
      <c r="K168" s="88"/>
      <c r="L168" s="88"/>
    </row>
    <row r="169" spans="1:12">
      <c r="A169" s="299">
        <v>2</v>
      </c>
      <c r="B169" s="120" t="s">
        <v>4064</v>
      </c>
      <c r="C169" s="120" t="s">
        <v>68</v>
      </c>
      <c r="D169" s="120">
        <v>0</v>
      </c>
      <c r="E169" s="176">
        <f>INDEX(Caracteristicas_agronomicas!J:J,MATCH(B169,Caracteristicas_agronomicas!C:C,0))</f>
        <v>235</v>
      </c>
      <c r="F169" s="290">
        <f t="shared" si="2"/>
        <v>6.5531914893617023</v>
      </c>
      <c r="G169" s="290">
        <f>VLOOKUP(Tabla1715[[#This Row],[Cultivo]],Tabla16[#All],9,FALSE)</f>
        <v>0.8</v>
      </c>
      <c r="H169" s="82">
        <f>IFERROR(D169*Formulario!$B$24,"")</f>
        <v>0</v>
      </c>
      <c r="I169" s="88"/>
      <c r="J169" s="88"/>
      <c r="K169" s="88"/>
      <c r="L169" s="88"/>
    </row>
    <row r="170" spans="1:12">
      <c r="A170" s="298">
        <v>3</v>
      </c>
      <c r="B170" s="289" t="s">
        <v>4064</v>
      </c>
      <c r="C170" s="289" t="s">
        <v>69</v>
      </c>
      <c r="D170" s="289">
        <v>8170</v>
      </c>
      <c r="E170" s="176">
        <f>INDEX(Caracteristicas_agronomicas!J:J,MATCH(B170,Caracteristicas_agronomicas!C:C,0))</f>
        <v>235</v>
      </c>
      <c r="F170" s="290">
        <f t="shared" si="2"/>
        <v>6.5531914893617023</v>
      </c>
      <c r="G170" s="290">
        <f>VLOOKUP(Tabla1715[[#This Row],[Cultivo]],Tabla16[#All],9,FALSE)</f>
        <v>0.8</v>
      </c>
      <c r="H170" s="82">
        <f>IFERROR(D170*Formulario!$B$24,"")</f>
        <v>7761.5</v>
      </c>
      <c r="I170" s="88"/>
      <c r="J170" s="88"/>
      <c r="K170" s="88"/>
      <c r="L170" s="88"/>
    </row>
    <row r="171" spans="1:12">
      <c r="A171" s="299">
        <v>4</v>
      </c>
      <c r="B171" s="120" t="s">
        <v>4064</v>
      </c>
      <c r="C171" s="120" t="s">
        <v>69</v>
      </c>
      <c r="D171" s="120">
        <v>16330</v>
      </c>
      <c r="E171" s="176">
        <f>INDEX(Caracteristicas_agronomicas!J:J,MATCH(B171,Caracteristicas_agronomicas!C:C,0))</f>
        <v>235</v>
      </c>
      <c r="F171" s="290">
        <f t="shared" si="2"/>
        <v>6.5531914893617023</v>
      </c>
      <c r="G171" s="290">
        <f>VLOOKUP(Tabla1715[[#This Row],[Cultivo]],Tabla16[#All],9,FALSE)</f>
        <v>0.8</v>
      </c>
      <c r="H171" s="82">
        <f>IFERROR(D171*Formulario!$B$24,"")</f>
        <v>15513.5</v>
      </c>
      <c r="I171" s="88"/>
      <c r="J171" s="88"/>
      <c r="K171" s="88"/>
      <c r="L171" s="88"/>
    </row>
    <row r="172" spans="1:12">
      <c r="A172" s="298">
        <v>5</v>
      </c>
      <c r="B172" s="289" t="s">
        <v>4064</v>
      </c>
      <c r="C172" s="289" t="s">
        <v>69</v>
      </c>
      <c r="D172" s="289">
        <v>24500</v>
      </c>
      <c r="E172" s="176">
        <f>INDEX(Caracteristicas_agronomicas!J:J,MATCH(B172,Caracteristicas_agronomicas!C:C,0))</f>
        <v>235</v>
      </c>
      <c r="F172" s="290">
        <f t="shared" si="2"/>
        <v>6.5531914893617023</v>
      </c>
      <c r="G172" s="290">
        <f>VLOOKUP(Tabla1715[[#This Row],[Cultivo]],Tabla16[#All],9,FALSE)</f>
        <v>0.8</v>
      </c>
      <c r="H172" s="82">
        <f>IFERROR(D172*Formulario!$B$24,"")</f>
        <v>23275</v>
      </c>
      <c r="I172" s="88"/>
      <c r="J172" s="88"/>
      <c r="K172" s="88"/>
      <c r="L172" s="88"/>
    </row>
    <row r="173" spans="1:12">
      <c r="A173" s="299">
        <v>6</v>
      </c>
      <c r="B173" s="120" t="s">
        <v>4064</v>
      </c>
      <c r="C173" s="120" t="s">
        <v>69</v>
      </c>
      <c r="D173" s="120">
        <v>24500</v>
      </c>
      <c r="E173" s="176">
        <f>INDEX(Caracteristicas_agronomicas!J:J,MATCH(B173,Caracteristicas_agronomicas!C:C,0))</f>
        <v>235</v>
      </c>
      <c r="F173" s="290">
        <f t="shared" si="2"/>
        <v>6.5531914893617023</v>
      </c>
      <c r="G173" s="290">
        <f>VLOOKUP(Tabla1715[[#This Row],[Cultivo]],Tabla16[#All],9,FALSE)</f>
        <v>0.8</v>
      </c>
      <c r="H173" s="82">
        <f>IFERROR(D173*Formulario!$B$24,"")</f>
        <v>23275</v>
      </c>
      <c r="I173" s="88"/>
      <c r="J173" s="88"/>
      <c r="K173" s="88"/>
      <c r="L173" s="88"/>
    </row>
    <row r="174" spans="1:12">
      <c r="A174" s="298">
        <v>7</v>
      </c>
      <c r="B174" s="289" t="s">
        <v>4064</v>
      </c>
      <c r="C174" s="289" t="s">
        <v>69</v>
      </c>
      <c r="D174" s="289">
        <v>24500</v>
      </c>
      <c r="E174" s="176">
        <f>INDEX(Caracteristicas_agronomicas!J:J,MATCH(B174,Caracteristicas_agronomicas!C:C,0))</f>
        <v>235</v>
      </c>
      <c r="F174" s="290">
        <f t="shared" si="2"/>
        <v>6.5531914893617023</v>
      </c>
      <c r="G174" s="290">
        <f>VLOOKUP(Tabla1715[[#This Row],[Cultivo]],Tabla16[#All],9,FALSE)</f>
        <v>0.8</v>
      </c>
      <c r="H174" s="82">
        <f>IFERROR(D174*Formulario!$B$24,"")</f>
        <v>23275</v>
      </c>
      <c r="I174" s="88"/>
      <c r="J174" s="88"/>
      <c r="K174" s="88"/>
      <c r="L174" s="88"/>
    </row>
    <row r="175" spans="1:12">
      <c r="A175" s="299">
        <v>8</v>
      </c>
      <c r="B175" s="120" t="s">
        <v>4064</v>
      </c>
      <c r="C175" s="120" t="s">
        <v>69</v>
      </c>
      <c r="D175" s="120">
        <v>24500</v>
      </c>
      <c r="E175" s="176">
        <f>INDEX(Caracteristicas_agronomicas!J:J,MATCH(B175,Caracteristicas_agronomicas!C:C,0))</f>
        <v>235</v>
      </c>
      <c r="F175" s="290">
        <f t="shared" si="2"/>
        <v>6.5531914893617023</v>
      </c>
      <c r="G175" s="290">
        <f>VLOOKUP(Tabla1715[[#This Row],[Cultivo]],Tabla16[#All],9,FALSE)</f>
        <v>0.8</v>
      </c>
      <c r="H175" s="82">
        <f>IFERROR(D175*Formulario!$B$24,"")</f>
        <v>23275</v>
      </c>
      <c r="I175" s="88"/>
      <c r="J175" s="88"/>
      <c r="K175" s="88"/>
      <c r="L175" s="88"/>
    </row>
    <row r="176" spans="1:12">
      <c r="A176" s="298">
        <v>9</v>
      </c>
      <c r="B176" s="289" t="s">
        <v>4064</v>
      </c>
      <c r="C176" s="289" t="s">
        <v>69</v>
      </c>
      <c r="D176" s="289">
        <v>24500</v>
      </c>
      <c r="E176" s="176">
        <f>INDEX(Caracteristicas_agronomicas!J:J,MATCH(B176,Caracteristicas_agronomicas!C:C,0))</f>
        <v>235</v>
      </c>
      <c r="F176" s="290">
        <f t="shared" si="2"/>
        <v>6.5531914893617023</v>
      </c>
      <c r="G176" s="290">
        <f>VLOOKUP(Tabla1715[[#This Row],[Cultivo]],Tabla16[#All],9,FALSE)</f>
        <v>0.8</v>
      </c>
      <c r="H176" s="82">
        <f>IFERROR(D176*Formulario!$B$24,"")</f>
        <v>23275</v>
      </c>
      <c r="I176" s="88"/>
      <c r="J176" s="88"/>
      <c r="K176" s="88"/>
      <c r="L176" s="88"/>
    </row>
    <row r="177" spans="1:12">
      <c r="A177" s="299">
        <v>10</v>
      </c>
      <c r="B177" s="120" t="s">
        <v>4064</v>
      </c>
      <c r="C177" s="120" t="s">
        <v>69</v>
      </c>
      <c r="D177" s="120">
        <v>24500</v>
      </c>
      <c r="E177" s="176">
        <f>INDEX(Caracteristicas_agronomicas!J:J,MATCH(B177,Caracteristicas_agronomicas!C:C,0))</f>
        <v>235</v>
      </c>
      <c r="F177" s="290">
        <f t="shared" si="2"/>
        <v>6.5531914893617023</v>
      </c>
      <c r="G177" s="290">
        <f>VLOOKUP(Tabla1715[[#This Row],[Cultivo]],Tabla16[#All],9,FALSE)</f>
        <v>0.8</v>
      </c>
      <c r="H177" s="82">
        <f>IFERROR(D177*Formulario!$B$24,"")</f>
        <v>23275</v>
      </c>
      <c r="I177" s="88"/>
      <c r="J177" s="88"/>
      <c r="K177" s="88"/>
      <c r="L177" s="88"/>
    </row>
    <row r="178" spans="1:12">
      <c r="A178" s="298">
        <v>11</v>
      </c>
      <c r="B178" s="289" t="s">
        <v>4064</v>
      </c>
      <c r="C178" s="289" t="s">
        <v>69</v>
      </c>
      <c r="D178" s="289">
        <v>24500</v>
      </c>
      <c r="E178" s="176">
        <f>INDEX(Caracteristicas_agronomicas!J:J,MATCH(B178,Caracteristicas_agronomicas!C:C,0))</f>
        <v>235</v>
      </c>
      <c r="F178" s="290">
        <f t="shared" si="2"/>
        <v>6.5531914893617023</v>
      </c>
      <c r="G178" s="290">
        <f>VLOOKUP(Tabla1715[[#This Row],[Cultivo]],Tabla16[#All],9,FALSE)</f>
        <v>0.8</v>
      </c>
      <c r="H178" s="82">
        <f>IFERROR(D178*Formulario!$B$24,"")</f>
        <v>23275</v>
      </c>
      <c r="I178" s="88"/>
      <c r="J178" s="88"/>
      <c r="K178" s="88"/>
      <c r="L178" s="88"/>
    </row>
    <row r="179" spans="1:12">
      <c r="A179" s="299">
        <v>12</v>
      </c>
      <c r="B179" s="120" t="s">
        <v>4064</v>
      </c>
      <c r="C179" s="120" t="s">
        <v>69</v>
      </c>
      <c r="D179" s="120">
        <v>24500</v>
      </c>
      <c r="E179" s="176">
        <f>INDEX(Caracteristicas_agronomicas!J:J,MATCH(B179,Caracteristicas_agronomicas!C:C,0))</f>
        <v>235</v>
      </c>
      <c r="F179" s="290">
        <f t="shared" si="2"/>
        <v>6.5531914893617023</v>
      </c>
      <c r="G179" s="290">
        <f>VLOOKUP(Tabla1715[[#This Row],[Cultivo]],Tabla16[#All],9,FALSE)</f>
        <v>0.8</v>
      </c>
      <c r="H179" s="82">
        <f>IFERROR(D179*Formulario!$B$24,"")</f>
        <v>23275</v>
      </c>
      <c r="I179" s="88"/>
      <c r="J179" s="88"/>
      <c r="K179" s="88"/>
      <c r="L179" s="88"/>
    </row>
    <row r="180" spans="1:12">
      <c r="A180" s="298">
        <v>13</v>
      </c>
      <c r="B180" s="289" t="s">
        <v>4064</v>
      </c>
      <c r="C180" s="289" t="s">
        <v>69</v>
      </c>
      <c r="D180" s="289">
        <v>24500</v>
      </c>
      <c r="E180" s="176">
        <f>INDEX(Caracteristicas_agronomicas!J:J,MATCH(B180,Caracteristicas_agronomicas!C:C,0))</f>
        <v>235</v>
      </c>
      <c r="F180" s="290">
        <f t="shared" si="2"/>
        <v>6.5531914893617023</v>
      </c>
      <c r="G180" s="290">
        <f>VLOOKUP(Tabla1715[[#This Row],[Cultivo]],Tabla16[#All],9,FALSE)</f>
        <v>0.8</v>
      </c>
      <c r="H180" s="82">
        <f>IFERROR(D180*Formulario!$B$24,"")</f>
        <v>23275</v>
      </c>
      <c r="I180" s="88"/>
      <c r="J180" s="88"/>
      <c r="K180" s="88"/>
      <c r="L180" s="88"/>
    </row>
    <row r="181" spans="1:12">
      <c r="A181" s="299">
        <v>14</v>
      </c>
      <c r="B181" s="120" t="s">
        <v>4064</v>
      </c>
      <c r="C181" s="120" t="s">
        <v>69</v>
      </c>
      <c r="D181" s="120">
        <v>24500</v>
      </c>
      <c r="E181" s="176">
        <f>INDEX(Caracteristicas_agronomicas!J:J,MATCH(B181,Caracteristicas_agronomicas!C:C,0))</f>
        <v>235</v>
      </c>
      <c r="F181" s="290">
        <f t="shared" si="2"/>
        <v>6.5531914893617023</v>
      </c>
      <c r="G181" s="290">
        <f>VLOOKUP(Tabla1715[[#This Row],[Cultivo]],Tabla16[#All],9,FALSE)</f>
        <v>0.8</v>
      </c>
      <c r="H181" s="82">
        <f>IFERROR(D181*Formulario!$B$24,"")</f>
        <v>23275</v>
      </c>
      <c r="I181" s="88"/>
      <c r="J181" s="88"/>
      <c r="K181" s="88"/>
      <c r="L181" s="88"/>
    </row>
    <row r="182" spans="1:12">
      <c r="A182" s="298">
        <v>15</v>
      </c>
      <c r="B182" s="289" t="s">
        <v>4064</v>
      </c>
      <c r="C182" s="289" t="s">
        <v>69</v>
      </c>
      <c r="D182" s="289">
        <v>24500</v>
      </c>
      <c r="E182" s="176">
        <f>INDEX(Caracteristicas_agronomicas!J:J,MATCH(B182,Caracteristicas_agronomicas!C:C,0))</f>
        <v>235</v>
      </c>
      <c r="F182" s="290">
        <f t="shared" si="2"/>
        <v>6.5531914893617023</v>
      </c>
      <c r="G182" s="290">
        <f>VLOOKUP(Tabla1715[[#This Row],[Cultivo]],Tabla16[#All],9,FALSE)</f>
        <v>0.8</v>
      </c>
      <c r="H182" s="82">
        <f>IFERROR(D182*Formulario!$B$24,"")</f>
        <v>23275</v>
      </c>
      <c r="I182" s="88"/>
      <c r="J182" s="88"/>
      <c r="K182" s="88"/>
      <c r="L182" s="88"/>
    </row>
    <row r="183" spans="1:12">
      <c r="A183" s="299">
        <v>16</v>
      </c>
      <c r="B183" s="120" t="s">
        <v>4064</v>
      </c>
      <c r="C183" s="120" t="s">
        <v>69</v>
      </c>
      <c r="D183" s="120">
        <v>24500</v>
      </c>
      <c r="E183" s="176">
        <f>INDEX(Caracteristicas_agronomicas!J:J,MATCH(B183,Caracteristicas_agronomicas!C:C,0))</f>
        <v>235</v>
      </c>
      <c r="F183" s="290">
        <f t="shared" si="2"/>
        <v>6.5531914893617023</v>
      </c>
      <c r="G183" s="290">
        <f>VLOOKUP(Tabla1715[[#This Row],[Cultivo]],Tabla16[#All],9,FALSE)</f>
        <v>0.8</v>
      </c>
      <c r="H183" s="82">
        <f>IFERROR(D183*Formulario!$B$24,"")</f>
        <v>23275</v>
      </c>
      <c r="I183" s="88"/>
      <c r="J183" s="88"/>
      <c r="K183" s="88"/>
      <c r="L183" s="88"/>
    </row>
    <row r="184" spans="1:12">
      <c r="A184" s="298">
        <v>17</v>
      </c>
      <c r="B184" s="289" t="s">
        <v>4064</v>
      </c>
      <c r="C184" s="289" t="s">
        <v>69</v>
      </c>
      <c r="D184" s="289">
        <v>24500</v>
      </c>
      <c r="E184" s="176">
        <f>INDEX(Caracteristicas_agronomicas!J:J,MATCH(B184,Caracteristicas_agronomicas!C:C,0))</f>
        <v>235</v>
      </c>
      <c r="F184" s="290">
        <f t="shared" si="2"/>
        <v>6.5531914893617023</v>
      </c>
      <c r="G184" s="290">
        <f>VLOOKUP(Tabla1715[[#This Row],[Cultivo]],Tabla16[#All],9,FALSE)</f>
        <v>0.8</v>
      </c>
      <c r="H184" s="82">
        <f>IFERROR(D184*Formulario!$B$24,"")</f>
        <v>23275</v>
      </c>
      <c r="I184" s="88"/>
      <c r="J184" s="88"/>
      <c r="K184" s="88"/>
      <c r="L184" s="88"/>
    </row>
    <row r="185" spans="1:12">
      <c r="A185" s="299">
        <v>18</v>
      </c>
      <c r="B185" s="120" t="s">
        <v>4064</v>
      </c>
      <c r="C185" s="120" t="s">
        <v>69</v>
      </c>
      <c r="D185" s="120">
        <v>24500</v>
      </c>
      <c r="E185" s="176">
        <f>INDEX(Caracteristicas_agronomicas!J:J,MATCH(B185,Caracteristicas_agronomicas!C:C,0))</f>
        <v>235</v>
      </c>
      <c r="F185" s="290">
        <f t="shared" si="2"/>
        <v>6.5531914893617023</v>
      </c>
      <c r="G185" s="290">
        <f>VLOOKUP(Tabla1715[[#This Row],[Cultivo]],Tabla16[#All],9,FALSE)</f>
        <v>0.8</v>
      </c>
      <c r="H185" s="82">
        <f>IFERROR(D185*Formulario!$B$24,"")</f>
        <v>23275</v>
      </c>
      <c r="I185" s="88"/>
      <c r="J185" s="88"/>
      <c r="K185" s="88"/>
      <c r="L185" s="88"/>
    </row>
    <row r="186" spans="1:12">
      <c r="A186" s="298">
        <v>19</v>
      </c>
      <c r="B186" s="289" t="s">
        <v>4064</v>
      </c>
      <c r="C186" s="289" t="s">
        <v>69</v>
      </c>
      <c r="D186" s="289">
        <v>24500</v>
      </c>
      <c r="E186" s="176">
        <f>INDEX(Caracteristicas_agronomicas!J:J,MATCH(B186,Caracteristicas_agronomicas!C:C,0))</f>
        <v>235</v>
      </c>
      <c r="F186" s="290">
        <f t="shared" si="2"/>
        <v>6.5531914893617023</v>
      </c>
      <c r="G186" s="290">
        <f>VLOOKUP(Tabla1715[[#This Row],[Cultivo]],Tabla16[#All],9,FALSE)</f>
        <v>0.8</v>
      </c>
      <c r="H186" s="82">
        <f>IFERROR(D186*Formulario!$B$24,"")</f>
        <v>23275</v>
      </c>
      <c r="I186" s="88"/>
      <c r="J186" s="88"/>
      <c r="K186" s="88"/>
      <c r="L186" s="88"/>
    </row>
    <row r="187" spans="1:12">
      <c r="A187" s="299">
        <v>20</v>
      </c>
      <c r="B187" s="120" t="s">
        <v>4064</v>
      </c>
      <c r="C187" s="120" t="s">
        <v>69</v>
      </c>
      <c r="D187" s="120">
        <v>24500</v>
      </c>
      <c r="E187" s="176">
        <f>INDEX(Caracteristicas_agronomicas!J:J,MATCH(B187,Caracteristicas_agronomicas!C:C,0))</f>
        <v>235</v>
      </c>
      <c r="F187" s="290">
        <f t="shared" si="2"/>
        <v>6.5531914893617023</v>
      </c>
      <c r="G187" s="290">
        <f>VLOOKUP(Tabla1715[[#This Row],[Cultivo]],Tabla16[#All],9,FALSE)</f>
        <v>0.8</v>
      </c>
      <c r="H187" s="82">
        <f>IFERROR(D187*Formulario!$B$24,"")</f>
        <v>23275</v>
      </c>
      <c r="I187" s="88"/>
      <c r="J187" s="88"/>
      <c r="K187" s="88"/>
      <c r="L187" s="88"/>
    </row>
    <row r="188" spans="1:12">
      <c r="A188" s="298">
        <v>1</v>
      </c>
      <c r="B188" s="289" t="s">
        <v>4065</v>
      </c>
      <c r="C188" s="289" t="s">
        <v>53</v>
      </c>
      <c r="D188" s="289">
        <v>0</v>
      </c>
      <c r="E188" s="176">
        <f>INDEX(Caracteristicas_agronomicas!J:J,MATCH(B188,Caracteristicas_agronomicas!C:C,0))</f>
        <v>204</v>
      </c>
      <c r="F188" s="290">
        <f t="shared" si="2"/>
        <v>7.5490196078431371</v>
      </c>
      <c r="G188" s="290">
        <f>VLOOKUP(Tabla1715[[#This Row],[Cultivo]],Tabla16[#All],9,FALSE)</f>
        <v>0.8</v>
      </c>
      <c r="H188" s="82">
        <f>IFERROR(D188*Formulario!$B$24,"")</f>
        <v>0</v>
      </c>
      <c r="I188" s="88"/>
      <c r="J188" s="88"/>
      <c r="K188" s="88"/>
      <c r="L188" s="88"/>
    </row>
    <row r="189" spans="1:12">
      <c r="A189" s="299">
        <v>2</v>
      </c>
      <c r="B189" s="120" t="s">
        <v>4065</v>
      </c>
      <c r="C189" s="120" t="s">
        <v>68</v>
      </c>
      <c r="D189" s="120">
        <v>0</v>
      </c>
      <c r="E189" s="176">
        <f>INDEX(Caracteristicas_agronomicas!J:J,MATCH(B189,Caracteristicas_agronomicas!C:C,0))</f>
        <v>204</v>
      </c>
      <c r="F189" s="290">
        <f t="shared" si="2"/>
        <v>7.5490196078431371</v>
      </c>
      <c r="G189" s="290">
        <f>VLOOKUP(Tabla1715[[#This Row],[Cultivo]],Tabla16[#All],9,FALSE)</f>
        <v>0.8</v>
      </c>
      <c r="H189" s="82">
        <f>IFERROR(D189*Formulario!$B$24,"")</f>
        <v>0</v>
      </c>
      <c r="I189" s="88"/>
      <c r="J189" s="88"/>
      <c r="K189" s="88"/>
      <c r="L189" s="88"/>
    </row>
    <row r="190" spans="1:12">
      <c r="A190" s="298">
        <v>3</v>
      </c>
      <c r="B190" s="289" t="s">
        <v>4065</v>
      </c>
      <c r="C190" s="289" t="s">
        <v>69</v>
      </c>
      <c r="D190" s="289">
        <v>7500</v>
      </c>
      <c r="E190" s="176">
        <f>INDEX(Caracteristicas_agronomicas!J:J,MATCH(B190,Caracteristicas_agronomicas!C:C,0))</f>
        <v>204</v>
      </c>
      <c r="F190" s="290">
        <f t="shared" si="2"/>
        <v>7.5490196078431371</v>
      </c>
      <c r="G190" s="290">
        <f>VLOOKUP(Tabla1715[[#This Row],[Cultivo]],Tabla16[#All],9,FALSE)</f>
        <v>0.8</v>
      </c>
      <c r="H190" s="82">
        <f>IFERROR(D190*Formulario!$B$24,"")</f>
        <v>7125</v>
      </c>
      <c r="I190" s="88"/>
      <c r="J190" s="88"/>
      <c r="K190" s="88"/>
      <c r="L190" s="88"/>
    </row>
    <row r="191" spans="1:12">
      <c r="A191" s="299">
        <v>4</v>
      </c>
      <c r="B191" s="120" t="s">
        <v>4065</v>
      </c>
      <c r="C191" s="289" t="s">
        <v>69</v>
      </c>
      <c r="D191" s="120">
        <v>15000</v>
      </c>
      <c r="E191" s="176">
        <f>INDEX(Caracteristicas_agronomicas!J:J,MATCH(B191,Caracteristicas_agronomicas!C:C,0))</f>
        <v>204</v>
      </c>
      <c r="F191" s="290">
        <f t="shared" si="2"/>
        <v>7.5490196078431371</v>
      </c>
      <c r="G191" s="290">
        <f>VLOOKUP(Tabla1715[[#This Row],[Cultivo]],Tabla16[#All],9,FALSE)</f>
        <v>0.8</v>
      </c>
      <c r="H191" s="82">
        <f>IFERROR(D191*Formulario!$B$24,"")</f>
        <v>14250</v>
      </c>
      <c r="I191" s="88"/>
      <c r="J191" s="88"/>
      <c r="K191" s="88"/>
      <c r="L191" s="88"/>
    </row>
    <row r="192" spans="1:12">
      <c r="A192" s="298">
        <v>5</v>
      </c>
      <c r="B192" s="289" t="s">
        <v>4065</v>
      </c>
      <c r="C192" s="289" t="s">
        <v>69</v>
      </c>
      <c r="D192" s="289">
        <v>22500</v>
      </c>
      <c r="E192" s="176">
        <f>INDEX(Caracteristicas_agronomicas!J:J,MATCH(B192,Caracteristicas_agronomicas!C:C,0))</f>
        <v>204</v>
      </c>
      <c r="F192" s="290">
        <f t="shared" si="2"/>
        <v>7.5490196078431371</v>
      </c>
      <c r="G192" s="290">
        <f>VLOOKUP(Tabla1715[[#This Row],[Cultivo]],Tabla16[#All],9,FALSE)</f>
        <v>0.8</v>
      </c>
      <c r="H192" s="82">
        <f>IFERROR(D192*Formulario!$B$24,"")</f>
        <v>21375</v>
      </c>
      <c r="I192" s="88"/>
      <c r="J192" s="88"/>
      <c r="K192" s="88"/>
      <c r="L192" s="88"/>
    </row>
    <row r="193" spans="1:12">
      <c r="A193" s="299">
        <v>6</v>
      </c>
      <c r="B193" s="120" t="s">
        <v>4065</v>
      </c>
      <c r="C193" s="289" t="s">
        <v>69</v>
      </c>
      <c r="D193" s="120">
        <v>22500</v>
      </c>
      <c r="E193" s="176">
        <f>INDEX(Caracteristicas_agronomicas!J:J,MATCH(B193,Caracteristicas_agronomicas!C:C,0))</f>
        <v>204</v>
      </c>
      <c r="F193" s="290">
        <f t="shared" si="2"/>
        <v>7.5490196078431371</v>
      </c>
      <c r="G193" s="290">
        <f>VLOOKUP(Tabla1715[[#This Row],[Cultivo]],Tabla16[#All],9,FALSE)</f>
        <v>0.8</v>
      </c>
      <c r="H193" s="82">
        <f>IFERROR(D193*Formulario!$B$24,"")</f>
        <v>21375</v>
      </c>
      <c r="I193" s="88"/>
      <c r="J193" s="88"/>
      <c r="K193" s="88"/>
      <c r="L193" s="88"/>
    </row>
    <row r="194" spans="1:12">
      <c r="A194" s="298">
        <v>7</v>
      </c>
      <c r="B194" s="289" t="s">
        <v>4065</v>
      </c>
      <c r="C194" s="289" t="s">
        <v>69</v>
      </c>
      <c r="D194" s="289">
        <v>22500</v>
      </c>
      <c r="E194" s="176">
        <f>INDEX(Caracteristicas_agronomicas!J:J,MATCH(B194,Caracteristicas_agronomicas!C:C,0))</f>
        <v>204</v>
      </c>
      <c r="F194" s="290">
        <f t="shared" ref="F194:F257" si="3">$J$2/E194</f>
        <v>7.5490196078431371</v>
      </c>
      <c r="G194" s="290">
        <f>VLOOKUP(Tabla1715[[#This Row],[Cultivo]],Tabla16[#All],9,FALSE)</f>
        <v>0.8</v>
      </c>
      <c r="H194" s="82">
        <f>IFERROR(D194*Formulario!$B$24,"")</f>
        <v>21375</v>
      </c>
      <c r="I194" s="88"/>
      <c r="J194" s="88"/>
      <c r="K194" s="88"/>
      <c r="L194" s="88"/>
    </row>
    <row r="195" spans="1:12">
      <c r="A195" s="299">
        <v>8</v>
      </c>
      <c r="B195" s="120" t="s">
        <v>4065</v>
      </c>
      <c r="C195" s="289" t="s">
        <v>69</v>
      </c>
      <c r="D195" s="120">
        <v>22500</v>
      </c>
      <c r="E195" s="176">
        <f>INDEX(Caracteristicas_agronomicas!J:J,MATCH(B195,Caracteristicas_agronomicas!C:C,0))</f>
        <v>204</v>
      </c>
      <c r="F195" s="290">
        <f t="shared" si="3"/>
        <v>7.5490196078431371</v>
      </c>
      <c r="G195" s="290">
        <f>VLOOKUP(Tabla1715[[#This Row],[Cultivo]],Tabla16[#All],9,FALSE)</f>
        <v>0.8</v>
      </c>
      <c r="H195" s="82">
        <f>IFERROR(D195*Formulario!$B$24,"")</f>
        <v>21375</v>
      </c>
      <c r="I195" s="88"/>
      <c r="J195" s="88"/>
      <c r="K195" s="88"/>
      <c r="L195" s="88"/>
    </row>
    <row r="196" spans="1:12">
      <c r="A196" s="298">
        <v>9</v>
      </c>
      <c r="B196" s="289" t="s">
        <v>4065</v>
      </c>
      <c r="C196" s="289" t="s">
        <v>69</v>
      </c>
      <c r="D196" s="289">
        <v>22500</v>
      </c>
      <c r="E196" s="176">
        <f>INDEX(Caracteristicas_agronomicas!J:J,MATCH(B196,Caracteristicas_agronomicas!C:C,0))</f>
        <v>204</v>
      </c>
      <c r="F196" s="290">
        <f t="shared" si="3"/>
        <v>7.5490196078431371</v>
      </c>
      <c r="G196" s="290">
        <f>VLOOKUP(Tabla1715[[#This Row],[Cultivo]],Tabla16[#All],9,FALSE)</f>
        <v>0.8</v>
      </c>
      <c r="H196" s="82">
        <f>IFERROR(D196*Formulario!$B$24,"")</f>
        <v>21375</v>
      </c>
      <c r="I196" s="88"/>
      <c r="J196" s="88"/>
      <c r="K196" s="88"/>
      <c r="L196" s="88"/>
    </row>
    <row r="197" spans="1:12">
      <c r="A197" s="299">
        <v>10</v>
      </c>
      <c r="B197" s="120" t="s">
        <v>4065</v>
      </c>
      <c r="C197" s="289" t="s">
        <v>69</v>
      </c>
      <c r="D197" s="120">
        <v>22500</v>
      </c>
      <c r="E197" s="176">
        <f>INDEX(Caracteristicas_agronomicas!J:J,MATCH(B197,Caracteristicas_agronomicas!C:C,0))</f>
        <v>204</v>
      </c>
      <c r="F197" s="290">
        <f t="shared" si="3"/>
        <v>7.5490196078431371</v>
      </c>
      <c r="G197" s="290">
        <f>VLOOKUP(Tabla1715[[#This Row],[Cultivo]],Tabla16[#All],9,FALSE)</f>
        <v>0.8</v>
      </c>
      <c r="H197" s="82">
        <f>IFERROR(D197*Formulario!$B$24,"")</f>
        <v>21375</v>
      </c>
      <c r="I197" s="88"/>
      <c r="J197" s="88"/>
      <c r="K197" s="88"/>
      <c r="L197" s="88"/>
    </row>
    <row r="198" spans="1:12">
      <c r="A198" s="298">
        <v>11</v>
      </c>
      <c r="B198" s="289" t="s">
        <v>4065</v>
      </c>
      <c r="C198" s="289" t="s">
        <v>69</v>
      </c>
      <c r="D198" s="289">
        <v>22500</v>
      </c>
      <c r="E198" s="176">
        <f>INDEX(Caracteristicas_agronomicas!J:J,MATCH(B198,Caracteristicas_agronomicas!C:C,0))</f>
        <v>204</v>
      </c>
      <c r="F198" s="290">
        <f t="shared" si="3"/>
        <v>7.5490196078431371</v>
      </c>
      <c r="G198" s="290">
        <f>VLOOKUP(Tabla1715[[#This Row],[Cultivo]],Tabla16[#All],9,FALSE)</f>
        <v>0.8</v>
      </c>
      <c r="H198" s="82">
        <f>IFERROR(D198*Formulario!$B$24,"")</f>
        <v>21375</v>
      </c>
      <c r="I198" s="88"/>
      <c r="J198" s="88"/>
      <c r="K198" s="88"/>
      <c r="L198" s="88"/>
    </row>
    <row r="199" spans="1:12">
      <c r="A199" s="299">
        <v>12</v>
      </c>
      <c r="B199" s="120" t="s">
        <v>4065</v>
      </c>
      <c r="C199" s="289" t="s">
        <v>69</v>
      </c>
      <c r="D199" s="120">
        <v>22500</v>
      </c>
      <c r="E199" s="176">
        <f>INDEX(Caracteristicas_agronomicas!J:J,MATCH(B199,Caracteristicas_agronomicas!C:C,0))</f>
        <v>204</v>
      </c>
      <c r="F199" s="290">
        <f t="shared" si="3"/>
        <v>7.5490196078431371</v>
      </c>
      <c r="G199" s="290">
        <f>VLOOKUP(Tabla1715[[#This Row],[Cultivo]],Tabla16[#All],9,FALSE)</f>
        <v>0.8</v>
      </c>
      <c r="H199" s="82">
        <f>IFERROR(D199*Formulario!$B$24,"")</f>
        <v>21375</v>
      </c>
      <c r="I199" s="88"/>
      <c r="J199" s="88"/>
      <c r="K199" s="88"/>
      <c r="L199" s="88"/>
    </row>
    <row r="200" spans="1:12">
      <c r="A200" s="298">
        <v>13</v>
      </c>
      <c r="B200" s="289" t="s">
        <v>4065</v>
      </c>
      <c r="C200" s="289" t="s">
        <v>69</v>
      </c>
      <c r="D200" s="289">
        <v>22500</v>
      </c>
      <c r="E200" s="176">
        <f>INDEX(Caracteristicas_agronomicas!J:J,MATCH(B200,Caracteristicas_agronomicas!C:C,0))</f>
        <v>204</v>
      </c>
      <c r="F200" s="290">
        <f t="shared" si="3"/>
        <v>7.5490196078431371</v>
      </c>
      <c r="G200" s="290">
        <f>VLOOKUP(Tabla1715[[#This Row],[Cultivo]],Tabla16[#All],9,FALSE)</f>
        <v>0.8</v>
      </c>
      <c r="H200" s="82">
        <f>IFERROR(D200*Formulario!$B$24,"")</f>
        <v>21375</v>
      </c>
      <c r="I200" s="88"/>
      <c r="J200" s="88"/>
      <c r="K200" s="88"/>
      <c r="L200" s="88"/>
    </row>
    <row r="201" spans="1:12">
      <c r="A201" s="299">
        <v>14</v>
      </c>
      <c r="B201" s="120" t="s">
        <v>4065</v>
      </c>
      <c r="C201" s="289" t="s">
        <v>69</v>
      </c>
      <c r="D201" s="120">
        <v>22500</v>
      </c>
      <c r="E201" s="176">
        <f>INDEX(Caracteristicas_agronomicas!J:J,MATCH(B201,Caracteristicas_agronomicas!C:C,0))</f>
        <v>204</v>
      </c>
      <c r="F201" s="290">
        <f t="shared" si="3"/>
        <v>7.5490196078431371</v>
      </c>
      <c r="G201" s="290">
        <f>VLOOKUP(Tabla1715[[#This Row],[Cultivo]],Tabla16[#All],9,FALSE)</f>
        <v>0.8</v>
      </c>
      <c r="H201" s="82">
        <f>IFERROR(D201*Formulario!$B$24,"")</f>
        <v>21375</v>
      </c>
      <c r="I201" s="88"/>
      <c r="J201" s="88"/>
      <c r="K201" s="88"/>
      <c r="L201" s="88"/>
    </row>
    <row r="202" spans="1:12">
      <c r="A202" s="298">
        <v>15</v>
      </c>
      <c r="B202" s="289" t="s">
        <v>4065</v>
      </c>
      <c r="C202" s="289" t="s">
        <v>69</v>
      </c>
      <c r="D202" s="289">
        <v>22500</v>
      </c>
      <c r="E202" s="176">
        <f>INDEX(Caracteristicas_agronomicas!J:J,MATCH(B202,Caracteristicas_agronomicas!C:C,0))</f>
        <v>204</v>
      </c>
      <c r="F202" s="290">
        <f t="shared" si="3"/>
        <v>7.5490196078431371</v>
      </c>
      <c r="G202" s="290">
        <f>VLOOKUP(Tabla1715[[#This Row],[Cultivo]],Tabla16[#All],9,FALSE)</f>
        <v>0.8</v>
      </c>
      <c r="H202" s="82">
        <f>IFERROR(D202*Formulario!$B$24,"")</f>
        <v>21375</v>
      </c>
      <c r="I202" s="88"/>
      <c r="J202" s="88"/>
      <c r="K202" s="88"/>
      <c r="L202" s="88"/>
    </row>
    <row r="203" spans="1:12">
      <c r="A203" s="299">
        <v>16</v>
      </c>
      <c r="B203" s="120" t="s">
        <v>4065</v>
      </c>
      <c r="C203" s="289" t="s">
        <v>69</v>
      </c>
      <c r="D203" s="120">
        <v>22500</v>
      </c>
      <c r="E203" s="176">
        <f>INDEX(Caracteristicas_agronomicas!J:J,MATCH(B203,Caracteristicas_agronomicas!C:C,0))</f>
        <v>204</v>
      </c>
      <c r="F203" s="290">
        <f t="shared" si="3"/>
        <v>7.5490196078431371</v>
      </c>
      <c r="G203" s="290">
        <f>VLOOKUP(Tabla1715[[#This Row],[Cultivo]],Tabla16[#All],9,FALSE)</f>
        <v>0.8</v>
      </c>
      <c r="H203" s="82">
        <f>IFERROR(D203*Formulario!$B$24,"")</f>
        <v>21375</v>
      </c>
      <c r="I203" s="88"/>
      <c r="J203" s="88"/>
      <c r="K203" s="88"/>
      <c r="L203" s="88"/>
    </row>
    <row r="204" spans="1:12">
      <c r="A204" s="298">
        <v>17</v>
      </c>
      <c r="B204" s="289" t="s">
        <v>4065</v>
      </c>
      <c r="C204" s="289" t="s">
        <v>69</v>
      </c>
      <c r="D204" s="289">
        <v>22500</v>
      </c>
      <c r="E204" s="176">
        <f>INDEX(Caracteristicas_agronomicas!J:J,MATCH(B204,Caracteristicas_agronomicas!C:C,0))</f>
        <v>204</v>
      </c>
      <c r="F204" s="290">
        <f t="shared" si="3"/>
        <v>7.5490196078431371</v>
      </c>
      <c r="G204" s="290">
        <f>VLOOKUP(Tabla1715[[#This Row],[Cultivo]],Tabla16[#All],9,FALSE)</f>
        <v>0.8</v>
      </c>
      <c r="H204" s="82">
        <f>IFERROR(D204*Formulario!$B$24,"")</f>
        <v>21375</v>
      </c>
      <c r="I204" s="88"/>
      <c r="J204" s="88"/>
      <c r="K204" s="88"/>
      <c r="L204" s="88"/>
    </row>
    <row r="205" spans="1:12">
      <c r="A205" s="299">
        <v>18</v>
      </c>
      <c r="B205" s="120" t="s">
        <v>4065</v>
      </c>
      <c r="C205" s="289" t="s">
        <v>69</v>
      </c>
      <c r="D205" s="120">
        <v>22500</v>
      </c>
      <c r="E205" s="176">
        <f>INDEX(Caracteristicas_agronomicas!J:J,MATCH(B205,Caracteristicas_agronomicas!C:C,0))</f>
        <v>204</v>
      </c>
      <c r="F205" s="290">
        <f t="shared" si="3"/>
        <v>7.5490196078431371</v>
      </c>
      <c r="G205" s="290">
        <f>VLOOKUP(Tabla1715[[#This Row],[Cultivo]],Tabla16[#All],9,FALSE)</f>
        <v>0.8</v>
      </c>
      <c r="H205" s="82">
        <f>IFERROR(D205*Formulario!$B$24,"")</f>
        <v>21375</v>
      </c>
      <c r="I205" s="88"/>
      <c r="J205" s="88"/>
      <c r="K205" s="88"/>
      <c r="L205" s="88"/>
    </row>
    <row r="206" spans="1:12">
      <c r="A206" s="298">
        <v>19</v>
      </c>
      <c r="B206" s="289" t="s">
        <v>4065</v>
      </c>
      <c r="C206" s="289" t="s">
        <v>69</v>
      </c>
      <c r="D206" s="289">
        <v>22500</v>
      </c>
      <c r="E206" s="176">
        <f>INDEX(Caracteristicas_agronomicas!J:J,MATCH(B206,Caracteristicas_agronomicas!C:C,0))</f>
        <v>204</v>
      </c>
      <c r="F206" s="290">
        <f t="shared" si="3"/>
        <v>7.5490196078431371</v>
      </c>
      <c r="G206" s="290">
        <f>VLOOKUP(Tabla1715[[#This Row],[Cultivo]],Tabla16[#All],9,FALSE)</f>
        <v>0.8</v>
      </c>
      <c r="H206" s="82">
        <f>IFERROR(D206*Formulario!$B$24,"")</f>
        <v>21375</v>
      </c>
      <c r="I206" s="88"/>
      <c r="J206" s="88"/>
      <c r="K206" s="88"/>
      <c r="L206" s="88"/>
    </row>
    <row r="207" spans="1:12">
      <c r="A207" s="299">
        <v>20</v>
      </c>
      <c r="B207" s="120" t="s">
        <v>4065</v>
      </c>
      <c r="C207" s="289" t="s">
        <v>69</v>
      </c>
      <c r="D207" s="120">
        <v>22500</v>
      </c>
      <c r="E207" s="176">
        <f>INDEX(Caracteristicas_agronomicas!J:J,MATCH(B207,Caracteristicas_agronomicas!C:C,0))</f>
        <v>204</v>
      </c>
      <c r="F207" s="290">
        <f t="shared" si="3"/>
        <v>7.5490196078431371</v>
      </c>
      <c r="G207" s="290">
        <f>VLOOKUP(Tabla1715[[#This Row],[Cultivo]],Tabla16[#All],9,FALSE)</f>
        <v>0.8</v>
      </c>
      <c r="H207" s="82">
        <f>IFERROR(D207*Formulario!$B$24,"")</f>
        <v>21375</v>
      </c>
      <c r="I207" s="88"/>
      <c r="J207" s="88"/>
      <c r="K207" s="88"/>
      <c r="L207" s="88"/>
    </row>
    <row r="208" spans="1:12">
      <c r="A208" s="298">
        <v>1</v>
      </c>
      <c r="B208" s="289" t="s">
        <v>4606</v>
      </c>
      <c r="C208" s="289" t="s">
        <v>53</v>
      </c>
      <c r="D208" s="289">
        <v>0</v>
      </c>
      <c r="E208" s="176">
        <f>INDEX(Caracteristicas_agronomicas!J:J,MATCH(B208,Caracteristicas_agronomicas!C:C,0))</f>
        <v>115</v>
      </c>
      <c r="F208" s="290">
        <f t="shared" si="3"/>
        <v>13.391304347826088</v>
      </c>
      <c r="G208" s="290" t="str">
        <f>VLOOKUP(Tabla1715[[#This Row],[Cultivo]],Tabla16[#All],9,FALSE)</f>
        <v/>
      </c>
      <c r="H208" s="82">
        <f>IFERROR(D208*Formulario!$B$24,"")</f>
        <v>0</v>
      </c>
      <c r="I208" s="88"/>
      <c r="J208" s="88"/>
      <c r="K208" s="88"/>
      <c r="L208" s="88"/>
    </row>
    <row r="209" spans="1:12">
      <c r="A209" s="299">
        <v>2</v>
      </c>
      <c r="B209" s="120" t="s">
        <v>4606</v>
      </c>
      <c r="C209" s="120" t="s">
        <v>68</v>
      </c>
      <c r="D209" s="289">
        <v>5000</v>
      </c>
      <c r="E209" s="176">
        <f>INDEX(Caracteristicas_agronomicas!J:J,MATCH(B209,Caracteristicas_agronomicas!C:C,0))</f>
        <v>115</v>
      </c>
      <c r="F209" s="290">
        <f t="shared" si="3"/>
        <v>13.391304347826088</v>
      </c>
      <c r="G209" s="290" t="str">
        <f>VLOOKUP(Tabla1715[[#This Row],[Cultivo]],Tabla16[#All],9,FALSE)</f>
        <v/>
      </c>
      <c r="H209" s="82">
        <f>IFERROR(D209*Formulario!$B$24,"")</f>
        <v>4750</v>
      </c>
      <c r="I209" s="88"/>
      <c r="J209" s="88"/>
      <c r="K209" s="88"/>
      <c r="L209" s="88"/>
    </row>
    <row r="210" spans="1:12">
      <c r="A210" s="298">
        <v>3</v>
      </c>
      <c r="B210" s="289" t="s">
        <v>4606</v>
      </c>
      <c r="C210" s="289" t="s">
        <v>69</v>
      </c>
      <c r="D210" s="289">
        <v>15000</v>
      </c>
      <c r="E210" s="176">
        <f>INDEX(Caracteristicas_agronomicas!J:J,MATCH(B210,Caracteristicas_agronomicas!C:C,0))</f>
        <v>115</v>
      </c>
      <c r="F210" s="290">
        <f t="shared" si="3"/>
        <v>13.391304347826088</v>
      </c>
      <c r="G210" s="290" t="str">
        <f>VLOOKUP(Tabla1715[[#This Row],[Cultivo]],Tabla16[#All],9,FALSE)</f>
        <v/>
      </c>
      <c r="H210" s="82">
        <f>IFERROR(D210*Formulario!$B$24,"")</f>
        <v>14250</v>
      </c>
      <c r="I210" s="88"/>
      <c r="J210" s="88"/>
      <c r="K210" s="88"/>
      <c r="L210" s="88"/>
    </row>
    <row r="211" spans="1:12">
      <c r="A211" s="299">
        <v>4</v>
      </c>
      <c r="B211" s="120" t="s">
        <v>4606</v>
      </c>
      <c r="C211" s="120" t="s">
        <v>69</v>
      </c>
      <c r="D211" s="289">
        <v>22000</v>
      </c>
      <c r="E211" s="176">
        <f>INDEX(Caracteristicas_agronomicas!J:J,MATCH(B211,Caracteristicas_agronomicas!C:C,0))</f>
        <v>115</v>
      </c>
      <c r="F211" s="290">
        <f t="shared" si="3"/>
        <v>13.391304347826088</v>
      </c>
      <c r="G211" s="290" t="str">
        <f>VLOOKUP(Tabla1715[[#This Row],[Cultivo]],Tabla16[#All],9,FALSE)</f>
        <v/>
      </c>
      <c r="H211" s="82">
        <f>IFERROR(D211*Formulario!$B$24,"")</f>
        <v>20900</v>
      </c>
      <c r="I211" s="88"/>
      <c r="J211" s="88"/>
      <c r="K211" s="88"/>
      <c r="L211" s="88"/>
    </row>
    <row r="212" spans="1:12">
      <c r="A212" s="298">
        <v>5</v>
      </c>
      <c r="B212" s="289" t="s">
        <v>4606</v>
      </c>
      <c r="C212" s="289" t="s">
        <v>69</v>
      </c>
      <c r="D212" s="289">
        <v>25000</v>
      </c>
      <c r="E212" s="176">
        <f>INDEX(Caracteristicas_agronomicas!J:J,MATCH(B212,Caracteristicas_agronomicas!C:C,0))</f>
        <v>115</v>
      </c>
      <c r="F212" s="290">
        <f t="shared" si="3"/>
        <v>13.391304347826088</v>
      </c>
      <c r="G212" s="290" t="str">
        <f>VLOOKUP(Tabla1715[[#This Row],[Cultivo]],Tabla16[#All],9,FALSE)</f>
        <v/>
      </c>
      <c r="H212" s="82">
        <f>IFERROR(D212*Formulario!$B$24,"")</f>
        <v>23750</v>
      </c>
      <c r="I212" s="88"/>
      <c r="J212" s="88"/>
      <c r="K212" s="88"/>
      <c r="L212" s="88"/>
    </row>
    <row r="213" spans="1:12">
      <c r="A213" s="299">
        <v>6</v>
      </c>
      <c r="B213" s="120" t="s">
        <v>4606</v>
      </c>
      <c r="C213" s="120" t="s">
        <v>69</v>
      </c>
      <c r="D213" s="289">
        <v>25000</v>
      </c>
      <c r="E213" s="176">
        <f>INDEX(Caracteristicas_agronomicas!J:J,MATCH(B213,Caracteristicas_agronomicas!C:C,0))</f>
        <v>115</v>
      </c>
      <c r="F213" s="290">
        <f t="shared" si="3"/>
        <v>13.391304347826088</v>
      </c>
      <c r="G213" s="290" t="str">
        <f>VLOOKUP(Tabla1715[[#This Row],[Cultivo]],Tabla16[#All],9,FALSE)</f>
        <v/>
      </c>
      <c r="H213" s="82">
        <f>IFERROR(D213*Formulario!$B$24,"")</f>
        <v>23750</v>
      </c>
      <c r="I213" s="88"/>
      <c r="J213" s="88"/>
      <c r="K213" s="88"/>
      <c r="L213" s="88"/>
    </row>
    <row r="214" spans="1:12">
      <c r="A214" s="298">
        <v>7</v>
      </c>
      <c r="B214" s="289" t="s">
        <v>4606</v>
      </c>
      <c r="C214" s="289" t="s">
        <v>69</v>
      </c>
      <c r="D214" s="289">
        <v>25000</v>
      </c>
      <c r="E214" s="176">
        <f>INDEX(Caracteristicas_agronomicas!J:J,MATCH(B214,Caracteristicas_agronomicas!C:C,0))</f>
        <v>115</v>
      </c>
      <c r="F214" s="290">
        <f t="shared" si="3"/>
        <v>13.391304347826088</v>
      </c>
      <c r="G214" s="290" t="str">
        <f>VLOOKUP(Tabla1715[[#This Row],[Cultivo]],Tabla16[#All],9,FALSE)</f>
        <v/>
      </c>
      <c r="H214" s="82">
        <f>IFERROR(D214*Formulario!$B$24,"")</f>
        <v>23750</v>
      </c>
      <c r="I214" s="88"/>
      <c r="J214" s="88"/>
      <c r="K214" s="88"/>
      <c r="L214" s="88"/>
    </row>
    <row r="215" spans="1:12">
      <c r="A215" s="299">
        <v>8</v>
      </c>
      <c r="B215" s="120" t="s">
        <v>4606</v>
      </c>
      <c r="C215" s="120" t="s">
        <v>69</v>
      </c>
      <c r="D215" s="289">
        <v>25000</v>
      </c>
      <c r="E215" s="176">
        <f>INDEX(Caracteristicas_agronomicas!J:J,MATCH(B215,Caracteristicas_agronomicas!C:C,0))</f>
        <v>115</v>
      </c>
      <c r="F215" s="290">
        <f t="shared" si="3"/>
        <v>13.391304347826088</v>
      </c>
      <c r="G215" s="290" t="str">
        <f>VLOOKUP(Tabla1715[[#This Row],[Cultivo]],Tabla16[#All],9,FALSE)</f>
        <v/>
      </c>
      <c r="H215" s="82">
        <f>IFERROR(D215*Formulario!$B$24,"")</f>
        <v>23750</v>
      </c>
      <c r="I215" s="88"/>
      <c r="J215" s="88"/>
      <c r="K215" s="88"/>
      <c r="L215" s="88"/>
    </row>
    <row r="216" spans="1:12">
      <c r="A216" s="298">
        <v>9</v>
      </c>
      <c r="B216" s="289" t="s">
        <v>4606</v>
      </c>
      <c r="C216" s="289" t="s">
        <v>69</v>
      </c>
      <c r="D216" s="289">
        <v>25000</v>
      </c>
      <c r="E216" s="176">
        <f>INDEX(Caracteristicas_agronomicas!J:J,MATCH(B216,Caracteristicas_agronomicas!C:C,0))</f>
        <v>115</v>
      </c>
      <c r="F216" s="290">
        <f t="shared" si="3"/>
        <v>13.391304347826088</v>
      </c>
      <c r="G216" s="290" t="str">
        <f>VLOOKUP(Tabla1715[[#This Row],[Cultivo]],Tabla16[#All],9,FALSE)</f>
        <v/>
      </c>
      <c r="H216" s="82">
        <f>IFERROR(D216*Formulario!$B$24,"")</f>
        <v>23750</v>
      </c>
      <c r="I216" s="88"/>
      <c r="J216" s="88"/>
      <c r="K216" s="88"/>
      <c r="L216" s="88"/>
    </row>
    <row r="217" spans="1:12">
      <c r="A217" s="299">
        <v>10</v>
      </c>
      <c r="B217" s="120" t="s">
        <v>4606</v>
      </c>
      <c r="C217" s="120" t="s">
        <v>69</v>
      </c>
      <c r="D217" s="289">
        <v>25000</v>
      </c>
      <c r="E217" s="176">
        <f>INDEX(Caracteristicas_agronomicas!J:J,MATCH(B217,Caracteristicas_agronomicas!C:C,0))</f>
        <v>115</v>
      </c>
      <c r="F217" s="290">
        <f t="shared" si="3"/>
        <v>13.391304347826088</v>
      </c>
      <c r="G217" s="290" t="str">
        <f>VLOOKUP(Tabla1715[[#This Row],[Cultivo]],Tabla16[#All],9,FALSE)</f>
        <v/>
      </c>
      <c r="H217" s="82">
        <f>IFERROR(D217*Formulario!$B$24,"")</f>
        <v>23750</v>
      </c>
      <c r="I217" s="88"/>
      <c r="J217" s="88"/>
      <c r="K217" s="88"/>
      <c r="L217" s="88"/>
    </row>
    <row r="218" spans="1:12">
      <c r="A218" s="298">
        <v>11</v>
      </c>
      <c r="B218" s="289" t="s">
        <v>4606</v>
      </c>
      <c r="C218" s="289" t="s">
        <v>69</v>
      </c>
      <c r="D218" s="289">
        <v>25000</v>
      </c>
      <c r="E218" s="176">
        <f>INDEX(Caracteristicas_agronomicas!J:J,MATCH(B218,Caracteristicas_agronomicas!C:C,0))</f>
        <v>115</v>
      </c>
      <c r="F218" s="290">
        <f t="shared" si="3"/>
        <v>13.391304347826088</v>
      </c>
      <c r="G218" s="290" t="str">
        <f>VLOOKUP(Tabla1715[[#This Row],[Cultivo]],Tabla16[#All],9,FALSE)</f>
        <v/>
      </c>
      <c r="H218" s="82">
        <f>IFERROR(D218*Formulario!$B$24,"")</f>
        <v>23750</v>
      </c>
      <c r="I218" s="88"/>
      <c r="J218" s="88"/>
      <c r="K218" s="88"/>
      <c r="L218" s="88"/>
    </row>
    <row r="219" spans="1:12">
      <c r="A219" s="299">
        <v>12</v>
      </c>
      <c r="B219" s="120" t="s">
        <v>4606</v>
      </c>
      <c r="C219" s="120" t="s">
        <v>69</v>
      </c>
      <c r="D219" s="289">
        <v>25000</v>
      </c>
      <c r="E219" s="176">
        <f>INDEX(Caracteristicas_agronomicas!J:J,MATCH(B219,Caracteristicas_agronomicas!C:C,0))</f>
        <v>115</v>
      </c>
      <c r="F219" s="290">
        <f t="shared" si="3"/>
        <v>13.391304347826088</v>
      </c>
      <c r="G219" s="290" t="str">
        <f>VLOOKUP(Tabla1715[[#This Row],[Cultivo]],Tabla16[#All],9,FALSE)</f>
        <v/>
      </c>
      <c r="H219" s="82">
        <f>IFERROR(D219*Formulario!$B$24,"")</f>
        <v>23750</v>
      </c>
      <c r="I219" s="88"/>
      <c r="J219" s="88"/>
      <c r="K219" s="88"/>
      <c r="L219" s="88"/>
    </row>
    <row r="220" spans="1:12">
      <c r="A220" s="298">
        <v>13</v>
      </c>
      <c r="B220" s="289" t="s">
        <v>4606</v>
      </c>
      <c r="C220" s="289" t="s">
        <v>69</v>
      </c>
      <c r="D220" s="289">
        <v>25000</v>
      </c>
      <c r="E220" s="176">
        <f>INDEX(Caracteristicas_agronomicas!J:J,MATCH(B220,Caracteristicas_agronomicas!C:C,0))</f>
        <v>115</v>
      </c>
      <c r="F220" s="290">
        <f t="shared" si="3"/>
        <v>13.391304347826088</v>
      </c>
      <c r="G220" s="290" t="str">
        <f>VLOOKUP(Tabla1715[[#This Row],[Cultivo]],Tabla16[#All],9,FALSE)</f>
        <v/>
      </c>
      <c r="H220" s="82">
        <f>IFERROR(D220*Formulario!$B$24,"")</f>
        <v>23750</v>
      </c>
      <c r="I220" s="88"/>
      <c r="J220" s="88"/>
      <c r="K220" s="88"/>
      <c r="L220" s="88"/>
    </row>
    <row r="221" spans="1:12">
      <c r="A221" s="299">
        <v>14</v>
      </c>
      <c r="B221" s="120" t="s">
        <v>4606</v>
      </c>
      <c r="C221" s="120" t="s">
        <v>69</v>
      </c>
      <c r="D221" s="289">
        <v>25000</v>
      </c>
      <c r="E221" s="176">
        <f>INDEX(Caracteristicas_agronomicas!J:J,MATCH(B221,Caracteristicas_agronomicas!C:C,0))</f>
        <v>115</v>
      </c>
      <c r="F221" s="290">
        <f t="shared" si="3"/>
        <v>13.391304347826088</v>
      </c>
      <c r="G221" s="290" t="str">
        <f>VLOOKUP(Tabla1715[[#This Row],[Cultivo]],Tabla16[#All],9,FALSE)</f>
        <v/>
      </c>
      <c r="H221" s="82">
        <f>IFERROR(D221*Formulario!$B$24,"")</f>
        <v>23750</v>
      </c>
      <c r="I221" s="88"/>
      <c r="J221" s="88"/>
      <c r="K221" s="88"/>
      <c r="L221" s="88"/>
    </row>
    <row r="222" spans="1:12">
      <c r="A222" s="298">
        <v>15</v>
      </c>
      <c r="B222" s="289" t="s">
        <v>4606</v>
      </c>
      <c r="C222" s="289" t="s">
        <v>69</v>
      </c>
      <c r="D222" s="289">
        <v>25000</v>
      </c>
      <c r="E222" s="176">
        <f>INDEX(Caracteristicas_agronomicas!J:J,MATCH(B222,Caracteristicas_agronomicas!C:C,0))</f>
        <v>115</v>
      </c>
      <c r="F222" s="290">
        <f t="shared" si="3"/>
        <v>13.391304347826088</v>
      </c>
      <c r="G222" s="290" t="str">
        <f>VLOOKUP(Tabla1715[[#This Row],[Cultivo]],Tabla16[#All],9,FALSE)</f>
        <v/>
      </c>
      <c r="H222" s="82">
        <f>IFERROR(D222*Formulario!$B$24,"")</f>
        <v>23750</v>
      </c>
      <c r="I222" s="88"/>
      <c r="J222" s="88"/>
      <c r="K222" s="88"/>
      <c r="L222" s="88"/>
    </row>
    <row r="223" spans="1:12">
      <c r="A223" s="299">
        <v>16</v>
      </c>
      <c r="B223" s="120" t="s">
        <v>4606</v>
      </c>
      <c r="C223" s="120" t="s">
        <v>69</v>
      </c>
      <c r="D223" s="289">
        <v>25000</v>
      </c>
      <c r="E223" s="176">
        <f>INDEX(Caracteristicas_agronomicas!J:J,MATCH(B223,Caracteristicas_agronomicas!C:C,0))</f>
        <v>115</v>
      </c>
      <c r="F223" s="290">
        <f t="shared" si="3"/>
        <v>13.391304347826088</v>
      </c>
      <c r="G223" s="290" t="str">
        <f>VLOOKUP(Tabla1715[[#This Row],[Cultivo]],Tabla16[#All],9,FALSE)</f>
        <v/>
      </c>
      <c r="H223" s="82">
        <f>IFERROR(D223*Formulario!$B$24,"")</f>
        <v>23750</v>
      </c>
      <c r="I223" s="88"/>
      <c r="J223" s="88"/>
      <c r="K223" s="88"/>
      <c r="L223" s="88"/>
    </row>
    <row r="224" spans="1:12">
      <c r="A224" s="298">
        <v>17</v>
      </c>
      <c r="B224" s="289" t="s">
        <v>4606</v>
      </c>
      <c r="C224" s="289" t="s">
        <v>69</v>
      </c>
      <c r="D224" s="289">
        <v>25000</v>
      </c>
      <c r="E224" s="176">
        <f>INDEX(Caracteristicas_agronomicas!J:J,MATCH(B224,Caracteristicas_agronomicas!C:C,0))</f>
        <v>115</v>
      </c>
      <c r="F224" s="290">
        <f t="shared" si="3"/>
        <v>13.391304347826088</v>
      </c>
      <c r="G224" s="290" t="str">
        <f>VLOOKUP(Tabla1715[[#This Row],[Cultivo]],Tabla16[#All],9,FALSE)</f>
        <v/>
      </c>
      <c r="H224" s="82">
        <f>IFERROR(D224*Formulario!$B$24,"")</f>
        <v>23750</v>
      </c>
      <c r="I224" s="88"/>
      <c r="J224" s="88"/>
      <c r="K224" s="88"/>
      <c r="L224" s="88"/>
    </row>
    <row r="225" spans="1:12">
      <c r="A225" s="299">
        <v>18</v>
      </c>
      <c r="B225" s="120" t="s">
        <v>4606</v>
      </c>
      <c r="C225" s="120" t="s">
        <v>69</v>
      </c>
      <c r="D225" s="289">
        <v>25000</v>
      </c>
      <c r="E225" s="176">
        <f>INDEX(Caracteristicas_agronomicas!J:J,MATCH(B225,Caracteristicas_agronomicas!C:C,0))</f>
        <v>115</v>
      </c>
      <c r="F225" s="290">
        <f t="shared" si="3"/>
        <v>13.391304347826088</v>
      </c>
      <c r="G225" s="290" t="str">
        <f>VLOOKUP(Tabla1715[[#This Row],[Cultivo]],Tabla16[#All],9,FALSE)</f>
        <v/>
      </c>
      <c r="H225" s="82">
        <f>IFERROR(D225*Formulario!$B$24,"")</f>
        <v>23750</v>
      </c>
      <c r="I225" s="88"/>
      <c r="J225" s="88"/>
      <c r="K225" s="88"/>
      <c r="L225" s="88"/>
    </row>
    <row r="226" spans="1:12">
      <c r="A226" s="298">
        <v>19</v>
      </c>
      <c r="B226" s="289" t="s">
        <v>4606</v>
      </c>
      <c r="C226" s="289" t="s">
        <v>69</v>
      </c>
      <c r="D226" s="289">
        <v>25000</v>
      </c>
      <c r="E226" s="176">
        <f>INDEX(Caracteristicas_agronomicas!J:J,MATCH(B226,Caracteristicas_agronomicas!C:C,0))</f>
        <v>115</v>
      </c>
      <c r="F226" s="290">
        <f t="shared" si="3"/>
        <v>13.391304347826088</v>
      </c>
      <c r="G226" s="290" t="str">
        <f>VLOOKUP(Tabla1715[[#This Row],[Cultivo]],Tabla16[#All],9,FALSE)</f>
        <v/>
      </c>
      <c r="H226" s="82">
        <f>IFERROR(D226*Formulario!$B$24,"")</f>
        <v>23750</v>
      </c>
      <c r="I226" s="88"/>
      <c r="J226" s="88"/>
      <c r="K226" s="88"/>
      <c r="L226" s="88"/>
    </row>
    <row r="227" spans="1:12">
      <c r="A227" s="299">
        <v>20</v>
      </c>
      <c r="B227" s="120" t="s">
        <v>4606</v>
      </c>
      <c r="C227" s="120" t="s">
        <v>69</v>
      </c>
      <c r="D227" s="289">
        <v>25000</v>
      </c>
      <c r="E227" s="176">
        <f>INDEX(Caracteristicas_agronomicas!J:J,MATCH(B227,Caracteristicas_agronomicas!C:C,0))</f>
        <v>115</v>
      </c>
      <c r="F227" s="290">
        <f t="shared" si="3"/>
        <v>13.391304347826088</v>
      </c>
      <c r="G227" s="290" t="str">
        <f>VLOOKUP(Tabla1715[[#This Row],[Cultivo]],Tabla16[#All],9,FALSE)</f>
        <v/>
      </c>
      <c r="H227" s="82">
        <f>IFERROR(D227*Formulario!$B$24,"")</f>
        <v>23750</v>
      </c>
      <c r="I227" s="88"/>
      <c r="J227" s="88"/>
      <c r="K227" s="88"/>
      <c r="L227" s="88"/>
    </row>
    <row r="228" spans="1:12">
      <c r="A228" s="298">
        <v>21</v>
      </c>
      <c r="B228" s="289" t="s">
        <v>4606</v>
      </c>
      <c r="C228" s="289" t="s">
        <v>69</v>
      </c>
      <c r="D228" s="289">
        <v>25000</v>
      </c>
      <c r="E228" s="176">
        <f>INDEX(Caracteristicas_agronomicas!J:J,MATCH(B228,Caracteristicas_agronomicas!C:C,0))</f>
        <v>115</v>
      </c>
      <c r="F228" s="290">
        <f t="shared" si="3"/>
        <v>13.391304347826088</v>
      </c>
      <c r="G228" s="290" t="str">
        <f>VLOOKUP(Tabla1715[[#This Row],[Cultivo]],Tabla16[#All],9,FALSE)</f>
        <v/>
      </c>
      <c r="H228" s="82">
        <f>IFERROR(D228*Formulario!$B$24,"")</f>
        <v>23750</v>
      </c>
      <c r="I228" s="88"/>
      <c r="J228" s="88"/>
      <c r="K228" s="88"/>
      <c r="L228" s="88"/>
    </row>
    <row r="229" spans="1:12">
      <c r="A229" s="299">
        <v>22</v>
      </c>
      <c r="B229" s="120" t="s">
        <v>4606</v>
      </c>
      <c r="C229" s="120" t="s">
        <v>69</v>
      </c>
      <c r="D229" s="289">
        <v>25000</v>
      </c>
      <c r="E229" s="176">
        <f>INDEX(Caracteristicas_agronomicas!J:J,MATCH(B229,Caracteristicas_agronomicas!C:C,0))</f>
        <v>115</v>
      </c>
      <c r="F229" s="290">
        <f t="shared" si="3"/>
        <v>13.391304347826088</v>
      </c>
      <c r="G229" s="290" t="str">
        <f>VLOOKUP(Tabla1715[[#This Row],[Cultivo]],Tabla16[#All],9,FALSE)</f>
        <v/>
      </c>
      <c r="H229" s="82">
        <f>IFERROR(D229*Formulario!$B$24,"")</f>
        <v>23750</v>
      </c>
      <c r="I229" s="88"/>
      <c r="J229" s="88"/>
      <c r="K229" s="88"/>
      <c r="L229" s="88"/>
    </row>
    <row r="230" spans="1:12">
      <c r="A230" s="298">
        <v>23</v>
      </c>
      <c r="B230" s="289" t="s">
        <v>4606</v>
      </c>
      <c r="C230" s="289" t="s">
        <v>69</v>
      </c>
      <c r="D230" s="289">
        <v>25000</v>
      </c>
      <c r="E230" s="176">
        <f>INDEX(Caracteristicas_agronomicas!J:J,MATCH(B230,Caracteristicas_agronomicas!C:C,0))</f>
        <v>115</v>
      </c>
      <c r="F230" s="290">
        <f t="shared" si="3"/>
        <v>13.391304347826088</v>
      </c>
      <c r="G230" s="290" t="str">
        <f>VLOOKUP(Tabla1715[[#This Row],[Cultivo]],Tabla16[#All],9,FALSE)</f>
        <v/>
      </c>
      <c r="H230" s="82">
        <f>IFERROR(D230*Formulario!$B$24,"")</f>
        <v>23750</v>
      </c>
      <c r="I230" s="88"/>
      <c r="J230" s="88"/>
      <c r="K230" s="88"/>
      <c r="L230" s="88"/>
    </row>
    <row r="231" spans="1:12">
      <c r="A231" s="299">
        <v>24</v>
      </c>
      <c r="B231" s="120" t="s">
        <v>4606</v>
      </c>
      <c r="C231" s="120" t="s">
        <v>69</v>
      </c>
      <c r="D231" s="289">
        <v>25000</v>
      </c>
      <c r="E231" s="176">
        <f>INDEX(Caracteristicas_agronomicas!J:J,MATCH(B231,Caracteristicas_agronomicas!C:C,0))</f>
        <v>115</v>
      </c>
      <c r="F231" s="290">
        <f t="shared" si="3"/>
        <v>13.391304347826088</v>
      </c>
      <c r="G231" s="290" t="str">
        <f>VLOOKUP(Tabla1715[[#This Row],[Cultivo]],Tabla16[#All],9,FALSE)</f>
        <v/>
      </c>
      <c r="H231" s="82">
        <f>IFERROR(D231*Formulario!$B$24,"")</f>
        <v>23750</v>
      </c>
      <c r="I231" s="88"/>
      <c r="J231" s="88"/>
      <c r="K231" s="88"/>
      <c r="L231" s="88"/>
    </row>
    <row r="232" spans="1:12">
      <c r="A232" s="298">
        <v>25</v>
      </c>
      <c r="B232" s="289" t="s">
        <v>4606</v>
      </c>
      <c r="C232" s="289" t="s">
        <v>69</v>
      </c>
      <c r="D232" s="289">
        <v>25000</v>
      </c>
      <c r="E232" s="176">
        <f>INDEX(Caracteristicas_agronomicas!J:J,MATCH(B232,Caracteristicas_agronomicas!C:C,0))</f>
        <v>115</v>
      </c>
      <c r="F232" s="290">
        <f t="shared" si="3"/>
        <v>13.391304347826088</v>
      </c>
      <c r="G232" s="290" t="str">
        <f>VLOOKUP(Tabla1715[[#This Row],[Cultivo]],Tabla16[#All],9,FALSE)</f>
        <v/>
      </c>
      <c r="H232" s="82">
        <f>IFERROR(D232*Formulario!$B$24,"")</f>
        <v>23750</v>
      </c>
      <c r="I232" s="88"/>
      <c r="J232" s="88"/>
      <c r="K232" s="88"/>
      <c r="L232" s="88"/>
    </row>
    <row r="233" spans="1:12">
      <c r="A233" s="299">
        <v>26</v>
      </c>
      <c r="B233" s="120" t="s">
        <v>4606</v>
      </c>
      <c r="C233" s="120" t="s">
        <v>69</v>
      </c>
      <c r="D233" s="289">
        <v>23000</v>
      </c>
      <c r="E233" s="176">
        <f>INDEX(Caracteristicas_agronomicas!J:J,MATCH(B233,Caracteristicas_agronomicas!C:C,0))</f>
        <v>115</v>
      </c>
      <c r="F233" s="290">
        <f t="shared" si="3"/>
        <v>13.391304347826088</v>
      </c>
      <c r="G233" s="290" t="str">
        <f>VLOOKUP(Tabla1715[[#This Row],[Cultivo]],Tabla16[#All],9,FALSE)</f>
        <v/>
      </c>
      <c r="H233" s="82">
        <f>IFERROR(D233*Formulario!$B$24,"")</f>
        <v>21850</v>
      </c>
      <c r="I233" s="88"/>
      <c r="J233" s="88"/>
      <c r="K233" s="88"/>
      <c r="L233" s="88"/>
    </row>
    <row r="234" spans="1:12">
      <c r="A234" s="298">
        <v>27</v>
      </c>
      <c r="B234" s="289" t="s">
        <v>4606</v>
      </c>
      <c r="C234" s="289" t="s">
        <v>69</v>
      </c>
      <c r="D234" s="289">
        <v>22000</v>
      </c>
      <c r="E234" s="176">
        <f>INDEX(Caracteristicas_agronomicas!J:J,MATCH(B234,Caracteristicas_agronomicas!C:C,0))</f>
        <v>115</v>
      </c>
      <c r="F234" s="290">
        <f t="shared" si="3"/>
        <v>13.391304347826088</v>
      </c>
      <c r="G234" s="290" t="str">
        <f>VLOOKUP(Tabla1715[[#This Row],[Cultivo]],Tabla16[#All],9,FALSE)</f>
        <v/>
      </c>
      <c r="H234" s="82">
        <f>IFERROR(D234*Formulario!$B$24,"")</f>
        <v>20900</v>
      </c>
      <c r="I234" s="88"/>
      <c r="J234" s="88"/>
      <c r="K234" s="88"/>
      <c r="L234" s="88"/>
    </row>
    <row r="235" spans="1:12">
      <c r="A235" s="299">
        <v>28</v>
      </c>
      <c r="B235" s="120" t="s">
        <v>4606</v>
      </c>
      <c r="C235" s="120" t="s">
        <v>69</v>
      </c>
      <c r="D235" s="120">
        <v>20000</v>
      </c>
      <c r="E235" s="176">
        <f>INDEX(Caracteristicas_agronomicas!J:J,MATCH(B235,Caracteristicas_agronomicas!C:C,0))</f>
        <v>115</v>
      </c>
      <c r="F235" s="290">
        <f t="shared" si="3"/>
        <v>13.391304347826088</v>
      </c>
      <c r="G235" s="290" t="str">
        <f>VLOOKUP(Tabla1715[[#This Row],[Cultivo]],Tabla16[#All],9,FALSE)</f>
        <v/>
      </c>
      <c r="H235" s="82">
        <f>IFERROR(D235*Formulario!$B$24,"")</f>
        <v>19000</v>
      </c>
      <c r="I235" s="88"/>
      <c r="J235" s="88"/>
      <c r="K235" s="88"/>
      <c r="L235" s="88"/>
    </row>
    <row r="236" spans="1:12">
      <c r="A236" s="298">
        <v>29</v>
      </c>
      <c r="B236" s="289" t="s">
        <v>4606</v>
      </c>
      <c r="C236" s="289" t="s">
        <v>69</v>
      </c>
      <c r="D236" s="289">
        <v>19000</v>
      </c>
      <c r="E236" s="176">
        <f>INDEX(Caracteristicas_agronomicas!J:J,MATCH(B236,Caracteristicas_agronomicas!C:C,0))</f>
        <v>115</v>
      </c>
      <c r="F236" s="290">
        <f t="shared" si="3"/>
        <v>13.391304347826088</v>
      </c>
      <c r="G236" s="290" t="str">
        <f>VLOOKUP(Tabla1715[[#This Row],[Cultivo]],Tabla16[#All],9,FALSE)</f>
        <v/>
      </c>
      <c r="H236" s="82">
        <f>IFERROR(D236*Formulario!$B$24,"")</f>
        <v>18050</v>
      </c>
      <c r="I236" s="88"/>
      <c r="J236" s="88"/>
      <c r="K236" s="88"/>
      <c r="L236" s="88"/>
    </row>
    <row r="237" spans="1:12">
      <c r="A237" s="299">
        <v>30</v>
      </c>
      <c r="B237" s="120" t="s">
        <v>4606</v>
      </c>
      <c r="C237" s="120" t="s">
        <v>69</v>
      </c>
      <c r="D237" s="289">
        <v>18000</v>
      </c>
      <c r="E237" s="176">
        <f>INDEX(Caracteristicas_agronomicas!J:J,MATCH(B237,Caracteristicas_agronomicas!C:C,0))</f>
        <v>115</v>
      </c>
      <c r="F237" s="290">
        <f t="shared" si="3"/>
        <v>13.391304347826088</v>
      </c>
      <c r="G237" s="290" t="str">
        <f>VLOOKUP(Tabla1715[[#This Row],[Cultivo]],Tabla16[#All],9,FALSE)</f>
        <v/>
      </c>
      <c r="H237" s="82">
        <f>IFERROR(D237*Formulario!$B$24,"")</f>
        <v>17100</v>
      </c>
      <c r="I237" s="88"/>
      <c r="J237" s="88"/>
      <c r="K237" s="88"/>
      <c r="L237" s="88"/>
    </row>
    <row r="238" spans="1:12">
      <c r="A238" s="298">
        <v>1</v>
      </c>
      <c r="B238" s="289" t="s">
        <v>4605</v>
      </c>
      <c r="C238" s="289" t="s">
        <v>53</v>
      </c>
      <c r="D238" s="289">
        <v>0</v>
      </c>
      <c r="E238" s="176">
        <f>INDEX(Caracteristicas_agronomicas!J:J,MATCH(B238,Caracteristicas_agronomicas!C:C,0))</f>
        <v>143</v>
      </c>
      <c r="F238" s="290">
        <f t="shared" si="3"/>
        <v>10.76923076923077</v>
      </c>
      <c r="G238" s="290" t="str">
        <f>VLOOKUP(Tabla1715[[#This Row],[Cultivo]],Tabla16[#All],9,FALSE)</f>
        <v/>
      </c>
      <c r="H238" s="82">
        <f>IFERROR(D238*Formulario!$B$24,"")</f>
        <v>0</v>
      </c>
      <c r="I238" s="88"/>
      <c r="J238" s="88"/>
      <c r="K238" s="88"/>
      <c r="L238" s="88"/>
    </row>
    <row r="239" spans="1:12">
      <c r="A239" s="299">
        <v>2</v>
      </c>
      <c r="B239" s="120" t="s">
        <v>4605</v>
      </c>
      <c r="C239" s="120" t="s">
        <v>68</v>
      </c>
      <c r="D239" s="120">
        <v>0</v>
      </c>
      <c r="E239" s="176">
        <f>INDEX(Caracteristicas_agronomicas!J:J,MATCH(B239,Caracteristicas_agronomicas!C:C,0))</f>
        <v>143</v>
      </c>
      <c r="F239" s="290">
        <f t="shared" si="3"/>
        <v>10.76923076923077</v>
      </c>
      <c r="G239" s="290" t="str">
        <f>VLOOKUP(Tabla1715[[#This Row],[Cultivo]],Tabla16[#All],9,FALSE)</f>
        <v/>
      </c>
      <c r="H239" s="82">
        <f>IFERROR(D239*Formulario!$B$24,"")</f>
        <v>0</v>
      </c>
      <c r="I239" s="88"/>
      <c r="J239" s="88"/>
      <c r="K239" s="88"/>
      <c r="L239" s="88"/>
    </row>
    <row r="240" spans="1:12">
      <c r="A240" s="298">
        <v>3</v>
      </c>
      <c r="B240" s="289" t="s">
        <v>4605</v>
      </c>
      <c r="C240" s="289" t="s">
        <v>69</v>
      </c>
      <c r="D240" s="289">
        <v>6000</v>
      </c>
      <c r="E240" s="176">
        <f>INDEX(Caracteristicas_agronomicas!J:J,MATCH(B240,Caracteristicas_agronomicas!C:C,0))</f>
        <v>143</v>
      </c>
      <c r="F240" s="290">
        <f t="shared" si="3"/>
        <v>10.76923076923077</v>
      </c>
      <c r="G240" s="290" t="str">
        <f>VLOOKUP(Tabla1715[[#This Row],[Cultivo]],Tabla16[#All],9,FALSE)</f>
        <v/>
      </c>
      <c r="H240" s="82">
        <f>IFERROR(D240*Formulario!$B$24,"")</f>
        <v>5700</v>
      </c>
      <c r="I240" s="88"/>
      <c r="J240" s="88"/>
      <c r="K240" s="88"/>
      <c r="L240" s="88"/>
    </row>
    <row r="241" spans="1:12">
      <c r="A241" s="299">
        <v>4</v>
      </c>
      <c r="B241" s="120" t="s">
        <v>4605</v>
      </c>
      <c r="C241" s="120" t="s">
        <v>69</v>
      </c>
      <c r="D241" s="120">
        <v>10000</v>
      </c>
      <c r="E241" s="176">
        <f>INDEX(Caracteristicas_agronomicas!J:J,MATCH(B241,Caracteristicas_agronomicas!C:C,0))</f>
        <v>143</v>
      </c>
      <c r="F241" s="290">
        <f t="shared" si="3"/>
        <v>10.76923076923077</v>
      </c>
      <c r="G241" s="290" t="str">
        <f>VLOOKUP(Tabla1715[[#This Row],[Cultivo]],Tabla16[#All],9,FALSE)</f>
        <v/>
      </c>
      <c r="H241" s="82">
        <f>IFERROR(D241*Formulario!$B$24,"")</f>
        <v>9500</v>
      </c>
      <c r="I241" s="88"/>
      <c r="J241" s="88"/>
      <c r="K241" s="88"/>
      <c r="L241" s="88"/>
    </row>
    <row r="242" spans="1:12">
      <c r="A242" s="298">
        <v>5</v>
      </c>
      <c r="B242" s="289" t="s">
        <v>4605</v>
      </c>
      <c r="C242" s="289" t="s">
        <v>69</v>
      </c>
      <c r="D242" s="289">
        <v>14000</v>
      </c>
      <c r="E242" s="176">
        <f>INDEX(Caracteristicas_agronomicas!J:J,MATCH(B242,Caracteristicas_agronomicas!C:C,0))</f>
        <v>143</v>
      </c>
      <c r="F242" s="290">
        <f t="shared" si="3"/>
        <v>10.76923076923077</v>
      </c>
      <c r="G242" s="290" t="str">
        <f>VLOOKUP(Tabla1715[[#This Row],[Cultivo]],Tabla16[#All],9,FALSE)</f>
        <v/>
      </c>
      <c r="H242" s="82">
        <f>IFERROR(D242*Formulario!$B$24,"")</f>
        <v>13300</v>
      </c>
      <c r="I242" s="88"/>
      <c r="J242" s="88"/>
      <c r="K242" s="88"/>
      <c r="L242" s="88"/>
    </row>
    <row r="243" spans="1:12">
      <c r="A243" s="299">
        <v>6</v>
      </c>
      <c r="B243" s="120" t="s">
        <v>4605</v>
      </c>
      <c r="C243" s="120" t="s">
        <v>69</v>
      </c>
      <c r="D243" s="120">
        <v>20000</v>
      </c>
      <c r="E243" s="176">
        <f>INDEX(Caracteristicas_agronomicas!J:J,MATCH(B243,Caracteristicas_agronomicas!C:C,0))</f>
        <v>143</v>
      </c>
      <c r="F243" s="290">
        <f t="shared" si="3"/>
        <v>10.76923076923077</v>
      </c>
      <c r="G243" s="290" t="str">
        <f>VLOOKUP(Tabla1715[[#This Row],[Cultivo]],Tabla16[#All],9,FALSE)</f>
        <v/>
      </c>
      <c r="H243" s="82">
        <f>IFERROR(D243*Formulario!$B$24,"")</f>
        <v>19000</v>
      </c>
      <c r="I243" s="88"/>
      <c r="J243" s="88"/>
      <c r="K243" s="88"/>
      <c r="L243" s="88"/>
    </row>
    <row r="244" spans="1:12">
      <c r="A244" s="298">
        <v>7</v>
      </c>
      <c r="B244" s="289" t="s">
        <v>4605</v>
      </c>
      <c r="C244" s="289" t="s">
        <v>69</v>
      </c>
      <c r="D244" s="289">
        <v>20000</v>
      </c>
      <c r="E244" s="176">
        <f>INDEX(Caracteristicas_agronomicas!J:J,MATCH(B244,Caracteristicas_agronomicas!C:C,0))</f>
        <v>143</v>
      </c>
      <c r="F244" s="290">
        <f t="shared" si="3"/>
        <v>10.76923076923077</v>
      </c>
      <c r="G244" s="290" t="str">
        <f>VLOOKUP(Tabla1715[[#This Row],[Cultivo]],Tabla16[#All],9,FALSE)</f>
        <v/>
      </c>
      <c r="H244" s="82">
        <f>IFERROR(D244*Formulario!$B$24,"")</f>
        <v>19000</v>
      </c>
      <c r="I244" s="88"/>
      <c r="J244" s="88"/>
      <c r="K244" s="88"/>
      <c r="L244" s="88"/>
    </row>
    <row r="245" spans="1:12">
      <c r="A245" s="299">
        <v>8</v>
      </c>
      <c r="B245" s="120" t="s">
        <v>4605</v>
      </c>
      <c r="C245" s="120" t="s">
        <v>69</v>
      </c>
      <c r="D245" s="120">
        <v>25000</v>
      </c>
      <c r="E245" s="176">
        <f>INDEX(Caracteristicas_agronomicas!J:J,MATCH(B245,Caracteristicas_agronomicas!C:C,0))</f>
        <v>143</v>
      </c>
      <c r="F245" s="290">
        <f t="shared" si="3"/>
        <v>10.76923076923077</v>
      </c>
      <c r="G245" s="290" t="str">
        <f>VLOOKUP(Tabla1715[[#This Row],[Cultivo]],Tabla16[#All],9,FALSE)</f>
        <v/>
      </c>
      <c r="H245" s="82">
        <f>IFERROR(D245*Formulario!$B$24,"")</f>
        <v>23750</v>
      </c>
      <c r="I245" s="88"/>
      <c r="J245" s="88"/>
      <c r="K245" s="88"/>
      <c r="L245" s="88"/>
    </row>
    <row r="246" spans="1:12">
      <c r="A246" s="298">
        <v>9</v>
      </c>
      <c r="B246" s="289" t="s">
        <v>4605</v>
      </c>
      <c r="C246" s="289" t="s">
        <v>69</v>
      </c>
      <c r="D246" s="120">
        <v>25000</v>
      </c>
      <c r="E246" s="176">
        <f>INDEX(Caracteristicas_agronomicas!J:J,MATCH(B246,Caracteristicas_agronomicas!C:C,0))</f>
        <v>143</v>
      </c>
      <c r="F246" s="290">
        <f t="shared" si="3"/>
        <v>10.76923076923077</v>
      </c>
      <c r="G246" s="290" t="str">
        <f>VLOOKUP(Tabla1715[[#This Row],[Cultivo]],Tabla16[#All],9,FALSE)</f>
        <v/>
      </c>
      <c r="H246" s="82">
        <f>IFERROR(D246*Formulario!$B$24,"")</f>
        <v>23750</v>
      </c>
      <c r="I246" s="88"/>
      <c r="J246" s="88"/>
      <c r="K246" s="88"/>
      <c r="L246" s="88"/>
    </row>
    <row r="247" spans="1:12">
      <c r="A247" s="299">
        <v>10</v>
      </c>
      <c r="B247" s="120" t="s">
        <v>4605</v>
      </c>
      <c r="C247" s="120" t="s">
        <v>69</v>
      </c>
      <c r="D247" s="120">
        <v>25000</v>
      </c>
      <c r="E247" s="176">
        <f>INDEX(Caracteristicas_agronomicas!J:J,MATCH(B247,Caracteristicas_agronomicas!C:C,0))</f>
        <v>143</v>
      </c>
      <c r="F247" s="290">
        <f t="shared" si="3"/>
        <v>10.76923076923077</v>
      </c>
      <c r="G247" s="290" t="str">
        <f>VLOOKUP(Tabla1715[[#This Row],[Cultivo]],Tabla16[#All],9,FALSE)</f>
        <v/>
      </c>
      <c r="H247" s="82">
        <f>IFERROR(D247*Formulario!$B$24,"")</f>
        <v>23750</v>
      </c>
      <c r="I247" s="88"/>
      <c r="J247" s="88"/>
      <c r="K247" s="88"/>
      <c r="L247" s="88"/>
    </row>
    <row r="248" spans="1:12">
      <c r="A248" s="298">
        <v>11</v>
      </c>
      <c r="B248" s="289" t="s">
        <v>4605</v>
      </c>
      <c r="C248" s="289" t="s">
        <v>69</v>
      </c>
      <c r="D248" s="120">
        <v>25000</v>
      </c>
      <c r="E248" s="176">
        <f>INDEX(Caracteristicas_agronomicas!J:J,MATCH(B248,Caracteristicas_agronomicas!C:C,0))</f>
        <v>143</v>
      </c>
      <c r="F248" s="290">
        <f t="shared" si="3"/>
        <v>10.76923076923077</v>
      </c>
      <c r="G248" s="290" t="str">
        <f>VLOOKUP(Tabla1715[[#This Row],[Cultivo]],Tabla16[#All],9,FALSE)</f>
        <v/>
      </c>
      <c r="H248" s="82">
        <f>IFERROR(D248*Formulario!$B$24,"")</f>
        <v>23750</v>
      </c>
      <c r="I248" s="88"/>
      <c r="J248" s="88"/>
      <c r="K248" s="88"/>
      <c r="L248" s="88"/>
    </row>
    <row r="249" spans="1:12">
      <c r="A249" s="299">
        <v>12</v>
      </c>
      <c r="B249" s="120" t="s">
        <v>4605</v>
      </c>
      <c r="C249" s="120" t="s">
        <v>69</v>
      </c>
      <c r="D249" s="120">
        <v>25000</v>
      </c>
      <c r="E249" s="176">
        <f>INDEX(Caracteristicas_agronomicas!J:J,MATCH(B249,Caracteristicas_agronomicas!C:C,0))</f>
        <v>143</v>
      </c>
      <c r="F249" s="290">
        <f t="shared" si="3"/>
        <v>10.76923076923077</v>
      </c>
      <c r="G249" s="290" t="str">
        <f>VLOOKUP(Tabla1715[[#This Row],[Cultivo]],Tabla16[#All],9,FALSE)</f>
        <v/>
      </c>
      <c r="H249" s="82">
        <f>IFERROR(D249*Formulario!$B$24,"")</f>
        <v>23750</v>
      </c>
      <c r="I249" s="88"/>
      <c r="J249" s="88"/>
      <c r="K249" s="88"/>
      <c r="L249" s="88"/>
    </row>
    <row r="250" spans="1:12">
      <c r="A250" s="298">
        <v>13</v>
      </c>
      <c r="B250" s="289" t="s">
        <v>4605</v>
      </c>
      <c r="C250" s="289" t="s">
        <v>69</v>
      </c>
      <c r="D250" s="120">
        <v>25000</v>
      </c>
      <c r="E250" s="176">
        <f>INDEX(Caracteristicas_agronomicas!J:J,MATCH(B250,Caracteristicas_agronomicas!C:C,0))</f>
        <v>143</v>
      </c>
      <c r="F250" s="290">
        <f t="shared" si="3"/>
        <v>10.76923076923077</v>
      </c>
      <c r="G250" s="290" t="str">
        <f>VLOOKUP(Tabla1715[[#This Row],[Cultivo]],Tabla16[#All],9,FALSE)</f>
        <v/>
      </c>
      <c r="H250" s="82">
        <f>IFERROR(D250*Formulario!$B$24,"")</f>
        <v>23750</v>
      </c>
      <c r="I250" s="88"/>
      <c r="J250" s="88"/>
      <c r="K250" s="88"/>
      <c r="L250" s="88"/>
    </row>
    <row r="251" spans="1:12">
      <c r="A251" s="299">
        <v>14</v>
      </c>
      <c r="B251" s="120" t="s">
        <v>4605</v>
      </c>
      <c r="C251" s="120" t="s">
        <v>69</v>
      </c>
      <c r="D251" s="120">
        <v>25000</v>
      </c>
      <c r="E251" s="176">
        <f>INDEX(Caracteristicas_agronomicas!J:J,MATCH(B251,Caracteristicas_agronomicas!C:C,0))</f>
        <v>143</v>
      </c>
      <c r="F251" s="290">
        <f t="shared" si="3"/>
        <v>10.76923076923077</v>
      </c>
      <c r="G251" s="290" t="str">
        <f>VLOOKUP(Tabla1715[[#This Row],[Cultivo]],Tabla16[#All],9,FALSE)</f>
        <v/>
      </c>
      <c r="H251" s="82">
        <f>IFERROR(D251*Formulario!$B$24,"")</f>
        <v>23750</v>
      </c>
      <c r="I251" s="88"/>
      <c r="J251" s="88"/>
      <c r="K251" s="88"/>
      <c r="L251" s="88"/>
    </row>
    <row r="252" spans="1:12">
      <c r="A252" s="298">
        <v>15</v>
      </c>
      <c r="B252" s="289" t="s">
        <v>4605</v>
      </c>
      <c r="C252" s="289" t="s">
        <v>69</v>
      </c>
      <c r="D252" s="120">
        <v>25000</v>
      </c>
      <c r="E252" s="176">
        <f>INDEX(Caracteristicas_agronomicas!J:J,MATCH(B252,Caracteristicas_agronomicas!C:C,0))</f>
        <v>143</v>
      </c>
      <c r="F252" s="290">
        <f t="shared" si="3"/>
        <v>10.76923076923077</v>
      </c>
      <c r="G252" s="290" t="str">
        <f>VLOOKUP(Tabla1715[[#This Row],[Cultivo]],Tabla16[#All],9,FALSE)</f>
        <v/>
      </c>
      <c r="H252" s="82">
        <f>IFERROR(D252*Formulario!$B$24,"")</f>
        <v>23750</v>
      </c>
      <c r="I252" s="88"/>
      <c r="J252" s="88"/>
      <c r="K252" s="88"/>
      <c r="L252" s="88"/>
    </row>
    <row r="253" spans="1:12">
      <c r="A253" s="299">
        <v>16</v>
      </c>
      <c r="B253" s="120" t="s">
        <v>4605</v>
      </c>
      <c r="C253" s="120" t="s">
        <v>69</v>
      </c>
      <c r="D253" s="120">
        <v>25000</v>
      </c>
      <c r="E253" s="176">
        <f>INDEX(Caracteristicas_agronomicas!J:J,MATCH(B253,Caracteristicas_agronomicas!C:C,0))</f>
        <v>143</v>
      </c>
      <c r="F253" s="290">
        <f t="shared" si="3"/>
        <v>10.76923076923077</v>
      </c>
      <c r="G253" s="290" t="str">
        <f>VLOOKUP(Tabla1715[[#This Row],[Cultivo]],Tabla16[#All],9,FALSE)</f>
        <v/>
      </c>
      <c r="H253" s="82">
        <f>IFERROR(D253*Formulario!$B$24,"")</f>
        <v>23750</v>
      </c>
      <c r="I253" s="88"/>
      <c r="J253" s="88"/>
      <c r="K253" s="88"/>
      <c r="L253" s="88"/>
    </row>
    <row r="254" spans="1:12">
      <c r="A254" s="298">
        <v>17</v>
      </c>
      <c r="B254" s="289" t="s">
        <v>4605</v>
      </c>
      <c r="C254" s="289" t="s">
        <v>69</v>
      </c>
      <c r="D254" s="120">
        <v>25000</v>
      </c>
      <c r="E254" s="176">
        <f>INDEX(Caracteristicas_agronomicas!J:J,MATCH(B254,Caracteristicas_agronomicas!C:C,0))</f>
        <v>143</v>
      </c>
      <c r="F254" s="290">
        <f t="shared" si="3"/>
        <v>10.76923076923077</v>
      </c>
      <c r="G254" s="290" t="str">
        <f>VLOOKUP(Tabla1715[[#This Row],[Cultivo]],Tabla16[#All],9,FALSE)</f>
        <v/>
      </c>
      <c r="H254" s="82">
        <f>IFERROR(D254*Formulario!$B$24,"")</f>
        <v>23750</v>
      </c>
      <c r="I254" s="88"/>
      <c r="J254" s="88"/>
      <c r="K254" s="88"/>
      <c r="L254" s="88"/>
    </row>
    <row r="255" spans="1:12">
      <c r="A255" s="299">
        <v>18</v>
      </c>
      <c r="B255" s="120" t="s">
        <v>4605</v>
      </c>
      <c r="C255" s="120" t="s">
        <v>69</v>
      </c>
      <c r="D255" s="120">
        <v>25000</v>
      </c>
      <c r="E255" s="176">
        <f>INDEX(Caracteristicas_agronomicas!J:J,MATCH(B255,Caracteristicas_agronomicas!C:C,0))</f>
        <v>143</v>
      </c>
      <c r="F255" s="290">
        <f t="shared" si="3"/>
        <v>10.76923076923077</v>
      </c>
      <c r="G255" s="290" t="str">
        <f>VLOOKUP(Tabla1715[[#This Row],[Cultivo]],Tabla16[#All],9,FALSE)</f>
        <v/>
      </c>
      <c r="H255" s="82">
        <f>IFERROR(D255*Formulario!$B$24,"")</f>
        <v>23750</v>
      </c>
      <c r="I255" s="88"/>
      <c r="J255" s="88"/>
      <c r="K255" s="88"/>
      <c r="L255" s="88"/>
    </row>
    <row r="256" spans="1:12">
      <c r="A256" s="298">
        <v>19</v>
      </c>
      <c r="B256" s="289" t="s">
        <v>4605</v>
      </c>
      <c r="C256" s="289" t="s">
        <v>69</v>
      </c>
      <c r="D256" s="120">
        <v>25000</v>
      </c>
      <c r="E256" s="176">
        <f>INDEX(Caracteristicas_agronomicas!J:J,MATCH(B256,Caracteristicas_agronomicas!C:C,0))</f>
        <v>143</v>
      </c>
      <c r="F256" s="290">
        <f t="shared" si="3"/>
        <v>10.76923076923077</v>
      </c>
      <c r="G256" s="290" t="str">
        <f>VLOOKUP(Tabla1715[[#This Row],[Cultivo]],Tabla16[#All],9,FALSE)</f>
        <v/>
      </c>
      <c r="H256" s="82">
        <f>IFERROR(D256*Formulario!$B$24,"")</f>
        <v>23750</v>
      </c>
      <c r="I256" s="88"/>
      <c r="J256" s="88"/>
      <c r="K256" s="88"/>
      <c r="L256" s="88"/>
    </row>
    <row r="257" spans="1:12">
      <c r="A257" s="299">
        <v>20</v>
      </c>
      <c r="B257" s="120" t="s">
        <v>4605</v>
      </c>
      <c r="C257" s="120" t="s">
        <v>69</v>
      </c>
      <c r="D257" s="120">
        <v>25000</v>
      </c>
      <c r="E257" s="176">
        <f>INDEX(Caracteristicas_agronomicas!J:J,MATCH(B257,Caracteristicas_agronomicas!C:C,0))</f>
        <v>143</v>
      </c>
      <c r="F257" s="290">
        <f t="shared" si="3"/>
        <v>10.76923076923077</v>
      </c>
      <c r="G257" s="290" t="str">
        <f>VLOOKUP(Tabla1715[[#This Row],[Cultivo]],Tabla16[#All],9,FALSE)</f>
        <v/>
      </c>
      <c r="H257" s="82">
        <f>IFERROR(D257*Formulario!$B$24,"")</f>
        <v>23750</v>
      </c>
      <c r="I257" s="88"/>
      <c r="J257" s="88"/>
      <c r="K257" s="88"/>
      <c r="L257" s="88"/>
    </row>
    <row r="258" spans="1:12">
      <c r="A258" s="299">
        <v>21</v>
      </c>
      <c r="B258" s="120" t="s">
        <v>4605</v>
      </c>
      <c r="C258" s="120" t="s">
        <v>69</v>
      </c>
      <c r="D258" s="120">
        <v>25000</v>
      </c>
      <c r="E258" s="176">
        <f>INDEX(Caracteristicas_agronomicas!J:J,MATCH(B258,Caracteristicas_agronomicas!C:C,0))</f>
        <v>143</v>
      </c>
      <c r="F258" s="290">
        <f t="shared" ref="F258:F268" si="4">$J$2/E258</f>
        <v>10.76923076923077</v>
      </c>
      <c r="G258" s="290" t="str">
        <f>VLOOKUP(Tabla1715[[#This Row],[Cultivo]],Tabla16[#All],9,FALSE)</f>
        <v/>
      </c>
      <c r="H258" s="82">
        <f>IFERROR(D258*Formulario!$B$24,"")</f>
        <v>23750</v>
      </c>
      <c r="I258" s="88"/>
      <c r="J258" s="88"/>
      <c r="K258" s="88"/>
      <c r="L258" s="88"/>
    </row>
    <row r="259" spans="1:12">
      <c r="A259" s="299">
        <v>22</v>
      </c>
      <c r="B259" s="120" t="s">
        <v>4605</v>
      </c>
      <c r="C259" s="120" t="s">
        <v>69</v>
      </c>
      <c r="D259" s="120">
        <v>25000</v>
      </c>
      <c r="E259" s="176">
        <f>INDEX(Caracteristicas_agronomicas!J:J,MATCH(B259,Caracteristicas_agronomicas!C:C,0))</f>
        <v>143</v>
      </c>
      <c r="F259" s="290">
        <f t="shared" si="4"/>
        <v>10.76923076923077</v>
      </c>
      <c r="G259" s="290" t="str">
        <f>VLOOKUP(Tabla1715[[#This Row],[Cultivo]],Tabla16[#All],9,FALSE)</f>
        <v/>
      </c>
      <c r="H259" s="82">
        <f>IFERROR(D259*Formulario!$B$24,"")</f>
        <v>23750</v>
      </c>
      <c r="I259" s="88"/>
      <c r="J259" s="88"/>
      <c r="K259" s="88"/>
      <c r="L259" s="88"/>
    </row>
    <row r="260" spans="1:12">
      <c r="A260" s="299">
        <v>23</v>
      </c>
      <c r="B260" s="120" t="s">
        <v>4605</v>
      </c>
      <c r="C260" s="120" t="s">
        <v>69</v>
      </c>
      <c r="D260" s="120">
        <v>25000</v>
      </c>
      <c r="E260" s="176">
        <f>INDEX(Caracteristicas_agronomicas!J:J,MATCH(B260,Caracteristicas_agronomicas!C:C,0))</f>
        <v>143</v>
      </c>
      <c r="F260" s="290">
        <f t="shared" si="4"/>
        <v>10.76923076923077</v>
      </c>
      <c r="G260" s="290" t="str">
        <f>VLOOKUP(Tabla1715[[#This Row],[Cultivo]],Tabla16[#All],9,FALSE)</f>
        <v/>
      </c>
      <c r="H260" s="82">
        <f>IFERROR(D260*Formulario!$B$24,"")</f>
        <v>23750</v>
      </c>
      <c r="I260" s="88"/>
      <c r="J260" s="88"/>
      <c r="K260" s="88"/>
      <c r="L260" s="88"/>
    </row>
    <row r="261" spans="1:12">
      <c r="A261" s="299">
        <v>24</v>
      </c>
      <c r="B261" s="120" t="s">
        <v>4605</v>
      </c>
      <c r="C261" s="120" t="s">
        <v>69</v>
      </c>
      <c r="D261" s="120">
        <v>25000</v>
      </c>
      <c r="E261" s="176">
        <f>INDEX(Caracteristicas_agronomicas!J:J,MATCH(B261,Caracteristicas_agronomicas!C:C,0))</f>
        <v>143</v>
      </c>
      <c r="F261" s="290">
        <f t="shared" si="4"/>
        <v>10.76923076923077</v>
      </c>
      <c r="G261" s="290" t="str">
        <f>VLOOKUP(Tabla1715[[#This Row],[Cultivo]],Tabla16[#All],9,FALSE)</f>
        <v/>
      </c>
      <c r="H261" s="82">
        <f>IFERROR(D261*Formulario!$B$24,"")</f>
        <v>23750</v>
      </c>
      <c r="I261" s="88"/>
      <c r="J261" s="88"/>
      <c r="K261" s="88"/>
      <c r="L261" s="88"/>
    </row>
    <row r="262" spans="1:12">
      <c r="A262" s="299">
        <v>25</v>
      </c>
      <c r="B262" s="120" t="s">
        <v>4605</v>
      </c>
      <c r="C262" s="120" t="s">
        <v>69</v>
      </c>
      <c r="D262" s="120">
        <v>25000</v>
      </c>
      <c r="E262" s="176">
        <f>INDEX(Caracteristicas_agronomicas!J:J,MATCH(B262,Caracteristicas_agronomicas!C:C,0))</f>
        <v>143</v>
      </c>
      <c r="F262" s="290">
        <f t="shared" si="4"/>
        <v>10.76923076923077</v>
      </c>
      <c r="G262" s="290" t="str">
        <f>VLOOKUP(Tabla1715[[#This Row],[Cultivo]],Tabla16[#All],9,FALSE)</f>
        <v/>
      </c>
      <c r="H262" s="82">
        <f>IFERROR(D262*Formulario!$B$24,"")</f>
        <v>23750</v>
      </c>
      <c r="I262" s="88"/>
      <c r="J262" s="88"/>
      <c r="K262" s="88"/>
      <c r="L262" s="88"/>
    </row>
    <row r="263" spans="1:12">
      <c r="A263" s="298">
        <v>1</v>
      </c>
      <c r="B263" s="289" t="s">
        <v>3779</v>
      </c>
      <c r="C263" s="289" t="s">
        <v>53</v>
      </c>
      <c r="D263" s="289">
        <v>11000</v>
      </c>
      <c r="E263" s="176">
        <f>INDEX(Caracteristicas_agronomicas!J:J,MATCH(B263,Caracteristicas_agronomicas!C:C,0))</f>
        <v>1316</v>
      </c>
      <c r="F263" s="290">
        <f t="shared" si="4"/>
        <v>1.1702127659574468</v>
      </c>
      <c r="G263" s="290" t="str">
        <f>VLOOKUP(Tabla1715[[#This Row],[Cultivo]],Tabla16[#All],9,FALSE)</f>
        <v/>
      </c>
      <c r="H263" s="82">
        <f>IFERROR(D263*Formulario!$B$24,"")</f>
        <v>10450</v>
      </c>
      <c r="I263" s="88"/>
      <c r="J263" s="88"/>
      <c r="K263" s="88"/>
      <c r="L263" s="88"/>
    </row>
    <row r="264" spans="1:12">
      <c r="A264" s="299">
        <v>2</v>
      </c>
      <c r="B264" s="120" t="s">
        <v>3779</v>
      </c>
      <c r="C264" s="120" t="s">
        <v>69</v>
      </c>
      <c r="D264" s="120">
        <v>18000</v>
      </c>
      <c r="E264" s="176">
        <f>INDEX(Caracteristicas_agronomicas!J:J,MATCH(B264,Caracteristicas_agronomicas!C:C,0))</f>
        <v>1316</v>
      </c>
      <c r="F264" s="290">
        <f t="shared" si="4"/>
        <v>1.1702127659574468</v>
      </c>
      <c r="G264" s="290" t="str">
        <f>VLOOKUP(Tabla1715[[#This Row],[Cultivo]],Tabla16[#All],9,FALSE)</f>
        <v/>
      </c>
      <c r="H264" s="82">
        <f>IFERROR(D264*Formulario!$B$24,"")</f>
        <v>17100</v>
      </c>
      <c r="I264" s="88"/>
      <c r="J264" s="88"/>
      <c r="K264" s="88"/>
      <c r="L264" s="88"/>
    </row>
    <row r="265" spans="1:12">
      <c r="A265" s="298">
        <v>3</v>
      </c>
      <c r="B265" s="289" t="s">
        <v>3779</v>
      </c>
      <c r="C265" s="289" t="s">
        <v>69</v>
      </c>
      <c r="D265" s="289">
        <v>17100</v>
      </c>
      <c r="E265" s="176">
        <f>INDEX(Caracteristicas_agronomicas!J:J,MATCH(B265,Caracteristicas_agronomicas!C:C,0))</f>
        <v>1316</v>
      </c>
      <c r="F265" s="290">
        <f t="shared" si="4"/>
        <v>1.1702127659574468</v>
      </c>
      <c r="G265" s="290" t="str">
        <f>VLOOKUP(Tabla1715[[#This Row],[Cultivo]],Tabla16[#All],9,FALSE)</f>
        <v/>
      </c>
      <c r="H265" s="82">
        <f>IFERROR(D265*Formulario!$B$24,"")</f>
        <v>16245</v>
      </c>
      <c r="I265" s="88"/>
      <c r="J265" s="88"/>
      <c r="K265" s="88"/>
      <c r="L265" s="88"/>
    </row>
    <row r="266" spans="1:12">
      <c r="A266" s="299">
        <v>4</v>
      </c>
      <c r="B266" s="120" t="s">
        <v>3779</v>
      </c>
      <c r="C266" s="120" t="s">
        <v>69</v>
      </c>
      <c r="D266" s="120">
        <v>16200</v>
      </c>
      <c r="E266" s="176">
        <f>INDEX(Caracteristicas_agronomicas!J:J,MATCH(B266,Caracteristicas_agronomicas!C:C,0))</f>
        <v>1316</v>
      </c>
      <c r="F266" s="290">
        <f t="shared" si="4"/>
        <v>1.1702127659574468</v>
      </c>
      <c r="G266" s="290" t="str">
        <f>VLOOKUP(Tabla1715[[#This Row],[Cultivo]],Tabla16[#All],9,FALSE)</f>
        <v/>
      </c>
      <c r="H266" s="82">
        <f>IFERROR(D266*Formulario!$B$24,"")</f>
        <v>15390</v>
      </c>
      <c r="I266" s="88"/>
      <c r="J266" s="88"/>
      <c r="K266" s="88"/>
      <c r="L266" s="88"/>
    </row>
    <row r="267" spans="1:12">
      <c r="A267" s="298">
        <v>5</v>
      </c>
      <c r="B267" s="289" t="s">
        <v>3779</v>
      </c>
      <c r="C267" s="289" t="s">
        <v>69</v>
      </c>
      <c r="D267" s="289">
        <v>15300</v>
      </c>
      <c r="E267" s="176">
        <f>INDEX(Caracteristicas_agronomicas!J:J,MATCH(B267,Caracteristicas_agronomicas!C:C,0))</f>
        <v>1316</v>
      </c>
      <c r="F267" s="290">
        <f t="shared" si="4"/>
        <v>1.1702127659574468</v>
      </c>
      <c r="G267" s="290" t="str">
        <f>VLOOKUP(Tabla1715[[#This Row],[Cultivo]],Tabla16[#All],9,FALSE)</f>
        <v/>
      </c>
      <c r="H267" s="82">
        <f>IFERROR(D267*Formulario!$B$24,"")</f>
        <v>14535</v>
      </c>
      <c r="I267" s="88"/>
      <c r="J267" s="88"/>
      <c r="K267" s="88"/>
      <c r="L267" s="88"/>
    </row>
    <row r="268" spans="1:12">
      <c r="A268" s="302">
        <v>6</v>
      </c>
      <c r="B268" s="178" t="s">
        <v>3779</v>
      </c>
      <c r="C268" s="178" t="s">
        <v>69</v>
      </c>
      <c r="D268" s="178">
        <v>14400</v>
      </c>
      <c r="E268" s="270">
        <f>INDEX(Caracteristicas_agronomicas!J:J,MATCH(B268,Caracteristicas_agronomicas!C:C,0))</f>
        <v>1316</v>
      </c>
      <c r="F268" s="290">
        <f t="shared" si="4"/>
        <v>1.1702127659574468</v>
      </c>
      <c r="G268" s="303" t="str">
        <f>VLOOKUP(Tabla1715[[#This Row],[Cultivo]],Tabla16[#All],9,FALSE)</f>
        <v/>
      </c>
      <c r="H268" s="82">
        <f>IFERROR(D268*Formulario!$B$24,"")</f>
        <v>13680</v>
      </c>
      <c r="I268" s="88"/>
      <c r="J268" s="88"/>
      <c r="K268" s="88"/>
      <c r="L268" s="88"/>
    </row>
  </sheetData>
  <conditionalFormatting sqref="B42:B268">
    <cfRule type="expression" dxfId="8" priority="1">
      <formula>ROW()=CELL("fila")</formula>
    </cfRule>
  </conditionalFormatting>
  <pageMargins left="0.7" right="0.7" top="0.75" bottom="0.75" header="0.3" footer="0.3"/>
  <legacyDrawing r:id="rId1"/>
  <tableParts count="1">
    <tablePart r:id="rId2"/>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12BAE-E88F-4656-B2D4-C05FD2164A66}">
  <sheetPr codeName="Hoja13">
    <tabColor rgb="FF607D8B"/>
  </sheetPr>
  <dimension ref="A1:M16"/>
  <sheetViews>
    <sheetView showGridLines="0" zoomScale="85" zoomScaleNormal="85" workbookViewId="0">
      <pane ySplit="1" topLeftCell="A2" activePane="bottomLeft" state="frozen"/>
      <selection pane="bottomLeft" activeCell="D9" sqref="D9"/>
    </sheetView>
    <sheetView workbookViewId="1"/>
  </sheetViews>
  <sheetFormatPr baseColWidth="10" defaultColWidth="11" defaultRowHeight="14.25"/>
  <cols>
    <col min="1" max="1" width="35.5" style="54" bestFit="1" customWidth="1"/>
    <col min="2" max="2" width="13.375" style="54" bestFit="1" customWidth="1"/>
    <col min="3" max="3" width="17.375" style="54" bestFit="1" customWidth="1"/>
    <col min="4" max="4" width="18" style="54" bestFit="1" customWidth="1"/>
    <col min="5" max="7" width="11" style="54"/>
    <col min="8" max="8" width="12" style="54" bestFit="1" customWidth="1"/>
    <col min="9" max="16384" width="11" style="54"/>
  </cols>
  <sheetData>
    <row r="1" spans="1:13" ht="21.95" customHeight="1">
      <c r="A1" s="179" t="s">
        <v>74</v>
      </c>
      <c r="B1" s="179" t="s">
        <v>3627</v>
      </c>
      <c r="C1" s="179" t="s">
        <v>3782</v>
      </c>
      <c r="D1" s="179" t="s">
        <v>3783</v>
      </c>
      <c r="E1" s="179" t="s">
        <v>3784</v>
      </c>
      <c r="F1" s="179" t="s">
        <v>4463</v>
      </c>
      <c r="G1" s="179" t="s">
        <v>4464</v>
      </c>
      <c r="H1" s="179" t="s">
        <v>4465</v>
      </c>
      <c r="I1" s="179" t="s">
        <v>3785</v>
      </c>
      <c r="J1" s="179" t="s">
        <v>3786</v>
      </c>
      <c r="K1" s="179" t="s">
        <v>4466</v>
      </c>
      <c r="L1" s="275" t="s">
        <v>4467</v>
      </c>
      <c r="M1" s="275" t="s">
        <v>4468</v>
      </c>
    </row>
    <row r="2" spans="1:13" ht="15">
      <c r="A2" s="133" t="s">
        <v>3767</v>
      </c>
      <c r="B2" s="133" t="s">
        <v>3787</v>
      </c>
      <c r="C2" s="133" t="s">
        <v>3788</v>
      </c>
      <c r="D2" s="133" t="s">
        <v>3789</v>
      </c>
      <c r="E2" s="133" t="s">
        <v>4469</v>
      </c>
      <c r="F2" s="133">
        <f t="shared" ref="F2:F7" si="0">1/2</f>
        <v>0.5</v>
      </c>
      <c r="G2" s="133">
        <f t="shared" ref="G2:G7" si="1">1/0.5</f>
        <v>2</v>
      </c>
      <c r="H2" s="265">
        <f t="shared" ref="H2:H16" si="2">AVERAGE(F2:G2)</f>
        <v>1.25</v>
      </c>
      <c r="I2" s="265"/>
      <c r="J2" s="176">
        <v>37500</v>
      </c>
      <c r="K2" s="266">
        <f t="shared" ref="K2:K5" si="3">J2/(G2*480)</f>
        <v>39.0625</v>
      </c>
      <c r="L2" s="267">
        <f>J2/(H2*768)</f>
        <v>39.0625</v>
      </c>
      <c r="M2" s="266">
        <f t="shared" ref="M2:M4" si="4">J2/(F2*480)</f>
        <v>156.25</v>
      </c>
    </row>
    <row r="3" spans="1:13" ht="15">
      <c r="A3" s="133" t="s">
        <v>3790</v>
      </c>
      <c r="B3" s="133" t="s">
        <v>3787</v>
      </c>
      <c r="C3" s="133" t="s">
        <v>3788</v>
      </c>
      <c r="D3" s="133" t="s">
        <v>3789</v>
      </c>
      <c r="E3" s="133" t="s">
        <v>4469</v>
      </c>
      <c r="F3" s="133">
        <f t="shared" si="0"/>
        <v>0.5</v>
      </c>
      <c r="G3" s="133">
        <f t="shared" si="1"/>
        <v>2</v>
      </c>
      <c r="H3" s="265">
        <f t="shared" si="2"/>
        <v>1.25</v>
      </c>
      <c r="I3" s="265"/>
      <c r="J3" s="176">
        <v>11000</v>
      </c>
      <c r="K3" s="266">
        <f t="shared" si="3"/>
        <v>11.458333333333334</v>
      </c>
      <c r="L3" s="267">
        <f>J3/(H3*768)</f>
        <v>11.458333333333334</v>
      </c>
      <c r="M3" s="266">
        <f t="shared" si="4"/>
        <v>45.833333333333336</v>
      </c>
    </row>
    <row r="4" spans="1:13" ht="15">
      <c r="A4" s="133" t="s">
        <v>3791</v>
      </c>
      <c r="B4" s="133" t="s">
        <v>3787</v>
      </c>
      <c r="C4" s="268" t="s">
        <v>3788</v>
      </c>
      <c r="D4" s="268" t="s">
        <v>3789</v>
      </c>
      <c r="E4" s="268" t="s">
        <v>4469</v>
      </c>
      <c r="F4" s="268">
        <f t="shared" si="0"/>
        <v>0.5</v>
      </c>
      <c r="G4" s="268">
        <f t="shared" si="1"/>
        <v>2</v>
      </c>
      <c r="H4" s="269">
        <f t="shared" si="2"/>
        <v>1.25</v>
      </c>
      <c r="I4" s="269"/>
      <c r="J4" s="270">
        <v>11000</v>
      </c>
      <c r="K4" s="266">
        <f t="shared" si="3"/>
        <v>11.458333333333334</v>
      </c>
      <c r="L4" s="267">
        <f>J4/(H4*480)</f>
        <v>18.333333333333332</v>
      </c>
      <c r="M4" s="266">
        <f t="shared" si="4"/>
        <v>45.833333333333336</v>
      </c>
    </row>
    <row r="5" spans="1:13" ht="15">
      <c r="A5" s="133" t="s">
        <v>3772</v>
      </c>
      <c r="B5" s="133" t="s">
        <v>3787</v>
      </c>
      <c r="C5" s="133" t="s">
        <v>3788</v>
      </c>
      <c r="D5" s="133" t="s">
        <v>3789</v>
      </c>
      <c r="E5" s="133" t="s">
        <v>4469</v>
      </c>
      <c r="F5" s="133">
        <f t="shared" si="0"/>
        <v>0.5</v>
      </c>
      <c r="G5" s="133">
        <f t="shared" si="1"/>
        <v>2</v>
      </c>
      <c r="H5" s="265">
        <f t="shared" si="2"/>
        <v>1.25</v>
      </c>
      <c r="I5" s="265"/>
      <c r="J5" s="176">
        <v>18000</v>
      </c>
      <c r="K5" s="266">
        <f t="shared" si="3"/>
        <v>18.75</v>
      </c>
      <c r="L5" s="266">
        <f>J5/(H5*480)</f>
        <v>30</v>
      </c>
      <c r="M5" s="266">
        <f>J5/(F5*480)</f>
        <v>75</v>
      </c>
    </row>
    <row r="6" spans="1:13" ht="15">
      <c r="A6" s="133" t="s">
        <v>4470</v>
      </c>
      <c r="B6" s="133" t="s">
        <v>3787</v>
      </c>
      <c r="C6" s="133" t="s">
        <v>3788</v>
      </c>
      <c r="D6" s="133" t="s">
        <v>3789</v>
      </c>
      <c r="E6" s="133" t="s">
        <v>4469</v>
      </c>
      <c r="F6" s="271">
        <f t="shared" si="0"/>
        <v>0.5</v>
      </c>
      <c r="G6" s="133">
        <f t="shared" si="1"/>
        <v>2</v>
      </c>
      <c r="H6" s="265">
        <f t="shared" si="2"/>
        <v>1.25</v>
      </c>
      <c r="I6" s="265"/>
      <c r="J6" s="176">
        <v>17000</v>
      </c>
      <c r="K6" s="266">
        <f>J6/(G6*480)</f>
        <v>17.708333333333332</v>
      </c>
      <c r="L6" s="266">
        <f t="shared" ref="L6:L16" si="5">J6/(H6*480)</f>
        <v>28.333333333333332</v>
      </c>
      <c r="M6" s="266">
        <f t="shared" ref="M6:M16" si="6">J6/(F6*480)</f>
        <v>70.833333333333329</v>
      </c>
    </row>
    <row r="7" spans="1:13" ht="15">
      <c r="A7" s="133" t="s">
        <v>3776</v>
      </c>
      <c r="B7" s="133" t="s">
        <v>3787</v>
      </c>
      <c r="C7" s="133" t="s">
        <v>3788</v>
      </c>
      <c r="D7" s="133" t="s">
        <v>3789</v>
      </c>
      <c r="E7" s="133" t="s">
        <v>4469</v>
      </c>
      <c r="F7" s="271">
        <f t="shared" si="0"/>
        <v>0.5</v>
      </c>
      <c r="G7" s="133">
        <f t="shared" si="1"/>
        <v>2</v>
      </c>
      <c r="H7" s="265">
        <f t="shared" si="2"/>
        <v>1.25</v>
      </c>
      <c r="I7" s="265"/>
      <c r="J7" s="176">
        <v>14000</v>
      </c>
      <c r="K7" s="266">
        <f t="shared" ref="K7:K10" si="7">J7/(G7*480)</f>
        <v>14.583333333333334</v>
      </c>
      <c r="L7" s="266">
        <f t="shared" si="5"/>
        <v>23.333333333333332</v>
      </c>
      <c r="M7" s="266">
        <f t="shared" si="6"/>
        <v>58.333333333333336</v>
      </c>
    </row>
    <row r="8" spans="1:13" ht="15">
      <c r="A8" s="272" t="s">
        <v>3777</v>
      </c>
      <c r="B8" s="133" t="s">
        <v>3787</v>
      </c>
      <c r="C8" s="133" t="s">
        <v>3792</v>
      </c>
      <c r="D8" s="133" t="s">
        <v>3793</v>
      </c>
      <c r="E8" s="133" t="s">
        <v>4469</v>
      </c>
      <c r="F8" s="271">
        <v>3.8</v>
      </c>
      <c r="G8" s="133">
        <v>13</v>
      </c>
      <c r="H8" s="265">
        <f t="shared" si="2"/>
        <v>8.4</v>
      </c>
      <c r="I8" s="265"/>
      <c r="J8" s="176">
        <v>25000</v>
      </c>
      <c r="K8" s="266">
        <f t="shared" si="7"/>
        <v>4.0064102564102564</v>
      </c>
      <c r="L8" s="266">
        <f t="shared" si="5"/>
        <v>6.2003968253968251</v>
      </c>
      <c r="M8" s="266">
        <f t="shared" si="6"/>
        <v>13.706140350877194</v>
      </c>
    </row>
    <row r="9" spans="1:13" ht="15">
      <c r="A9" s="133" t="s">
        <v>3778</v>
      </c>
      <c r="B9" s="133" t="s">
        <v>3787</v>
      </c>
      <c r="C9" s="133" t="s">
        <v>3792</v>
      </c>
      <c r="D9" s="133" t="s">
        <v>3793</v>
      </c>
      <c r="E9" s="133" t="s">
        <v>4469</v>
      </c>
      <c r="F9" s="271">
        <v>4</v>
      </c>
      <c r="G9" s="133">
        <v>13</v>
      </c>
      <c r="H9" s="265">
        <f t="shared" si="2"/>
        <v>8.5</v>
      </c>
      <c r="I9" s="265"/>
      <c r="J9" s="176">
        <v>29000</v>
      </c>
      <c r="K9" s="266">
        <f t="shared" si="7"/>
        <v>4.6474358974358978</v>
      </c>
      <c r="L9" s="266">
        <f t="shared" si="5"/>
        <v>7.1078431372549016</v>
      </c>
      <c r="M9" s="266">
        <f t="shared" si="6"/>
        <v>15.104166666666666</v>
      </c>
    </row>
    <row r="10" spans="1:13" ht="15">
      <c r="A10" s="133" t="s">
        <v>3794</v>
      </c>
      <c r="B10" s="133" t="s">
        <v>3787</v>
      </c>
      <c r="C10" s="133" t="s">
        <v>3788</v>
      </c>
      <c r="D10" s="133" t="s">
        <v>3795</v>
      </c>
      <c r="E10" s="133" t="s">
        <v>4469</v>
      </c>
      <c r="F10" s="273">
        <v>0.2</v>
      </c>
      <c r="G10" s="133">
        <v>0.26</v>
      </c>
      <c r="H10" s="265">
        <f t="shared" si="2"/>
        <v>0.23</v>
      </c>
      <c r="I10" s="265"/>
      <c r="J10" s="274">
        <v>2530</v>
      </c>
      <c r="K10" s="266">
        <f t="shared" si="7"/>
        <v>20.272435897435894</v>
      </c>
      <c r="L10" s="266">
        <f t="shared" si="5"/>
        <v>22.916666666666664</v>
      </c>
      <c r="M10" s="266">
        <f t="shared" si="6"/>
        <v>26.354166666666668</v>
      </c>
    </row>
    <row r="11" spans="1:13" ht="15">
      <c r="A11" s="133" t="s">
        <v>4057</v>
      </c>
      <c r="B11" s="133" t="s">
        <v>3787</v>
      </c>
      <c r="C11" s="133" t="s">
        <v>4471</v>
      </c>
      <c r="D11" s="133" t="s">
        <v>4472</v>
      </c>
      <c r="E11" s="133" t="s">
        <v>4469</v>
      </c>
      <c r="F11" s="235">
        <v>4.0999999999999996</v>
      </c>
      <c r="G11" s="235">
        <v>8.33</v>
      </c>
      <c r="H11" s="265">
        <f t="shared" si="2"/>
        <v>6.2149999999999999</v>
      </c>
      <c r="I11" s="235"/>
      <c r="J11" s="176">
        <v>70000</v>
      </c>
      <c r="K11" s="266">
        <f>J11/(G11*480)</f>
        <v>17.507002801120446</v>
      </c>
      <c r="L11" s="266">
        <f t="shared" si="5"/>
        <v>23.464735854116388</v>
      </c>
      <c r="M11" s="266">
        <f t="shared" si="6"/>
        <v>35.569105691056912</v>
      </c>
    </row>
    <row r="12" spans="1:13" ht="15">
      <c r="A12" s="133" t="s">
        <v>4059</v>
      </c>
      <c r="B12" s="133" t="s">
        <v>3787</v>
      </c>
      <c r="C12" s="133" t="s">
        <v>4471</v>
      </c>
      <c r="D12" s="133" t="s">
        <v>4472</v>
      </c>
      <c r="E12" s="133" t="s">
        <v>4469</v>
      </c>
      <c r="F12" s="235">
        <v>4.0999999999999996</v>
      </c>
      <c r="G12" s="235">
        <v>8.33</v>
      </c>
      <c r="H12" s="265">
        <f t="shared" si="2"/>
        <v>6.2149999999999999</v>
      </c>
      <c r="I12" s="235"/>
      <c r="J12" s="176">
        <v>70000</v>
      </c>
      <c r="K12" s="266">
        <f t="shared" ref="K12:K16" si="8">J12/(G12*480)</f>
        <v>17.507002801120446</v>
      </c>
      <c r="L12" s="266">
        <f t="shared" si="5"/>
        <v>23.464735854116388</v>
      </c>
      <c r="M12" s="266">
        <f t="shared" si="6"/>
        <v>35.569105691056912</v>
      </c>
    </row>
    <row r="13" spans="1:13" ht="15">
      <c r="A13" s="133" t="s">
        <v>4061</v>
      </c>
      <c r="B13" s="133" t="s">
        <v>3787</v>
      </c>
      <c r="C13" s="133" t="s">
        <v>4471</v>
      </c>
      <c r="D13" s="133" t="s">
        <v>4472</v>
      </c>
      <c r="E13" s="133" t="s">
        <v>4469</v>
      </c>
      <c r="F13" s="235">
        <v>4.0999999999999996</v>
      </c>
      <c r="G13" s="235">
        <v>8.33</v>
      </c>
      <c r="H13" s="265">
        <f t="shared" si="2"/>
        <v>6.2149999999999999</v>
      </c>
      <c r="I13" s="235"/>
      <c r="J13" s="176">
        <v>70000</v>
      </c>
      <c r="K13" s="266">
        <f t="shared" si="8"/>
        <v>17.507002801120446</v>
      </c>
      <c r="L13" s="266">
        <f t="shared" si="5"/>
        <v>23.464735854116388</v>
      </c>
      <c r="M13" s="266">
        <f t="shared" si="6"/>
        <v>35.569105691056912</v>
      </c>
    </row>
    <row r="14" spans="1:13" ht="15">
      <c r="A14" s="133" t="s">
        <v>4064</v>
      </c>
      <c r="B14" s="133" t="s">
        <v>3787</v>
      </c>
      <c r="C14" s="133" t="s">
        <v>3788</v>
      </c>
      <c r="D14" s="133" t="s">
        <v>3789</v>
      </c>
      <c r="E14" s="133" t="s">
        <v>4469</v>
      </c>
      <c r="F14" s="235">
        <v>1</v>
      </c>
      <c r="G14" s="235">
        <v>2</v>
      </c>
      <c r="H14" s="265">
        <f t="shared" si="2"/>
        <v>1.5</v>
      </c>
      <c r="I14" s="235"/>
      <c r="J14" s="176">
        <v>24000</v>
      </c>
      <c r="K14" s="266">
        <f t="shared" si="8"/>
        <v>25</v>
      </c>
      <c r="L14" s="266">
        <f t="shared" si="5"/>
        <v>33.333333333333336</v>
      </c>
      <c r="M14" s="266">
        <f t="shared" si="6"/>
        <v>50</v>
      </c>
    </row>
    <row r="15" spans="1:13" ht="15">
      <c r="A15" s="133" t="s">
        <v>4065</v>
      </c>
      <c r="B15" s="133" t="s">
        <v>3787</v>
      </c>
      <c r="C15" s="133" t="s">
        <v>3788</v>
      </c>
      <c r="D15" s="133" t="s">
        <v>3789</v>
      </c>
      <c r="E15" s="133" t="s">
        <v>4469</v>
      </c>
      <c r="F15" s="235">
        <v>1</v>
      </c>
      <c r="G15" s="235">
        <v>2</v>
      </c>
      <c r="H15" s="265">
        <f t="shared" si="2"/>
        <v>1.5</v>
      </c>
      <c r="I15" s="235"/>
      <c r="J15" s="176">
        <v>22500</v>
      </c>
      <c r="K15" s="266">
        <f t="shared" si="8"/>
        <v>23.4375</v>
      </c>
      <c r="L15" s="266">
        <f t="shared" si="5"/>
        <v>31.25</v>
      </c>
      <c r="M15" s="266">
        <f t="shared" si="6"/>
        <v>46.875</v>
      </c>
    </row>
    <row r="16" spans="1:13" ht="15">
      <c r="A16" s="133" t="s">
        <v>3779</v>
      </c>
      <c r="B16" s="133" t="s">
        <v>3787</v>
      </c>
      <c r="C16" s="133" t="s">
        <v>3788</v>
      </c>
      <c r="D16" s="133" t="s">
        <v>3789</v>
      </c>
      <c r="E16" s="133" t="s">
        <v>4469</v>
      </c>
      <c r="F16" s="235">
        <v>0.62</v>
      </c>
      <c r="G16" s="235">
        <v>0.83</v>
      </c>
      <c r="H16" s="265">
        <f t="shared" si="2"/>
        <v>0.72499999999999998</v>
      </c>
      <c r="I16" s="235"/>
      <c r="J16" s="176">
        <v>18000</v>
      </c>
      <c r="K16" s="266">
        <f t="shared" si="8"/>
        <v>45.180722891566269</v>
      </c>
      <c r="L16" s="266">
        <f t="shared" si="5"/>
        <v>51.724137931034484</v>
      </c>
      <c r="M16" s="266">
        <f t="shared" si="6"/>
        <v>60.483870967741929</v>
      </c>
    </row>
  </sheetData>
  <conditionalFormatting sqref="A9 A11:A16">
    <cfRule type="expression" dxfId="7" priority="2">
      <formula>ROW()=CELL("fila")</formula>
    </cfRule>
  </conditionalFormatting>
  <conditionalFormatting sqref="A2:J8 B9:J9 A10:J10 H11:H16 J11:J16">
    <cfRule type="expression" dxfId="6" priority="3">
      <formula>ROW()=CELL("fila")</formula>
    </cfRule>
  </conditionalFormatting>
  <conditionalFormatting sqref="B11:E16">
    <cfRule type="expression" dxfId="5" priority="1">
      <formula>ROW()=CELL("fila")</formula>
    </cfRule>
  </conditionalFormatting>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36BB8-E676-430F-8FCC-1305DDD1E424}">
  <sheetPr codeName="Hoja11">
    <tabColor rgb="FF607D8B"/>
  </sheetPr>
  <dimension ref="A1:P9"/>
  <sheetViews>
    <sheetView workbookViewId="0">
      <pane ySplit="1" topLeftCell="A2" activePane="bottomLeft" state="frozen"/>
      <selection pane="bottomLeft" activeCell="F15" sqref="F15"/>
    </sheetView>
    <sheetView workbookViewId="1"/>
  </sheetViews>
  <sheetFormatPr baseColWidth="10" defaultColWidth="11" defaultRowHeight="14.25"/>
  <cols>
    <col min="1" max="2" width="7.875" bestFit="1" customWidth="1"/>
    <col min="3" max="3" width="11.875" bestFit="1" customWidth="1"/>
    <col min="4" max="4" width="19.625" bestFit="1" customWidth="1"/>
    <col min="5" max="5" width="10.625" bestFit="1" customWidth="1"/>
    <col min="6" max="6" width="19.625" bestFit="1" customWidth="1"/>
    <col min="7" max="7" width="18.625" bestFit="1" customWidth="1"/>
    <col min="8" max="8" width="32.125" bestFit="1" customWidth="1"/>
    <col min="9" max="9" width="15.125" bestFit="1" customWidth="1"/>
    <col min="13" max="13" width="14.625" bestFit="1" customWidth="1"/>
    <col min="14" max="14" width="16.125" bestFit="1" customWidth="1"/>
    <col min="15" max="15" width="18.625" bestFit="1" customWidth="1"/>
    <col min="16" max="16" width="13.375" bestFit="1" customWidth="1"/>
  </cols>
  <sheetData>
    <row r="1" spans="1:16" ht="21.95" customHeight="1">
      <c r="A1" s="179" t="s">
        <v>57</v>
      </c>
      <c r="B1" s="179" t="s">
        <v>57</v>
      </c>
      <c r="C1" s="179" t="s">
        <v>58</v>
      </c>
      <c r="D1" s="179" t="s">
        <v>58</v>
      </c>
      <c r="E1" s="179" t="s">
        <v>59</v>
      </c>
      <c r="F1" s="179" t="s">
        <v>59</v>
      </c>
      <c r="G1" s="179" t="s">
        <v>90</v>
      </c>
      <c r="H1" s="179" t="s">
        <v>3796</v>
      </c>
      <c r="I1" s="179" t="s">
        <v>3797</v>
      </c>
      <c r="J1" s="241"/>
      <c r="K1" s="241"/>
      <c r="L1" s="241"/>
      <c r="M1" s="179" t="s">
        <v>3798</v>
      </c>
      <c r="N1" s="179" t="s">
        <v>3799</v>
      </c>
      <c r="O1" s="179" t="s">
        <v>3800</v>
      </c>
      <c r="P1" s="179" t="s">
        <v>3801</v>
      </c>
    </row>
    <row r="2" spans="1:16" ht="15">
      <c r="A2" s="235" t="s">
        <v>62</v>
      </c>
      <c r="B2" s="235" t="s">
        <v>63</v>
      </c>
      <c r="C2" s="235" t="s">
        <v>62</v>
      </c>
      <c r="D2" s="235" t="s">
        <v>63</v>
      </c>
      <c r="E2" s="235" t="s">
        <v>62</v>
      </c>
      <c r="F2" s="235" t="s">
        <v>63</v>
      </c>
      <c r="G2" s="235"/>
      <c r="H2" s="235"/>
      <c r="I2" s="235"/>
      <c r="J2" s="197"/>
      <c r="K2" s="197"/>
      <c r="L2" s="197"/>
      <c r="M2" s="235" t="s">
        <v>3802</v>
      </c>
      <c r="N2" s="235">
        <v>1</v>
      </c>
      <c r="O2" s="235" t="s">
        <v>3803</v>
      </c>
      <c r="P2" s="235" t="s">
        <v>3804</v>
      </c>
    </row>
    <row r="3" spans="1:16" ht="15">
      <c r="A3" s="235" t="s">
        <v>99</v>
      </c>
      <c r="B3" s="235" t="s">
        <v>100</v>
      </c>
      <c r="C3" s="235" t="s">
        <v>101</v>
      </c>
      <c r="D3" s="235" t="s">
        <v>102</v>
      </c>
      <c r="E3" s="235" t="s">
        <v>278</v>
      </c>
      <c r="F3" s="235" t="s">
        <v>279</v>
      </c>
      <c r="G3" s="235" t="s">
        <v>3805</v>
      </c>
      <c r="H3" s="235">
        <v>360</v>
      </c>
      <c r="I3" s="235">
        <f>H3/60</f>
        <v>6</v>
      </c>
      <c r="J3" s="197"/>
      <c r="K3" s="197"/>
      <c r="L3" s="197"/>
      <c r="M3" s="235" t="s">
        <v>3806</v>
      </c>
      <c r="N3" s="235">
        <v>3</v>
      </c>
      <c r="O3" s="235" t="s">
        <v>3807</v>
      </c>
      <c r="P3" s="235" t="s">
        <v>3804</v>
      </c>
    </row>
    <row r="4" spans="1:16" ht="15">
      <c r="A4" s="235" t="s">
        <v>99</v>
      </c>
      <c r="B4" s="235" t="s">
        <v>100</v>
      </c>
      <c r="C4" s="235" t="s">
        <v>101</v>
      </c>
      <c r="D4" s="235" t="s">
        <v>102</v>
      </c>
      <c r="E4" s="235" t="s">
        <v>3808</v>
      </c>
      <c r="F4" s="235" t="s">
        <v>3809</v>
      </c>
      <c r="G4" s="235" t="s">
        <v>3805</v>
      </c>
      <c r="H4" s="235">
        <v>300</v>
      </c>
      <c r="I4" s="235">
        <f t="shared" ref="I4:I9" si="0">H4/60</f>
        <v>5</v>
      </c>
      <c r="J4" s="197"/>
      <c r="K4" s="197"/>
      <c r="L4" s="197"/>
      <c r="M4" s="235" t="s">
        <v>3810</v>
      </c>
      <c r="N4" s="235">
        <v>7</v>
      </c>
      <c r="O4" s="235" t="s">
        <v>3811</v>
      </c>
      <c r="P4" s="235" t="s">
        <v>3804</v>
      </c>
    </row>
    <row r="5" spans="1:16" ht="15">
      <c r="A5" s="235" t="s">
        <v>99</v>
      </c>
      <c r="B5" s="235" t="s">
        <v>100</v>
      </c>
      <c r="C5" s="235" t="s">
        <v>101</v>
      </c>
      <c r="D5" s="235" t="s">
        <v>102</v>
      </c>
      <c r="E5" s="235" t="s">
        <v>3812</v>
      </c>
      <c r="F5" s="235" t="s">
        <v>3813</v>
      </c>
      <c r="G5" s="235" t="s">
        <v>3805</v>
      </c>
      <c r="H5" s="235">
        <v>240</v>
      </c>
      <c r="I5" s="235">
        <f t="shared" si="0"/>
        <v>4</v>
      </c>
      <c r="J5" s="197"/>
      <c r="K5" s="197"/>
      <c r="L5" s="197"/>
      <c r="M5" s="235" t="s">
        <v>3814</v>
      </c>
      <c r="N5" s="235">
        <v>12</v>
      </c>
      <c r="O5" s="235" t="s">
        <v>3815</v>
      </c>
      <c r="P5" s="235" t="s">
        <v>3804</v>
      </c>
    </row>
    <row r="6" spans="1:16" ht="15">
      <c r="A6" s="235" t="s">
        <v>99</v>
      </c>
      <c r="B6" s="235" t="s">
        <v>100</v>
      </c>
      <c r="C6" s="235" t="s">
        <v>101</v>
      </c>
      <c r="D6" s="235" t="s">
        <v>102</v>
      </c>
      <c r="E6" s="235" t="s">
        <v>209</v>
      </c>
      <c r="F6" s="235" t="s">
        <v>210</v>
      </c>
      <c r="G6" s="235" t="s">
        <v>211</v>
      </c>
      <c r="H6" s="235">
        <v>10</v>
      </c>
      <c r="I6" s="276">
        <f t="shared" si="0"/>
        <v>0.16666666666666666</v>
      </c>
      <c r="J6" s="197"/>
      <c r="K6" s="197"/>
      <c r="L6" s="197"/>
      <c r="M6" s="235" t="s">
        <v>3816</v>
      </c>
      <c r="N6" s="235">
        <v>25</v>
      </c>
      <c r="O6" s="235" t="s">
        <v>3817</v>
      </c>
      <c r="P6" s="235" t="s">
        <v>3818</v>
      </c>
    </row>
    <row r="7" spans="1:16" ht="15">
      <c r="A7" s="235" t="s">
        <v>99</v>
      </c>
      <c r="B7" s="235" t="s">
        <v>100</v>
      </c>
      <c r="C7" s="235" t="s">
        <v>101</v>
      </c>
      <c r="D7" s="235" t="s">
        <v>102</v>
      </c>
      <c r="E7" s="235" t="s">
        <v>3819</v>
      </c>
      <c r="F7" s="235" t="s">
        <v>3820</v>
      </c>
      <c r="G7" s="235" t="s">
        <v>3805</v>
      </c>
      <c r="H7" s="235">
        <v>240</v>
      </c>
      <c r="I7" s="235">
        <f t="shared" si="0"/>
        <v>4</v>
      </c>
      <c r="J7" s="197"/>
      <c r="K7" s="197"/>
      <c r="L7" s="197"/>
      <c r="M7" s="235" t="s">
        <v>3821</v>
      </c>
      <c r="N7" s="235">
        <v>50</v>
      </c>
      <c r="O7" s="235" t="s">
        <v>3822</v>
      </c>
      <c r="P7" s="235" t="s">
        <v>3818</v>
      </c>
    </row>
    <row r="8" spans="1:16" ht="15">
      <c r="A8" s="235" t="s">
        <v>99</v>
      </c>
      <c r="B8" s="235" t="s">
        <v>100</v>
      </c>
      <c r="C8" s="235" t="s">
        <v>101</v>
      </c>
      <c r="D8" s="235" t="s">
        <v>102</v>
      </c>
      <c r="E8" s="235" t="s">
        <v>3823</v>
      </c>
      <c r="F8" s="235" t="s">
        <v>3824</v>
      </c>
      <c r="G8" s="235" t="s">
        <v>3805</v>
      </c>
      <c r="H8" s="235">
        <v>270</v>
      </c>
      <c r="I8" s="235">
        <f t="shared" si="0"/>
        <v>4.5</v>
      </c>
      <c r="J8" s="197"/>
      <c r="K8" s="197"/>
      <c r="L8" s="197"/>
      <c r="M8" s="235" t="s">
        <v>3825</v>
      </c>
      <c r="N8" s="235">
        <v>75</v>
      </c>
      <c r="O8" s="235" t="s">
        <v>3826</v>
      </c>
      <c r="P8" s="235" t="s">
        <v>3818</v>
      </c>
    </row>
    <row r="9" spans="1:16" ht="15">
      <c r="A9" s="235" t="s">
        <v>99</v>
      </c>
      <c r="B9" s="235" t="s">
        <v>100</v>
      </c>
      <c r="C9" s="235" t="s">
        <v>101</v>
      </c>
      <c r="D9" s="235" t="s">
        <v>102</v>
      </c>
      <c r="E9" s="235" t="s">
        <v>282</v>
      </c>
      <c r="F9" s="235" t="s">
        <v>283</v>
      </c>
      <c r="G9" s="235" t="s">
        <v>3805</v>
      </c>
      <c r="H9" s="235">
        <v>240</v>
      </c>
      <c r="I9" s="235">
        <f t="shared" si="0"/>
        <v>4</v>
      </c>
      <c r="J9" s="197"/>
      <c r="K9" s="197"/>
      <c r="L9" s="197"/>
      <c r="M9" s="235" t="s">
        <v>3827</v>
      </c>
      <c r="N9" s="235">
        <v>100</v>
      </c>
      <c r="O9" s="235" t="s">
        <v>3828</v>
      </c>
      <c r="P9" s="235" t="s">
        <v>3818</v>
      </c>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36088-7F03-4B52-99EC-490BE156B2D8}">
  <sheetPr codeName="Hoja29">
    <tabColor rgb="FF607D8B"/>
  </sheetPr>
  <dimension ref="A1:C227"/>
  <sheetViews>
    <sheetView showGridLines="0" workbookViewId="0">
      <pane ySplit="1" topLeftCell="A11" activePane="bottomLeft" state="frozen"/>
      <selection pane="bottomLeft" activeCell="C2" sqref="C2:C219"/>
    </sheetView>
    <sheetView workbookViewId="1"/>
  </sheetViews>
  <sheetFormatPr baseColWidth="10" defaultColWidth="11" defaultRowHeight="15"/>
  <cols>
    <col min="1" max="1" width="22.125" style="1" bestFit="1" customWidth="1"/>
    <col min="2" max="2" width="26.375" style="1" bestFit="1" customWidth="1"/>
    <col min="3" max="3" width="25.875" style="1" bestFit="1" customWidth="1"/>
    <col min="4" max="16384" width="11" style="1"/>
  </cols>
  <sheetData>
    <row r="1" spans="1:3" ht="21.95" customHeight="1">
      <c r="A1" s="179" t="s">
        <v>3855</v>
      </c>
      <c r="B1" s="179" t="s">
        <v>3829</v>
      </c>
      <c r="C1" s="179" t="s">
        <v>3830</v>
      </c>
    </row>
    <row r="2" spans="1:3">
      <c r="A2" s="88" t="s">
        <v>3856</v>
      </c>
      <c r="B2" s="277">
        <v>0</v>
      </c>
      <c r="C2" s="277">
        <v>0</v>
      </c>
    </row>
    <row r="3" spans="1:3">
      <c r="A3" s="88" t="s">
        <v>3983</v>
      </c>
      <c r="B3" s="277">
        <v>50000</v>
      </c>
      <c r="C3" s="277">
        <v>62500</v>
      </c>
    </row>
    <row r="4" spans="1:3">
      <c r="A4" s="88" t="s">
        <v>3928</v>
      </c>
      <c r="B4" s="277">
        <v>0</v>
      </c>
      <c r="C4" s="277">
        <v>60000</v>
      </c>
    </row>
    <row r="5" spans="1:3">
      <c r="A5" s="88" t="s">
        <v>3918</v>
      </c>
      <c r="B5" s="277">
        <v>57500</v>
      </c>
      <c r="C5" s="277">
        <v>69375</v>
      </c>
    </row>
    <row r="6" spans="1:3">
      <c r="A6" s="88" t="s">
        <v>3929</v>
      </c>
      <c r="B6" s="277">
        <v>0</v>
      </c>
      <c r="C6" s="277">
        <v>48811.111111099999</v>
      </c>
    </row>
    <row r="7" spans="1:3">
      <c r="A7" s="88" t="s">
        <v>3857</v>
      </c>
      <c r="B7" s="277">
        <v>0</v>
      </c>
      <c r="C7" s="277">
        <v>65000</v>
      </c>
    </row>
    <row r="8" spans="1:3">
      <c r="A8" s="88" t="s">
        <v>3907</v>
      </c>
      <c r="B8" s="277">
        <v>55000</v>
      </c>
      <c r="C8" s="277">
        <v>65000</v>
      </c>
    </row>
    <row r="9" spans="1:3">
      <c r="A9" s="154" t="s">
        <v>3831</v>
      </c>
      <c r="B9" s="163">
        <v>0</v>
      </c>
      <c r="C9" s="163">
        <v>73689.814814815269</v>
      </c>
    </row>
    <row r="10" spans="1:3">
      <c r="A10" s="88" t="s">
        <v>4019</v>
      </c>
      <c r="B10" s="277">
        <v>50000</v>
      </c>
      <c r="C10" s="277">
        <v>70416.666666674995</v>
      </c>
    </row>
    <row r="11" spans="1:3">
      <c r="A11" s="88" t="s">
        <v>3995</v>
      </c>
      <c r="B11" s="277">
        <v>46000</v>
      </c>
      <c r="C11" s="277">
        <v>66250</v>
      </c>
    </row>
    <row r="12" spans="1:3">
      <c r="A12" s="88" t="s">
        <v>3885</v>
      </c>
      <c r="B12" s="277">
        <v>60833.333333324998</v>
      </c>
      <c r="C12" s="277">
        <v>66666.666666674995</v>
      </c>
    </row>
    <row r="13" spans="1:3">
      <c r="A13" s="154" t="s">
        <v>3832</v>
      </c>
      <c r="B13" s="163">
        <v>49166.666666659992</v>
      </c>
      <c r="C13" s="163">
        <v>71083.333333335002</v>
      </c>
    </row>
    <row r="14" spans="1:3">
      <c r="A14" s="88" t="s">
        <v>3832</v>
      </c>
      <c r="B14" s="277">
        <v>48750</v>
      </c>
      <c r="C14" s="277">
        <v>69583.33333334999</v>
      </c>
    </row>
    <row r="15" spans="1:3">
      <c r="A15" s="88" t="s">
        <v>3877</v>
      </c>
      <c r="B15" s="277">
        <v>49583.333333324998</v>
      </c>
      <c r="C15" s="277">
        <v>73750</v>
      </c>
    </row>
    <row r="16" spans="1:3">
      <c r="A16" s="88" t="s">
        <v>3991</v>
      </c>
      <c r="B16" s="277">
        <v>0</v>
      </c>
      <c r="C16" s="277">
        <v>58500</v>
      </c>
    </row>
    <row r="17" spans="1:3">
      <c r="A17" s="88" t="s">
        <v>3833</v>
      </c>
      <c r="B17" s="277">
        <v>32500.000000025</v>
      </c>
      <c r="C17" s="277">
        <v>35916.666666675002</v>
      </c>
    </row>
    <row r="18" spans="1:3">
      <c r="A18" s="88" t="s">
        <v>3858</v>
      </c>
      <c r="B18" s="277">
        <v>0</v>
      </c>
      <c r="C18" s="277">
        <v>70000</v>
      </c>
    </row>
    <row r="19" spans="1:3">
      <c r="A19" s="88" t="s">
        <v>3858</v>
      </c>
      <c r="B19" s="277">
        <v>50000</v>
      </c>
      <c r="C19" s="277">
        <v>60416.666666675002</v>
      </c>
    </row>
    <row r="20" spans="1:3">
      <c r="A20" s="88" t="s">
        <v>4003</v>
      </c>
      <c r="B20" s="277">
        <v>35000</v>
      </c>
      <c r="C20" s="277">
        <v>58750</v>
      </c>
    </row>
    <row r="21" spans="1:3">
      <c r="A21" s="88" t="s">
        <v>3886</v>
      </c>
      <c r="B21" s="277">
        <v>65000</v>
      </c>
      <c r="C21" s="277">
        <v>74166.666666674995</v>
      </c>
    </row>
    <row r="22" spans="1:3">
      <c r="A22" s="88" t="s">
        <v>3996</v>
      </c>
      <c r="B22" s="277">
        <v>47125</v>
      </c>
      <c r="C22" s="277">
        <v>67750</v>
      </c>
    </row>
    <row r="23" spans="1:3">
      <c r="A23" s="154" t="s">
        <v>3834</v>
      </c>
      <c r="B23" s="163">
        <v>34625.0000000125</v>
      </c>
      <c r="C23" s="163">
        <v>40150.000000009997</v>
      </c>
    </row>
    <row r="24" spans="1:3">
      <c r="A24" s="88" t="s">
        <v>3930</v>
      </c>
      <c r="B24" s="277">
        <v>40000</v>
      </c>
      <c r="C24" s="277">
        <v>44666.666666649995</v>
      </c>
    </row>
    <row r="25" spans="1:3">
      <c r="A25" s="154" t="s">
        <v>3835</v>
      </c>
      <c r="B25" s="163">
        <v>58714.91228070527</v>
      </c>
      <c r="C25" s="163">
        <v>68205.882352945584</v>
      </c>
    </row>
    <row r="26" spans="1:3">
      <c r="A26" s="88" t="s">
        <v>3976</v>
      </c>
      <c r="B26" s="277">
        <v>0</v>
      </c>
      <c r="C26" s="277">
        <v>45000</v>
      </c>
    </row>
    <row r="27" spans="1:3">
      <c r="A27" s="88" t="s">
        <v>3936</v>
      </c>
      <c r="B27" s="277">
        <v>59583.333333324998</v>
      </c>
      <c r="C27" s="277">
        <v>65416.666666674995</v>
      </c>
    </row>
    <row r="28" spans="1:3">
      <c r="A28" s="88" t="s">
        <v>4032</v>
      </c>
      <c r="B28" s="277">
        <v>0</v>
      </c>
      <c r="C28" s="277">
        <v>57111.111111099999</v>
      </c>
    </row>
    <row r="29" spans="1:3">
      <c r="A29" s="88" t="s">
        <v>4020</v>
      </c>
      <c r="B29" s="277">
        <v>60416.666666675002</v>
      </c>
      <c r="C29" s="277">
        <v>81666.666666674995</v>
      </c>
    </row>
    <row r="30" spans="1:3">
      <c r="A30" s="88" t="s">
        <v>3937</v>
      </c>
      <c r="B30" s="277">
        <v>0</v>
      </c>
      <c r="C30" s="277">
        <v>70000</v>
      </c>
    </row>
    <row r="31" spans="1:3">
      <c r="A31" s="88" t="s">
        <v>3992</v>
      </c>
      <c r="B31" s="277">
        <v>0</v>
      </c>
      <c r="C31" s="277">
        <v>60333.333333350005</v>
      </c>
    </row>
    <row r="32" spans="1:3">
      <c r="A32" s="154" t="s">
        <v>3836</v>
      </c>
      <c r="B32" s="163">
        <v>56515.151515154546</v>
      </c>
      <c r="C32" s="163">
        <v>64047.61904761428</v>
      </c>
    </row>
    <row r="33" spans="1:3">
      <c r="A33" s="88" t="s">
        <v>4033</v>
      </c>
      <c r="B33" s="277">
        <v>0</v>
      </c>
      <c r="C33" s="277">
        <v>60000</v>
      </c>
    </row>
    <row r="34" spans="1:3">
      <c r="A34" s="154" t="s">
        <v>3837</v>
      </c>
      <c r="B34" s="163">
        <v>49761.904761899998</v>
      </c>
      <c r="C34" s="163">
        <v>69222.222222226657</v>
      </c>
    </row>
    <row r="35" spans="1:3">
      <c r="A35" s="88" t="s">
        <v>3938</v>
      </c>
      <c r="B35" s="277">
        <v>55000</v>
      </c>
      <c r="C35" s="277">
        <v>68333.33333334999</v>
      </c>
    </row>
    <row r="36" spans="1:3">
      <c r="A36" s="88" t="s">
        <v>4034</v>
      </c>
      <c r="B36" s="277">
        <v>40000</v>
      </c>
      <c r="C36" s="277">
        <v>55333.333333324998</v>
      </c>
    </row>
    <row r="37" spans="1:3">
      <c r="A37" s="154" t="s">
        <v>3838</v>
      </c>
      <c r="B37" s="163">
        <v>54687.5</v>
      </c>
      <c r="C37" s="163">
        <v>66250</v>
      </c>
    </row>
    <row r="38" spans="1:3">
      <c r="A38" s="154" t="s">
        <v>3839</v>
      </c>
      <c r="B38" s="163">
        <v>35000</v>
      </c>
      <c r="C38" s="163">
        <v>46666.666666666664</v>
      </c>
    </row>
    <row r="39" spans="1:3">
      <c r="A39" s="88" t="s">
        <v>3933</v>
      </c>
      <c r="B39" s="277">
        <v>0</v>
      </c>
      <c r="C39" s="277">
        <v>38000</v>
      </c>
    </row>
    <row r="40" spans="1:3">
      <c r="A40" s="154" t="s">
        <v>3840</v>
      </c>
      <c r="B40" s="163">
        <v>36296.296296300003</v>
      </c>
      <c r="C40" s="163">
        <v>51613.72549019412</v>
      </c>
    </row>
    <row r="41" spans="1:3">
      <c r="A41" s="88" t="s">
        <v>4021</v>
      </c>
      <c r="B41" s="277">
        <v>50000</v>
      </c>
      <c r="C41" s="277">
        <v>69833.333333325005</v>
      </c>
    </row>
    <row r="42" spans="1:3">
      <c r="A42" s="88" t="s">
        <v>3984</v>
      </c>
      <c r="B42" s="277">
        <v>0</v>
      </c>
      <c r="C42" s="277">
        <v>57500</v>
      </c>
    </row>
    <row r="43" spans="1:3">
      <c r="A43" s="88" t="s">
        <v>3908</v>
      </c>
      <c r="B43" s="277">
        <v>53666.666666700003</v>
      </c>
      <c r="C43" s="277">
        <v>64333.333333299997</v>
      </c>
    </row>
    <row r="44" spans="1:3">
      <c r="A44" s="88" t="s">
        <v>3939</v>
      </c>
      <c r="B44" s="277">
        <v>55833.333333350005</v>
      </c>
      <c r="C44" s="277">
        <v>67500</v>
      </c>
    </row>
    <row r="45" spans="1:3">
      <c r="A45" s="88" t="s">
        <v>3887</v>
      </c>
      <c r="B45" s="277">
        <v>56333.333333350005</v>
      </c>
      <c r="C45" s="277">
        <v>70000</v>
      </c>
    </row>
    <row r="46" spans="1:3">
      <c r="A46" s="88" t="s">
        <v>3985</v>
      </c>
      <c r="B46" s="277">
        <v>50000</v>
      </c>
      <c r="C46" s="277">
        <v>70000</v>
      </c>
    </row>
    <row r="47" spans="1:3">
      <c r="A47" s="88" t="s">
        <v>3940</v>
      </c>
      <c r="B47" s="277">
        <v>54583.333333324998</v>
      </c>
      <c r="C47" s="277">
        <v>70000</v>
      </c>
    </row>
    <row r="48" spans="1:3">
      <c r="A48" s="88" t="s">
        <v>3941</v>
      </c>
      <c r="B48" s="277">
        <v>80000</v>
      </c>
      <c r="C48" s="277">
        <v>0</v>
      </c>
    </row>
    <row r="49" spans="1:3">
      <c r="A49" s="88" t="s">
        <v>4004</v>
      </c>
      <c r="B49" s="277">
        <v>37125</v>
      </c>
      <c r="C49" s="277">
        <v>58333.333333324998</v>
      </c>
    </row>
    <row r="50" spans="1:3">
      <c r="A50" s="88" t="s">
        <v>3841</v>
      </c>
      <c r="B50" s="277">
        <v>0</v>
      </c>
      <c r="C50" s="277">
        <v>38916.666666674995</v>
      </c>
    </row>
    <row r="51" spans="1:3">
      <c r="A51" s="88" t="s">
        <v>3924</v>
      </c>
      <c r="B51" s="277">
        <v>0</v>
      </c>
      <c r="C51" s="277">
        <v>60000</v>
      </c>
    </row>
    <row r="52" spans="1:3">
      <c r="A52" s="88" t="s">
        <v>4016</v>
      </c>
      <c r="B52" s="277">
        <v>34166.666666649995</v>
      </c>
      <c r="C52" s="277">
        <v>39833.333333324998</v>
      </c>
    </row>
    <row r="53" spans="1:3">
      <c r="A53" s="88" t="s">
        <v>3942</v>
      </c>
      <c r="B53" s="277">
        <v>70000</v>
      </c>
      <c r="C53" s="277">
        <v>67500</v>
      </c>
    </row>
    <row r="54" spans="1:3">
      <c r="A54" s="88" t="s">
        <v>3977</v>
      </c>
      <c r="B54" s="277">
        <v>35000</v>
      </c>
      <c r="C54" s="277">
        <v>0</v>
      </c>
    </row>
    <row r="55" spans="1:3">
      <c r="A55" s="88" t="s">
        <v>3978</v>
      </c>
      <c r="B55" s="277">
        <v>35000</v>
      </c>
      <c r="C55" s="277">
        <v>0</v>
      </c>
    </row>
    <row r="56" spans="1:3">
      <c r="A56" s="154" t="s">
        <v>3842</v>
      </c>
      <c r="B56" s="163">
        <v>63742.690058478947</v>
      </c>
      <c r="C56" s="163">
        <v>72606.382978724476</v>
      </c>
    </row>
    <row r="57" spans="1:3">
      <c r="A57" s="88" t="s">
        <v>4035</v>
      </c>
      <c r="B57" s="277">
        <v>0</v>
      </c>
      <c r="C57" s="277">
        <v>55416.666666675002</v>
      </c>
    </row>
    <row r="58" spans="1:3">
      <c r="A58" s="88" t="s">
        <v>3859</v>
      </c>
      <c r="B58" s="277">
        <v>0</v>
      </c>
      <c r="C58" s="277">
        <v>75000</v>
      </c>
    </row>
    <row r="59" spans="1:3">
      <c r="A59" s="88" t="s">
        <v>3888</v>
      </c>
      <c r="B59" s="277">
        <v>55416.666666675002</v>
      </c>
      <c r="C59" s="277">
        <v>70833.33333334999</v>
      </c>
    </row>
    <row r="60" spans="1:3">
      <c r="A60" s="88" t="s">
        <v>3882</v>
      </c>
      <c r="B60" s="277">
        <v>35083.333333350005</v>
      </c>
      <c r="C60" s="277">
        <v>40166.666666649995</v>
      </c>
    </row>
    <row r="61" spans="1:3">
      <c r="A61" s="88" t="s">
        <v>3860</v>
      </c>
      <c r="B61" s="277">
        <v>0</v>
      </c>
      <c r="C61" s="277">
        <v>70000</v>
      </c>
    </row>
    <row r="62" spans="1:3">
      <c r="A62" s="88" t="s">
        <v>3914</v>
      </c>
      <c r="B62" s="277">
        <v>49444.444444433328</v>
      </c>
      <c r="C62" s="277">
        <v>68888.888888899994</v>
      </c>
    </row>
    <row r="63" spans="1:3">
      <c r="A63" s="88" t="s">
        <v>3915</v>
      </c>
      <c r="B63" s="277">
        <v>50555.555555566672</v>
      </c>
      <c r="C63" s="277">
        <v>70416.666666674995</v>
      </c>
    </row>
    <row r="64" spans="1:3">
      <c r="A64" s="88" t="s">
        <v>3943</v>
      </c>
      <c r="B64" s="277">
        <v>67500</v>
      </c>
      <c r="C64" s="277">
        <v>77500</v>
      </c>
    </row>
    <row r="65" spans="1:3">
      <c r="A65" s="88" t="s">
        <v>3861</v>
      </c>
      <c r="B65" s="277">
        <v>0</v>
      </c>
      <c r="C65" s="277">
        <v>79166.666666674995</v>
      </c>
    </row>
    <row r="66" spans="1:3">
      <c r="A66" s="88" t="s">
        <v>3862</v>
      </c>
      <c r="B66" s="277">
        <v>0</v>
      </c>
      <c r="C66" s="277">
        <v>0</v>
      </c>
    </row>
    <row r="67" spans="1:3">
      <c r="A67" s="88" t="s">
        <v>4022</v>
      </c>
      <c r="B67" s="277">
        <v>0</v>
      </c>
      <c r="C67" s="277">
        <v>61250</v>
      </c>
    </row>
    <row r="68" spans="1:3">
      <c r="A68" s="88" t="s">
        <v>3944</v>
      </c>
      <c r="B68" s="277">
        <v>0</v>
      </c>
      <c r="C68" s="277">
        <v>70000</v>
      </c>
    </row>
    <row r="69" spans="1:3">
      <c r="A69" s="88" t="s">
        <v>3916</v>
      </c>
      <c r="B69" s="277">
        <v>49583.333333324998</v>
      </c>
      <c r="C69" s="277">
        <v>69166.666666674995</v>
      </c>
    </row>
    <row r="70" spans="1:3">
      <c r="A70" s="88" t="s">
        <v>3945</v>
      </c>
      <c r="B70" s="277">
        <v>50000</v>
      </c>
      <c r="C70" s="277">
        <v>60000</v>
      </c>
    </row>
    <row r="71" spans="1:3">
      <c r="A71" s="88" t="s">
        <v>3878</v>
      </c>
      <c r="B71" s="277">
        <v>49583.333333324998</v>
      </c>
      <c r="C71" s="277">
        <v>71250</v>
      </c>
    </row>
    <row r="72" spans="1:3">
      <c r="A72" s="88" t="s">
        <v>3863</v>
      </c>
      <c r="B72" s="277">
        <v>0</v>
      </c>
      <c r="C72" s="277">
        <v>0</v>
      </c>
    </row>
    <row r="73" spans="1:3">
      <c r="A73" s="88" t="s">
        <v>4023</v>
      </c>
      <c r="B73" s="277">
        <v>60000</v>
      </c>
      <c r="C73" s="277">
        <v>75000</v>
      </c>
    </row>
    <row r="74" spans="1:3">
      <c r="A74" s="88" t="s">
        <v>3971</v>
      </c>
      <c r="B74" s="277">
        <v>31083.333333325001</v>
      </c>
      <c r="C74" s="277">
        <v>35833.333333324998</v>
      </c>
    </row>
    <row r="75" spans="1:3">
      <c r="A75" s="88" t="s">
        <v>3946</v>
      </c>
      <c r="B75" s="277">
        <v>0</v>
      </c>
      <c r="C75" s="277">
        <v>72500</v>
      </c>
    </row>
    <row r="76" spans="1:3">
      <c r="A76" s="88" t="s">
        <v>3947</v>
      </c>
      <c r="B76" s="277">
        <v>0</v>
      </c>
      <c r="C76" s="277">
        <v>0</v>
      </c>
    </row>
    <row r="77" spans="1:3">
      <c r="A77" s="88" t="s">
        <v>3948</v>
      </c>
      <c r="B77" s="277">
        <v>50000</v>
      </c>
      <c r="C77" s="277">
        <v>70000</v>
      </c>
    </row>
    <row r="78" spans="1:3">
      <c r="A78" s="88" t="s">
        <v>4017</v>
      </c>
      <c r="B78" s="277">
        <v>37833.333333350005</v>
      </c>
      <c r="C78" s="277">
        <v>41000</v>
      </c>
    </row>
    <row r="79" spans="1:3">
      <c r="A79" s="88" t="s">
        <v>3889</v>
      </c>
      <c r="B79" s="277">
        <v>50416.666666675002</v>
      </c>
      <c r="C79" s="277">
        <v>58916.666666675002</v>
      </c>
    </row>
    <row r="80" spans="1:3">
      <c r="A80" s="88" t="s">
        <v>3967</v>
      </c>
      <c r="B80" s="277">
        <v>0</v>
      </c>
      <c r="C80" s="277">
        <v>68916.66666665001</v>
      </c>
    </row>
    <row r="81" spans="1:3">
      <c r="A81" s="88" t="s">
        <v>4005</v>
      </c>
      <c r="B81" s="277">
        <v>35000</v>
      </c>
      <c r="C81" s="277">
        <v>55333.333333333336</v>
      </c>
    </row>
    <row r="82" spans="1:3">
      <c r="A82" s="88" t="s">
        <v>3973</v>
      </c>
      <c r="B82" s="277">
        <v>41250</v>
      </c>
      <c r="C82" s="277">
        <v>55000</v>
      </c>
    </row>
    <row r="83" spans="1:3">
      <c r="A83" s="88" t="s">
        <v>3949</v>
      </c>
      <c r="B83" s="277">
        <v>0</v>
      </c>
      <c r="C83" s="277">
        <v>0</v>
      </c>
    </row>
    <row r="84" spans="1:3">
      <c r="A84" s="88" t="s">
        <v>3979</v>
      </c>
      <c r="B84" s="277">
        <v>37500</v>
      </c>
      <c r="C84" s="277">
        <v>0</v>
      </c>
    </row>
    <row r="85" spans="1:3">
      <c r="A85" s="88" t="s">
        <v>4036</v>
      </c>
      <c r="B85" s="277">
        <v>0</v>
      </c>
      <c r="C85" s="277">
        <v>60000</v>
      </c>
    </row>
    <row r="86" spans="1:3">
      <c r="A86" s="88" t="s">
        <v>4024</v>
      </c>
      <c r="B86" s="277">
        <v>51666.666666675002</v>
      </c>
      <c r="C86" s="277">
        <v>70000</v>
      </c>
    </row>
    <row r="87" spans="1:3">
      <c r="A87" s="88" t="s">
        <v>3864</v>
      </c>
      <c r="B87" s="277">
        <v>0</v>
      </c>
      <c r="C87" s="277">
        <v>77500</v>
      </c>
    </row>
    <row r="88" spans="1:3">
      <c r="A88" s="88" t="s">
        <v>3890</v>
      </c>
      <c r="B88" s="277">
        <v>55000</v>
      </c>
      <c r="C88" s="277">
        <v>65000</v>
      </c>
    </row>
    <row r="89" spans="1:3">
      <c r="A89" s="154" t="s">
        <v>3843</v>
      </c>
      <c r="B89" s="163">
        <v>52083.333333337505</v>
      </c>
      <c r="C89" s="163">
        <v>73020.833333331262</v>
      </c>
    </row>
    <row r="90" spans="1:3">
      <c r="A90" s="88" t="s">
        <v>4025</v>
      </c>
      <c r="B90" s="277">
        <v>60000</v>
      </c>
      <c r="C90" s="277">
        <v>0</v>
      </c>
    </row>
    <row r="91" spans="1:3">
      <c r="A91" s="88" t="s">
        <v>4026</v>
      </c>
      <c r="B91" s="277">
        <v>0</v>
      </c>
      <c r="C91" s="277">
        <v>60312.5</v>
      </c>
    </row>
    <row r="92" spans="1:3">
      <c r="A92" s="88" t="s">
        <v>3980</v>
      </c>
      <c r="B92" s="277">
        <v>37500</v>
      </c>
      <c r="C92" s="277">
        <v>0</v>
      </c>
    </row>
    <row r="93" spans="1:3">
      <c r="A93" s="88" t="s">
        <v>4037</v>
      </c>
      <c r="B93" s="277">
        <v>0</v>
      </c>
      <c r="C93" s="277">
        <v>60000</v>
      </c>
    </row>
    <row r="94" spans="1:3">
      <c r="A94" s="88" t="s">
        <v>3865</v>
      </c>
      <c r="B94" s="277">
        <v>0</v>
      </c>
      <c r="C94" s="277">
        <v>80000</v>
      </c>
    </row>
    <row r="95" spans="1:3">
      <c r="A95" s="88" t="s">
        <v>3997</v>
      </c>
      <c r="B95" s="277">
        <v>49000</v>
      </c>
      <c r="C95" s="277">
        <v>69000</v>
      </c>
    </row>
    <row r="96" spans="1:3">
      <c r="A96" s="88" t="s">
        <v>3909</v>
      </c>
      <c r="B96" s="277">
        <v>60000</v>
      </c>
      <c r="C96" s="277">
        <v>0</v>
      </c>
    </row>
    <row r="97" spans="1:3">
      <c r="A97" s="88" t="s">
        <v>3950</v>
      </c>
      <c r="B97" s="277">
        <v>70000</v>
      </c>
      <c r="C97" s="277">
        <v>90000</v>
      </c>
    </row>
    <row r="98" spans="1:3">
      <c r="A98" s="88" t="s">
        <v>3968</v>
      </c>
      <c r="B98" s="277">
        <v>52916.666666675002</v>
      </c>
      <c r="C98" s="277">
        <v>73750</v>
      </c>
    </row>
    <row r="99" spans="1:3">
      <c r="A99" s="88" t="s">
        <v>3866</v>
      </c>
      <c r="B99" s="277">
        <v>0</v>
      </c>
      <c r="C99" s="277">
        <v>75000</v>
      </c>
    </row>
    <row r="100" spans="1:3">
      <c r="A100" s="88" t="s">
        <v>3866</v>
      </c>
      <c r="B100" s="277">
        <v>0</v>
      </c>
      <c r="C100" s="277">
        <v>50000</v>
      </c>
    </row>
    <row r="101" spans="1:3">
      <c r="A101" s="88" t="s">
        <v>3866</v>
      </c>
      <c r="B101" s="277">
        <v>40000</v>
      </c>
      <c r="C101" s="277">
        <v>55000</v>
      </c>
    </row>
    <row r="102" spans="1:3">
      <c r="A102" s="88" t="s">
        <v>3998</v>
      </c>
      <c r="B102" s="277">
        <v>45750</v>
      </c>
      <c r="C102" s="277">
        <v>66750</v>
      </c>
    </row>
    <row r="103" spans="1:3">
      <c r="A103" s="88" t="s">
        <v>4006</v>
      </c>
      <c r="B103" s="277">
        <v>42625</v>
      </c>
      <c r="C103" s="277">
        <v>67500</v>
      </c>
    </row>
    <row r="104" spans="1:3">
      <c r="A104" s="88" t="s">
        <v>3951</v>
      </c>
      <c r="B104" s="277">
        <v>0</v>
      </c>
      <c r="C104" s="277">
        <v>0</v>
      </c>
    </row>
    <row r="105" spans="1:3">
      <c r="A105" s="88" t="s">
        <v>4027</v>
      </c>
      <c r="B105" s="277">
        <v>0</v>
      </c>
      <c r="C105" s="277">
        <v>60000</v>
      </c>
    </row>
    <row r="106" spans="1:3">
      <c r="A106" s="88" t="s">
        <v>4028</v>
      </c>
      <c r="B106" s="277">
        <v>0</v>
      </c>
      <c r="C106" s="277">
        <v>60000</v>
      </c>
    </row>
    <row r="107" spans="1:3">
      <c r="A107" s="88" t="s">
        <v>3934</v>
      </c>
      <c r="B107" s="277">
        <v>0</v>
      </c>
      <c r="C107" s="277">
        <v>40000</v>
      </c>
    </row>
    <row r="108" spans="1:3">
      <c r="A108" s="88" t="s">
        <v>3952</v>
      </c>
      <c r="B108" s="277">
        <v>0</v>
      </c>
      <c r="C108" s="277">
        <v>80000</v>
      </c>
    </row>
    <row r="109" spans="1:3">
      <c r="A109" s="88" t="s">
        <v>3883</v>
      </c>
      <c r="B109" s="277">
        <v>34166.666666675002</v>
      </c>
      <c r="C109" s="277">
        <v>39625.000000025007</v>
      </c>
    </row>
    <row r="110" spans="1:3">
      <c r="A110" s="154" t="s">
        <v>3844</v>
      </c>
      <c r="B110" s="163">
        <v>30833.333333337505</v>
      </c>
      <c r="C110" s="163">
        <v>35874.9999999875</v>
      </c>
    </row>
    <row r="111" spans="1:3">
      <c r="A111" s="88" t="s">
        <v>4007</v>
      </c>
      <c r="B111" s="277">
        <v>40833.333333324998</v>
      </c>
      <c r="C111" s="277">
        <v>60833.333333324998</v>
      </c>
    </row>
    <row r="112" spans="1:3">
      <c r="A112" s="88" t="s">
        <v>3910</v>
      </c>
      <c r="B112" s="277">
        <v>56000</v>
      </c>
      <c r="C112" s="277">
        <v>65000</v>
      </c>
    </row>
    <row r="113" spans="1:3">
      <c r="A113" s="88" t="s">
        <v>3884</v>
      </c>
      <c r="B113" s="277">
        <v>0</v>
      </c>
      <c r="C113" s="277">
        <v>41166.666666700003</v>
      </c>
    </row>
    <row r="114" spans="1:3">
      <c r="A114" s="88" t="s">
        <v>3867</v>
      </c>
      <c r="B114" s="277">
        <v>0</v>
      </c>
      <c r="C114" s="277">
        <v>70000</v>
      </c>
    </row>
    <row r="115" spans="1:3">
      <c r="A115" s="88" t="s">
        <v>3999</v>
      </c>
      <c r="B115" s="277">
        <v>48000</v>
      </c>
      <c r="C115" s="277">
        <v>68000</v>
      </c>
    </row>
    <row r="116" spans="1:3">
      <c r="A116" s="88" t="s">
        <v>3868</v>
      </c>
      <c r="B116" s="277">
        <v>0</v>
      </c>
      <c r="C116" s="277">
        <v>70000</v>
      </c>
    </row>
    <row r="117" spans="1:3">
      <c r="A117" s="154" t="s">
        <v>3845</v>
      </c>
      <c r="B117" s="163">
        <v>40194.444444441666</v>
      </c>
      <c r="C117" s="163">
        <v>53333.333333333336</v>
      </c>
    </row>
    <row r="118" spans="1:3">
      <c r="A118" s="88" t="s">
        <v>3891</v>
      </c>
      <c r="B118" s="277">
        <v>46666.666666675002</v>
      </c>
      <c r="C118" s="277">
        <v>60000</v>
      </c>
    </row>
    <row r="119" spans="1:3">
      <c r="A119" s="88" t="s">
        <v>3993</v>
      </c>
      <c r="B119" s="277">
        <v>0</v>
      </c>
      <c r="C119" s="277">
        <v>58166.666666675002</v>
      </c>
    </row>
    <row r="120" spans="1:3">
      <c r="A120" s="88" t="s">
        <v>3935</v>
      </c>
      <c r="B120" s="277">
        <v>0</v>
      </c>
      <c r="C120" s="277">
        <v>38750.000000025</v>
      </c>
    </row>
    <row r="121" spans="1:3">
      <c r="A121" s="88" t="s">
        <v>3953</v>
      </c>
      <c r="B121" s="277">
        <v>0</v>
      </c>
      <c r="C121" s="277">
        <v>70416.666666674995</v>
      </c>
    </row>
    <row r="122" spans="1:3">
      <c r="A122" s="154" t="s">
        <v>3846</v>
      </c>
      <c r="B122" s="163">
        <v>37066.666666663994</v>
      </c>
      <c r="C122" s="163">
        <v>47166.666666666664</v>
      </c>
    </row>
    <row r="123" spans="1:3">
      <c r="A123" s="88" t="s">
        <v>3911</v>
      </c>
      <c r="B123" s="277">
        <v>55000</v>
      </c>
      <c r="C123" s="277">
        <v>63000</v>
      </c>
    </row>
    <row r="124" spans="1:3">
      <c r="A124" s="88" t="s">
        <v>3969</v>
      </c>
      <c r="B124" s="277">
        <v>0</v>
      </c>
      <c r="C124" s="277">
        <v>76500</v>
      </c>
    </row>
    <row r="125" spans="1:3">
      <c r="A125" s="88" t="s">
        <v>3954</v>
      </c>
      <c r="B125" s="277">
        <v>0</v>
      </c>
      <c r="C125" s="277">
        <v>0</v>
      </c>
    </row>
    <row r="126" spans="1:3">
      <c r="A126" s="154" t="s">
        <v>3847</v>
      </c>
      <c r="B126" s="163">
        <v>48333.333333333336</v>
      </c>
      <c r="C126" s="163">
        <v>61428.571428571428</v>
      </c>
    </row>
    <row r="127" spans="1:3">
      <c r="A127" s="88" t="s">
        <v>3986</v>
      </c>
      <c r="B127" s="277">
        <v>50000</v>
      </c>
      <c r="C127" s="277">
        <v>60000</v>
      </c>
    </row>
    <row r="128" spans="1:3">
      <c r="A128" s="88" t="s">
        <v>3955</v>
      </c>
      <c r="B128" s="277">
        <v>60000</v>
      </c>
      <c r="C128" s="277">
        <v>60000</v>
      </c>
    </row>
    <row r="129" spans="1:3">
      <c r="A129" s="88" t="s">
        <v>3892</v>
      </c>
      <c r="B129" s="277">
        <v>55000</v>
      </c>
      <c r="C129" s="277">
        <v>65000</v>
      </c>
    </row>
    <row r="130" spans="1:3">
      <c r="A130" s="88" t="s">
        <v>4038</v>
      </c>
      <c r="B130" s="277">
        <v>0</v>
      </c>
      <c r="C130" s="277">
        <v>60000</v>
      </c>
    </row>
    <row r="131" spans="1:3">
      <c r="A131" s="88" t="s">
        <v>3987</v>
      </c>
      <c r="B131" s="277">
        <v>47500</v>
      </c>
      <c r="C131" s="277">
        <v>60000</v>
      </c>
    </row>
    <row r="132" spans="1:3">
      <c r="A132" s="88" t="s">
        <v>3956</v>
      </c>
      <c r="B132" s="277">
        <v>0</v>
      </c>
      <c r="C132" s="277">
        <v>67500</v>
      </c>
    </row>
    <row r="133" spans="1:3">
      <c r="A133" s="88" t="s">
        <v>3657</v>
      </c>
      <c r="B133" s="277">
        <v>40000</v>
      </c>
      <c r="C133" s="277">
        <v>46500</v>
      </c>
    </row>
    <row r="134" spans="1:3">
      <c r="A134" s="88" t="s">
        <v>3919</v>
      </c>
      <c r="B134" s="277">
        <v>57500</v>
      </c>
      <c r="C134" s="277">
        <v>67500</v>
      </c>
    </row>
    <row r="135" spans="1:3">
      <c r="A135" s="88" t="s">
        <v>3869</v>
      </c>
      <c r="B135" s="277">
        <v>0</v>
      </c>
      <c r="C135" s="277">
        <v>75000</v>
      </c>
    </row>
    <row r="136" spans="1:3">
      <c r="A136" s="88" t="s">
        <v>4000</v>
      </c>
      <c r="B136" s="277">
        <v>57500</v>
      </c>
      <c r="C136" s="277">
        <v>77500</v>
      </c>
    </row>
    <row r="137" spans="1:3">
      <c r="A137" s="88" t="s">
        <v>4008</v>
      </c>
      <c r="B137" s="277">
        <v>42166.666666675002</v>
      </c>
      <c r="C137" s="277">
        <v>63333.333333350005</v>
      </c>
    </row>
    <row r="138" spans="1:3">
      <c r="A138" s="88" t="s">
        <v>3925</v>
      </c>
      <c r="B138" s="277">
        <v>35000</v>
      </c>
      <c r="C138" s="277">
        <v>40000</v>
      </c>
    </row>
    <row r="139" spans="1:3">
      <c r="A139" s="88" t="s">
        <v>3970</v>
      </c>
      <c r="B139" s="277">
        <v>51250</v>
      </c>
      <c r="C139" s="277">
        <v>72916.666666674995</v>
      </c>
    </row>
    <row r="140" spans="1:3">
      <c r="A140" s="88" t="s">
        <v>3972</v>
      </c>
      <c r="B140" s="277">
        <v>30583.333333349998</v>
      </c>
      <c r="C140" s="277">
        <v>35916.666666649995</v>
      </c>
    </row>
    <row r="141" spans="1:3">
      <c r="A141" s="88" t="s">
        <v>3926</v>
      </c>
      <c r="B141" s="277">
        <v>35000</v>
      </c>
      <c r="C141" s="277">
        <v>40000</v>
      </c>
    </row>
    <row r="142" spans="1:3">
      <c r="A142" s="88" t="s">
        <v>4009</v>
      </c>
      <c r="B142" s="277">
        <v>0</v>
      </c>
      <c r="C142" s="277">
        <v>0</v>
      </c>
    </row>
    <row r="143" spans="1:3">
      <c r="A143" s="88" t="s">
        <v>3974</v>
      </c>
      <c r="B143" s="277">
        <v>39500</v>
      </c>
      <c r="C143" s="277">
        <v>50000</v>
      </c>
    </row>
    <row r="144" spans="1:3">
      <c r="A144" s="88" t="s">
        <v>3917</v>
      </c>
      <c r="B144" s="277">
        <v>49583.333333324998</v>
      </c>
      <c r="C144" s="277">
        <v>68333.333333325005</v>
      </c>
    </row>
    <row r="145" spans="1:3">
      <c r="A145" s="88" t="s">
        <v>3981</v>
      </c>
      <c r="B145" s="277">
        <v>37500</v>
      </c>
      <c r="C145" s="277">
        <v>0</v>
      </c>
    </row>
    <row r="146" spans="1:3">
      <c r="A146" s="154" t="s">
        <v>3848</v>
      </c>
      <c r="B146" s="163">
        <v>0</v>
      </c>
      <c r="C146" s="163">
        <v>43750</v>
      </c>
    </row>
    <row r="147" spans="1:3">
      <c r="A147" s="88" t="s">
        <v>3994</v>
      </c>
      <c r="B147" s="277">
        <v>0</v>
      </c>
      <c r="C147" s="277">
        <v>55500</v>
      </c>
    </row>
    <row r="148" spans="1:3">
      <c r="A148" s="154" t="s">
        <v>3849</v>
      </c>
      <c r="B148" s="163">
        <v>0</v>
      </c>
      <c r="C148" s="163">
        <v>58300.000000006665</v>
      </c>
    </row>
    <row r="149" spans="1:3">
      <c r="A149" s="88" t="s">
        <v>3893</v>
      </c>
      <c r="B149" s="277">
        <v>59333.333333324998</v>
      </c>
      <c r="C149" s="277">
        <v>0</v>
      </c>
    </row>
    <row r="150" spans="1:3">
      <c r="A150" s="88" t="s">
        <v>3894</v>
      </c>
      <c r="B150" s="277">
        <v>0</v>
      </c>
      <c r="C150" s="277">
        <v>0</v>
      </c>
    </row>
    <row r="151" spans="1:3">
      <c r="A151" s="88" t="s">
        <v>3870</v>
      </c>
      <c r="B151" s="277">
        <v>0</v>
      </c>
      <c r="C151" s="277">
        <v>90000</v>
      </c>
    </row>
    <row r="152" spans="1:3">
      <c r="A152" s="88" t="s">
        <v>3870</v>
      </c>
      <c r="B152" s="277">
        <v>41250</v>
      </c>
      <c r="C152" s="277">
        <v>63916.666666674995</v>
      </c>
    </row>
    <row r="153" spans="1:3">
      <c r="A153" s="154" t="s">
        <v>3850</v>
      </c>
      <c r="B153" s="163">
        <v>47125</v>
      </c>
      <c r="C153" s="163">
        <v>67007.8125</v>
      </c>
    </row>
    <row r="154" spans="1:3">
      <c r="A154" s="88" t="s">
        <v>4039</v>
      </c>
      <c r="B154" s="277">
        <v>48083.333333324998</v>
      </c>
      <c r="C154" s="277">
        <v>64333.333333324998</v>
      </c>
    </row>
    <row r="155" spans="1:3">
      <c r="A155" s="88" t="s">
        <v>4029</v>
      </c>
      <c r="B155" s="277">
        <v>60416.666666675002</v>
      </c>
      <c r="C155" s="277">
        <v>0</v>
      </c>
    </row>
    <row r="156" spans="1:3">
      <c r="A156" s="88" t="s">
        <v>4010</v>
      </c>
      <c r="B156" s="277">
        <v>40000</v>
      </c>
      <c r="C156" s="277">
        <v>60000</v>
      </c>
    </row>
    <row r="157" spans="1:3">
      <c r="A157" s="88" t="s">
        <v>3881</v>
      </c>
      <c r="B157" s="277">
        <v>32500.000000025</v>
      </c>
      <c r="C157" s="277">
        <v>35916.666666675002</v>
      </c>
    </row>
    <row r="158" spans="1:3">
      <c r="A158" s="88" t="s">
        <v>3895</v>
      </c>
      <c r="B158" s="277">
        <v>0</v>
      </c>
      <c r="C158" s="277">
        <v>0</v>
      </c>
    </row>
    <row r="159" spans="1:3">
      <c r="A159" s="88" t="s">
        <v>3912</v>
      </c>
      <c r="B159" s="277">
        <v>51000</v>
      </c>
      <c r="C159" s="277">
        <v>61000</v>
      </c>
    </row>
    <row r="160" spans="1:3">
      <c r="A160" s="88" t="s">
        <v>4030</v>
      </c>
      <c r="B160" s="277">
        <v>0</v>
      </c>
      <c r="C160" s="277">
        <v>60000</v>
      </c>
    </row>
    <row r="161" spans="1:3">
      <c r="A161" s="88" t="s">
        <v>3896</v>
      </c>
      <c r="B161" s="277">
        <v>56083.333333350005</v>
      </c>
      <c r="C161" s="277">
        <v>70333.333333325005</v>
      </c>
    </row>
    <row r="162" spans="1:3">
      <c r="A162" s="88" t="s">
        <v>3931</v>
      </c>
      <c r="B162" s="277">
        <v>42222.222222233337</v>
      </c>
      <c r="C162" s="277">
        <v>60416.666666675002</v>
      </c>
    </row>
    <row r="163" spans="1:3">
      <c r="A163" s="88" t="s">
        <v>3957</v>
      </c>
      <c r="B163" s="277">
        <v>0</v>
      </c>
      <c r="C163" s="277">
        <v>67500</v>
      </c>
    </row>
    <row r="164" spans="1:3">
      <c r="A164" s="88" t="s">
        <v>4011</v>
      </c>
      <c r="B164" s="277">
        <v>49708.333333324998</v>
      </c>
      <c r="C164" s="277">
        <v>69500</v>
      </c>
    </row>
    <row r="165" spans="1:3">
      <c r="A165" s="88" t="s">
        <v>3988</v>
      </c>
      <c r="B165" s="277">
        <v>40000</v>
      </c>
      <c r="C165" s="277">
        <v>55000</v>
      </c>
    </row>
    <row r="166" spans="1:3">
      <c r="A166" s="88" t="s">
        <v>3897</v>
      </c>
      <c r="B166" s="277">
        <v>50416.666666675002</v>
      </c>
      <c r="C166" s="277">
        <v>61250.000000025007</v>
      </c>
    </row>
    <row r="167" spans="1:3">
      <c r="A167" s="88" t="s">
        <v>3871</v>
      </c>
      <c r="B167" s="277">
        <v>0</v>
      </c>
      <c r="C167" s="277">
        <v>80000</v>
      </c>
    </row>
    <row r="168" spans="1:3">
      <c r="A168" s="88" t="s">
        <v>4031</v>
      </c>
      <c r="B168" s="277">
        <v>60416.666666675002</v>
      </c>
      <c r="C168" s="277">
        <v>73333.333333325005</v>
      </c>
    </row>
    <row r="169" spans="1:3">
      <c r="A169" s="88" t="s">
        <v>4012</v>
      </c>
      <c r="B169" s="277">
        <v>40000</v>
      </c>
      <c r="C169" s="277">
        <v>67500</v>
      </c>
    </row>
    <row r="170" spans="1:3">
      <c r="A170" s="88" t="s">
        <v>3872</v>
      </c>
      <c r="B170" s="277">
        <v>0</v>
      </c>
      <c r="C170" s="277">
        <v>70000</v>
      </c>
    </row>
    <row r="171" spans="1:3">
      <c r="A171" s="88" t="s">
        <v>3873</v>
      </c>
      <c r="B171" s="277">
        <v>0</v>
      </c>
      <c r="C171" s="277">
        <v>60000</v>
      </c>
    </row>
    <row r="172" spans="1:3">
      <c r="A172" s="88" t="s">
        <v>4001</v>
      </c>
      <c r="B172" s="277">
        <v>46250</v>
      </c>
      <c r="C172" s="277">
        <v>64281.25</v>
      </c>
    </row>
    <row r="173" spans="1:3">
      <c r="A173" s="88" t="s">
        <v>3874</v>
      </c>
      <c r="B173" s="277">
        <v>0</v>
      </c>
      <c r="C173" s="277">
        <v>80000</v>
      </c>
    </row>
    <row r="174" spans="1:3">
      <c r="A174" s="154" t="s">
        <v>3851</v>
      </c>
      <c r="B174" s="163">
        <v>42346.666666666002</v>
      </c>
      <c r="C174" s="163">
        <v>62106.666666668003</v>
      </c>
    </row>
    <row r="175" spans="1:3">
      <c r="A175" s="88" t="s">
        <v>3927</v>
      </c>
      <c r="B175" s="277">
        <v>0</v>
      </c>
      <c r="C175" s="277">
        <v>0</v>
      </c>
    </row>
    <row r="176" spans="1:3">
      <c r="A176" s="88" t="s">
        <v>4002</v>
      </c>
      <c r="B176" s="277">
        <v>42500</v>
      </c>
      <c r="C176" s="277">
        <v>63500</v>
      </c>
    </row>
    <row r="177" spans="1:3">
      <c r="A177" s="88" t="s">
        <v>3879</v>
      </c>
      <c r="B177" s="277">
        <v>49583.333333324998</v>
      </c>
      <c r="C177" s="277">
        <v>69583.333333325005</v>
      </c>
    </row>
    <row r="178" spans="1:3">
      <c r="A178" s="88" t="s">
        <v>4040</v>
      </c>
      <c r="B178" s="277">
        <v>0</v>
      </c>
      <c r="C178" s="277">
        <v>56333.333333333336</v>
      </c>
    </row>
    <row r="179" spans="1:3">
      <c r="A179" s="88" t="s">
        <v>3958</v>
      </c>
      <c r="B179" s="277">
        <v>0</v>
      </c>
      <c r="C179" s="277">
        <v>70000</v>
      </c>
    </row>
    <row r="180" spans="1:3">
      <c r="A180" s="88" t="s">
        <v>3990</v>
      </c>
      <c r="B180" s="277">
        <v>0</v>
      </c>
      <c r="C180" s="277">
        <v>43750</v>
      </c>
    </row>
    <row r="181" spans="1:3">
      <c r="A181" s="88" t="s">
        <v>3989</v>
      </c>
      <c r="B181" s="277">
        <v>50000</v>
      </c>
      <c r="C181" s="277">
        <v>65000</v>
      </c>
    </row>
    <row r="182" spans="1:3">
      <c r="A182" s="88" t="s">
        <v>3959</v>
      </c>
      <c r="B182" s="277">
        <v>0</v>
      </c>
      <c r="C182" s="277">
        <v>0</v>
      </c>
    </row>
    <row r="183" spans="1:3">
      <c r="A183" s="88" t="s">
        <v>4018</v>
      </c>
      <c r="B183" s="277">
        <v>34000</v>
      </c>
      <c r="C183" s="277">
        <v>40000</v>
      </c>
    </row>
    <row r="184" spans="1:3">
      <c r="A184" s="88" t="s">
        <v>4013</v>
      </c>
      <c r="B184" s="277">
        <v>45833.333333333336</v>
      </c>
      <c r="C184" s="277">
        <v>59666.666666666664</v>
      </c>
    </row>
    <row r="185" spans="1:3">
      <c r="A185" s="88" t="s">
        <v>3898</v>
      </c>
      <c r="B185" s="277">
        <v>69166.666666674995</v>
      </c>
      <c r="C185" s="277">
        <v>73333.333333325005</v>
      </c>
    </row>
    <row r="186" spans="1:3">
      <c r="A186" s="88" t="s">
        <v>3875</v>
      </c>
      <c r="B186" s="277">
        <v>0</v>
      </c>
      <c r="C186" s="277">
        <v>69750</v>
      </c>
    </row>
    <row r="187" spans="1:3">
      <c r="A187" s="88" t="s">
        <v>3899</v>
      </c>
      <c r="B187" s="277">
        <v>0</v>
      </c>
      <c r="C187" s="277">
        <v>0</v>
      </c>
    </row>
    <row r="188" spans="1:3">
      <c r="A188" s="88" t="s">
        <v>4014</v>
      </c>
      <c r="B188" s="277">
        <v>0</v>
      </c>
      <c r="C188" s="277">
        <v>0</v>
      </c>
    </row>
    <row r="189" spans="1:3">
      <c r="A189" s="88" t="s">
        <v>3960</v>
      </c>
      <c r="B189" s="277">
        <v>67500</v>
      </c>
      <c r="C189" s="277">
        <v>78750</v>
      </c>
    </row>
    <row r="190" spans="1:3">
      <c r="A190" s="154" t="s">
        <v>3852</v>
      </c>
      <c r="B190" s="163">
        <v>35333.333333333336</v>
      </c>
      <c r="C190" s="163">
        <v>40277.777777774994</v>
      </c>
    </row>
    <row r="191" spans="1:3">
      <c r="A191" s="88" t="s">
        <v>3900</v>
      </c>
      <c r="B191" s="277">
        <v>53750</v>
      </c>
      <c r="C191" s="277">
        <v>63750</v>
      </c>
    </row>
    <row r="192" spans="1:3">
      <c r="A192" s="88" t="s">
        <v>3961</v>
      </c>
      <c r="B192" s="277">
        <v>0</v>
      </c>
      <c r="C192" s="277">
        <v>0</v>
      </c>
    </row>
    <row r="193" spans="1:3">
      <c r="A193" s="88" t="s">
        <v>3880</v>
      </c>
      <c r="B193" s="277">
        <v>48333.333333324998</v>
      </c>
      <c r="C193" s="277">
        <v>71250</v>
      </c>
    </row>
    <row r="194" spans="1:3">
      <c r="A194" s="88" t="s">
        <v>3920</v>
      </c>
      <c r="B194" s="277">
        <v>56875</v>
      </c>
      <c r="C194" s="277">
        <v>65625</v>
      </c>
    </row>
    <row r="195" spans="1:3">
      <c r="A195" s="88" t="s">
        <v>3962</v>
      </c>
      <c r="B195" s="277">
        <v>0</v>
      </c>
      <c r="C195" s="277">
        <v>70000</v>
      </c>
    </row>
    <row r="196" spans="1:3">
      <c r="A196" s="88" t="s">
        <v>3901</v>
      </c>
      <c r="B196" s="277">
        <v>50750</v>
      </c>
      <c r="C196" s="277">
        <v>61500</v>
      </c>
    </row>
    <row r="197" spans="1:3">
      <c r="A197" s="88" t="s">
        <v>3902</v>
      </c>
      <c r="B197" s="277">
        <v>51250</v>
      </c>
      <c r="C197" s="277">
        <v>57083.333333324998</v>
      </c>
    </row>
    <row r="198" spans="1:3">
      <c r="A198" s="88" t="s">
        <v>3903</v>
      </c>
      <c r="B198" s="277">
        <v>60000</v>
      </c>
      <c r="C198" s="277">
        <v>71666.666666699995</v>
      </c>
    </row>
    <row r="199" spans="1:3">
      <c r="A199" s="154" t="s">
        <v>3853</v>
      </c>
      <c r="B199" s="163">
        <v>56614.583333337505</v>
      </c>
      <c r="C199" s="163">
        <v>67437.5</v>
      </c>
    </row>
    <row r="200" spans="1:3">
      <c r="A200" s="88" t="s">
        <v>3921</v>
      </c>
      <c r="B200" s="277">
        <v>47500</v>
      </c>
      <c r="C200" s="277">
        <v>60000</v>
      </c>
    </row>
    <row r="201" spans="1:3">
      <c r="A201" s="88" t="s">
        <v>4041</v>
      </c>
      <c r="B201" s="277">
        <v>0</v>
      </c>
      <c r="C201" s="277">
        <v>55000</v>
      </c>
    </row>
    <row r="202" spans="1:3">
      <c r="A202" s="88" t="s">
        <v>4042</v>
      </c>
      <c r="B202" s="277">
        <v>0</v>
      </c>
      <c r="C202" s="277">
        <v>55000</v>
      </c>
    </row>
    <row r="203" spans="1:3">
      <c r="A203" s="88" t="s">
        <v>3904</v>
      </c>
      <c r="B203" s="277">
        <v>70166.666666674995</v>
      </c>
      <c r="C203" s="277">
        <v>0</v>
      </c>
    </row>
    <row r="204" spans="1:3">
      <c r="A204" s="88" t="s">
        <v>3982</v>
      </c>
      <c r="B204" s="277">
        <v>35416.666666649995</v>
      </c>
      <c r="C204" s="277">
        <v>0</v>
      </c>
    </row>
    <row r="205" spans="1:3">
      <c r="A205" s="88" t="s">
        <v>3905</v>
      </c>
      <c r="B205" s="277">
        <v>70000</v>
      </c>
      <c r="C205" s="277">
        <v>80000</v>
      </c>
    </row>
    <row r="206" spans="1:3">
      <c r="A206" s="154" t="s">
        <v>3854</v>
      </c>
      <c r="B206" s="163">
        <v>42694.444444441666</v>
      </c>
      <c r="C206" s="163">
        <v>57760</v>
      </c>
    </row>
    <row r="207" spans="1:3">
      <c r="A207" s="88" t="s">
        <v>3932</v>
      </c>
      <c r="B207" s="277">
        <v>30000</v>
      </c>
      <c r="C207" s="277">
        <v>40000</v>
      </c>
    </row>
    <row r="208" spans="1:3">
      <c r="A208" s="88" t="s">
        <v>4015</v>
      </c>
      <c r="B208" s="277">
        <v>50000</v>
      </c>
      <c r="C208" s="277">
        <v>60000</v>
      </c>
    </row>
    <row r="209" spans="1:3">
      <c r="A209" s="88" t="s">
        <v>3906</v>
      </c>
      <c r="B209" s="277">
        <v>80000</v>
      </c>
      <c r="C209" s="277">
        <v>90000</v>
      </c>
    </row>
    <row r="210" spans="1:3">
      <c r="A210" s="88" t="s">
        <v>3963</v>
      </c>
      <c r="B210" s="277">
        <v>70000</v>
      </c>
      <c r="C210" s="277">
        <v>75000</v>
      </c>
    </row>
    <row r="211" spans="1:3">
      <c r="A211" s="88" t="s">
        <v>3922</v>
      </c>
      <c r="B211" s="277">
        <v>50000</v>
      </c>
      <c r="C211" s="277">
        <v>62500</v>
      </c>
    </row>
    <row r="212" spans="1:3">
      <c r="A212" s="88" t="s">
        <v>3964</v>
      </c>
      <c r="B212" s="277">
        <v>80833.333333325005</v>
      </c>
      <c r="C212" s="277">
        <v>99166.666666674995</v>
      </c>
    </row>
    <row r="213" spans="1:3">
      <c r="A213" s="88" t="s">
        <v>3975</v>
      </c>
      <c r="B213" s="277">
        <v>39833.333333324998</v>
      </c>
      <c r="C213" s="277">
        <v>55000</v>
      </c>
    </row>
    <row r="214" spans="1:3">
      <c r="A214" s="88" t="s">
        <v>3965</v>
      </c>
      <c r="B214" s="277">
        <v>60000</v>
      </c>
      <c r="C214" s="277">
        <v>78888.88888886667</v>
      </c>
    </row>
    <row r="215" spans="1:3">
      <c r="A215" s="88" t="s">
        <v>3913</v>
      </c>
      <c r="B215" s="277">
        <v>55000</v>
      </c>
      <c r="C215" s="277">
        <v>65000</v>
      </c>
    </row>
    <row r="216" spans="1:3">
      <c r="A216" s="88" t="s">
        <v>3876</v>
      </c>
      <c r="B216" s="277">
        <v>0</v>
      </c>
      <c r="C216" s="277">
        <v>70000</v>
      </c>
    </row>
    <row r="217" spans="1:3">
      <c r="A217" s="88" t="s">
        <v>3923</v>
      </c>
      <c r="B217" s="277">
        <v>58750</v>
      </c>
      <c r="C217" s="277">
        <v>72500</v>
      </c>
    </row>
    <row r="218" spans="1:3">
      <c r="A218" s="88" t="s">
        <v>4043</v>
      </c>
      <c r="B218" s="277">
        <v>0</v>
      </c>
      <c r="C218" s="277">
        <v>56833.333333350005</v>
      </c>
    </row>
    <row r="219" spans="1:3">
      <c r="A219" s="88" t="s">
        <v>3966</v>
      </c>
      <c r="B219" s="277">
        <v>70000</v>
      </c>
      <c r="C219" s="277">
        <v>75000</v>
      </c>
    </row>
    <row r="220" spans="1:3">
      <c r="A220" s="644" t="s">
        <v>4448</v>
      </c>
      <c r="B220" s="645">
        <v>0</v>
      </c>
      <c r="C220" s="645">
        <v>78000</v>
      </c>
    </row>
    <row r="221" spans="1:3">
      <c r="A221" s="644" t="s">
        <v>4075</v>
      </c>
      <c r="B221" s="645">
        <v>0</v>
      </c>
      <c r="C221" s="645">
        <v>78000</v>
      </c>
    </row>
    <row r="222" spans="1:3">
      <c r="A222" s="644" t="s">
        <v>4449</v>
      </c>
      <c r="B222" s="645">
        <v>0</v>
      </c>
      <c r="C222" s="645">
        <v>78000</v>
      </c>
    </row>
    <row r="223" spans="1:3">
      <c r="A223" s="644" t="s">
        <v>4450</v>
      </c>
      <c r="B223" s="645">
        <v>0</v>
      </c>
      <c r="C223" s="645">
        <v>78000</v>
      </c>
    </row>
    <row r="224" spans="1:3">
      <c r="A224" s="644" t="s">
        <v>4451</v>
      </c>
      <c r="B224" s="645">
        <v>0</v>
      </c>
      <c r="C224" s="645">
        <v>78000</v>
      </c>
    </row>
    <row r="225" spans="1:3">
      <c r="A225" s="644" t="s">
        <v>4452</v>
      </c>
      <c r="B225" s="645">
        <v>0</v>
      </c>
      <c r="C225" s="645">
        <v>78000</v>
      </c>
    </row>
    <row r="226" spans="1:3">
      <c r="A226" s="644" t="s">
        <v>4453</v>
      </c>
      <c r="B226" s="645">
        <v>0</v>
      </c>
      <c r="C226" s="645">
        <v>78000</v>
      </c>
    </row>
    <row r="227" spans="1:3">
      <c r="A227" s="644" t="s">
        <v>4454</v>
      </c>
      <c r="B227" s="645">
        <v>0</v>
      </c>
      <c r="C227" s="645">
        <v>78000</v>
      </c>
    </row>
  </sheetData>
  <sortState xmlns:xlrd2="http://schemas.microsoft.com/office/spreadsheetml/2017/richdata2" ref="A2:C219">
    <sortCondition ref="A2:A219"/>
  </sortState>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0553B-16A8-4C97-ACCA-477E2EC23D15}">
  <sheetPr codeName="Hoja20"/>
  <dimension ref="A1:K17"/>
  <sheetViews>
    <sheetView showGridLines="0" tabSelected="1" zoomScale="82" workbookViewId="0">
      <pane ySplit="1" topLeftCell="A2" activePane="bottomLeft" state="frozen"/>
      <selection pane="bottomLeft" activeCell="G2" sqref="G2:G17"/>
    </sheetView>
    <sheetView workbookViewId="1"/>
  </sheetViews>
  <sheetFormatPr baseColWidth="10" defaultColWidth="28.125" defaultRowHeight="14.25"/>
  <cols>
    <col min="1" max="1" width="35" style="49" customWidth="1"/>
    <col min="3" max="3" width="31.5" customWidth="1"/>
    <col min="4" max="4" width="36.125" customWidth="1"/>
    <col min="5" max="5" width="34.375" customWidth="1"/>
    <col min="6" max="6" width="28.375" customWidth="1"/>
    <col min="7" max="7" width="28.125" customWidth="1"/>
  </cols>
  <sheetData>
    <row r="1" spans="1:11" ht="21.95" customHeight="1">
      <c r="A1" s="367" t="s">
        <v>72</v>
      </c>
      <c r="B1" s="305" t="s">
        <v>4602</v>
      </c>
      <c r="C1" s="305" t="s">
        <v>4369</v>
      </c>
      <c r="D1" s="305" t="s">
        <v>4370</v>
      </c>
      <c r="E1" s="305" t="s">
        <v>4371</v>
      </c>
      <c r="F1" s="305" t="s">
        <v>4437</v>
      </c>
      <c r="G1" s="305" t="s">
        <v>4436</v>
      </c>
      <c r="H1" s="305" t="s">
        <v>4438</v>
      </c>
      <c r="I1" s="368" t="s">
        <v>4439</v>
      </c>
      <c r="J1" s="241"/>
      <c r="K1" s="369" t="s">
        <v>45</v>
      </c>
    </row>
    <row r="2" spans="1:11" ht="72">
      <c r="A2" s="355" t="s">
        <v>4054</v>
      </c>
      <c r="B2" s="356" t="s">
        <v>4372</v>
      </c>
      <c r="C2" s="356" t="s">
        <v>4373</v>
      </c>
      <c r="D2" s="357" t="s">
        <v>4374</v>
      </c>
      <c r="E2" s="358" t="s">
        <v>4572</v>
      </c>
      <c r="F2" s="274">
        <f>VALUE(TRIM(LEFT(C2,SEARCH("-",C2)-1)))</f>
        <v>1200</v>
      </c>
      <c r="G2" s="356">
        <f t="shared" ref="G2:G17" si="0">VALUE(TRIM(RIGHT(C2,LEN(C2)-SEARCH("-",C2))))</f>
        <v>1600</v>
      </c>
      <c r="H2" s="359" t="str">
        <f t="shared" ref="H2:H17" si="1">IF(AND($K$2&gt;=VALUE(SUBSTITUTE(TRIM(LEFT(C2,FIND("-",C2)-1)),".","")),$K$2&lt;=VALUE(SUBSTITUTE(TRIM(RIGHT(C2,LEN(C2)-FIND("-",C2))),".",""))),"Aplica","")</f>
        <v>Aplica</v>
      </c>
      <c r="I2" s="360">
        <f t="shared" ref="I2:I17" si="2">IF(H2="Aplica",$K$2/G2,"")</f>
        <v>0.75</v>
      </c>
      <c r="J2" s="197"/>
      <c r="K2" s="274">
        <f>Formulario!F23</f>
        <v>1200</v>
      </c>
    </row>
    <row r="3" spans="1:11" ht="72">
      <c r="A3" s="355" t="s">
        <v>3768</v>
      </c>
      <c r="B3" s="356" t="s">
        <v>4375</v>
      </c>
      <c r="C3" s="356" t="s">
        <v>3752</v>
      </c>
      <c r="D3" s="357" t="s">
        <v>4376</v>
      </c>
      <c r="E3" s="358" t="s">
        <v>4377</v>
      </c>
      <c r="F3" s="274">
        <f t="shared" ref="F3:F17" si="3">VALUE(TRIM(LEFT(C3,SEARCH("-",C3)-1)))</f>
        <v>1500</v>
      </c>
      <c r="G3" s="356">
        <f t="shared" si="0"/>
        <v>2500</v>
      </c>
      <c r="H3" s="359" t="str">
        <f t="shared" si="1"/>
        <v/>
      </c>
      <c r="I3" s="360" t="str">
        <f t="shared" si="2"/>
        <v/>
      </c>
      <c r="J3" s="197"/>
      <c r="K3" s="197"/>
    </row>
    <row r="4" spans="1:11" ht="72">
      <c r="A4" s="355" t="s">
        <v>3769</v>
      </c>
      <c r="B4" s="356" t="s">
        <v>4378</v>
      </c>
      <c r="C4" s="356" t="s">
        <v>4379</v>
      </c>
      <c r="D4" s="357" t="s">
        <v>4380</v>
      </c>
      <c r="E4" s="358" t="s">
        <v>4381</v>
      </c>
      <c r="F4" s="274">
        <f t="shared" si="3"/>
        <v>1500</v>
      </c>
      <c r="G4" s="356">
        <f t="shared" si="0"/>
        <v>2000</v>
      </c>
      <c r="H4" s="359" t="str">
        <f t="shared" si="1"/>
        <v/>
      </c>
      <c r="I4" s="360" t="str">
        <f t="shared" si="2"/>
        <v/>
      </c>
      <c r="J4" s="197"/>
      <c r="K4" s="197"/>
    </row>
    <row r="5" spans="1:11" ht="43.5">
      <c r="A5" s="361" t="s">
        <v>4057</v>
      </c>
      <c r="B5" s="356" t="s">
        <v>4382</v>
      </c>
      <c r="C5" s="356" t="s">
        <v>4383</v>
      </c>
      <c r="D5" s="357" t="s">
        <v>4384</v>
      </c>
      <c r="E5" s="358" t="s">
        <v>4385</v>
      </c>
      <c r="F5" s="274">
        <f t="shared" si="3"/>
        <v>1200</v>
      </c>
      <c r="G5" s="356">
        <f t="shared" si="0"/>
        <v>1500</v>
      </c>
      <c r="H5" s="359" t="str">
        <f t="shared" si="1"/>
        <v>Aplica</v>
      </c>
      <c r="I5" s="360">
        <f t="shared" si="2"/>
        <v>0.8</v>
      </c>
      <c r="J5" s="197"/>
      <c r="K5" s="197"/>
    </row>
    <row r="6" spans="1:11" ht="60">
      <c r="A6" s="361" t="s">
        <v>4059</v>
      </c>
      <c r="B6" s="356" t="s">
        <v>4386</v>
      </c>
      <c r="C6" s="356" t="s">
        <v>4386</v>
      </c>
      <c r="D6" s="357" t="s">
        <v>4387</v>
      </c>
      <c r="E6" s="358" t="s">
        <v>4388</v>
      </c>
      <c r="F6" s="274">
        <f t="shared" si="3"/>
        <v>1200</v>
      </c>
      <c r="G6" s="356">
        <f t="shared" si="0"/>
        <v>1700</v>
      </c>
      <c r="H6" s="359" t="str">
        <f t="shared" si="1"/>
        <v>Aplica</v>
      </c>
      <c r="I6" s="360">
        <f t="shared" si="2"/>
        <v>0.70588235294117652</v>
      </c>
      <c r="J6" s="197"/>
      <c r="K6" s="197"/>
    </row>
    <row r="7" spans="1:11" ht="45">
      <c r="A7" s="361" t="s">
        <v>4061</v>
      </c>
      <c r="B7" s="356" t="s">
        <v>4389</v>
      </c>
      <c r="C7" s="356" t="s">
        <v>4383</v>
      </c>
      <c r="D7" s="357" t="s">
        <v>4390</v>
      </c>
      <c r="E7" s="358" t="s">
        <v>4391</v>
      </c>
      <c r="F7" s="274">
        <f t="shared" si="3"/>
        <v>1200</v>
      </c>
      <c r="G7" s="356">
        <f t="shared" si="0"/>
        <v>1500</v>
      </c>
      <c r="H7" s="359" t="str">
        <f t="shared" si="1"/>
        <v>Aplica</v>
      </c>
      <c r="I7" s="360">
        <f t="shared" si="2"/>
        <v>0.8</v>
      </c>
      <c r="J7" s="197"/>
      <c r="K7" s="197"/>
    </row>
    <row r="8" spans="1:11" ht="87">
      <c r="A8" s="361" t="s">
        <v>3772</v>
      </c>
      <c r="B8" s="356" t="s">
        <v>4392</v>
      </c>
      <c r="C8" s="356" t="s">
        <v>3746</v>
      </c>
      <c r="D8" s="357" t="s">
        <v>4393</v>
      </c>
      <c r="E8" s="358" t="s">
        <v>4394</v>
      </c>
      <c r="F8" s="274">
        <f t="shared" si="3"/>
        <v>1000</v>
      </c>
      <c r="G8" s="356">
        <f t="shared" si="0"/>
        <v>1500</v>
      </c>
      <c r="H8" s="359" t="str">
        <f t="shared" si="1"/>
        <v>Aplica</v>
      </c>
      <c r="I8" s="360">
        <f t="shared" si="2"/>
        <v>0.8</v>
      </c>
      <c r="J8" s="197"/>
      <c r="K8" s="197"/>
    </row>
    <row r="9" spans="1:11" ht="43.5">
      <c r="A9" s="361" t="s">
        <v>3773</v>
      </c>
      <c r="B9" s="356" t="s">
        <v>4395</v>
      </c>
      <c r="C9" s="356" t="s">
        <v>4396</v>
      </c>
      <c r="D9" s="357" t="s">
        <v>4397</v>
      </c>
      <c r="E9" s="358" t="s">
        <v>4398</v>
      </c>
      <c r="F9" s="274">
        <f t="shared" si="3"/>
        <v>1000</v>
      </c>
      <c r="G9" s="356">
        <f t="shared" si="0"/>
        <v>1200</v>
      </c>
      <c r="H9" s="359" t="str">
        <f t="shared" si="1"/>
        <v>Aplica</v>
      </c>
      <c r="I9" s="360">
        <f t="shared" si="2"/>
        <v>1</v>
      </c>
      <c r="J9" s="197"/>
      <c r="K9" s="197"/>
    </row>
    <row r="10" spans="1:11" ht="45">
      <c r="A10" s="361" t="s">
        <v>3771</v>
      </c>
      <c r="B10" s="356" t="s">
        <v>4399</v>
      </c>
      <c r="C10" s="356" t="s">
        <v>3746</v>
      </c>
      <c r="D10" s="357" t="s">
        <v>4400</v>
      </c>
      <c r="E10" s="358" t="s">
        <v>4401</v>
      </c>
      <c r="F10" s="274">
        <f t="shared" si="3"/>
        <v>1000</v>
      </c>
      <c r="G10" s="356">
        <f t="shared" si="0"/>
        <v>1500</v>
      </c>
      <c r="H10" s="359" t="str">
        <f t="shared" si="1"/>
        <v>Aplica</v>
      </c>
      <c r="I10" s="360">
        <f t="shared" si="2"/>
        <v>0.8</v>
      </c>
      <c r="J10" s="197"/>
      <c r="K10" s="197"/>
    </row>
    <row r="11" spans="1:11" ht="87.75">
      <c r="A11" s="361" t="s">
        <v>3775</v>
      </c>
      <c r="B11" s="356" t="s">
        <v>3746</v>
      </c>
      <c r="C11" s="356" t="s">
        <v>3746</v>
      </c>
      <c r="D11" s="362" t="s">
        <v>4402</v>
      </c>
      <c r="E11" s="358" t="s">
        <v>4403</v>
      </c>
      <c r="F11" s="274">
        <f t="shared" si="3"/>
        <v>1000</v>
      </c>
      <c r="G11" s="356">
        <f t="shared" si="0"/>
        <v>1500</v>
      </c>
      <c r="H11" s="359" t="str">
        <f t="shared" si="1"/>
        <v>Aplica</v>
      </c>
      <c r="I11" s="360">
        <f t="shared" si="2"/>
        <v>0.8</v>
      </c>
      <c r="J11" s="197"/>
      <c r="K11" s="197"/>
    </row>
    <row r="12" spans="1:11" ht="57.75">
      <c r="A12" s="355" t="s">
        <v>3776</v>
      </c>
      <c r="B12" s="356" t="s">
        <v>4404</v>
      </c>
      <c r="C12" s="356" t="s">
        <v>3746</v>
      </c>
      <c r="D12" s="357" t="s">
        <v>4405</v>
      </c>
      <c r="E12" s="358" t="s">
        <v>4403</v>
      </c>
      <c r="F12" s="274">
        <f t="shared" si="3"/>
        <v>1000</v>
      </c>
      <c r="G12" s="356">
        <f t="shared" si="0"/>
        <v>1500</v>
      </c>
      <c r="H12" s="359" t="str">
        <f t="shared" si="1"/>
        <v>Aplica</v>
      </c>
      <c r="I12" s="360">
        <f t="shared" si="2"/>
        <v>0.8</v>
      </c>
      <c r="J12" s="197"/>
      <c r="K12" s="197"/>
    </row>
    <row r="13" spans="1:11" ht="60">
      <c r="A13" s="355" t="s">
        <v>4064</v>
      </c>
      <c r="B13" s="356" t="s">
        <v>3746</v>
      </c>
      <c r="C13" s="356" t="s">
        <v>3746</v>
      </c>
      <c r="D13" s="357" t="s">
        <v>4406</v>
      </c>
      <c r="E13" s="358" t="s">
        <v>4407</v>
      </c>
      <c r="F13" s="274">
        <f t="shared" si="3"/>
        <v>1000</v>
      </c>
      <c r="G13" s="356">
        <f t="shared" si="0"/>
        <v>1500</v>
      </c>
      <c r="H13" s="359" t="str">
        <f t="shared" si="1"/>
        <v>Aplica</v>
      </c>
      <c r="I13" s="360">
        <f t="shared" si="2"/>
        <v>0.8</v>
      </c>
      <c r="J13" s="197"/>
      <c r="K13" s="197"/>
    </row>
    <row r="14" spans="1:11" ht="72">
      <c r="A14" s="355" t="s">
        <v>4065</v>
      </c>
      <c r="B14" s="356" t="s">
        <v>4392</v>
      </c>
      <c r="C14" s="356" t="s">
        <v>3746</v>
      </c>
      <c r="D14" s="357" t="s">
        <v>4408</v>
      </c>
      <c r="E14" s="358" t="s">
        <v>4409</v>
      </c>
      <c r="F14" s="274">
        <f t="shared" si="3"/>
        <v>1000</v>
      </c>
      <c r="G14" s="356">
        <f t="shared" si="0"/>
        <v>1500</v>
      </c>
      <c r="H14" s="359" t="str">
        <f t="shared" si="1"/>
        <v>Aplica</v>
      </c>
      <c r="I14" s="360">
        <f t="shared" si="2"/>
        <v>0.8</v>
      </c>
      <c r="J14" s="197"/>
      <c r="K14" s="197"/>
    </row>
    <row r="15" spans="1:11" ht="72">
      <c r="A15" s="355" t="s">
        <v>4606</v>
      </c>
      <c r="B15" s="356" t="s">
        <v>4410</v>
      </c>
      <c r="C15" s="356" t="s">
        <v>4411</v>
      </c>
      <c r="D15" s="357" t="s">
        <v>4412</v>
      </c>
      <c r="E15" s="358" t="s">
        <v>4413</v>
      </c>
      <c r="F15" s="274">
        <f t="shared" si="3"/>
        <v>1800</v>
      </c>
      <c r="G15" s="356">
        <f t="shared" si="0"/>
        <v>2500</v>
      </c>
      <c r="H15" s="359" t="str">
        <f t="shared" si="1"/>
        <v/>
      </c>
      <c r="I15" s="360" t="str">
        <f t="shared" si="2"/>
        <v/>
      </c>
      <c r="J15" s="197"/>
      <c r="K15" s="197"/>
    </row>
    <row r="16" spans="1:11" ht="45">
      <c r="A16" s="355" t="s">
        <v>4605</v>
      </c>
      <c r="B16" s="356" t="s">
        <v>4410</v>
      </c>
      <c r="C16" s="356" t="s">
        <v>4414</v>
      </c>
      <c r="D16" s="357" t="s">
        <v>4415</v>
      </c>
      <c r="E16" s="358" t="s">
        <v>4416</v>
      </c>
      <c r="F16" s="274">
        <f t="shared" si="3"/>
        <v>2000</v>
      </c>
      <c r="G16" s="356">
        <f t="shared" si="0"/>
        <v>2500</v>
      </c>
      <c r="H16" s="359" t="str">
        <f t="shared" si="1"/>
        <v/>
      </c>
      <c r="I16" s="360" t="str">
        <f t="shared" si="2"/>
        <v/>
      </c>
      <c r="J16" s="197"/>
      <c r="K16" s="197"/>
    </row>
    <row r="17" spans="1:11" ht="57.75">
      <c r="A17" s="355" t="s">
        <v>3779</v>
      </c>
      <c r="B17" s="363" t="s">
        <v>3746</v>
      </c>
      <c r="C17" s="363" t="s">
        <v>4379</v>
      </c>
      <c r="D17" s="364" t="s">
        <v>4417</v>
      </c>
      <c r="E17" s="365" t="s">
        <v>4418</v>
      </c>
      <c r="F17" s="366">
        <f t="shared" si="3"/>
        <v>1500</v>
      </c>
      <c r="G17" s="363">
        <f t="shared" si="0"/>
        <v>2000</v>
      </c>
      <c r="H17" s="359" t="str">
        <f t="shared" si="1"/>
        <v/>
      </c>
      <c r="I17" s="360" t="str">
        <f t="shared" si="2"/>
        <v/>
      </c>
      <c r="J17" s="197"/>
      <c r="K17" s="197"/>
    </row>
  </sheetData>
  <phoneticPr fontId="12" type="noConversion"/>
  <pageMargins left="0.7" right="0.7" top="0.75" bottom="0.75" header="0.3" footer="0.3"/>
  <ignoredErrors>
    <ignoredError sqref="H3:H17" calculatedColumn="1"/>
  </ignoredErrors>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F163114-959D-4620-B71B-0E7BF45EDD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23</vt:i4>
      </vt:variant>
      <vt:variant>
        <vt:lpstr>Rangos con nombre</vt:lpstr>
      </vt:variant>
      <vt:variant>
        <vt:i4>40</vt:i4>
      </vt:variant>
    </vt:vector>
  </HeadingPairs>
  <TitlesOfParts>
    <vt:vector size="63" baseType="lpstr">
      <vt:lpstr>Instrucciones</vt:lpstr>
      <vt:lpstr>Formulario</vt:lpstr>
      <vt:lpstr>PERITO</vt:lpstr>
      <vt:lpstr>Entradas_Tasas</vt:lpstr>
      <vt:lpstr>Entradas_calculos</vt:lpstr>
      <vt:lpstr>Calculos_generales</vt:lpstr>
      <vt:lpstr>Amortización</vt:lpstr>
      <vt:lpstr>calculo_etapa_vegetativa</vt:lpstr>
      <vt:lpstr>Calculo_etapa_productiva</vt:lpstr>
      <vt:lpstr>escenario de negociación</vt:lpstr>
      <vt:lpstr>Precio_Final_Cultivo</vt:lpstr>
      <vt:lpstr>Grafico_Flujos</vt:lpstr>
      <vt:lpstr>PreciosRef. por Mercado</vt:lpstr>
      <vt:lpstr>Tabla_Costos_Insumos</vt:lpstr>
      <vt:lpstr>departamento</vt:lpstr>
      <vt:lpstr>Base_datActividades_priorFIN</vt:lpstr>
      <vt:lpstr>Caracteristicas</vt:lpstr>
      <vt:lpstr>Caracteristicas_agronomicas</vt:lpstr>
      <vt:lpstr>Rendimientos estandar_</vt:lpstr>
      <vt:lpstr>Tiempos de cosecha_</vt:lpstr>
      <vt:lpstr>mecanización_ pendiente</vt:lpstr>
      <vt:lpstr>Jornalesdeppto</vt:lpstr>
      <vt:lpstr>Limites_agroecologicos</vt:lpstr>
      <vt:lpstr>Aguacate</vt:lpstr>
      <vt:lpstr>AMAZONAS</vt:lpstr>
      <vt:lpstr>ANTIOQUIA</vt:lpstr>
      <vt:lpstr>ARAUCA</vt:lpstr>
      <vt:lpstr>ATLÁNTICO</vt:lpstr>
      <vt:lpstr>BOLÍVAR</vt:lpstr>
      <vt:lpstr>BOYACÁ</vt:lpstr>
      <vt:lpstr>Cacao</vt:lpstr>
      <vt:lpstr>Café</vt:lpstr>
      <vt:lpstr>CALDAS</vt:lpstr>
      <vt:lpstr>Caña_Azucar</vt:lpstr>
      <vt:lpstr>CAQUETÁ</vt:lpstr>
      <vt:lpstr>CASANARE</vt:lpstr>
      <vt:lpstr>CAUCA</vt:lpstr>
      <vt:lpstr>CESAR</vt:lpstr>
      <vt:lpstr>CHOCÓ</vt:lpstr>
      <vt:lpstr>CÓRDOBA</vt:lpstr>
      <vt:lpstr>CUNDINAMARCA</vt:lpstr>
      <vt:lpstr>Eucalipto</vt:lpstr>
      <vt:lpstr>GUAINÍA</vt:lpstr>
      <vt:lpstr>GUAVIARE</vt:lpstr>
      <vt:lpstr>HUILA</vt:lpstr>
      <vt:lpstr>Limón</vt:lpstr>
      <vt:lpstr>MAGDALENA</vt:lpstr>
      <vt:lpstr>Mandarina</vt:lpstr>
      <vt:lpstr>Mango</vt:lpstr>
      <vt:lpstr>META</vt:lpstr>
      <vt:lpstr>Naranja</vt:lpstr>
      <vt:lpstr>NARIÑO</vt:lpstr>
      <vt:lpstr>NORTE_DE_SANTANDER</vt:lpstr>
      <vt:lpstr>Palma_Aceite</vt:lpstr>
      <vt:lpstr>Plátano</vt:lpstr>
      <vt:lpstr>PUTUMAYO</vt:lpstr>
      <vt:lpstr>QUINDÍO</vt:lpstr>
      <vt:lpstr>RISARALDA</vt:lpstr>
      <vt:lpstr>SANTANDER</vt:lpstr>
      <vt:lpstr>SUCRE</vt:lpstr>
      <vt:lpstr>TOLIMA</vt:lpstr>
      <vt:lpstr>VALLE_DEL_CAUCA</vt:lpstr>
      <vt:lpstr>VICHADA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Sixto Javier Sandoval Suarez</dc:creator>
  <cp:keywords/>
  <dc:description/>
  <cp:lastModifiedBy>javier sandoval</cp:lastModifiedBy>
  <cp:revision/>
  <dcterms:created xsi:type="dcterms:W3CDTF">2026-03-19T20:23:43Z</dcterms:created>
  <dcterms:modified xsi:type="dcterms:W3CDTF">2026-06-04T10:42:27Z</dcterms:modified>
  <cp:category/>
  <cp:contentStatus/>
</cp:coreProperties>
</file>